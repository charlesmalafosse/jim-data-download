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x-database\NEW_DOWNLOAD_PROCESS\"/>
    </mc:Choice>
  </mc:AlternateContent>
  <xr:revisionPtr revIDLastSave="0" documentId="13_ncr:1_{5BC9FAC6-564B-4D8E-895F-6D70B848DF0E}" xr6:coauthVersionLast="47" xr6:coauthVersionMax="47" xr10:uidLastSave="{00000000-0000-0000-0000-000000000000}"/>
  <bookViews>
    <workbookView xWindow="-28920" yWindow="-1920" windowWidth="29040" windowHeight="15720" tabRatio="902" xr2:uid="{00000000-000D-0000-FFFF-FFFF00000000}"/>
  </bookViews>
  <sheets>
    <sheet name="RIC_List" sheetId="73" r:id="rId1"/>
    <sheet name="QualityReport" sheetId="60" r:id="rId2"/>
    <sheet name="Staging" sheetId="59" r:id="rId3"/>
    <sheet name="DataCollection" sheetId="58" r:id="rId4"/>
    <sheet name="FAKE_DOWNLOAD" sheetId="87" state="hidden" r:id="rId5"/>
  </sheets>
  <functionGroups builtInGroupCount="19"/>
  <externalReferences>
    <externalReference r:id="rId6"/>
  </externalReferences>
  <definedNames>
    <definedName name="_xlnm._FilterDatabase" localSheetId="0" hidden="1">RIC_List!$A$1:$C$64</definedName>
    <definedName name="_xlnm._FilterDatabase" localSheetId="2" hidden="1">Staging!$A$1:$AA$108</definedName>
    <definedName name="_xleta.VLOOKUP" hidden="1" xlm="1">#NAME?</definedName>
    <definedName name="batchSize">#REF!</definedName>
    <definedName name="currency">#REF!</definedName>
    <definedName name="dailyCall">#REF!</definedName>
    <definedName name="dailyPut">#REF!</definedName>
    <definedName name="dateEnd">#REF!</definedName>
    <definedName name="dateStart">#REF!</definedName>
    <definedName name="Exchange">'[1]Main '!$D$23</definedName>
    <definedName name="lotSize">#REF!</definedName>
    <definedName name="maturityDate">#REF!</definedName>
    <definedName name="maxStrikeCall">#REF!</definedName>
    <definedName name="maxStrikePut">#REF!</definedName>
    <definedName name="minStrikeCall">#REF!</definedName>
    <definedName name="minStrikePut">#REF!</definedName>
    <definedName name="monthCall">#REF!</definedName>
    <definedName name="monthPut">#REF!</definedName>
    <definedName name="namePrefix">#REF!</definedName>
    <definedName name="RFR">#REF!</definedName>
    <definedName name="RicBloomberg">#REF!</definedName>
    <definedName name="rootRIC">#REF!</definedName>
    <definedName name="steps">#REF!</definedName>
    <definedName name="UnderlyingDownload">#REF!</definedName>
    <definedName name="underlyingTicker">#REF!</definedName>
    <definedName name="UnderylingEndDate">#REF!</definedName>
    <definedName name="UnderylingStartDate">#REF!</definedName>
    <definedName name="weeklyCall">#REF!</definedName>
    <definedName name="weeklyPu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34" i="58" l="1"/>
  <c r="F633" i="58"/>
  <c r="F632" i="58"/>
  <c r="F631" i="58"/>
  <c r="F630" i="58"/>
  <c r="F629" i="58"/>
  <c r="F628" i="58"/>
  <c r="F627" i="58"/>
  <c r="F626" i="58"/>
  <c r="F625" i="58"/>
  <c r="F624" i="58"/>
  <c r="F623" i="58"/>
  <c r="F622" i="58"/>
  <c r="F621" i="58"/>
  <c r="F620" i="58"/>
  <c r="F619" i="58"/>
  <c r="F618" i="58"/>
  <c r="F617" i="58"/>
  <c r="F616" i="58"/>
  <c r="F615" i="58"/>
  <c r="F614" i="58"/>
  <c r="F613" i="58"/>
  <c r="F612" i="58"/>
  <c r="F611" i="58"/>
  <c r="F610" i="58"/>
  <c r="F609" i="58"/>
  <c r="F608" i="58"/>
  <c r="F607" i="58"/>
  <c r="F606" i="58"/>
  <c r="F605" i="58"/>
  <c r="F604" i="58"/>
  <c r="F603" i="58"/>
  <c r="F334" i="58"/>
  <c r="F333" i="58"/>
  <c r="F332" i="58"/>
  <c r="F331" i="58"/>
  <c r="F330" i="58"/>
  <c r="F329" i="58"/>
  <c r="F328" i="58"/>
  <c r="F327" i="58"/>
  <c r="F326" i="58"/>
  <c r="F325" i="58"/>
  <c r="F324" i="58"/>
  <c r="F323" i="58"/>
  <c r="F322" i="58"/>
  <c r="F321" i="58"/>
  <c r="F320" i="58"/>
  <c r="F319" i="58"/>
  <c r="F318" i="58"/>
  <c r="F317" i="58"/>
  <c r="F316" i="58"/>
  <c r="F315" i="58"/>
  <c r="F314" i="58"/>
  <c r="F313" i="58"/>
  <c r="F312" i="58"/>
  <c r="F311" i="58"/>
  <c r="F310" i="58"/>
  <c r="F309" i="58"/>
  <c r="F308" i="58"/>
  <c r="F307" i="58"/>
  <c r="F306" i="58"/>
  <c r="F305" i="58"/>
  <c r="F304" i="58"/>
  <c r="F303" i="58"/>
  <c r="F42" i="58"/>
  <c r="F41" i="58"/>
  <c r="F40" i="58"/>
  <c r="F39" i="58"/>
  <c r="F38" i="58"/>
  <c r="F37" i="58"/>
  <c r="F36" i="58"/>
  <c r="F35" i="58"/>
  <c r="F34" i="58"/>
  <c r="F33" i="58"/>
  <c r="F32" i="58"/>
  <c r="F31" i="58"/>
  <c r="F30" i="58"/>
  <c r="F29" i="58"/>
  <c r="F28" i="58"/>
  <c r="F27" i="58"/>
  <c r="F26" i="58"/>
  <c r="F25" i="58"/>
  <c r="F24" i="58"/>
  <c r="F23" i="58"/>
  <c r="F22" i="58"/>
  <c r="F21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F8" i="58"/>
  <c r="F7" i="58"/>
  <c r="F6" i="58"/>
  <c r="F5" i="58"/>
  <c r="F4" i="58"/>
  <c r="F3" i="58"/>
  <c r="I624" i="58"/>
  <c r="I317" i="58"/>
  <c r="I28" i="58"/>
  <c r="I629" i="58"/>
  <c r="I605" i="58"/>
  <c r="I310" i="58"/>
  <c r="I33" i="58"/>
  <c r="I9" i="58"/>
  <c r="I634" i="58"/>
  <c r="I628" i="58"/>
  <c r="I622" i="58"/>
  <c r="I616" i="58"/>
  <c r="I610" i="58"/>
  <c r="I604" i="58"/>
  <c r="I333" i="58"/>
  <c r="I327" i="58"/>
  <c r="I321" i="58"/>
  <c r="I315" i="58"/>
  <c r="I309" i="58"/>
  <c r="I303" i="58"/>
  <c r="I38" i="58"/>
  <c r="I32" i="58"/>
  <c r="I26" i="58"/>
  <c r="I20" i="58"/>
  <c r="I14" i="58"/>
  <c r="I8" i="58"/>
  <c r="I620" i="58"/>
  <c r="I608" i="58"/>
  <c r="I325" i="58"/>
  <c r="I42" i="58"/>
  <c r="I24" i="58"/>
  <c r="I6" i="58"/>
  <c r="I631" i="58"/>
  <c r="I613" i="58"/>
  <c r="I330" i="58"/>
  <c r="I306" i="58"/>
  <c r="I41" i="58"/>
  <c r="I17" i="58"/>
  <c r="I618" i="58"/>
  <c r="I311" i="58"/>
  <c r="I34" i="58"/>
  <c r="I4" i="58"/>
  <c r="I611" i="58"/>
  <c r="I334" i="58"/>
  <c r="I304" i="58"/>
  <c r="I15" i="58"/>
  <c r="I632" i="58"/>
  <c r="I319" i="58"/>
  <c r="I307" i="58"/>
  <c r="I30" i="58"/>
  <c r="I12" i="58"/>
  <c r="I619" i="58"/>
  <c r="I324" i="58"/>
  <c r="I23" i="58"/>
  <c r="I5" i="58"/>
  <c r="I606" i="58"/>
  <c r="I305" i="58"/>
  <c r="I22" i="58"/>
  <c r="I617" i="58"/>
  <c r="I316" i="58"/>
  <c r="I39" i="58"/>
  <c r="I3" i="58"/>
  <c r="I633" i="58"/>
  <c r="I627" i="58"/>
  <c r="I621" i="58"/>
  <c r="I615" i="58"/>
  <c r="I609" i="58"/>
  <c r="I603" i="58"/>
  <c r="I332" i="58"/>
  <c r="I326" i="58"/>
  <c r="I320" i="58"/>
  <c r="I314" i="58"/>
  <c r="I308" i="58"/>
  <c r="I37" i="58"/>
  <c r="I31" i="58"/>
  <c r="I25" i="58"/>
  <c r="I19" i="58"/>
  <c r="I13" i="58"/>
  <c r="I7" i="58"/>
  <c r="I626" i="58"/>
  <c r="I614" i="58"/>
  <c r="I331" i="58"/>
  <c r="I313" i="58"/>
  <c r="I36" i="58"/>
  <c r="I18" i="58"/>
  <c r="I625" i="58"/>
  <c r="I318" i="58"/>
  <c r="I29" i="58"/>
  <c r="I11" i="58"/>
  <c r="I323" i="58"/>
  <c r="I40" i="58"/>
  <c r="I10" i="58"/>
  <c r="I322" i="58"/>
  <c r="I21" i="58"/>
  <c r="I607" i="58"/>
  <c r="I312" i="58"/>
  <c r="I35" i="58"/>
  <c r="I630" i="58"/>
  <c r="I612" i="58"/>
  <c r="I329" i="58"/>
  <c r="I16" i="58"/>
  <c r="I623" i="58"/>
  <c r="I328" i="58"/>
  <c r="I27" i="58"/>
  <c r="M624" i="58"/>
  <c r="L624" i="58"/>
  <c r="K624" i="58"/>
  <c r="J624" i="58"/>
  <c r="N624" i="58"/>
  <c r="K317" i="58"/>
  <c r="L317" i="58"/>
  <c r="J317" i="58"/>
  <c r="N317" i="58"/>
  <c r="M317" i="58"/>
  <c r="K28" i="58"/>
  <c r="N28" i="58"/>
  <c r="L28" i="58"/>
  <c r="J28" i="58"/>
  <c r="M28" i="58"/>
  <c r="J629" i="58"/>
  <c r="K629" i="58"/>
  <c r="N629" i="58"/>
  <c r="M629" i="58"/>
  <c r="L629" i="58"/>
  <c r="J605" i="58"/>
  <c r="N605" i="58"/>
  <c r="K605" i="58"/>
  <c r="M605" i="58"/>
  <c r="L605" i="58"/>
  <c r="K310" i="58"/>
  <c r="M310" i="58"/>
  <c r="J310" i="58"/>
  <c r="N310" i="58"/>
  <c r="L310" i="58"/>
  <c r="L33" i="58"/>
  <c r="M33" i="58"/>
  <c r="J33" i="58"/>
  <c r="K33" i="58"/>
  <c r="N33" i="58"/>
  <c r="M9" i="58"/>
  <c r="L9" i="58"/>
  <c r="J9" i="58"/>
  <c r="K9" i="58"/>
  <c r="N9" i="58"/>
  <c r="N634" i="58"/>
  <c r="L634" i="58"/>
  <c r="M634" i="58"/>
  <c r="J634" i="58"/>
  <c r="K634" i="58"/>
  <c r="J628" i="58"/>
  <c r="L628" i="58"/>
  <c r="N628" i="58"/>
  <c r="K628" i="58"/>
  <c r="M628" i="58"/>
  <c r="J622" i="58"/>
  <c r="M622" i="58"/>
  <c r="L622" i="58"/>
  <c r="N622" i="58"/>
  <c r="K622" i="58"/>
  <c r="K616" i="58"/>
  <c r="N616" i="58"/>
  <c r="J616" i="58"/>
  <c r="L616" i="58"/>
  <c r="M616" i="58"/>
  <c r="N610" i="58"/>
  <c r="L610" i="58"/>
  <c r="M610" i="58"/>
  <c r="J610" i="58"/>
  <c r="K610" i="58"/>
  <c r="L604" i="58"/>
  <c r="J604" i="58"/>
  <c r="N604" i="58"/>
  <c r="K604" i="58"/>
  <c r="M604" i="58"/>
  <c r="K333" i="58"/>
  <c r="J333" i="58"/>
  <c r="N333" i="58"/>
  <c r="M333" i="58"/>
  <c r="L333" i="58"/>
  <c r="M327" i="58"/>
  <c r="L327" i="58"/>
  <c r="K327" i="58"/>
  <c r="J327" i="58"/>
  <c r="N327" i="58"/>
  <c r="J321" i="58"/>
  <c r="N321" i="58"/>
  <c r="M321" i="58"/>
  <c r="K321" i="58"/>
  <c r="L321" i="58"/>
  <c r="L315" i="58"/>
  <c r="K315" i="58"/>
  <c r="M315" i="58"/>
  <c r="J315" i="58"/>
  <c r="N315" i="58"/>
  <c r="N309" i="58"/>
  <c r="M309" i="58"/>
  <c r="K309" i="58"/>
  <c r="J309" i="58"/>
  <c r="L309" i="58"/>
  <c r="M303" i="58"/>
  <c r="L303" i="58"/>
  <c r="K303" i="58"/>
  <c r="J303" i="58"/>
  <c r="N303" i="58"/>
  <c r="M38" i="58"/>
  <c r="N38" i="58"/>
  <c r="K38" i="58"/>
  <c r="L38" i="58"/>
  <c r="J38" i="58"/>
  <c r="L32" i="58"/>
  <c r="M32" i="58"/>
  <c r="N32" i="58"/>
  <c r="J32" i="58"/>
  <c r="K32" i="58"/>
  <c r="K26" i="58"/>
  <c r="N26" i="58"/>
  <c r="M26" i="58"/>
  <c r="L26" i="58"/>
  <c r="J26" i="58"/>
  <c r="L20" i="58"/>
  <c r="N20" i="58"/>
  <c r="J20" i="58"/>
  <c r="M20" i="58"/>
  <c r="K20" i="58"/>
  <c r="N14" i="58"/>
  <c r="M14" i="58"/>
  <c r="K14" i="58"/>
  <c r="L14" i="58"/>
  <c r="J14" i="58"/>
  <c r="J8" i="58"/>
  <c r="N8" i="58"/>
  <c r="L8" i="58"/>
  <c r="M8" i="58"/>
  <c r="K8" i="58"/>
  <c r="M620" i="58"/>
  <c r="J620" i="58"/>
  <c r="N620" i="58"/>
  <c r="L620" i="58"/>
  <c r="K620" i="58"/>
  <c r="J608" i="58"/>
  <c r="M608" i="58"/>
  <c r="N608" i="58"/>
  <c r="L608" i="58"/>
  <c r="K608" i="58"/>
  <c r="N325" i="58"/>
  <c r="M325" i="58"/>
  <c r="J325" i="58"/>
  <c r="L325" i="58"/>
  <c r="K325" i="58"/>
  <c r="J42" i="58"/>
  <c r="N42" i="58"/>
  <c r="L42" i="58"/>
  <c r="M42" i="58"/>
  <c r="K42" i="58"/>
  <c r="K24" i="58"/>
  <c r="J24" i="58"/>
  <c r="M24" i="58"/>
  <c r="N24" i="58"/>
  <c r="L24" i="58"/>
  <c r="J6" i="58"/>
  <c r="N6" i="58"/>
  <c r="L6" i="58"/>
  <c r="M6" i="58"/>
  <c r="K6" i="58"/>
  <c r="J631" i="58"/>
  <c r="N631" i="58"/>
  <c r="K631" i="58"/>
  <c r="M631" i="58"/>
  <c r="L631" i="58"/>
  <c r="L613" i="58"/>
  <c r="K613" i="58"/>
  <c r="M613" i="58"/>
  <c r="J613" i="58"/>
  <c r="N613" i="58"/>
  <c r="K330" i="58"/>
  <c r="L330" i="58"/>
  <c r="J330" i="58"/>
  <c r="N330" i="58"/>
  <c r="M330" i="58"/>
  <c r="N306" i="58"/>
  <c r="L306" i="58"/>
  <c r="K306" i="58"/>
  <c r="J306" i="58"/>
  <c r="M306" i="58"/>
  <c r="J41" i="58"/>
  <c r="K41" i="58"/>
  <c r="N41" i="58"/>
  <c r="L41" i="58"/>
  <c r="M41" i="58"/>
  <c r="L17" i="58"/>
  <c r="J17" i="58"/>
  <c r="N17" i="58"/>
  <c r="K17" i="58"/>
  <c r="M17" i="58"/>
  <c r="N618" i="58"/>
  <c r="K618" i="58"/>
  <c r="J618" i="58"/>
  <c r="M618" i="58"/>
  <c r="L618" i="58"/>
  <c r="M311" i="58"/>
  <c r="J311" i="58"/>
  <c r="N311" i="58"/>
  <c r="L311" i="58"/>
  <c r="K311" i="58"/>
  <c r="M34" i="58"/>
  <c r="L34" i="58"/>
  <c r="J34" i="58"/>
  <c r="K34" i="58"/>
  <c r="N34" i="58"/>
  <c r="L4" i="58"/>
  <c r="N4" i="58"/>
  <c r="K4" i="58"/>
  <c r="J4" i="58"/>
  <c r="M4" i="58"/>
  <c r="L611" i="58"/>
  <c r="M611" i="58"/>
  <c r="K611" i="58"/>
  <c r="J611" i="58"/>
  <c r="N611" i="58"/>
  <c r="J334" i="58"/>
  <c r="K334" i="58"/>
  <c r="N334" i="58"/>
  <c r="M334" i="58"/>
  <c r="L334" i="58"/>
  <c r="M304" i="58"/>
  <c r="L304" i="58"/>
  <c r="K304" i="58"/>
  <c r="J304" i="58"/>
  <c r="N304" i="58"/>
  <c r="M15" i="58"/>
  <c r="L15" i="58"/>
  <c r="K15" i="58"/>
  <c r="N15" i="58"/>
  <c r="J15" i="58"/>
  <c r="N632" i="58"/>
  <c r="M632" i="58"/>
  <c r="J632" i="58"/>
  <c r="L632" i="58"/>
  <c r="K632" i="58"/>
  <c r="J319" i="58"/>
  <c r="N319" i="58"/>
  <c r="L319" i="58"/>
  <c r="K319" i="58"/>
  <c r="M319" i="58"/>
  <c r="J307" i="58"/>
  <c r="L307" i="58"/>
  <c r="N307" i="58"/>
  <c r="K307" i="58"/>
  <c r="M307" i="58"/>
  <c r="L30" i="58"/>
  <c r="J30" i="58"/>
  <c r="N30" i="58"/>
  <c r="M30" i="58"/>
  <c r="K30" i="58"/>
  <c r="K12" i="58"/>
  <c r="M12" i="58"/>
  <c r="J12" i="58"/>
  <c r="N12" i="58"/>
  <c r="L12" i="58"/>
  <c r="N619" i="58"/>
  <c r="K619" i="58"/>
  <c r="J619" i="58"/>
  <c r="M619" i="58"/>
  <c r="L619" i="58"/>
  <c r="M324" i="58"/>
  <c r="N324" i="58"/>
  <c r="L324" i="58"/>
  <c r="J324" i="58"/>
  <c r="K324" i="58"/>
  <c r="M23" i="58"/>
  <c r="J23" i="58"/>
  <c r="K23" i="58"/>
  <c r="N23" i="58"/>
  <c r="L23" i="58"/>
  <c r="N5" i="58"/>
  <c r="K5" i="58"/>
  <c r="J5" i="58"/>
  <c r="L5" i="58"/>
  <c r="M5" i="58"/>
  <c r="J606" i="58"/>
  <c r="N606" i="58"/>
  <c r="K606" i="58"/>
  <c r="M606" i="58"/>
  <c r="L606" i="58"/>
  <c r="L305" i="58"/>
  <c r="K305" i="58"/>
  <c r="J305" i="58"/>
  <c r="N305" i="58"/>
  <c r="M305" i="58"/>
  <c r="J22" i="58"/>
  <c r="M22" i="58"/>
  <c r="K22" i="58"/>
  <c r="L22" i="58"/>
  <c r="N22" i="58"/>
  <c r="K617" i="58"/>
  <c r="N617" i="58"/>
  <c r="J617" i="58"/>
  <c r="M617" i="58"/>
  <c r="L617" i="58"/>
  <c r="K316" i="58"/>
  <c r="M316" i="58"/>
  <c r="L316" i="58"/>
  <c r="J316" i="58"/>
  <c r="N316" i="58"/>
  <c r="N39" i="58"/>
  <c r="M39" i="58"/>
  <c r="K39" i="58"/>
  <c r="L39" i="58"/>
  <c r="J39" i="58"/>
  <c r="N3" i="58"/>
  <c r="M3" i="58"/>
  <c r="K3" i="58"/>
  <c r="L3" i="58"/>
  <c r="J3" i="58"/>
  <c r="N633" i="58"/>
  <c r="M633" i="58"/>
  <c r="J633" i="58"/>
  <c r="L633" i="58"/>
  <c r="K633" i="58"/>
  <c r="L627" i="58"/>
  <c r="K627" i="58"/>
  <c r="N627" i="58"/>
  <c r="M627" i="58"/>
  <c r="J627" i="58"/>
  <c r="M621" i="58"/>
  <c r="J621" i="58"/>
  <c r="N621" i="58"/>
  <c r="K621" i="58"/>
  <c r="L621" i="58"/>
  <c r="K615" i="58"/>
  <c r="L615" i="58"/>
  <c r="J615" i="58"/>
  <c r="N615" i="58"/>
  <c r="M615" i="58"/>
  <c r="J609" i="58"/>
  <c r="N609" i="58"/>
  <c r="M609" i="58"/>
  <c r="L609" i="58"/>
  <c r="K609" i="58"/>
  <c r="K603" i="58"/>
  <c r="L603" i="58"/>
  <c r="J603" i="58"/>
  <c r="M603" i="58"/>
  <c r="N603" i="58"/>
  <c r="K332" i="58"/>
  <c r="J332" i="58"/>
  <c r="N332" i="58"/>
  <c r="M332" i="58"/>
  <c r="L332" i="58"/>
  <c r="M326" i="58"/>
  <c r="L326" i="58"/>
  <c r="K326" i="58"/>
  <c r="J326" i="58"/>
  <c r="N326" i="58"/>
  <c r="J320" i="58"/>
  <c r="N320" i="58"/>
  <c r="K320" i="58"/>
  <c r="M320" i="58"/>
  <c r="L320" i="58"/>
  <c r="L314" i="58"/>
  <c r="M314" i="58"/>
  <c r="K314" i="58"/>
  <c r="J314" i="58"/>
  <c r="N314" i="58"/>
  <c r="N308" i="58"/>
  <c r="K308" i="58"/>
  <c r="J308" i="58"/>
  <c r="M308" i="58"/>
  <c r="L308" i="58"/>
  <c r="M37" i="58"/>
  <c r="N37" i="58"/>
  <c r="K37" i="58"/>
  <c r="L37" i="58"/>
  <c r="J37" i="58"/>
  <c r="L31" i="58"/>
  <c r="J31" i="58"/>
  <c r="N31" i="58"/>
  <c r="M31" i="58"/>
  <c r="K31" i="58"/>
  <c r="M25" i="58"/>
  <c r="K25" i="58"/>
  <c r="N25" i="58"/>
  <c r="L25" i="58"/>
  <c r="J25" i="58"/>
  <c r="J19" i="58"/>
  <c r="N19" i="58"/>
  <c r="L19" i="58"/>
  <c r="M19" i="58"/>
  <c r="K19" i="58"/>
  <c r="K13" i="58"/>
  <c r="M13" i="58"/>
  <c r="N13" i="58"/>
  <c r="L13" i="58"/>
  <c r="J13" i="58"/>
  <c r="N7" i="58"/>
  <c r="J7" i="58"/>
  <c r="L7" i="58"/>
  <c r="M7" i="58"/>
  <c r="K7" i="58"/>
  <c r="L626" i="58"/>
  <c r="K626" i="58"/>
  <c r="J626" i="58"/>
  <c r="N626" i="58"/>
  <c r="M626" i="58"/>
  <c r="L614" i="58"/>
  <c r="K614" i="58"/>
  <c r="J614" i="58"/>
  <c r="N614" i="58"/>
  <c r="M614" i="58"/>
  <c r="L331" i="58"/>
  <c r="K331" i="58"/>
  <c r="J331" i="58"/>
  <c r="N331" i="58"/>
  <c r="M331" i="58"/>
  <c r="J313" i="58"/>
  <c r="L313" i="58"/>
  <c r="N313" i="58"/>
  <c r="M313" i="58"/>
  <c r="K313" i="58"/>
  <c r="M36" i="58"/>
  <c r="J36" i="58"/>
  <c r="K36" i="58"/>
  <c r="N36" i="58"/>
  <c r="L36" i="58"/>
  <c r="L18" i="58"/>
  <c r="N18" i="58"/>
  <c r="J18" i="58"/>
  <c r="M18" i="58"/>
  <c r="K18" i="58"/>
  <c r="M625" i="58"/>
  <c r="K625" i="58"/>
  <c r="L625" i="58"/>
  <c r="J625" i="58"/>
  <c r="N625" i="58"/>
  <c r="J318" i="58"/>
  <c r="K318" i="58"/>
  <c r="N318" i="58"/>
  <c r="L318" i="58"/>
  <c r="M318" i="58"/>
  <c r="L29" i="58"/>
  <c r="K29" i="58"/>
  <c r="J29" i="58"/>
  <c r="N29" i="58"/>
  <c r="M29" i="58"/>
  <c r="K11" i="58"/>
  <c r="M11" i="58"/>
  <c r="J11" i="58"/>
  <c r="N11" i="58"/>
  <c r="L11" i="58"/>
  <c r="N323" i="58"/>
  <c r="J323" i="58"/>
  <c r="M323" i="58"/>
  <c r="L323" i="58"/>
  <c r="K323" i="58"/>
  <c r="K40" i="58"/>
  <c r="N40" i="58"/>
  <c r="L40" i="58"/>
  <c r="J40" i="58"/>
  <c r="M40" i="58"/>
  <c r="K10" i="58"/>
  <c r="L10" i="58"/>
  <c r="J10" i="58"/>
  <c r="M10" i="58"/>
  <c r="N10" i="58"/>
  <c r="N322" i="58"/>
  <c r="K322" i="58"/>
  <c r="M322" i="58"/>
  <c r="J322" i="58"/>
  <c r="L322" i="58"/>
  <c r="M21" i="58"/>
  <c r="J21" i="58"/>
  <c r="L21" i="58"/>
  <c r="K21" i="58"/>
  <c r="N21" i="58"/>
  <c r="M607" i="58"/>
  <c r="J607" i="58"/>
  <c r="N607" i="58"/>
  <c r="K607" i="58"/>
  <c r="L607" i="58"/>
  <c r="M312" i="58"/>
  <c r="J312" i="58"/>
  <c r="L312" i="58"/>
  <c r="N312" i="58"/>
  <c r="K312" i="58"/>
  <c r="J35" i="58"/>
  <c r="K35" i="58"/>
  <c r="M35" i="58"/>
  <c r="N35" i="58"/>
  <c r="L35" i="58"/>
  <c r="J630" i="58"/>
  <c r="K630" i="58"/>
  <c r="N630" i="58"/>
  <c r="M630" i="58"/>
  <c r="L630" i="58"/>
  <c r="L612" i="58"/>
  <c r="M612" i="58"/>
  <c r="K612" i="58"/>
  <c r="J612" i="58"/>
  <c r="N612" i="58"/>
  <c r="L329" i="58"/>
  <c r="K329" i="58"/>
  <c r="J329" i="58"/>
  <c r="N329" i="58"/>
  <c r="M329" i="58"/>
  <c r="L16" i="58"/>
  <c r="N16" i="58"/>
  <c r="K16" i="58"/>
  <c r="J16" i="58"/>
  <c r="M16" i="58"/>
  <c r="M623" i="58"/>
  <c r="L623" i="58"/>
  <c r="K623" i="58"/>
  <c r="J623" i="58"/>
  <c r="N623" i="58"/>
  <c r="M328" i="58"/>
  <c r="L328" i="58"/>
  <c r="K328" i="58"/>
  <c r="J328" i="58"/>
  <c r="N328" i="58"/>
  <c r="K27" i="58"/>
  <c r="N27" i="58"/>
  <c r="M27" i="58"/>
  <c r="L27" i="58"/>
  <c r="J27" i="58"/>
  <c r="W624" i="58"/>
  <c r="AA624" i="58"/>
  <c r="X624" i="58"/>
  <c r="AB624" i="58"/>
  <c r="Z624" i="58"/>
  <c r="V624" i="58"/>
  <c r="Y624" i="58"/>
  <c r="W317" i="58"/>
  <c r="V317" i="58"/>
  <c r="AA317" i="58"/>
  <c r="Z317" i="58"/>
  <c r="Y317" i="58"/>
  <c r="X317" i="58"/>
  <c r="AB317" i="58"/>
  <c r="Z28" i="58"/>
  <c r="Y28" i="58"/>
  <c r="W28" i="58"/>
  <c r="X28" i="58"/>
  <c r="AB28" i="58"/>
  <c r="V28" i="58"/>
  <c r="AA28" i="58"/>
  <c r="Y629" i="58"/>
  <c r="V629" i="58"/>
  <c r="Z629" i="58"/>
  <c r="X629" i="58"/>
  <c r="AB629" i="58"/>
  <c r="W629" i="58"/>
  <c r="AA629" i="58"/>
  <c r="Y605" i="58"/>
  <c r="V605" i="58"/>
  <c r="Z605" i="58"/>
  <c r="X605" i="58"/>
  <c r="AB605" i="58"/>
  <c r="W605" i="58"/>
  <c r="AA605" i="58"/>
  <c r="Z310" i="58"/>
  <c r="Y310" i="58"/>
  <c r="V310" i="58"/>
  <c r="X310" i="58"/>
  <c r="AB310" i="58"/>
  <c r="W310" i="58"/>
  <c r="AA310" i="58"/>
  <c r="V33" i="58"/>
  <c r="Z33" i="58"/>
  <c r="AA33" i="58"/>
  <c r="X33" i="58"/>
  <c r="Y33" i="58"/>
  <c r="W33" i="58"/>
  <c r="AB33" i="58"/>
  <c r="Z9" i="58"/>
  <c r="X9" i="58"/>
  <c r="V9" i="58"/>
  <c r="Y9" i="58"/>
  <c r="AA9" i="58"/>
  <c r="W9" i="58"/>
  <c r="AB9" i="58"/>
  <c r="X634" i="58"/>
  <c r="AA634" i="58"/>
  <c r="Y634" i="58"/>
  <c r="AB634" i="58"/>
  <c r="W634" i="58"/>
  <c r="V634" i="58"/>
  <c r="Z634" i="58"/>
  <c r="AA628" i="58"/>
  <c r="Y628" i="58"/>
  <c r="V628" i="58"/>
  <c r="Z628" i="58"/>
  <c r="W628" i="58"/>
  <c r="X628" i="58"/>
  <c r="AB628" i="58"/>
  <c r="Y622" i="58"/>
  <c r="AB622" i="58"/>
  <c r="W622" i="58"/>
  <c r="X622" i="58"/>
  <c r="AA622" i="58"/>
  <c r="V622" i="58"/>
  <c r="Z622" i="58"/>
  <c r="W616" i="58"/>
  <c r="Z616" i="58"/>
  <c r="Y616" i="58"/>
  <c r="AA616" i="58"/>
  <c r="V616" i="58"/>
  <c r="X616" i="58"/>
  <c r="AB616" i="58"/>
  <c r="AA610" i="58"/>
  <c r="X610" i="58"/>
  <c r="AB610" i="58"/>
  <c r="W610" i="58"/>
  <c r="Y610" i="58"/>
  <c r="V610" i="58"/>
  <c r="Z610" i="58"/>
  <c r="V604" i="58"/>
  <c r="AA604" i="58"/>
  <c r="Y604" i="58"/>
  <c r="Z604" i="58"/>
  <c r="W604" i="58"/>
  <c r="X604" i="58"/>
  <c r="AB604" i="58"/>
  <c r="Y333" i="58"/>
  <c r="X333" i="58"/>
  <c r="V333" i="58"/>
  <c r="AB333" i="58"/>
  <c r="Z333" i="58"/>
  <c r="W333" i="58"/>
  <c r="AA333" i="58"/>
  <c r="AA327" i="58"/>
  <c r="Z327" i="58"/>
  <c r="X327" i="58"/>
  <c r="W327" i="58"/>
  <c r="AB327" i="58"/>
  <c r="V327" i="58"/>
  <c r="Y327" i="58"/>
  <c r="V321" i="58"/>
  <c r="AB321" i="58"/>
  <c r="Z321" i="58"/>
  <c r="Y321" i="58"/>
  <c r="X321" i="58"/>
  <c r="W321" i="58"/>
  <c r="AA321" i="58"/>
  <c r="W315" i="58"/>
  <c r="X315" i="58"/>
  <c r="AB315" i="58"/>
  <c r="AA315" i="58"/>
  <c r="V315" i="58"/>
  <c r="Z315" i="58"/>
  <c r="Y315" i="58"/>
  <c r="Y309" i="58"/>
  <c r="Z309" i="58"/>
  <c r="X309" i="58"/>
  <c r="V309" i="58"/>
  <c r="AB309" i="58"/>
  <c r="W309" i="58"/>
  <c r="AA309" i="58"/>
  <c r="W303" i="58"/>
  <c r="AB303" i="58"/>
  <c r="AA303" i="58"/>
  <c r="V303" i="58"/>
  <c r="Z303" i="58"/>
  <c r="X303" i="58"/>
  <c r="Y303" i="58"/>
  <c r="AB38" i="58"/>
  <c r="W38" i="58"/>
  <c r="AA38" i="58"/>
  <c r="Y38" i="58"/>
  <c r="Z38" i="58"/>
  <c r="X38" i="58"/>
  <c r="V38" i="58"/>
  <c r="Z32" i="58"/>
  <c r="V32" i="58"/>
  <c r="X32" i="58"/>
  <c r="AA32" i="58"/>
  <c r="Y32" i="58"/>
  <c r="W32" i="58"/>
  <c r="AB32" i="58"/>
  <c r="AB26" i="58"/>
  <c r="Y26" i="58"/>
  <c r="W26" i="58"/>
  <c r="AA26" i="58"/>
  <c r="Z26" i="58"/>
  <c r="X26" i="58"/>
  <c r="V26" i="58"/>
  <c r="X20" i="58"/>
  <c r="AA20" i="58"/>
  <c r="V20" i="58"/>
  <c r="Z20" i="58"/>
  <c r="Y20" i="58"/>
  <c r="W20" i="58"/>
  <c r="AB20" i="58"/>
  <c r="AA14" i="58"/>
  <c r="Y14" i="58"/>
  <c r="W14" i="58"/>
  <c r="Z14" i="58"/>
  <c r="AB14" i="58"/>
  <c r="X14" i="58"/>
  <c r="V14" i="58"/>
  <c r="V8" i="58"/>
  <c r="Z8" i="58"/>
  <c r="AA8" i="58"/>
  <c r="X8" i="58"/>
  <c r="Y8" i="58"/>
  <c r="W8" i="58"/>
  <c r="AB8" i="58"/>
  <c r="Y620" i="58"/>
  <c r="AB620" i="58"/>
  <c r="X620" i="58"/>
  <c r="W620" i="58"/>
  <c r="AA620" i="58"/>
  <c r="V620" i="58"/>
  <c r="Z620" i="58"/>
  <c r="X608" i="58"/>
  <c r="AB608" i="58"/>
  <c r="Y608" i="58"/>
  <c r="W608" i="58"/>
  <c r="AA608" i="58"/>
  <c r="V608" i="58"/>
  <c r="Z608" i="58"/>
  <c r="Y325" i="58"/>
  <c r="AA325" i="58"/>
  <c r="X325" i="58"/>
  <c r="W325" i="58"/>
  <c r="AB325" i="58"/>
  <c r="V325" i="58"/>
  <c r="Z325" i="58"/>
  <c r="X42" i="58"/>
  <c r="AB42" i="58"/>
  <c r="V42" i="58"/>
  <c r="Z42" i="58"/>
  <c r="W42" i="58"/>
  <c r="AA42" i="58"/>
  <c r="Y42" i="58"/>
  <c r="AB24" i="58"/>
  <c r="W24" i="58"/>
  <c r="Y24" i="58"/>
  <c r="V24" i="58"/>
  <c r="AA24" i="58"/>
  <c r="Z24" i="58"/>
  <c r="X24" i="58"/>
  <c r="X6" i="58"/>
  <c r="AB6" i="58"/>
  <c r="V6" i="58"/>
  <c r="Z6" i="58"/>
  <c r="W6" i="58"/>
  <c r="AA6" i="58"/>
  <c r="Y6" i="58"/>
  <c r="X631" i="58"/>
  <c r="Z631" i="58"/>
  <c r="AB631" i="58"/>
  <c r="Y631" i="58"/>
  <c r="V631" i="58"/>
  <c r="W631" i="58"/>
  <c r="AA631" i="58"/>
  <c r="V613" i="58"/>
  <c r="X613" i="58"/>
  <c r="Z613" i="58"/>
  <c r="W613" i="58"/>
  <c r="AB613" i="58"/>
  <c r="AA613" i="58"/>
  <c r="Y613" i="58"/>
  <c r="Z330" i="58"/>
  <c r="Y330" i="58"/>
  <c r="W330" i="58"/>
  <c r="V330" i="58"/>
  <c r="AA330" i="58"/>
  <c r="X330" i="58"/>
  <c r="AB330" i="58"/>
  <c r="Z306" i="58"/>
  <c r="AA306" i="58"/>
  <c r="V306" i="58"/>
  <c r="Y306" i="58"/>
  <c r="W306" i="58"/>
  <c r="X306" i="58"/>
  <c r="AB306" i="58"/>
  <c r="X41" i="58"/>
  <c r="AB41" i="58"/>
  <c r="Z41" i="58"/>
  <c r="W41" i="58"/>
  <c r="V41" i="58"/>
  <c r="AA41" i="58"/>
  <c r="Y41" i="58"/>
  <c r="W17" i="58"/>
  <c r="Z17" i="58"/>
  <c r="X17" i="58"/>
  <c r="AB17" i="58"/>
  <c r="V17" i="58"/>
  <c r="AA17" i="58"/>
  <c r="Y17" i="58"/>
  <c r="Z618" i="58"/>
  <c r="V618" i="58"/>
  <c r="Y618" i="58"/>
  <c r="X618" i="58"/>
  <c r="AB618" i="58"/>
  <c r="W618" i="58"/>
  <c r="AA618" i="58"/>
  <c r="X311" i="58"/>
  <c r="Y311" i="58"/>
  <c r="AB311" i="58"/>
  <c r="W311" i="58"/>
  <c r="AA311" i="58"/>
  <c r="V311" i="58"/>
  <c r="Z311" i="58"/>
  <c r="Y34" i="58"/>
  <c r="X34" i="58"/>
  <c r="AA34" i="58"/>
  <c r="V34" i="58"/>
  <c r="W34" i="58"/>
  <c r="AB34" i="58"/>
  <c r="Z34" i="58"/>
  <c r="AB4" i="58"/>
  <c r="Y4" i="58"/>
  <c r="W4" i="58"/>
  <c r="X4" i="58"/>
  <c r="Z4" i="58"/>
  <c r="V4" i="58"/>
  <c r="AA4" i="58"/>
  <c r="X611" i="58"/>
  <c r="AA611" i="58"/>
  <c r="AB611" i="58"/>
  <c r="W611" i="58"/>
  <c r="V611" i="58"/>
  <c r="Z611" i="58"/>
  <c r="Y611" i="58"/>
  <c r="V334" i="58"/>
  <c r="X334" i="58"/>
  <c r="AB334" i="58"/>
  <c r="Z334" i="58"/>
  <c r="Y334" i="58"/>
  <c r="W334" i="58"/>
  <c r="AA334" i="58"/>
  <c r="AA304" i="58"/>
  <c r="V304" i="58"/>
  <c r="Z304" i="58"/>
  <c r="X304" i="58"/>
  <c r="W304" i="58"/>
  <c r="AB304" i="58"/>
  <c r="Y304" i="58"/>
  <c r="W15" i="58"/>
  <c r="Z15" i="58"/>
  <c r="AB15" i="58"/>
  <c r="Y15" i="58"/>
  <c r="X15" i="58"/>
  <c r="V15" i="58"/>
  <c r="AA15" i="58"/>
  <c r="X632" i="58"/>
  <c r="AB632" i="58"/>
  <c r="Y632" i="58"/>
  <c r="W632" i="58"/>
  <c r="AA632" i="58"/>
  <c r="V632" i="58"/>
  <c r="Z632" i="58"/>
  <c r="AA319" i="58"/>
  <c r="W319" i="58"/>
  <c r="V319" i="58"/>
  <c r="Z319" i="58"/>
  <c r="Y319" i="58"/>
  <c r="X319" i="58"/>
  <c r="AB319" i="58"/>
  <c r="AA307" i="58"/>
  <c r="Z307" i="58"/>
  <c r="Y307" i="58"/>
  <c r="W307" i="58"/>
  <c r="V307" i="58"/>
  <c r="X307" i="58"/>
  <c r="AB307" i="58"/>
  <c r="Z30" i="58"/>
  <c r="V30" i="58"/>
  <c r="W30" i="58"/>
  <c r="X30" i="58"/>
  <c r="AB30" i="58"/>
  <c r="AA30" i="58"/>
  <c r="Y30" i="58"/>
  <c r="Y12" i="58"/>
  <c r="V12" i="58"/>
  <c r="W12" i="58"/>
  <c r="AA12" i="58"/>
  <c r="AB12" i="58"/>
  <c r="Z12" i="58"/>
  <c r="X12" i="58"/>
  <c r="AB619" i="58"/>
  <c r="Y619" i="58"/>
  <c r="V619" i="58"/>
  <c r="X619" i="58"/>
  <c r="Z619" i="58"/>
  <c r="W619" i="58"/>
  <c r="AA619" i="58"/>
  <c r="AB324" i="58"/>
  <c r="AA324" i="58"/>
  <c r="Y324" i="58"/>
  <c r="X324" i="58"/>
  <c r="W324" i="58"/>
  <c r="V324" i="58"/>
  <c r="Z324" i="58"/>
  <c r="Y23" i="58"/>
  <c r="X23" i="58"/>
  <c r="V23" i="58"/>
  <c r="W23" i="58"/>
  <c r="AA23" i="58"/>
  <c r="AB23" i="58"/>
  <c r="Z23" i="58"/>
  <c r="X5" i="58"/>
  <c r="AB5" i="58"/>
  <c r="Z5" i="58"/>
  <c r="W5" i="58"/>
  <c r="V5" i="58"/>
  <c r="AA5" i="58"/>
  <c r="Y5" i="58"/>
  <c r="Y606" i="58"/>
  <c r="V606" i="58"/>
  <c r="Z606" i="58"/>
  <c r="X606" i="58"/>
  <c r="AB606" i="58"/>
  <c r="W606" i="58"/>
  <c r="AA606" i="58"/>
  <c r="V305" i="58"/>
  <c r="AA305" i="58"/>
  <c r="Z305" i="58"/>
  <c r="W305" i="58"/>
  <c r="Y305" i="58"/>
  <c r="X305" i="58"/>
  <c r="AB305" i="58"/>
  <c r="X22" i="58"/>
  <c r="AA22" i="58"/>
  <c r="Y22" i="58"/>
  <c r="V22" i="58"/>
  <c r="W22" i="58"/>
  <c r="AB22" i="58"/>
  <c r="Z22" i="58"/>
  <c r="Z617" i="58"/>
  <c r="Y617" i="58"/>
  <c r="V617" i="58"/>
  <c r="X617" i="58"/>
  <c r="AB617" i="58"/>
  <c r="W617" i="58"/>
  <c r="AA617" i="58"/>
  <c r="AB316" i="58"/>
  <c r="X316" i="58"/>
  <c r="W316" i="58"/>
  <c r="V316" i="58"/>
  <c r="AA316" i="58"/>
  <c r="Z316" i="58"/>
  <c r="Y316" i="58"/>
  <c r="Z39" i="58"/>
  <c r="Y39" i="58"/>
  <c r="AB39" i="58"/>
  <c r="W39" i="58"/>
  <c r="X39" i="58"/>
  <c r="V39" i="58"/>
  <c r="AA39" i="58"/>
  <c r="Z3" i="58"/>
  <c r="Y3" i="58"/>
  <c r="AB3" i="58"/>
  <c r="W3" i="58"/>
  <c r="X3" i="58"/>
  <c r="V3" i="58"/>
  <c r="AA3" i="58"/>
  <c r="X633" i="58"/>
  <c r="AB633" i="58"/>
  <c r="Y633" i="58"/>
  <c r="W633" i="58"/>
  <c r="AA633" i="58"/>
  <c r="V633" i="58"/>
  <c r="Z633" i="58"/>
  <c r="V627" i="58"/>
  <c r="AA627" i="58"/>
  <c r="Z627" i="58"/>
  <c r="W627" i="58"/>
  <c r="Y627" i="58"/>
  <c r="X627" i="58"/>
  <c r="AB627" i="58"/>
  <c r="Y621" i="58"/>
  <c r="AB621" i="58"/>
  <c r="X621" i="58"/>
  <c r="AA621" i="58"/>
  <c r="W621" i="58"/>
  <c r="V621" i="58"/>
  <c r="Z621" i="58"/>
  <c r="W615" i="58"/>
  <c r="Z615" i="58"/>
  <c r="AA615" i="58"/>
  <c r="V615" i="58"/>
  <c r="Y615" i="58"/>
  <c r="X615" i="58"/>
  <c r="AB615" i="58"/>
  <c r="X609" i="58"/>
  <c r="AB609" i="58"/>
  <c r="Y609" i="58"/>
  <c r="W609" i="58"/>
  <c r="V609" i="58"/>
  <c r="Z609" i="58"/>
  <c r="AA609" i="58"/>
  <c r="AA603" i="58"/>
  <c r="V603" i="58"/>
  <c r="Z603" i="58"/>
  <c r="W603" i="58"/>
  <c r="Y603" i="58"/>
  <c r="X603" i="58"/>
  <c r="AB603" i="58"/>
  <c r="Y332" i="58"/>
  <c r="V332" i="58"/>
  <c r="Z332" i="58"/>
  <c r="X332" i="58"/>
  <c r="AB332" i="58"/>
  <c r="W332" i="58"/>
  <c r="AA332" i="58"/>
  <c r="AA326" i="58"/>
  <c r="X326" i="58"/>
  <c r="W326" i="58"/>
  <c r="AB326" i="58"/>
  <c r="V326" i="58"/>
  <c r="Z326" i="58"/>
  <c r="Y326" i="58"/>
  <c r="V320" i="58"/>
  <c r="Z320" i="58"/>
  <c r="Y320" i="58"/>
  <c r="X320" i="58"/>
  <c r="AB320" i="58"/>
  <c r="W320" i="58"/>
  <c r="AA320" i="58"/>
  <c r="X314" i="58"/>
  <c r="W314" i="58"/>
  <c r="AB314" i="58"/>
  <c r="AA314" i="58"/>
  <c r="V314" i="58"/>
  <c r="Z314" i="58"/>
  <c r="Y314" i="58"/>
  <c r="Z308" i="58"/>
  <c r="Y308" i="58"/>
  <c r="V308" i="58"/>
  <c r="X308" i="58"/>
  <c r="AB308" i="58"/>
  <c r="W308" i="58"/>
  <c r="AA308" i="58"/>
  <c r="AA37" i="58"/>
  <c r="W37" i="58"/>
  <c r="AB37" i="58"/>
  <c r="V37" i="58"/>
  <c r="Y37" i="58"/>
  <c r="Z37" i="58"/>
  <c r="X37" i="58"/>
  <c r="V31" i="58"/>
  <c r="Z31" i="58"/>
  <c r="AA31" i="58"/>
  <c r="X31" i="58"/>
  <c r="AB31" i="58"/>
  <c r="Y31" i="58"/>
  <c r="W31" i="58"/>
  <c r="V25" i="58"/>
  <c r="Y25" i="58"/>
  <c r="AB25" i="58"/>
  <c r="W25" i="58"/>
  <c r="AA25" i="58"/>
  <c r="Z25" i="58"/>
  <c r="X25" i="58"/>
  <c r="AB19" i="58"/>
  <c r="Z19" i="58"/>
  <c r="X19" i="58"/>
  <c r="V19" i="58"/>
  <c r="AA19" i="58"/>
  <c r="Y19" i="58"/>
  <c r="W19" i="58"/>
  <c r="V13" i="58"/>
  <c r="AA13" i="58"/>
  <c r="AB13" i="58"/>
  <c r="W13" i="58"/>
  <c r="Y13" i="58"/>
  <c r="Z13" i="58"/>
  <c r="X13" i="58"/>
  <c r="AB7" i="58"/>
  <c r="X7" i="58"/>
  <c r="Z7" i="58"/>
  <c r="V7" i="58"/>
  <c r="AA7" i="58"/>
  <c r="Y7" i="58"/>
  <c r="W7" i="58"/>
  <c r="AA626" i="58"/>
  <c r="V626" i="58"/>
  <c r="Z626" i="58"/>
  <c r="W626" i="58"/>
  <c r="Y626" i="58"/>
  <c r="X626" i="58"/>
  <c r="AB626" i="58"/>
  <c r="W614" i="58"/>
  <c r="Z614" i="58"/>
  <c r="AA614" i="58"/>
  <c r="V614" i="58"/>
  <c r="Y614" i="58"/>
  <c r="X614" i="58"/>
  <c r="AB614" i="58"/>
  <c r="W331" i="58"/>
  <c r="Y331" i="58"/>
  <c r="V331" i="58"/>
  <c r="AA331" i="58"/>
  <c r="Z331" i="58"/>
  <c r="X331" i="58"/>
  <c r="AB331" i="58"/>
  <c r="X313" i="58"/>
  <c r="Y313" i="58"/>
  <c r="AB313" i="58"/>
  <c r="W313" i="58"/>
  <c r="AA313" i="58"/>
  <c r="V313" i="58"/>
  <c r="Z313" i="58"/>
  <c r="AA36" i="58"/>
  <c r="W36" i="58"/>
  <c r="Y36" i="58"/>
  <c r="AB36" i="58"/>
  <c r="V36" i="58"/>
  <c r="Z36" i="58"/>
  <c r="X36" i="58"/>
  <c r="X18" i="58"/>
  <c r="W18" i="58"/>
  <c r="AB18" i="58"/>
  <c r="V18" i="58"/>
  <c r="Z18" i="58"/>
  <c r="AA18" i="58"/>
  <c r="Y18" i="58"/>
  <c r="AA625" i="58"/>
  <c r="V625" i="58"/>
  <c r="X625" i="58"/>
  <c r="Z625" i="58"/>
  <c r="AB625" i="58"/>
  <c r="W625" i="58"/>
  <c r="Y625" i="58"/>
  <c r="V318" i="58"/>
  <c r="W318" i="58"/>
  <c r="AA318" i="58"/>
  <c r="Z318" i="58"/>
  <c r="Y318" i="58"/>
  <c r="X318" i="58"/>
  <c r="AB318" i="58"/>
  <c r="W29" i="58"/>
  <c r="X29" i="58"/>
  <c r="Z29" i="58"/>
  <c r="AB29" i="58"/>
  <c r="V29" i="58"/>
  <c r="AA29" i="58"/>
  <c r="Y29" i="58"/>
  <c r="Y11" i="58"/>
  <c r="V11" i="58"/>
  <c r="AA11" i="58"/>
  <c r="X11" i="58"/>
  <c r="W11" i="58"/>
  <c r="AB11" i="58"/>
  <c r="Z11" i="58"/>
  <c r="AB323" i="58"/>
  <c r="Y323" i="58"/>
  <c r="X323" i="58"/>
  <c r="W323" i="58"/>
  <c r="AA323" i="58"/>
  <c r="V323" i="58"/>
  <c r="Z323" i="58"/>
  <c r="Y40" i="58"/>
  <c r="AB40" i="58"/>
  <c r="X40" i="58"/>
  <c r="W40" i="58"/>
  <c r="Z40" i="58"/>
  <c r="V40" i="58"/>
  <c r="AA40" i="58"/>
  <c r="V10" i="58"/>
  <c r="Y10" i="58"/>
  <c r="AA10" i="58"/>
  <c r="X10" i="58"/>
  <c r="W10" i="58"/>
  <c r="AB10" i="58"/>
  <c r="Z10" i="58"/>
  <c r="Z322" i="58"/>
  <c r="AB322" i="58"/>
  <c r="V322" i="58"/>
  <c r="Y322" i="58"/>
  <c r="X322" i="58"/>
  <c r="W322" i="58"/>
  <c r="AA322" i="58"/>
  <c r="X21" i="58"/>
  <c r="AA21" i="58"/>
  <c r="Y21" i="58"/>
  <c r="V21" i="58"/>
  <c r="Z21" i="58"/>
  <c r="W21" i="58"/>
  <c r="AB21" i="58"/>
  <c r="V607" i="58"/>
  <c r="Y607" i="58"/>
  <c r="X607" i="58"/>
  <c r="Z607" i="58"/>
  <c r="AB607" i="58"/>
  <c r="W607" i="58"/>
  <c r="AA607" i="58"/>
  <c r="Y312" i="58"/>
  <c r="X312" i="58"/>
  <c r="W312" i="58"/>
  <c r="AB312" i="58"/>
  <c r="AA312" i="58"/>
  <c r="V312" i="58"/>
  <c r="Z312" i="58"/>
  <c r="W35" i="58"/>
  <c r="X35" i="58"/>
  <c r="AA35" i="58"/>
  <c r="V35" i="58"/>
  <c r="Y35" i="58"/>
  <c r="AB35" i="58"/>
  <c r="Z35" i="58"/>
  <c r="V630" i="58"/>
  <c r="Z630" i="58"/>
  <c r="Y630" i="58"/>
  <c r="X630" i="58"/>
  <c r="AB630" i="58"/>
  <c r="W630" i="58"/>
  <c r="AA630" i="58"/>
  <c r="AA612" i="58"/>
  <c r="X612" i="58"/>
  <c r="W612" i="58"/>
  <c r="AB612" i="58"/>
  <c r="V612" i="58"/>
  <c r="Z612" i="58"/>
  <c r="Y612" i="58"/>
  <c r="Z329" i="58"/>
  <c r="W329" i="58"/>
  <c r="V329" i="58"/>
  <c r="AA329" i="58"/>
  <c r="Y329" i="58"/>
  <c r="X329" i="58"/>
  <c r="AB329" i="58"/>
  <c r="W16" i="58"/>
  <c r="Z16" i="58"/>
  <c r="X16" i="58"/>
  <c r="AB16" i="58"/>
  <c r="Y16" i="58"/>
  <c r="V16" i="58"/>
  <c r="AA16" i="58"/>
  <c r="W623" i="58"/>
  <c r="AB623" i="58"/>
  <c r="AA623" i="58"/>
  <c r="X623" i="58"/>
  <c r="V623" i="58"/>
  <c r="Z623" i="58"/>
  <c r="Y623" i="58"/>
  <c r="X328" i="58"/>
  <c r="Z328" i="58"/>
  <c r="W328" i="58"/>
  <c r="AB328" i="58"/>
  <c r="V328" i="58"/>
  <c r="AA328" i="58"/>
  <c r="Y328" i="58"/>
  <c r="Y27" i="58"/>
  <c r="AB27" i="58"/>
  <c r="W27" i="58"/>
  <c r="Z27" i="58"/>
  <c r="X27" i="58"/>
  <c r="V27" i="58"/>
  <c r="AA27" i="58"/>
  <c r="A602" i="58"/>
  <c r="A2" i="58"/>
  <c r="A302" i="58"/>
  <c r="AA302" i="58" l="1"/>
  <c r="V302" i="58"/>
  <c r="L302" i="58"/>
  <c r="Y302" i="58"/>
  <c r="J302" i="58"/>
  <c r="I302" i="58"/>
  <c r="Z302" i="58"/>
  <c r="W302" i="58"/>
  <c r="M302" i="58"/>
  <c r="AB302" i="58"/>
  <c r="K302" i="58"/>
  <c r="N302" i="58"/>
  <c r="X302" i="58"/>
  <c r="N2" i="58"/>
  <c r="I2" i="58"/>
  <c r="J2" i="58"/>
  <c r="AB2" i="58"/>
  <c r="Y2" i="58"/>
  <c r="X2" i="58"/>
  <c r="W2" i="58"/>
  <c r="Z2" i="58"/>
  <c r="M2" i="58"/>
  <c r="V2" i="58"/>
  <c r="AA2" i="58"/>
  <c r="K2" i="58"/>
  <c r="L2" i="58"/>
  <c r="I602" i="58"/>
  <c r="K602" i="58"/>
  <c r="J602" i="58"/>
  <c r="AA602" i="58"/>
  <c r="M602" i="58"/>
  <c r="Z602" i="58"/>
  <c r="X602" i="58"/>
  <c r="L602" i="58"/>
  <c r="N602" i="58"/>
  <c r="W602" i="58"/>
  <c r="Y602" i="58"/>
  <c r="V602" i="58"/>
  <c r="AB602" i="58"/>
  <c r="F898" i="58" l="1"/>
  <c r="F892" i="58"/>
  <c r="F886" i="58"/>
  <c r="F880" i="58"/>
  <c r="F874" i="58"/>
  <c r="F897" i="58"/>
  <c r="F891" i="58"/>
  <c r="F885" i="58"/>
  <c r="F879" i="58"/>
  <c r="F873" i="58"/>
  <c r="F867" i="58"/>
  <c r="F861" i="58"/>
  <c r="F855" i="58"/>
  <c r="F849" i="58"/>
  <c r="F843" i="58"/>
  <c r="F837" i="58"/>
  <c r="F896" i="58"/>
  <c r="F890" i="58"/>
  <c r="F884" i="58"/>
  <c r="F878" i="58"/>
  <c r="F872" i="58"/>
  <c r="F901" i="58"/>
  <c r="F895" i="58"/>
  <c r="F889" i="58"/>
  <c r="F883" i="58"/>
  <c r="F877" i="58"/>
  <c r="F900" i="58"/>
  <c r="F894" i="58"/>
  <c r="F899" i="58"/>
  <c r="F893" i="58"/>
  <c r="F887" i="58"/>
  <c r="F881" i="58"/>
  <c r="F875" i="58"/>
  <c r="F888" i="58"/>
  <c r="F860" i="58"/>
  <c r="F846" i="58"/>
  <c r="F832" i="58"/>
  <c r="F820" i="58"/>
  <c r="F808" i="58"/>
  <c r="F796" i="58"/>
  <c r="F784" i="58"/>
  <c r="F772" i="58"/>
  <c r="F760" i="58"/>
  <c r="F748" i="58"/>
  <c r="F736" i="58"/>
  <c r="F724" i="58"/>
  <c r="F712" i="58"/>
  <c r="F700" i="58"/>
  <c r="F688" i="58"/>
  <c r="F676" i="58"/>
  <c r="F664" i="58"/>
  <c r="F652" i="58"/>
  <c r="F640" i="58"/>
  <c r="F591" i="58"/>
  <c r="F579" i="58"/>
  <c r="F567" i="58"/>
  <c r="F555" i="58"/>
  <c r="F543" i="58"/>
  <c r="F531" i="58"/>
  <c r="F519" i="58"/>
  <c r="F507" i="58"/>
  <c r="F495" i="58"/>
  <c r="F483" i="58"/>
  <c r="F471" i="58"/>
  <c r="F459" i="58"/>
  <c r="F447" i="58"/>
  <c r="F435" i="58"/>
  <c r="F423" i="58"/>
  <c r="F411" i="58"/>
  <c r="F399" i="58"/>
  <c r="F390" i="58"/>
  <c r="F384" i="58"/>
  <c r="F378" i="58"/>
  <c r="F372" i="58"/>
  <c r="F366" i="58"/>
  <c r="F360" i="58"/>
  <c r="F354" i="58"/>
  <c r="F348" i="58"/>
  <c r="F342" i="58"/>
  <c r="F336" i="58"/>
  <c r="F299" i="58"/>
  <c r="F293" i="58"/>
  <c r="F287" i="58"/>
  <c r="F281" i="58"/>
  <c r="F275" i="58"/>
  <c r="F269" i="58"/>
  <c r="F263" i="58"/>
  <c r="F257" i="58"/>
  <c r="F251" i="58"/>
  <c r="F245" i="58"/>
  <c r="F239" i="58"/>
  <c r="F233" i="58"/>
  <c r="F227" i="58"/>
  <c r="F221" i="58"/>
  <c r="F215" i="58"/>
  <c r="F209" i="58"/>
  <c r="F203" i="58"/>
  <c r="F197" i="58"/>
  <c r="F185" i="58"/>
  <c r="F173" i="58"/>
  <c r="F161" i="58"/>
  <c r="F149" i="58"/>
  <c r="F137" i="58"/>
  <c r="F882" i="58"/>
  <c r="F859" i="58"/>
  <c r="F845" i="58"/>
  <c r="F831" i="58"/>
  <c r="F819" i="58"/>
  <c r="F807" i="58"/>
  <c r="F795" i="58"/>
  <c r="F783" i="58"/>
  <c r="F771" i="58"/>
  <c r="F759" i="58"/>
  <c r="F747" i="58"/>
  <c r="F735" i="58"/>
  <c r="F723" i="58"/>
  <c r="F711" i="58"/>
  <c r="F699" i="58"/>
  <c r="F687" i="58"/>
  <c r="F675" i="58"/>
  <c r="F663" i="58"/>
  <c r="F651" i="58"/>
  <c r="F639" i="58"/>
  <c r="F590" i="58"/>
  <c r="F578" i="58"/>
  <c r="F566" i="58"/>
  <c r="F554" i="58"/>
  <c r="F542" i="58"/>
  <c r="F530" i="58"/>
  <c r="F518" i="58"/>
  <c r="F506" i="58"/>
  <c r="F494" i="58"/>
  <c r="F482" i="58"/>
  <c r="F470" i="58"/>
  <c r="F458" i="58"/>
  <c r="F446" i="58"/>
  <c r="F434" i="58"/>
  <c r="F422" i="58"/>
  <c r="F410" i="58"/>
  <c r="F398" i="58"/>
  <c r="F876" i="58"/>
  <c r="F858" i="58"/>
  <c r="F844" i="58"/>
  <c r="F830" i="58"/>
  <c r="F818" i="58"/>
  <c r="F806" i="58"/>
  <c r="F794" i="58"/>
  <c r="F782" i="58"/>
  <c r="F770" i="58"/>
  <c r="F758" i="58"/>
  <c r="F746" i="58"/>
  <c r="F734" i="58"/>
  <c r="F722" i="58"/>
  <c r="F710" i="58"/>
  <c r="F698" i="58"/>
  <c r="F686" i="58"/>
  <c r="F674" i="58"/>
  <c r="F662" i="58"/>
  <c r="F650" i="58"/>
  <c r="F638" i="58"/>
  <c r="F601" i="58"/>
  <c r="F589" i="58"/>
  <c r="F577" i="58"/>
  <c r="F565" i="58"/>
  <c r="F553" i="58"/>
  <c r="F541" i="58"/>
  <c r="F529" i="58"/>
  <c r="F517" i="58"/>
  <c r="F505" i="58"/>
  <c r="F493" i="58"/>
  <c r="F481" i="58"/>
  <c r="F469" i="58"/>
  <c r="F457" i="58"/>
  <c r="F445" i="58"/>
  <c r="F433" i="58"/>
  <c r="F421" i="58"/>
  <c r="F409" i="58"/>
  <c r="F397" i="58"/>
  <c r="F389" i="58"/>
  <c r="F383" i="58"/>
  <c r="F377" i="58"/>
  <c r="F371" i="58"/>
  <c r="F365" i="58"/>
  <c r="F359" i="58"/>
  <c r="F353" i="58"/>
  <c r="F347" i="58"/>
  <c r="F341" i="58"/>
  <c r="F335" i="58"/>
  <c r="F298" i="58"/>
  <c r="F292" i="58"/>
  <c r="F286" i="58"/>
  <c r="F280" i="58"/>
  <c r="F274" i="58"/>
  <c r="F268" i="58"/>
  <c r="F262" i="58"/>
  <c r="F256" i="58"/>
  <c r="F250" i="58"/>
  <c r="F244" i="58"/>
  <c r="F238" i="58"/>
  <c r="F232" i="58"/>
  <c r="F226" i="58"/>
  <c r="F220" i="58"/>
  <c r="F214" i="58"/>
  <c r="F208" i="58"/>
  <c r="F202" i="58"/>
  <c r="F196" i="58"/>
  <c r="F190" i="58"/>
  <c r="F184" i="58"/>
  <c r="F178" i="58"/>
  <c r="F172" i="58"/>
  <c r="F166" i="58"/>
  <c r="F160" i="58"/>
  <c r="F154" i="58"/>
  <c r="F148" i="58"/>
  <c r="F142" i="58"/>
  <c r="F136" i="58"/>
  <c r="F130" i="58"/>
  <c r="F124" i="58"/>
  <c r="F118" i="58"/>
  <c r="F112" i="58"/>
  <c r="F106" i="58"/>
  <c r="F100" i="58"/>
  <c r="F94" i="58"/>
  <c r="F88" i="58"/>
  <c r="F82" i="58"/>
  <c r="F871" i="58"/>
  <c r="F857" i="58"/>
  <c r="F842" i="58"/>
  <c r="F829" i="58"/>
  <c r="F817" i="58"/>
  <c r="F805" i="58"/>
  <c r="F793" i="58"/>
  <c r="F781" i="58"/>
  <c r="F769" i="58"/>
  <c r="F757" i="58"/>
  <c r="F745" i="58"/>
  <c r="F733" i="58"/>
  <c r="F721" i="58"/>
  <c r="F709" i="58"/>
  <c r="F697" i="58"/>
  <c r="F685" i="58"/>
  <c r="F673" i="58"/>
  <c r="F661" i="58"/>
  <c r="F649" i="58"/>
  <c r="F637" i="58"/>
  <c r="F600" i="58"/>
  <c r="F588" i="58"/>
  <c r="F576" i="58"/>
  <c r="F564" i="58"/>
  <c r="F552" i="58"/>
  <c r="F540" i="58"/>
  <c r="F528" i="58"/>
  <c r="F516" i="58"/>
  <c r="F504" i="58"/>
  <c r="F492" i="58"/>
  <c r="F480" i="58"/>
  <c r="F468" i="58"/>
  <c r="F456" i="58"/>
  <c r="F444" i="58"/>
  <c r="F432" i="58"/>
  <c r="F420" i="58"/>
  <c r="F408" i="58"/>
  <c r="F396" i="58"/>
  <c r="F111" i="58"/>
  <c r="F93" i="58"/>
  <c r="F81" i="58"/>
  <c r="F69" i="58"/>
  <c r="F57" i="58"/>
  <c r="F45" i="58"/>
  <c r="F870" i="58"/>
  <c r="F856" i="58"/>
  <c r="F841" i="58"/>
  <c r="F828" i="58"/>
  <c r="F816" i="58"/>
  <c r="F804" i="58"/>
  <c r="F792" i="58"/>
  <c r="F780" i="58"/>
  <c r="F768" i="58"/>
  <c r="F756" i="58"/>
  <c r="F744" i="58"/>
  <c r="F732" i="58"/>
  <c r="F720" i="58"/>
  <c r="F708" i="58"/>
  <c r="F696" i="58"/>
  <c r="F684" i="58"/>
  <c r="F672" i="58"/>
  <c r="F660" i="58"/>
  <c r="F648" i="58"/>
  <c r="F636" i="58"/>
  <c r="F599" i="58"/>
  <c r="F587" i="58"/>
  <c r="F575" i="58"/>
  <c r="F563" i="58"/>
  <c r="F551" i="58"/>
  <c r="F539" i="58"/>
  <c r="F527" i="58"/>
  <c r="F515" i="58"/>
  <c r="F503" i="58"/>
  <c r="F491" i="58"/>
  <c r="F479" i="58"/>
  <c r="F467" i="58"/>
  <c r="F455" i="58"/>
  <c r="F443" i="58"/>
  <c r="F431" i="58"/>
  <c r="F419" i="58"/>
  <c r="F407" i="58"/>
  <c r="F395" i="58"/>
  <c r="F388" i="58"/>
  <c r="F382" i="58"/>
  <c r="F376" i="58"/>
  <c r="F370" i="58"/>
  <c r="F364" i="58"/>
  <c r="F358" i="58"/>
  <c r="F352" i="58"/>
  <c r="F346" i="58"/>
  <c r="F340" i="58"/>
  <c r="F297" i="58"/>
  <c r="F291" i="58"/>
  <c r="F285" i="58"/>
  <c r="F279" i="58"/>
  <c r="F273" i="58"/>
  <c r="F267" i="58"/>
  <c r="F261" i="58"/>
  <c r="F255" i="58"/>
  <c r="F249" i="58"/>
  <c r="F243" i="58"/>
  <c r="F237" i="58"/>
  <c r="F231" i="58"/>
  <c r="F225" i="58"/>
  <c r="F219" i="58"/>
  <c r="F213" i="58"/>
  <c r="F207" i="58"/>
  <c r="F201" i="58"/>
  <c r="F195" i="58"/>
  <c r="F189" i="58"/>
  <c r="F183" i="58"/>
  <c r="F177" i="58"/>
  <c r="F171" i="58"/>
  <c r="F165" i="58"/>
  <c r="F159" i="58"/>
  <c r="F153" i="58"/>
  <c r="F147" i="58"/>
  <c r="F141" i="58"/>
  <c r="F135" i="58"/>
  <c r="F129" i="58"/>
  <c r="F123" i="58"/>
  <c r="F117" i="58"/>
  <c r="F105" i="58"/>
  <c r="F99" i="58"/>
  <c r="F87" i="58"/>
  <c r="F75" i="58"/>
  <c r="F63" i="58"/>
  <c r="F51" i="58"/>
  <c r="F869" i="58"/>
  <c r="F854" i="58"/>
  <c r="F840" i="58"/>
  <c r="F827" i="58"/>
  <c r="F815" i="58"/>
  <c r="F803" i="58"/>
  <c r="F791" i="58"/>
  <c r="F779" i="58"/>
  <c r="F767" i="58"/>
  <c r="F755" i="58"/>
  <c r="F743" i="58"/>
  <c r="F731" i="58"/>
  <c r="F719" i="58"/>
  <c r="F707" i="58"/>
  <c r="F695" i="58"/>
  <c r="F683" i="58"/>
  <c r="F671" i="58"/>
  <c r="F659" i="58"/>
  <c r="F647" i="58"/>
  <c r="F635" i="58"/>
  <c r="F598" i="58"/>
  <c r="F586" i="58"/>
  <c r="F574" i="58"/>
  <c r="F562" i="58"/>
  <c r="F550" i="58"/>
  <c r="F538" i="58"/>
  <c r="F526" i="58"/>
  <c r="F514" i="58"/>
  <c r="F502" i="58"/>
  <c r="F490" i="58"/>
  <c r="F478" i="58"/>
  <c r="F466" i="58"/>
  <c r="F454" i="58"/>
  <c r="F442" i="58"/>
  <c r="F430" i="58"/>
  <c r="F418" i="58"/>
  <c r="F406" i="58"/>
  <c r="F394" i="58"/>
  <c r="F200" i="58"/>
  <c r="F170" i="58"/>
  <c r="F868" i="58"/>
  <c r="F853" i="58"/>
  <c r="F839" i="58"/>
  <c r="F826" i="58"/>
  <c r="F814" i="58"/>
  <c r="F802" i="58"/>
  <c r="F790" i="58"/>
  <c r="F778" i="58"/>
  <c r="F766" i="58"/>
  <c r="F754" i="58"/>
  <c r="F742" i="58"/>
  <c r="F730" i="58"/>
  <c r="F718" i="58"/>
  <c r="F706" i="58"/>
  <c r="F694" i="58"/>
  <c r="F682" i="58"/>
  <c r="F670" i="58"/>
  <c r="F658" i="58"/>
  <c r="F646" i="58"/>
  <c r="F597" i="58"/>
  <c r="F585" i="58"/>
  <c r="F573" i="58"/>
  <c r="F561" i="58"/>
  <c r="F549" i="58"/>
  <c r="F537" i="58"/>
  <c r="F525" i="58"/>
  <c r="F513" i="58"/>
  <c r="F501" i="58"/>
  <c r="F489" i="58"/>
  <c r="F477" i="58"/>
  <c r="F465" i="58"/>
  <c r="F453" i="58"/>
  <c r="F441" i="58"/>
  <c r="F429" i="58"/>
  <c r="F417" i="58"/>
  <c r="F405" i="58"/>
  <c r="F393" i="58"/>
  <c r="F387" i="58"/>
  <c r="F381" i="58"/>
  <c r="F375" i="58"/>
  <c r="F369" i="58"/>
  <c r="F363" i="58"/>
  <c r="F357" i="58"/>
  <c r="F351" i="58"/>
  <c r="F345" i="58"/>
  <c r="F339" i="58"/>
  <c r="F296" i="58"/>
  <c r="F290" i="58"/>
  <c r="F284" i="58"/>
  <c r="F278" i="58"/>
  <c r="F272" i="58"/>
  <c r="F266" i="58"/>
  <c r="F260" i="58"/>
  <c r="F254" i="58"/>
  <c r="F248" i="58"/>
  <c r="F242" i="58"/>
  <c r="F236" i="58"/>
  <c r="F230" i="58"/>
  <c r="F224" i="58"/>
  <c r="F218" i="58"/>
  <c r="F212" i="58"/>
  <c r="F206" i="58"/>
  <c r="F194" i="58"/>
  <c r="F188" i="58"/>
  <c r="F182" i="58"/>
  <c r="F176" i="58"/>
  <c r="F164" i="58"/>
  <c r="F866" i="58"/>
  <c r="F852" i="58"/>
  <c r="F838" i="58"/>
  <c r="F825" i="58"/>
  <c r="F813" i="58"/>
  <c r="F801" i="58"/>
  <c r="F789" i="58"/>
  <c r="F777" i="58"/>
  <c r="F765" i="58"/>
  <c r="F753" i="58"/>
  <c r="F741" i="58"/>
  <c r="F729" i="58"/>
  <c r="F717" i="58"/>
  <c r="F705" i="58"/>
  <c r="F693" i="58"/>
  <c r="F681" i="58"/>
  <c r="F669" i="58"/>
  <c r="F657" i="58"/>
  <c r="F645" i="58"/>
  <c r="F596" i="58"/>
  <c r="F584" i="58"/>
  <c r="F572" i="58"/>
  <c r="F560" i="58"/>
  <c r="F548" i="58"/>
  <c r="F536" i="58"/>
  <c r="F524" i="58"/>
  <c r="F512" i="58"/>
  <c r="F500" i="58"/>
  <c r="F488" i="58"/>
  <c r="F476" i="58"/>
  <c r="F464" i="58"/>
  <c r="F452" i="58"/>
  <c r="F440" i="58"/>
  <c r="F428" i="58"/>
  <c r="F416" i="58"/>
  <c r="F404" i="58"/>
  <c r="F223" i="58"/>
  <c r="F211" i="58"/>
  <c r="F193" i="58"/>
  <c r="F181" i="58"/>
  <c r="F865" i="58"/>
  <c r="F851" i="58"/>
  <c r="F836" i="58"/>
  <c r="F824" i="58"/>
  <c r="F812" i="58"/>
  <c r="F800" i="58"/>
  <c r="F788" i="58"/>
  <c r="F776" i="58"/>
  <c r="F764" i="58"/>
  <c r="F752" i="58"/>
  <c r="F740" i="58"/>
  <c r="F728" i="58"/>
  <c r="F716" i="58"/>
  <c r="F704" i="58"/>
  <c r="F692" i="58"/>
  <c r="F680" i="58"/>
  <c r="F668" i="58"/>
  <c r="F656" i="58"/>
  <c r="F644" i="58"/>
  <c r="F595" i="58"/>
  <c r="F583" i="58"/>
  <c r="F571" i="58"/>
  <c r="F559" i="58"/>
  <c r="F547" i="58"/>
  <c r="F535" i="58"/>
  <c r="F523" i="58"/>
  <c r="F511" i="58"/>
  <c r="F499" i="58"/>
  <c r="F487" i="58"/>
  <c r="F475" i="58"/>
  <c r="F463" i="58"/>
  <c r="F451" i="58"/>
  <c r="F439" i="58"/>
  <c r="F427" i="58"/>
  <c r="F415" i="58"/>
  <c r="F403" i="58"/>
  <c r="F392" i="58"/>
  <c r="F386" i="58"/>
  <c r="F380" i="58"/>
  <c r="F374" i="58"/>
  <c r="F368" i="58"/>
  <c r="F362" i="58"/>
  <c r="F356" i="58"/>
  <c r="F350" i="58"/>
  <c r="F344" i="58"/>
  <c r="F338" i="58"/>
  <c r="F301" i="58"/>
  <c r="F295" i="58"/>
  <c r="F289" i="58"/>
  <c r="F283" i="58"/>
  <c r="F277" i="58"/>
  <c r="F271" i="58"/>
  <c r="F265" i="58"/>
  <c r="F259" i="58"/>
  <c r="F253" i="58"/>
  <c r="F247" i="58"/>
  <c r="F241" i="58"/>
  <c r="F235" i="58"/>
  <c r="F229" i="58"/>
  <c r="F217" i="58"/>
  <c r="F205" i="58"/>
  <c r="F199" i="58"/>
  <c r="F187" i="58"/>
  <c r="F864" i="58"/>
  <c r="F850" i="58"/>
  <c r="F835" i="58"/>
  <c r="F823" i="58"/>
  <c r="F811" i="58"/>
  <c r="F799" i="58"/>
  <c r="F787" i="58"/>
  <c r="F775" i="58"/>
  <c r="F763" i="58"/>
  <c r="F751" i="58"/>
  <c r="F739" i="58"/>
  <c r="F727" i="58"/>
  <c r="F715" i="58"/>
  <c r="F703" i="58"/>
  <c r="F691" i="58"/>
  <c r="F679" i="58"/>
  <c r="F667" i="58"/>
  <c r="F655" i="58"/>
  <c r="F643" i="58"/>
  <c r="F594" i="58"/>
  <c r="F582" i="58"/>
  <c r="F570" i="58"/>
  <c r="F558" i="58"/>
  <c r="F546" i="58"/>
  <c r="F534" i="58"/>
  <c r="F522" i="58"/>
  <c r="F510" i="58"/>
  <c r="F498" i="58"/>
  <c r="F486" i="58"/>
  <c r="F474" i="58"/>
  <c r="F462" i="58"/>
  <c r="F450" i="58"/>
  <c r="F438" i="58"/>
  <c r="F426" i="58"/>
  <c r="F414" i="58"/>
  <c r="F402" i="58"/>
  <c r="F246" i="58"/>
  <c r="F228" i="58"/>
  <c r="F216" i="58"/>
  <c r="F204" i="58"/>
  <c r="F192" i="58"/>
  <c r="F863" i="58"/>
  <c r="F848" i="58"/>
  <c r="F834" i="58"/>
  <c r="F822" i="58"/>
  <c r="F810" i="58"/>
  <c r="F798" i="58"/>
  <c r="F786" i="58"/>
  <c r="F774" i="58"/>
  <c r="F762" i="58"/>
  <c r="F750" i="58"/>
  <c r="F738" i="58"/>
  <c r="F726" i="58"/>
  <c r="F714" i="58"/>
  <c r="F702" i="58"/>
  <c r="F690" i="58"/>
  <c r="F678" i="58"/>
  <c r="F666" i="58"/>
  <c r="F654" i="58"/>
  <c r="F642" i="58"/>
  <c r="F593" i="58"/>
  <c r="F581" i="58"/>
  <c r="F569" i="58"/>
  <c r="F557" i="58"/>
  <c r="F545" i="58"/>
  <c r="F533" i="58"/>
  <c r="F521" i="58"/>
  <c r="F509" i="58"/>
  <c r="F497" i="58"/>
  <c r="F485" i="58"/>
  <c r="F473" i="58"/>
  <c r="F461" i="58"/>
  <c r="F449" i="58"/>
  <c r="F437" i="58"/>
  <c r="F425" i="58"/>
  <c r="F413" i="58"/>
  <c r="F401" i="58"/>
  <c r="F391" i="58"/>
  <c r="F385" i="58"/>
  <c r="F379" i="58"/>
  <c r="F373" i="58"/>
  <c r="F367" i="58"/>
  <c r="F361" i="58"/>
  <c r="F355" i="58"/>
  <c r="F349" i="58"/>
  <c r="F343" i="58"/>
  <c r="F337" i="58"/>
  <c r="F300" i="58"/>
  <c r="F294" i="58"/>
  <c r="F288" i="58"/>
  <c r="F282" i="58"/>
  <c r="F276" i="58"/>
  <c r="F270" i="58"/>
  <c r="F264" i="58"/>
  <c r="F258" i="58"/>
  <c r="F252" i="58"/>
  <c r="F240" i="58"/>
  <c r="F234" i="58"/>
  <c r="F222" i="58"/>
  <c r="F210" i="58"/>
  <c r="F198" i="58"/>
  <c r="F862" i="58"/>
  <c r="F847" i="58"/>
  <c r="F833" i="58"/>
  <c r="F821" i="58"/>
  <c r="F809" i="58"/>
  <c r="F797" i="58"/>
  <c r="F785" i="58"/>
  <c r="F773" i="58"/>
  <c r="F761" i="58"/>
  <c r="F749" i="58"/>
  <c r="F737" i="58"/>
  <c r="F725" i="58"/>
  <c r="F713" i="58"/>
  <c r="F701" i="58"/>
  <c r="F689" i="58"/>
  <c r="F677" i="58"/>
  <c r="F665" i="58"/>
  <c r="F653" i="58"/>
  <c r="F641" i="58"/>
  <c r="F592" i="58"/>
  <c r="F580" i="58"/>
  <c r="F568" i="58"/>
  <c r="F556" i="58"/>
  <c r="F544" i="58"/>
  <c r="F532" i="58"/>
  <c r="F520" i="58"/>
  <c r="F508" i="58"/>
  <c r="F496" i="58"/>
  <c r="F484" i="58"/>
  <c r="F472" i="58"/>
  <c r="F460" i="58"/>
  <c r="F448" i="58"/>
  <c r="F436" i="58"/>
  <c r="F424" i="58"/>
  <c r="F412" i="58"/>
  <c r="F400" i="58"/>
  <c r="F191" i="58"/>
  <c r="F179" i="58"/>
  <c r="F167" i="58"/>
  <c r="F155" i="58"/>
  <c r="F143" i="58"/>
  <c r="F158" i="58"/>
  <c r="F134" i="58"/>
  <c r="F116" i="58"/>
  <c r="F98" i="58"/>
  <c r="F80" i="58"/>
  <c r="F66" i="58"/>
  <c r="F52" i="58"/>
  <c r="F162" i="58"/>
  <c r="F157" i="58"/>
  <c r="F133" i="58"/>
  <c r="F115" i="58"/>
  <c r="F97" i="58"/>
  <c r="F79" i="58"/>
  <c r="F65" i="58"/>
  <c r="F50" i="58"/>
  <c r="F83" i="58"/>
  <c r="F156" i="58"/>
  <c r="F132" i="58"/>
  <c r="F114" i="58"/>
  <c r="F96" i="58"/>
  <c r="F78" i="58"/>
  <c r="F64" i="58"/>
  <c r="F49" i="58"/>
  <c r="F152" i="58"/>
  <c r="F131" i="58"/>
  <c r="F113" i="58"/>
  <c r="F95" i="58"/>
  <c r="F77" i="58"/>
  <c r="F62" i="58"/>
  <c r="F48" i="58"/>
  <c r="F139" i="58"/>
  <c r="F186" i="58"/>
  <c r="F151" i="58"/>
  <c r="F128" i="58"/>
  <c r="F110" i="58"/>
  <c r="F92" i="58"/>
  <c r="F76" i="58"/>
  <c r="F61" i="58"/>
  <c r="F47" i="58"/>
  <c r="F74" i="58"/>
  <c r="F60" i="58"/>
  <c r="F46" i="58"/>
  <c r="F54" i="58"/>
  <c r="F67" i="58"/>
  <c r="F180" i="58"/>
  <c r="F150" i="58"/>
  <c r="F127" i="58"/>
  <c r="F109" i="58"/>
  <c r="F91" i="58"/>
  <c r="F120" i="58"/>
  <c r="F101" i="58"/>
  <c r="F175" i="58"/>
  <c r="F146" i="58"/>
  <c r="F126" i="58"/>
  <c r="F108" i="58"/>
  <c r="F90" i="58"/>
  <c r="F73" i="58"/>
  <c r="F59" i="58"/>
  <c r="F44" i="58"/>
  <c r="F102" i="58"/>
  <c r="F174" i="58"/>
  <c r="F145" i="58"/>
  <c r="F125" i="58"/>
  <c r="F107" i="58"/>
  <c r="F89" i="58"/>
  <c r="F72" i="58"/>
  <c r="F58" i="58"/>
  <c r="F43" i="58"/>
  <c r="F53" i="58"/>
  <c r="F169" i="58"/>
  <c r="F144" i="58"/>
  <c r="F122" i="58"/>
  <c r="F104" i="58"/>
  <c r="F86" i="58"/>
  <c r="F71" i="58"/>
  <c r="F56" i="58"/>
  <c r="F84" i="58"/>
  <c r="F138" i="58"/>
  <c r="F168" i="58"/>
  <c r="F140" i="58"/>
  <c r="F121" i="58"/>
  <c r="F103" i="58"/>
  <c r="F85" i="58"/>
  <c r="F70" i="58"/>
  <c r="F55" i="58"/>
  <c r="F68" i="58"/>
  <c r="F119" i="58"/>
  <c r="F163" i="58"/>
  <c r="F302" i="58"/>
  <c r="F2" i="58"/>
  <c r="F602" i="58"/>
  <c r="E278" i="58" l="1"/>
  <c r="E898" i="58"/>
  <c r="E850" i="58"/>
  <c r="E296" i="58"/>
  <c r="E591" i="58"/>
  <c r="E888" i="58"/>
  <c r="E283" i="58"/>
  <c r="E219" i="58"/>
  <c r="E227" i="58"/>
  <c r="E151" i="58"/>
  <c r="E746" i="58"/>
  <c r="E590" i="58"/>
  <c r="E207" i="58"/>
  <c r="E40" i="58"/>
  <c r="E173" i="58"/>
  <c r="E153" i="58"/>
  <c r="E95" i="58"/>
  <c r="E139" i="58"/>
  <c r="E242" i="58"/>
  <c r="E690" i="58"/>
  <c r="E782" i="58"/>
  <c r="E757" i="58"/>
  <c r="E352" i="58"/>
  <c r="E441" i="58"/>
  <c r="E605" i="58"/>
  <c r="E521" i="58"/>
  <c r="E661" i="58"/>
  <c r="E730" i="58"/>
  <c r="E113" i="58"/>
  <c r="E582" i="58"/>
  <c r="E459" i="58"/>
  <c r="E656" i="58"/>
  <c r="E599" i="58"/>
  <c r="E511" i="58"/>
  <c r="E820" i="58"/>
  <c r="E745" i="58"/>
  <c r="E18" i="58"/>
  <c r="E618" i="58"/>
  <c r="E473" i="58"/>
  <c r="E655" i="58"/>
  <c r="E677" i="58"/>
  <c r="E162" i="58"/>
  <c r="E810" i="58"/>
  <c r="E106" i="58"/>
  <c r="E739" i="58"/>
  <c r="E347" i="58"/>
  <c r="E156" i="58"/>
  <c r="E324" i="58"/>
  <c r="E179" i="58"/>
  <c r="E815" i="58"/>
  <c r="E671" i="58"/>
  <c r="E508" i="58"/>
  <c r="E217" i="58"/>
  <c r="E214" i="58"/>
  <c r="E667" i="58"/>
  <c r="E594" i="58"/>
  <c r="E679" i="58"/>
  <c r="E445" i="58"/>
  <c r="E70" i="58"/>
  <c r="E55" i="58"/>
  <c r="E307" i="58"/>
  <c r="E299" i="58"/>
  <c r="E370" i="58"/>
  <c r="E67" i="58"/>
  <c r="E190" i="58"/>
  <c r="E592" i="58"/>
  <c r="E174" i="58"/>
  <c r="E387" i="58"/>
  <c r="E323" i="58"/>
  <c r="E25" i="58"/>
  <c r="E32" i="58"/>
  <c r="E593" i="58"/>
  <c r="E510" i="58"/>
  <c r="E202" i="58"/>
  <c r="E229" i="58"/>
  <c r="E292" i="58"/>
  <c r="E422" i="58"/>
  <c r="E744" i="58"/>
  <c r="E79" i="58"/>
  <c r="E720" i="58"/>
  <c r="E799" i="58"/>
  <c r="E254" i="58"/>
  <c r="E452" i="58"/>
  <c r="E873" i="58"/>
  <c r="E729" i="58"/>
  <c r="E145" i="58"/>
  <c r="E394" i="58"/>
  <c r="E171" i="58"/>
  <c r="E607" i="58"/>
  <c r="E429" i="58"/>
  <c r="E581" i="58"/>
  <c r="E461" i="58"/>
  <c r="E343" i="58"/>
  <c r="E876" i="58"/>
  <c r="E717" i="58"/>
  <c r="E855" i="58"/>
  <c r="E423" i="58"/>
  <c r="E507" i="58"/>
  <c r="E877" i="58"/>
  <c r="E500" i="58"/>
  <c r="E391" i="58"/>
  <c r="E211" i="58"/>
  <c r="E523" i="58"/>
  <c r="E331" i="58"/>
  <c r="E728" i="58"/>
  <c r="E536" i="58"/>
  <c r="E384" i="58"/>
  <c r="E130" i="58"/>
  <c r="E167" i="58"/>
  <c r="E302" i="58"/>
  <c r="E48" i="58"/>
  <c r="E737" i="58"/>
  <c r="E231" i="58"/>
  <c r="E169" i="58"/>
  <c r="E598" i="58"/>
  <c r="E783" i="58"/>
  <c r="E503" i="58"/>
  <c r="E114" i="58"/>
  <c r="E870" i="58"/>
  <c r="E756" i="58"/>
  <c r="E684" i="58"/>
  <c r="E449" i="58"/>
  <c r="E577" i="58"/>
  <c r="E669" i="58"/>
  <c r="E212" i="58"/>
  <c r="E434" i="58"/>
  <c r="E24" i="58"/>
  <c r="E321" i="58"/>
  <c r="E23" i="58"/>
  <c r="E649" i="58"/>
  <c r="E47" i="58"/>
  <c r="E105" i="58"/>
  <c r="E866" i="58"/>
  <c r="E69" i="58"/>
  <c r="E868" i="58"/>
  <c r="E223" i="58"/>
  <c r="E293" i="58"/>
  <c r="E575" i="58"/>
  <c r="E176" i="58"/>
  <c r="E194" i="58"/>
  <c r="E571" i="58"/>
  <c r="E107" i="58"/>
  <c r="E794" i="58"/>
  <c r="E520" i="58"/>
  <c r="E463" i="58"/>
  <c r="E829" i="58"/>
  <c r="E531" i="58"/>
  <c r="E869" i="58"/>
  <c r="E329" i="58"/>
  <c r="E740" i="58"/>
  <c r="E42" i="58"/>
  <c r="E365" i="58"/>
  <c r="E345" i="58"/>
  <c r="E213" i="58"/>
  <c r="E245" i="58"/>
  <c r="E722" i="58"/>
  <c r="E650" i="58"/>
  <c r="E660" i="58"/>
  <c r="E793" i="58"/>
  <c r="E821" i="58"/>
  <c r="E509" i="58"/>
  <c r="E122" i="58"/>
  <c r="E576" i="58"/>
  <c r="E862" i="58"/>
  <c r="E285" i="58"/>
  <c r="E753" i="58"/>
  <c r="E544" i="58"/>
  <c r="E393" i="58"/>
  <c r="E315" i="58"/>
  <c r="E512" i="58"/>
  <c r="E44" i="58"/>
  <c r="E501" i="58"/>
  <c r="E784" i="58"/>
  <c r="E865" i="58"/>
  <c r="E493" i="58"/>
  <c r="E378" i="58"/>
  <c r="E333" i="58"/>
  <c r="E77" i="58"/>
  <c r="E797" i="58"/>
  <c r="E545" i="58"/>
  <c r="E522" i="58"/>
  <c r="E767" i="58"/>
  <c r="E379" i="58"/>
  <c r="E90" i="58"/>
  <c r="E141" i="58"/>
  <c r="E887" i="58"/>
  <c r="E639" i="58"/>
  <c r="E901" i="58"/>
  <c r="E163" i="58"/>
  <c r="E715" i="58"/>
  <c r="E319" i="58"/>
  <c r="E823" i="58"/>
  <c r="E373" i="58"/>
  <c r="E609" i="58"/>
  <c r="E33" i="58"/>
  <c r="E277" i="58"/>
  <c r="E3" i="58"/>
  <c r="E828" i="58"/>
  <c r="E316" i="58"/>
  <c r="E443" i="58"/>
  <c r="E134" i="58"/>
  <c r="E12" i="58"/>
  <c r="E306" i="58"/>
  <c r="E437" i="58"/>
  <c r="E654" i="58"/>
  <c r="E206" i="58"/>
  <c r="E170" i="58"/>
  <c r="E573" i="58"/>
  <c r="E796" i="58"/>
  <c r="E168" i="58"/>
  <c r="E721" i="58"/>
  <c r="E566" i="58"/>
  <c r="E889" i="58"/>
  <c r="E517" i="58"/>
  <c r="E300" i="58"/>
  <c r="E580" i="58"/>
  <c r="E685" i="58"/>
  <c r="E390" i="58"/>
  <c r="E155" i="58"/>
  <c r="E21" i="58"/>
  <c r="E788" i="58"/>
  <c r="E494" i="58"/>
  <c r="E611" i="58"/>
  <c r="E455" i="58"/>
  <c r="E457" i="58"/>
  <c r="E198" i="58"/>
  <c r="E464" i="58"/>
  <c r="E663" i="58"/>
  <c r="E652" i="58"/>
  <c r="E472" i="58"/>
  <c r="E689" i="58"/>
  <c r="E433" i="58"/>
  <c r="E885" i="58"/>
  <c r="E358" i="58"/>
  <c r="E208" i="58"/>
  <c r="E89" i="58"/>
  <c r="E579" i="58"/>
  <c r="E400" i="58"/>
  <c r="E658" i="58"/>
  <c r="E237" i="58"/>
  <c r="E127" i="58"/>
  <c r="E879" i="58"/>
  <c r="E875" i="58"/>
  <c r="E432" i="58"/>
  <c r="E310" i="58"/>
  <c r="E648" i="58"/>
  <c r="E325" i="58"/>
  <c r="E734" i="58"/>
  <c r="E99" i="58"/>
  <c r="E64" i="58"/>
  <c r="E327" i="58"/>
  <c r="E894" i="58"/>
  <c r="E638" i="58"/>
  <c r="E732" i="58"/>
  <c r="E257" i="58"/>
  <c r="E467" i="58"/>
  <c r="E364" i="58"/>
  <c r="E874" i="58"/>
  <c r="E817" i="58"/>
  <c r="E335" i="58"/>
  <c r="E596" i="58"/>
  <c r="E466" i="58"/>
  <c r="E800" i="58"/>
  <c r="E436" i="58"/>
  <c r="E585" i="58"/>
  <c r="E17" i="58"/>
  <c r="E456" i="58"/>
  <c r="E736" i="58"/>
  <c r="E811" i="58"/>
  <c r="E733" i="58"/>
  <c r="E284" i="58"/>
  <c r="E678" i="58"/>
  <c r="E741" i="58"/>
  <c r="E52" i="58"/>
  <c r="E263" i="58"/>
  <c r="E809" i="58"/>
  <c r="E711" i="58"/>
  <c r="E514" i="58"/>
  <c r="E119" i="58"/>
  <c r="E439" i="58"/>
  <c r="E83" i="58"/>
  <c r="E446" i="58"/>
  <c r="E359" i="58"/>
  <c r="E124" i="58"/>
  <c r="E458" i="58"/>
  <c r="E447" i="58"/>
  <c r="E199" i="58"/>
  <c r="E528" i="58"/>
  <c r="E56" i="58"/>
  <c r="E426" i="58"/>
  <c r="E159" i="58"/>
  <c r="E350" i="58"/>
  <c r="E258" i="58"/>
  <c r="E133" i="58"/>
  <c r="E601" i="58"/>
  <c r="E438" i="58"/>
  <c r="E177" i="58"/>
  <c r="E304" i="58"/>
  <c r="E518" i="58"/>
  <c r="E421" i="58"/>
  <c r="E884" i="58"/>
  <c r="E185" i="58"/>
  <c r="E538" i="58"/>
  <c r="E790" i="58"/>
  <c r="E534" i="58"/>
  <c r="E205" i="58"/>
  <c r="E271" i="58"/>
  <c r="E612" i="58"/>
  <c r="E120" i="58"/>
  <c r="E726" i="58"/>
  <c r="E674" i="58"/>
  <c r="E110" i="58"/>
  <c r="E280" i="58"/>
  <c r="E602" i="58"/>
  <c r="E795" i="58"/>
  <c r="E30" i="58"/>
  <c r="E382" i="58"/>
  <c r="E453" i="58"/>
  <c r="E724" i="58"/>
  <c r="E61" i="58"/>
  <c r="E893" i="58"/>
  <c r="E34" i="58"/>
  <c r="E789" i="58"/>
  <c r="E645" i="58"/>
  <c r="E372" i="58"/>
  <c r="E839" i="58"/>
  <c r="E291" i="58"/>
  <c r="E362" i="58"/>
  <c r="E897" i="58"/>
  <c r="E900" i="58"/>
  <c r="E750" i="58"/>
  <c r="E5" i="58"/>
  <c r="E312" i="58"/>
  <c r="E676" i="58"/>
  <c r="E694" i="58"/>
  <c r="E46" i="58"/>
  <c r="E405" i="58"/>
  <c r="E266" i="58"/>
  <c r="E224" i="58"/>
  <c r="E504" i="58"/>
  <c r="E583" i="58"/>
  <c r="E462" i="58"/>
  <c r="E752" i="58"/>
  <c r="E249" i="58"/>
  <c r="E760" i="58"/>
  <c r="E633" i="58"/>
  <c r="E836" i="58"/>
  <c r="E385" i="58"/>
  <c r="E857" i="58"/>
  <c r="E680" i="58"/>
  <c r="E330" i="58"/>
  <c r="E247" i="58"/>
  <c r="E230" i="58"/>
  <c r="E91" i="58"/>
  <c r="E200" i="58"/>
  <c r="E665" i="58"/>
  <c r="E50" i="58"/>
  <c r="E833" i="58"/>
  <c r="E26" i="58"/>
  <c r="E234" i="58"/>
  <c r="E73" i="58"/>
  <c r="E681" i="58"/>
  <c r="E410" i="58"/>
  <c r="E188" i="58"/>
  <c r="E896" i="58"/>
  <c r="E381" i="58"/>
  <c r="E361" i="58"/>
  <c r="E311" i="58"/>
  <c r="E578" i="58"/>
  <c r="E731" i="58"/>
  <c r="E36" i="58"/>
  <c r="E192" i="58"/>
  <c r="E2" i="58"/>
  <c r="E240" i="58"/>
  <c r="E403" i="58"/>
  <c r="E861" i="58"/>
  <c r="E608" i="58"/>
  <c r="E662" i="58"/>
  <c r="E420" i="58"/>
  <c r="E367" i="58"/>
  <c r="E308" i="58"/>
  <c r="E226" i="58"/>
  <c r="E537" i="58"/>
  <c r="E366" i="58"/>
  <c r="E837" i="58"/>
  <c r="E699" i="58"/>
  <c r="E843" i="58"/>
  <c r="E668" i="58"/>
  <c r="E62" i="58"/>
  <c r="E558" i="58"/>
  <c r="E804" i="58"/>
  <c r="E334" i="58"/>
  <c r="E742" i="58"/>
  <c r="E380" i="58"/>
  <c r="E539" i="58"/>
  <c r="E714" i="58"/>
  <c r="E281" i="58"/>
  <c r="E765" i="58"/>
  <c r="E838" i="58"/>
  <c r="E161" i="58"/>
  <c r="E157" i="58"/>
  <c r="E871" i="58"/>
  <c r="E118" i="58"/>
  <c r="E883" i="58"/>
  <c r="E376" i="58"/>
  <c r="E600" i="58"/>
  <c r="E288" i="58"/>
  <c r="E317" i="58"/>
  <c r="E647" i="58"/>
  <c r="E762" i="58"/>
  <c r="E60" i="58"/>
  <c r="E851" i="58"/>
  <c r="E530" i="58"/>
  <c r="E328" i="58"/>
  <c r="E725" i="58"/>
  <c r="E407" i="58"/>
  <c r="E561" i="58"/>
  <c r="E622" i="58"/>
  <c r="E832" i="58"/>
  <c r="E96" i="58"/>
  <c r="E808" i="58"/>
  <c r="E595" i="58"/>
  <c r="E374" i="58"/>
  <c r="E589" i="58"/>
  <c r="E535" i="58"/>
  <c r="E702" i="58"/>
  <c r="E236" i="58"/>
  <c r="E235" i="58"/>
  <c r="E49" i="58"/>
  <c r="E822" i="58"/>
  <c r="E597" i="58"/>
  <c r="E15" i="58"/>
  <c r="E759" i="58"/>
  <c r="E51" i="58"/>
  <c r="E557" i="58"/>
  <c r="E43" i="58"/>
  <c r="E228" i="58"/>
  <c r="E620" i="58"/>
  <c r="E232" i="58"/>
  <c r="E749" i="58"/>
  <c r="E244" i="58"/>
  <c r="E743" i="58"/>
  <c r="E748" i="58"/>
  <c r="E834" i="58"/>
  <c r="E252" i="58"/>
  <c r="E172" i="58"/>
  <c r="E282" i="58"/>
  <c r="E619" i="58"/>
  <c r="E158" i="58"/>
  <c r="E431" i="58"/>
  <c r="E338" i="58"/>
  <c r="E686" i="58"/>
  <c r="E644" i="58"/>
  <c r="E551" i="58"/>
  <c r="E6" i="58"/>
  <c r="E313" i="58"/>
  <c r="E19" i="58"/>
  <c r="E297" i="58"/>
  <c r="E880" i="58"/>
  <c r="E666" i="58"/>
  <c r="E506" i="58"/>
  <c r="E268" i="58"/>
  <c r="E787" i="58"/>
  <c r="E485" i="58"/>
  <c r="E193" i="58"/>
  <c r="E587" i="58"/>
  <c r="E404" i="58"/>
  <c r="E164" i="58"/>
  <c r="E440" i="58"/>
  <c r="E543" i="58"/>
  <c r="E355" i="58"/>
  <c r="E401" i="58"/>
  <c r="E204" i="58"/>
  <c r="E849" i="58"/>
  <c r="E406" i="58"/>
  <c r="E470" i="58"/>
  <c r="E303" i="58"/>
  <c r="E624" i="58"/>
  <c r="E13" i="58"/>
  <c r="E791" i="58"/>
  <c r="E610" i="58"/>
  <c r="E16" i="58"/>
  <c r="E415" i="58"/>
  <c r="E314" i="58"/>
  <c r="E555" i="58"/>
  <c r="E399" i="58"/>
  <c r="E454" i="58"/>
  <c r="E435" i="58"/>
  <c r="E604" i="58"/>
  <c r="E716" i="58"/>
  <c r="E444" i="58"/>
  <c r="E643" i="58"/>
  <c r="E22" i="58"/>
  <c r="E260" i="58"/>
  <c r="E772" i="58"/>
  <c r="E209" i="58"/>
  <c r="E754" i="58"/>
  <c r="E691" i="58"/>
  <c r="E768" i="58"/>
  <c r="E775" i="58"/>
  <c r="E251" i="58"/>
  <c r="E527" i="58"/>
  <c r="E149" i="58"/>
  <c r="E241" i="58"/>
  <c r="E102" i="58"/>
  <c r="E727" i="58"/>
  <c r="E320" i="58"/>
  <c r="E688" i="58"/>
  <c r="E460" i="58"/>
  <c r="E532" i="58"/>
  <c r="E4" i="58"/>
  <c r="E273" i="58"/>
  <c r="E886" i="58"/>
  <c r="E267" i="58"/>
  <c r="E562" i="58"/>
  <c r="E835" i="58"/>
  <c r="E672" i="58"/>
  <c r="E354" i="58"/>
  <c r="E529" i="58"/>
  <c r="E801" i="58"/>
  <c r="E289" i="58"/>
  <c r="E428" i="58"/>
  <c r="E58" i="58"/>
  <c r="E117" i="58"/>
  <c r="E559" i="58"/>
  <c r="E427" i="58"/>
  <c r="E751" i="58"/>
  <c r="E353" i="58"/>
  <c r="E641" i="58"/>
  <c r="E693" i="58"/>
  <c r="E115" i="58"/>
  <c r="E630" i="58"/>
  <c r="E842" i="58"/>
  <c r="E72" i="58"/>
  <c r="E488" i="58"/>
  <c r="E147" i="58"/>
  <c r="E220" i="58"/>
  <c r="E629" i="58"/>
  <c r="E196" i="58"/>
  <c r="E478" i="58"/>
  <c r="E781" i="58"/>
  <c r="E346" i="58"/>
  <c r="E184" i="58"/>
  <c r="E664" i="58"/>
  <c r="E68" i="58"/>
  <c r="E631" i="58"/>
  <c r="E687" i="58"/>
  <c r="E309" i="58"/>
  <c r="E646" i="58"/>
  <c r="E108" i="58"/>
  <c r="E803" i="58"/>
  <c r="E9" i="58"/>
  <c r="E239" i="58"/>
  <c r="E270" i="58"/>
  <c r="E872" i="58"/>
  <c r="E301" i="58"/>
  <c r="E286" i="58"/>
  <c r="E547" i="58"/>
  <c r="E411" i="58"/>
  <c r="E758" i="58"/>
  <c r="E262" i="58"/>
  <c r="E560" i="58"/>
  <c r="E845" i="58"/>
  <c r="E450" i="58"/>
  <c r="E129" i="58"/>
  <c r="E85" i="58"/>
  <c r="E475" i="58"/>
  <c r="E272" i="58"/>
  <c r="E197" i="58"/>
  <c r="E483" i="58"/>
  <c r="E349" i="58"/>
  <c r="E673" i="58"/>
  <c r="E424" i="58"/>
  <c r="E568" i="58"/>
  <c r="E786" i="58"/>
  <c r="E93" i="58"/>
  <c r="E550" i="58"/>
  <c r="E386" i="58"/>
  <c r="E705" i="58"/>
  <c r="E480" i="58"/>
  <c r="E351" i="58"/>
  <c r="E195" i="58"/>
  <c r="E146" i="58"/>
  <c r="E584" i="58"/>
  <c r="E29" i="58"/>
  <c r="E891" i="58"/>
  <c r="E495" i="58"/>
  <c r="E651" i="58"/>
  <c r="E807" i="58"/>
  <c r="E513" i="58"/>
  <c r="E812" i="58"/>
  <c r="E867" i="58"/>
  <c r="E553" i="58"/>
  <c r="E20" i="58"/>
  <c r="E769" i="58"/>
  <c r="E856" i="58"/>
  <c r="E63" i="58"/>
  <c r="E402" i="58"/>
  <c r="E339" i="58"/>
  <c r="E533" i="58"/>
  <c r="E201" i="58"/>
  <c r="E322" i="58"/>
  <c r="E670" i="58"/>
  <c r="E142" i="58"/>
  <c r="E827" i="58"/>
  <c r="E830" i="58"/>
  <c r="E805" i="58"/>
  <c r="E489" i="58"/>
  <c r="E642" i="58"/>
  <c r="E279" i="58"/>
  <c r="E45" i="58"/>
  <c r="E397" i="58"/>
  <c r="E710" i="58"/>
  <c r="E39" i="58"/>
  <c r="E76" i="58"/>
  <c r="E182" i="58"/>
  <c r="E148" i="58"/>
  <c r="E112" i="58"/>
  <c r="E847" i="58"/>
  <c r="E86" i="58"/>
  <c r="E128" i="58"/>
  <c r="E81" i="58"/>
  <c r="E613" i="58"/>
  <c r="E101" i="58"/>
  <c r="E388" i="58"/>
  <c r="E640" i="58"/>
  <c r="E97" i="58"/>
  <c r="E683" i="58"/>
  <c r="E892" i="58"/>
  <c r="E574" i="58"/>
  <c r="E626" i="58"/>
  <c r="E418" i="58"/>
  <c r="E274" i="58"/>
  <c r="E774" i="58"/>
  <c r="E569" i="58"/>
  <c r="E738" i="58"/>
  <c r="E695" i="58"/>
  <c r="E98" i="58"/>
  <c r="E586" i="58"/>
  <c r="E852" i="58"/>
  <c r="E824" i="58"/>
  <c r="E248" i="58"/>
  <c r="E706" i="58"/>
  <c r="E53" i="58"/>
  <c r="E408" i="58"/>
  <c r="E496" i="58"/>
  <c r="E181" i="58"/>
  <c r="E878" i="58"/>
  <c r="E505" i="58"/>
  <c r="E341" i="58"/>
  <c r="E357" i="58"/>
  <c r="E136" i="58"/>
  <c r="E814" i="58"/>
  <c r="E859" i="58"/>
  <c r="E442" i="58"/>
  <c r="E755" i="58"/>
  <c r="E255" i="58"/>
  <c r="E468" i="58"/>
  <c r="E417" i="58"/>
  <c r="E481" i="58"/>
  <c r="E616" i="58"/>
  <c r="E825" i="58"/>
  <c r="E225" i="58"/>
  <c r="E487" i="58"/>
  <c r="E84" i="58"/>
  <c r="E854" i="58"/>
  <c r="E336" i="58"/>
  <c r="E844" i="58"/>
  <c r="E178" i="58"/>
  <c r="E572" i="58"/>
  <c r="E413" i="58"/>
  <c r="E465" i="58"/>
  <c r="E87" i="58"/>
  <c r="E617" i="58"/>
  <c r="E860" i="58"/>
  <c r="E395" i="58"/>
  <c r="E718" i="58"/>
  <c r="E570" i="58"/>
  <c r="E623" i="58"/>
  <c r="E556" i="58"/>
  <c r="E243" i="58"/>
  <c r="E298" i="58"/>
  <c r="E396" i="58"/>
  <c r="E567" i="58"/>
  <c r="E792" i="58"/>
  <c r="E344" i="58"/>
  <c r="E819" i="58"/>
  <c r="E565" i="58"/>
  <c r="E11" i="58"/>
  <c r="E516" i="58"/>
  <c r="E191" i="58"/>
  <c r="E144" i="58"/>
  <c r="E479" i="58"/>
  <c r="E256" i="58"/>
  <c r="E340" i="58"/>
  <c r="E111" i="58"/>
  <c r="E31" i="58"/>
  <c r="E675" i="58"/>
  <c r="E8" i="58"/>
  <c r="E342" i="58"/>
  <c r="E813" i="58"/>
  <c r="E276" i="58"/>
  <c r="E766" i="58"/>
  <c r="E482" i="58"/>
  <c r="E771" i="58"/>
  <c r="E747" i="58"/>
  <c r="E806" i="58"/>
  <c r="E606" i="58"/>
  <c r="E764" i="58"/>
  <c r="E183" i="58"/>
  <c r="E375" i="58"/>
  <c r="E780" i="58"/>
  <c r="E88" i="58"/>
  <c r="E709" i="58"/>
  <c r="E275" i="58"/>
  <c r="E635" i="58"/>
  <c r="E778" i="58"/>
  <c r="E398" i="58"/>
  <c r="E360" i="58"/>
  <c r="E92" i="58"/>
  <c r="E287" i="58"/>
  <c r="E682" i="58"/>
  <c r="E250" i="58"/>
  <c r="E186" i="58"/>
  <c r="E846" i="58"/>
  <c r="E448" i="58"/>
  <c r="E392" i="58"/>
  <c r="E14" i="58"/>
  <c r="E831" i="58"/>
  <c r="E853" i="58"/>
  <c r="E541" i="58"/>
  <c r="E165" i="58"/>
  <c r="E126" i="58"/>
  <c r="E189" i="58"/>
  <c r="E474" i="58"/>
  <c r="E723" i="58"/>
  <c r="E841" i="58"/>
  <c r="E777" i="58"/>
  <c r="E491" i="58"/>
  <c r="E210" i="58"/>
  <c r="E761" i="58"/>
  <c r="E180" i="58"/>
  <c r="E264" i="58"/>
  <c r="E337" i="58"/>
  <c r="E863" i="58"/>
  <c r="E143" i="58"/>
  <c r="E719" i="58"/>
  <c r="E326" i="58"/>
  <c r="E526" i="58"/>
  <c r="E100" i="58"/>
  <c r="E703" i="58"/>
  <c r="E549" i="58"/>
  <c r="E498" i="58"/>
  <c r="E152" i="58"/>
  <c r="E66" i="58"/>
  <c r="E103" i="58"/>
  <c r="E826" i="58"/>
  <c r="E515" i="58"/>
  <c r="E615" i="58"/>
  <c r="E625" i="58"/>
  <c r="E75" i="58"/>
  <c r="E588" i="58"/>
  <c r="E246" i="58"/>
  <c r="E377" i="58"/>
  <c r="E864" i="58"/>
  <c r="E621" i="58"/>
  <c r="E632" i="58"/>
  <c r="E713" i="58"/>
  <c r="E882" i="58"/>
  <c r="E653" i="58"/>
  <c r="E57" i="58"/>
  <c r="E369" i="58"/>
  <c r="E525" i="58"/>
  <c r="E318" i="58"/>
  <c r="E295" i="58"/>
  <c r="E627" i="58"/>
  <c r="E109" i="58"/>
  <c r="E138" i="58"/>
  <c r="E802" i="58"/>
  <c r="E492" i="58"/>
  <c r="E363" i="58"/>
  <c r="E798" i="58"/>
  <c r="E41" i="58"/>
  <c r="E215" i="58"/>
  <c r="E27" i="58"/>
  <c r="E414" i="58"/>
  <c r="E636" i="58"/>
  <c r="E65" i="58"/>
  <c r="E477" i="58"/>
  <c r="E187" i="58"/>
  <c r="E132" i="58"/>
  <c r="E548" i="58"/>
  <c r="E858" i="58"/>
  <c r="E265" i="58"/>
  <c r="E712" i="58"/>
  <c r="E634" i="58"/>
  <c r="E203" i="58"/>
  <c r="E416" i="58"/>
  <c r="E563" i="58"/>
  <c r="E368" i="58"/>
  <c r="E35" i="58"/>
  <c r="E707" i="58"/>
  <c r="E131" i="58"/>
  <c r="E848" i="58"/>
  <c r="E890" i="58"/>
  <c r="E659" i="58"/>
  <c r="E524" i="58"/>
  <c r="E840" i="58"/>
  <c r="E125" i="58"/>
  <c r="E770" i="58"/>
  <c r="E816" i="58"/>
  <c r="E135" i="58"/>
  <c r="E38" i="58"/>
  <c r="E502" i="58"/>
  <c r="E552" i="58"/>
  <c r="E476" i="58"/>
  <c r="E700" i="58"/>
  <c r="E451" i="58"/>
  <c r="E692" i="58"/>
  <c r="E776" i="58"/>
  <c r="E348" i="58"/>
  <c r="E269" i="58"/>
  <c r="E233" i="58"/>
  <c r="E123" i="58"/>
  <c r="E221" i="58"/>
  <c r="E540" i="58"/>
  <c r="E779" i="58"/>
  <c r="E708" i="58"/>
  <c r="E486" i="58"/>
  <c r="E564" i="58"/>
  <c r="E104" i="58"/>
  <c r="E54" i="58"/>
  <c r="E253" i="58"/>
  <c r="E773" i="58"/>
  <c r="E484" i="58"/>
  <c r="E28" i="58"/>
  <c r="E603" i="58"/>
  <c r="E881" i="58"/>
  <c r="E628" i="58"/>
  <c r="E356" i="58"/>
  <c r="E166" i="58"/>
  <c r="E490" i="58"/>
  <c r="E305" i="58"/>
  <c r="E116" i="58"/>
  <c r="E899" i="58"/>
  <c r="E696" i="58"/>
  <c r="E818" i="58"/>
  <c r="E763" i="58"/>
  <c r="E82" i="58"/>
  <c r="E74" i="58"/>
  <c r="E698" i="58"/>
  <c r="E140" i="58"/>
  <c r="E785" i="58"/>
  <c r="E499" i="58"/>
  <c r="E137" i="58"/>
  <c r="E80" i="58"/>
  <c r="E216" i="58"/>
  <c r="E218" i="58"/>
  <c r="E542" i="58"/>
  <c r="E895" i="58"/>
  <c r="E121" i="58"/>
  <c r="E7" i="58"/>
  <c r="E412" i="58"/>
  <c r="E371" i="58"/>
  <c r="E657" i="58"/>
  <c r="E697" i="58"/>
  <c r="E294" i="58"/>
  <c r="E383" i="58"/>
  <c r="E701" i="58"/>
  <c r="E332" i="58"/>
  <c r="E425" i="58"/>
  <c r="E150" i="58"/>
  <c r="E78" i="58"/>
  <c r="E10" i="58"/>
  <c r="E290" i="58"/>
  <c r="E154" i="58"/>
  <c r="E261" i="58"/>
  <c r="E59" i="58"/>
  <c r="E389" i="58"/>
  <c r="E71" i="58"/>
  <c r="E160" i="58"/>
  <c r="E409" i="58"/>
  <c r="E430" i="58"/>
  <c r="E519" i="58"/>
  <c r="E175" i="58"/>
  <c r="E469" i="58"/>
  <c r="E238" i="58"/>
  <c r="E222" i="58"/>
  <c r="E735" i="58"/>
  <c r="E37" i="58"/>
  <c r="E637" i="58"/>
  <c r="E94" i="58"/>
  <c r="E259" i="58"/>
  <c r="E614" i="58"/>
  <c r="E546" i="58"/>
  <c r="E554" i="58"/>
  <c r="E471" i="58"/>
  <c r="E704" i="58"/>
  <c r="E497" i="58"/>
  <c r="E419" i="58"/>
</calcChain>
</file>

<file path=xl/sharedStrings.xml><?xml version="1.0" encoding="utf-8"?>
<sst xmlns="http://schemas.openxmlformats.org/spreadsheetml/2006/main" count="6008" uniqueCount="58">
  <si>
    <t>USD</t>
  </si>
  <si>
    <t>C</t>
  </si>
  <si>
    <t>P</t>
  </si>
  <si>
    <t>Reference</t>
  </si>
  <si>
    <t>Name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</si>
  <si>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</si>
  <si>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</si>
  <si>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</si>
  <si>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</si>
  <si>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</si>
  <si>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</si>
  <si>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</si>
  <si>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</si>
  <si>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</si>
  <si>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</si>
  <si>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</si>
  <si>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</si>
  <si>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</si>
  <si>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</si>
  <si>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</si>
  <si>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</si>
  <si>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</si>
  <si>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</si>
  <si>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</si>
  <si>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</si>
  <si>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</si>
  <si>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</si>
  <si>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</si>
  <si>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</si>
  <si>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</si>
  <si>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RIC</t>
  </si>
  <si>
    <t>Interest_Rate</t>
  </si>
  <si>
    <t>RIC_Row_Ref</t>
  </si>
  <si>
    <t>ESZ25</t>
  </si>
  <si>
    <t>1EW6400V25</t>
  </si>
  <si>
    <t>1EW6425J25</t>
  </si>
  <si>
    <t>1EW6425V25</t>
  </si>
  <si>
    <t>1EW7150V25</t>
  </si>
  <si>
    <t>1EW7175J25</t>
  </si>
  <si>
    <t>1EW7175V25</t>
  </si>
  <si>
    <t>START PROCESS</t>
  </si>
  <si>
    <t>Option Data Quality Report</t>
  </si>
  <si>
    <t>Summary Statistics</t>
  </si>
  <si>
    <t>Total RICs:</t>
  </si>
  <si>
    <t>Processed:</t>
  </si>
  <si>
    <t>Successful:</t>
  </si>
  <si>
    <t>Errors:</t>
  </si>
  <si>
    <t>Success Rate:</t>
  </si>
  <si>
    <t>ESZ25 P 7150</t>
  </si>
  <si>
    <t>CME S&amp;P 500 Mini Listed EOM P 7150 Oct-2025</t>
  </si>
  <si>
    <t>ESZ25 C 7175</t>
  </si>
  <si>
    <t>CME S&amp;P 500 Mini Listed EOM C 7175 Oct-2025</t>
  </si>
  <si>
    <t>ESZ25 P 7175</t>
  </si>
  <si>
    <t>CME S&amp;P 500 Mini Listed EOM P 7175 Oct-2025</t>
  </si>
  <si>
    <t>Generated: 17/10/2025 22:22:47</t>
  </si>
  <si>
    <t>Root RIC: 1EW</t>
  </si>
  <si>
    <t>Start Date</t>
  </si>
  <si>
    <t>End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</si>
</sst>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"/>
    <numFmt numFmtId="165" formatCode="0.0000"/>
    <numFmt numFmtId="166" formatCode="_(* #,##0.00_);_(* \(#,##0.00\);_(* &quot;-&quot;??_);_(@_)"/>
    <numFmt numFmtId="168" formatCode="d/m/yyyy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</borders>
  <cellStyleXfs count="2">
    <xf numFmtId="0" fontId="0" fillId="0" borderId="0"/>
    <xf numFmtId="166" fontId="1" fillId="0" borderId="0" applyFont="0" applyFill="0" applyBorder="0" applyAlignment="0" applyProtection="0"/>
  </cellStyleXfs>
  <cellXfs count="23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2" fillId="3" borderId="0" xfId="0" applyFont="1" applyFill="1"/>
    <xf numFmtId="0" fontId="2" fillId="3" borderId="0" xfId="0" applyFont="1" applyFill="1" applyAlignment="1">
      <alignment wrapText="1"/>
    </xf>
    <xf numFmtId="165" fontId="2" fillId="3" borderId="0" xfId="0" applyNumberFormat="1" applyFont="1" applyFill="1" applyAlignment="1">
      <alignment wrapText="1"/>
    </xf>
    <xf numFmtId="165" fontId="0" fillId="0" borderId="0" xfId="0" applyNumberFormat="1"/>
    <xf numFmtId="164" fontId="2" fillId="2" borderId="0" xfId="0" applyNumberFormat="1" applyFont="1" applyFill="1"/>
    <xf numFmtId="3" fontId="2" fillId="2" borderId="0" xfId="0" applyNumberFormat="1" applyFont="1" applyFill="1"/>
    <xf numFmtId="0" fontId="0" fillId="4" borderId="0" xfId="0" applyFill="1"/>
    <xf numFmtId="0" fontId="0" fillId="4" borderId="0" xfId="0" quotePrefix="1" applyFill="1" applyAlignment="1">
      <alignment horizontal="right"/>
    </xf>
    <xf numFmtId="0" fontId="4" fillId="0" borderId="0" xfId="0" applyFont="1"/>
    <xf numFmtId="0" fontId="5" fillId="0" borderId="0" xfId="0" applyFont="1"/>
    <xf numFmtId="168" fontId="2" fillId="3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0" fontId="0" fillId="0" borderId="1" xfId="0" applyBorder="1"/>
    <xf numFmtId="164" fontId="0" fillId="0" borderId="1" xfId="0" applyNumberFormat="1" applyBorder="1"/>
    <xf numFmtId="3" fontId="0" fillId="0" borderId="1" xfId="0" applyNumberFormat="1" applyBorder="1"/>
  </cellXfs>
  <cellStyles count="2">
    <cellStyle name="Comma 2" xfId="1" xr:uid="{092BF0E6-F61F-4FF2-8657-2F76BC0BE087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 t="s">
        <v>Not Signed In</v>
        <stp/>
        <stp>338</stp>
        <stp>499032625</stp>
        <tr r="A602" s="58"/>
      </tp>
    </main>
    <main first="refinitivshim.rtdserver.rhistory">
      <tp t="s">
        <v>Not Signed In</v>
        <stp/>
        <stp>339</stp>
        <stp>499032625</stp>
        <tr r="A2" s="58"/>
      </tp>
    </main>
    <main first="refinitivshim.rtdserver.rhistory">
      <tp t="s">
        <v>Not Signed In</v>
        <stp/>
        <stp>340</stp>
        <stp>499032625</stp>
        <tr r="A302" s="5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2</xdr:row>
          <xdr:rowOff>47625</xdr:rowOff>
        </xdr:from>
        <xdr:to>
          <xdr:col>7</xdr:col>
          <xdr:colOff>19050</xdr:colOff>
          <xdr:row>5</xdr:row>
          <xdr:rowOff>47625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99C321A7-0866-45BE-8357-564F8DD60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FF0000"/>
  </sheetPr>
  <dimension ref="A1:Q838"/>
  <sheetViews>
    <sheetView showGridLines="0" tabSelected="1" workbookViewId="0">
      <selection activeCell="C3" sqref="C3"/>
    </sheetView>
  </sheetViews>
  <sheetFormatPr defaultRowHeight="14.4" x14ac:dyDescent="0.3"/>
  <cols>
    <col min="1" max="1" width="11.88671875" bestFit="1" customWidth="1"/>
    <col min="2" max="2" width="11.88671875" style="5" customWidth="1"/>
    <col min="3" max="3" width="11.88671875" style="4" customWidth="1"/>
  </cols>
  <sheetData>
    <row r="1" spans="1:17" x14ac:dyDescent="0.3">
      <c r="A1" s="3" t="s">
        <v>30</v>
      </c>
      <c r="B1" s="11" t="s">
        <v>56</v>
      </c>
      <c r="C1" s="12" t="s">
        <v>57</v>
      </c>
      <c r="E1" s="15" t="s">
        <v>40</v>
      </c>
    </row>
    <row r="2" spans="1:17" x14ac:dyDescent="0.3">
      <c r="A2" s="20" t="s">
        <v>34</v>
      </c>
      <c r="B2" s="21">
        <v>45961</v>
      </c>
      <c r="C2" s="22">
        <v>6400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x14ac:dyDescent="0.3">
      <c r="A3" s="20" t="s">
        <v>35</v>
      </c>
      <c r="B3" s="21">
        <v>45961</v>
      </c>
      <c r="C3" s="22">
        <v>6425</v>
      </c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</row>
    <row r="4" spans="1:17" x14ac:dyDescent="0.3">
      <c r="A4" s="20" t="s">
        <v>36</v>
      </c>
      <c r="B4" s="21">
        <v>45961</v>
      </c>
      <c r="C4" s="22">
        <v>6425</v>
      </c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</row>
    <row r="5" spans="1:17" x14ac:dyDescent="0.3">
      <c r="A5" s="20"/>
      <c r="B5" s="21"/>
      <c r="C5" s="22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</row>
    <row r="6" spans="1:17" x14ac:dyDescent="0.3">
      <c r="A6" s="20"/>
      <c r="B6" s="21"/>
      <c r="C6" s="22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</row>
    <row r="7" spans="1:17" x14ac:dyDescent="0.3">
      <c r="A7" s="20"/>
      <c r="B7" s="21"/>
      <c r="C7" s="22"/>
      <c r="E7" s="13"/>
      <c r="F7" s="13"/>
      <c r="G7" s="13"/>
      <c r="H7" s="13"/>
      <c r="I7" s="14"/>
      <c r="J7" s="13"/>
      <c r="K7" s="13"/>
      <c r="L7" s="13"/>
      <c r="M7" s="13"/>
      <c r="N7" s="13"/>
      <c r="O7" s="13"/>
      <c r="P7" s="13"/>
      <c r="Q7" s="13"/>
    </row>
    <row r="8" spans="1:17" x14ac:dyDescent="0.3">
      <c r="A8" s="20"/>
      <c r="B8" s="21"/>
      <c r="C8" s="22"/>
      <c r="E8" s="13"/>
      <c r="F8" s="13"/>
      <c r="G8" s="13"/>
      <c r="H8" s="13"/>
      <c r="I8" s="14"/>
      <c r="J8" s="13"/>
      <c r="K8" s="13"/>
      <c r="L8" s="13"/>
      <c r="M8" s="14"/>
      <c r="N8" s="13"/>
      <c r="O8" s="13"/>
      <c r="P8" s="13"/>
      <c r="Q8" s="13"/>
    </row>
    <row r="9" spans="1:17" x14ac:dyDescent="0.3">
      <c r="A9" s="20"/>
      <c r="B9" s="21"/>
      <c r="C9" s="22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</row>
    <row r="10" spans="1:17" x14ac:dyDescent="0.3">
      <c r="A10" s="20"/>
      <c r="B10" s="21"/>
      <c r="C10" s="22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</row>
    <row r="11" spans="1:17" x14ac:dyDescent="0.3">
      <c r="A11" s="20"/>
      <c r="B11" s="21"/>
      <c r="C11" s="22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</row>
    <row r="12" spans="1:17" x14ac:dyDescent="0.3">
      <c r="A12" s="20"/>
      <c r="B12" s="21"/>
      <c r="C12" s="2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</row>
    <row r="13" spans="1:17" x14ac:dyDescent="0.3">
      <c r="A13" s="20"/>
      <c r="B13" s="21"/>
      <c r="C13" s="2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x14ac:dyDescent="0.3">
      <c r="A14" s="20"/>
      <c r="B14" s="21"/>
      <c r="C14" s="22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</row>
    <row r="15" spans="1:17" x14ac:dyDescent="0.3">
      <c r="A15" s="20"/>
      <c r="B15" s="21"/>
      <c r="C15" s="22"/>
    </row>
    <row r="16" spans="1:17" x14ac:dyDescent="0.3">
      <c r="A16" s="20"/>
      <c r="B16" s="21"/>
      <c r="C16" s="22"/>
    </row>
    <row r="17" spans="1:3" x14ac:dyDescent="0.3">
      <c r="A17" s="20"/>
      <c r="B17" s="21"/>
      <c r="C17" s="22"/>
    </row>
    <row r="18" spans="1:3" x14ac:dyDescent="0.3">
      <c r="A18" s="20"/>
      <c r="B18" s="21"/>
      <c r="C18" s="22"/>
    </row>
    <row r="19" spans="1:3" x14ac:dyDescent="0.3">
      <c r="A19" s="20"/>
      <c r="B19" s="21"/>
      <c r="C19" s="22"/>
    </row>
    <row r="20" spans="1:3" x14ac:dyDescent="0.3">
      <c r="A20" s="20"/>
      <c r="B20" s="21"/>
      <c r="C20" s="22"/>
    </row>
    <row r="21" spans="1:3" x14ac:dyDescent="0.3">
      <c r="A21" s="20"/>
      <c r="B21" s="21"/>
      <c r="C21" s="22"/>
    </row>
    <row r="22" spans="1:3" x14ac:dyDescent="0.3">
      <c r="A22" s="20"/>
      <c r="B22" s="21"/>
      <c r="C22" s="22"/>
    </row>
    <row r="23" spans="1:3" x14ac:dyDescent="0.3">
      <c r="A23" s="20"/>
      <c r="B23" s="21"/>
      <c r="C23" s="22"/>
    </row>
    <row r="24" spans="1:3" x14ac:dyDescent="0.3">
      <c r="A24" s="20"/>
      <c r="B24" s="21"/>
      <c r="C24" s="22"/>
    </row>
    <row r="25" spans="1:3" x14ac:dyDescent="0.3">
      <c r="A25" s="20"/>
      <c r="B25" s="21"/>
      <c r="C25" s="22"/>
    </row>
    <row r="26" spans="1:3" x14ac:dyDescent="0.3">
      <c r="A26" s="20"/>
      <c r="B26" s="21"/>
      <c r="C26" s="22"/>
    </row>
    <row r="27" spans="1:3" x14ac:dyDescent="0.3">
      <c r="A27" s="20"/>
      <c r="B27" s="21"/>
      <c r="C27" s="22"/>
    </row>
    <row r="28" spans="1:3" x14ac:dyDescent="0.3">
      <c r="A28" s="20"/>
      <c r="B28" s="21"/>
      <c r="C28" s="22"/>
    </row>
    <row r="29" spans="1:3" x14ac:dyDescent="0.3">
      <c r="A29" s="20"/>
      <c r="B29" s="21"/>
      <c r="C29" s="22"/>
    </row>
    <row r="30" spans="1:3" x14ac:dyDescent="0.3">
      <c r="A30" s="20"/>
      <c r="B30" s="21"/>
      <c r="C30" s="22"/>
    </row>
    <row r="31" spans="1:3" x14ac:dyDescent="0.3">
      <c r="A31" s="20"/>
      <c r="B31" s="21"/>
      <c r="C31" s="22"/>
    </row>
    <row r="32" spans="1:3" x14ac:dyDescent="0.3">
      <c r="A32" s="20"/>
      <c r="B32" s="21"/>
      <c r="C32" s="22"/>
    </row>
    <row r="33" spans="1:3" x14ac:dyDescent="0.3">
      <c r="A33" s="20"/>
      <c r="B33" s="21"/>
      <c r="C33" s="22"/>
    </row>
    <row r="34" spans="1:3" x14ac:dyDescent="0.3">
      <c r="A34" s="20"/>
      <c r="B34" s="21"/>
      <c r="C34" s="22"/>
    </row>
    <row r="35" spans="1:3" x14ac:dyDescent="0.3">
      <c r="A35" s="20"/>
      <c r="B35" s="21"/>
      <c r="C35" s="22"/>
    </row>
    <row r="36" spans="1:3" x14ac:dyDescent="0.3">
      <c r="A36" s="20"/>
      <c r="B36" s="21"/>
      <c r="C36" s="22"/>
    </row>
    <row r="37" spans="1:3" x14ac:dyDescent="0.3">
      <c r="A37" s="20"/>
      <c r="B37" s="21"/>
      <c r="C37" s="22"/>
    </row>
    <row r="38" spans="1:3" x14ac:dyDescent="0.3">
      <c r="A38" s="20"/>
      <c r="B38" s="21"/>
      <c r="C38" s="22"/>
    </row>
    <row r="39" spans="1:3" x14ac:dyDescent="0.3">
      <c r="A39" s="20"/>
      <c r="B39" s="21"/>
      <c r="C39" s="22"/>
    </row>
    <row r="40" spans="1:3" x14ac:dyDescent="0.3">
      <c r="A40" s="20"/>
      <c r="B40" s="21"/>
      <c r="C40" s="22"/>
    </row>
    <row r="41" spans="1:3" x14ac:dyDescent="0.3">
      <c r="A41" s="20"/>
      <c r="B41" s="21"/>
      <c r="C41" s="22"/>
    </row>
    <row r="42" spans="1:3" x14ac:dyDescent="0.3">
      <c r="A42" s="20"/>
      <c r="B42" s="21"/>
      <c r="C42" s="22"/>
    </row>
    <row r="43" spans="1:3" x14ac:dyDescent="0.3">
      <c r="A43" s="20"/>
      <c r="B43" s="21"/>
      <c r="C43" s="22"/>
    </row>
    <row r="44" spans="1:3" x14ac:dyDescent="0.3">
      <c r="A44" s="20"/>
      <c r="B44" s="21"/>
      <c r="C44" s="22"/>
    </row>
    <row r="45" spans="1:3" x14ac:dyDescent="0.3">
      <c r="A45" s="20"/>
      <c r="B45" s="21"/>
      <c r="C45" s="22"/>
    </row>
    <row r="46" spans="1:3" x14ac:dyDescent="0.3">
      <c r="A46" s="20"/>
      <c r="B46" s="21"/>
      <c r="C46" s="22"/>
    </row>
    <row r="47" spans="1:3" x14ac:dyDescent="0.3">
      <c r="A47" s="20"/>
      <c r="B47" s="21"/>
      <c r="C47" s="22"/>
    </row>
    <row r="48" spans="1:3" x14ac:dyDescent="0.3">
      <c r="A48" s="20"/>
      <c r="B48" s="21"/>
      <c r="C48" s="22"/>
    </row>
    <row r="49" spans="1:3" x14ac:dyDescent="0.3">
      <c r="A49" s="20"/>
      <c r="B49" s="21"/>
      <c r="C49" s="22"/>
    </row>
    <row r="50" spans="1:3" x14ac:dyDescent="0.3">
      <c r="A50" s="20"/>
      <c r="B50" s="21"/>
      <c r="C50" s="22"/>
    </row>
    <row r="51" spans="1:3" x14ac:dyDescent="0.3">
      <c r="A51" s="20"/>
      <c r="B51" s="21"/>
      <c r="C51" s="22"/>
    </row>
    <row r="52" spans="1:3" x14ac:dyDescent="0.3">
      <c r="A52" s="20"/>
      <c r="B52" s="21"/>
      <c r="C52" s="22"/>
    </row>
    <row r="53" spans="1:3" x14ac:dyDescent="0.3">
      <c r="A53" s="20"/>
      <c r="B53" s="21"/>
      <c r="C53" s="22"/>
    </row>
    <row r="54" spans="1:3" x14ac:dyDescent="0.3">
      <c r="A54" s="20"/>
      <c r="B54" s="21"/>
      <c r="C54" s="22"/>
    </row>
    <row r="55" spans="1:3" x14ac:dyDescent="0.3">
      <c r="A55" s="20"/>
      <c r="B55" s="21"/>
      <c r="C55" s="22"/>
    </row>
    <row r="56" spans="1:3" x14ac:dyDescent="0.3">
      <c r="A56" s="20"/>
      <c r="B56" s="21"/>
      <c r="C56" s="22"/>
    </row>
    <row r="57" spans="1:3" x14ac:dyDescent="0.3">
      <c r="A57" s="20"/>
      <c r="B57" s="21"/>
      <c r="C57" s="22"/>
    </row>
    <row r="58" spans="1:3" x14ac:dyDescent="0.3">
      <c r="A58" s="20"/>
      <c r="B58" s="21"/>
      <c r="C58" s="22"/>
    </row>
    <row r="59" spans="1:3" x14ac:dyDescent="0.3">
      <c r="A59" s="20"/>
      <c r="B59" s="21"/>
      <c r="C59" s="22"/>
    </row>
    <row r="60" spans="1:3" x14ac:dyDescent="0.3">
      <c r="A60" s="20"/>
      <c r="B60" s="21"/>
      <c r="C60" s="22"/>
    </row>
    <row r="61" spans="1:3" x14ac:dyDescent="0.3">
      <c r="A61" s="20"/>
      <c r="B61" s="21"/>
      <c r="C61" s="22"/>
    </row>
    <row r="62" spans="1:3" x14ac:dyDescent="0.3">
      <c r="A62" s="20"/>
      <c r="B62" s="21"/>
      <c r="C62" s="22"/>
    </row>
    <row r="63" spans="1:3" x14ac:dyDescent="0.3">
      <c r="A63" s="20"/>
      <c r="B63" s="21"/>
      <c r="C63" s="22"/>
    </row>
    <row r="64" spans="1:3" x14ac:dyDescent="0.3">
      <c r="A64" s="20"/>
      <c r="B64" s="21"/>
      <c r="C64" s="22"/>
    </row>
    <row r="65" spans="1:3" x14ac:dyDescent="0.3">
      <c r="A65" s="20"/>
      <c r="B65" s="21"/>
      <c r="C65" s="22"/>
    </row>
    <row r="66" spans="1:3" x14ac:dyDescent="0.3">
      <c r="A66" s="20"/>
      <c r="B66" s="21"/>
      <c r="C66" s="22"/>
    </row>
    <row r="67" spans="1:3" x14ac:dyDescent="0.3">
      <c r="A67" s="20"/>
      <c r="B67" s="21"/>
      <c r="C67" s="22"/>
    </row>
    <row r="68" spans="1:3" x14ac:dyDescent="0.3">
      <c r="A68" s="20"/>
      <c r="B68" s="21"/>
      <c r="C68" s="22"/>
    </row>
    <row r="69" spans="1:3" x14ac:dyDescent="0.3">
      <c r="A69" s="20"/>
      <c r="B69" s="21"/>
      <c r="C69" s="22"/>
    </row>
    <row r="70" spans="1:3" x14ac:dyDescent="0.3">
      <c r="A70" s="20"/>
      <c r="B70" s="21"/>
      <c r="C70" s="22"/>
    </row>
    <row r="71" spans="1:3" x14ac:dyDescent="0.3">
      <c r="A71" s="20"/>
      <c r="B71" s="21"/>
      <c r="C71" s="22"/>
    </row>
    <row r="72" spans="1:3" x14ac:dyDescent="0.3">
      <c r="A72" s="20"/>
      <c r="B72" s="21"/>
      <c r="C72" s="22"/>
    </row>
    <row r="73" spans="1:3" x14ac:dyDescent="0.3">
      <c r="A73" s="20"/>
      <c r="B73" s="21"/>
      <c r="C73" s="22"/>
    </row>
    <row r="74" spans="1:3" x14ac:dyDescent="0.3">
      <c r="A74" s="20"/>
      <c r="B74" s="21"/>
      <c r="C74" s="22"/>
    </row>
    <row r="75" spans="1:3" x14ac:dyDescent="0.3">
      <c r="A75" s="20"/>
      <c r="B75" s="21"/>
      <c r="C75" s="22"/>
    </row>
    <row r="76" spans="1:3" x14ac:dyDescent="0.3">
      <c r="A76" s="20"/>
      <c r="B76" s="21"/>
      <c r="C76" s="22"/>
    </row>
    <row r="77" spans="1:3" x14ac:dyDescent="0.3">
      <c r="A77" s="20"/>
      <c r="B77" s="21"/>
      <c r="C77" s="22"/>
    </row>
    <row r="78" spans="1:3" x14ac:dyDescent="0.3">
      <c r="A78" s="20"/>
      <c r="B78" s="21"/>
      <c r="C78" s="22"/>
    </row>
    <row r="79" spans="1:3" x14ac:dyDescent="0.3">
      <c r="A79" s="20"/>
      <c r="B79" s="21"/>
      <c r="C79" s="22"/>
    </row>
    <row r="80" spans="1:3" x14ac:dyDescent="0.3">
      <c r="A80" s="20"/>
      <c r="B80" s="21"/>
      <c r="C80" s="22"/>
    </row>
    <row r="81" spans="1:3" x14ac:dyDescent="0.3">
      <c r="A81" s="20"/>
      <c r="B81" s="21"/>
      <c r="C81" s="22"/>
    </row>
    <row r="82" spans="1:3" x14ac:dyDescent="0.3">
      <c r="A82" s="20"/>
      <c r="B82" s="21"/>
      <c r="C82" s="22"/>
    </row>
    <row r="83" spans="1:3" x14ac:dyDescent="0.3">
      <c r="A83" s="20"/>
      <c r="B83" s="21"/>
      <c r="C83" s="22"/>
    </row>
    <row r="84" spans="1:3" x14ac:dyDescent="0.3">
      <c r="A84" s="20"/>
      <c r="B84" s="21"/>
      <c r="C84" s="22"/>
    </row>
    <row r="85" spans="1:3" x14ac:dyDescent="0.3">
      <c r="A85" s="20"/>
      <c r="B85" s="21"/>
      <c r="C85" s="22"/>
    </row>
    <row r="86" spans="1:3" x14ac:dyDescent="0.3">
      <c r="A86" s="20"/>
      <c r="B86" s="21"/>
      <c r="C86" s="22"/>
    </row>
    <row r="87" spans="1:3" x14ac:dyDescent="0.3">
      <c r="A87" s="20"/>
      <c r="B87" s="21"/>
      <c r="C87" s="22"/>
    </row>
    <row r="88" spans="1:3" x14ac:dyDescent="0.3">
      <c r="A88" s="20"/>
      <c r="B88" s="21"/>
      <c r="C88" s="22"/>
    </row>
    <row r="89" spans="1:3" x14ac:dyDescent="0.3">
      <c r="A89" s="20"/>
      <c r="B89" s="21"/>
      <c r="C89" s="22"/>
    </row>
    <row r="90" spans="1:3" x14ac:dyDescent="0.3">
      <c r="A90" s="20"/>
      <c r="B90" s="21"/>
      <c r="C90" s="22"/>
    </row>
    <row r="91" spans="1:3" x14ac:dyDescent="0.3">
      <c r="A91" s="20"/>
      <c r="B91" s="21"/>
      <c r="C91" s="22"/>
    </row>
    <row r="92" spans="1:3" x14ac:dyDescent="0.3">
      <c r="A92" s="20"/>
      <c r="B92" s="21"/>
      <c r="C92" s="22"/>
    </row>
    <row r="93" spans="1:3" x14ac:dyDescent="0.3">
      <c r="A93" s="20"/>
      <c r="B93" s="21"/>
      <c r="C93" s="22"/>
    </row>
    <row r="94" spans="1:3" x14ac:dyDescent="0.3">
      <c r="A94" s="20"/>
      <c r="B94" s="21"/>
      <c r="C94" s="22"/>
    </row>
    <row r="95" spans="1:3" x14ac:dyDescent="0.3">
      <c r="A95" s="20"/>
      <c r="B95" s="21"/>
      <c r="C95" s="22"/>
    </row>
    <row r="96" spans="1:3" x14ac:dyDescent="0.3">
      <c r="A96" s="20"/>
      <c r="B96" s="21"/>
      <c r="C96" s="22"/>
    </row>
    <row r="97" spans="1:3" x14ac:dyDescent="0.3">
      <c r="A97" s="20"/>
      <c r="B97" s="21"/>
      <c r="C97" s="22"/>
    </row>
    <row r="98" spans="1:3" x14ac:dyDescent="0.3">
      <c r="A98" s="20"/>
      <c r="B98" s="21"/>
      <c r="C98" s="22"/>
    </row>
    <row r="99" spans="1:3" x14ac:dyDescent="0.3">
      <c r="A99" s="20"/>
      <c r="B99" s="21"/>
      <c r="C99" s="22"/>
    </row>
    <row r="100" spans="1:3" x14ac:dyDescent="0.3">
      <c r="A100" s="20"/>
      <c r="B100" s="21"/>
      <c r="C100" s="22"/>
    </row>
    <row r="101" spans="1:3" x14ac:dyDescent="0.3">
      <c r="A101" s="20"/>
      <c r="B101" s="21"/>
      <c r="C101" s="22"/>
    </row>
    <row r="102" spans="1:3" x14ac:dyDescent="0.3">
      <c r="A102" s="20"/>
      <c r="B102" s="21"/>
      <c r="C102" s="22"/>
    </row>
    <row r="103" spans="1:3" x14ac:dyDescent="0.3">
      <c r="A103" s="20"/>
      <c r="B103" s="21"/>
      <c r="C103" s="22"/>
    </row>
    <row r="104" spans="1:3" x14ac:dyDescent="0.3">
      <c r="A104" s="20"/>
      <c r="B104" s="21"/>
      <c r="C104" s="22"/>
    </row>
    <row r="105" spans="1:3" x14ac:dyDescent="0.3">
      <c r="A105" s="20"/>
      <c r="B105" s="21"/>
      <c r="C105" s="22"/>
    </row>
    <row r="106" spans="1:3" x14ac:dyDescent="0.3">
      <c r="A106" s="20"/>
      <c r="B106" s="21"/>
      <c r="C106" s="22"/>
    </row>
    <row r="107" spans="1:3" x14ac:dyDescent="0.3">
      <c r="A107" s="20"/>
      <c r="B107" s="21"/>
      <c r="C107" s="22"/>
    </row>
    <row r="108" spans="1:3" x14ac:dyDescent="0.3">
      <c r="A108" s="20"/>
      <c r="B108" s="21"/>
      <c r="C108" s="22"/>
    </row>
    <row r="109" spans="1:3" x14ac:dyDescent="0.3">
      <c r="A109" s="20"/>
      <c r="B109" s="21"/>
      <c r="C109" s="22"/>
    </row>
    <row r="110" spans="1:3" x14ac:dyDescent="0.3">
      <c r="A110" s="20"/>
      <c r="B110" s="21"/>
      <c r="C110" s="22"/>
    </row>
    <row r="111" spans="1:3" x14ac:dyDescent="0.3">
      <c r="A111" s="20"/>
      <c r="B111" s="21"/>
      <c r="C111" s="22"/>
    </row>
    <row r="112" spans="1:3" x14ac:dyDescent="0.3">
      <c r="A112" s="20"/>
      <c r="B112" s="21"/>
      <c r="C112" s="22"/>
    </row>
    <row r="113" spans="1:3" x14ac:dyDescent="0.3">
      <c r="A113" s="20"/>
      <c r="B113" s="21"/>
      <c r="C113" s="22"/>
    </row>
    <row r="114" spans="1:3" x14ac:dyDescent="0.3">
      <c r="A114" s="20"/>
      <c r="B114" s="21"/>
      <c r="C114" s="22"/>
    </row>
    <row r="115" spans="1:3" x14ac:dyDescent="0.3">
      <c r="A115" s="20"/>
      <c r="B115" s="21"/>
      <c r="C115" s="22"/>
    </row>
    <row r="116" spans="1:3" x14ac:dyDescent="0.3">
      <c r="A116" s="20"/>
      <c r="B116" s="21"/>
      <c r="C116" s="22"/>
    </row>
    <row r="117" spans="1:3" x14ac:dyDescent="0.3">
      <c r="A117" s="20"/>
      <c r="B117" s="21"/>
      <c r="C117" s="22"/>
    </row>
    <row r="118" spans="1:3" x14ac:dyDescent="0.3">
      <c r="A118" s="20"/>
      <c r="B118" s="21"/>
      <c r="C118" s="22"/>
    </row>
    <row r="119" spans="1:3" x14ac:dyDescent="0.3">
      <c r="A119" s="20"/>
      <c r="B119" s="21"/>
      <c r="C119" s="22"/>
    </row>
    <row r="120" spans="1:3" x14ac:dyDescent="0.3">
      <c r="A120" s="20"/>
      <c r="B120" s="21"/>
      <c r="C120" s="22"/>
    </row>
    <row r="121" spans="1:3" x14ac:dyDescent="0.3">
      <c r="A121" s="20"/>
      <c r="B121" s="21"/>
      <c r="C121" s="22"/>
    </row>
    <row r="122" spans="1:3" x14ac:dyDescent="0.3">
      <c r="A122" s="20"/>
      <c r="B122" s="21"/>
      <c r="C122" s="22"/>
    </row>
    <row r="123" spans="1:3" x14ac:dyDescent="0.3">
      <c r="A123" s="20"/>
      <c r="B123" s="21"/>
      <c r="C123" s="22"/>
    </row>
    <row r="124" spans="1:3" x14ac:dyDescent="0.3">
      <c r="A124" s="20"/>
      <c r="B124" s="21"/>
      <c r="C124" s="22"/>
    </row>
    <row r="125" spans="1:3" x14ac:dyDescent="0.3">
      <c r="A125" s="20"/>
      <c r="B125" s="21"/>
      <c r="C125" s="22"/>
    </row>
    <row r="126" spans="1:3" x14ac:dyDescent="0.3">
      <c r="A126" s="20"/>
      <c r="B126" s="21"/>
      <c r="C126" s="22"/>
    </row>
    <row r="127" spans="1:3" x14ac:dyDescent="0.3">
      <c r="A127" s="20"/>
      <c r="B127" s="21"/>
      <c r="C127" s="22"/>
    </row>
    <row r="128" spans="1:3" x14ac:dyDescent="0.3">
      <c r="A128" s="20"/>
      <c r="B128" s="21"/>
      <c r="C128" s="22"/>
    </row>
    <row r="129" spans="1:3" x14ac:dyDescent="0.3">
      <c r="A129" s="20"/>
      <c r="B129" s="21"/>
      <c r="C129" s="22"/>
    </row>
    <row r="130" spans="1:3" x14ac:dyDescent="0.3">
      <c r="A130" s="20"/>
      <c r="B130" s="21"/>
      <c r="C130" s="22"/>
    </row>
    <row r="131" spans="1:3" x14ac:dyDescent="0.3">
      <c r="A131" s="20"/>
      <c r="B131" s="21"/>
      <c r="C131" s="22"/>
    </row>
    <row r="132" spans="1:3" x14ac:dyDescent="0.3">
      <c r="A132" s="20"/>
      <c r="B132" s="21"/>
      <c r="C132" s="22"/>
    </row>
    <row r="133" spans="1:3" x14ac:dyDescent="0.3">
      <c r="A133" s="20"/>
      <c r="B133" s="21"/>
      <c r="C133" s="22"/>
    </row>
    <row r="134" spans="1:3" x14ac:dyDescent="0.3">
      <c r="A134" s="20"/>
      <c r="B134" s="21"/>
      <c r="C134" s="22"/>
    </row>
    <row r="135" spans="1:3" x14ac:dyDescent="0.3">
      <c r="A135" s="20"/>
      <c r="B135" s="21"/>
      <c r="C135" s="22"/>
    </row>
    <row r="136" spans="1:3" x14ac:dyDescent="0.3">
      <c r="A136" s="20"/>
      <c r="B136" s="21"/>
      <c r="C136" s="22"/>
    </row>
    <row r="137" spans="1:3" x14ac:dyDescent="0.3">
      <c r="A137" s="20"/>
      <c r="B137" s="21"/>
      <c r="C137" s="22"/>
    </row>
    <row r="138" spans="1:3" x14ac:dyDescent="0.3">
      <c r="A138" s="20"/>
      <c r="B138" s="21"/>
      <c r="C138" s="22"/>
    </row>
    <row r="139" spans="1:3" x14ac:dyDescent="0.3">
      <c r="A139" s="20"/>
      <c r="B139" s="21"/>
      <c r="C139" s="22"/>
    </row>
    <row r="140" spans="1:3" x14ac:dyDescent="0.3">
      <c r="A140" s="20"/>
      <c r="B140" s="21"/>
      <c r="C140" s="22"/>
    </row>
    <row r="141" spans="1:3" x14ac:dyDescent="0.3">
      <c r="A141" s="20"/>
      <c r="B141" s="21"/>
      <c r="C141" s="22"/>
    </row>
    <row r="142" spans="1:3" x14ac:dyDescent="0.3">
      <c r="A142" s="20"/>
      <c r="B142" s="21"/>
      <c r="C142" s="22"/>
    </row>
    <row r="143" spans="1:3" x14ac:dyDescent="0.3">
      <c r="A143" s="20"/>
      <c r="B143" s="21"/>
      <c r="C143" s="22"/>
    </row>
    <row r="144" spans="1:3" x14ac:dyDescent="0.3">
      <c r="A144" s="20"/>
      <c r="B144" s="21"/>
      <c r="C144" s="22"/>
    </row>
    <row r="145" spans="1:3" x14ac:dyDescent="0.3">
      <c r="A145" s="20"/>
      <c r="B145" s="21"/>
      <c r="C145" s="22"/>
    </row>
    <row r="146" spans="1:3" x14ac:dyDescent="0.3">
      <c r="A146" s="20"/>
      <c r="B146" s="21"/>
      <c r="C146" s="22"/>
    </row>
    <row r="147" spans="1:3" x14ac:dyDescent="0.3">
      <c r="A147" s="20"/>
      <c r="B147" s="21"/>
      <c r="C147" s="22"/>
    </row>
    <row r="148" spans="1:3" x14ac:dyDescent="0.3">
      <c r="A148" s="20"/>
      <c r="B148" s="21"/>
      <c r="C148" s="22"/>
    </row>
    <row r="149" spans="1:3" x14ac:dyDescent="0.3">
      <c r="A149" s="20"/>
      <c r="B149" s="21"/>
      <c r="C149" s="22"/>
    </row>
    <row r="150" spans="1:3" x14ac:dyDescent="0.3">
      <c r="A150" s="20"/>
      <c r="B150" s="21"/>
      <c r="C150" s="22"/>
    </row>
    <row r="151" spans="1:3" x14ac:dyDescent="0.3">
      <c r="A151" s="20"/>
      <c r="B151" s="21"/>
      <c r="C151" s="22"/>
    </row>
    <row r="152" spans="1:3" x14ac:dyDescent="0.3">
      <c r="A152" s="20"/>
      <c r="B152" s="21"/>
      <c r="C152" s="22"/>
    </row>
    <row r="153" spans="1:3" x14ac:dyDescent="0.3">
      <c r="A153" s="20"/>
      <c r="B153" s="21"/>
      <c r="C153" s="22"/>
    </row>
    <row r="154" spans="1:3" x14ac:dyDescent="0.3">
      <c r="A154" s="20"/>
      <c r="B154" s="21"/>
      <c r="C154" s="22"/>
    </row>
    <row r="155" spans="1:3" x14ac:dyDescent="0.3">
      <c r="A155" s="20"/>
      <c r="B155" s="21"/>
      <c r="C155" s="22"/>
    </row>
    <row r="156" spans="1:3" x14ac:dyDescent="0.3">
      <c r="A156" s="20"/>
      <c r="B156" s="21"/>
      <c r="C156" s="22"/>
    </row>
    <row r="157" spans="1:3" x14ac:dyDescent="0.3">
      <c r="A157" s="20"/>
      <c r="B157" s="21"/>
      <c r="C157" s="22"/>
    </row>
    <row r="158" spans="1:3" x14ac:dyDescent="0.3">
      <c r="A158" s="20"/>
      <c r="B158" s="21"/>
      <c r="C158" s="22"/>
    </row>
    <row r="159" spans="1:3" x14ac:dyDescent="0.3">
      <c r="A159" s="20"/>
      <c r="B159" s="21"/>
      <c r="C159" s="22"/>
    </row>
    <row r="160" spans="1:3" x14ac:dyDescent="0.3">
      <c r="A160" s="20"/>
      <c r="B160" s="21"/>
      <c r="C160" s="22"/>
    </row>
    <row r="161" spans="1:3" x14ac:dyDescent="0.3">
      <c r="A161" s="20"/>
      <c r="B161" s="21"/>
      <c r="C161" s="22"/>
    </row>
    <row r="162" spans="1:3" x14ac:dyDescent="0.3">
      <c r="A162" s="20"/>
      <c r="B162" s="21"/>
      <c r="C162" s="22"/>
    </row>
    <row r="163" spans="1:3" x14ac:dyDescent="0.3">
      <c r="A163" s="20"/>
      <c r="B163" s="21"/>
      <c r="C163" s="22"/>
    </row>
    <row r="164" spans="1:3" x14ac:dyDescent="0.3">
      <c r="A164" s="20"/>
      <c r="B164" s="21"/>
      <c r="C164" s="22"/>
    </row>
    <row r="165" spans="1:3" x14ac:dyDescent="0.3">
      <c r="A165" s="20"/>
      <c r="B165" s="21"/>
      <c r="C165" s="22"/>
    </row>
    <row r="166" spans="1:3" x14ac:dyDescent="0.3">
      <c r="A166" s="20"/>
      <c r="B166" s="21"/>
      <c r="C166" s="22"/>
    </row>
    <row r="167" spans="1:3" x14ac:dyDescent="0.3">
      <c r="A167" s="20"/>
      <c r="B167" s="21"/>
      <c r="C167" s="22"/>
    </row>
    <row r="168" spans="1:3" x14ac:dyDescent="0.3">
      <c r="A168" s="20"/>
      <c r="B168" s="21"/>
      <c r="C168" s="22"/>
    </row>
    <row r="169" spans="1:3" x14ac:dyDescent="0.3">
      <c r="A169" s="20"/>
      <c r="B169" s="21"/>
      <c r="C169" s="22"/>
    </row>
    <row r="170" spans="1:3" x14ac:dyDescent="0.3">
      <c r="A170" s="20"/>
      <c r="B170" s="21"/>
      <c r="C170" s="22"/>
    </row>
    <row r="171" spans="1:3" x14ac:dyDescent="0.3">
      <c r="A171" s="20"/>
      <c r="B171" s="21"/>
      <c r="C171" s="22"/>
    </row>
    <row r="172" spans="1:3" x14ac:dyDescent="0.3">
      <c r="A172" s="20"/>
      <c r="B172" s="21"/>
      <c r="C172" s="22"/>
    </row>
    <row r="173" spans="1:3" x14ac:dyDescent="0.3">
      <c r="A173" s="20"/>
      <c r="B173" s="21"/>
      <c r="C173" s="22"/>
    </row>
    <row r="174" spans="1:3" x14ac:dyDescent="0.3">
      <c r="A174" s="20"/>
      <c r="B174" s="21"/>
      <c r="C174" s="22"/>
    </row>
    <row r="175" spans="1:3" x14ac:dyDescent="0.3">
      <c r="A175" s="20"/>
      <c r="B175" s="21"/>
      <c r="C175" s="22"/>
    </row>
    <row r="176" spans="1:3" x14ac:dyDescent="0.3">
      <c r="A176" s="20"/>
      <c r="B176" s="21"/>
      <c r="C176" s="22"/>
    </row>
    <row r="177" spans="1:3" x14ac:dyDescent="0.3">
      <c r="A177" s="20"/>
      <c r="B177" s="21"/>
      <c r="C177" s="22"/>
    </row>
    <row r="178" spans="1:3" x14ac:dyDescent="0.3">
      <c r="A178" s="20"/>
      <c r="B178" s="21"/>
      <c r="C178" s="22"/>
    </row>
    <row r="179" spans="1:3" x14ac:dyDescent="0.3">
      <c r="A179" s="20"/>
      <c r="B179" s="21"/>
      <c r="C179" s="22"/>
    </row>
    <row r="180" spans="1:3" x14ac:dyDescent="0.3">
      <c r="A180" s="20"/>
      <c r="B180" s="21"/>
      <c r="C180" s="22"/>
    </row>
    <row r="181" spans="1:3" x14ac:dyDescent="0.3">
      <c r="A181" s="20"/>
      <c r="B181" s="21"/>
      <c r="C181" s="22"/>
    </row>
    <row r="182" spans="1:3" x14ac:dyDescent="0.3">
      <c r="A182" s="20"/>
      <c r="B182" s="21"/>
      <c r="C182" s="22"/>
    </row>
    <row r="183" spans="1:3" x14ac:dyDescent="0.3">
      <c r="A183" s="20"/>
      <c r="B183" s="21"/>
      <c r="C183" s="22"/>
    </row>
    <row r="184" spans="1:3" x14ac:dyDescent="0.3">
      <c r="A184" s="20"/>
      <c r="B184" s="21"/>
      <c r="C184" s="22"/>
    </row>
    <row r="185" spans="1:3" x14ac:dyDescent="0.3">
      <c r="A185" s="20"/>
      <c r="B185" s="21"/>
      <c r="C185" s="22"/>
    </row>
    <row r="186" spans="1:3" x14ac:dyDescent="0.3">
      <c r="A186" s="20"/>
      <c r="B186" s="21"/>
      <c r="C186" s="22"/>
    </row>
    <row r="187" spans="1:3" x14ac:dyDescent="0.3">
      <c r="A187" s="20"/>
      <c r="B187" s="21"/>
      <c r="C187" s="22"/>
    </row>
    <row r="188" spans="1:3" x14ac:dyDescent="0.3">
      <c r="A188" s="20"/>
      <c r="B188" s="21"/>
      <c r="C188" s="22"/>
    </row>
    <row r="189" spans="1:3" x14ac:dyDescent="0.3">
      <c r="A189" s="20"/>
      <c r="B189" s="21"/>
      <c r="C189" s="22"/>
    </row>
    <row r="190" spans="1:3" x14ac:dyDescent="0.3">
      <c r="A190" s="20"/>
      <c r="B190" s="21"/>
      <c r="C190" s="22"/>
    </row>
    <row r="191" spans="1:3" x14ac:dyDescent="0.3">
      <c r="A191" s="20"/>
      <c r="B191" s="21"/>
      <c r="C191" s="22"/>
    </row>
    <row r="192" spans="1:3" x14ac:dyDescent="0.3">
      <c r="A192" s="20"/>
      <c r="B192" s="21"/>
      <c r="C192" s="22"/>
    </row>
    <row r="193" spans="1:3" x14ac:dyDescent="0.3">
      <c r="A193" s="20"/>
      <c r="B193" s="21"/>
      <c r="C193" s="22"/>
    </row>
    <row r="194" spans="1:3" x14ac:dyDescent="0.3">
      <c r="A194" s="20"/>
      <c r="B194" s="21"/>
      <c r="C194" s="22"/>
    </row>
    <row r="195" spans="1:3" x14ac:dyDescent="0.3">
      <c r="A195" s="20"/>
      <c r="B195" s="21"/>
      <c r="C195" s="22"/>
    </row>
    <row r="196" spans="1:3" x14ac:dyDescent="0.3">
      <c r="A196" s="20"/>
      <c r="B196" s="21"/>
      <c r="C196" s="22"/>
    </row>
    <row r="197" spans="1:3" x14ac:dyDescent="0.3">
      <c r="A197" s="20"/>
      <c r="B197" s="21"/>
      <c r="C197" s="22"/>
    </row>
    <row r="198" spans="1:3" x14ac:dyDescent="0.3">
      <c r="A198" s="20"/>
      <c r="B198" s="21"/>
      <c r="C198" s="22"/>
    </row>
    <row r="199" spans="1:3" x14ac:dyDescent="0.3">
      <c r="A199" s="20"/>
      <c r="B199" s="21"/>
      <c r="C199" s="22"/>
    </row>
    <row r="200" spans="1:3" x14ac:dyDescent="0.3">
      <c r="A200" s="20"/>
      <c r="B200" s="21"/>
      <c r="C200" s="22"/>
    </row>
    <row r="201" spans="1:3" x14ac:dyDescent="0.3">
      <c r="A201" s="20"/>
      <c r="B201" s="21"/>
      <c r="C201" s="22"/>
    </row>
    <row r="202" spans="1:3" x14ac:dyDescent="0.3">
      <c r="A202" s="20"/>
      <c r="B202" s="21"/>
      <c r="C202" s="22"/>
    </row>
    <row r="203" spans="1:3" x14ac:dyDescent="0.3">
      <c r="A203" s="20"/>
      <c r="B203" s="21"/>
      <c r="C203" s="22"/>
    </row>
    <row r="204" spans="1:3" x14ac:dyDescent="0.3">
      <c r="A204" s="20"/>
      <c r="B204" s="21"/>
      <c r="C204" s="22"/>
    </row>
    <row r="205" spans="1:3" x14ac:dyDescent="0.3">
      <c r="A205" s="20"/>
      <c r="B205" s="21"/>
      <c r="C205" s="22"/>
    </row>
    <row r="206" spans="1:3" x14ac:dyDescent="0.3">
      <c r="A206" s="20"/>
      <c r="B206" s="21"/>
      <c r="C206" s="22"/>
    </row>
    <row r="207" spans="1:3" x14ac:dyDescent="0.3">
      <c r="A207" s="20"/>
      <c r="B207" s="21"/>
      <c r="C207" s="22"/>
    </row>
    <row r="208" spans="1:3" x14ac:dyDescent="0.3">
      <c r="A208" s="20"/>
      <c r="B208" s="21"/>
      <c r="C208" s="22"/>
    </row>
    <row r="209" spans="1:3" x14ac:dyDescent="0.3">
      <c r="A209" s="20"/>
      <c r="B209" s="21"/>
      <c r="C209" s="22"/>
    </row>
    <row r="210" spans="1:3" x14ac:dyDescent="0.3">
      <c r="A210" s="20"/>
      <c r="B210" s="21"/>
      <c r="C210" s="22"/>
    </row>
    <row r="211" spans="1:3" x14ac:dyDescent="0.3">
      <c r="A211" s="20"/>
      <c r="B211" s="21"/>
      <c r="C211" s="22"/>
    </row>
    <row r="212" spans="1:3" x14ac:dyDescent="0.3">
      <c r="A212" s="20"/>
      <c r="B212" s="21"/>
      <c r="C212" s="22"/>
    </row>
    <row r="213" spans="1:3" x14ac:dyDescent="0.3">
      <c r="A213" s="20"/>
      <c r="B213" s="21"/>
      <c r="C213" s="22"/>
    </row>
    <row r="214" spans="1:3" x14ac:dyDescent="0.3">
      <c r="A214" s="20"/>
      <c r="B214" s="21"/>
      <c r="C214" s="22"/>
    </row>
    <row r="215" spans="1:3" x14ac:dyDescent="0.3">
      <c r="A215" s="20"/>
      <c r="B215" s="21"/>
      <c r="C215" s="22"/>
    </row>
    <row r="216" spans="1:3" x14ac:dyDescent="0.3">
      <c r="A216" s="20"/>
      <c r="B216" s="21"/>
      <c r="C216" s="22"/>
    </row>
    <row r="217" spans="1:3" x14ac:dyDescent="0.3">
      <c r="A217" s="20"/>
      <c r="B217" s="21"/>
      <c r="C217" s="22"/>
    </row>
    <row r="218" spans="1:3" x14ac:dyDescent="0.3">
      <c r="A218" s="20"/>
      <c r="B218" s="21"/>
      <c r="C218" s="22"/>
    </row>
    <row r="219" spans="1:3" x14ac:dyDescent="0.3">
      <c r="A219" s="20"/>
      <c r="B219" s="21"/>
      <c r="C219" s="22"/>
    </row>
    <row r="220" spans="1:3" x14ac:dyDescent="0.3">
      <c r="A220" s="20"/>
      <c r="B220" s="21"/>
      <c r="C220" s="22"/>
    </row>
    <row r="221" spans="1:3" x14ac:dyDescent="0.3">
      <c r="A221" s="20"/>
      <c r="B221" s="21"/>
      <c r="C221" s="22"/>
    </row>
    <row r="222" spans="1:3" x14ac:dyDescent="0.3">
      <c r="A222" s="20"/>
      <c r="B222" s="21"/>
      <c r="C222" s="22"/>
    </row>
    <row r="223" spans="1:3" x14ac:dyDescent="0.3">
      <c r="A223" s="20"/>
      <c r="B223" s="21"/>
      <c r="C223" s="22"/>
    </row>
    <row r="224" spans="1:3" x14ac:dyDescent="0.3">
      <c r="A224" s="20"/>
      <c r="B224" s="21"/>
      <c r="C224" s="22"/>
    </row>
    <row r="225" spans="1:3" x14ac:dyDescent="0.3">
      <c r="A225" s="20"/>
      <c r="B225" s="21"/>
      <c r="C225" s="22"/>
    </row>
    <row r="226" spans="1:3" x14ac:dyDescent="0.3">
      <c r="A226" s="20"/>
      <c r="B226" s="21"/>
      <c r="C226" s="22"/>
    </row>
    <row r="227" spans="1:3" x14ac:dyDescent="0.3">
      <c r="A227" s="20"/>
      <c r="B227" s="21"/>
      <c r="C227" s="22"/>
    </row>
    <row r="228" spans="1:3" x14ac:dyDescent="0.3">
      <c r="A228" s="20"/>
      <c r="B228" s="21"/>
      <c r="C228" s="22"/>
    </row>
    <row r="229" spans="1:3" x14ac:dyDescent="0.3">
      <c r="A229" s="20"/>
      <c r="B229" s="21"/>
      <c r="C229" s="22"/>
    </row>
    <row r="230" spans="1:3" x14ac:dyDescent="0.3">
      <c r="A230" s="20"/>
      <c r="B230" s="21"/>
      <c r="C230" s="22"/>
    </row>
    <row r="231" spans="1:3" x14ac:dyDescent="0.3">
      <c r="A231" s="20"/>
      <c r="B231" s="21"/>
      <c r="C231" s="22"/>
    </row>
    <row r="232" spans="1:3" x14ac:dyDescent="0.3">
      <c r="A232" s="20"/>
      <c r="B232" s="21"/>
      <c r="C232" s="22"/>
    </row>
    <row r="233" spans="1:3" x14ac:dyDescent="0.3">
      <c r="A233" s="20"/>
      <c r="B233" s="21"/>
      <c r="C233" s="22"/>
    </row>
    <row r="234" spans="1:3" x14ac:dyDescent="0.3">
      <c r="A234" s="20"/>
      <c r="B234" s="21"/>
      <c r="C234" s="22"/>
    </row>
    <row r="235" spans="1:3" x14ac:dyDescent="0.3">
      <c r="A235" s="20"/>
      <c r="B235" s="21"/>
      <c r="C235" s="22"/>
    </row>
    <row r="236" spans="1:3" x14ac:dyDescent="0.3">
      <c r="A236" s="20"/>
      <c r="B236" s="21"/>
      <c r="C236" s="22"/>
    </row>
    <row r="237" spans="1:3" x14ac:dyDescent="0.3">
      <c r="A237" s="20"/>
      <c r="B237" s="21"/>
      <c r="C237" s="22"/>
    </row>
    <row r="238" spans="1:3" x14ac:dyDescent="0.3">
      <c r="A238" s="20"/>
      <c r="B238" s="21"/>
      <c r="C238" s="22"/>
    </row>
    <row r="239" spans="1:3" x14ac:dyDescent="0.3">
      <c r="A239" s="20"/>
      <c r="B239" s="21"/>
      <c r="C239" s="22"/>
    </row>
    <row r="240" spans="1:3" x14ac:dyDescent="0.3">
      <c r="A240" s="20"/>
      <c r="B240" s="21"/>
      <c r="C240" s="22"/>
    </row>
    <row r="241" spans="1:3" x14ac:dyDescent="0.3">
      <c r="A241" s="20"/>
      <c r="B241" s="21"/>
      <c r="C241" s="22"/>
    </row>
    <row r="242" spans="1:3" x14ac:dyDescent="0.3">
      <c r="A242" s="20"/>
      <c r="B242" s="21"/>
      <c r="C242" s="22"/>
    </row>
    <row r="243" spans="1:3" x14ac:dyDescent="0.3">
      <c r="A243" s="20"/>
      <c r="B243" s="21"/>
      <c r="C243" s="22"/>
    </row>
    <row r="244" spans="1:3" x14ac:dyDescent="0.3">
      <c r="A244" s="20"/>
      <c r="B244" s="21"/>
      <c r="C244" s="22"/>
    </row>
    <row r="245" spans="1:3" x14ac:dyDescent="0.3">
      <c r="A245" s="20"/>
      <c r="B245" s="21"/>
      <c r="C245" s="22"/>
    </row>
    <row r="246" spans="1:3" x14ac:dyDescent="0.3">
      <c r="A246" s="20"/>
      <c r="B246" s="21"/>
      <c r="C246" s="22"/>
    </row>
    <row r="247" spans="1:3" x14ac:dyDescent="0.3">
      <c r="A247" s="20"/>
      <c r="B247" s="21"/>
      <c r="C247" s="22"/>
    </row>
    <row r="248" spans="1:3" x14ac:dyDescent="0.3">
      <c r="A248" s="20"/>
      <c r="B248" s="21"/>
      <c r="C248" s="22"/>
    </row>
    <row r="249" spans="1:3" x14ac:dyDescent="0.3">
      <c r="A249" s="20"/>
      <c r="B249" s="21"/>
      <c r="C249" s="22"/>
    </row>
    <row r="250" spans="1:3" x14ac:dyDescent="0.3">
      <c r="A250" s="20"/>
      <c r="B250" s="21"/>
      <c r="C250" s="22"/>
    </row>
    <row r="251" spans="1:3" x14ac:dyDescent="0.3">
      <c r="A251" s="20"/>
      <c r="B251" s="21"/>
      <c r="C251" s="22"/>
    </row>
    <row r="252" spans="1:3" x14ac:dyDescent="0.3">
      <c r="A252" s="20"/>
      <c r="B252" s="21"/>
      <c r="C252" s="22"/>
    </row>
    <row r="253" spans="1:3" x14ac:dyDescent="0.3">
      <c r="A253" s="20"/>
      <c r="B253" s="21"/>
      <c r="C253" s="22"/>
    </row>
    <row r="254" spans="1:3" x14ac:dyDescent="0.3">
      <c r="A254" s="20"/>
      <c r="B254" s="21"/>
      <c r="C254" s="22"/>
    </row>
    <row r="255" spans="1:3" x14ac:dyDescent="0.3">
      <c r="A255" s="20"/>
      <c r="B255" s="21"/>
      <c r="C255" s="22"/>
    </row>
    <row r="256" spans="1:3" x14ac:dyDescent="0.3">
      <c r="A256" s="20"/>
      <c r="B256" s="21"/>
      <c r="C256" s="22"/>
    </row>
    <row r="257" spans="1:3" x14ac:dyDescent="0.3">
      <c r="A257" s="20"/>
      <c r="B257" s="21"/>
      <c r="C257" s="22"/>
    </row>
    <row r="258" spans="1:3" x14ac:dyDescent="0.3">
      <c r="A258" s="20"/>
      <c r="B258" s="21"/>
      <c r="C258" s="22"/>
    </row>
    <row r="259" spans="1:3" x14ac:dyDescent="0.3">
      <c r="A259" s="20"/>
      <c r="B259" s="21"/>
      <c r="C259" s="22"/>
    </row>
    <row r="260" spans="1:3" x14ac:dyDescent="0.3">
      <c r="A260" s="20"/>
      <c r="B260" s="21"/>
      <c r="C260" s="22"/>
    </row>
    <row r="261" spans="1:3" x14ac:dyDescent="0.3">
      <c r="A261" s="20"/>
      <c r="B261" s="21"/>
      <c r="C261" s="22"/>
    </row>
    <row r="262" spans="1:3" x14ac:dyDescent="0.3">
      <c r="A262" s="20"/>
      <c r="B262" s="21"/>
      <c r="C262" s="22"/>
    </row>
    <row r="263" spans="1:3" x14ac:dyDescent="0.3">
      <c r="A263" s="20"/>
      <c r="B263" s="21"/>
      <c r="C263" s="22"/>
    </row>
    <row r="264" spans="1:3" x14ac:dyDescent="0.3">
      <c r="A264" s="20"/>
      <c r="B264" s="21"/>
      <c r="C264" s="22"/>
    </row>
    <row r="265" spans="1:3" x14ac:dyDescent="0.3">
      <c r="A265" s="20"/>
      <c r="B265" s="21"/>
      <c r="C265" s="22"/>
    </row>
    <row r="266" spans="1:3" x14ac:dyDescent="0.3">
      <c r="A266" s="20"/>
      <c r="B266" s="21"/>
      <c r="C266" s="22"/>
    </row>
    <row r="267" spans="1:3" x14ac:dyDescent="0.3">
      <c r="A267" s="20"/>
      <c r="B267" s="21"/>
      <c r="C267" s="22"/>
    </row>
    <row r="268" spans="1:3" x14ac:dyDescent="0.3">
      <c r="A268" s="20"/>
      <c r="B268" s="21"/>
      <c r="C268" s="22"/>
    </row>
    <row r="269" spans="1:3" x14ac:dyDescent="0.3">
      <c r="A269" s="20"/>
      <c r="B269" s="21"/>
      <c r="C269" s="22"/>
    </row>
    <row r="270" spans="1:3" x14ac:dyDescent="0.3">
      <c r="A270" s="20"/>
      <c r="B270" s="21"/>
      <c r="C270" s="22"/>
    </row>
    <row r="271" spans="1:3" x14ac:dyDescent="0.3">
      <c r="A271" s="20"/>
      <c r="B271" s="21"/>
      <c r="C271" s="22"/>
    </row>
    <row r="272" spans="1:3" x14ac:dyDescent="0.3">
      <c r="A272" s="20"/>
      <c r="B272" s="21"/>
      <c r="C272" s="22"/>
    </row>
    <row r="273" spans="1:3" x14ac:dyDescent="0.3">
      <c r="A273" s="20"/>
      <c r="B273" s="21"/>
      <c r="C273" s="22"/>
    </row>
    <row r="274" spans="1:3" x14ac:dyDescent="0.3">
      <c r="A274" s="20"/>
      <c r="B274" s="21"/>
      <c r="C274" s="22"/>
    </row>
    <row r="275" spans="1:3" x14ac:dyDescent="0.3">
      <c r="A275" s="20"/>
      <c r="B275" s="21"/>
      <c r="C275" s="22"/>
    </row>
    <row r="276" spans="1:3" x14ac:dyDescent="0.3">
      <c r="A276" s="20"/>
      <c r="B276" s="21"/>
      <c r="C276" s="22"/>
    </row>
    <row r="277" spans="1:3" x14ac:dyDescent="0.3">
      <c r="A277" s="20"/>
      <c r="B277" s="21"/>
      <c r="C277" s="22"/>
    </row>
    <row r="278" spans="1:3" x14ac:dyDescent="0.3">
      <c r="A278" s="20"/>
      <c r="B278" s="21"/>
      <c r="C278" s="22"/>
    </row>
    <row r="279" spans="1:3" x14ac:dyDescent="0.3">
      <c r="A279" s="20"/>
      <c r="B279" s="21"/>
      <c r="C279" s="22"/>
    </row>
    <row r="280" spans="1:3" x14ac:dyDescent="0.3">
      <c r="A280" s="20"/>
      <c r="B280" s="21"/>
      <c r="C280" s="22"/>
    </row>
    <row r="281" spans="1:3" x14ac:dyDescent="0.3">
      <c r="A281" s="20"/>
      <c r="B281" s="21"/>
      <c r="C281" s="22"/>
    </row>
    <row r="282" spans="1:3" x14ac:dyDescent="0.3">
      <c r="A282" s="20"/>
      <c r="B282" s="21"/>
      <c r="C282" s="22"/>
    </row>
    <row r="283" spans="1:3" x14ac:dyDescent="0.3">
      <c r="A283" s="20"/>
      <c r="B283" s="21"/>
      <c r="C283" s="22"/>
    </row>
    <row r="284" spans="1:3" x14ac:dyDescent="0.3">
      <c r="A284" s="20"/>
      <c r="B284" s="21"/>
      <c r="C284" s="22"/>
    </row>
    <row r="285" spans="1:3" x14ac:dyDescent="0.3">
      <c r="A285" s="20"/>
      <c r="B285" s="21"/>
      <c r="C285" s="22"/>
    </row>
    <row r="286" spans="1:3" x14ac:dyDescent="0.3">
      <c r="A286" s="20"/>
      <c r="B286" s="21"/>
      <c r="C286" s="22"/>
    </row>
    <row r="287" spans="1:3" x14ac:dyDescent="0.3">
      <c r="A287" s="20"/>
      <c r="B287" s="21"/>
      <c r="C287" s="22"/>
    </row>
    <row r="288" spans="1:3" x14ac:dyDescent="0.3">
      <c r="A288" s="20"/>
      <c r="B288" s="21"/>
      <c r="C288" s="22"/>
    </row>
    <row r="289" spans="1:3" x14ac:dyDescent="0.3">
      <c r="A289" s="20"/>
      <c r="B289" s="21"/>
      <c r="C289" s="22"/>
    </row>
    <row r="290" spans="1:3" x14ac:dyDescent="0.3">
      <c r="A290" s="20"/>
      <c r="B290" s="21"/>
      <c r="C290" s="22"/>
    </row>
    <row r="291" spans="1:3" x14ac:dyDescent="0.3">
      <c r="A291" s="20"/>
      <c r="B291" s="21"/>
      <c r="C291" s="22"/>
    </row>
    <row r="292" spans="1:3" x14ac:dyDescent="0.3">
      <c r="A292" s="20"/>
      <c r="B292" s="21"/>
      <c r="C292" s="22"/>
    </row>
    <row r="293" spans="1:3" x14ac:dyDescent="0.3">
      <c r="A293" s="20"/>
      <c r="B293" s="21"/>
      <c r="C293" s="22"/>
    </row>
    <row r="294" spans="1:3" x14ac:dyDescent="0.3">
      <c r="A294" s="20"/>
      <c r="B294" s="21"/>
      <c r="C294" s="22"/>
    </row>
    <row r="295" spans="1:3" x14ac:dyDescent="0.3">
      <c r="A295" s="20"/>
      <c r="B295" s="21"/>
      <c r="C295" s="22"/>
    </row>
    <row r="296" spans="1:3" x14ac:dyDescent="0.3">
      <c r="A296" s="20"/>
      <c r="B296" s="21"/>
      <c r="C296" s="22"/>
    </row>
    <row r="297" spans="1:3" x14ac:dyDescent="0.3">
      <c r="A297" s="20"/>
      <c r="B297" s="21"/>
      <c r="C297" s="22"/>
    </row>
    <row r="298" spans="1:3" x14ac:dyDescent="0.3">
      <c r="A298" s="20"/>
      <c r="B298" s="21"/>
      <c r="C298" s="22"/>
    </row>
    <row r="299" spans="1:3" x14ac:dyDescent="0.3">
      <c r="A299" s="20"/>
      <c r="B299" s="21"/>
      <c r="C299" s="22"/>
    </row>
    <row r="300" spans="1:3" x14ac:dyDescent="0.3">
      <c r="A300" s="20"/>
      <c r="B300" s="21"/>
      <c r="C300" s="22"/>
    </row>
    <row r="301" spans="1:3" x14ac:dyDescent="0.3">
      <c r="A301" s="20"/>
      <c r="B301" s="21"/>
      <c r="C301" s="22"/>
    </row>
    <row r="302" spans="1:3" x14ac:dyDescent="0.3">
      <c r="A302" s="20"/>
      <c r="B302" s="21"/>
      <c r="C302" s="22"/>
    </row>
    <row r="303" spans="1:3" x14ac:dyDescent="0.3">
      <c r="A303" s="20"/>
      <c r="B303" s="21"/>
      <c r="C303" s="22"/>
    </row>
    <row r="304" spans="1:3" x14ac:dyDescent="0.3">
      <c r="A304" s="20"/>
      <c r="B304" s="21"/>
      <c r="C304" s="22"/>
    </row>
    <row r="305" spans="1:3" x14ac:dyDescent="0.3">
      <c r="A305" s="20"/>
      <c r="B305" s="21"/>
      <c r="C305" s="22"/>
    </row>
    <row r="306" spans="1:3" x14ac:dyDescent="0.3">
      <c r="A306" s="20"/>
      <c r="B306" s="21"/>
      <c r="C306" s="22"/>
    </row>
    <row r="307" spans="1:3" x14ac:dyDescent="0.3">
      <c r="A307" s="20"/>
      <c r="B307" s="21"/>
      <c r="C307" s="22"/>
    </row>
    <row r="308" spans="1:3" x14ac:dyDescent="0.3">
      <c r="A308" s="20"/>
      <c r="B308" s="21"/>
      <c r="C308" s="22"/>
    </row>
    <row r="309" spans="1:3" x14ac:dyDescent="0.3">
      <c r="A309" s="20"/>
      <c r="B309" s="21"/>
      <c r="C309" s="22"/>
    </row>
    <row r="310" spans="1:3" x14ac:dyDescent="0.3">
      <c r="A310" s="20"/>
      <c r="B310" s="21"/>
      <c r="C310" s="22"/>
    </row>
    <row r="311" spans="1:3" x14ac:dyDescent="0.3">
      <c r="A311" s="20"/>
      <c r="B311" s="21"/>
      <c r="C311" s="22"/>
    </row>
    <row r="312" spans="1:3" x14ac:dyDescent="0.3">
      <c r="A312" s="20"/>
      <c r="B312" s="21"/>
      <c r="C312" s="22"/>
    </row>
    <row r="313" spans="1:3" x14ac:dyDescent="0.3">
      <c r="A313" s="20"/>
      <c r="B313" s="21"/>
      <c r="C313" s="22"/>
    </row>
    <row r="314" spans="1:3" x14ac:dyDescent="0.3">
      <c r="A314" s="20"/>
      <c r="B314" s="21"/>
      <c r="C314" s="22"/>
    </row>
    <row r="315" spans="1:3" x14ac:dyDescent="0.3">
      <c r="A315" s="20"/>
      <c r="B315" s="21"/>
      <c r="C315" s="22"/>
    </row>
    <row r="316" spans="1:3" x14ac:dyDescent="0.3">
      <c r="A316" s="20"/>
      <c r="B316" s="21"/>
      <c r="C316" s="22"/>
    </row>
    <row r="317" spans="1:3" x14ac:dyDescent="0.3">
      <c r="A317" s="20"/>
      <c r="B317" s="21"/>
      <c r="C317" s="22"/>
    </row>
    <row r="318" spans="1:3" x14ac:dyDescent="0.3">
      <c r="A318" s="20"/>
      <c r="B318" s="21"/>
      <c r="C318" s="22"/>
    </row>
    <row r="319" spans="1:3" x14ac:dyDescent="0.3">
      <c r="A319" s="20"/>
      <c r="B319" s="21"/>
      <c r="C319" s="22"/>
    </row>
    <row r="320" spans="1:3" x14ac:dyDescent="0.3">
      <c r="A320" s="20"/>
      <c r="B320" s="21"/>
      <c r="C320" s="22"/>
    </row>
    <row r="321" spans="1:3" x14ac:dyDescent="0.3">
      <c r="A321" s="20"/>
      <c r="B321" s="21"/>
      <c r="C321" s="22"/>
    </row>
    <row r="322" spans="1:3" x14ac:dyDescent="0.3">
      <c r="A322" s="20"/>
      <c r="B322" s="21"/>
      <c r="C322" s="22"/>
    </row>
    <row r="323" spans="1:3" x14ac:dyDescent="0.3">
      <c r="A323" s="20"/>
      <c r="B323" s="21"/>
      <c r="C323" s="22"/>
    </row>
    <row r="324" spans="1:3" x14ac:dyDescent="0.3">
      <c r="A324" s="20"/>
      <c r="B324" s="21"/>
      <c r="C324" s="22"/>
    </row>
    <row r="325" spans="1:3" x14ac:dyDescent="0.3">
      <c r="A325" s="20"/>
      <c r="B325" s="21"/>
      <c r="C325" s="22"/>
    </row>
    <row r="326" spans="1:3" x14ac:dyDescent="0.3">
      <c r="A326" s="20"/>
      <c r="B326" s="21"/>
      <c r="C326" s="22"/>
    </row>
    <row r="327" spans="1:3" x14ac:dyDescent="0.3">
      <c r="A327" s="20"/>
      <c r="B327" s="21"/>
      <c r="C327" s="22"/>
    </row>
    <row r="328" spans="1:3" x14ac:dyDescent="0.3">
      <c r="A328" s="20"/>
      <c r="B328" s="21"/>
      <c r="C328" s="22"/>
    </row>
    <row r="329" spans="1:3" x14ac:dyDescent="0.3">
      <c r="A329" s="20"/>
      <c r="B329" s="21"/>
      <c r="C329" s="22"/>
    </row>
    <row r="330" spans="1:3" x14ac:dyDescent="0.3">
      <c r="A330" s="20"/>
      <c r="B330" s="21"/>
      <c r="C330" s="22"/>
    </row>
    <row r="331" spans="1:3" x14ac:dyDescent="0.3">
      <c r="A331" s="20"/>
      <c r="B331" s="21"/>
      <c r="C331" s="22"/>
    </row>
    <row r="332" spans="1:3" x14ac:dyDescent="0.3">
      <c r="A332" s="20"/>
      <c r="B332" s="21"/>
      <c r="C332" s="22"/>
    </row>
    <row r="333" spans="1:3" x14ac:dyDescent="0.3">
      <c r="A333" s="20"/>
      <c r="B333" s="21"/>
      <c r="C333" s="22"/>
    </row>
    <row r="334" spans="1:3" x14ac:dyDescent="0.3">
      <c r="A334" s="20"/>
      <c r="B334" s="21"/>
      <c r="C334" s="22"/>
    </row>
    <row r="335" spans="1:3" x14ac:dyDescent="0.3">
      <c r="A335" s="20"/>
      <c r="B335" s="21"/>
      <c r="C335" s="22"/>
    </row>
    <row r="336" spans="1:3" x14ac:dyDescent="0.3">
      <c r="A336" s="20"/>
      <c r="B336" s="21"/>
      <c r="C336" s="22"/>
    </row>
    <row r="337" spans="1:3" x14ac:dyDescent="0.3">
      <c r="A337" s="20"/>
      <c r="B337" s="21"/>
      <c r="C337" s="22"/>
    </row>
    <row r="338" spans="1:3" x14ac:dyDescent="0.3">
      <c r="A338" s="20"/>
      <c r="B338" s="21"/>
      <c r="C338" s="22"/>
    </row>
    <row r="339" spans="1:3" x14ac:dyDescent="0.3">
      <c r="A339" s="20"/>
      <c r="B339" s="21"/>
      <c r="C339" s="22"/>
    </row>
    <row r="340" spans="1:3" x14ac:dyDescent="0.3">
      <c r="A340" s="20"/>
      <c r="B340" s="21"/>
      <c r="C340" s="22"/>
    </row>
    <row r="341" spans="1:3" x14ac:dyDescent="0.3">
      <c r="A341" s="20"/>
      <c r="B341" s="21"/>
      <c r="C341" s="22"/>
    </row>
    <row r="342" spans="1:3" x14ac:dyDescent="0.3">
      <c r="A342" s="20"/>
      <c r="B342" s="21"/>
      <c r="C342" s="22"/>
    </row>
    <row r="343" spans="1:3" x14ac:dyDescent="0.3">
      <c r="A343" s="20"/>
      <c r="B343" s="21"/>
      <c r="C343" s="22"/>
    </row>
    <row r="344" spans="1:3" x14ac:dyDescent="0.3">
      <c r="A344" s="20"/>
      <c r="B344" s="21"/>
      <c r="C344" s="22"/>
    </row>
    <row r="345" spans="1:3" x14ac:dyDescent="0.3">
      <c r="A345" s="20"/>
      <c r="B345" s="21"/>
      <c r="C345" s="22"/>
    </row>
    <row r="346" spans="1:3" x14ac:dyDescent="0.3">
      <c r="A346" s="20"/>
      <c r="B346" s="21"/>
      <c r="C346" s="22"/>
    </row>
    <row r="347" spans="1:3" x14ac:dyDescent="0.3">
      <c r="A347" s="20"/>
      <c r="B347" s="21"/>
      <c r="C347" s="22"/>
    </row>
    <row r="348" spans="1:3" x14ac:dyDescent="0.3">
      <c r="A348" s="20"/>
      <c r="B348" s="21"/>
      <c r="C348" s="22"/>
    </row>
    <row r="349" spans="1:3" x14ac:dyDescent="0.3">
      <c r="A349" s="20"/>
      <c r="B349" s="21"/>
      <c r="C349" s="22"/>
    </row>
    <row r="350" spans="1:3" x14ac:dyDescent="0.3">
      <c r="A350" s="20"/>
      <c r="B350" s="21"/>
      <c r="C350" s="22"/>
    </row>
    <row r="351" spans="1:3" x14ac:dyDescent="0.3">
      <c r="A351" s="20"/>
      <c r="B351" s="21"/>
      <c r="C351" s="22"/>
    </row>
    <row r="352" spans="1:3" x14ac:dyDescent="0.3">
      <c r="A352" s="20"/>
      <c r="B352" s="21"/>
      <c r="C352" s="22"/>
    </row>
    <row r="353" spans="1:3" x14ac:dyDescent="0.3">
      <c r="A353" s="20"/>
      <c r="B353" s="21"/>
      <c r="C353" s="22"/>
    </row>
    <row r="354" spans="1:3" x14ac:dyDescent="0.3">
      <c r="A354" s="20"/>
      <c r="B354" s="21"/>
      <c r="C354" s="22"/>
    </row>
    <row r="355" spans="1:3" x14ac:dyDescent="0.3">
      <c r="A355" s="20"/>
      <c r="B355" s="21"/>
      <c r="C355" s="22"/>
    </row>
    <row r="356" spans="1:3" x14ac:dyDescent="0.3">
      <c r="A356" s="20"/>
      <c r="B356" s="21"/>
      <c r="C356" s="22"/>
    </row>
    <row r="357" spans="1:3" x14ac:dyDescent="0.3">
      <c r="A357" s="20"/>
      <c r="B357" s="21"/>
      <c r="C357" s="22"/>
    </row>
    <row r="358" spans="1:3" x14ac:dyDescent="0.3">
      <c r="A358" s="20"/>
      <c r="B358" s="21"/>
      <c r="C358" s="22"/>
    </row>
    <row r="359" spans="1:3" x14ac:dyDescent="0.3">
      <c r="A359" s="20"/>
      <c r="B359" s="21"/>
      <c r="C359" s="22"/>
    </row>
    <row r="360" spans="1:3" x14ac:dyDescent="0.3">
      <c r="A360" s="20"/>
      <c r="B360" s="21"/>
      <c r="C360" s="22"/>
    </row>
    <row r="361" spans="1:3" x14ac:dyDescent="0.3">
      <c r="A361" s="20"/>
      <c r="B361" s="21"/>
      <c r="C361" s="22"/>
    </row>
    <row r="362" spans="1:3" x14ac:dyDescent="0.3">
      <c r="A362" s="20"/>
      <c r="B362" s="21"/>
      <c r="C362" s="22"/>
    </row>
    <row r="363" spans="1:3" x14ac:dyDescent="0.3">
      <c r="A363" s="20"/>
      <c r="B363" s="21"/>
      <c r="C363" s="22"/>
    </row>
    <row r="364" spans="1:3" x14ac:dyDescent="0.3">
      <c r="A364" s="20"/>
      <c r="B364" s="21"/>
      <c r="C364" s="22"/>
    </row>
    <row r="365" spans="1:3" x14ac:dyDescent="0.3">
      <c r="A365" s="20"/>
      <c r="B365" s="21"/>
      <c r="C365" s="22"/>
    </row>
    <row r="366" spans="1:3" x14ac:dyDescent="0.3">
      <c r="A366" s="20"/>
      <c r="B366" s="21"/>
      <c r="C366" s="22"/>
    </row>
    <row r="367" spans="1:3" x14ac:dyDescent="0.3">
      <c r="A367" s="20"/>
      <c r="B367" s="21"/>
      <c r="C367" s="22"/>
    </row>
    <row r="368" spans="1:3" x14ac:dyDescent="0.3">
      <c r="A368" s="20"/>
      <c r="B368" s="21"/>
      <c r="C368" s="22"/>
    </row>
    <row r="369" spans="1:3" x14ac:dyDescent="0.3">
      <c r="A369" s="20"/>
      <c r="B369" s="21"/>
      <c r="C369" s="22"/>
    </row>
    <row r="370" spans="1:3" x14ac:dyDescent="0.3">
      <c r="A370" s="20"/>
      <c r="B370" s="21"/>
      <c r="C370" s="22"/>
    </row>
    <row r="371" spans="1:3" x14ac:dyDescent="0.3">
      <c r="A371" s="20"/>
      <c r="B371" s="21"/>
      <c r="C371" s="22"/>
    </row>
    <row r="372" spans="1:3" x14ac:dyDescent="0.3">
      <c r="A372" s="20"/>
      <c r="B372" s="21"/>
      <c r="C372" s="22"/>
    </row>
    <row r="373" spans="1:3" x14ac:dyDescent="0.3">
      <c r="A373" s="20"/>
      <c r="B373" s="21"/>
      <c r="C373" s="22"/>
    </row>
    <row r="374" spans="1:3" x14ac:dyDescent="0.3">
      <c r="A374" s="20"/>
      <c r="B374" s="21"/>
      <c r="C374" s="22"/>
    </row>
    <row r="375" spans="1:3" x14ac:dyDescent="0.3">
      <c r="A375" s="20"/>
      <c r="B375" s="21"/>
      <c r="C375" s="22"/>
    </row>
    <row r="376" spans="1:3" x14ac:dyDescent="0.3">
      <c r="A376" s="20"/>
      <c r="B376" s="21"/>
      <c r="C376" s="22"/>
    </row>
    <row r="377" spans="1:3" x14ac:dyDescent="0.3">
      <c r="A377" s="20"/>
      <c r="B377" s="21"/>
      <c r="C377" s="22"/>
    </row>
    <row r="378" spans="1:3" x14ac:dyDescent="0.3">
      <c r="A378" s="20"/>
      <c r="B378" s="21"/>
      <c r="C378" s="22"/>
    </row>
    <row r="379" spans="1:3" x14ac:dyDescent="0.3">
      <c r="A379" s="20"/>
      <c r="B379" s="21"/>
      <c r="C379" s="22"/>
    </row>
    <row r="380" spans="1:3" x14ac:dyDescent="0.3">
      <c r="A380" s="20"/>
      <c r="B380" s="21"/>
      <c r="C380" s="22"/>
    </row>
    <row r="381" spans="1:3" x14ac:dyDescent="0.3">
      <c r="A381" s="20"/>
      <c r="B381" s="21"/>
      <c r="C381" s="22"/>
    </row>
    <row r="382" spans="1:3" x14ac:dyDescent="0.3">
      <c r="A382" s="20"/>
      <c r="B382" s="21"/>
      <c r="C382" s="22"/>
    </row>
    <row r="383" spans="1:3" x14ac:dyDescent="0.3">
      <c r="A383" s="20"/>
      <c r="B383" s="21"/>
      <c r="C383" s="22"/>
    </row>
    <row r="384" spans="1:3" x14ac:dyDescent="0.3">
      <c r="A384" s="20"/>
      <c r="B384" s="21"/>
      <c r="C384" s="22"/>
    </row>
    <row r="385" spans="1:3" x14ac:dyDescent="0.3">
      <c r="A385" s="20"/>
      <c r="B385" s="21"/>
      <c r="C385" s="22"/>
    </row>
    <row r="386" spans="1:3" x14ac:dyDescent="0.3">
      <c r="A386" s="20"/>
      <c r="B386" s="21"/>
      <c r="C386" s="22"/>
    </row>
    <row r="387" spans="1:3" x14ac:dyDescent="0.3">
      <c r="A387" s="20"/>
      <c r="B387" s="21"/>
      <c r="C387" s="22"/>
    </row>
    <row r="388" spans="1:3" x14ac:dyDescent="0.3">
      <c r="A388" s="20"/>
      <c r="B388" s="21"/>
      <c r="C388" s="22"/>
    </row>
    <row r="389" spans="1:3" x14ac:dyDescent="0.3">
      <c r="A389" s="20"/>
      <c r="B389" s="21"/>
      <c r="C389" s="22"/>
    </row>
    <row r="390" spans="1:3" x14ac:dyDescent="0.3">
      <c r="A390" s="20"/>
      <c r="B390" s="21"/>
      <c r="C390" s="22"/>
    </row>
    <row r="391" spans="1:3" x14ac:dyDescent="0.3">
      <c r="A391" s="20"/>
      <c r="B391" s="21"/>
      <c r="C391" s="22"/>
    </row>
    <row r="392" spans="1:3" x14ac:dyDescent="0.3">
      <c r="A392" s="20"/>
      <c r="B392" s="21"/>
      <c r="C392" s="22"/>
    </row>
    <row r="393" spans="1:3" x14ac:dyDescent="0.3">
      <c r="A393" s="20"/>
      <c r="B393" s="21"/>
      <c r="C393" s="22"/>
    </row>
    <row r="394" spans="1:3" x14ac:dyDescent="0.3">
      <c r="A394" s="20"/>
      <c r="B394" s="21"/>
      <c r="C394" s="22"/>
    </row>
    <row r="395" spans="1:3" x14ac:dyDescent="0.3">
      <c r="A395" s="20"/>
      <c r="B395" s="21"/>
      <c r="C395" s="22"/>
    </row>
    <row r="396" spans="1:3" x14ac:dyDescent="0.3">
      <c r="A396" s="20"/>
      <c r="B396" s="21"/>
      <c r="C396" s="22"/>
    </row>
    <row r="397" spans="1:3" x14ac:dyDescent="0.3">
      <c r="A397" s="20"/>
      <c r="B397" s="21"/>
      <c r="C397" s="22"/>
    </row>
    <row r="398" spans="1:3" x14ac:dyDescent="0.3">
      <c r="A398" s="20"/>
      <c r="B398" s="21"/>
      <c r="C398" s="22"/>
    </row>
    <row r="399" spans="1:3" x14ac:dyDescent="0.3">
      <c r="A399" s="20"/>
      <c r="B399" s="21"/>
      <c r="C399" s="22"/>
    </row>
    <row r="400" spans="1:3" x14ac:dyDescent="0.3">
      <c r="A400" s="20"/>
      <c r="B400" s="21"/>
      <c r="C400" s="22"/>
    </row>
    <row r="401" spans="1:3" x14ac:dyDescent="0.3">
      <c r="A401" s="20"/>
      <c r="B401" s="21"/>
      <c r="C401" s="22"/>
    </row>
    <row r="402" spans="1:3" x14ac:dyDescent="0.3">
      <c r="A402" s="20"/>
      <c r="B402" s="21"/>
      <c r="C402" s="22"/>
    </row>
    <row r="403" spans="1:3" x14ac:dyDescent="0.3">
      <c r="A403" s="20"/>
      <c r="B403" s="21"/>
      <c r="C403" s="22"/>
    </row>
    <row r="404" spans="1:3" x14ac:dyDescent="0.3">
      <c r="A404" s="20"/>
      <c r="B404" s="21"/>
      <c r="C404" s="22"/>
    </row>
    <row r="405" spans="1:3" x14ac:dyDescent="0.3">
      <c r="A405" s="20"/>
      <c r="B405" s="21"/>
      <c r="C405" s="22"/>
    </row>
    <row r="406" spans="1:3" x14ac:dyDescent="0.3">
      <c r="A406" s="20"/>
      <c r="B406" s="21"/>
      <c r="C406" s="22"/>
    </row>
    <row r="407" spans="1:3" x14ac:dyDescent="0.3">
      <c r="A407" s="20"/>
      <c r="B407" s="21"/>
      <c r="C407" s="22"/>
    </row>
    <row r="408" spans="1:3" x14ac:dyDescent="0.3">
      <c r="A408" s="20"/>
      <c r="B408" s="21"/>
      <c r="C408" s="22"/>
    </row>
    <row r="409" spans="1:3" x14ac:dyDescent="0.3">
      <c r="A409" s="20"/>
      <c r="B409" s="21"/>
      <c r="C409" s="22"/>
    </row>
    <row r="410" spans="1:3" x14ac:dyDescent="0.3">
      <c r="A410" s="20"/>
      <c r="B410" s="21"/>
      <c r="C410" s="22"/>
    </row>
    <row r="411" spans="1:3" x14ac:dyDescent="0.3">
      <c r="A411" s="20"/>
      <c r="B411" s="21"/>
      <c r="C411" s="22"/>
    </row>
    <row r="412" spans="1:3" x14ac:dyDescent="0.3">
      <c r="A412" s="20"/>
      <c r="B412" s="21"/>
      <c r="C412" s="22"/>
    </row>
    <row r="413" spans="1:3" x14ac:dyDescent="0.3">
      <c r="A413" s="20"/>
      <c r="B413" s="21"/>
      <c r="C413" s="22"/>
    </row>
    <row r="414" spans="1:3" x14ac:dyDescent="0.3">
      <c r="A414" s="20"/>
      <c r="B414" s="21"/>
      <c r="C414" s="22"/>
    </row>
    <row r="415" spans="1:3" x14ac:dyDescent="0.3">
      <c r="A415" s="20"/>
      <c r="B415" s="21"/>
      <c r="C415" s="22"/>
    </row>
    <row r="416" spans="1:3" x14ac:dyDescent="0.3">
      <c r="A416" s="20"/>
      <c r="B416" s="21"/>
      <c r="C416" s="22"/>
    </row>
    <row r="417" spans="1:3" x14ac:dyDescent="0.3">
      <c r="A417" s="20"/>
      <c r="B417" s="21"/>
      <c r="C417" s="22"/>
    </row>
    <row r="418" spans="1:3" x14ac:dyDescent="0.3">
      <c r="A418" s="20"/>
      <c r="B418" s="21"/>
      <c r="C418" s="22"/>
    </row>
    <row r="419" spans="1:3" x14ac:dyDescent="0.3">
      <c r="A419" s="20"/>
      <c r="B419" s="21"/>
      <c r="C419" s="22"/>
    </row>
    <row r="420" spans="1:3" x14ac:dyDescent="0.3">
      <c r="A420" s="20"/>
      <c r="B420" s="21"/>
      <c r="C420" s="22"/>
    </row>
    <row r="421" spans="1:3" x14ac:dyDescent="0.3">
      <c r="A421" s="20"/>
      <c r="B421" s="21"/>
      <c r="C421" s="22"/>
    </row>
    <row r="422" spans="1:3" x14ac:dyDescent="0.3">
      <c r="A422" s="20"/>
      <c r="B422" s="21"/>
      <c r="C422" s="22"/>
    </row>
    <row r="423" spans="1:3" x14ac:dyDescent="0.3">
      <c r="A423" s="20"/>
      <c r="B423" s="21"/>
      <c r="C423" s="22"/>
    </row>
    <row r="424" spans="1:3" x14ac:dyDescent="0.3">
      <c r="A424" s="20"/>
      <c r="B424" s="21"/>
      <c r="C424" s="22"/>
    </row>
    <row r="425" spans="1:3" x14ac:dyDescent="0.3">
      <c r="A425" s="20"/>
      <c r="B425" s="21"/>
      <c r="C425" s="22"/>
    </row>
    <row r="426" spans="1:3" x14ac:dyDescent="0.3">
      <c r="A426" s="20"/>
      <c r="B426" s="21"/>
      <c r="C426" s="22"/>
    </row>
    <row r="427" spans="1:3" x14ac:dyDescent="0.3">
      <c r="A427" s="20"/>
      <c r="B427" s="21"/>
      <c r="C427" s="22"/>
    </row>
    <row r="428" spans="1:3" x14ac:dyDescent="0.3">
      <c r="A428" s="20"/>
      <c r="B428" s="21"/>
      <c r="C428" s="22"/>
    </row>
    <row r="429" spans="1:3" x14ac:dyDescent="0.3">
      <c r="A429" s="20"/>
      <c r="B429" s="21"/>
      <c r="C429" s="22"/>
    </row>
    <row r="430" spans="1:3" x14ac:dyDescent="0.3">
      <c r="A430" s="20"/>
      <c r="B430" s="21"/>
      <c r="C430" s="22"/>
    </row>
    <row r="431" spans="1:3" x14ac:dyDescent="0.3">
      <c r="A431" s="20"/>
      <c r="B431" s="21"/>
      <c r="C431" s="22"/>
    </row>
    <row r="432" spans="1:3" x14ac:dyDescent="0.3">
      <c r="A432" s="20"/>
      <c r="B432" s="21"/>
      <c r="C432" s="22"/>
    </row>
    <row r="433" spans="1:3" x14ac:dyDescent="0.3">
      <c r="A433" s="20"/>
      <c r="B433" s="21"/>
      <c r="C433" s="22"/>
    </row>
    <row r="434" spans="1:3" x14ac:dyDescent="0.3">
      <c r="A434" s="20"/>
      <c r="B434" s="21"/>
      <c r="C434" s="22"/>
    </row>
    <row r="435" spans="1:3" x14ac:dyDescent="0.3">
      <c r="A435" s="20"/>
      <c r="B435" s="21"/>
      <c r="C435" s="22"/>
    </row>
    <row r="436" spans="1:3" x14ac:dyDescent="0.3">
      <c r="A436" s="20"/>
      <c r="B436" s="21"/>
      <c r="C436" s="22"/>
    </row>
    <row r="437" spans="1:3" x14ac:dyDescent="0.3">
      <c r="A437" s="20"/>
      <c r="B437" s="21"/>
      <c r="C437" s="22"/>
    </row>
    <row r="438" spans="1:3" x14ac:dyDescent="0.3">
      <c r="A438" s="20"/>
      <c r="B438" s="21"/>
      <c r="C438" s="22"/>
    </row>
    <row r="439" spans="1:3" x14ac:dyDescent="0.3">
      <c r="A439" s="20"/>
      <c r="B439" s="21"/>
      <c r="C439" s="22"/>
    </row>
    <row r="440" spans="1:3" x14ac:dyDescent="0.3">
      <c r="A440" s="20"/>
      <c r="B440" s="21"/>
      <c r="C440" s="22"/>
    </row>
    <row r="441" spans="1:3" x14ac:dyDescent="0.3">
      <c r="A441" s="20"/>
      <c r="B441" s="21"/>
      <c r="C441" s="22"/>
    </row>
    <row r="442" spans="1:3" x14ac:dyDescent="0.3">
      <c r="A442" s="20"/>
      <c r="B442" s="21"/>
      <c r="C442" s="22"/>
    </row>
    <row r="443" spans="1:3" x14ac:dyDescent="0.3">
      <c r="A443" s="20"/>
      <c r="B443" s="21"/>
      <c r="C443" s="22"/>
    </row>
    <row r="444" spans="1:3" x14ac:dyDescent="0.3">
      <c r="A444" s="20"/>
      <c r="B444" s="21"/>
      <c r="C444" s="22"/>
    </row>
    <row r="445" spans="1:3" x14ac:dyDescent="0.3">
      <c r="A445" s="20"/>
      <c r="B445" s="21"/>
      <c r="C445" s="22"/>
    </row>
    <row r="446" spans="1:3" x14ac:dyDescent="0.3">
      <c r="A446" s="20"/>
      <c r="B446" s="21"/>
      <c r="C446" s="22"/>
    </row>
    <row r="447" spans="1:3" x14ac:dyDescent="0.3">
      <c r="A447" s="20"/>
      <c r="B447" s="21"/>
      <c r="C447" s="22"/>
    </row>
    <row r="448" spans="1:3" x14ac:dyDescent="0.3">
      <c r="A448" s="20"/>
      <c r="B448" s="21"/>
      <c r="C448" s="22"/>
    </row>
    <row r="449" spans="1:3" x14ac:dyDescent="0.3">
      <c r="A449" s="20"/>
      <c r="B449" s="21"/>
      <c r="C449" s="22"/>
    </row>
    <row r="450" spans="1:3" x14ac:dyDescent="0.3">
      <c r="A450" s="20"/>
      <c r="B450" s="21"/>
      <c r="C450" s="22"/>
    </row>
    <row r="451" spans="1:3" x14ac:dyDescent="0.3">
      <c r="A451" s="20"/>
      <c r="B451" s="21"/>
      <c r="C451" s="22"/>
    </row>
    <row r="452" spans="1:3" x14ac:dyDescent="0.3">
      <c r="A452" s="20"/>
      <c r="B452" s="21"/>
      <c r="C452" s="22"/>
    </row>
    <row r="453" spans="1:3" x14ac:dyDescent="0.3">
      <c r="A453" s="20"/>
      <c r="B453" s="21"/>
      <c r="C453" s="22"/>
    </row>
    <row r="454" spans="1:3" x14ac:dyDescent="0.3">
      <c r="A454" s="20"/>
      <c r="B454" s="21"/>
      <c r="C454" s="22"/>
    </row>
    <row r="455" spans="1:3" x14ac:dyDescent="0.3">
      <c r="A455" s="20"/>
      <c r="B455" s="21"/>
      <c r="C455" s="22"/>
    </row>
    <row r="456" spans="1:3" x14ac:dyDescent="0.3">
      <c r="A456" s="20"/>
      <c r="B456" s="21"/>
      <c r="C456" s="22"/>
    </row>
    <row r="457" spans="1:3" x14ac:dyDescent="0.3">
      <c r="A457" s="20"/>
      <c r="B457" s="21"/>
      <c r="C457" s="22"/>
    </row>
    <row r="458" spans="1:3" x14ac:dyDescent="0.3">
      <c r="A458" s="20"/>
      <c r="B458" s="21"/>
      <c r="C458" s="22"/>
    </row>
    <row r="459" spans="1:3" x14ac:dyDescent="0.3">
      <c r="A459" s="20"/>
      <c r="B459" s="21"/>
      <c r="C459" s="22"/>
    </row>
    <row r="460" spans="1:3" x14ac:dyDescent="0.3">
      <c r="A460" s="20"/>
      <c r="B460" s="21"/>
      <c r="C460" s="22"/>
    </row>
    <row r="461" spans="1:3" x14ac:dyDescent="0.3">
      <c r="A461" s="20"/>
      <c r="B461" s="21"/>
      <c r="C461" s="22"/>
    </row>
    <row r="462" spans="1:3" x14ac:dyDescent="0.3">
      <c r="A462" s="20"/>
      <c r="B462" s="21"/>
      <c r="C462" s="22"/>
    </row>
    <row r="463" spans="1:3" x14ac:dyDescent="0.3">
      <c r="A463" s="20"/>
      <c r="B463" s="21"/>
      <c r="C463" s="22"/>
    </row>
    <row r="464" spans="1:3" x14ac:dyDescent="0.3">
      <c r="A464" s="20"/>
      <c r="B464" s="21"/>
      <c r="C464" s="22"/>
    </row>
    <row r="465" spans="1:3" x14ac:dyDescent="0.3">
      <c r="A465" s="20"/>
      <c r="B465" s="21"/>
      <c r="C465" s="22"/>
    </row>
    <row r="466" spans="1:3" x14ac:dyDescent="0.3">
      <c r="A466" s="20"/>
      <c r="B466" s="21"/>
      <c r="C466" s="22"/>
    </row>
    <row r="467" spans="1:3" x14ac:dyDescent="0.3">
      <c r="A467" s="20"/>
      <c r="B467" s="21"/>
      <c r="C467" s="22"/>
    </row>
    <row r="468" spans="1:3" x14ac:dyDescent="0.3">
      <c r="A468" s="20"/>
      <c r="B468" s="21"/>
      <c r="C468" s="22"/>
    </row>
    <row r="469" spans="1:3" x14ac:dyDescent="0.3">
      <c r="A469" s="20"/>
      <c r="B469" s="21"/>
      <c r="C469" s="22"/>
    </row>
    <row r="470" spans="1:3" x14ac:dyDescent="0.3">
      <c r="A470" s="20"/>
      <c r="B470" s="21"/>
      <c r="C470" s="22"/>
    </row>
    <row r="471" spans="1:3" x14ac:dyDescent="0.3">
      <c r="A471" s="20"/>
      <c r="B471" s="21"/>
      <c r="C471" s="22"/>
    </row>
    <row r="472" spans="1:3" x14ac:dyDescent="0.3">
      <c r="A472" s="20"/>
      <c r="B472" s="21"/>
      <c r="C472" s="22"/>
    </row>
    <row r="473" spans="1:3" x14ac:dyDescent="0.3">
      <c r="A473" s="20"/>
      <c r="B473" s="21"/>
      <c r="C473" s="22"/>
    </row>
    <row r="474" spans="1:3" x14ac:dyDescent="0.3">
      <c r="A474" s="20"/>
      <c r="B474" s="21"/>
      <c r="C474" s="22"/>
    </row>
    <row r="475" spans="1:3" x14ac:dyDescent="0.3">
      <c r="A475" s="20"/>
      <c r="B475" s="21"/>
      <c r="C475" s="22"/>
    </row>
    <row r="476" spans="1:3" x14ac:dyDescent="0.3">
      <c r="A476" s="20"/>
      <c r="B476" s="21"/>
      <c r="C476" s="22"/>
    </row>
    <row r="477" spans="1:3" x14ac:dyDescent="0.3">
      <c r="A477" s="20"/>
      <c r="B477" s="21"/>
      <c r="C477" s="22"/>
    </row>
    <row r="478" spans="1:3" x14ac:dyDescent="0.3">
      <c r="A478" s="20"/>
      <c r="B478" s="21"/>
      <c r="C478" s="22"/>
    </row>
    <row r="479" spans="1:3" x14ac:dyDescent="0.3">
      <c r="A479" s="20"/>
      <c r="B479" s="21"/>
      <c r="C479" s="22"/>
    </row>
    <row r="480" spans="1:3" x14ac:dyDescent="0.3">
      <c r="A480" s="20"/>
      <c r="B480" s="21"/>
      <c r="C480" s="22"/>
    </row>
    <row r="481" spans="1:3" x14ac:dyDescent="0.3">
      <c r="A481" s="20"/>
      <c r="B481" s="21"/>
      <c r="C481" s="22"/>
    </row>
    <row r="482" spans="1:3" x14ac:dyDescent="0.3">
      <c r="A482" s="20"/>
      <c r="B482" s="21"/>
      <c r="C482" s="22"/>
    </row>
    <row r="483" spans="1:3" x14ac:dyDescent="0.3">
      <c r="A483" s="20"/>
      <c r="B483" s="21"/>
      <c r="C483" s="22"/>
    </row>
    <row r="484" spans="1:3" x14ac:dyDescent="0.3">
      <c r="A484" s="20"/>
      <c r="B484" s="21"/>
      <c r="C484" s="22"/>
    </row>
    <row r="485" spans="1:3" x14ac:dyDescent="0.3">
      <c r="A485" s="20"/>
      <c r="B485" s="21"/>
      <c r="C485" s="22"/>
    </row>
    <row r="486" spans="1:3" x14ac:dyDescent="0.3">
      <c r="A486" s="20"/>
      <c r="B486" s="21"/>
      <c r="C486" s="22"/>
    </row>
    <row r="487" spans="1:3" x14ac:dyDescent="0.3">
      <c r="A487" s="20"/>
      <c r="B487" s="21"/>
      <c r="C487" s="22"/>
    </row>
    <row r="488" spans="1:3" x14ac:dyDescent="0.3">
      <c r="A488" s="20"/>
      <c r="B488" s="21"/>
      <c r="C488" s="22"/>
    </row>
    <row r="489" spans="1:3" x14ac:dyDescent="0.3">
      <c r="A489" s="20"/>
      <c r="B489" s="21"/>
      <c r="C489" s="22"/>
    </row>
    <row r="490" spans="1:3" x14ac:dyDescent="0.3">
      <c r="A490" s="20"/>
      <c r="B490" s="21"/>
      <c r="C490" s="22"/>
    </row>
    <row r="491" spans="1:3" x14ac:dyDescent="0.3">
      <c r="A491" s="20"/>
      <c r="B491" s="21"/>
      <c r="C491" s="22"/>
    </row>
    <row r="492" spans="1:3" x14ac:dyDescent="0.3">
      <c r="A492" s="20"/>
      <c r="B492" s="21"/>
      <c r="C492" s="22"/>
    </row>
    <row r="493" spans="1:3" x14ac:dyDescent="0.3">
      <c r="A493" s="20"/>
      <c r="B493" s="21"/>
      <c r="C493" s="22"/>
    </row>
    <row r="494" spans="1:3" x14ac:dyDescent="0.3">
      <c r="A494" s="20"/>
      <c r="B494" s="21"/>
      <c r="C494" s="22"/>
    </row>
    <row r="495" spans="1:3" x14ac:dyDescent="0.3">
      <c r="A495" s="20"/>
      <c r="B495" s="21"/>
      <c r="C495" s="22"/>
    </row>
    <row r="496" spans="1:3" x14ac:dyDescent="0.3">
      <c r="A496" s="20"/>
      <c r="B496" s="21"/>
      <c r="C496" s="22"/>
    </row>
    <row r="497" spans="1:3" x14ac:dyDescent="0.3">
      <c r="A497" s="20"/>
      <c r="B497" s="21"/>
      <c r="C497" s="22"/>
    </row>
    <row r="498" spans="1:3" x14ac:dyDescent="0.3">
      <c r="A498" s="20"/>
      <c r="B498" s="21"/>
      <c r="C498" s="22"/>
    </row>
    <row r="499" spans="1:3" x14ac:dyDescent="0.3">
      <c r="A499" s="20"/>
      <c r="B499" s="21"/>
      <c r="C499" s="22"/>
    </row>
    <row r="500" spans="1:3" x14ac:dyDescent="0.3">
      <c r="A500" s="20"/>
      <c r="B500" s="21"/>
      <c r="C500" s="22"/>
    </row>
    <row r="501" spans="1:3" x14ac:dyDescent="0.3">
      <c r="A501" s="20"/>
      <c r="B501" s="21"/>
      <c r="C501" s="22"/>
    </row>
    <row r="502" spans="1:3" x14ac:dyDescent="0.3">
      <c r="A502" s="20"/>
      <c r="B502" s="21"/>
      <c r="C502" s="22"/>
    </row>
    <row r="503" spans="1:3" x14ac:dyDescent="0.3">
      <c r="A503" s="20"/>
      <c r="B503" s="21"/>
      <c r="C503" s="22"/>
    </row>
    <row r="504" spans="1:3" x14ac:dyDescent="0.3">
      <c r="A504" s="20"/>
      <c r="B504" s="21"/>
      <c r="C504" s="22"/>
    </row>
    <row r="505" spans="1:3" x14ac:dyDescent="0.3">
      <c r="A505" s="20"/>
      <c r="B505" s="21"/>
      <c r="C505" s="22"/>
    </row>
    <row r="506" spans="1:3" x14ac:dyDescent="0.3">
      <c r="A506" s="20"/>
      <c r="B506" s="21"/>
      <c r="C506" s="22"/>
    </row>
    <row r="507" spans="1:3" x14ac:dyDescent="0.3">
      <c r="A507" s="20"/>
      <c r="B507" s="21"/>
      <c r="C507" s="22"/>
    </row>
    <row r="508" spans="1:3" x14ac:dyDescent="0.3">
      <c r="A508" s="20"/>
      <c r="B508" s="21"/>
      <c r="C508" s="22"/>
    </row>
    <row r="509" spans="1:3" x14ac:dyDescent="0.3">
      <c r="A509" s="20"/>
      <c r="B509" s="21"/>
      <c r="C509" s="22"/>
    </row>
    <row r="510" spans="1:3" x14ac:dyDescent="0.3">
      <c r="A510" s="20"/>
      <c r="B510" s="21"/>
      <c r="C510" s="22"/>
    </row>
    <row r="511" spans="1:3" x14ac:dyDescent="0.3">
      <c r="A511" s="20"/>
      <c r="B511" s="21"/>
      <c r="C511" s="22"/>
    </row>
    <row r="512" spans="1:3" x14ac:dyDescent="0.3">
      <c r="A512" s="20"/>
      <c r="B512" s="21"/>
      <c r="C512" s="22"/>
    </row>
    <row r="513" spans="1:3" x14ac:dyDescent="0.3">
      <c r="A513" s="20"/>
      <c r="B513" s="21"/>
      <c r="C513" s="22"/>
    </row>
    <row r="514" spans="1:3" x14ac:dyDescent="0.3">
      <c r="A514" s="20"/>
      <c r="B514" s="21"/>
      <c r="C514" s="22"/>
    </row>
    <row r="515" spans="1:3" x14ac:dyDescent="0.3">
      <c r="A515" s="20"/>
      <c r="B515" s="21"/>
      <c r="C515" s="22"/>
    </row>
    <row r="516" spans="1:3" x14ac:dyDescent="0.3">
      <c r="A516" s="20"/>
      <c r="B516" s="21"/>
      <c r="C516" s="22"/>
    </row>
    <row r="517" spans="1:3" x14ac:dyDescent="0.3">
      <c r="A517" s="20"/>
      <c r="B517" s="21"/>
      <c r="C517" s="22"/>
    </row>
    <row r="518" spans="1:3" x14ac:dyDescent="0.3">
      <c r="A518" s="20"/>
      <c r="B518" s="21"/>
      <c r="C518" s="22"/>
    </row>
    <row r="519" spans="1:3" x14ac:dyDescent="0.3">
      <c r="A519" s="20"/>
      <c r="B519" s="21"/>
      <c r="C519" s="22"/>
    </row>
    <row r="520" spans="1:3" x14ac:dyDescent="0.3">
      <c r="A520" s="20"/>
      <c r="B520" s="21"/>
      <c r="C520" s="22"/>
    </row>
    <row r="521" spans="1:3" x14ac:dyDescent="0.3">
      <c r="A521" s="20"/>
      <c r="B521" s="21"/>
      <c r="C521" s="22"/>
    </row>
    <row r="522" spans="1:3" x14ac:dyDescent="0.3">
      <c r="A522" s="20"/>
      <c r="B522" s="21"/>
      <c r="C522" s="22"/>
    </row>
    <row r="523" spans="1:3" x14ac:dyDescent="0.3">
      <c r="A523" s="20"/>
      <c r="B523" s="21"/>
      <c r="C523" s="22"/>
    </row>
    <row r="524" spans="1:3" x14ac:dyDescent="0.3">
      <c r="A524" s="20"/>
      <c r="B524" s="21"/>
      <c r="C524" s="22"/>
    </row>
    <row r="525" spans="1:3" x14ac:dyDescent="0.3">
      <c r="A525" s="20"/>
      <c r="B525" s="21"/>
      <c r="C525" s="22"/>
    </row>
    <row r="526" spans="1:3" x14ac:dyDescent="0.3">
      <c r="A526" s="20"/>
      <c r="B526" s="21"/>
      <c r="C526" s="22"/>
    </row>
    <row r="527" spans="1:3" x14ac:dyDescent="0.3">
      <c r="A527" s="20"/>
      <c r="B527" s="21"/>
      <c r="C527" s="22"/>
    </row>
    <row r="528" spans="1:3" x14ac:dyDescent="0.3">
      <c r="A528" s="20"/>
      <c r="B528" s="21"/>
      <c r="C528" s="22"/>
    </row>
    <row r="529" spans="1:3" x14ac:dyDescent="0.3">
      <c r="A529" s="20"/>
      <c r="B529" s="21"/>
      <c r="C529" s="22"/>
    </row>
    <row r="530" spans="1:3" x14ac:dyDescent="0.3">
      <c r="A530" s="20"/>
      <c r="B530" s="21"/>
      <c r="C530" s="22"/>
    </row>
    <row r="531" spans="1:3" x14ac:dyDescent="0.3">
      <c r="A531" s="20"/>
      <c r="B531" s="21"/>
      <c r="C531" s="22"/>
    </row>
    <row r="532" spans="1:3" x14ac:dyDescent="0.3">
      <c r="A532" s="20"/>
      <c r="B532" s="21"/>
      <c r="C532" s="22"/>
    </row>
    <row r="533" spans="1:3" x14ac:dyDescent="0.3">
      <c r="A533" s="20"/>
      <c r="B533" s="21"/>
      <c r="C533" s="22"/>
    </row>
    <row r="534" spans="1:3" x14ac:dyDescent="0.3">
      <c r="A534" s="20"/>
      <c r="B534" s="21"/>
      <c r="C534" s="22"/>
    </row>
    <row r="535" spans="1:3" x14ac:dyDescent="0.3">
      <c r="A535" s="20"/>
      <c r="B535" s="21"/>
      <c r="C535" s="22"/>
    </row>
    <row r="536" spans="1:3" x14ac:dyDescent="0.3">
      <c r="A536" s="20"/>
      <c r="B536" s="21"/>
      <c r="C536" s="22"/>
    </row>
    <row r="537" spans="1:3" x14ac:dyDescent="0.3">
      <c r="A537" s="20"/>
      <c r="B537" s="21"/>
      <c r="C537" s="22"/>
    </row>
    <row r="538" spans="1:3" x14ac:dyDescent="0.3">
      <c r="A538" s="20"/>
      <c r="B538" s="21"/>
      <c r="C538" s="22"/>
    </row>
    <row r="539" spans="1:3" x14ac:dyDescent="0.3">
      <c r="A539" s="20"/>
      <c r="B539" s="21"/>
      <c r="C539" s="22"/>
    </row>
    <row r="540" spans="1:3" x14ac:dyDescent="0.3">
      <c r="A540" s="20"/>
      <c r="B540" s="21"/>
      <c r="C540" s="22"/>
    </row>
    <row r="541" spans="1:3" x14ac:dyDescent="0.3">
      <c r="A541" s="20"/>
      <c r="B541" s="21"/>
      <c r="C541" s="22"/>
    </row>
    <row r="542" spans="1:3" x14ac:dyDescent="0.3">
      <c r="A542" s="20"/>
      <c r="B542" s="21"/>
      <c r="C542" s="22"/>
    </row>
    <row r="543" spans="1:3" x14ac:dyDescent="0.3">
      <c r="A543" s="20"/>
      <c r="B543" s="21"/>
      <c r="C543" s="22"/>
    </row>
    <row r="544" spans="1:3" x14ac:dyDescent="0.3">
      <c r="A544" s="20"/>
      <c r="B544" s="21"/>
      <c r="C544" s="22"/>
    </row>
    <row r="545" spans="1:3" x14ac:dyDescent="0.3">
      <c r="A545" s="20"/>
      <c r="B545" s="21"/>
      <c r="C545" s="22"/>
    </row>
    <row r="546" spans="1:3" x14ac:dyDescent="0.3">
      <c r="A546" s="20"/>
      <c r="B546" s="21"/>
      <c r="C546" s="22"/>
    </row>
    <row r="547" spans="1:3" x14ac:dyDescent="0.3">
      <c r="A547" s="20"/>
      <c r="B547" s="21"/>
      <c r="C547" s="22"/>
    </row>
    <row r="548" spans="1:3" x14ac:dyDescent="0.3">
      <c r="A548" s="20"/>
      <c r="B548" s="21"/>
      <c r="C548" s="22"/>
    </row>
    <row r="549" spans="1:3" x14ac:dyDescent="0.3">
      <c r="A549" s="20"/>
      <c r="B549" s="21"/>
      <c r="C549" s="22"/>
    </row>
    <row r="550" spans="1:3" x14ac:dyDescent="0.3">
      <c r="A550" s="20"/>
      <c r="B550" s="21"/>
      <c r="C550" s="22"/>
    </row>
    <row r="551" spans="1:3" x14ac:dyDescent="0.3">
      <c r="A551" s="20"/>
      <c r="B551" s="21"/>
      <c r="C551" s="22"/>
    </row>
    <row r="552" spans="1:3" x14ac:dyDescent="0.3">
      <c r="A552" s="20"/>
      <c r="B552" s="21"/>
      <c r="C552" s="22"/>
    </row>
    <row r="553" spans="1:3" x14ac:dyDescent="0.3">
      <c r="A553" s="20"/>
      <c r="B553" s="21"/>
      <c r="C553" s="22"/>
    </row>
    <row r="554" spans="1:3" x14ac:dyDescent="0.3">
      <c r="A554" s="20"/>
      <c r="B554" s="21"/>
      <c r="C554" s="22"/>
    </row>
    <row r="555" spans="1:3" x14ac:dyDescent="0.3">
      <c r="A555" s="20"/>
      <c r="B555" s="21"/>
      <c r="C555" s="22"/>
    </row>
    <row r="556" spans="1:3" x14ac:dyDescent="0.3">
      <c r="A556" s="20"/>
      <c r="B556" s="21"/>
      <c r="C556" s="22"/>
    </row>
    <row r="557" spans="1:3" x14ac:dyDescent="0.3">
      <c r="A557" s="20"/>
      <c r="B557" s="21"/>
      <c r="C557" s="22"/>
    </row>
    <row r="558" spans="1:3" x14ac:dyDescent="0.3">
      <c r="A558" s="20"/>
      <c r="B558" s="21"/>
      <c r="C558" s="22"/>
    </row>
    <row r="559" spans="1:3" x14ac:dyDescent="0.3">
      <c r="A559" s="20"/>
      <c r="B559" s="21"/>
      <c r="C559" s="22"/>
    </row>
    <row r="560" spans="1:3" x14ac:dyDescent="0.3">
      <c r="A560" s="20"/>
      <c r="B560" s="21"/>
      <c r="C560" s="22"/>
    </row>
    <row r="561" spans="1:3" x14ac:dyDescent="0.3">
      <c r="A561" s="20"/>
      <c r="B561" s="21"/>
      <c r="C561" s="22"/>
    </row>
    <row r="562" spans="1:3" x14ac:dyDescent="0.3">
      <c r="A562" s="20"/>
      <c r="B562" s="21"/>
      <c r="C562" s="22"/>
    </row>
    <row r="563" spans="1:3" x14ac:dyDescent="0.3">
      <c r="A563" s="20"/>
      <c r="B563" s="21"/>
      <c r="C563" s="22"/>
    </row>
    <row r="564" spans="1:3" x14ac:dyDescent="0.3">
      <c r="A564" s="20"/>
      <c r="B564" s="21"/>
      <c r="C564" s="22"/>
    </row>
    <row r="565" spans="1:3" x14ac:dyDescent="0.3">
      <c r="A565" s="20"/>
      <c r="B565" s="21"/>
      <c r="C565" s="22"/>
    </row>
    <row r="566" spans="1:3" x14ac:dyDescent="0.3">
      <c r="A566" s="20"/>
      <c r="B566" s="21"/>
      <c r="C566" s="22"/>
    </row>
    <row r="567" spans="1:3" x14ac:dyDescent="0.3">
      <c r="A567" s="20"/>
      <c r="B567" s="21"/>
      <c r="C567" s="22"/>
    </row>
    <row r="568" spans="1:3" x14ac:dyDescent="0.3">
      <c r="A568" s="20"/>
      <c r="B568" s="21"/>
      <c r="C568" s="22"/>
    </row>
    <row r="569" spans="1:3" x14ac:dyDescent="0.3">
      <c r="A569" s="20"/>
      <c r="B569" s="21"/>
      <c r="C569" s="22"/>
    </row>
    <row r="570" spans="1:3" x14ac:dyDescent="0.3">
      <c r="A570" s="20"/>
      <c r="B570" s="21"/>
      <c r="C570" s="22"/>
    </row>
    <row r="571" spans="1:3" x14ac:dyDescent="0.3">
      <c r="A571" s="20"/>
      <c r="B571" s="21"/>
      <c r="C571" s="22"/>
    </row>
    <row r="572" spans="1:3" x14ac:dyDescent="0.3">
      <c r="A572" s="20"/>
      <c r="B572" s="21"/>
      <c r="C572" s="22"/>
    </row>
    <row r="573" spans="1:3" x14ac:dyDescent="0.3">
      <c r="A573" s="20"/>
      <c r="B573" s="21"/>
      <c r="C573" s="22"/>
    </row>
    <row r="574" spans="1:3" x14ac:dyDescent="0.3">
      <c r="A574" s="20"/>
      <c r="B574" s="21"/>
      <c r="C574" s="22"/>
    </row>
    <row r="575" spans="1:3" x14ac:dyDescent="0.3">
      <c r="A575" s="20"/>
      <c r="B575" s="21"/>
      <c r="C575" s="22"/>
    </row>
    <row r="576" spans="1:3" x14ac:dyDescent="0.3">
      <c r="A576" s="20"/>
      <c r="B576" s="21"/>
      <c r="C576" s="22"/>
    </row>
    <row r="577" spans="1:3" x14ac:dyDescent="0.3">
      <c r="A577" s="20"/>
      <c r="B577" s="21"/>
      <c r="C577" s="22"/>
    </row>
    <row r="578" spans="1:3" x14ac:dyDescent="0.3">
      <c r="A578" s="20"/>
      <c r="B578" s="21"/>
      <c r="C578" s="22"/>
    </row>
    <row r="579" spans="1:3" x14ac:dyDescent="0.3">
      <c r="A579" s="20"/>
      <c r="B579" s="21"/>
      <c r="C579" s="22"/>
    </row>
    <row r="580" spans="1:3" x14ac:dyDescent="0.3">
      <c r="A580" s="20"/>
      <c r="B580" s="21"/>
      <c r="C580" s="22"/>
    </row>
    <row r="581" spans="1:3" x14ac:dyDescent="0.3">
      <c r="A581" s="20"/>
      <c r="B581" s="21"/>
      <c r="C581" s="22"/>
    </row>
    <row r="582" spans="1:3" x14ac:dyDescent="0.3">
      <c r="A582" s="20"/>
      <c r="B582" s="21"/>
      <c r="C582" s="22"/>
    </row>
    <row r="583" spans="1:3" x14ac:dyDescent="0.3">
      <c r="A583" s="20"/>
      <c r="B583" s="21"/>
      <c r="C583" s="22"/>
    </row>
    <row r="584" spans="1:3" x14ac:dyDescent="0.3">
      <c r="A584" s="20"/>
      <c r="B584" s="21"/>
      <c r="C584" s="22"/>
    </row>
    <row r="585" spans="1:3" x14ac:dyDescent="0.3">
      <c r="A585" s="20"/>
      <c r="B585" s="21"/>
      <c r="C585" s="22"/>
    </row>
    <row r="586" spans="1:3" x14ac:dyDescent="0.3">
      <c r="A586" s="20"/>
      <c r="B586" s="21"/>
      <c r="C586" s="22"/>
    </row>
    <row r="587" spans="1:3" x14ac:dyDescent="0.3">
      <c r="A587" s="20"/>
      <c r="B587" s="21"/>
      <c r="C587" s="22"/>
    </row>
    <row r="588" spans="1:3" x14ac:dyDescent="0.3">
      <c r="A588" s="20"/>
      <c r="B588" s="21"/>
      <c r="C588" s="22"/>
    </row>
    <row r="589" spans="1:3" x14ac:dyDescent="0.3">
      <c r="A589" s="20"/>
      <c r="B589" s="21"/>
      <c r="C589" s="22"/>
    </row>
    <row r="590" spans="1:3" x14ac:dyDescent="0.3">
      <c r="A590" s="20"/>
      <c r="B590" s="21"/>
      <c r="C590" s="22"/>
    </row>
    <row r="591" spans="1:3" x14ac:dyDescent="0.3">
      <c r="A591" s="20"/>
      <c r="B591" s="21"/>
      <c r="C591" s="22"/>
    </row>
    <row r="592" spans="1:3" x14ac:dyDescent="0.3">
      <c r="A592" s="20"/>
      <c r="B592" s="21"/>
      <c r="C592" s="22"/>
    </row>
    <row r="593" spans="1:3" x14ac:dyDescent="0.3">
      <c r="A593" s="20"/>
      <c r="B593" s="21"/>
      <c r="C593" s="22"/>
    </row>
    <row r="594" spans="1:3" x14ac:dyDescent="0.3">
      <c r="A594" s="20"/>
      <c r="B594" s="21"/>
      <c r="C594" s="22"/>
    </row>
    <row r="595" spans="1:3" x14ac:dyDescent="0.3">
      <c r="A595" s="20"/>
      <c r="B595" s="21"/>
      <c r="C595" s="22"/>
    </row>
    <row r="596" spans="1:3" x14ac:dyDescent="0.3">
      <c r="A596" s="20"/>
      <c r="B596" s="21"/>
      <c r="C596" s="22"/>
    </row>
    <row r="597" spans="1:3" x14ac:dyDescent="0.3">
      <c r="A597" s="20"/>
      <c r="B597" s="21"/>
      <c r="C597" s="22"/>
    </row>
    <row r="598" spans="1:3" x14ac:dyDescent="0.3">
      <c r="A598" s="20"/>
      <c r="B598" s="21"/>
      <c r="C598" s="22"/>
    </row>
    <row r="599" spans="1:3" x14ac:dyDescent="0.3">
      <c r="A599" s="20"/>
      <c r="B599" s="21"/>
      <c r="C599" s="22"/>
    </row>
    <row r="600" spans="1:3" x14ac:dyDescent="0.3">
      <c r="A600" s="20"/>
      <c r="B600" s="21"/>
      <c r="C600" s="22"/>
    </row>
    <row r="601" spans="1:3" x14ac:dyDescent="0.3">
      <c r="A601" s="20"/>
      <c r="B601" s="21"/>
      <c r="C601" s="22"/>
    </row>
    <row r="602" spans="1:3" x14ac:dyDescent="0.3">
      <c r="A602" s="20"/>
      <c r="B602" s="21"/>
      <c r="C602" s="22"/>
    </row>
    <row r="603" spans="1:3" x14ac:dyDescent="0.3">
      <c r="A603" s="20"/>
      <c r="B603" s="21"/>
      <c r="C603" s="22"/>
    </row>
    <row r="604" spans="1:3" x14ac:dyDescent="0.3">
      <c r="A604" s="20"/>
      <c r="B604" s="21"/>
      <c r="C604" s="22"/>
    </row>
    <row r="605" spans="1:3" x14ac:dyDescent="0.3">
      <c r="A605" s="20"/>
      <c r="B605" s="21"/>
      <c r="C605" s="22"/>
    </row>
    <row r="606" spans="1:3" x14ac:dyDescent="0.3">
      <c r="A606" s="20"/>
      <c r="B606" s="21"/>
      <c r="C606" s="22"/>
    </row>
    <row r="607" spans="1:3" x14ac:dyDescent="0.3">
      <c r="A607" s="20"/>
      <c r="B607" s="21"/>
      <c r="C607" s="22"/>
    </row>
    <row r="608" spans="1:3" x14ac:dyDescent="0.3">
      <c r="A608" s="20"/>
      <c r="B608" s="21"/>
      <c r="C608" s="22"/>
    </row>
    <row r="609" spans="1:3" x14ac:dyDescent="0.3">
      <c r="A609" s="20"/>
      <c r="B609" s="21"/>
      <c r="C609" s="22"/>
    </row>
    <row r="610" spans="1:3" x14ac:dyDescent="0.3">
      <c r="A610" s="20"/>
      <c r="B610" s="21"/>
      <c r="C610" s="22"/>
    </row>
    <row r="611" spans="1:3" x14ac:dyDescent="0.3">
      <c r="A611" s="20"/>
      <c r="B611" s="21"/>
      <c r="C611" s="22"/>
    </row>
    <row r="612" spans="1:3" x14ac:dyDescent="0.3">
      <c r="A612" s="20"/>
      <c r="B612" s="21"/>
      <c r="C612" s="22"/>
    </row>
    <row r="613" spans="1:3" x14ac:dyDescent="0.3">
      <c r="A613" s="20"/>
      <c r="B613" s="21"/>
      <c r="C613" s="22"/>
    </row>
    <row r="614" spans="1:3" x14ac:dyDescent="0.3">
      <c r="A614" s="20"/>
      <c r="B614" s="21"/>
      <c r="C614" s="22"/>
    </row>
    <row r="615" spans="1:3" x14ac:dyDescent="0.3">
      <c r="A615" s="20"/>
      <c r="B615" s="21"/>
      <c r="C615" s="22"/>
    </row>
    <row r="616" spans="1:3" x14ac:dyDescent="0.3">
      <c r="A616" s="20"/>
      <c r="B616" s="21"/>
      <c r="C616" s="22"/>
    </row>
    <row r="617" spans="1:3" x14ac:dyDescent="0.3">
      <c r="A617" s="20"/>
      <c r="B617" s="21"/>
      <c r="C617" s="22"/>
    </row>
    <row r="618" spans="1:3" x14ac:dyDescent="0.3">
      <c r="A618" s="20"/>
      <c r="B618" s="21"/>
      <c r="C618" s="22"/>
    </row>
    <row r="619" spans="1:3" x14ac:dyDescent="0.3">
      <c r="A619" s="20"/>
      <c r="B619" s="21"/>
      <c r="C619" s="22"/>
    </row>
    <row r="620" spans="1:3" x14ac:dyDescent="0.3">
      <c r="A620" s="20"/>
      <c r="B620" s="21"/>
      <c r="C620" s="22"/>
    </row>
    <row r="621" spans="1:3" x14ac:dyDescent="0.3">
      <c r="A621" s="20"/>
      <c r="B621" s="21"/>
      <c r="C621" s="22"/>
    </row>
    <row r="622" spans="1:3" x14ac:dyDescent="0.3">
      <c r="A622" s="20"/>
      <c r="B622" s="21"/>
      <c r="C622" s="22"/>
    </row>
    <row r="623" spans="1:3" x14ac:dyDescent="0.3">
      <c r="A623" s="20"/>
      <c r="B623" s="21"/>
      <c r="C623" s="22"/>
    </row>
    <row r="624" spans="1:3" x14ac:dyDescent="0.3">
      <c r="A624" s="20"/>
      <c r="B624" s="21"/>
      <c r="C624" s="22"/>
    </row>
    <row r="625" spans="1:3" x14ac:dyDescent="0.3">
      <c r="A625" s="20"/>
      <c r="B625" s="21"/>
      <c r="C625" s="22"/>
    </row>
    <row r="626" spans="1:3" x14ac:dyDescent="0.3">
      <c r="A626" s="20"/>
      <c r="B626" s="21"/>
      <c r="C626" s="22"/>
    </row>
    <row r="627" spans="1:3" x14ac:dyDescent="0.3">
      <c r="A627" s="20"/>
      <c r="B627" s="21"/>
      <c r="C627" s="22"/>
    </row>
    <row r="628" spans="1:3" x14ac:dyDescent="0.3">
      <c r="A628" s="20"/>
      <c r="B628" s="21"/>
      <c r="C628" s="22"/>
    </row>
    <row r="629" spans="1:3" x14ac:dyDescent="0.3">
      <c r="A629" s="20"/>
      <c r="B629" s="21"/>
      <c r="C629" s="22"/>
    </row>
    <row r="630" spans="1:3" x14ac:dyDescent="0.3">
      <c r="A630" s="20"/>
      <c r="B630" s="21"/>
      <c r="C630" s="22"/>
    </row>
    <row r="631" spans="1:3" x14ac:dyDescent="0.3">
      <c r="A631" s="20"/>
      <c r="B631" s="21"/>
      <c r="C631" s="22"/>
    </row>
    <row r="632" spans="1:3" x14ac:dyDescent="0.3">
      <c r="A632" s="20"/>
      <c r="B632" s="21"/>
      <c r="C632" s="22"/>
    </row>
    <row r="633" spans="1:3" x14ac:dyDescent="0.3">
      <c r="A633" s="20"/>
      <c r="B633" s="21"/>
      <c r="C633" s="22"/>
    </row>
    <row r="634" spans="1:3" x14ac:dyDescent="0.3">
      <c r="A634" s="20"/>
      <c r="B634" s="21"/>
      <c r="C634" s="22"/>
    </row>
    <row r="635" spans="1:3" x14ac:dyDescent="0.3">
      <c r="A635" s="20"/>
      <c r="B635" s="21"/>
      <c r="C635" s="22"/>
    </row>
    <row r="636" spans="1:3" x14ac:dyDescent="0.3">
      <c r="A636" s="20"/>
      <c r="B636" s="21"/>
      <c r="C636" s="22"/>
    </row>
    <row r="637" spans="1:3" x14ac:dyDescent="0.3">
      <c r="A637" s="20"/>
      <c r="B637" s="21"/>
      <c r="C637" s="22"/>
    </row>
    <row r="638" spans="1:3" x14ac:dyDescent="0.3">
      <c r="A638" s="20"/>
      <c r="B638" s="21"/>
      <c r="C638" s="22"/>
    </row>
    <row r="639" spans="1:3" x14ac:dyDescent="0.3">
      <c r="A639" s="20"/>
      <c r="B639" s="21"/>
      <c r="C639" s="22"/>
    </row>
    <row r="640" spans="1:3" x14ac:dyDescent="0.3">
      <c r="A640" s="20"/>
      <c r="B640" s="21"/>
      <c r="C640" s="22"/>
    </row>
    <row r="641" spans="1:3" x14ac:dyDescent="0.3">
      <c r="A641" s="20"/>
      <c r="B641" s="21"/>
      <c r="C641" s="22"/>
    </row>
    <row r="642" spans="1:3" x14ac:dyDescent="0.3">
      <c r="A642" s="20"/>
      <c r="B642" s="21"/>
      <c r="C642" s="22"/>
    </row>
    <row r="643" spans="1:3" x14ac:dyDescent="0.3">
      <c r="A643" s="20"/>
      <c r="B643" s="21"/>
      <c r="C643" s="22"/>
    </row>
    <row r="644" spans="1:3" x14ac:dyDescent="0.3">
      <c r="A644" s="20"/>
      <c r="B644" s="21"/>
      <c r="C644" s="22"/>
    </row>
    <row r="645" spans="1:3" x14ac:dyDescent="0.3">
      <c r="A645" s="20"/>
      <c r="B645" s="21"/>
      <c r="C645" s="22"/>
    </row>
    <row r="646" spans="1:3" x14ac:dyDescent="0.3">
      <c r="A646" s="20"/>
      <c r="B646" s="21"/>
      <c r="C646" s="22"/>
    </row>
    <row r="647" spans="1:3" x14ac:dyDescent="0.3">
      <c r="A647" s="20"/>
      <c r="B647" s="21"/>
      <c r="C647" s="22"/>
    </row>
    <row r="648" spans="1:3" x14ac:dyDescent="0.3">
      <c r="A648" s="20"/>
      <c r="B648" s="21"/>
      <c r="C648" s="22"/>
    </row>
    <row r="649" spans="1:3" x14ac:dyDescent="0.3">
      <c r="A649" s="20"/>
      <c r="B649" s="21"/>
      <c r="C649" s="22"/>
    </row>
    <row r="650" spans="1:3" x14ac:dyDescent="0.3">
      <c r="A650" s="20"/>
      <c r="B650" s="21"/>
      <c r="C650" s="22"/>
    </row>
    <row r="651" spans="1:3" x14ac:dyDescent="0.3">
      <c r="A651" s="20"/>
      <c r="B651" s="21"/>
      <c r="C651" s="22"/>
    </row>
    <row r="652" spans="1:3" x14ac:dyDescent="0.3">
      <c r="A652" s="20"/>
      <c r="B652" s="21"/>
      <c r="C652" s="22"/>
    </row>
    <row r="653" spans="1:3" x14ac:dyDescent="0.3">
      <c r="A653" s="20"/>
      <c r="B653" s="21"/>
      <c r="C653" s="22"/>
    </row>
    <row r="654" spans="1:3" x14ac:dyDescent="0.3">
      <c r="A654" s="20"/>
      <c r="B654" s="21"/>
      <c r="C654" s="22"/>
    </row>
    <row r="655" spans="1:3" x14ac:dyDescent="0.3">
      <c r="A655" s="20"/>
      <c r="B655" s="21"/>
      <c r="C655" s="22"/>
    </row>
    <row r="656" spans="1:3" x14ac:dyDescent="0.3">
      <c r="A656" s="20"/>
      <c r="B656" s="21"/>
      <c r="C656" s="22"/>
    </row>
    <row r="657" spans="1:3" x14ac:dyDescent="0.3">
      <c r="A657" s="20"/>
      <c r="B657" s="21"/>
      <c r="C657" s="22"/>
    </row>
    <row r="658" spans="1:3" x14ac:dyDescent="0.3">
      <c r="A658" s="20"/>
      <c r="B658" s="21"/>
      <c r="C658" s="22"/>
    </row>
    <row r="659" spans="1:3" x14ac:dyDescent="0.3">
      <c r="A659" s="20"/>
      <c r="B659" s="21"/>
      <c r="C659" s="22"/>
    </row>
    <row r="660" spans="1:3" x14ac:dyDescent="0.3">
      <c r="A660" s="20"/>
      <c r="B660" s="21"/>
      <c r="C660" s="22"/>
    </row>
    <row r="661" spans="1:3" x14ac:dyDescent="0.3">
      <c r="A661" s="20"/>
      <c r="B661" s="21"/>
      <c r="C661" s="22"/>
    </row>
    <row r="662" spans="1:3" x14ac:dyDescent="0.3">
      <c r="A662" s="20"/>
      <c r="B662" s="21"/>
      <c r="C662" s="22"/>
    </row>
    <row r="663" spans="1:3" x14ac:dyDescent="0.3">
      <c r="A663" s="20"/>
      <c r="B663" s="21"/>
      <c r="C663" s="22"/>
    </row>
    <row r="664" spans="1:3" x14ac:dyDescent="0.3">
      <c r="A664" s="20"/>
      <c r="B664" s="21"/>
      <c r="C664" s="22"/>
    </row>
    <row r="665" spans="1:3" x14ac:dyDescent="0.3">
      <c r="A665" s="20"/>
      <c r="B665" s="21"/>
      <c r="C665" s="22"/>
    </row>
    <row r="666" spans="1:3" x14ac:dyDescent="0.3">
      <c r="A666" s="20"/>
      <c r="B666" s="21"/>
      <c r="C666" s="22"/>
    </row>
    <row r="667" spans="1:3" x14ac:dyDescent="0.3">
      <c r="A667" s="20"/>
      <c r="B667" s="21"/>
      <c r="C667" s="22"/>
    </row>
    <row r="668" spans="1:3" x14ac:dyDescent="0.3">
      <c r="A668" s="20"/>
      <c r="B668" s="21"/>
      <c r="C668" s="22"/>
    </row>
    <row r="669" spans="1:3" x14ac:dyDescent="0.3">
      <c r="A669" s="20"/>
      <c r="B669" s="21"/>
      <c r="C669" s="22"/>
    </row>
    <row r="670" spans="1:3" x14ac:dyDescent="0.3">
      <c r="A670" s="20"/>
      <c r="B670" s="21"/>
      <c r="C670" s="22"/>
    </row>
    <row r="671" spans="1:3" x14ac:dyDescent="0.3">
      <c r="A671" s="20"/>
      <c r="B671" s="21"/>
      <c r="C671" s="22"/>
    </row>
    <row r="672" spans="1:3" x14ac:dyDescent="0.3">
      <c r="A672" s="20"/>
      <c r="B672" s="21"/>
      <c r="C672" s="22"/>
    </row>
    <row r="673" spans="1:3" x14ac:dyDescent="0.3">
      <c r="A673" s="20"/>
      <c r="B673" s="21"/>
      <c r="C673" s="22"/>
    </row>
    <row r="674" spans="1:3" x14ac:dyDescent="0.3">
      <c r="A674" s="20"/>
      <c r="B674" s="21"/>
      <c r="C674" s="22"/>
    </row>
    <row r="675" spans="1:3" x14ac:dyDescent="0.3">
      <c r="A675" s="20"/>
      <c r="B675" s="21"/>
      <c r="C675" s="22"/>
    </row>
    <row r="676" spans="1:3" x14ac:dyDescent="0.3">
      <c r="A676" s="20"/>
      <c r="B676" s="21"/>
      <c r="C676" s="22"/>
    </row>
    <row r="677" spans="1:3" x14ac:dyDescent="0.3">
      <c r="A677" s="20"/>
      <c r="B677" s="21"/>
      <c r="C677" s="22"/>
    </row>
    <row r="678" spans="1:3" x14ac:dyDescent="0.3">
      <c r="A678" s="20"/>
      <c r="B678" s="21"/>
      <c r="C678" s="22"/>
    </row>
    <row r="679" spans="1:3" x14ac:dyDescent="0.3">
      <c r="A679" s="20"/>
      <c r="B679" s="21"/>
      <c r="C679" s="22"/>
    </row>
    <row r="680" spans="1:3" x14ac:dyDescent="0.3">
      <c r="A680" s="20"/>
      <c r="B680" s="21"/>
      <c r="C680" s="22"/>
    </row>
    <row r="681" spans="1:3" x14ac:dyDescent="0.3">
      <c r="A681" s="20"/>
      <c r="B681" s="21"/>
      <c r="C681" s="22"/>
    </row>
    <row r="682" spans="1:3" x14ac:dyDescent="0.3">
      <c r="A682" s="20"/>
      <c r="B682" s="21"/>
      <c r="C682" s="22"/>
    </row>
    <row r="683" spans="1:3" x14ac:dyDescent="0.3">
      <c r="A683" s="20"/>
      <c r="B683" s="21"/>
      <c r="C683" s="22"/>
    </row>
    <row r="684" spans="1:3" x14ac:dyDescent="0.3">
      <c r="A684" s="20"/>
      <c r="B684" s="21"/>
      <c r="C684" s="22"/>
    </row>
    <row r="685" spans="1:3" x14ac:dyDescent="0.3">
      <c r="A685" s="20"/>
      <c r="B685" s="21"/>
      <c r="C685" s="22"/>
    </row>
    <row r="686" spans="1:3" x14ac:dyDescent="0.3">
      <c r="A686" s="20"/>
      <c r="B686" s="21"/>
      <c r="C686" s="22"/>
    </row>
    <row r="687" spans="1:3" x14ac:dyDescent="0.3">
      <c r="A687" s="20"/>
      <c r="B687" s="21"/>
      <c r="C687" s="22"/>
    </row>
    <row r="688" spans="1:3" x14ac:dyDescent="0.3">
      <c r="A688" s="20"/>
      <c r="B688" s="21"/>
      <c r="C688" s="22"/>
    </row>
    <row r="689" spans="1:3" x14ac:dyDescent="0.3">
      <c r="A689" s="20"/>
      <c r="B689" s="21"/>
      <c r="C689" s="22"/>
    </row>
    <row r="690" spans="1:3" x14ac:dyDescent="0.3">
      <c r="A690" s="20"/>
      <c r="B690" s="21"/>
      <c r="C690" s="22"/>
    </row>
    <row r="691" spans="1:3" x14ac:dyDescent="0.3">
      <c r="A691" s="20"/>
      <c r="B691" s="21"/>
      <c r="C691" s="22"/>
    </row>
    <row r="692" spans="1:3" x14ac:dyDescent="0.3">
      <c r="A692" s="20"/>
      <c r="B692" s="21"/>
      <c r="C692" s="22"/>
    </row>
    <row r="693" spans="1:3" x14ac:dyDescent="0.3">
      <c r="A693" s="20"/>
      <c r="B693" s="21"/>
      <c r="C693" s="22"/>
    </row>
    <row r="694" spans="1:3" x14ac:dyDescent="0.3">
      <c r="A694" s="20"/>
      <c r="B694" s="21"/>
      <c r="C694" s="22"/>
    </row>
    <row r="695" spans="1:3" x14ac:dyDescent="0.3">
      <c r="A695" s="20"/>
      <c r="B695" s="21"/>
      <c r="C695" s="22"/>
    </row>
    <row r="696" spans="1:3" x14ac:dyDescent="0.3">
      <c r="A696" s="20"/>
      <c r="B696" s="21"/>
      <c r="C696" s="22"/>
    </row>
    <row r="697" spans="1:3" x14ac:dyDescent="0.3">
      <c r="A697" s="20"/>
      <c r="B697" s="21"/>
      <c r="C697" s="22"/>
    </row>
    <row r="698" spans="1:3" x14ac:dyDescent="0.3">
      <c r="A698" s="20"/>
      <c r="B698" s="21"/>
      <c r="C698" s="22"/>
    </row>
    <row r="699" spans="1:3" x14ac:dyDescent="0.3">
      <c r="A699" s="20"/>
      <c r="B699" s="21"/>
      <c r="C699" s="22"/>
    </row>
    <row r="700" spans="1:3" x14ac:dyDescent="0.3">
      <c r="A700" s="20"/>
      <c r="B700" s="21"/>
      <c r="C700" s="22"/>
    </row>
    <row r="701" spans="1:3" x14ac:dyDescent="0.3">
      <c r="A701" s="20"/>
      <c r="B701" s="21"/>
      <c r="C701" s="22"/>
    </row>
    <row r="702" spans="1:3" x14ac:dyDescent="0.3">
      <c r="A702" s="20"/>
      <c r="B702" s="21"/>
      <c r="C702" s="22"/>
    </row>
    <row r="703" spans="1:3" x14ac:dyDescent="0.3">
      <c r="A703" s="20"/>
      <c r="B703" s="21"/>
      <c r="C703" s="22"/>
    </row>
    <row r="704" spans="1:3" x14ac:dyDescent="0.3">
      <c r="A704" s="20"/>
      <c r="B704" s="21"/>
      <c r="C704" s="22"/>
    </row>
    <row r="705" spans="1:3" x14ac:dyDescent="0.3">
      <c r="A705" s="20"/>
      <c r="B705" s="21"/>
      <c r="C705" s="22"/>
    </row>
    <row r="706" spans="1:3" x14ac:dyDescent="0.3">
      <c r="A706" s="20"/>
      <c r="B706" s="21"/>
      <c r="C706" s="22"/>
    </row>
    <row r="707" spans="1:3" x14ac:dyDescent="0.3">
      <c r="A707" s="20"/>
      <c r="B707" s="21"/>
      <c r="C707" s="22"/>
    </row>
    <row r="708" spans="1:3" x14ac:dyDescent="0.3">
      <c r="A708" s="20"/>
      <c r="B708" s="21"/>
      <c r="C708" s="22"/>
    </row>
    <row r="709" spans="1:3" x14ac:dyDescent="0.3">
      <c r="A709" s="20"/>
      <c r="B709" s="21"/>
      <c r="C709" s="22"/>
    </row>
    <row r="710" spans="1:3" x14ac:dyDescent="0.3">
      <c r="A710" s="20"/>
      <c r="B710" s="21"/>
      <c r="C710" s="22"/>
    </row>
    <row r="711" spans="1:3" x14ac:dyDescent="0.3">
      <c r="A711" s="20"/>
      <c r="B711" s="21"/>
      <c r="C711" s="22"/>
    </row>
    <row r="712" spans="1:3" x14ac:dyDescent="0.3">
      <c r="A712" s="20"/>
      <c r="B712" s="21"/>
      <c r="C712" s="22"/>
    </row>
    <row r="713" spans="1:3" x14ac:dyDescent="0.3">
      <c r="A713" s="20"/>
      <c r="B713" s="21"/>
      <c r="C713" s="22"/>
    </row>
    <row r="714" spans="1:3" x14ac:dyDescent="0.3">
      <c r="A714" s="20"/>
      <c r="B714" s="21"/>
      <c r="C714" s="22"/>
    </row>
    <row r="715" spans="1:3" x14ac:dyDescent="0.3">
      <c r="A715" s="20"/>
      <c r="B715" s="21"/>
      <c r="C715" s="22"/>
    </row>
    <row r="716" spans="1:3" x14ac:dyDescent="0.3">
      <c r="A716" s="20"/>
      <c r="B716" s="21"/>
      <c r="C716" s="22"/>
    </row>
    <row r="717" spans="1:3" x14ac:dyDescent="0.3">
      <c r="A717" s="20"/>
      <c r="B717" s="21"/>
      <c r="C717" s="22"/>
    </row>
    <row r="718" spans="1:3" x14ac:dyDescent="0.3">
      <c r="A718" s="20"/>
      <c r="B718" s="21"/>
      <c r="C718" s="22"/>
    </row>
    <row r="719" spans="1:3" x14ac:dyDescent="0.3">
      <c r="A719" s="20"/>
      <c r="B719" s="21"/>
      <c r="C719" s="22"/>
    </row>
    <row r="720" spans="1:3" x14ac:dyDescent="0.3">
      <c r="A720" s="20"/>
      <c r="B720" s="21"/>
      <c r="C720" s="22"/>
    </row>
    <row r="721" spans="1:3" x14ac:dyDescent="0.3">
      <c r="A721" s="20"/>
      <c r="B721" s="21"/>
      <c r="C721" s="22"/>
    </row>
    <row r="722" spans="1:3" x14ac:dyDescent="0.3">
      <c r="A722" s="20"/>
      <c r="B722" s="21"/>
      <c r="C722" s="22"/>
    </row>
    <row r="723" spans="1:3" x14ac:dyDescent="0.3">
      <c r="A723" s="20"/>
      <c r="B723" s="21"/>
      <c r="C723" s="22"/>
    </row>
    <row r="724" spans="1:3" x14ac:dyDescent="0.3">
      <c r="A724" s="20"/>
      <c r="B724" s="21"/>
      <c r="C724" s="22"/>
    </row>
    <row r="725" spans="1:3" x14ac:dyDescent="0.3">
      <c r="A725" s="20"/>
      <c r="B725" s="21"/>
      <c r="C725" s="22"/>
    </row>
    <row r="726" spans="1:3" x14ac:dyDescent="0.3">
      <c r="A726" s="20"/>
      <c r="B726" s="21"/>
      <c r="C726" s="22"/>
    </row>
    <row r="727" spans="1:3" x14ac:dyDescent="0.3">
      <c r="A727" s="20"/>
      <c r="B727" s="21"/>
      <c r="C727" s="22"/>
    </row>
    <row r="728" spans="1:3" x14ac:dyDescent="0.3">
      <c r="A728" s="20"/>
      <c r="B728" s="21"/>
      <c r="C728" s="22"/>
    </row>
    <row r="729" spans="1:3" x14ac:dyDescent="0.3">
      <c r="A729" s="20"/>
      <c r="B729" s="21"/>
      <c r="C729" s="22"/>
    </row>
    <row r="730" spans="1:3" x14ac:dyDescent="0.3">
      <c r="A730" s="20"/>
      <c r="B730" s="21"/>
      <c r="C730" s="22"/>
    </row>
    <row r="731" spans="1:3" x14ac:dyDescent="0.3">
      <c r="A731" s="20"/>
      <c r="B731" s="21"/>
      <c r="C731" s="22"/>
    </row>
    <row r="732" spans="1:3" x14ac:dyDescent="0.3">
      <c r="A732" s="20"/>
      <c r="B732" s="21"/>
      <c r="C732" s="22"/>
    </row>
    <row r="733" spans="1:3" x14ac:dyDescent="0.3">
      <c r="A733" s="20"/>
      <c r="B733" s="21"/>
      <c r="C733" s="22"/>
    </row>
    <row r="734" spans="1:3" x14ac:dyDescent="0.3">
      <c r="A734" s="20"/>
      <c r="B734" s="21"/>
      <c r="C734" s="22"/>
    </row>
    <row r="735" spans="1:3" x14ac:dyDescent="0.3">
      <c r="A735" s="20"/>
      <c r="B735" s="21"/>
      <c r="C735" s="22"/>
    </row>
    <row r="736" spans="1:3" x14ac:dyDescent="0.3">
      <c r="A736" s="20"/>
      <c r="B736" s="21"/>
      <c r="C736" s="22"/>
    </row>
    <row r="737" spans="1:3" x14ac:dyDescent="0.3">
      <c r="A737" s="20"/>
      <c r="B737" s="21"/>
      <c r="C737" s="22"/>
    </row>
    <row r="738" spans="1:3" x14ac:dyDescent="0.3">
      <c r="A738" s="20"/>
      <c r="B738" s="21"/>
      <c r="C738" s="22"/>
    </row>
    <row r="739" spans="1:3" x14ac:dyDescent="0.3">
      <c r="A739" s="20"/>
      <c r="B739" s="21"/>
      <c r="C739" s="22"/>
    </row>
    <row r="740" spans="1:3" x14ac:dyDescent="0.3">
      <c r="A740" s="20"/>
      <c r="B740" s="21"/>
      <c r="C740" s="22"/>
    </row>
    <row r="741" spans="1:3" x14ac:dyDescent="0.3">
      <c r="A741" s="20"/>
      <c r="B741" s="21"/>
      <c r="C741" s="22"/>
    </row>
    <row r="742" spans="1:3" x14ac:dyDescent="0.3">
      <c r="A742" s="20"/>
      <c r="B742" s="21"/>
      <c r="C742" s="22"/>
    </row>
    <row r="743" spans="1:3" x14ac:dyDescent="0.3">
      <c r="A743" s="20"/>
      <c r="B743" s="21"/>
      <c r="C743" s="22"/>
    </row>
    <row r="744" spans="1:3" x14ac:dyDescent="0.3">
      <c r="A744" s="20"/>
      <c r="B744" s="21"/>
      <c r="C744" s="22"/>
    </row>
    <row r="745" spans="1:3" x14ac:dyDescent="0.3">
      <c r="A745" s="20"/>
      <c r="B745" s="21"/>
      <c r="C745" s="22"/>
    </row>
    <row r="746" spans="1:3" x14ac:dyDescent="0.3">
      <c r="A746" s="20"/>
      <c r="B746" s="21"/>
      <c r="C746" s="22"/>
    </row>
    <row r="747" spans="1:3" x14ac:dyDescent="0.3">
      <c r="A747" s="20"/>
      <c r="B747" s="21"/>
      <c r="C747" s="22"/>
    </row>
    <row r="748" spans="1:3" x14ac:dyDescent="0.3">
      <c r="A748" s="20"/>
      <c r="B748" s="21"/>
      <c r="C748" s="22"/>
    </row>
    <row r="749" spans="1:3" x14ac:dyDescent="0.3">
      <c r="A749" s="20"/>
      <c r="B749" s="21"/>
      <c r="C749" s="22"/>
    </row>
    <row r="750" spans="1:3" x14ac:dyDescent="0.3">
      <c r="A750" s="20"/>
      <c r="B750" s="21"/>
      <c r="C750" s="22"/>
    </row>
    <row r="751" spans="1:3" x14ac:dyDescent="0.3">
      <c r="A751" s="20"/>
      <c r="B751" s="21"/>
      <c r="C751" s="22"/>
    </row>
    <row r="752" spans="1:3" x14ac:dyDescent="0.3">
      <c r="A752" s="20"/>
      <c r="B752" s="21"/>
      <c r="C752" s="22"/>
    </row>
    <row r="753" spans="1:3" x14ac:dyDescent="0.3">
      <c r="A753" s="20"/>
      <c r="B753" s="21"/>
      <c r="C753" s="22"/>
    </row>
    <row r="754" spans="1:3" x14ac:dyDescent="0.3">
      <c r="A754" s="20"/>
      <c r="B754" s="21"/>
      <c r="C754" s="22"/>
    </row>
    <row r="755" spans="1:3" x14ac:dyDescent="0.3">
      <c r="A755" s="20"/>
      <c r="B755" s="21"/>
      <c r="C755" s="22"/>
    </row>
    <row r="756" spans="1:3" x14ac:dyDescent="0.3">
      <c r="A756" s="20"/>
      <c r="B756" s="21"/>
      <c r="C756" s="22"/>
    </row>
    <row r="757" spans="1:3" x14ac:dyDescent="0.3">
      <c r="A757" s="20"/>
      <c r="B757" s="21"/>
      <c r="C757" s="22"/>
    </row>
    <row r="758" spans="1:3" x14ac:dyDescent="0.3">
      <c r="A758" s="20"/>
      <c r="B758" s="21"/>
      <c r="C758" s="22"/>
    </row>
    <row r="759" spans="1:3" x14ac:dyDescent="0.3">
      <c r="A759" s="20"/>
      <c r="B759" s="21"/>
      <c r="C759" s="22"/>
    </row>
    <row r="760" spans="1:3" x14ac:dyDescent="0.3">
      <c r="A760" s="20"/>
      <c r="B760" s="21"/>
      <c r="C760" s="22"/>
    </row>
    <row r="761" spans="1:3" x14ac:dyDescent="0.3">
      <c r="A761" s="20"/>
      <c r="B761" s="21"/>
      <c r="C761" s="22"/>
    </row>
    <row r="762" spans="1:3" x14ac:dyDescent="0.3">
      <c r="A762" s="20"/>
      <c r="B762" s="21"/>
      <c r="C762" s="22"/>
    </row>
    <row r="763" spans="1:3" x14ac:dyDescent="0.3">
      <c r="A763" s="20"/>
      <c r="B763" s="21"/>
      <c r="C763" s="22"/>
    </row>
    <row r="764" spans="1:3" x14ac:dyDescent="0.3">
      <c r="A764" s="20"/>
      <c r="B764" s="21"/>
      <c r="C764" s="22"/>
    </row>
    <row r="765" spans="1:3" x14ac:dyDescent="0.3">
      <c r="A765" s="20"/>
      <c r="B765" s="21"/>
      <c r="C765" s="22"/>
    </row>
    <row r="766" spans="1:3" x14ac:dyDescent="0.3">
      <c r="A766" s="20"/>
      <c r="B766" s="21"/>
      <c r="C766" s="22"/>
    </row>
    <row r="767" spans="1:3" x14ac:dyDescent="0.3">
      <c r="A767" s="20"/>
      <c r="B767" s="21"/>
      <c r="C767" s="22"/>
    </row>
    <row r="768" spans="1:3" x14ac:dyDescent="0.3">
      <c r="A768" s="20"/>
      <c r="B768" s="21"/>
      <c r="C768" s="22"/>
    </row>
    <row r="769" spans="1:3" x14ac:dyDescent="0.3">
      <c r="A769" s="20"/>
      <c r="B769" s="21"/>
      <c r="C769" s="22"/>
    </row>
    <row r="770" spans="1:3" x14ac:dyDescent="0.3">
      <c r="A770" s="20"/>
      <c r="B770" s="21"/>
      <c r="C770" s="22"/>
    </row>
    <row r="771" spans="1:3" x14ac:dyDescent="0.3">
      <c r="A771" s="20"/>
      <c r="B771" s="21"/>
      <c r="C771" s="22"/>
    </row>
    <row r="772" spans="1:3" x14ac:dyDescent="0.3">
      <c r="A772" s="20"/>
      <c r="B772" s="21"/>
      <c r="C772" s="22"/>
    </row>
    <row r="773" spans="1:3" x14ac:dyDescent="0.3">
      <c r="A773" s="20"/>
      <c r="B773" s="21"/>
      <c r="C773" s="22"/>
    </row>
    <row r="774" spans="1:3" x14ac:dyDescent="0.3">
      <c r="A774" s="20"/>
      <c r="B774" s="21"/>
      <c r="C774" s="22"/>
    </row>
    <row r="775" spans="1:3" x14ac:dyDescent="0.3">
      <c r="A775" s="20"/>
      <c r="B775" s="21"/>
      <c r="C775" s="22"/>
    </row>
    <row r="776" spans="1:3" x14ac:dyDescent="0.3">
      <c r="A776" s="20"/>
      <c r="B776" s="21"/>
      <c r="C776" s="22"/>
    </row>
    <row r="777" spans="1:3" x14ac:dyDescent="0.3">
      <c r="A777" s="20"/>
      <c r="B777" s="21"/>
      <c r="C777" s="22"/>
    </row>
    <row r="778" spans="1:3" x14ac:dyDescent="0.3">
      <c r="A778" s="20"/>
      <c r="B778" s="21"/>
      <c r="C778" s="22"/>
    </row>
    <row r="779" spans="1:3" x14ac:dyDescent="0.3">
      <c r="A779" s="20"/>
      <c r="B779" s="21"/>
      <c r="C779" s="22"/>
    </row>
    <row r="780" spans="1:3" x14ac:dyDescent="0.3">
      <c r="A780" s="20"/>
      <c r="B780" s="21"/>
      <c r="C780" s="22"/>
    </row>
    <row r="781" spans="1:3" x14ac:dyDescent="0.3">
      <c r="A781" s="20"/>
      <c r="B781" s="21"/>
      <c r="C781" s="22"/>
    </row>
    <row r="782" spans="1:3" x14ac:dyDescent="0.3">
      <c r="A782" s="20"/>
      <c r="B782" s="21"/>
      <c r="C782" s="22"/>
    </row>
    <row r="783" spans="1:3" x14ac:dyDescent="0.3">
      <c r="A783" s="20"/>
      <c r="B783" s="21"/>
      <c r="C783" s="22"/>
    </row>
    <row r="784" spans="1:3" x14ac:dyDescent="0.3">
      <c r="A784" s="20"/>
      <c r="B784" s="21"/>
      <c r="C784" s="22"/>
    </row>
    <row r="785" spans="1:3" x14ac:dyDescent="0.3">
      <c r="A785" s="20"/>
      <c r="B785" s="21"/>
      <c r="C785" s="22"/>
    </row>
    <row r="786" spans="1:3" x14ac:dyDescent="0.3">
      <c r="A786" s="20"/>
      <c r="B786" s="21"/>
      <c r="C786" s="22"/>
    </row>
    <row r="787" spans="1:3" x14ac:dyDescent="0.3">
      <c r="A787" s="20"/>
      <c r="B787" s="21"/>
      <c r="C787" s="22"/>
    </row>
    <row r="788" spans="1:3" x14ac:dyDescent="0.3">
      <c r="A788" s="20"/>
      <c r="B788" s="21"/>
      <c r="C788" s="22"/>
    </row>
    <row r="789" spans="1:3" x14ac:dyDescent="0.3">
      <c r="A789" s="20"/>
      <c r="B789" s="21"/>
      <c r="C789" s="22"/>
    </row>
    <row r="790" spans="1:3" x14ac:dyDescent="0.3">
      <c r="A790" s="20"/>
      <c r="B790" s="21"/>
      <c r="C790" s="22"/>
    </row>
    <row r="791" spans="1:3" x14ac:dyDescent="0.3">
      <c r="A791" s="20"/>
      <c r="B791" s="21"/>
      <c r="C791" s="22"/>
    </row>
    <row r="792" spans="1:3" x14ac:dyDescent="0.3">
      <c r="A792" s="20"/>
      <c r="B792" s="21"/>
      <c r="C792" s="22"/>
    </row>
    <row r="793" spans="1:3" x14ac:dyDescent="0.3">
      <c r="A793" s="20"/>
      <c r="B793" s="21"/>
      <c r="C793" s="22"/>
    </row>
    <row r="794" spans="1:3" x14ac:dyDescent="0.3">
      <c r="A794" s="20"/>
      <c r="B794" s="21"/>
      <c r="C794" s="22"/>
    </row>
    <row r="795" spans="1:3" x14ac:dyDescent="0.3">
      <c r="A795" s="20"/>
      <c r="B795" s="21"/>
      <c r="C795" s="22"/>
    </row>
    <row r="796" spans="1:3" x14ac:dyDescent="0.3">
      <c r="A796" s="20"/>
      <c r="B796" s="21"/>
      <c r="C796" s="22"/>
    </row>
    <row r="797" spans="1:3" x14ac:dyDescent="0.3">
      <c r="A797" s="20"/>
      <c r="B797" s="21"/>
      <c r="C797" s="22"/>
    </row>
    <row r="798" spans="1:3" x14ac:dyDescent="0.3">
      <c r="A798" s="20"/>
      <c r="B798" s="21"/>
      <c r="C798" s="22"/>
    </row>
    <row r="799" spans="1:3" x14ac:dyDescent="0.3">
      <c r="A799" s="20"/>
      <c r="B799" s="21"/>
      <c r="C799" s="22"/>
    </row>
    <row r="800" spans="1:3" x14ac:dyDescent="0.3">
      <c r="A800" s="20"/>
      <c r="B800" s="21"/>
      <c r="C800" s="22"/>
    </row>
    <row r="801" spans="1:3" x14ac:dyDescent="0.3">
      <c r="A801" s="20"/>
      <c r="B801" s="21"/>
      <c r="C801" s="22"/>
    </row>
    <row r="802" spans="1:3" x14ac:dyDescent="0.3">
      <c r="A802" s="20"/>
      <c r="B802" s="21"/>
      <c r="C802" s="22"/>
    </row>
    <row r="803" spans="1:3" x14ac:dyDescent="0.3">
      <c r="A803" s="20"/>
      <c r="B803" s="21"/>
      <c r="C803" s="22"/>
    </row>
    <row r="804" spans="1:3" x14ac:dyDescent="0.3">
      <c r="A804" s="20"/>
      <c r="B804" s="21"/>
      <c r="C804" s="22"/>
    </row>
    <row r="805" spans="1:3" x14ac:dyDescent="0.3">
      <c r="A805" s="20"/>
      <c r="B805" s="21"/>
      <c r="C805" s="22"/>
    </row>
    <row r="806" spans="1:3" x14ac:dyDescent="0.3">
      <c r="A806" s="20"/>
      <c r="B806" s="21"/>
      <c r="C806" s="22"/>
    </row>
    <row r="807" spans="1:3" x14ac:dyDescent="0.3">
      <c r="A807" s="20"/>
      <c r="B807" s="21"/>
      <c r="C807" s="22"/>
    </row>
    <row r="808" spans="1:3" x14ac:dyDescent="0.3">
      <c r="A808" s="20"/>
      <c r="B808" s="21"/>
      <c r="C808" s="22"/>
    </row>
    <row r="809" spans="1:3" x14ac:dyDescent="0.3">
      <c r="A809" s="20"/>
      <c r="B809" s="21"/>
      <c r="C809" s="22"/>
    </row>
    <row r="810" spans="1:3" x14ac:dyDescent="0.3">
      <c r="A810" s="20"/>
      <c r="B810" s="21"/>
      <c r="C810" s="22"/>
    </row>
    <row r="811" spans="1:3" x14ac:dyDescent="0.3">
      <c r="A811" s="20"/>
      <c r="B811" s="21"/>
      <c r="C811" s="22"/>
    </row>
    <row r="812" spans="1:3" x14ac:dyDescent="0.3">
      <c r="A812" s="20"/>
      <c r="B812" s="21"/>
      <c r="C812" s="22"/>
    </row>
    <row r="813" spans="1:3" x14ac:dyDescent="0.3">
      <c r="A813" s="20"/>
      <c r="B813" s="21"/>
      <c r="C813" s="22"/>
    </row>
    <row r="814" spans="1:3" x14ac:dyDescent="0.3">
      <c r="A814" s="20"/>
      <c r="B814" s="21"/>
      <c r="C814" s="22"/>
    </row>
    <row r="815" spans="1:3" x14ac:dyDescent="0.3">
      <c r="A815" s="20"/>
      <c r="B815" s="21"/>
      <c r="C815" s="22"/>
    </row>
    <row r="816" spans="1:3" x14ac:dyDescent="0.3">
      <c r="A816" s="20"/>
      <c r="B816" s="21"/>
      <c r="C816" s="22"/>
    </row>
    <row r="817" spans="1:3" x14ac:dyDescent="0.3">
      <c r="A817" s="20"/>
      <c r="B817" s="21"/>
      <c r="C817" s="22"/>
    </row>
    <row r="818" spans="1:3" x14ac:dyDescent="0.3">
      <c r="A818" s="20"/>
      <c r="B818" s="21"/>
      <c r="C818" s="22"/>
    </row>
    <row r="819" spans="1:3" x14ac:dyDescent="0.3">
      <c r="A819" s="20"/>
      <c r="B819" s="21"/>
      <c r="C819" s="22"/>
    </row>
    <row r="820" spans="1:3" x14ac:dyDescent="0.3">
      <c r="A820" s="20"/>
      <c r="B820" s="21"/>
      <c r="C820" s="22"/>
    </row>
    <row r="821" spans="1:3" x14ac:dyDescent="0.3">
      <c r="A821" s="20"/>
      <c r="B821" s="21"/>
      <c r="C821" s="22"/>
    </row>
    <row r="822" spans="1:3" x14ac:dyDescent="0.3">
      <c r="A822" s="20"/>
      <c r="B822" s="21"/>
      <c r="C822" s="22"/>
    </row>
    <row r="823" spans="1:3" x14ac:dyDescent="0.3">
      <c r="A823" s="20"/>
      <c r="B823" s="21"/>
      <c r="C823" s="22"/>
    </row>
    <row r="824" spans="1:3" x14ac:dyDescent="0.3">
      <c r="A824" s="20"/>
      <c r="B824" s="21"/>
      <c r="C824" s="22"/>
    </row>
    <row r="825" spans="1:3" x14ac:dyDescent="0.3">
      <c r="A825" s="20"/>
      <c r="B825" s="21"/>
      <c r="C825" s="22"/>
    </row>
    <row r="826" spans="1:3" x14ac:dyDescent="0.3">
      <c r="A826" s="20"/>
      <c r="B826" s="21"/>
      <c r="C826" s="22"/>
    </row>
    <row r="827" spans="1:3" x14ac:dyDescent="0.3">
      <c r="A827" s="20"/>
      <c r="B827" s="21"/>
      <c r="C827" s="22"/>
    </row>
    <row r="828" spans="1:3" x14ac:dyDescent="0.3">
      <c r="A828" s="20"/>
      <c r="B828" s="21"/>
      <c r="C828" s="22"/>
    </row>
    <row r="829" spans="1:3" x14ac:dyDescent="0.3">
      <c r="A829" s="20"/>
      <c r="B829" s="21"/>
      <c r="C829" s="22"/>
    </row>
    <row r="830" spans="1:3" x14ac:dyDescent="0.3">
      <c r="A830" s="20"/>
      <c r="B830" s="21"/>
      <c r="C830" s="22"/>
    </row>
    <row r="831" spans="1:3" x14ac:dyDescent="0.3">
      <c r="A831" s="20"/>
      <c r="B831" s="21"/>
      <c r="C831" s="22"/>
    </row>
    <row r="832" spans="1:3" x14ac:dyDescent="0.3">
      <c r="A832" s="20"/>
      <c r="B832" s="21"/>
      <c r="C832" s="22"/>
    </row>
    <row r="833" spans="1:3" x14ac:dyDescent="0.3">
      <c r="A833" s="20"/>
      <c r="B833" s="21"/>
      <c r="C833" s="22"/>
    </row>
    <row r="834" spans="1:3" x14ac:dyDescent="0.3">
      <c r="A834" s="20"/>
      <c r="B834" s="21"/>
      <c r="C834" s="22"/>
    </row>
    <row r="835" spans="1:3" x14ac:dyDescent="0.3">
      <c r="A835" s="20"/>
      <c r="B835" s="21"/>
      <c r="C835" s="22"/>
    </row>
    <row r="836" spans="1:3" x14ac:dyDescent="0.3">
      <c r="A836" s="20"/>
      <c r="B836" s="21"/>
      <c r="C836" s="22"/>
    </row>
    <row r="837" spans="1:3" x14ac:dyDescent="0.3">
      <c r="A837" s="20"/>
      <c r="B837" s="21"/>
      <c r="C837" s="22"/>
    </row>
    <row r="838" spans="1:3" x14ac:dyDescent="0.3">
      <c r="A838" s="20"/>
      <c r="B838" s="21"/>
      <c r="C838" s="22"/>
    </row>
  </sheetData>
  <autoFilter ref="A1:C64" xr:uid="{242A44BD-D9BD-48FF-A688-324DAA9B7A55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MainDownloadProcess">
                <anchor moveWithCells="1" sizeWithCells="1">
                  <from>
                    <xdr:col>4</xdr:col>
                    <xdr:colOff>304800</xdr:colOff>
                    <xdr:row>2</xdr:row>
                    <xdr:rowOff>45720</xdr:rowOff>
                  </from>
                  <to>
                    <xdr:col>7</xdr:col>
                    <xdr:colOff>22860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/>
  </sheetViews>
  <sheetFormatPr defaultRowHeight="14.4" x14ac:dyDescent="0.3"/>
  <cols>
    <col min="1" max="1" width="30.5546875" bestFit="1" customWidth="1"/>
    <col min="2" max="2" width="7" bestFit="1" customWidth="1"/>
    <col min="3" max="5" width="15.77734375" customWidth="1"/>
  </cols>
  <sheetData>
    <row r="1" spans="1:2" ht="18" x14ac:dyDescent="0.35">
      <c r="A1" s="16" t="s">
        <v>41</v>
      </c>
    </row>
    <row r="2" spans="1:2" x14ac:dyDescent="0.3">
      <c r="A2" t="s">
        <v>54</v>
      </c>
    </row>
    <row r="3" spans="1:2" x14ac:dyDescent="0.3">
      <c r="A3" t="s">
        <v>55</v>
      </c>
    </row>
    <row r="5" spans="1:2" x14ac:dyDescent="0.3">
      <c r="A5" t="s">
        <v>42</v>
      </c>
    </row>
    <row r="6" spans="1:2" x14ac:dyDescent="0.3">
      <c r="A6" t="s">
        <v>43</v>
      </c>
      <c r="B6">
        <v>63</v>
      </c>
    </row>
    <row r="7" spans="1:2" x14ac:dyDescent="0.3">
      <c r="A7" t="s">
        <v>44</v>
      </c>
      <c r="B7">
        <v>63</v>
      </c>
    </row>
    <row r="8" spans="1:2" x14ac:dyDescent="0.3">
      <c r="A8" t="s">
        <v>45</v>
      </c>
      <c r="B8">
        <v>44</v>
      </c>
    </row>
    <row r="9" spans="1:2" x14ac:dyDescent="0.3">
      <c r="A9" t="s">
        <v>46</v>
      </c>
      <c r="B9">
        <v>19</v>
      </c>
    </row>
    <row r="10" spans="1:2" x14ac:dyDescent="0.3">
      <c r="A10" t="s">
        <v>47</v>
      </c>
      <c r="B10" s="6">
        <v>0.69799999999999995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108"/>
  <sheetViews>
    <sheetView workbookViewId="0"/>
  </sheetViews>
  <sheetFormatPr defaultRowHeight="14.4" x14ac:dyDescent="0.3"/>
  <cols>
    <col min="1" max="1" width="12.77734375" style="18" customWidth="1"/>
    <col min="2" max="2" width="12.77734375" customWidth="1"/>
    <col min="3" max="3" width="14.77734375" bestFit="1" customWidth="1"/>
    <col min="4" max="4" width="12.77734375" style="18" customWidth="1"/>
    <col min="5" max="8" width="12.77734375" customWidth="1"/>
    <col min="9" max="9" width="15.77734375" customWidth="1"/>
    <col min="10" max="14" width="12.77734375" customWidth="1"/>
    <col min="15" max="18" width="12.77734375" style="10" customWidth="1"/>
    <col min="19" max="27" width="12.77734375" customWidth="1"/>
  </cols>
  <sheetData>
    <row r="1" spans="1:27" ht="28.8" x14ac:dyDescent="0.3">
      <c r="A1" s="17" t="s">
        <v>8</v>
      </c>
      <c r="B1" s="8" t="s">
        <v>9</v>
      </c>
      <c r="C1" s="8" t="s">
        <v>10</v>
      </c>
      <c r="D1" s="17" t="s">
        <v>6</v>
      </c>
      <c r="E1" s="8" t="s">
        <v>11</v>
      </c>
      <c r="F1" s="8" t="s">
        <v>5</v>
      </c>
      <c r="G1" s="8" t="s">
        <v>12</v>
      </c>
      <c r="H1" s="8" t="s">
        <v>7</v>
      </c>
      <c r="I1" s="8" t="s">
        <v>13</v>
      </c>
      <c r="J1" s="8" t="s">
        <v>14</v>
      </c>
      <c r="K1" s="8" t="s">
        <v>15</v>
      </c>
      <c r="L1" s="8" t="s">
        <v>16</v>
      </c>
      <c r="M1" s="8" t="s">
        <v>17</v>
      </c>
      <c r="N1" s="8" t="s">
        <v>18</v>
      </c>
      <c r="O1" s="9" t="s">
        <v>19</v>
      </c>
      <c r="P1" s="9" t="s">
        <v>4</v>
      </c>
      <c r="Q1" s="9" t="s">
        <v>3</v>
      </c>
      <c r="R1" s="9" t="s">
        <v>20</v>
      </c>
      <c r="S1" s="8" t="s">
        <v>21</v>
      </c>
      <c r="T1" s="8" t="s">
        <v>22</v>
      </c>
      <c r="U1" s="8" t="s">
        <v>23</v>
      </c>
      <c r="V1" s="8" t="s">
        <v>24</v>
      </c>
      <c r="W1" s="8" t="s">
        <v>25</v>
      </c>
      <c r="X1" s="8" t="s">
        <v>26</v>
      </c>
      <c r="Y1" s="8" t="s">
        <v>27</v>
      </c>
      <c r="Z1" s="8" t="s">
        <v>28</v>
      </c>
      <c r="AA1" s="7" t="s">
        <v>29</v>
      </c>
    </row>
    <row r="2" spans="1:27" x14ac:dyDescent="0.3">
      <c r="A2" s="18">
        <v>45929</v>
      </c>
      <c r="B2">
        <v>437</v>
      </c>
      <c r="C2" t="s">
        <v>48</v>
      </c>
      <c r="D2" s="18">
        <v>45961</v>
      </c>
      <c r="E2">
        <v>3.9035E-2</v>
      </c>
      <c r="F2">
        <v>6713.5</v>
      </c>
      <c r="G2">
        <v>7150</v>
      </c>
      <c r="H2" t="s">
        <v>2</v>
      </c>
      <c r="I2">
        <v>0.10765432432710093</v>
      </c>
      <c r="J2">
        <v>-0.9716847838205922</v>
      </c>
      <c r="K2">
        <v>1.1631292164930187</v>
      </c>
      <c r="L2">
        <v>2.7203668651054613E-4</v>
      </c>
      <c r="M2">
        <v>-0.14347687941346976</v>
      </c>
      <c r="N2">
        <v>-6.1021910497172485</v>
      </c>
      <c r="O2" s="10">
        <v>50</v>
      </c>
      <c r="P2" s="10" t="s">
        <v>49</v>
      </c>
      <c r="Q2" s="10" t="s">
        <v>33</v>
      </c>
      <c r="R2" s="10" t="s">
        <v>0</v>
      </c>
      <c r="S2">
        <v>0</v>
      </c>
      <c r="T2">
        <v>1.0772413503084586E-2</v>
      </c>
      <c r="U2">
        <v>1.9222511852736879E-3</v>
      </c>
      <c r="V2">
        <v>-1.9159434305065658E-3</v>
      </c>
      <c r="W2">
        <v>1.6729004368789684E-4</v>
      </c>
      <c r="X2">
        <v>4.9281776067940063E-3</v>
      </c>
      <c r="Y2">
        <v>0.41975769589078143</v>
      </c>
      <c r="Z2">
        <v>3.5277113336215422E-2</v>
      </c>
    </row>
    <row r="3" spans="1:27" x14ac:dyDescent="0.3">
      <c r="A3" s="18">
        <v>45926</v>
      </c>
      <c r="B3">
        <v>454</v>
      </c>
      <c r="C3" t="s">
        <v>48</v>
      </c>
      <c r="D3" s="18">
        <v>45961</v>
      </c>
      <c r="E3">
        <v>3.9176999999999997E-2</v>
      </c>
      <c r="F3">
        <v>6696.5</v>
      </c>
      <c r="G3">
        <v>7150</v>
      </c>
      <c r="H3" t="s">
        <v>2</v>
      </c>
      <c r="I3">
        <v>0.10815504888668072</v>
      </c>
      <c r="J3">
        <v>-0.97014611773431625</v>
      </c>
      <c r="K3">
        <v>1.2615617982833953</v>
      </c>
      <c r="L3">
        <v>2.700363666008343E-4</v>
      </c>
      <c r="M3">
        <v>-0.1413700456662923</v>
      </c>
      <c r="N3">
        <v>-6.6648427944658977</v>
      </c>
      <c r="O3" s="10">
        <v>50</v>
      </c>
      <c r="P3" s="10" t="s">
        <v>49</v>
      </c>
      <c r="Q3" s="10" t="s">
        <v>33</v>
      </c>
      <c r="R3" s="10" t="s">
        <v>0</v>
      </c>
      <c r="S3">
        <v>0</v>
      </c>
      <c r="T3">
        <v>1.1049460203661689E-2</v>
      </c>
      <c r="U3">
        <v>1.8846365999262693E-3</v>
      </c>
      <c r="V3">
        <v>-1.8113512004717205E-3</v>
      </c>
      <c r="W3">
        <v>1.5640005246171648E-4</v>
      </c>
      <c r="X3">
        <v>4.727806560580178E-3</v>
      </c>
      <c r="Y3">
        <v>0.4444590038969044</v>
      </c>
      <c r="Z3">
        <v>3.4004429910298478E-2</v>
      </c>
    </row>
    <row r="4" spans="1:27" x14ac:dyDescent="0.3">
      <c r="A4" s="18">
        <v>45925</v>
      </c>
      <c r="B4">
        <v>490.75</v>
      </c>
      <c r="C4" t="s">
        <v>48</v>
      </c>
      <c r="D4" s="18">
        <v>45961</v>
      </c>
      <c r="E4">
        <v>3.9266000000000002E-2</v>
      </c>
      <c r="F4">
        <v>6659.75</v>
      </c>
      <c r="G4">
        <v>7150</v>
      </c>
      <c r="H4" t="s">
        <v>2</v>
      </c>
      <c r="I4">
        <v>0.11572856439122765</v>
      </c>
      <c r="J4">
        <v>-0.96981289374866719</v>
      </c>
      <c r="K4">
        <v>1.2804636080054479</v>
      </c>
      <c r="L4">
        <v>2.519357167329872E-4</v>
      </c>
      <c r="M4">
        <v>-0.14818583529392981</v>
      </c>
      <c r="N4">
        <v>-6.8541710234725315</v>
      </c>
      <c r="O4" s="10">
        <v>50</v>
      </c>
      <c r="P4" s="10" t="s">
        <v>49</v>
      </c>
      <c r="Q4" s="10" t="s">
        <v>33</v>
      </c>
      <c r="R4" s="10" t="s">
        <v>0</v>
      </c>
      <c r="S4">
        <v>0</v>
      </c>
      <c r="T4">
        <v>1.0393961632991966E-2</v>
      </c>
      <c r="U4">
        <v>1.6503366092730219E-3</v>
      </c>
      <c r="V4">
        <v>-1.7749948585863461E-3</v>
      </c>
      <c r="W4">
        <v>1.3421347079266879E-4</v>
      </c>
      <c r="X4">
        <v>4.0872072022301292E-3</v>
      </c>
      <c r="Y4">
        <v>0.42090645031565993</v>
      </c>
      <c r="Z4">
        <v>2.9777980112421647E-2</v>
      </c>
    </row>
    <row r="5" spans="1:27" x14ac:dyDescent="0.3">
      <c r="A5" s="18">
        <v>45924</v>
      </c>
      <c r="B5">
        <v>459.25</v>
      </c>
      <c r="C5" t="s">
        <v>48</v>
      </c>
      <c r="D5" s="18">
        <v>45961</v>
      </c>
      <c r="E5">
        <v>3.9175000000000001E-2</v>
      </c>
      <c r="F5">
        <v>6692.25</v>
      </c>
      <c r="G5">
        <v>7150</v>
      </c>
      <c r="H5" t="s">
        <v>2</v>
      </c>
      <c r="I5">
        <v>0.11366643685101455</v>
      </c>
      <c r="J5">
        <v>-0.96103612322906429</v>
      </c>
      <c r="K5">
        <v>1.6477557534660718</v>
      </c>
      <c r="L5">
        <v>3.1881143058853922E-4</v>
      </c>
      <c r="M5">
        <v>-0.19940616412446843</v>
      </c>
      <c r="N5">
        <v>-6.9850174336535815</v>
      </c>
      <c r="O5" s="10">
        <v>50</v>
      </c>
      <c r="P5" s="10" t="s">
        <v>49</v>
      </c>
      <c r="Q5" s="10" t="s">
        <v>33</v>
      </c>
      <c r="R5" s="10" t="s">
        <v>0</v>
      </c>
      <c r="S5">
        <v>0</v>
      </c>
      <c r="T5">
        <v>1.2542275636312565E-2</v>
      </c>
      <c r="U5">
        <v>1.5024102216716635E-3</v>
      </c>
      <c r="V5">
        <v>-2.0296816622462086E-3</v>
      </c>
      <c r="W5">
        <v>1.5946514944560321E-4</v>
      </c>
      <c r="X5">
        <v>4.3961509283293957E-3</v>
      </c>
      <c r="Y5">
        <v>0.48373373378523421</v>
      </c>
      <c r="Z5">
        <v>1.4537181830706868E-2</v>
      </c>
    </row>
    <row r="6" spans="1:27" x14ac:dyDescent="0.3">
      <c r="A6" s="18">
        <v>45923</v>
      </c>
      <c r="B6">
        <v>437.75</v>
      </c>
      <c r="C6" t="s">
        <v>48</v>
      </c>
      <c r="D6" s="18">
        <v>45961</v>
      </c>
      <c r="E6">
        <v>3.9189000000000002E-2</v>
      </c>
      <c r="F6">
        <v>6715</v>
      </c>
      <c r="G6">
        <v>7150</v>
      </c>
      <c r="H6" t="s">
        <v>2</v>
      </c>
      <c r="I6">
        <v>0.11376763129604685</v>
      </c>
      <c r="J6">
        <v>-0.95074944909470105</v>
      </c>
      <c r="K6">
        <v>2.058130293975637</v>
      </c>
      <c r="L6">
        <v>3.8545749703189358E-4</v>
      </c>
      <c r="M6">
        <v>-0.25724269324246052</v>
      </c>
      <c r="N6">
        <v>-7.1022439732881253</v>
      </c>
      <c r="O6" s="10">
        <v>50</v>
      </c>
      <c r="P6" s="10" t="s">
        <v>49</v>
      </c>
      <c r="Q6" s="10" t="s">
        <v>33</v>
      </c>
      <c r="R6" s="10" t="s">
        <v>0</v>
      </c>
      <c r="S6">
        <v>0</v>
      </c>
      <c r="T6">
        <v>1.4433914173319745E-2</v>
      </c>
      <c r="U6">
        <v>1.198631088043019E-3</v>
      </c>
      <c r="V6">
        <v>-2.262753214668645E-3</v>
      </c>
      <c r="W6">
        <v>1.7762536218151375E-4</v>
      </c>
      <c r="X6">
        <v>4.3762432956299278E-3</v>
      </c>
      <c r="Y6">
        <v>0.52901318463950031</v>
      </c>
      <c r="Z6">
        <v>-3.577836250742573E-3</v>
      </c>
    </row>
    <row r="7" spans="1:27" x14ac:dyDescent="0.3">
      <c r="A7" s="18">
        <v>45922</v>
      </c>
      <c r="B7">
        <v>402.5</v>
      </c>
      <c r="C7" t="s">
        <v>48</v>
      </c>
      <c r="D7" s="18">
        <v>45961</v>
      </c>
      <c r="E7">
        <v>3.9209999999999995E-2</v>
      </c>
      <c r="F7">
        <v>6752.5</v>
      </c>
      <c r="G7">
        <v>7150</v>
      </c>
      <c r="H7" t="s">
        <v>2</v>
      </c>
      <c r="I7">
        <v>0.11286556346089316</v>
      </c>
      <c r="J7">
        <v>-0.9333153157029983</v>
      </c>
      <c r="K7">
        <v>2.7071891476011842</v>
      </c>
      <c r="L7">
        <v>4.932411457048147E-4</v>
      </c>
      <c r="M7">
        <v>-0.34566008681775884</v>
      </c>
      <c r="N7">
        <v>-7.1637545704514025</v>
      </c>
      <c r="O7" s="10">
        <v>50</v>
      </c>
      <c r="P7" s="10" t="s">
        <v>49</v>
      </c>
      <c r="Q7" s="10" t="s">
        <v>33</v>
      </c>
      <c r="R7" s="10" t="s">
        <v>0</v>
      </c>
      <c r="S7">
        <v>0</v>
      </c>
      <c r="T7">
        <v>1.7080033935858389E-2</v>
      </c>
      <c r="U7">
        <v>6.4608087756560758E-4</v>
      </c>
      <c r="V7">
        <v>-2.5717324295783301E-3</v>
      </c>
      <c r="W7">
        <v>2.0481229607014506E-4</v>
      </c>
      <c r="X7">
        <v>4.1413894154349448E-3</v>
      </c>
      <c r="Y7">
        <v>0.57754560301028568</v>
      </c>
      <c r="Z7">
        <v>-3.055680395872936E-2</v>
      </c>
    </row>
    <row r="8" spans="1:27" x14ac:dyDescent="0.3">
      <c r="A8" s="18">
        <v>45919</v>
      </c>
      <c r="B8">
        <v>430.75</v>
      </c>
      <c r="C8" t="s">
        <v>48</v>
      </c>
      <c r="D8" s="18">
        <v>45961</v>
      </c>
      <c r="E8">
        <v>3.9279000000000001E-2</v>
      </c>
      <c r="F8">
        <v>6722.5</v>
      </c>
      <c r="G8">
        <v>7150</v>
      </c>
      <c r="H8" t="s">
        <v>2</v>
      </c>
      <c r="I8">
        <v>0.10954714570871529</v>
      </c>
      <c r="J8">
        <v>-0.94526820537623735</v>
      </c>
      <c r="K8">
        <v>2.3559367928596089</v>
      </c>
      <c r="L8">
        <v>4.1393775518372422E-4</v>
      </c>
      <c r="M8">
        <v>-0.25794686186958415</v>
      </c>
      <c r="N8">
        <v>-7.8075570828351033</v>
      </c>
      <c r="O8" s="10">
        <v>50</v>
      </c>
      <c r="P8" s="10" t="s">
        <v>49</v>
      </c>
      <c r="Q8" s="10" t="s">
        <v>33</v>
      </c>
      <c r="R8" s="10" t="s">
        <v>0</v>
      </c>
      <c r="S8">
        <v>0</v>
      </c>
      <c r="T8">
        <v>1.5836193261317032E-2</v>
      </c>
      <c r="U8">
        <v>1.1194484280439788E-3</v>
      </c>
      <c r="V8">
        <v>-2.1669735347677526E-3</v>
      </c>
      <c r="W8">
        <v>1.8274047371969179E-4</v>
      </c>
      <c r="X8">
        <v>4.4509884653124538E-3</v>
      </c>
      <c r="Y8">
        <v>0.59243177470433162</v>
      </c>
      <c r="Z8">
        <v>-1.342652900074979E-2</v>
      </c>
    </row>
    <row r="9" spans="1:27" x14ac:dyDescent="0.3">
      <c r="A9" s="18">
        <v>45918</v>
      </c>
      <c r="B9">
        <v>458.5</v>
      </c>
      <c r="C9" t="s">
        <v>48</v>
      </c>
      <c r="D9" s="18">
        <v>45961</v>
      </c>
      <c r="E9">
        <v>3.9288999999999998E-2</v>
      </c>
      <c r="F9">
        <v>6693.5</v>
      </c>
      <c r="G9">
        <v>7150</v>
      </c>
      <c r="H9" t="s">
        <v>2</v>
      </c>
      <c r="I9">
        <v>0.10939390031915339</v>
      </c>
      <c r="J9">
        <v>-0.9544969106030976</v>
      </c>
      <c r="K9">
        <v>2.0143713738046927</v>
      </c>
      <c r="L9">
        <v>3.4871902698796475E-4</v>
      </c>
      <c r="M9">
        <v>-0.20365206705093897</v>
      </c>
      <c r="N9">
        <v>-8.0666385458536638</v>
      </c>
      <c r="O9" s="10">
        <v>50</v>
      </c>
      <c r="P9" s="10" t="s">
        <v>49</v>
      </c>
      <c r="Q9" s="10" t="s">
        <v>33</v>
      </c>
      <c r="R9" s="10" t="s">
        <v>0</v>
      </c>
      <c r="S9">
        <v>0</v>
      </c>
      <c r="T9">
        <v>1.4227801648039851E-2</v>
      </c>
      <c r="U9">
        <v>1.4414082685331277E-3</v>
      </c>
      <c r="V9">
        <v>-1.9125509019096325E-3</v>
      </c>
      <c r="W9">
        <v>1.6144892066694049E-4</v>
      </c>
      <c r="X9">
        <v>4.4533523078931986E-3</v>
      </c>
      <c r="Y9">
        <v>0.56821826764617045</v>
      </c>
      <c r="Z9">
        <v>4.5014396909543591E-3</v>
      </c>
    </row>
    <row r="10" spans="1:27" x14ac:dyDescent="0.3">
      <c r="A10" s="18">
        <v>45917</v>
      </c>
      <c r="B10">
        <v>492</v>
      </c>
      <c r="C10" t="s">
        <v>48</v>
      </c>
      <c r="D10" s="18">
        <v>45961</v>
      </c>
      <c r="E10">
        <v>3.9453999999999996E-2</v>
      </c>
      <c r="F10">
        <v>6658.75</v>
      </c>
      <c r="G10">
        <v>7150</v>
      </c>
      <c r="H10" t="s">
        <v>2</v>
      </c>
      <c r="I10">
        <v>0.10938195227956812</v>
      </c>
      <c r="J10">
        <v>-0.96362909720539847</v>
      </c>
      <c r="K10">
        <v>1.646178586004595</v>
      </c>
      <c r="L10">
        <v>2.8084798486815998E-4</v>
      </c>
      <c r="M10">
        <v>-0.14799264823835756</v>
      </c>
      <c r="N10">
        <v>-8.3279614879604082</v>
      </c>
      <c r="O10" s="10">
        <v>50</v>
      </c>
      <c r="P10" s="10" t="s">
        <v>49</v>
      </c>
      <c r="Q10" s="10" t="s">
        <v>33</v>
      </c>
      <c r="R10" s="10" t="s">
        <v>0</v>
      </c>
      <c r="S10">
        <v>0</v>
      </c>
      <c r="T10">
        <v>1.2293164958305751E-2</v>
      </c>
      <c r="U10">
        <v>1.7225045198517193E-3</v>
      </c>
      <c r="V10">
        <v>-1.6321735038862871E-3</v>
      </c>
      <c r="W10">
        <v>1.3720356391413741E-4</v>
      </c>
      <c r="X10">
        <v>4.2958173433897233E-3</v>
      </c>
      <c r="Y10">
        <v>0.52729044794118562</v>
      </c>
      <c r="Z10">
        <v>2.4690228734357174E-2</v>
      </c>
    </row>
    <row r="11" spans="1:27" x14ac:dyDescent="0.3">
      <c r="A11" s="18">
        <v>45916</v>
      </c>
      <c r="B11">
        <v>483.75</v>
      </c>
      <c r="C11" t="s">
        <v>48</v>
      </c>
      <c r="D11" s="18">
        <v>45961</v>
      </c>
      <c r="E11">
        <v>3.9574999999999999E-2</v>
      </c>
      <c r="F11">
        <v>6667.5</v>
      </c>
      <c r="G11">
        <v>7150</v>
      </c>
      <c r="H11" t="s">
        <v>2</v>
      </c>
      <c r="I11">
        <v>0.10943404101131558</v>
      </c>
      <c r="J11">
        <v>-0.95930448919148148</v>
      </c>
      <c r="K11">
        <v>1.8450713723377987</v>
      </c>
      <c r="L11">
        <v>3.0716932997165713E-4</v>
      </c>
      <c r="M11">
        <v>-0.16869577226634647</v>
      </c>
      <c r="N11">
        <v>-8.4818908514765496</v>
      </c>
      <c r="O11" s="10">
        <v>50</v>
      </c>
      <c r="P11" s="10" t="s">
        <v>49</v>
      </c>
      <c r="Q11" s="10" t="s">
        <v>33</v>
      </c>
      <c r="R11" s="10" t="s">
        <v>0</v>
      </c>
      <c r="S11">
        <v>0</v>
      </c>
      <c r="T11">
        <v>1.3213948403995202E-2</v>
      </c>
      <c r="U11">
        <v>1.6019722174731288E-3</v>
      </c>
      <c r="V11">
        <v>-1.7107408957849927E-3</v>
      </c>
      <c r="W11">
        <v>1.4382005283714109E-4</v>
      </c>
      <c r="X11">
        <v>4.315330222560889E-3</v>
      </c>
      <c r="Y11">
        <v>0.55655024579713941</v>
      </c>
      <c r="Z11">
        <v>1.5529137510807684E-2</v>
      </c>
    </row>
    <row r="12" spans="1:27" x14ac:dyDescent="0.3">
      <c r="A12" s="18">
        <v>45915</v>
      </c>
      <c r="B12">
        <v>472.25</v>
      </c>
      <c r="C12" t="s">
        <v>48</v>
      </c>
      <c r="D12" s="18">
        <v>45961</v>
      </c>
      <c r="E12">
        <v>3.9634000000000003E-2</v>
      </c>
      <c r="F12">
        <v>6679.25</v>
      </c>
      <c r="G12">
        <v>7150</v>
      </c>
      <c r="H12" t="s">
        <v>2</v>
      </c>
      <c r="I12">
        <v>0.1072596326362385</v>
      </c>
      <c r="J12">
        <v>-0.95681124786040073</v>
      </c>
      <c r="K12">
        <v>1.9685098773107654</v>
      </c>
      <c r="L12">
        <v>3.260976200181176E-4</v>
      </c>
      <c r="M12">
        <v>-0.17525296297537807</v>
      </c>
      <c r="N12">
        <v>-8.6490815899570919</v>
      </c>
      <c r="O12" s="10">
        <v>50</v>
      </c>
      <c r="P12" s="10" t="s">
        <v>49</v>
      </c>
      <c r="Q12" s="10" t="s">
        <v>33</v>
      </c>
      <c r="R12" s="10" t="s">
        <v>0</v>
      </c>
      <c r="S12">
        <v>0</v>
      </c>
      <c r="T12">
        <v>1.3977722952972354E-2</v>
      </c>
      <c r="U12">
        <v>1.5897369269181406E-3</v>
      </c>
      <c r="V12">
        <v>-1.7335111912851347E-3</v>
      </c>
      <c r="W12">
        <v>1.5155196291385012E-4</v>
      </c>
      <c r="X12">
        <v>4.4652092946907565E-3</v>
      </c>
      <c r="Y12">
        <v>0.58650240446247082</v>
      </c>
      <c r="Z12">
        <v>1.0847808812120701E-2</v>
      </c>
    </row>
    <row r="13" spans="1:27" x14ac:dyDescent="0.3">
      <c r="A13" s="18">
        <v>45912</v>
      </c>
      <c r="B13">
        <v>505.25</v>
      </c>
      <c r="C13" t="s">
        <v>48</v>
      </c>
      <c r="D13" s="18">
        <v>45961</v>
      </c>
      <c r="E13">
        <v>3.9667000000000001E-2</v>
      </c>
      <c r="F13">
        <v>6645</v>
      </c>
      <c r="G13">
        <v>7150</v>
      </c>
      <c r="H13" t="s">
        <v>2</v>
      </c>
      <c r="I13">
        <v>0.10528192837226581</v>
      </c>
      <c r="J13">
        <v>-0.96476422079945223</v>
      </c>
      <c r="K13">
        <v>1.6571813051351114</v>
      </c>
      <c r="L13">
        <v>2.6464249458513223E-4</v>
      </c>
      <c r="M13">
        <v>-0.1201714309445947</v>
      </c>
      <c r="N13">
        <v>-9.2844163617919833</v>
      </c>
      <c r="O13" s="10">
        <v>50</v>
      </c>
      <c r="P13" s="10" t="s">
        <v>49</v>
      </c>
      <c r="Q13" s="10" t="s">
        <v>33</v>
      </c>
      <c r="R13" s="10" t="s">
        <v>0</v>
      </c>
      <c r="S13">
        <v>0</v>
      </c>
      <c r="T13">
        <v>1.2359508205511771E-2</v>
      </c>
      <c r="U13">
        <v>1.9080481892720651E-3</v>
      </c>
      <c r="V13">
        <v>-1.4326360339023219E-3</v>
      </c>
      <c r="W13">
        <v>1.289514283481857E-4</v>
      </c>
      <c r="X13">
        <v>4.3517392038470958E-3</v>
      </c>
      <c r="Y13">
        <v>0.56559064890782407</v>
      </c>
      <c r="Z13">
        <v>3.2491218944909001E-2</v>
      </c>
    </row>
    <row r="14" spans="1:27" x14ac:dyDescent="0.3">
      <c r="A14" s="18">
        <v>45911</v>
      </c>
      <c r="B14">
        <v>502.5</v>
      </c>
      <c r="C14" t="s">
        <v>48</v>
      </c>
      <c r="D14" s="18">
        <v>45961</v>
      </c>
      <c r="E14">
        <v>3.9553999999999999E-2</v>
      </c>
      <c r="F14">
        <v>6647.5</v>
      </c>
      <c r="G14">
        <v>7150</v>
      </c>
      <c r="H14" t="s">
        <v>2</v>
      </c>
      <c r="I14">
        <v>0.1024519285826897</v>
      </c>
      <c r="J14">
        <v>-0.96621716480171926</v>
      </c>
      <c r="K14">
        <v>1.6037093795250428</v>
      </c>
      <c r="L14">
        <v>2.5753593035915401E-4</v>
      </c>
      <c r="M14">
        <v>-0.10697089455720743</v>
      </c>
      <c r="N14">
        <v>-9.4866516738792086</v>
      </c>
      <c r="O14" s="10">
        <v>50</v>
      </c>
      <c r="P14" s="10" t="s">
        <v>49</v>
      </c>
      <c r="Q14" s="10" t="s">
        <v>33</v>
      </c>
      <c r="R14" s="10" t="s">
        <v>0</v>
      </c>
      <c r="S14">
        <v>0</v>
      </c>
      <c r="T14">
        <v>1.2296618889414846E-2</v>
      </c>
      <c r="U14">
        <v>2.0552064256511952E-3</v>
      </c>
      <c r="V14">
        <v>-1.36451849488707E-3</v>
      </c>
      <c r="W14">
        <v>1.292291651796963E-4</v>
      </c>
      <c r="X14">
        <v>4.4995441244108066E-3</v>
      </c>
      <c r="Y14">
        <v>0.57567291063707848</v>
      </c>
      <c r="Z14">
        <v>3.8906294745842354E-2</v>
      </c>
    </row>
    <row r="15" spans="1:27" x14ac:dyDescent="0.3">
      <c r="A15" s="18">
        <v>45910</v>
      </c>
      <c r="B15">
        <v>553.75</v>
      </c>
      <c r="C15" t="s">
        <v>48</v>
      </c>
      <c r="D15" s="18">
        <v>45961</v>
      </c>
      <c r="E15">
        <v>3.9921000000000005E-2</v>
      </c>
      <c r="F15">
        <v>6594.5</v>
      </c>
      <c r="G15">
        <v>7150</v>
      </c>
      <c r="H15" t="s">
        <v>2</v>
      </c>
      <c r="I15">
        <v>9.9562263024371753E-2</v>
      </c>
      <c r="J15">
        <v>-0.97892517441096061</v>
      </c>
      <c r="K15">
        <v>0.97319325879971075</v>
      </c>
      <c r="L15">
        <v>1.5870455172262155E-4</v>
      </c>
      <c r="M15">
        <v>-3.1440504978604622E-2</v>
      </c>
      <c r="N15">
        <v>-9.7936020572099096</v>
      </c>
      <c r="O15" s="10">
        <v>50</v>
      </c>
      <c r="P15" s="10" t="s">
        <v>49</v>
      </c>
      <c r="Q15" s="10" t="s">
        <v>33</v>
      </c>
      <c r="R15" s="10" t="s">
        <v>0</v>
      </c>
      <c r="S15">
        <v>0</v>
      </c>
      <c r="T15">
        <v>8.5739714181824848E-3</v>
      </c>
      <c r="U15">
        <v>2.3588951770747201E-3</v>
      </c>
      <c r="V15">
        <v>-9.4397347411611667E-4</v>
      </c>
      <c r="W15">
        <v>9.187352181348628E-5</v>
      </c>
      <c r="X15">
        <v>3.9125294057836936E-3</v>
      </c>
      <c r="Y15">
        <v>0.45536129162872702</v>
      </c>
      <c r="Z15">
        <v>7.8753922009337687E-2</v>
      </c>
    </row>
    <row r="16" spans="1:27" x14ac:dyDescent="0.3">
      <c r="A16" s="18">
        <v>45909</v>
      </c>
      <c r="B16">
        <v>571.5</v>
      </c>
      <c r="C16" t="s">
        <v>48</v>
      </c>
      <c r="D16" s="18">
        <v>45961</v>
      </c>
      <c r="E16">
        <v>4.0023000000000003E-2</v>
      </c>
      <c r="F16">
        <v>6576.5</v>
      </c>
      <c r="G16">
        <v>7150</v>
      </c>
      <c r="H16" t="s">
        <v>2</v>
      </c>
      <c r="I16">
        <v>0.1006287454405044</v>
      </c>
      <c r="J16">
        <v>-0.97985363407815385</v>
      </c>
      <c r="K16">
        <v>0.92354913164842856</v>
      </c>
      <c r="L16">
        <v>1.4678107618237846E-4</v>
      </c>
      <c r="M16">
        <v>-2.3775704515742291E-2</v>
      </c>
      <c r="N16">
        <v>-9.994526131254247</v>
      </c>
      <c r="O16" s="10">
        <v>50</v>
      </c>
      <c r="P16" s="10" t="s">
        <v>49</v>
      </c>
      <c r="Q16" s="10" t="s">
        <v>33</v>
      </c>
      <c r="R16" s="10" t="s">
        <v>0</v>
      </c>
      <c r="S16">
        <v>0</v>
      </c>
      <c r="T16">
        <v>8.0902868858020033E-3</v>
      </c>
      <c r="U16">
        <v>2.3013483234154732E-3</v>
      </c>
      <c r="V16">
        <v>-8.9024625242775613E-4</v>
      </c>
      <c r="W16">
        <v>8.4341809461229935E-5</v>
      </c>
      <c r="X16">
        <v>3.6890437003681796E-3</v>
      </c>
      <c r="Y16">
        <v>0.4382583513039639</v>
      </c>
      <c r="Z16">
        <v>8.0356171232604773E-2</v>
      </c>
    </row>
    <row r="17" spans="1:26" x14ac:dyDescent="0.3">
      <c r="A17" s="18">
        <v>45908</v>
      </c>
      <c r="B17">
        <v>587.25</v>
      </c>
      <c r="C17" t="s">
        <v>48</v>
      </c>
      <c r="D17" s="18">
        <v>45961</v>
      </c>
      <c r="E17">
        <v>3.9925999999999996E-2</v>
      </c>
      <c r="F17">
        <v>6560.5</v>
      </c>
      <c r="G17">
        <v>7150</v>
      </c>
      <c r="H17" t="s">
        <v>2</v>
      </c>
      <c r="I17">
        <v>0.10101764926989748</v>
      </c>
      <c r="J17">
        <v>-0.98095316716921843</v>
      </c>
      <c r="K17">
        <v>0.86479740269476224</v>
      </c>
      <c r="L17">
        <v>1.3477688298735302E-4</v>
      </c>
      <c r="M17">
        <v>-1.5334436290231679E-2</v>
      </c>
      <c r="N17">
        <v>-10.197316712813574</v>
      </c>
      <c r="O17" s="10">
        <v>50</v>
      </c>
      <c r="P17" s="10" t="s">
        <v>49</v>
      </c>
      <c r="Q17" s="10" t="s">
        <v>33</v>
      </c>
      <c r="R17" s="10" t="s">
        <v>0</v>
      </c>
      <c r="S17">
        <v>0</v>
      </c>
      <c r="T17">
        <v>7.5971853030087529E-3</v>
      </c>
      <c r="U17">
        <v>2.2662400576991307E-3</v>
      </c>
      <c r="V17">
        <v>-8.3131208441455148E-4</v>
      </c>
      <c r="W17">
        <v>7.7599067898080943E-5</v>
      </c>
      <c r="X17">
        <v>3.4983006948823415E-3</v>
      </c>
      <c r="Y17">
        <v>0.42088664544141102</v>
      </c>
      <c r="Z17">
        <v>8.3162080833650009E-2</v>
      </c>
    </row>
    <row r="18" spans="1:26" x14ac:dyDescent="0.3">
      <c r="A18" s="18">
        <v>45905</v>
      </c>
      <c r="B18">
        <v>602.75</v>
      </c>
      <c r="C18" t="s">
        <v>48</v>
      </c>
      <c r="D18" s="18">
        <v>45961</v>
      </c>
      <c r="E18">
        <v>4.0140000000000002E-2</v>
      </c>
      <c r="F18">
        <v>6544.5</v>
      </c>
      <c r="G18">
        <v>7150</v>
      </c>
      <c r="H18" t="s">
        <v>2</v>
      </c>
      <c r="I18">
        <v>9.8352333795771629E-2</v>
      </c>
      <c r="J18">
        <v>-0.98255728887579608</v>
      </c>
      <c r="K18">
        <v>0.77516719861375805</v>
      </c>
      <c r="L18">
        <v>1.1752945283660665E-4</v>
      </c>
      <c r="M18">
        <v>8.5862431956229557E-4</v>
      </c>
      <c r="N18">
        <v>-10.790331831590152</v>
      </c>
      <c r="O18" s="10">
        <v>50</v>
      </c>
      <c r="P18" s="10" t="s">
        <v>49</v>
      </c>
      <c r="Q18" s="10" t="s">
        <v>33</v>
      </c>
      <c r="R18" s="10" t="s">
        <v>0</v>
      </c>
      <c r="S18">
        <v>0</v>
      </c>
      <c r="T18">
        <v>6.9776639850482351E-3</v>
      </c>
      <c r="U18">
        <v>2.335654993633769E-3</v>
      </c>
      <c r="V18">
        <v>-7.2079504076928951E-4</v>
      </c>
      <c r="W18">
        <v>6.948156883890188E-5</v>
      </c>
      <c r="X18">
        <v>3.3434403871884909E-3</v>
      </c>
      <c r="Y18">
        <v>0.40740441214310719</v>
      </c>
      <c r="Z18">
        <v>9.4248163972469684E-2</v>
      </c>
    </row>
    <row r="19" spans="1:26" x14ac:dyDescent="0.3">
      <c r="A19" s="18">
        <v>45904</v>
      </c>
      <c r="B19">
        <v>581</v>
      </c>
      <c r="C19" t="s">
        <v>48</v>
      </c>
      <c r="D19" s="18">
        <v>45961</v>
      </c>
      <c r="E19">
        <v>4.0605000000000002E-2</v>
      </c>
      <c r="F19">
        <v>6566.75</v>
      </c>
      <c r="G19">
        <v>7150</v>
      </c>
      <c r="H19" t="s">
        <v>2</v>
      </c>
      <c r="I19">
        <v>9.9390606410522789E-2</v>
      </c>
      <c r="J19">
        <v>-0.9778774594508377</v>
      </c>
      <c r="K19">
        <v>1.0404986543869654</v>
      </c>
      <c r="L19">
        <v>1.5340106074290816E-4</v>
      </c>
      <c r="M19">
        <v>-2.343449146758303E-2</v>
      </c>
      <c r="N19">
        <v>-10.935153848133098</v>
      </c>
      <c r="O19" s="10">
        <v>50</v>
      </c>
      <c r="P19" s="10" t="s">
        <v>49</v>
      </c>
      <c r="Q19" s="10" t="s">
        <v>33</v>
      </c>
      <c r="R19" s="10" t="s">
        <v>0</v>
      </c>
      <c r="S19">
        <v>0</v>
      </c>
      <c r="T19">
        <v>8.7026612357975486E-3</v>
      </c>
      <c r="U19">
        <v>2.3740304221301083E-3</v>
      </c>
      <c r="V19">
        <v>-8.6752479707863383E-4</v>
      </c>
      <c r="W19">
        <v>8.3849535820633796E-5</v>
      </c>
      <c r="X19">
        <v>3.743326001580539E-3</v>
      </c>
      <c r="Y19">
        <v>0.48483955311464416</v>
      </c>
      <c r="Z19">
        <v>8.258745826169836E-2</v>
      </c>
    </row>
    <row r="20" spans="1:26" x14ac:dyDescent="0.3">
      <c r="A20" s="18">
        <v>45903</v>
      </c>
      <c r="B20">
        <v>634</v>
      </c>
      <c r="C20" t="s">
        <v>48</v>
      </c>
      <c r="D20" s="18">
        <v>45961</v>
      </c>
      <c r="E20">
        <v>4.0839E-2</v>
      </c>
      <c r="F20">
        <v>6512.75</v>
      </c>
      <c r="G20">
        <v>7150</v>
      </c>
      <c r="H20" t="s">
        <v>2</v>
      </c>
      <c r="I20">
        <v>9.996046819552605E-2</v>
      </c>
      <c r="J20">
        <v>-0.98350188406470807</v>
      </c>
      <c r="K20">
        <v>0.70885285043118529</v>
      </c>
      <c r="L20">
        <v>1.0288545126968529E-4</v>
      </c>
      <c r="M20">
        <v>1.2358756751723377E-2</v>
      </c>
      <c r="N20">
        <v>-11.185577480305142</v>
      </c>
      <c r="O20" s="10">
        <v>50</v>
      </c>
      <c r="P20" s="10" t="s">
        <v>49</v>
      </c>
      <c r="Q20" s="10" t="s">
        <v>33</v>
      </c>
      <c r="R20" s="10" t="s">
        <v>0</v>
      </c>
      <c r="S20">
        <v>0</v>
      </c>
      <c r="T20">
        <v>6.3105299576698293E-3</v>
      </c>
      <c r="U20">
        <v>2.2126039710866573E-3</v>
      </c>
      <c r="V20">
        <v>-6.5383788125727158E-4</v>
      </c>
      <c r="W20">
        <v>5.9972339396305434E-5</v>
      </c>
      <c r="X20">
        <v>3.0082911539859336E-3</v>
      </c>
      <c r="Y20">
        <v>0.38054820751784707</v>
      </c>
      <c r="Z20">
        <v>9.4705222835994057E-2</v>
      </c>
    </row>
    <row r="21" spans="1:26" x14ac:dyDescent="0.3">
      <c r="A21" s="18">
        <v>45902</v>
      </c>
      <c r="B21">
        <v>665.75</v>
      </c>
      <c r="C21" t="s">
        <v>48</v>
      </c>
      <c r="D21" s="18">
        <v>45961</v>
      </c>
      <c r="E21">
        <v>4.0957999999999994E-2</v>
      </c>
      <c r="F21">
        <v>6480.75</v>
      </c>
      <c r="G21">
        <v>7150</v>
      </c>
      <c r="H21" t="s">
        <v>2</v>
      </c>
      <c r="I21">
        <v>0.10434710039092271</v>
      </c>
      <c r="J21">
        <v>-0.98334001509101654</v>
      </c>
      <c r="K21">
        <v>0.71206621115567259</v>
      </c>
      <c r="L21">
        <v>9.8452801466919482E-5</v>
      </c>
      <c r="M21">
        <v>1.4190752183253608E-2</v>
      </c>
      <c r="N21">
        <v>-11.377197899784676</v>
      </c>
      <c r="O21" s="10">
        <v>50</v>
      </c>
      <c r="P21" s="10" t="s">
        <v>49</v>
      </c>
      <c r="Q21" s="10" t="s">
        <v>33</v>
      </c>
      <c r="R21" s="10" t="s">
        <v>0</v>
      </c>
      <c r="S21">
        <v>0</v>
      </c>
      <c r="T21">
        <v>6.0640010083845841E-3</v>
      </c>
      <c r="U21">
        <v>2.0367873669649584E-3</v>
      </c>
      <c r="V21">
        <v>-6.4658228959054299E-4</v>
      </c>
      <c r="W21">
        <v>5.4489956980186372E-5</v>
      </c>
      <c r="X21">
        <v>2.7441219121013879E-3</v>
      </c>
      <c r="Y21">
        <v>0.36681383231460363</v>
      </c>
      <c r="Z21">
        <v>8.7417592458258225E-2</v>
      </c>
    </row>
    <row r="22" spans="1:26" x14ac:dyDescent="0.3">
      <c r="A22" s="18">
        <v>45898</v>
      </c>
      <c r="B22">
        <v>618.75</v>
      </c>
      <c r="C22" t="s">
        <v>48</v>
      </c>
      <c r="D22" s="18">
        <v>45961</v>
      </c>
      <c r="E22">
        <v>4.1078999999999997E-2</v>
      </c>
      <c r="F22">
        <v>6528.5</v>
      </c>
      <c r="G22">
        <v>7150</v>
      </c>
      <c r="H22" t="s">
        <v>2</v>
      </c>
      <c r="I22">
        <v>0.10204132107684925</v>
      </c>
      <c r="J22">
        <v>-0.97621136839052269</v>
      </c>
      <c r="K22">
        <v>1.139686356890536</v>
      </c>
      <c r="L22">
        <v>1.50055257108761E-4</v>
      </c>
      <c r="M22">
        <v>-2.0284572449554616E-2</v>
      </c>
      <c r="N22">
        <v>-12.068027066891375</v>
      </c>
      <c r="O22" s="10">
        <v>50</v>
      </c>
      <c r="P22" s="10" t="s">
        <v>49</v>
      </c>
      <c r="Q22" s="10" t="s">
        <v>33</v>
      </c>
      <c r="R22" s="10" t="s">
        <v>0</v>
      </c>
      <c r="S22">
        <v>0</v>
      </c>
      <c r="T22">
        <v>8.816271679014975E-3</v>
      </c>
      <c r="U22">
        <v>2.263864528079963E-3</v>
      </c>
      <c r="V22">
        <v>-8.2385521785271955E-4</v>
      </c>
      <c r="W22">
        <v>7.5173411123708651E-5</v>
      </c>
      <c r="X22">
        <v>3.4567362511637987E-3</v>
      </c>
      <c r="Y22">
        <v>0.50785660649422293</v>
      </c>
      <c r="Z22">
        <v>7.9645551859523336E-2</v>
      </c>
    </row>
    <row r="23" spans="1:26" x14ac:dyDescent="0.3">
      <c r="A23" s="18">
        <v>45897</v>
      </c>
      <c r="B23">
        <v>574.25</v>
      </c>
      <c r="C23" t="s">
        <v>48</v>
      </c>
      <c r="D23" s="18">
        <v>45961</v>
      </c>
      <c r="E23">
        <v>4.1174999999999996E-2</v>
      </c>
      <c r="F23">
        <v>6574</v>
      </c>
      <c r="G23">
        <v>7150</v>
      </c>
      <c r="H23" t="s">
        <v>2</v>
      </c>
      <c r="I23">
        <v>0.10007353820576138</v>
      </c>
      <c r="J23">
        <v>-0.96931256897505591</v>
      </c>
      <c r="K23">
        <v>1.5357467076206603</v>
      </c>
      <c r="L23">
        <v>2.0113930077059194E-4</v>
      </c>
      <c r="M23">
        <v>-5.3070378633378823E-2</v>
      </c>
      <c r="N23">
        <v>-12.179827737420396</v>
      </c>
      <c r="O23" s="10">
        <v>50</v>
      </c>
      <c r="P23" s="10" t="s">
        <v>49</v>
      </c>
      <c r="Q23" s="10" t="s">
        <v>33</v>
      </c>
      <c r="R23" s="10" t="s">
        <v>0</v>
      </c>
      <c r="S23">
        <v>0</v>
      </c>
      <c r="T23">
        <v>1.121360012409104E-2</v>
      </c>
      <c r="U23">
        <v>2.2830887403478711E-3</v>
      </c>
      <c r="V23">
        <v>-9.8605317508007758E-4</v>
      </c>
      <c r="W23">
        <v>9.519819859290409E-5</v>
      </c>
      <c r="X23">
        <v>3.9861081090547378E-3</v>
      </c>
      <c r="Y23">
        <v>0.61223564636317063</v>
      </c>
      <c r="Z23">
        <v>6.217999599529983E-2</v>
      </c>
    </row>
    <row r="24" spans="1:26" x14ac:dyDescent="0.3">
      <c r="A24" s="18">
        <v>45896</v>
      </c>
      <c r="B24">
        <v>596</v>
      </c>
      <c r="C24" t="s">
        <v>48</v>
      </c>
      <c r="D24" s="18">
        <v>45961</v>
      </c>
      <c r="E24">
        <v>4.122E-2</v>
      </c>
      <c r="F24">
        <v>6552</v>
      </c>
      <c r="G24">
        <v>7150</v>
      </c>
      <c r="H24" t="s">
        <v>2</v>
      </c>
      <c r="I24">
        <v>0.10252984410596366</v>
      </c>
      <c r="J24">
        <v>-0.9699425956853247</v>
      </c>
      <c r="K24">
        <v>1.5011418974822277</v>
      </c>
      <c r="L24">
        <v>1.9019466890313197E-4</v>
      </c>
      <c r="M24">
        <v>-4.8879187937018287E-2</v>
      </c>
      <c r="N24">
        <v>-12.378266420780562</v>
      </c>
      <c r="O24" s="10">
        <v>50</v>
      </c>
      <c r="P24" s="10" t="s">
        <v>49</v>
      </c>
      <c r="Q24" s="10" t="s">
        <v>33</v>
      </c>
      <c r="R24" s="10" t="s">
        <v>0</v>
      </c>
      <c r="S24">
        <v>0</v>
      </c>
      <c r="T24">
        <v>1.0728973162092627E-2</v>
      </c>
      <c r="U24">
        <v>2.1930089625435594E-3</v>
      </c>
      <c r="V24">
        <v>-9.5572165252462698E-4</v>
      </c>
      <c r="W24">
        <v>8.7781817938392776E-5</v>
      </c>
      <c r="X24">
        <v>3.736641082344486E-3</v>
      </c>
      <c r="Y24">
        <v>0.59241430565295949</v>
      </c>
      <c r="Z24">
        <v>6.2058317126024158E-2</v>
      </c>
    </row>
    <row r="25" spans="1:26" x14ac:dyDescent="0.3">
      <c r="A25" s="18">
        <v>45895</v>
      </c>
      <c r="B25">
        <v>609</v>
      </c>
      <c r="C25" t="s">
        <v>48</v>
      </c>
      <c r="D25" s="18">
        <v>45961</v>
      </c>
      <c r="E25">
        <v>4.1289999999999993E-2</v>
      </c>
      <c r="F25">
        <v>6538.5</v>
      </c>
      <c r="G25">
        <v>7150</v>
      </c>
      <c r="H25" t="s">
        <v>2</v>
      </c>
      <c r="I25">
        <v>0.10149507236859029</v>
      </c>
      <c r="J25">
        <v>-0.97252672037484444</v>
      </c>
      <c r="K25">
        <v>1.3587767982633636</v>
      </c>
      <c r="L25">
        <v>1.7164893506560475E-4</v>
      </c>
      <c r="M25">
        <v>-3.3366656702696673E-2</v>
      </c>
      <c r="N25">
        <v>-12.599099492949392</v>
      </c>
      <c r="O25" s="10">
        <v>50</v>
      </c>
      <c r="P25" s="10" t="s">
        <v>49</v>
      </c>
      <c r="Q25" s="10" t="s">
        <v>33</v>
      </c>
      <c r="R25" s="10" t="s">
        <v>0</v>
      </c>
      <c r="S25">
        <v>0</v>
      </c>
      <c r="T25">
        <v>9.9885794984956762E-3</v>
      </c>
      <c r="U25">
        <v>2.2747033001912966E-3</v>
      </c>
      <c r="V25">
        <v>-8.7803935864022185E-4</v>
      </c>
      <c r="W25">
        <v>8.1523154549432156E-5</v>
      </c>
      <c r="X25">
        <v>3.6386119744619698E-3</v>
      </c>
      <c r="Y25">
        <v>0.56930995934452511</v>
      </c>
      <c r="Z25">
        <v>7.2375862008721065E-2</v>
      </c>
    </row>
    <row r="26" spans="1:26" x14ac:dyDescent="0.3">
      <c r="A26" s="18">
        <v>45894</v>
      </c>
      <c r="B26">
        <v>635.75</v>
      </c>
      <c r="C26" t="s">
        <v>48</v>
      </c>
      <c r="D26" s="18">
        <v>45961</v>
      </c>
      <c r="E26">
        <v>4.1439000000000004E-2</v>
      </c>
      <c r="F26">
        <v>6511.25</v>
      </c>
      <c r="G26">
        <v>7150</v>
      </c>
      <c r="H26" t="s">
        <v>2</v>
      </c>
      <c r="I26">
        <v>0.10312255354097956</v>
      </c>
      <c r="J26">
        <v>-0.9745174351166952</v>
      </c>
      <c r="K26">
        <v>1.2408329371721152</v>
      </c>
      <c r="L26">
        <v>1.5301907296816353E-4</v>
      </c>
      <c r="M26">
        <v>-2.1099221139252222E-2</v>
      </c>
      <c r="N26">
        <v>-12.814275654609389</v>
      </c>
      <c r="O26" s="10">
        <v>50</v>
      </c>
      <c r="P26" s="10" t="s">
        <v>49</v>
      </c>
      <c r="Q26" s="10" t="s">
        <v>33</v>
      </c>
      <c r="R26" s="10" t="s">
        <v>0</v>
      </c>
      <c r="S26">
        <v>0</v>
      </c>
      <c r="T26">
        <v>9.1355712526862195E-3</v>
      </c>
      <c r="U26">
        <v>2.2204277970718847E-3</v>
      </c>
      <c r="V26">
        <v>-8.136857728888293E-4</v>
      </c>
      <c r="W26">
        <v>7.25899148727546E-5</v>
      </c>
      <c r="X26">
        <v>3.3677695323146672E-3</v>
      </c>
      <c r="Y26">
        <v>0.53417101621454299</v>
      </c>
      <c r="Z26">
        <v>7.6940327862126984E-2</v>
      </c>
    </row>
    <row r="27" spans="1:26" x14ac:dyDescent="0.3">
      <c r="A27" s="18">
        <v>45891</v>
      </c>
      <c r="B27">
        <v>608.75</v>
      </c>
      <c r="C27" t="s">
        <v>48</v>
      </c>
      <c r="D27" s="18">
        <v>45961</v>
      </c>
      <c r="E27">
        <v>4.1464999999999995E-2</v>
      </c>
      <c r="F27">
        <v>6539</v>
      </c>
      <c r="G27">
        <v>7150</v>
      </c>
      <c r="H27" t="s">
        <v>2</v>
      </c>
      <c r="I27">
        <v>0.10209852876907995</v>
      </c>
      <c r="J27">
        <v>-0.9681650518416518</v>
      </c>
      <c r="K27">
        <v>1.6206191091248456</v>
      </c>
      <c r="L27">
        <v>1.9233198145229835E-4</v>
      </c>
      <c r="M27">
        <v>-4.7033956100563046E-2</v>
      </c>
      <c r="N27">
        <v>-13.308376609284437</v>
      </c>
      <c r="O27" s="10">
        <v>50</v>
      </c>
      <c r="P27" s="10" t="s">
        <v>49</v>
      </c>
      <c r="Q27" s="10" t="s">
        <v>33</v>
      </c>
      <c r="R27" s="10" t="s">
        <v>0</v>
      </c>
      <c r="S27">
        <v>0</v>
      </c>
      <c r="T27">
        <v>1.1127289299587562E-2</v>
      </c>
      <c r="U27">
        <v>2.1939881744067E-3</v>
      </c>
      <c r="V27">
        <v>-9.2147182144957675E-4</v>
      </c>
      <c r="W27">
        <v>8.4983293407361459E-5</v>
      </c>
      <c r="X27">
        <v>3.6845090028148507E-3</v>
      </c>
      <c r="Y27">
        <v>0.62948047666302387</v>
      </c>
      <c r="Z27">
        <v>6.1066188479246331E-2</v>
      </c>
    </row>
    <row r="28" spans="1:26" x14ac:dyDescent="0.3">
      <c r="A28" s="18">
        <v>45890</v>
      </c>
      <c r="B28">
        <v>702.25</v>
      </c>
      <c r="C28" t="s">
        <v>48</v>
      </c>
      <c r="D28" s="18">
        <v>45961</v>
      </c>
      <c r="E28">
        <v>4.1715999999999996E-2</v>
      </c>
      <c r="F28">
        <v>6443.5</v>
      </c>
      <c r="G28">
        <v>7150</v>
      </c>
      <c r="H28" t="s">
        <v>2</v>
      </c>
      <c r="I28">
        <v>0.10629536396564221</v>
      </c>
      <c r="J28">
        <v>-0.97797882873464914</v>
      </c>
      <c r="K28">
        <v>1.0233377239963488</v>
      </c>
      <c r="L28">
        <v>1.1757038009818643E-4</v>
      </c>
      <c r="M28">
        <v>5.7529579848960566E-3</v>
      </c>
      <c r="N28">
        <v>-13.623674283711125</v>
      </c>
      <c r="O28" s="10">
        <v>50</v>
      </c>
      <c r="P28" s="10" t="s">
        <v>49</v>
      </c>
      <c r="Q28" s="10" t="s">
        <v>33</v>
      </c>
      <c r="R28" s="10" t="s">
        <v>0</v>
      </c>
      <c r="S28">
        <v>0</v>
      </c>
      <c r="T28">
        <v>7.492933688204864E-3</v>
      </c>
      <c r="U28">
        <v>2.0762634618580467E-3</v>
      </c>
      <c r="V28">
        <v>-6.7266382305658555E-4</v>
      </c>
      <c r="W28">
        <v>5.5064987036489156E-5</v>
      </c>
      <c r="X28">
        <v>2.7968601135670442E-3</v>
      </c>
      <c r="Y28">
        <v>0.46757382364260974</v>
      </c>
      <c r="Z28">
        <v>8.463560405787951E-2</v>
      </c>
    </row>
    <row r="29" spans="1:26" x14ac:dyDescent="0.3">
      <c r="A29" s="18">
        <v>45889</v>
      </c>
      <c r="B29">
        <v>678.25</v>
      </c>
      <c r="C29" t="s">
        <v>48</v>
      </c>
      <c r="D29" s="18">
        <v>45961</v>
      </c>
      <c r="E29">
        <v>4.1529999999999997E-2</v>
      </c>
      <c r="F29">
        <v>6468.25</v>
      </c>
      <c r="G29">
        <v>7150</v>
      </c>
      <c r="H29" t="s">
        <v>2</v>
      </c>
      <c r="I29">
        <v>0.10729192241152574</v>
      </c>
      <c r="J29">
        <v>-0.9731875245847732</v>
      </c>
      <c r="K29">
        <v>1.3213132662887688</v>
      </c>
      <c r="L29">
        <v>1.4786792235099711E-4</v>
      </c>
      <c r="M29">
        <v>-1.9232448993079743E-2</v>
      </c>
      <c r="N29">
        <v>-13.754768886635588</v>
      </c>
      <c r="O29" s="10">
        <v>50</v>
      </c>
      <c r="P29" s="10" t="s">
        <v>49</v>
      </c>
      <c r="Q29" s="10" t="s">
        <v>33</v>
      </c>
      <c r="R29" s="10" t="s">
        <v>0</v>
      </c>
      <c r="S29">
        <v>0</v>
      </c>
      <c r="T29">
        <v>9.0343326226907505E-3</v>
      </c>
      <c r="U29">
        <v>2.0578071894574628E-3</v>
      </c>
      <c r="V29">
        <v>-7.8386265614765354E-4</v>
      </c>
      <c r="W29">
        <v>6.4515000747979086E-5</v>
      </c>
      <c r="X29">
        <v>3.0501138205561917E-3</v>
      </c>
      <c r="Y29">
        <v>0.539590193333368</v>
      </c>
      <c r="Z29">
        <v>7.1461379439084483E-2</v>
      </c>
    </row>
    <row r="30" spans="1:26" x14ac:dyDescent="0.3">
      <c r="A30" s="18">
        <v>45888</v>
      </c>
      <c r="B30">
        <v>659.25</v>
      </c>
      <c r="C30" t="s">
        <v>48</v>
      </c>
      <c r="D30" s="18">
        <v>45961</v>
      </c>
      <c r="E30">
        <v>4.1524999999999999E-2</v>
      </c>
      <c r="F30">
        <v>6487.25</v>
      </c>
      <c r="G30">
        <v>7150</v>
      </c>
      <c r="H30" t="s">
        <v>2</v>
      </c>
      <c r="I30">
        <v>0.10325874315053053</v>
      </c>
      <c r="J30">
        <v>-0.97327460117071496</v>
      </c>
      <c r="K30">
        <v>1.3233559701105833</v>
      </c>
      <c r="L30">
        <v>1.5076125237101223E-4</v>
      </c>
      <c r="M30">
        <v>-1.658168599669807E-2</v>
      </c>
      <c r="N30">
        <v>-13.945887368747663</v>
      </c>
      <c r="O30" s="10">
        <v>50</v>
      </c>
      <c r="P30" s="10" t="s">
        <v>49</v>
      </c>
      <c r="Q30" s="10" t="s">
        <v>33</v>
      </c>
      <c r="R30" s="10" t="s">
        <v>0</v>
      </c>
      <c r="S30">
        <v>0</v>
      </c>
      <c r="T30">
        <v>9.3143070643284583E-3</v>
      </c>
      <c r="U30">
        <v>2.2174997356309207E-3</v>
      </c>
      <c r="V30">
        <v>-7.6948256988766282E-4</v>
      </c>
      <c r="W30">
        <v>6.8016130243897746E-5</v>
      </c>
      <c r="X30">
        <v>3.2550326431940884E-3</v>
      </c>
      <c r="Y30">
        <v>0.56297986758227603</v>
      </c>
      <c r="Z30">
        <v>7.8301432013166264E-2</v>
      </c>
    </row>
    <row r="31" spans="1:26" x14ac:dyDescent="0.3">
      <c r="A31" s="18">
        <v>45887</v>
      </c>
      <c r="B31">
        <v>623.25</v>
      </c>
      <c r="C31" t="s">
        <v>48</v>
      </c>
      <c r="D31" s="18">
        <v>45961</v>
      </c>
      <c r="E31">
        <v>4.1693000000000001E-2</v>
      </c>
      <c r="F31">
        <v>6524.5</v>
      </c>
      <c r="G31">
        <v>7150</v>
      </c>
      <c r="H31" t="s">
        <v>2</v>
      </c>
      <c r="I31">
        <v>0.10389005969324974</v>
      </c>
      <c r="J31">
        <v>-0.9652300997686325</v>
      </c>
      <c r="K31">
        <v>1.8007976724318837</v>
      </c>
      <c r="L31">
        <v>1.9984554455731995E-4</v>
      </c>
      <c r="M31">
        <v>-5.3396021219782597E-2</v>
      </c>
      <c r="N31">
        <v>-14.030934057494505</v>
      </c>
      <c r="O31" s="10">
        <v>50</v>
      </c>
      <c r="P31" s="10" t="s">
        <v>49</v>
      </c>
      <c r="Q31" s="10" t="s">
        <v>33</v>
      </c>
      <c r="R31" s="10" t="s">
        <v>0</v>
      </c>
      <c r="S31">
        <v>0</v>
      </c>
      <c r="T31">
        <v>1.1627679606232611E-2</v>
      </c>
      <c r="U31">
        <v>2.0741360960422829E-3</v>
      </c>
      <c r="V31">
        <v>-9.2647216015542572E-4</v>
      </c>
      <c r="W31">
        <v>8.2613663903817342E-5</v>
      </c>
      <c r="X31">
        <v>3.5514344885443122E-3</v>
      </c>
      <c r="Y31">
        <v>0.66053184732528702</v>
      </c>
      <c r="Z31">
        <v>5.2707167508081777E-2</v>
      </c>
    </row>
    <row r="32" spans="1:26" x14ac:dyDescent="0.3">
      <c r="A32" s="18">
        <v>45884</v>
      </c>
      <c r="B32">
        <v>622.25</v>
      </c>
      <c r="C32" t="s">
        <v>48</v>
      </c>
      <c r="D32" s="18">
        <v>45961</v>
      </c>
      <c r="E32">
        <v>4.1639999999999996E-2</v>
      </c>
      <c r="F32">
        <v>6526.5</v>
      </c>
      <c r="G32">
        <v>7150</v>
      </c>
      <c r="H32" t="s">
        <v>2</v>
      </c>
      <c r="I32">
        <v>0.10739966493724391</v>
      </c>
      <c r="J32">
        <v>-0.95755029467454733</v>
      </c>
      <c r="K32">
        <v>2.2468285177117195</v>
      </c>
      <c r="L32">
        <v>2.3231677914736792E-4</v>
      </c>
      <c r="M32">
        <v>-8.4151540095945165E-2</v>
      </c>
      <c r="N32">
        <v>-14.495920594344966</v>
      </c>
      <c r="O32" s="10">
        <v>50</v>
      </c>
      <c r="P32" s="10" t="s">
        <v>49</v>
      </c>
      <c r="Q32" s="10" t="s">
        <v>33</v>
      </c>
      <c r="R32" s="10" t="s">
        <v>0</v>
      </c>
      <c r="S32">
        <v>0</v>
      </c>
      <c r="T32">
        <v>1.3052904182181317E-2</v>
      </c>
      <c r="U32">
        <v>1.7585431402793387E-3</v>
      </c>
      <c r="V32">
        <v>-1.019549524421168E-3</v>
      </c>
      <c r="W32">
        <v>8.594943344443067E-5</v>
      </c>
      <c r="X32">
        <v>3.4173347624128453E-3</v>
      </c>
      <c r="Y32">
        <v>0.71408034579165436</v>
      </c>
      <c r="Z32">
        <v>2.7918672089887703E-2</v>
      </c>
    </row>
    <row r="33" spans="1:26" x14ac:dyDescent="0.3">
      <c r="A33" s="18">
        <v>45883</v>
      </c>
      <c r="B33">
        <v>603.75</v>
      </c>
      <c r="C33" t="s">
        <v>48</v>
      </c>
      <c r="D33" s="18">
        <v>45961</v>
      </c>
      <c r="E33">
        <v>4.1513000000000001E-2</v>
      </c>
      <c r="F33">
        <v>6545.5</v>
      </c>
      <c r="G33">
        <v>7150</v>
      </c>
      <c r="H33" t="s">
        <v>2</v>
      </c>
      <c r="I33">
        <v>0.10550475991222388</v>
      </c>
      <c r="J33">
        <v>-0.95450792470046508</v>
      </c>
      <c r="K33">
        <v>2.4280800559102431</v>
      </c>
      <c r="L33">
        <v>2.5099325284827501E-4</v>
      </c>
      <c r="M33">
        <v>-9.4122264255588561E-2</v>
      </c>
      <c r="N33">
        <v>-14.640910199264795</v>
      </c>
      <c r="O33" s="10">
        <v>50</v>
      </c>
      <c r="P33" s="10" t="s">
        <v>49</v>
      </c>
      <c r="Q33" s="10" t="s">
        <v>33</v>
      </c>
      <c r="R33" s="10" t="s">
        <v>0</v>
      </c>
      <c r="S33">
        <v>0</v>
      </c>
      <c r="T33">
        <v>1.3940959914003565E-2</v>
      </c>
      <c r="U33">
        <v>1.7260785346135724E-3</v>
      </c>
      <c r="V33">
        <v>-1.0514048734321601E-3</v>
      </c>
      <c r="W33">
        <v>9.1956063782612748E-5</v>
      </c>
      <c r="X33">
        <v>3.550054692769161E-3</v>
      </c>
      <c r="Y33">
        <v>0.75371458422938187</v>
      </c>
      <c r="Z33">
        <v>1.9931083984888857E-2</v>
      </c>
    </row>
    <row r="34" spans="1:26" x14ac:dyDescent="0.3">
      <c r="A34" s="18">
        <v>45882</v>
      </c>
      <c r="B34">
        <v>606.25</v>
      </c>
      <c r="C34" t="s">
        <v>48</v>
      </c>
      <c r="D34" s="18">
        <v>45961</v>
      </c>
      <c r="E34">
        <v>4.1361000000000002E-2</v>
      </c>
      <c r="F34">
        <v>6543</v>
      </c>
      <c r="G34">
        <v>7150</v>
      </c>
      <c r="H34" t="s">
        <v>2</v>
      </c>
      <c r="I34">
        <v>0.10550123709292415</v>
      </c>
      <c r="J34">
        <v>-0.95412434864670104</v>
      </c>
      <c r="K34">
        <v>2.4589641244859877</v>
      </c>
      <c r="L34">
        <v>2.5120584723481443E-4</v>
      </c>
      <c r="M34">
        <v>-9.4102277420461178E-2</v>
      </c>
      <c r="N34">
        <v>-14.823417906555846</v>
      </c>
      <c r="O34" s="10">
        <v>50</v>
      </c>
      <c r="P34" s="10" t="s">
        <v>49</v>
      </c>
      <c r="Q34" s="10" t="s">
        <v>33</v>
      </c>
      <c r="R34" s="10" t="s">
        <v>0</v>
      </c>
      <c r="S34">
        <v>0</v>
      </c>
      <c r="T34">
        <v>1.4008681258896118E-2</v>
      </c>
      <c r="U34">
        <v>1.717234848151438E-3</v>
      </c>
      <c r="V34">
        <v>-1.0435200412573561E-3</v>
      </c>
      <c r="W34">
        <v>9.1250385174942894E-5</v>
      </c>
      <c r="X34">
        <v>3.5309188134931423E-3</v>
      </c>
      <c r="Y34">
        <v>0.76029907117444795</v>
      </c>
      <c r="Z34">
        <v>1.9150946112956535E-2</v>
      </c>
    </row>
    <row r="35" spans="1:26" x14ac:dyDescent="0.3">
      <c r="A35" s="18">
        <v>45881</v>
      </c>
      <c r="B35">
        <v>625.25</v>
      </c>
      <c r="C35" t="s">
        <v>48</v>
      </c>
      <c r="D35" s="18">
        <v>45961</v>
      </c>
      <c r="E35">
        <v>4.1609999999999994E-2</v>
      </c>
      <c r="F35">
        <v>6523</v>
      </c>
      <c r="G35">
        <v>7150</v>
      </c>
      <c r="H35" t="s">
        <v>2</v>
      </c>
      <c r="I35">
        <v>0.10472152248611588</v>
      </c>
      <c r="J35">
        <v>-0.95887611938678674</v>
      </c>
      <c r="K35">
        <v>2.1969548686810185</v>
      </c>
      <c r="L35">
        <v>2.2434505808632821E-4</v>
      </c>
      <c r="M35">
        <v>-7.1006412989277123E-2</v>
      </c>
      <c r="N35">
        <v>-15.078847278228693</v>
      </c>
      <c r="O35" s="10">
        <v>50</v>
      </c>
      <c r="P35" s="10" t="s">
        <v>49</v>
      </c>
      <c r="Q35" s="10" t="s">
        <v>33</v>
      </c>
      <c r="R35" s="10" t="s">
        <v>0</v>
      </c>
      <c r="S35">
        <v>0</v>
      </c>
      <c r="T35">
        <v>1.2992887546893624E-2</v>
      </c>
      <c r="U35">
        <v>1.897791402011353E-3</v>
      </c>
      <c r="V35">
        <v>-9.5970873098861337E-4</v>
      </c>
      <c r="W35">
        <v>8.4537721179508819E-5</v>
      </c>
      <c r="X35">
        <v>3.4987139686483491E-3</v>
      </c>
      <c r="Y35">
        <v>0.73304551928565398</v>
      </c>
      <c r="Z35">
        <v>3.5214362719642602E-2</v>
      </c>
    </row>
    <row r="36" spans="1:26" x14ac:dyDescent="0.3">
      <c r="A36" s="18">
        <v>45880</v>
      </c>
      <c r="B36">
        <v>692</v>
      </c>
      <c r="C36" t="s">
        <v>48</v>
      </c>
      <c r="D36" s="18">
        <v>45961</v>
      </c>
      <c r="E36">
        <v>4.1821000000000004E-2</v>
      </c>
      <c r="F36">
        <v>6454.25</v>
      </c>
      <c r="G36">
        <v>7150</v>
      </c>
      <c r="H36" t="s">
        <v>2</v>
      </c>
      <c r="I36">
        <v>0.10717351680731532</v>
      </c>
      <c r="J36">
        <v>-0.96835331141278402</v>
      </c>
      <c r="K36">
        <v>1.6292118005324028</v>
      </c>
      <c r="L36">
        <v>1.6335320651705842E-4</v>
      </c>
      <c r="M36">
        <v>-2.67584328863677E-2</v>
      </c>
      <c r="N36">
        <v>-15.405055115566142</v>
      </c>
      <c r="O36" s="10">
        <v>50</v>
      </c>
      <c r="P36" s="10" t="s">
        <v>49</v>
      </c>
      <c r="Q36" s="10" t="s">
        <v>33</v>
      </c>
      <c r="R36" s="10" t="s">
        <v>0</v>
      </c>
      <c r="S36">
        <v>0</v>
      </c>
      <c r="T36">
        <v>1.0196332671511908E-2</v>
      </c>
      <c r="U36">
        <v>2.0317127008933015E-3</v>
      </c>
      <c r="V36">
        <v>-7.8550566465637696E-4</v>
      </c>
      <c r="W36">
        <v>6.4789492926329372E-5</v>
      </c>
      <c r="X36">
        <v>3.0603726780838204E-3</v>
      </c>
      <c r="Y36">
        <v>0.62079657634201169</v>
      </c>
      <c r="Z36">
        <v>6.431453309586635E-2</v>
      </c>
    </row>
    <row r="37" spans="1:26" x14ac:dyDescent="0.3">
      <c r="A37" s="18">
        <v>45877</v>
      </c>
      <c r="B37">
        <v>679</v>
      </c>
      <c r="C37" t="s">
        <v>48</v>
      </c>
      <c r="D37" s="18">
        <v>45961</v>
      </c>
      <c r="E37">
        <v>4.1845999999999994E-2</v>
      </c>
      <c r="F37">
        <v>6468</v>
      </c>
      <c r="G37">
        <v>7150</v>
      </c>
      <c r="H37" t="s">
        <v>2</v>
      </c>
      <c r="I37">
        <v>0.10807761099140015</v>
      </c>
      <c r="J37">
        <v>-0.96246094033176632</v>
      </c>
      <c r="K37">
        <v>1.9956339423677605</v>
      </c>
      <c r="L37">
        <v>1.9103481463389471E-4</v>
      </c>
      <c r="M37">
        <v>-4.8993440354252016E-2</v>
      </c>
      <c r="N37">
        <v>-15.888544671642251</v>
      </c>
      <c r="O37" s="10">
        <v>50</v>
      </c>
      <c r="P37" s="10" t="s">
        <v>49</v>
      </c>
      <c r="Q37" s="10" t="s">
        <v>33</v>
      </c>
      <c r="R37" s="10" t="s">
        <v>0</v>
      </c>
      <c r="S37">
        <v>0</v>
      </c>
      <c r="T37">
        <v>1.1613897928179335E-2</v>
      </c>
      <c r="U37">
        <v>1.8956424079311024E-3</v>
      </c>
      <c r="V37">
        <v>-8.5748710212530483E-4</v>
      </c>
      <c r="W37">
        <v>7.0281191172465391E-5</v>
      </c>
      <c r="X37">
        <v>3.1296767619922528E-3</v>
      </c>
      <c r="Y37">
        <v>0.68740770520306427</v>
      </c>
      <c r="Z37">
        <v>4.6868073073053899E-2</v>
      </c>
    </row>
    <row r="38" spans="1:26" x14ac:dyDescent="0.3">
      <c r="A38" s="18">
        <v>45876</v>
      </c>
      <c r="B38">
        <v>725.25</v>
      </c>
      <c r="C38" t="s">
        <v>48</v>
      </c>
      <c r="D38" s="18">
        <v>45961</v>
      </c>
      <c r="E38">
        <v>4.1725000000000005E-2</v>
      </c>
      <c r="F38">
        <v>6420.25</v>
      </c>
      <c r="G38">
        <v>7150</v>
      </c>
      <c r="H38" t="s">
        <v>2</v>
      </c>
      <c r="I38">
        <v>0.10846025720621075</v>
      </c>
      <c r="J38">
        <v>-0.96939078840136972</v>
      </c>
      <c r="K38">
        <v>1.5687952275562793</v>
      </c>
      <c r="L38">
        <v>1.4957436178519856E-4</v>
      </c>
      <c r="M38">
        <v>-1.5507880264294727E-2</v>
      </c>
      <c r="N38">
        <v>-16.182083027255146</v>
      </c>
      <c r="O38" s="10">
        <v>50</v>
      </c>
      <c r="P38" s="10" t="s">
        <v>49</v>
      </c>
      <c r="Q38" s="10" t="s">
        <v>33</v>
      </c>
      <c r="R38" s="10" t="s">
        <v>0</v>
      </c>
      <c r="S38">
        <v>0</v>
      </c>
      <c r="T38">
        <v>9.6532607584788668E-3</v>
      </c>
      <c r="U38">
        <v>2.0070627699639351E-3</v>
      </c>
      <c r="V38">
        <v>-7.2669547128094978E-4</v>
      </c>
      <c r="W38">
        <v>5.8032788345463809E-5</v>
      </c>
      <c r="X38">
        <v>2.8598346295270003E-3</v>
      </c>
      <c r="Y38">
        <v>0.60733683029763996</v>
      </c>
      <c r="Z38">
        <v>6.883521481406997E-2</v>
      </c>
    </row>
    <row r="39" spans="1:26" x14ac:dyDescent="0.3">
      <c r="A39" s="18">
        <v>45875</v>
      </c>
      <c r="B39">
        <v>720.25</v>
      </c>
      <c r="C39" t="s">
        <v>48</v>
      </c>
      <c r="D39" s="18">
        <v>45961</v>
      </c>
      <c r="E39">
        <v>4.1814999999999998E-2</v>
      </c>
      <c r="F39">
        <v>6425</v>
      </c>
      <c r="G39">
        <v>7150</v>
      </c>
      <c r="H39" t="s">
        <v>2</v>
      </c>
      <c r="I39">
        <v>0.10589981090142808</v>
      </c>
      <c r="J39">
        <v>-0.9704139352720631</v>
      </c>
      <c r="K39">
        <v>1.5065803022755517</v>
      </c>
      <c r="L39">
        <v>1.4503257261822E-4</v>
      </c>
      <c r="M39">
        <v>-8.5757015359604338E-3</v>
      </c>
      <c r="N39">
        <v>-16.387005760619331</v>
      </c>
      <c r="O39" s="10">
        <v>50</v>
      </c>
      <c r="P39" s="10" t="s">
        <v>49</v>
      </c>
      <c r="Q39" s="10" t="s">
        <v>33</v>
      </c>
      <c r="R39" s="10" t="s">
        <v>0</v>
      </c>
      <c r="S39">
        <v>0</v>
      </c>
      <c r="T39">
        <v>9.5237072109244682E-3</v>
      </c>
      <c r="U39">
        <v>2.1131690848401031E-3</v>
      </c>
      <c r="V39">
        <v>-6.9754360673662742E-4</v>
      </c>
      <c r="W39">
        <v>5.7955966382283173E-5</v>
      </c>
      <c r="X39">
        <v>2.9259541483984811E-3</v>
      </c>
      <c r="Y39">
        <v>0.61013427131229259</v>
      </c>
      <c r="Z39">
        <v>7.6323701215781733E-2</v>
      </c>
    </row>
    <row r="40" spans="1:26" x14ac:dyDescent="0.3">
      <c r="A40" s="18">
        <v>45874</v>
      </c>
      <c r="B40">
        <v>765.75</v>
      </c>
      <c r="C40" t="s">
        <v>48</v>
      </c>
      <c r="D40" s="18">
        <v>45961</v>
      </c>
      <c r="E40">
        <v>4.1981999999999998E-2</v>
      </c>
      <c r="F40">
        <v>6378.5</v>
      </c>
      <c r="G40">
        <v>7150</v>
      </c>
      <c r="H40" t="s">
        <v>2</v>
      </c>
      <c r="I40">
        <v>0.10825811837321724</v>
      </c>
      <c r="J40">
        <v>-0.97378021061444997</v>
      </c>
      <c r="K40">
        <v>1.2761659817572308</v>
      </c>
      <c r="L40">
        <v>1.2023633644275833E-4</v>
      </c>
      <c r="M40">
        <v>1.0368959881134288E-2</v>
      </c>
      <c r="N40">
        <v>-16.629707440951051</v>
      </c>
      <c r="O40" s="10">
        <v>50</v>
      </c>
      <c r="P40" s="10" t="s">
        <v>49</v>
      </c>
      <c r="Q40" s="10" t="s">
        <v>33</v>
      </c>
      <c r="R40" s="10" t="s">
        <v>0</v>
      </c>
      <c r="S40">
        <v>0</v>
      </c>
      <c r="T40">
        <v>8.187224745631546E-3</v>
      </c>
      <c r="U40">
        <v>2.0346416837526879E-3</v>
      </c>
      <c r="V40">
        <v>-6.2139049466446259E-4</v>
      </c>
      <c r="W40">
        <v>4.8540628325085422E-5</v>
      </c>
      <c r="X40">
        <v>2.5970746028164942E-3</v>
      </c>
      <c r="Y40">
        <v>0.54404784759310865</v>
      </c>
      <c r="Z40">
        <v>8.3704179264104242E-2</v>
      </c>
    </row>
    <row r="41" spans="1:26" x14ac:dyDescent="0.3">
      <c r="A41" s="18">
        <v>45873</v>
      </c>
      <c r="B41">
        <v>735.5</v>
      </c>
      <c r="C41" t="s">
        <v>48</v>
      </c>
      <c r="D41" s="18">
        <v>45961</v>
      </c>
      <c r="E41">
        <v>4.1908000000000001E-2</v>
      </c>
      <c r="F41">
        <v>6409.5</v>
      </c>
      <c r="G41">
        <v>7150</v>
      </c>
      <c r="H41" t="s">
        <v>2</v>
      </c>
      <c r="I41">
        <v>0.10729633180174578</v>
      </c>
      <c r="J41">
        <v>-0.96991338709244701</v>
      </c>
      <c r="K41">
        <v>1.536061768459092</v>
      </c>
      <c r="L41">
        <v>1.4338525033963379E-4</v>
      </c>
      <c r="M41">
        <v>-7.5700538515093285E-3</v>
      </c>
      <c r="N41">
        <v>-16.760866630132625</v>
      </c>
      <c r="O41" s="10">
        <v>50</v>
      </c>
      <c r="P41" s="10" t="s">
        <v>49</v>
      </c>
      <c r="Q41" s="10" t="s">
        <v>33</v>
      </c>
      <c r="R41" s="10" t="s">
        <v>0</v>
      </c>
      <c r="S41">
        <v>0</v>
      </c>
      <c r="T41">
        <v>9.4823845578383067E-3</v>
      </c>
      <c r="U41">
        <v>2.0599558473121241E-3</v>
      </c>
      <c r="V41">
        <v>-6.8944443231810579E-4</v>
      </c>
      <c r="W41">
        <v>5.5756125841193802E-5</v>
      </c>
      <c r="X41">
        <v>2.831245677112482E-3</v>
      </c>
      <c r="Y41">
        <v>0.61143805543676066</v>
      </c>
      <c r="Z41">
        <v>7.4377732220852505E-2</v>
      </c>
    </row>
    <row r="42" spans="1:26" x14ac:dyDescent="0.3">
      <c r="A42" s="18">
        <v>45870</v>
      </c>
      <c r="B42">
        <v>826.25</v>
      </c>
      <c r="C42" t="s">
        <v>48</v>
      </c>
      <c r="D42" s="18">
        <v>45961</v>
      </c>
      <c r="E42">
        <v>4.2060000000000007E-2</v>
      </c>
      <c r="F42">
        <v>6317</v>
      </c>
      <c r="G42">
        <v>7150</v>
      </c>
      <c r="H42" t="s">
        <v>2</v>
      </c>
      <c r="I42">
        <v>0.11367799371821653</v>
      </c>
      <c r="J42">
        <v>-0.97410711855445697</v>
      </c>
      <c r="K42">
        <v>1.2374036449374444</v>
      </c>
      <c r="L42">
        <v>1.0822304830071516E-4</v>
      </c>
      <c r="M42">
        <v>1.9536584220190889E-2</v>
      </c>
      <c r="N42">
        <v>-17.401011393479223</v>
      </c>
      <c r="O42" s="10">
        <v>50</v>
      </c>
      <c r="P42" s="10" t="s">
        <v>49</v>
      </c>
      <c r="Q42" s="10" t="s">
        <v>33</v>
      </c>
      <c r="R42" s="10" t="s">
        <v>0</v>
      </c>
      <c r="S42">
        <v>0</v>
      </c>
      <c r="T42">
        <v>7.5474864014759948E-3</v>
      </c>
      <c r="U42">
        <v>1.8505002461243572E-3</v>
      </c>
      <c r="V42">
        <v>-5.8366845765586305E-4</v>
      </c>
      <c r="W42">
        <v>4.1074269158755207E-5</v>
      </c>
      <c r="X42">
        <v>2.2625175495901515E-3</v>
      </c>
      <c r="Y42">
        <v>0.51275590846010721</v>
      </c>
      <c r="Z42">
        <v>7.9423338407623958E-2</v>
      </c>
    </row>
    <row r="43" spans="1:26" x14ac:dyDescent="0.3">
      <c r="A43" s="18">
        <v>45929</v>
      </c>
      <c r="B43">
        <v>1.75</v>
      </c>
      <c r="C43" t="s">
        <v>50</v>
      </c>
      <c r="D43" s="18">
        <v>45961</v>
      </c>
      <c r="E43">
        <v>3.9035E-2</v>
      </c>
      <c r="F43">
        <v>6713.5</v>
      </c>
      <c r="G43">
        <v>7175</v>
      </c>
      <c r="H43" t="s">
        <v>1</v>
      </c>
      <c r="I43">
        <v>0.11037581792681088</v>
      </c>
      <c r="J43">
        <v>2.1726009981326566E-2</v>
      </c>
      <c r="K43">
        <v>1.0384598118373334</v>
      </c>
      <c r="L43">
        <v>2.3656908654245967E-4</v>
      </c>
      <c r="M43">
        <v>-0.17337942154071051</v>
      </c>
      <c r="N43">
        <v>0.12641364229063945</v>
      </c>
      <c r="O43" s="10">
        <v>50</v>
      </c>
      <c r="P43" s="10" t="s">
        <v>51</v>
      </c>
      <c r="Q43" s="10" t="s">
        <v>33</v>
      </c>
      <c r="R43" s="10" t="s">
        <v>0</v>
      </c>
      <c r="S43">
        <v>0</v>
      </c>
      <c r="T43">
        <v>9.643088884522432E-3</v>
      </c>
      <c r="U43">
        <v>1.8817171679949211E-3</v>
      </c>
      <c r="V43">
        <v>-1.660744980792949E-3</v>
      </c>
      <c r="W43">
        <v>1.4606923277351696E-4</v>
      </c>
      <c r="X43">
        <v>4.5151660815522824E-3</v>
      </c>
      <c r="Y43">
        <v>0.38680742709916233</v>
      </c>
      <c r="Z43">
        <v>3.9868034960976052E-2</v>
      </c>
    </row>
    <row r="44" spans="1:26" x14ac:dyDescent="0.3">
      <c r="A44" s="18">
        <v>45926</v>
      </c>
      <c r="B44">
        <v>1.9</v>
      </c>
      <c r="C44" t="s">
        <v>50</v>
      </c>
      <c r="D44" s="18">
        <v>45961</v>
      </c>
      <c r="E44">
        <v>3.9176999999999997E-2</v>
      </c>
      <c r="F44">
        <v>6696.5</v>
      </c>
      <c r="G44">
        <v>7175</v>
      </c>
      <c r="H44" t="s">
        <v>1</v>
      </c>
      <c r="I44">
        <v>0.11035261911203265</v>
      </c>
      <c r="J44">
        <v>2.2523655293194E-2</v>
      </c>
      <c r="K44">
        <v>1.1162437159329548</v>
      </c>
      <c r="L44">
        <v>2.3382125347026772E-4</v>
      </c>
      <c r="M44">
        <v>-0.17085228891402338</v>
      </c>
      <c r="N44">
        <v>0.14289804448999255</v>
      </c>
      <c r="O44" s="10">
        <v>50</v>
      </c>
      <c r="P44" s="10" t="s">
        <v>51</v>
      </c>
      <c r="Q44" s="10" t="s">
        <v>33</v>
      </c>
      <c r="R44" s="10" t="s">
        <v>0</v>
      </c>
      <c r="S44">
        <v>0</v>
      </c>
      <c r="T44">
        <v>9.8757227327914941E-3</v>
      </c>
      <c r="U44">
        <v>1.8755320015489002E-3</v>
      </c>
      <c r="V44">
        <v>-1.5544565392724523E-3</v>
      </c>
      <c r="W44">
        <v>1.3702982503508617E-4</v>
      </c>
      <c r="X44">
        <v>4.3687231784112881E-3</v>
      </c>
      <c r="Y44">
        <v>0.41011475165779249</v>
      </c>
      <c r="Z44">
        <v>4.0088108441252178E-2</v>
      </c>
    </row>
    <row r="45" spans="1:26" x14ac:dyDescent="0.3">
      <c r="A45" s="18">
        <v>45925</v>
      </c>
      <c r="B45">
        <v>2.0499999999999998</v>
      </c>
      <c r="C45" t="s">
        <v>50</v>
      </c>
      <c r="D45" s="18">
        <v>45961</v>
      </c>
      <c r="E45">
        <v>3.9266000000000002E-2</v>
      </c>
      <c r="F45">
        <v>6659.75</v>
      </c>
      <c r="G45">
        <v>7175</v>
      </c>
      <c r="H45" t="s">
        <v>1</v>
      </c>
      <c r="I45">
        <v>0.11752428704851769</v>
      </c>
      <c r="J45">
        <v>2.2630666887724082E-2</v>
      </c>
      <c r="K45">
        <v>1.1295234464651971</v>
      </c>
      <c r="L45">
        <v>2.1854550613653601E-4</v>
      </c>
      <c r="M45">
        <v>-0.17924771982989407</v>
      </c>
      <c r="N45">
        <v>0.14671057424565637</v>
      </c>
      <c r="O45" s="10">
        <v>50</v>
      </c>
      <c r="P45" s="10" t="s">
        <v>51</v>
      </c>
      <c r="Q45" s="10" t="s">
        <v>33</v>
      </c>
      <c r="R45" s="10" t="s">
        <v>0</v>
      </c>
      <c r="S45">
        <v>0</v>
      </c>
      <c r="T45">
        <v>9.3131940093185497E-3</v>
      </c>
      <c r="U45">
        <v>1.6596257500557396E-3</v>
      </c>
      <c r="V45">
        <v>-1.5177411113852144E-3</v>
      </c>
      <c r="W45">
        <v>1.1845792882130169E-4</v>
      </c>
      <c r="X45">
        <v>3.8096244396268828E-3</v>
      </c>
      <c r="Y45">
        <v>0.38968953549458496</v>
      </c>
      <c r="Z45">
        <v>3.5673333024644302E-2</v>
      </c>
    </row>
    <row r="46" spans="1:26" x14ac:dyDescent="0.3">
      <c r="A46" s="18">
        <v>45924</v>
      </c>
      <c r="B46">
        <v>3</v>
      </c>
      <c r="C46" t="s">
        <v>50</v>
      </c>
      <c r="D46" s="18">
        <v>45961</v>
      </c>
      <c r="E46">
        <v>3.9175000000000001E-2</v>
      </c>
      <c r="F46">
        <v>6692.25</v>
      </c>
      <c r="G46">
        <v>7175</v>
      </c>
      <c r="H46" t="s">
        <v>1</v>
      </c>
      <c r="I46">
        <v>0.11652165400745317</v>
      </c>
      <c r="J46">
        <v>3.139324682406297E-2</v>
      </c>
      <c r="K46">
        <v>1.5077520635574762</v>
      </c>
      <c r="L46">
        <v>2.843597890489491E-4</v>
      </c>
      <c r="M46">
        <v>-0.23248799129269315</v>
      </c>
      <c r="N46">
        <v>0.21003693964099868</v>
      </c>
      <c r="O46" s="10">
        <v>50</v>
      </c>
      <c r="P46" s="10" t="s">
        <v>51</v>
      </c>
      <c r="Q46" s="10" t="s">
        <v>33</v>
      </c>
      <c r="R46" s="10" t="s">
        <v>0</v>
      </c>
      <c r="S46">
        <v>0</v>
      </c>
      <c r="T46">
        <v>1.148794135050937E-2</v>
      </c>
      <c r="U46">
        <v>1.5224077531845231E-3</v>
      </c>
      <c r="V46">
        <v>-1.8055413140960653E-3</v>
      </c>
      <c r="W46">
        <v>1.4248615248384187E-4</v>
      </c>
      <c r="X46">
        <v>4.1231425509777033E-3</v>
      </c>
      <c r="Y46">
        <v>0.45502268164023818</v>
      </c>
      <c r="Z46">
        <v>2.0470810471187206E-2</v>
      </c>
    </row>
    <row r="47" spans="1:26" x14ac:dyDescent="0.3">
      <c r="A47" s="18">
        <v>45923</v>
      </c>
      <c r="B47">
        <v>4.25</v>
      </c>
      <c r="C47" t="s">
        <v>50</v>
      </c>
      <c r="D47" s="18">
        <v>45961</v>
      </c>
      <c r="E47">
        <v>3.9189000000000002E-2</v>
      </c>
      <c r="F47">
        <v>6715</v>
      </c>
      <c r="G47">
        <v>7175</v>
      </c>
      <c r="H47" t="s">
        <v>1</v>
      </c>
      <c r="I47">
        <v>0.1174336424351666</v>
      </c>
      <c r="J47">
        <v>4.166988128213589E-2</v>
      </c>
      <c r="K47">
        <v>1.9290755317977961</v>
      </c>
      <c r="L47">
        <v>3.4983466790095008E-4</v>
      </c>
      <c r="M47">
        <v>-0.2934918524973793</v>
      </c>
      <c r="N47">
        <v>0.28702028497469168</v>
      </c>
      <c r="O47" s="10">
        <v>50</v>
      </c>
      <c r="P47" s="10" t="s">
        <v>51</v>
      </c>
      <c r="Q47" s="10" t="s">
        <v>33</v>
      </c>
      <c r="R47" s="10" t="s">
        <v>0</v>
      </c>
      <c r="S47">
        <v>0</v>
      </c>
      <c r="T47">
        <v>1.3398100001820118E-2</v>
      </c>
      <c r="U47">
        <v>1.2309320952226749E-3</v>
      </c>
      <c r="V47">
        <v>-2.0657729785708589E-3</v>
      </c>
      <c r="W47">
        <v>1.5969929593163918E-4</v>
      </c>
      <c r="X47">
        <v>4.1157798738225759E-3</v>
      </c>
      <c r="Y47">
        <v>0.5021230665904669</v>
      </c>
      <c r="Z47">
        <v>2.4371882560610039E-3</v>
      </c>
    </row>
    <row r="48" spans="1:26" x14ac:dyDescent="0.3">
      <c r="A48" s="18">
        <v>45922</v>
      </c>
      <c r="B48">
        <v>5.8</v>
      </c>
      <c r="C48" t="s">
        <v>50</v>
      </c>
      <c r="D48" s="18">
        <v>45961</v>
      </c>
      <c r="E48">
        <v>3.9209999999999995E-2</v>
      </c>
      <c r="F48">
        <v>6752.5</v>
      </c>
      <c r="G48">
        <v>7175</v>
      </c>
      <c r="H48" t="s">
        <v>1</v>
      </c>
      <c r="I48">
        <v>0.11479016463589689</v>
      </c>
      <c r="J48">
        <v>5.4717066010256943E-2</v>
      </c>
      <c r="K48">
        <v>2.4402275511340106</v>
      </c>
      <c r="L48">
        <v>4.3688049622403469E-4</v>
      </c>
      <c r="M48">
        <v>-0.35519727670772916</v>
      </c>
      <c r="N48">
        <v>0.38875494443247272</v>
      </c>
      <c r="O48" s="10">
        <v>50</v>
      </c>
      <c r="P48" s="10" t="s">
        <v>51</v>
      </c>
      <c r="Q48" s="10" t="s">
        <v>33</v>
      </c>
      <c r="R48" s="10" t="s">
        <v>0</v>
      </c>
      <c r="S48">
        <v>0</v>
      </c>
      <c r="T48">
        <v>1.5777798053105089E-2</v>
      </c>
      <c r="U48">
        <v>8.7784557087810795E-4</v>
      </c>
      <c r="V48">
        <v>-2.316091314989251E-3</v>
      </c>
      <c r="W48">
        <v>1.8613577197250467E-4</v>
      </c>
      <c r="X48">
        <v>4.1523287387984697E-3</v>
      </c>
      <c r="Y48">
        <v>0.55674475869797446</v>
      </c>
      <c r="Z48">
        <v>-1.8663273097690131E-2</v>
      </c>
    </row>
    <row r="49" spans="1:26" x14ac:dyDescent="0.3">
      <c r="A49" s="18">
        <v>45919</v>
      </c>
      <c r="B49">
        <v>4.4000000000000004</v>
      </c>
      <c r="C49" t="s">
        <v>50</v>
      </c>
      <c r="D49" s="18">
        <v>45961</v>
      </c>
      <c r="E49">
        <v>3.9279000000000001E-2</v>
      </c>
      <c r="F49">
        <v>6722.5</v>
      </c>
      <c r="G49">
        <v>7175</v>
      </c>
      <c r="H49" t="s">
        <v>1</v>
      </c>
      <c r="I49">
        <v>0.11089402197327566</v>
      </c>
      <c r="J49">
        <v>4.3168347085176251E-2</v>
      </c>
      <c r="K49">
        <v>2.0885541099355289</v>
      </c>
      <c r="L49">
        <v>3.6216156296120516E-4</v>
      </c>
      <c r="M49">
        <v>-0.2719491999212611</v>
      </c>
      <c r="N49">
        <v>0.32905001139188128</v>
      </c>
      <c r="O49" s="10">
        <v>50</v>
      </c>
      <c r="P49" s="10" t="s">
        <v>51</v>
      </c>
      <c r="Q49" s="10" t="s">
        <v>33</v>
      </c>
      <c r="R49" s="10" t="s">
        <v>0</v>
      </c>
      <c r="S49">
        <v>0</v>
      </c>
      <c r="T49">
        <v>1.445710049983806E-2</v>
      </c>
      <c r="U49">
        <v>1.329771579248164E-3</v>
      </c>
      <c r="V49">
        <v>-1.9039330903426438E-3</v>
      </c>
      <c r="W49">
        <v>1.6491173115275087E-4</v>
      </c>
      <c r="X49">
        <v>4.3876576387203983E-3</v>
      </c>
      <c r="Y49">
        <v>0.56471140389172414</v>
      </c>
      <c r="Z49">
        <v>-9.9399954947348223E-5</v>
      </c>
    </row>
    <row r="50" spans="1:26" x14ac:dyDescent="0.3">
      <c r="A50" s="18">
        <v>45918</v>
      </c>
      <c r="B50">
        <v>3.7</v>
      </c>
      <c r="C50" t="s">
        <v>50</v>
      </c>
      <c r="D50" s="18">
        <v>45961</v>
      </c>
      <c r="E50">
        <v>3.9288999999999998E-2</v>
      </c>
      <c r="F50">
        <v>6693.5</v>
      </c>
      <c r="G50">
        <v>7175</v>
      </c>
      <c r="H50" t="s">
        <v>1</v>
      </c>
      <c r="I50">
        <v>0.11189941088451869</v>
      </c>
      <c r="J50">
        <v>3.6601260577673322E-2</v>
      </c>
      <c r="K50">
        <v>1.8422032881933648</v>
      </c>
      <c r="L50">
        <v>3.1152674662138224E-4</v>
      </c>
      <c r="M50">
        <v>-0.23584031634663249</v>
      </c>
      <c r="N50">
        <v>0.28443355639239098</v>
      </c>
      <c r="O50" s="10">
        <v>50</v>
      </c>
      <c r="P50" s="10" t="s">
        <v>51</v>
      </c>
      <c r="Q50" s="10" t="s">
        <v>33</v>
      </c>
      <c r="R50" s="10" t="s">
        <v>0</v>
      </c>
      <c r="S50">
        <v>0</v>
      </c>
      <c r="T50">
        <v>1.3082165385509931E-2</v>
      </c>
      <c r="U50">
        <v>1.5103343369276356E-3</v>
      </c>
      <c r="V50">
        <v>-1.6982539208233267E-3</v>
      </c>
      <c r="W50">
        <v>1.4514438056372977E-4</v>
      </c>
      <c r="X50">
        <v>4.2316785812083011E-3</v>
      </c>
      <c r="Y50">
        <v>0.53782456457880057</v>
      </c>
      <c r="Z50">
        <v>1.2996967804969369E-2</v>
      </c>
    </row>
    <row r="51" spans="1:26" x14ac:dyDescent="0.3">
      <c r="A51" s="18">
        <v>45917</v>
      </c>
      <c r="B51">
        <v>2.9</v>
      </c>
      <c r="C51" t="s">
        <v>50</v>
      </c>
      <c r="D51" s="18">
        <v>45961</v>
      </c>
      <c r="E51">
        <v>3.9453999999999996E-2</v>
      </c>
      <c r="F51">
        <v>6658.75</v>
      </c>
      <c r="G51">
        <v>7175</v>
      </c>
      <c r="H51" t="s">
        <v>1</v>
      </c>
      <c r="I51">
        <v>0.11262471830171318</v>
      </c>
      <c r="J51">
        <v>2.9237584051844401E-2</v>
      </c>
      <c r="K51">
        <v>1.5434070479109003</v>
      </c>
      <c r="L51">
        <v>2.555882661070541E-4</v>
      </c>
      <c r="M51">
        <v>-0.193635173111256</v>
      </c>
      <c r="N51">
        <v>0.23135047015452259</v>
      </c>
      <c r="O51" s="10">
        <v>50</v>
      </c>
      <c r="P51" s="10" t="s">
        <v>51</v>
      </c>
      <c r="Q51" s="10" t="s">
        <v>33</v>
      </c>
      <c r="R51" s="10" t="s">
        <v>0</v>
      </c>
      <c r="S51">
        <v>0</v>
      </c>
      <c r="T51">
        <v>1.1399262161819692E-2</v>
      </c>
      <c r="U51">
        <v>1.6866292760236046E-3</v>
      </c>
      <c r="V51">
        <v>-1.4557472194955266E-3</v>
      </c>
      <c r="W51">
        <v>1.2353697363491254E-4</v>
      </c>
      <c r="X51">
        <v>3.9986224281726426E-3</v>
      </c>
      <c r="Y51">
        <v>0.49810174334949908</v>
      </c>
      <c r="Z51">
        <v>2.8557193564155845E-2</v>
      </c>
    </row>
    <row r="52" spans="1:26" x14ac:dyDescent="0.3">
      <c r="A52" s="18">
        <v>45916</v>
      </c>
      <c r="B52">
        <v>3.7</v>
      </c>
      <c r="C52" t="s">
        <v>50</v>
      </c>
      <c r="D52" s="18">
        <v>45961</v>
      </c>
      <c r="E52">
        <v>3.9574999999999999E-2</v>
      </c>
      <c r="F52">
        <v>6667.5</v>
      </c>
      <c r="G52">
        <v>7175</v>
      </c>
      <c r="H52" t="s">
        <v>1</v>
      </c>
      <c r="I52">
        <v>0.11443881740869916</v>
      </c>
      <c r="J52">
        <v>3.5322347838273593E-2</v>
      </c>
      <c r="K52">
        <v>1.8236832557451343</v>
      </c>
      <c r="L52">
        <v>2.9033635495778753E-4</v>
      </c>
      <c r="M52">
        <v>-0.22814780877914842</v>
      </c>
      <c r="N52">
        <v>0.28597249353170051</v>
      </c>
      <c r="O52" s="10">
        <v>50</v>
      </c>
      <c r="P52" s="10" t="s">
        <v>51</v>
      </c>
      <c r="Q52" s="10" t="s">
        <v>33</v>
      </c>
      <c r="R52" s="10" t="s">
        <v>0</v>
      </c>
      <c r="S52">
        <v>0</v>
      </c>
      <c r="T52">
        <v>1.2545545370222446E-2</v>
      </c>
      <c r="U52">
        <v>1.4846690584155403E-3</v>
      </c>
      <c r="V52">
        <v>-1.5913894931084617E-3</v>
      </c>
      <c r="W52">
        <v>1.3045907662473767E-4</v>
      </c>
      <c r="X52">
        <v>3.945630184222856E-3</v>
      </c>
      <c r="Y52">
        <v>0.53029741504846173</v>
      </c>
      <c r="Z52">
        <v>1.5386415842057775E-2</v>
      </c>
    </row>
    <row r="53" spans="1:26" x14ac:dyDescent="0.3">
      <c r="A53" s="18">
        <v>45915</v>
      </c>
      <c r="B53">
        <v>3.6</v>
      </c>
      <c r="C53" t="s">
        <v>50</v>
      </c>
      <c r="D53" s="18">
        <v>45961</v>
      </c>
      <c r="E53">
        <v>3.9634000000000003E-2</v>
      </c>
      <c r="F53">
        <v>6679.25</v>
      </c>
      <c r="G53">
        <v>7175</v>
      </c>
      <c r="H53" t="s">
        <v>1</v>
      </c>
      <c r="I53">
        <v>0.11039538445658811</v>
      </c>
      <c r="J53">
        <v>3.5182210497741728E-2</v>
      </c>
      <c r="K53">
        <v>1.8412828095313378</v>
      </c>
      <c r="L53">
        <v>2.9618268282405324E-4</v>
      </c>
      <c r="M53">
        <v>-0.21739983945066355</v>
      </c>
      <c r="N53">
        <v>0.29181473257714052</v>
      </c>
      <c r="O53" s="10">
        <v>50</v>
      </c>
      <c r="P53" s="10" t="s">
        <v>51</v>
      </c>
      <c r="Q53" s="10" t="s">
        <v>33</v>
      </c>
      <c r="R53" s="10" t="s">
        <v>0</v>
      </c>
      <c r="S53">
        <v>0</v>
      </c>
      <c r="T53">
        <v>1.2967795399399238E-2</v>
      </c>
      <c r="U53">
        <v>1.5956198805950319E-3</v>
      </c>
      <c r="V53">
        <v>-1.5522500837517933E-3</v>
      </c>
      <c r="W53">
        <v>1.3658582873217018E-4</v>
      </c>
      <c r="X53">
        <v>4.1881381465634741E-3</v>
      </c>
      <c r="Y53">
        <v>0.55571823803966414</v>
      </c>
      <c r="Z53">
        <v>1.694775365529826E-2</v>
      </c>
    </row>
    <row r="54" spans="1:26" x14ac:dyDescent="0.3">
      <c r="A54" s="18">
        <v>45912</v>
      </c>
      <c r="B54">
        <v>2.7</v>
      </c>
      <c r="C54" t="s">
        <v>50</v>
      </c>
      <c r="D54" s="18">
        <v>45961</v>
      </c>
      <c r="E54">
        <v>3.9667000000000001E-2</v>
      </c>
      <c r="F54">
        <v>6645</v>
      </c>
      <c r="G54">
        <v>7175</v>
      </c>
      <c r="H54" t="s">
        <v>1</v>
      </c>
      <c r="I54">
        <v>0.10792822328946988</v>
      </c>
      <c r="J54">
        <v>2.7234622454974655E-2</v>
      </c>
      <c r="K54">
        <v>1.5336005368284318</v>
      </c>
      <c r="L54">
        <v>2.3871342236247983E-4</v>
      </c>
      <c r="M54">
        <v>-0.16553148560913922</v>
      </c>
      <c r="N54">
        <v>0.2395291079826487</v>
      </c>
      <c r="O54" s="10">
        <v>50</v>
      </c>
      <c r="P54" s="10" t="s">
        <v>51</v>
      </c>
      <c r="Q54" s="10" t="s">
        <v>33</v>
      </c>
      <c r="R54" s="10" t="s">
        <v>0</v>
      </c>
      <c r="S54">
        <v>0</v>
      </c>
      <c r="T54">
        <v>1.1393345164680168E-2</v>
      </c>
      <c r="U54">
        <v>1.8848526045892101E-3</v>
      </c>
      <c r="V54">
        <v>-1.2517989052095882E-3</v>
      </c>
      <c r="W54">
        <v>1.1594917144878756E-4</v>
      </c>
      <c r="X54">
        <v>4.0642944248146465E-3</v>
      </c>
      <c r="Y54">
        <v>0.53281243095058872</v>
      </c>
      <c r="Z54">
        <v>3.7761911280996999E-2</v>
      </c>
    </row>
    <row r="55" spans="1:26" x14ac:dyDescent="0.3">
      <c r="A55" s="18">
        <v>45911</v>
      </c>
      <c r="B55">
        <v>2.85</v>
      </c>
      <c r="C55" t="s">
        <v>50</v>
      </c>
      <c r="D55" s="18">
        <v>45961</v>
      </c>
      <c r="E55">
        <v>3.9553999999999999E-2</v>
      </c>
      <c r="F55">
        <v>6647.5</v>
      </c>
      <c r="G55">
        <v>7175</v>
      </c>
      <c r="H55" t="s">
        <v>1</v>
      </c>
      <c r="I55">
        <v>0.10735697457545008</v>
      </c>
      <c r="J55">
        <v>2.843554191978015E-2</v>
      </c>
      <c r="K55">
        <v>1.6057651805338828</v>
      </c>
      <c r="L55">
        <v>2.4616856109105356E-4</v>
      </c>
      <c r="M55">
        <v>-0.16912763336738079</v>
      </c>
      <c r="N55">
        <v>0.2552531137374412</v>
      </c>
      <c r="O55" s="10">
        <v>50</v>
      </c>
      <c r="P55" s="10" t="s">
        <v>51</v>
      </c>
      <c r="Q55" s="10" t="s">
        <v>33</v>
      </c>
      <c r="R55" s="10" t="s">
        <v>0</v>
      </c>
      <c r="S55">
        <v>0</v>
      </c>
      <c r="T55">
        <v>1.1759932961454691E-2</v>
      </c>
      <c r="U55">
        <v>1.8768458943343475E-3</v>
      </c>
      <c r="V55">
        <v>-1.2594293460781614E-3</v>
      </c>
      <c r="W55">
        <v>1.1783096130587648E-4</v>
      </c>
      <c r="X55">
        <v>4.1047280197810771E-3</v>
      </c>
      <c r="Y55">
        <v>0.55029644543665224</v>
      </c>
      <c r="Z55">
        <v>3.549602492621675E-2</v>
      </c>
    </row>
    <row r="56" spans="1:26" x14ac:dyDescent="0.3">
      <c r="A56" s="18">
        <v>45910</v>
      </c>
      <c r="B56">
        <v>1.65</v>
      </c>
      <c r="C56" t="s">
        <v>50</v>
      </c>
      <c r="D56" s="18">
        <v>45961</v>
      </c>
      <c r="E56">
        <v>3.9921000000000005E-2</v>
      </c>
      <c r="F56">
        <v>6594.5</v>
      </c>
      <c r="G56">
        <v>7175</v>
      </c>
      <c r="H56" t="s">
        <v>1</v>
      </c>
      <c r="I56">
        <v>0.10631721866611486</v>
      </c>
      <c r="J56">
        <v>1.7633025368235522E-2</v>
      </c>
      <c r="K56">
        <v>1.0820656685191841</v>
      </c>
      <c r="L56">
        <v>1.6583609596665383E-4</v>
      </c>
      <c r="M56">
        <v>-0.10957359197123373</v>
      </c>
      <c r="N56">
        <v>0.1603396215339965</v>
      </c>
      <c r="O56" s="10">
        <v>50</v>
      </c>
      <c r="P56" s="10" t="s">
        <v>51</v>
      </c>
      <c r="Q56" s="10" t="s">
        <v>33</v>
      </c>
      <c r="R56" s="10" t="s">
        <v>0</v>
      </c>
      <c r="S56">
        <v>0</v>
      </c>
      <c r="T56">
        <v>8.7594412942294426E-3</v>
      </c>
      <c r="U56">
        <v>2.0802165344013849E-3</v>
      </c>
      <c r="V56">
        <v>-9.1109048450733067E-4</v>
      </c>
      <c r="W56">
        <v>8.7757299741188081E-5</v>
      </c>
      <c r="X56">
        <v>3.6066857489046723E-3</v>
      </c>
      <c r="Y56">
        <v>0.45409007261484857</v>
      </c>
      <c r="Z56">
        <v>6.4320592528565701E-2</v>
      </c>
    </row>
    <row r="57" spans="1:26" x14ac:dyDescent="0.3">
      <c r="A57" s="18">
        <v>45909</v>
      </c>
      <c r="B57">
        <v>1.35</v>
      </c>
      <c r="C57" t="s">
        <v>50</v>
      </c>
      <c r="D57" s="18">
        <v>45961</v>
      </c>
      <c r="E57">
        <v>4.0023000000000003E-2</v>
      </c>
      <c r="F57">
        <v>6576.5</v>
      </c>
      <c r="G57">
        <v>7175</v>
      </c>
      <c r="H57" t="s">
        <v>1</v>
      </c>
      <c r="I57">
        <v>0.10520317671980457</v>
      </c>
      <c r="J57">
        <v>1.4781960012499873E-2</v>
      </c>
      <c r="K57">
        <v>0.93969922050935462</v>
      </c>
      <c r="L57">
        <v>1.4308798146345225E-4</v>
      </c>
      <c r="M57">
        <v>-9.1966893331630217E-2</v>
      </c>
      <c r="N57">
        <v>0.13673308338068002</v>
      </c>
      <c r="O57" s="10">
        <v>50</v>
      </c>
      <c r="P57" s="10" t="s">
        <v>51</v>
      </c>
      <c r="Q57" s="10" t="s">
        <v>33</v>
      </c>
      <c r="R57" s="10" t="s">
        <v>0</v>
      </c>
      <c r="S57">
        <v>0</v>
      </c>
      <c r="T57">
        <v>7.8614861574713372E-3</v>
      </c>
      <c r="U57">
        <v>2.1139566021122209E-3</v>
      </c>
      <c r="V57">
        <v>-7.9362270223672896E-4</v>
      </c>
      <c r="W57">
        <v>7.8326417764851123E-5</v>
      </c>
      <c r="X57">
        <v>3.4088596450553392E-3</v>
      </c>
      <c r="Y57">
        <v>0.42417027891555581</v>
      </c>
      <c r="Z57">
        <v>7.300383418180624E-2</v>
      </c>
    </row>
    <row r="58" spans="1:26" x14ac:dyDescent="0.3">
      <c r="A58" s="18">
        <v>45908</v>
      </c>
      <c r="B58">
        <v>1.3</v>
      </c>
      <c r="C58" t="s">
        <v>50</v>
      </c>
      <c r="D58" s="18">
        <v>45961</v>
      </c>
      <c r="E58">
        <v>3.9925999999999996E-2</v>
      </c>
      <c r="F58">
        <v>6560.5</v>
      </c>
      <c r="G58">
        <v>7175</v>
      </c>
      <c r="H58" t="s">
        <v>1</v>
      </c>
      <c r="I58">
        <v>0.10618180119371669</v>
      </c>
      <c r="J58">
        <v>1.4084811787495877E-2</v>
      </c>
      <c r="K58">
        <v>0.90836207073216746</v>
      </c>
      <c r="L58">
        <v>1.3503305362760898E-4</v>
      </c>
      <c r="M58">
        <v>-8.7976835504073536E-2</v>
      </c>
      <c r="N58">
        <v>0.13244494750821723</v>
      </c>
      <c r="O58" s="10">
        <v>50</v>
      </c>
      <c r="P58" s="10" t="s">
        <v>51</v>
      </c>
      <c r="Q58" s="10" t="s">
        <v>33</v>
      </c>
      <c r="R58" s="10" t="s">
        <v>0</v>
      </c>
      <c r="S58">
        <v>0</v>
      </c>
      <c r="T58">
        <v>7.5384002083517263E-3</v>
      </c>
      <c r="U58">
        <v>2.0691566591364372E-3</v>
      </c>
      <c r="V58">
        <v>-7.5359225061232926E-4</v>
      </c>
      <c r="W58">
        <v>7.3175892691381417E-5</v>
      </c>
      <c r="X58">
        <v>3.2508052169754019E-3</v>
      </c>
      <c r="Y58">
        <v>0.4132137220051334</v>
      </c>
      <c r="Z58">
        <v>7.3786005095942186E-2</v>
      </c>
    </row>
    <row r="59" spans="1:26" x14ac:dyDescent="0.3">
      <c r="A59" s="18">
        <v>45905</v>
      </c>
      <c r="B59">
        <v>1.3</v>
      </c>
      <c r="C59" t="s">
        <v>50</v>
      </c>
      <c r="D59" s="18">
        <v>45961</v>
      </c>
      <c r="E59">
        <v>4.0140000000000002E-2</v>
      </c>
      <c r="F59">
        <v>6544.5</v>
      </c>
      <c r="G59">
        <v>7175</v>
      </c>
      <c r="H59" t="s">
        <v>1</v>
      </c>
      <c r="I59">
        <v>0.10575013923432038</v>
      </c>
      <c r="J59">
        <v>1.3824888719216055E-2</v>
      </c>
      <c r="K59">
        <v>0.9169691986685693</v>
      </c>
      <c r="L59">
        <v>1.3011355548542269E-4</v>
      </c>
      <c r="M59">
        <v>-8.3737580653638233E-2</v>
      </c>
      <c r="N59">
        <v>0.13699434501329733</v>
      </c>
      <c r="O59" s="10">
        <v>50</v>
      </c>
      <c r="P59" s="10" t="s">
        <v>51</v>
      </c>
      <c r="Q59" s="10" t="s">
        <v>33</v>
      </c>
      <c r="R59" s="10" t="s">
        <v>0</v>
      </c>
      <c r="S59">
        <v>0</v>
      </c>
      <c r="T59">
        <v>7.4753645533761522E-3</v>
      </c>
      <c r="U59">
        <v>2.0844419997047884E-3</v>
      </c>
      <c r="V59">
        <v>-7.0430182167375362E-4</v>
      </c>
      <c r="W59">
        <v>6.9100022387202077E-5</v>
      </c>
      <c r="X59">
        <v>3.1647554770545413E-3</v>
      </c>
      <c r="Y59">
        <v>0.42154217542446443</v>
      </c>
      <c r="Z59">
        <v>7.6930776195633252E-2</v>
      </c>
    </row>
    <row r="60" spans="1:26" x14ac:dyDescent="0.3">
      <c r="A60" s="18">
        <v>45904</v>
      </c>
      <c r="B60">
        <v>1.75</v>
      </c>
      <c r="C60" t="s">
        <v>50</v>
      </c>
      <c r="D60" s="18">
        <v>45961</v>
      </c>
      <c r="E60">
        <v>4.0605000000000002E-2</v>
      </c>
      <c r="F60">
        <v>6566.75</v>
      </c>
      <c r="G60">
        <v>7175</v>
      </c>
      <c r="H60" t="s">
        <v>1</v>
      </c>
      <c r="I60">
        <v>0.10579123829887904</v>
      </c>
      <c r="J60">
        <v>1.7838635821310067E-2</v>
      </c>
      <c r="K60">
        <v>1.1502674765677572</v>
      </c>
      <c r="L60">
        <v>1.5986716617177876E-4</v>
      </c>
      <c r="M60">
        <v>-0.1038850317604274</v>
      </c>
      <c r="N60">
        <v>0.18041630210882664</v>
      </c>
      <c r="O60" s="10">
        <v>50</v>
      </c>
      <c r="P60" s="10" t="s">
        <v>51</v>
      </c>
      <c r="Q60" s="10" t="s">
        <v>33</v>
      </c>
      <c r="R60" s="10" t="s">
        <v>0</v>
      </c>
      <c r="S60">
        <v>0</v>
      </c>
      <c r="T60">
        <v>8.8772275857616281E-3</v>
      </c>
      <c r="U60">
        <v>2.1052813236654955E-3</v>
      </c>
      <c r="V60">
        <v>-8.2181630141862081E-4</v>
      </c>
      <c r="W60">
        <v>8.0228055080449186E-5</v>
      </c>
      <c r="X60">
        <v>3.462626015611263E-3</v>
      </c>
      <c r="Y60">
        <v>0.48331077806877965</v>
      </c>
      <c r="Z60">
        <v>6.8024014687020712E-2</v>
      </c>
    </row>
    <row r="61" spans="1:26" x14ac:dyDescent="0.3">
      <c r="A61" s="18">
        <v>45903</v>
      </c>
      <c r="B61">
        <v>1.3</v>
      </c>
      <c r="C61" t="s">
        <v>50</v>
      </c>
      <c r="D61" s="18">
        <v>45961</v>
      </c>
      <c r="E61">
        <v>4.0839E-2</v>
      </c>
      <c r="F61">
        <v>6512.75</v>
      </c>
      <c r="G61">
        <v>7175</v>
      </c>
      <c r="H61" t="s">
        <v>1</v>
      </c>
      <c r="I61">
        <v>0.10868577711099243</v>
      </c>
      <c r="J61">
        <v>1.3343003126942143E-2</v>
      </c>
      <c r="K61">
        <v>0.90052783309683626</v>
      </c>
      <c r="L61">
        <v>1.2122978620965341E-4</v>
      </c>
      <c r="M61">
        <v>-8.1635574412735279E-2</v>
      </c>
      <c r="N61">
        <v>0.13619367868394039</v>
      </c>
      <c r="O61" s="10">
        <v>50</v>
      </c>
      <c r="P61" s="10" t="s">
        <v>51</v>
      </c>
      <c r="Q61" s="10" t="s">
        <v>33</v>
      </c>
      <c r="R61" s="10" t="s">
        <v>0</v>
      </c>
      <c r="S61">
        <v>0</v>
      </c>
      <c r="T61">
        <v>7.1030959743146995E-3</v>
      </c>
      <c r="U61">
        <v>1.9703724841329132E-3</v>
      </c>
      <c r="V61">
        <v>-6.6402907026727248E-4</v>
      </c>
      <c r="W61">
        <v>6.1938007313861501E-5</v>
      </c>
      <c r="X61">
        <v>2.9026415245368086E-3</v>
      </c>
      <c r="Y61">
        <v>0.4081962378762905</v>
      </c>
      <c r="Z61">
        <v>7.4939555395108257E-2</v>
      </c>
    </row>
    <row r="62" spans="1:26" x14ac:dyDescent="0.3">
      <c r="A62" s="18">
        <v>45902</v>
      </c>
      <c r="B62">
        <v>1.3</v>
      </c>
      <c r="C62" t="s">
        <v>50</v>
      </c>
      <c r="D62" s="18">
        <v>45961</v>
      </c>
      <c r="E62">
        <v>4.0957999999999994E-2</v>
      </c>
      <c r="F62">
        <v>6480.75</v>
      </c>
      <c r="G62">
        <v>7175</v>
      </c>
      <c r="H62" t="s">
        <v>1</v>
      </c>
      <c r="I62">
        <v>0.11253038415821627</v>
      </c>
      <c r="J62">
        <v>1.2897297326264212E-2</v>
      </c>
      <c r="K62">
        <v>0.87732491178657379</v>
      </c>
      <c r="L62">
        <v>1.1328757709705428E-4</v>
      </c>
      <c r="M62">
        <v>-8.0979114013710385E-2</v>
      </c>
      <c r="N62">
        <v>0.13316884476883306</v>
      </c>
      <c r="O62" s="10">
        <v>50</v>
      </c>
      <c r="P62" s="10" t="s">
        <v>51</v>
      </c>
      <c r="Q62" s="10" t="s">
        <v>33</v>
      </c>
      <c r="R62" s="10" t="s">
        <v>0</v>
      </c>
      <c r="S62">
        <v>0</v>
      </c>
      <c r="T62">
        <v>6.7063820422609633E-3</v>
      </c>
      <c r="U62">
        <v>1.8349322459347199E-3</v>
      </c>
      <c r="V62">
        <v>-6.3810507497929039E-4</v>
      </c>
      <c r="W62">
        <v>5.575688104524359E-5</v>
      </c>
      <c r="X62">
        <v>2.648254186594597E-3</v>
      </c>
      <c r="Y62">
        <v>0.38909791625895773</v>
      </c>
      <c r="Z62">
        <v>7.1181340589692513E-2</v>
      </c>
    </row>
    <row r="63" spans="1:26" x14ac:dyDescent="0.3">
      <c r="A63" s="18">
        <v>45898</v>
      </c>
      <c r="B63">
        <v>1.8</v>
      </c>
      <c r="C63" t="s">
        <v>50</v>
      </c>
      <c r="D63" s="18">
        <v>45961</v>
      </c>
      <c r="E63">
        <v>4.1078999999999997E-2</v>
      </c>
      <c r="F63">
        <v>6528.5</v>
      </c>
      <c r="G63">
        <v>7175</v>
      </c>
      <c r="H63" t="s">
        <v>1</v>
      </c>
      <c r="I63">
        <v>0.10676786053358038</v>
      </c>
      <c r="J63">
        <v>1.7453080787088737E-2</v>
      </c>
      <c r="K63">
        <v>1.1801279763830768</v>
      </c>
      <c r="L63">
        <v>1.487407752520653E-4</v>
      </c>
      <c r="M63">
        <v>-9.741263286377877E-2</v>
      </c>
      <c r="N63">
        <v>0.19381363350439407</v>
      </c>
      <c r="O63" s="10">
        <v>50</v>
      </c>
      <c r="P63" s="10" t="s">
        <v>51</v>
      </c>
      <c r="Q63" s="10" t="s">
        <v>33</v>
      </c>
      <c r="R63" s="10" t="s">
        <v>0</v>
      </c>
      <c r="S63">
        <v>0</v>
      </c>
      <c r="T63">
        <v>8.6774586286266827E-3</v>
      </c>
      <c r="U63">
        <v>2.0738845817372801E-3</v>
      </c>
      <c r="V63">
        <v>-7.3333232090501638E-4</v>
      </c>
      <c r="W63">
        <v>7.0638442100979385E-5</v>
      </c>
      <c r="X63">
        <v>3.2115233744324091E-3</v>
      </c>
      <c r="Y63">
        <v>0.49579995810641414</v>
      </c>
      <c r="Z63">
        <v>7.1079588831308271E-2</v>
      </c>
    </row>
    <row r="64" spans="1:26" x14ac:dyDescent="0.3">
      <c r="A64" s="18">
        <v>45897</v>
      </c>
      <c r="B64">
        <v>2.6</v>
      </c>
      <c r="C64" t="s">
        <v>50</v>
      </c>
      <c r="D64" s="18">
        <v>45961</v>
      </c>
      <c r="E64">
        <v>4.1174999999999996E-2</v>
      </c>
      <c r="F64">
        <v>6574</v>
      </c>
      <c r="G64">
        <v>7175</v>
      </c>
      <c r="H64" t="s">
        <v>1</v>
      </c>
      <c r="I64">
        <v>0.10489549653654384</v>
      </c>
      <c r="J64">
        <v>2.4262112928274959E-2</v>
      </c>
      <c r="K64">
        <v>1.5762748401057456</v>
      </c>
      <c r="L64">
        <v>1.9715202803638476E-4</v>
      </c>
      <c r="M64">
        <v>-0.12665080301547649</v>
      </c>
      <c r="N64">
        <v>0.27544660120071107</v>
      </c>
      <c r="O64" s="10">
        <v>50</v>
      </c>
      <c r="P64" s="10" t="s">
        <v>51</v>
      </c>
      <c r="Q64" s="10" t="s">
        <v>33</v>
      </c>
      <c r="R64" s="10" t="s">
        <v>0</v>
      </c>
      <c r="S64">
        <v>0</v>
      </c>
      <c r="T64">
        <v>1.0928060370118115E-2</v>
      </c>
      <c r="U64">
        <v>2.0710471505144129E-3</v>
      </c>
      <c r="V64">
        <v>-8.9281328323744555E-4</v>
      </c>
      <c r="W64">
        <v>8.8407893594055436E-5</v>
      </c>
      <c r="X64">
        <v>3.6648826010625894E-3</v>
      </c>
      <c r="Y64">
        <v>0.59253026432173583</v>
      </c>
      <c r="Z64">
        <v>5.4546875854310284E-2</v>
      </c>
    </row>
    <row r="65" spans="1:26" x14ac:dyDescent="0.3">
      <c r="A65" s="18">
        <v>45896</v>
      </c>
      <c r="B65">
        <v>2.5499999999999998</v>
      </c>
      <c r="C65" t="s">
        <v>50</v>
      </c>
      <c r="D65" s="18">
        <v>45961</v>
      </c>
      <c r="E65">
        <v>4.122E-2</v>
      </c>
      <c r="F65">
        <v>6552</v>
      </c>
      <c r="G65">
        <v>7175</v>
      </c>
      <c r="H65" t="s">
        <v>1</v>
      </c>
      <c r="I65">
        <v>0.10713977723986996</v>
      </c>
      <c r="J65">
        <v>2.3322999156616397E-2</v>
      </c>
      <c r="K65">
        <v>1.5319266699216465</v>
      </c>
      <c r="L65">
        <v>1.8589957573311722E-4</v>
      </c>
      <c r="M65">
        <v>-0.12374308219059893</v>
      </c>
      <c r="N65">
        <v>0.26791305144872313</v>
      </c>
      <c r="O65" s="10">
        <v>50</v>
      </c>
      <c r="P65" s="10" t="s">
        <v>51</v>
      </c>
      <c r="Q65" s="10" t="s">
        <v>33</v>
      </c>
      <c r="R65" s="10" t="s">
        <v>0</v>
      </c>
      <c r="S65">
        <v>0</v>
      </c>
      <c r="T65">
        <v>1.0442399422321608E-2</v>
      </c>
      <c r="U65">
        <v>2.0056617301032484E-3</v>
      </c>
      <c r="V65">
        <v>-8.5797867391456024E-4</v>
      </c>
      <c r="W65">
        <v>8.1673454297629628E-5</v>
      </c>
      <c r="X65">
        <v>3.4509597391386322E-3</v>
      </c>
      <c r="Y65">
        <v>0.57352147833764855</v>
      </c>
      <c r="Z65">
        <v>5.5407101612096936E-2</v>
      </c>
    </row>
    <row r="66" spans="1:26" x14ac:dyDescent="0.3">
      <c r="A66" s="18">
        <v>45895</v>
      </c>
      <c r="B66">
        <v>2.2999999999999998</v>
      </c>
      <c r="C66" t="s">
        <v>50</v>
      </c>
      <c r="D66" s="18">
        <v>45961</v>
      </c>
      <c r="E66">
        <v>4.1289999999999993E-2</v>
      </c>
      <c r="F66">
        <v>6538.5</v>
      </c>
      <c r="G66">
        <v>7175</v>
      </c>
      <c r="H66" t="s">
        <v>1</v>
      </c>
      <c r="I66">
        <v>0.10667123354445059</v>
      </c>
      <c r="J66">
        <v>2.126048457227192E-2</v>
      </c>
      <c r="K66">
        <v>1.4265217895551965</v>
      </c>
      <c r="L66">
        <v>1.7172572697177202E-4</v>
      </c>
      <c r="M66">
        <v>-0.11280056233022684</v>
      </c>
      <c r="N66">
        <v>0.24752060937873521</v>
      </c>
      <c r="O66" s="10">
        <v>50</v>
      </c>
      <c r="P66" s="10" t="s">
        <v>51</v>
      </c>
      <c r="Q66" s="10" t="s">
        <v>33</v>
      </c>
      <c r="R66" s="10" t="s">
        <v>0</v>
      </c>
      <c r="S66">
        <v>0</v>
      </c>
      <c r="T66">
        <v>9.8865718004576414E-3</v>
      </c>
      <c r="U66">
        <v>2.0533765752108898E-3</v>
      </c>
      <c r="V66">
        <v>-7.9654404218137845E-4</v>
      </c>
      <c r="W66">
        <v>7.6674268481567278E-5</v>
      </c>
      <c r="X66">
        <v>3.3616221815269461E-3</v>
      </c>
      <c r="Y66">
        <v>0.55671428522546262</v>
      </c>
      <c r="Z66">
        <v>6.2267308147431082E-2</v>
      </c>
    </row>
    <row r="67" spans="1:26" x14ac:dyDescent="0.3">
      <c r="A67" s="18">
        <v>45894</v>
      </c>
      <c r="B67">
        <v>2.15</v>
      </c>
      <c r="C67" t="s">
        <v>50</v>
      </c>
      <c r="D67" s="18">
        <v>45961</v>
      </c>
      <c r="E67">
        <v>4.1439000000000004E-2</v>
      </c>
      <c r="F67">
        <v>6511.25</v>
      </c>
      <c r="G67">
        <v>7175</v>
      </c>
      <c r="H67" t="s">
        <v>1</v>
      </c>
      <c r="I67">
        <v>0.10882857708011269</v>
      </c>
      <c r="J67">
        <v>1.9617794099913155E-2</v>
      </c>
      <c r="K67">
        <v>1.3380667752937172</v>
      </c>
      <c r="L67">
        <v>1.5671074216072611E-4</v>
      </c>
      <c r="M67">
        <v>-0.10621588733143383</v>
      </c>
      <c r="N67">
        <v>0.23082407869754473</v>
      </c>
      <c r="O67" s="10">
        <v>50</v>
      </c>
      <c r="P67" s="10" t="s">
        <v>51</v>
      </c>
      <c r="Q67" s="10" t="s">
        <v>33</v>
      </c>
      <c r="R67" s="10" t="s">
        <v>0</v>
      </c>
      <c r="S67">
        <v>0</v>
      </c>
      <c r="T67">
        <v>9.2033763013889911E-3</v>
      </c>
      <c r="U67">
        <v>1.9922908674478786E-3</v>
      </c>
      <c r="V67">
        <v>-7.4522824527151015E-4</v>
      </c>
      <c r="W67">
        <v>6.9188021062658483E-5</v>
      </c>
      <c r="X67">
        <v>3.1257005213635742E-3</v>
      </c>
      <c r="Y67">
        <v>0.52852892420315423</v>
      </c>
      <c r="Z67">
        <v>6.474745144256118E-2</v>
      </c>
    </row>
    <row r="68" spans="1:26" x14ac:dyDescent="0.3">
      <c r="A68" s="18">
        <v>45891</v>
      </c>
      <c r="B68">
        <v>2.5</v>
      </c>
      <c r="C68" t="s">
        <v>50</v>
      </c>
      <c r="D68" s="18">
        <v>45961</v>
      </c>
      <c r="E68">
        <v>4.1464999999999995E-2</v>
      </c>
      <c r="F68">
        <v>6539</v>
      </c>
      <c r="G68">
        <v>7175</v>
      </c>
      <c r="H68" t="s">
        <v>1</v>
      </c>
      <c r="I68">
        <v>0.10484806125495791</v>
      </c>
      <c r="J68">
        <v>2.2648675101688553E-2</v>
      </c>
      <c r="K68">
        <v>1.5487553575734472</v>
      </c>
      <c r="L68">
        <v>1.7892267223373892E-4</v>
      </c>
      <c r="M68">
        <v>-0.11366399346132017</v>
      </c>
      <c r="N68">
        <v>0.27961495787093971</v>
      </c>
      <c r="O68" s="10">
        <v>50</v>
      </c>
      <c r="P68" s="10" t="s">
        <v>51</v>
      </c>
      <c r="Q68" s="10" t="s">
        <v>33</v>
      </c>
      <c r="R68" s="10" t="s">
        <v>0</v>
      </c>
      <c r="S68">
        <v>0</v>
      </c>
      <c r="T68">
        <v>1.0475088015208529E-2</v>
      </c>
      <c r="U68">
        <v>2.1063997183343908E-3</v>
      </c>
      <c r="V68">
        <v>-7.8192181265227337E-4</v>
      </c>
      <c r="W68">
        <v>7.7878185715539168E-5</v>
      </c>
      <c r="X68">
        <v>3.4434974881185671E-3</v>
      </c>
      <c r="Y68">
        <v>0.59949110292457497</v>
      </c>
      <c r="Z68">
        <v>6.2058859482889035E-2</v>
      </c>
    </row>
    <row r="69" spans="1:26" x14ac:dyDescent="0.3">
      <c r="A69" s="18">
        <v>45890</v>
      </c>
      <c r="B69">
        <v>1.8</v>
      </c>
      <c r="C69" t="s">
        <v>50</v>
      </c>
      <c r="D69" s="18">
        <v>45961</v>
      </c>
      <c r="E69">
        <v>4.1715999999999996E-2</v>
      </c>
      <c r="F69">
        <v>6443.5</v>
      </c>
      <c r="G69">
        <v>7175</v>
      </c>
      <c r="H69" t="s">
        <v>1</v>
      </c>
      <c r="I69">
        <v>0.11255165188784107</v>
      </c>
      <c r="J69">
        <v>1.5991402259318832E-2</v>
      </c>
      <c r="K69">
        <v>1.1475426111457276</v>
      </c>
      <c r="L69">
        <v>1.2494002721297193E-4</v>
      </c>
      <c r="M69">
        <v>-8.8648722667573177E-2</v>
      </c>
      <c r="N69">
        <v>0.19720206597319279</v>
      </c>
      <c r="O69" s="10">
        <v>50</v>
      </c>
      <c r="P69" s="10" t="s">
        <v>51</v>
      </c>
      <c r="Q69" s="10" t="s">
        <v>33</v>
      </c>
      <c r="R69" s="10" t="s">
        <v>0</v>
      </c>
      <c r="S69">
        <v>0</v>
      </c>
      <c r="T69">
        <v>7.7794666931808353E-3</v>
      </c>
      <c r="U69">
        <v>1.8762127795266558E-3</v>
      </c>
      <c r="V69">
        <v>-6.1478629882878234E-4</v>
      </c>
      <c r="W69">
        <v>5.3896178427873822E-5</v>
      </c>
      <c r="X69">
        <v>2.6406319517832955E-3</v>
      </c>
      <c r="Y69">
        <v>0.47342172963919082</v>
      </c>
      <c r="Z69">
        <v>7.1139787119325948E-2</v>
      </c>
    </row>
    <row r="70" spans="1:26" x14ac:dyDescent="0.3">
      <c r="A70" s="18">
        <v>45889</v>
      </c>
      <c r="B70">
        <v>2.15</v>
      </c>
      <c r="C70" t="s">
        <v>50</v>
      </c>
      <c r="D70" s="18">
        <v>45961</v>
      </c>
      <c r="E70">
        <v>4.1529999999999997E-2</v>
      </c>
      <c r="F70">
        <v>6468.25</v>
      </c>
      <c r="G70">
        <v>7175</v>
      </c>
      <c r="H70" t="s">
        <v>1</v>
      </c>
      <c r="I70">
        <v>0.11112229464144333</v>
      </c>
      <c r="J70">
        <v>1.8773181536402284E-2</v>
      </c>
      <c r="K70">
        <v>1.327617738720233</v>
      </c>
      <c r="L70">
        <v>1.4355129085430463E-4</v>
      </c>
      <c r="M70">
        <v>-0.10015224127428324</v>
      </c>
      <c r="N70">
        <v>0.23560708425305799</v>
      </c>
      <c r="O70" s="10">
        <v>50</v>
      </c>
      <c r="P70" s="10" t="s">
        <v>51</v>
      </c>
      <c r="Q70" s="10" t="s">
        <v>33</v>
      </c>
      <c r="R70" s="10" t="s">
        <v>0</v>
      </c>
      <c r="S70">
        <v>0</v>
      </c>
      <c r="T70">
        <v>8.7666587779823852E-3</v>
      </c>
      <c r="U70">
        <v>1.9227650664851016E-3</v>
      </c>
      <c r="V70">
        <v>-6.7437177735665246E-4</v>
      </c>
      <c r="W70">
        <v>6.0395504252749406E-5</v>
      </c>
      <c r="X70">
        <v>2.8527198997142862E-3</v>
      </c>
      <c r="Y70">
        <v>0.52294463601310515</v>
      </c>
      <c r="Z70">
        <v>6.6517040197203961E-2</v>
      </c>
    </row>
    <row r="71" spans="1:26" x14ac:dyDescent="0.3">
      <c r="A71" s="18">
        <v>45888</v>
      </c>
      <c r="B71">
        <v>2.4500000000000002</v>
      </c>
      <c r="C71" t="s">
        <v>50</v>
      </c>
      <c r="D71" s="18">
        <v>45961</v>
      </c>
      <c r="E71">
        <v>4.1524999999999999E-2</v>
      </c>
      <c r="F71">
        <v>6487.25</v>
      </c>
      <c r="G71">
        <v>7175</v>
      </c>
      <c r="H71" t="s">
        <v>1</v>
      </c>
      <c r="I71">
        <v>0.10979723234285979</v>
      </c>
      <c r="J71">
        <v>2.1126812045446641E-2</v>
      </c>
      <c r="K71">
        <v>1.4799712002855179</v>
      </c>
      <c r="L71">
        <v>1.5902043237758789E-4</v>
      </c>
      <c r="M71">
        <v>-0.10903248349569683</v>
      </c>
      <c r="N71">
        <v>0.26956955928166004</v>
      </c>
      <c r="O71" s="10">
        <v>50</v>
      </c>
      <c r="P71" s="10" t="s">
        <v>51</v>
      </c>
      <c r="Q71" s="10" t="s">
        <v>33</v>
      </c>
      <c r="R71" s="10" t="s">
        <v>0</v>
      </c>
      <c r="S71">
        <v>0</v>
      </c>
      <c r="T71">
        <v>9.5805637825931694E-3</v>
      </c>
      <c r="U71">
        <v>1.9494673511121895E-3</v>
      </c>
      <c r="V71">
        <v>-7.1808919461332328E-4</v>
      </c>
      <c r="W71">
        <v>6.5662396693453066E-5</v>
      </c>
      <c r="X71">
        <v>3.0164523597889575E-3</v>
      </c>
      <c r="Y71">
        <v>0.5635580795452455</v>
      </c>
      <c r="Z71">
        <v>6.2103438760248125E-2</v>
      </c>
    </row>
    <row r="72" spans="1:26" x14ac:dyDescent="0.3">
      <c r="A72" s="18">
        <v>45887</v>
      </c>
      <c r="B72">
        <v>3.25</v>
      </c>
      <c r="C72" t="s">
        <v>50</v>
      </c>
      <c r="D72" s="18">
        <v>45961</v>
      </c>
      <c r="E72">
        <v>4.1693000000000001E-2</v>
      </c>
      <c r="F72">
        <v>6524.5</v>
      </c>
      <c r="G72">
        <v>7175</v>
      </c>
      <c r="H72" t="s">
        <v>1</v>
      </c>
      <c r="I72">
        <v>0.10848277856925352</v>
      </c>
      <c r="J72">
        <v>2.712011065846287E-2</v>
      </c>
      <c r="K72">
        <v>1.843173779451154</v>
      </c>
      <c r="L72">
        <v>1.9603418888181068E-4</v>
      </c>
      <c r="M72">
        <v>-0.13290403089925817</v>
      </c>
      <c r="N72">
        <v>0.35259364294859696</v>
      </c>
      <c r="O72" s="10">
        <v>50</v>
      </c>
      <c r="P72" s="10" t="s">
        <v>51</v>
      </c>
      <c r="Q72" s="10" t="s">
        <v>33</v>
      </c>
      <c r="R72" s="10" t="s">
        <v>0</v>
      </c>
      <c r="S72">
        <v>0</v>
      </c>
      <c r="T72">
        <v>1.1345760923712849E-2</v>
      </c>
      <c r="U72">
        <v>1.8928226350732687E-3</v>
      </c>
      <c r="V72">
        <v>-8.2853705250156002E-4</v>
      </c>
      <c r="W72">
        <v>7.7105112981498317E-5</v>
      </c>
      <c r="X72">
        <v>3.2835766611499454E-3</v>
      </c>
      <c r="Y72">
        <v>0.64037351778085272</v>
      </c>
      <c r="Z72">
        <v>4.6303281743851565E-2</v>
      </c>
    </row>
    <row r="73" spans="1:26" x14ac:dyDescent="0.3">
      <c r="A73" s="18">
        <v>45884</v>
      </c>
      <c r="B73">
        <v>4</v>
      </c>
      <c r="C73" t="s">
        <v>50</v>
      </c>
      <c r="D73" s="18">
        <v>45961</v>
      </c>
      <c r="E73">
        <v>4.1639999999999996E-2</v>
      </c>
      <c r="F73">
        <v>6526.5</v>
      </c>
      <c r="G73">
        <v>7175</v>
      </c>
      <c r="H73" t="s">
        <v>1</v>
      </c>
      <c r="I73">
        <v>0.10981054662564761</v>
      </c>
      <c r="J73">
        <v>3.1659533646277715E-2</v>
      </c>
      <c r="K73">
        <v>2.1349321702589164</v>
      </c>
      <c r="L73">
        <v>2.1579611431121748E-4</v>
      </c>
      <c r="M73">
        <v>-0.15014426602587783</v>
      </c>
      <c r="N73">
        <v>0.42797185990866837</v>
      </c>
      <c r="O73" s="10">
        <v>50</v>
      </c>
      <c r="P73" s="10" t="s">
        <v>51</v>
      </c>
      <c r="Q73" s="10" t="s">
        <v>33</v>
      </c>
      <c r="R73" s="10" t="s">
        <v>0</v>
      </c>
      <c r="S73">
        <v>0</v>
      </c>
      <c r="T73">
        <v>1.2313231316704176E-2</v>
      </c>
      <c r="U73">
        <v>1.7421724791653111E-3</v>
      </c>
      <c r="V73">
        <v>-8.7438993933465926E-4</v>
      </c>
      <c r="W73">
        <v>7.9284275202257503E-5</v>
      </c>
      <c r="X73">
        <v>3.2413133050602193E-3</v>
      </c>
      <c r="Y73">
        <v>0.68396565494558026</v>
      </c>
      <c r="Z73">
        <v>3.2791536253934467E-2</v>
      </c>
    </row>
    <row r="74" spans="1:26" x14ac:dyDescent="0.3">
      <c r="A74" s="18">
        <v>45883</v>
      </c>
      <c r="B74">
        <v>4.45</v>
      </c>
      <c r="C74" t="s">
        <v>50</v>
      </c>
      <c r="D74" s="18">
        <v>45961</v>
      </c>
      <c r="E74">
        <v>4.1513000000000001E-2</v>
      </c>
      <c r="F74">
        <v>6545.5</v>
      </c>
      <c r="G74">
        <v>7175</v>
      </c>
      <c r="H74" t="s">
        <v>1</v>
      </c>
      <c r="I74">
        <v>0.10829245133609013</v>
      </c>
      <c r="J74">
        <v>3.4896444094822954E-2</v>
      </c>
      <c r="K74">
        <v>2.3328365985054322</v>
      </c>
      <c r="L74">
        <v>2.3486641964609589E-4</v>
      </c>
      <c r="M74">
        <v>-0.15993287483981433</v>
      </c>
      <c r="N74">
        <v>0.47918495409335904</v>
      </c>
      <c r="O74" s="10">
        <v>50</v>
      </c>
      <c r="P74" s="10" t="s">
        <v>51</v>
      </c>
      <c r="Q74" s="10" t="s">
        <v>33</v>
      </c>
      <c r="R74" s="10" t="s">
        <v>0</v>
      </c>
      <c r="S74">
        <v>0</v>
      </c>
      <c r="T74">
        <v>1.3213377423366455E-2</v>
      </c>
      <c r="U74">
        <v>1.6970198781684925E-3</v>
      </c>
      <c r="V74">
        <v>-9.1328045845936047E-4</v>
      </c>
      <c r="W74">
        <v>8.4882377680176919E-5</v>
      </c>
      <c r="X74">
        <v>3.3557928412501032E-3</v>
      </c>
      <c r="Y74">
        <v>0.72335596298819149</v>
      </c>
      <c r="Z74">
        <v>2.4257252595134234E-2</v>
      </c>
    </row>
    <row r="75" spans="1:26" x14ac:dyDescent="0.3">
      <c r="A75" s="18">
        <v>45882</v>
      </c>
      <c r="B75">
        <v>4.55</v>
      </c>
      <c r="C75" t="s">
        <v>50</v>
      </c>
      <c r="D75" s="18">
        <v>45961</v>
      </c>
      <c r="E75">
        <v>4.1361000000000002E-2</v>
      </c>
      <c r="F75">
        <v>6543</v>
      </c>
      <c r="G75">
        <v>7175</v>
      </c>
      <c r="H75" t="s">
        <v>1</v>
      </c>
      <c r="I75">
        <v>0.10840364175055754</v>
      </c>
      <c r="J75">
        <v>3.5367718357903755E-2</v>
      </c>
      <c r="K75">
        <v>2.3724892155991659</v>
      </c>
      <c r="L75">
        <v>2.3580275509971216E-4</v>
      </c>
      <c r="M75">
        <v>-0.16079636185066981</v>
      </c>
      <c r="N75">
        <v>0.49160741870229074</v>
      </c>
      <c r="O75" s="10">
        <v>50</v>
      </c>
      <c r="P75" s="10" t="s">
        <v>51</v>
      </c>
      <c r="Q75" s="10" t="s">
        <v>33</v>
      </c>
      <c r="R75" s="10" t="s">
        <v>0</v>
      </c>
      <c r="S75">
        <v>0</v>
      </c>
      <c r="T75">
        <v>1.3304316087617283E-2</v>
      </c>
      <c r="U75">
        <v>1.6805789224958066E-3</v>
      </c>
      <c r="V75">
        <v>-9.0880000191579876E-4</v>
      </c>
      <c r="W75">
        <v>8.4305745174721313E-5</v>
      </c>
      <c r="X75">
        <v>3.3334232150817236E-3</v>
      </c>
      <c r="Y75">
        <v>0.7302270828814581</v>
      </c>
      <c r="Z75">
        <v>2.2995104019629582E-2</v>
      </c>
    </row>
    <row r="76" spans="1:26" x14ac:dyDescent="0.3">
      <c r="A76" s="18">
        <v>45929</v>
      </c>
      <c r="B76">
        <v>461.5</v>
      </c>
      <c r="C76" t="s">
        <v>52</v>
      </c>
      <c r="D76" s="18">
        <v>45961</v>
      </c>
      <c r="E76">
        <v>3.9035E-2</v>
      </c>
      <c r="F76">
        <v>6713.5</v>
      </c>
      <c r="G76">
        <v>7175</v>
      </c>
      <c r="H76" t="s">
        <v>2</v>
      </c>
      <c r="I76">
        <v>0.10863973914027639</v>
      </c>
      <c r="J76">
        <v>-0.97650295741118498</v>
      </c>
      <c r="K76">
        <v>0.97267839315384208</v>
      </c>
      <c r="L76">
        <v>2.2486347006633878E-4</v>
      </c>
      <c r="M76">
        <v>-0.11029477303793556</v>
      </c>
      <c r="N76">
        <v>-6.1520412360441128</v>
      </c>
      <c r="O76" s="10">
        <v>50</v>
      </c>
      <c r="P76" s="10" t="s">
        <v>53</v>
      </c>
      <c r="Q76" s="10" t="s">
        <v>33</v>
      </c>
      <c r="R76" s="10" t="s">
        <v>0</v>
      </c>
      <c r="S76">
        <v>0</v>
      </c>
      <c r="T76">
        <v>9.3096147392513501E-3</v>
      </c>
      <c r="U76">
        <v>1.9594984889833122E-3</v>
      </c>
      <c r="V76">
        <v>-1.6847356168833965E-3</v>
      </c>
      <c r="W76">
        <v>1.4334326166286183E-4</v>
      </c>
      <c r="X76">
        <v>4.5453594407957251E-3</v>
      </c>
      <c r="Y76">
        <v>0.37949434822643258</v>
      </c>
      <c r="Z76">
        <v>4.4397014952587403E-2</v>
      </c>
    </row>
    <row r="77" spans="1:26" x14ac:dyDescent="0.3">
      <c r="A77" s="18">
        <v>45926</v>
      </c>
      <c r="B77">
        <v>478.5</v>
      </c>
      <c r="C77" t="s">
        <v>52</v>
      </c>
      <c r="D77" s="18">
        <v>45961</v>
      </c>
      <c r="E77">
        <v>3.9176999999999997E-2</v>
      </c>
      <c r="F77">
        <v>6696.5</v>
      </c>
      <c r="G77">
        <v>7175</v>
      </c>
      <c r="H77" t="s">
        <v>2</v>
      </c>
      <c r="I77">
        <v>0.10938176826261449</v>
      </c>
      <c r="J77">
        <v>-0.97467656833600813</v>
      </c>
      <c r="K77">
        <v>1.0770605034707899</v>
      </c>
      <c r="L77">
        <v>2.2746576178178657E-4</v>
      </c>
      <c r="M77">
        <v>-0.11204828741210804</v>
      </c>
      <c r="N77">
        <v>-6.7174406971736857</v>
      </c>
      <c r="O77" s="10">
        <v>50</v>
      </c>
      <c r="P77" s="10" t="s">
        <v>53</v>
      </c>
      <c r="Q77" s="10" t="s">
        <v>33</v>
      </c>
      <c r="R77" s="10" t="s">
        <v>0</v>
      </c>
      <c r="S77">
        <v>0</v>
      </c>
      <c r="T77">
        <v>9.6914204514829978E-3</v>
      </c>
      <c r="U77">
        <v>1.921057270823361E-3</v>
      </c>
      <c r="V77">
        <v>-1.618994326485724E-3</v>
      </c>
      <c r="W77">
        <v>1.3570632367934101E-4</v>
      </c>
      <c r="X77">
        <v>4.3891222990211556E-3</v>
      </c>
      <c r="Y77">
        <v>0.40609397673673997</v>
      </c>
      <c r="Z77">
        <v>4.2748339859648578E-2</v>
      </c>
    </row>
    <row r="78" spans="1:26" x14ac:dyDescent="0.3">
      <c r="A78" s="18">
        <v>45925</v>
      </c>
      <c r="B78">
        <v>515.25</v>
      </c>
      <c r="C78" t="s">
        <v>52</v>
      </c>
      <c r="D78" s="18">
        <v>45961</v>
      </c>
      <c r="E78">
        <v>3.9266000000000002E-2</v>
      </c>
      <c r="F78">
        <v>6659.75</v>
      </c>
      <c r="G78">
        <v>7175</v>
      </c>
      <c r="H78" t="s">
        <v>2</v>
      </c>
      <c r="I78">
        <v>0.11699980367952123</v>
      </c>
      <c r="J78">
        <v>-0.97399018129635806</v>
      </c>
      <c r="K78">
        <v>1.1093329779297392</v>
      </c>
      <c r="L78">
        <v>2.1551841200562194E-4</v>
      </c>
      <c r="M78">
        <v>-0.11994736774568082</v>
      </c>
      <c r="N78">
        <v>-6.9057853336891526</v>
      </c>
      <c r="O78" s="10">
        <v>50</v>
      </c>
      <c r="P78" s="10" t="s">
        <v>53</v>
      </c>
      <c r="Q78" s="10" t="s">
        <v>33</v>
      </c>
      <c r="R78" s="10" t="s">
        <v>0</v>
      </c>
      <c r="S78">
        <v>0</v>
      </c>
      <c r="T78">
        <v>9.2256104998082369E-3</v>
      </c>
      <c r="U78">
        <v>1.6801477757066707E-3</v>
      </c>
      <c r="V78">
        <v>-1.6039391864719628E-3</v>
      </c>
      <c r="W78">
        <v>1.1788914026712006E-4</v>
      </c>
      <c r="X78">
        <v>3.8190467097174328E-3</v>
      </c>
      <c r="Y78">
        <v>0.38778711679308497</v>
      </c>
      <c r="Z78">
        <v>3.6872692111199777E-2</v>
      </c>
    </row>
    <row r="79" spans="1:26" x14ac:dyDescent="0.3">
      <c r="A79" s="18">
        <v>45924</v>
      </c>
      <c r="B79">
        <v>483.75</v>
      </c>
      <c r="C79" t="s">
        <v>52</v>
      </c>
      <c r="D79" s="18">
        <v>45961</v>
      </c>
      <c r="E79">
        <v>3.9175000000000001E-2</v>
      </c>
      <c r="F79">
        <v>6692.25</v>
      </c>
      <c r="G79">
        <v>7175</v>
      </c>
      <c r="H79" t="s">
        <v>2</v>
      </c>
      <c r="I79">
        <v>0.115940042345266</v>
      </c>
      <c r="J79">
        <v>-0.96530902344227343</v>
      </c>
      <c r="K79">
        <v>1.4815614412952129</v>
      </c>
      <c r="L79">
        <v>2.8076613034500042E-4</v>
      </c>
      <c r="M79">
        <v>-0.17559977326970966</v>
      </c>
      <c r="N79">
        <v>-7.0388532868432776</v>
      </c>
      <c r="O79" s="10">
        <v>50</v>
      </c>
      <c r="P79" s="10" t="s">
        <v>53</v>
      </c>
      <c r="Q79" s="10" t="s">
        <v>33</v>
      </c>
      <c r="R79" s="10" t="s">
        <v>0</v>
      </c>
      <c r="S79">
        <v>0</v>
      </c>
      <c r="T79">
        <v>1.1398512624355019E-2</v>
      </c>
      <c r="U79">
        <v>1.5528044174855048E-3</v>
      </c>
      <c r="V79">
        <v>-1.8894757467610348E-3</v>
      </c>
      <c r="W79">
        <v>1.4211413769603696E-4</v>
      </c>
      <c r="X79">
        <v>4.148908211382734E-3</v>
      </c>
      <c r="Y79">
        <v>0.45379045689886305</v>
      </c>
      <c r="Z79">
        <v>2.1905914398754445E-2</v>
      </c>
    </row>
    <row r="80" spans="1:26" x14ac:dyDescent="0.3">
      <c r="A80" s="18">
        <v>45923</v>
      </c>
      <c r="B80">
        <v>461.75</v>
      </c>
      <c r="C80" t="s">
        <v>52</v>
      </c>
      <c r="D80" s="18">
        <v>45961</v>
      </c>
      <c r="E80">
        <v>3.9189000000000002E-2</v>
      </c>
      <c r="F80">
        <v>6715</v>
      </c>
      <c r="G80">
        <v>7175</v>
      </c>
      <c r="H80" t="s">
        <v>2</v>
      </c>
      <c r="I80">
        <v>0.11403183213033481</v>
      </c>
      <c r="J80">
        <v>-0.9587411703108728</v>
      </c>
      <c r="K80">
        <v>1.7599222269410006</v>
      </c>
      <c r="L80">
        <v>3.2841455777088413E-4</v>
      </c>
      <c r="M80">
        <v>-0.21029584704115223</v>
      </c>
      <c r="N80">
        <v>-7.1831153089206339</v>
      </c>
      <c r="O80" s="10">
        <v>50</v>
      </c>
      <c r="P80" s="10" t="s">
        <v>53</v>
      </c>
      <c r="Q80" s="10" t="s">
        <v>33</v>
      </c>
      <c r="R80" s="10" t="s">
        <v>0</v>
      </c>
      <c r="S80">
        <v>0</v>
      </c>
      <c r="T80">
        <v>1.2945140163686052E-2</v>
      </c>
      <c r="U80">
        <v>1.4336472088008439E-3</v>
      </c>
      <c r="V80">
        <v>-2.0452505051882439E-3</v>
      </c>
      <c r="W80">
        <v>1.5910006061076808E-4</v>
      </c>
      <c r="X80">
        <v>4.3372101434959367E-3</v>
      </c>
      <c r="Y80">
        <v>0.49993283086677076</v>
      </c>
      <c r="Z80">
        <v>1.0620011121229527E-2</v>
      </c>
    </row>
    <row r="81" spans="1:26" x14ac:dyDescent="0.3">
      <c r="A81" s="18">
        <v>45922</v>
      </c>
      <c r="B81">
        <v>426.25</v>
      </c>
      <c r="C81" t="s">
        <v>52</v>
      </c>
      <c r="D81" s="18">
        <v>45961</v>
      </c>
      <c r="E81">
        <v>3.9209999999999995E-2</v>
      </c>
      <c r="F81">
        <v>6752.5</v>
      </c>
      <c r="G81">
        <v>7175</v>
      </c>
      <c r="H81" t="s">
        <v>2</v>
      </c>
      <c r="I81">
        <v>0.11361356619684156</v>
      </c>
      <c r="J81">
        <v>-0.94295229574470341</v>
      </c>
      <c r="K81">
        <v>2.375003668603739</v>
      </c>
      <c r="L81">
        <v>4.2954241052939324E-4</v>
      </c>
      <c r="M81">
        <v>-0.29679966016470871</v>
      </c>
      <c r="N81">
        <v>-7.2586781548366162</v>
      </c>
      <c r="O81" s="10">
        <v>50</v>
      </c>
      <c r="P81" s="10" t="s">
        <v>53</v>
      </c>
      <c r="Q81" s="10" t="s">
        <v>33</v>
      </c>
      <c r="R81" s="10" t="s">
        <v>0</v>
      </c>
      <c r="S81">
        <v>0</v>
      </c>
      <c r="T81">
        <v>1.5669973449200267E-2</v>
      </c>
      <c r="U81">
        <v>9.5536850932507577E-4</v>
      </c>
      <c r="V81">
        <v>-2.3837598733047988E-3</v>
      </c>
      <c r="W81">
        <v>1.8686660987666447E-4</v>
      </c>
      <c r="X81">
        <v>4.2639839811811188E-3</v>
      </c>
      <c r="Y81">
        <v>0.55880003548999302</v>
      </c>
      <c r="Z81">
        <v>-1.6245882449091587E-2</v>
      </c>
    </row>
    <row r="82" spans="1:26" x14ac:dyDescent="0.3">
      <c r="A82" s="18">
        <v>45919</v>
      </c>
      <c r="B82">
        <v>454.75</v>
      </c>
      <c r="C82" t="s">
        <v>52</v>
      </c>
      <c r="D82" s="18">
        <v>45961</v>
      </c>
      <c r="E82">
        <v>3.9279000000000001E-2</v>
      </c>
      <c r="F82">
        <v>6722.5</v>
      </c>
      <c r="G82">
        <v>7175</v>
      </c>
      <c r="H82" t="s">
        <v>2</v>
      </c>
      <c r="I82">
        <v>0.11036634894792435</v>
      </c>
      <c r="J82">
        <v>-0.95308307021468863</v>
      </c>
      <c r="K82">
        <v>2.0590023078044908</v>
      </c>
      <c r="L82">
        <v>3.5870243664248846E-4</v>
      </c>
      <c r="M82">
        <v>-0.21827183700690966</v>
      </c>
      <c r="N82">
        <v>-7.8956450816023107</v>
      </c>
      <c r="O82" s="10">
        <v>50</v>
      </c>
      <c r="P82" s="10" t="s">
        <v>53</v>
      </c>
      <c r="Q82" s="10" t="s">
        <v>33</v>
      </c>
      <c r="R82" s="10" t="s">
        <v>0</v>
      </c>
      <c r="S82">
        <v>0</v>
      </c>
      <c r="T82">
        <v>1.4385957565745719E-2</v>
      </c>
      <c r="U82">
        <v>1.3667631462545495E-3</v>
      </c>
      <c r="V82">
        <v>-1.9927143331556845E-3</v>
      </c>
      <c r="W82">
        <v>1.6491879821291263E-4</v>
      </c>
      <c r="X82">
        <v>4.4293217436719105E-3</v>
      </c>
      <c r="Y82">
        <v>0.56467799575499444</v>
      </c>
      <c r="Z82">
        <v>1.371436737715807E-3</v>
      </c>
    </row>
    <row r="83" spans="1:26" x14ac:dyDescent="0.3">
      <c r="A83" s="18">
        <v>45918</v>
      </c>
      <c r="B83">
        <v>482.5</v>
      </c>
      <c r="C83" t="s">
        <v>52</v>
      </c>
      <c r="D83" s="18">
        <v>45961</v>
      </c>
      <c r="E83">
        <v>3.9288999999999998E-2</v>
      </c>
      <c r="F83">
        <v>6693.5</v>
      </c>
      <c r="G83">
        <v>7175</v>
      </c>
      <c r="H83" t="s">
        <v>2</v>
      </c>
      <c r="I83">
        <v>0.10920375794925304</v>
      </c>
      <c r="J83">
        <v>-0.96225038815589414</v>
      </c>
      <c r="K83">
        <v>1.6991580959176815</v>
      </c>
      <c r="L83">
        <v>2.9416412417049287E-4</v>
      </c>
      <c r="M83">
        <v>-0.16030922497151323</v>
      </c>
      <c r="N83">
        <v>-8.156073194645785</v>
      </c>
      <c r="O83" s="10">
        <v>50</v>
      </c>
      <c r="P83" s="10" t="s">
        <v>53</v>
      </c>
      <c r="Q83" s="10" t="s">
        <v>33</v>
      </c>
      <c r="R83" s="10" t="s">
        <v>0</v>
      </c>
      <c r="S83">
        <v>0</v>
      </c>
      <c r="T83">
        <v>1.2651583819646648E-2</v>
      </c>
      <c r="U83">
        <v>1.6849617904016426E-3</v>
      </c>
      <c r="V83">
        <v>-1.7100898922462167E-3</v>
      </c>
      <c r="W83">
        <v>1.4397753523147678E-4</v>
      </c>
      <c r="X83">
        <v>4.3892587215722144E-3</v>
      </c>
      <c r="Y83">
        <v>0.53323408573090236</v>
      </c>
      <c r="Z83">
        <v>2.1190201442877647E-2</v>
      </c>
    </row>
    <row r="84" spans="1:26" x14ac:dyDescent="0.3">
      <c r="A84" s="18">
        <v>45917</v>
      </c>
      <c r="B84">
        <v>516.25</v>
      </c>
      <c r="C84" t="s">
        <v>52</v>
      </c>
      <c r="D84" s="18">
        <v>45961</v>
      </c>
      <c r="E84">
        <v>3.9453999999999996E-2</v>
      </c>
      <c r="F84">
        <v>6658.75</v>
      </c>
      <c r="G84">
        <v>7175</v>
      </c>
      <c r="H84" t="s">
        <v>2</v>
      </c>
      <c r="I84">
        <v>0.1095440985852964</v>
      </c>
      <c r="J84">
        <v>-0.96944656966115872</v>
      </c>
      <c r="K84">
        <v>1.3930328531330929</v>
      </c>
      <c r="L84">
        <v>2.3682787286816165E-4</v>
      </c>
      <c r="M84">
        <v>-0.11400499881960968</v>
      </c>
      <c r="N84">
        <v>-8.4039114753275328</v>
      </c>
      <c r="O84" s="10">
        <v>50</v>
      </c>
      <c r="P84" s="10" t="s">
        <v>53</v>
      </c>
      <c r="Q84" s="10" t="s">
        <v>33</v>
      </c>
      <c r="R84" s="10" t="s">
        <v>0</v>
      </c>
      <c r="S84">
        <v>0</v>
      </c>
      <c r="T84">
        <v>1.0853530543625398E-2</v>
      </c>
      <c r="U84">
        <v>1.8560550461985987E-3</v>
      </c>
      <c r="V84">
        <v>-1.4558589658046361E-3</v>
      </c>
      <c r="W84">
        <v>1.2106424198071836E-4</v>
      </c>
      <c r="X84">
        <v>4.1087044686986176E-3</v>
      </c>
      <c r="Y84">
        <v>0.48786473693522803</v>
      </c>
      <c r="Z84">
        <v>3.8022291626963661E-2</v>
      </c>
    </row>
    <row r="85" spans="1:26" x14ac:dyDescent="0.3">
      <c r="A85" s="18">
        <v>45916</v>
      </c>
      <c r="B85">
        <v>507.75</v>
      </c>
      <c r="C85" t="s">
        <v>52</v>
      </c>
      <c r="D85" s="18">
        <v>45961</v>
      </c>
      <c r="E85">
        <v>3.9574999999999999E-2</v>
      </c>
      <c r="F85">
        <v>6667.5</v>
      </c>
      <c r="G85">
        <v>7175</v>
      </c>
      <c r="H85" t="s">
        <v>2</v>
      </c>
      <c r="I85">
        <v>0.10855803030204041</v>
      </c>
      <c r="J85">
        <v>-0.96691131865611624</v>
      </c>
      <c r="K85">
        <v>1.5184793195973612</v>
      </c>
      <c r="L85">
        <v>2.5426800220884616E-4</v>
      </c>
      <c r="M85">
        <v>-0.12468100764499468</v>
      </c>
      <c r="N85">
        <v>-8.5740320865610045</v>
      </c>
      <c r="O85" s="10">
        <v>50</v>
      </c>
      <c r="P85" s="10" t="s">
        <v>53</v>
      </c>
      <c r="Q85" s="10" t="s">
        <v>33</v>
      </c>
      <c r="R85" s="10" t="s">
        <v>0</v>
      </c>
      <c r="S85">
        <v>0</v>
      </c>
      <c r="T85">
        <v>1.1569414795472672E-2</v>
      </c>
      <c r="U85">
        <v>1.8363261266641988E-3</v>
      </c>
      <c r="V85">
        <v>-1.500340230754548E-3</v>
      </c>
      <c r="W85">
        <v>1.2710564370361929E-4</v>
      </c>
      <c r="X85">
        <v>4.2218573229612201E-3</v>
      </c>
      <c r="Y85">
        <v>0.51610302838394406</v>
      </c>
      <c r="Z85">
        <v>3.342444715033592E-2</v>
      </c>
    </row>
    <row r="86" spans="1:26" x14ac:dyDescent="0.3">
      <c r="A86" s="18">
        <v>45915</v>
      </c>
      <c r="B86">
        <v>496.5</v>
      </c>
      <c r="C86" t="s">
        <v>52</v>
      </c>
      <c r="D86" s="18">
        <v>45961</v>
      </c>
      <c r="E86">
        <v>3.9634000000000003E-2</v>
      </c>
      <c r="F86">
        <v>6679.25</v>
      </c>
      <c r="G86">
        <v>7175</v>
      </c>
      <c r="H86" t="s">
        <v>2</v>
      </c>
      <c r="I86">
        <v>0.1082600249311436</v>
      </c>
      <c r="J86">
        <v>-0.96256692009717426</v>
      </c>
      <c r="K86">
        <v>1.724216034965167</v>
      </c>
      <c r="L86">
        <v>2.8260217277420452E-4</v>
      </c>
      <c r="M86">
        <v>-0.14578076937380047</v>
      </c>
      <c r="N86">
        <v>-8.7281158249131749</v>
      </c>
      <c r="O86" s="10">
        <v>50</v>
      </c>
      <c r="P86" s="10" t="s">
        <v>53</v>
      </c>
      <c r="Q86" s="10" t="s">
        <v>33</v>
      </c>
      <c r="R86" s="10" t="s">
        <v>0</v>
      </c>
      <c r="S86">
        <v>0</v>
      </c>
      <c r="T86">
        <v>1.2612076365251763E-2</v>
      </c>
      <c r="U86">
        <v>1.736434121020491E-3</v>
      </c>
      <c r="V86">
        <v>-1.5886343009490793E-3</v>
      </c>
      <c r="W86">
        <v>1.3557070325804935E-4</v>
      </c>
      <c r="X86">
        <v>4.3067570630221236E-3</v>
      </c>
      <c r="Y86">
        <v>0.55136380005944652</v>
      </c>
      <c r="Z86">
        <v>2.3920690140310733E-2</v>
      </c>
    </row>
    <row r="87" spans="1:26" x14ac:dyDescent="0.3">
      <c r="A87" s="18">
        <v>45912</v>
      </c>
      <c r="B87">
        <v>529.5</v>
      </c>
      <c r="C87" t="s">
        <v>52</v>
      </c>
      <c r="D87" s="18">
        <v>45961</v>
      </c>
      <c r="E87">
        <v>3.9667000000000001E-2</v>
      </c>
      <c r="F87">
        <v>6645</v>
      </c>
      <c r="G87">
        <v>7175</v>
      </c>
      <c r="H87" t="s">
        <v>2</v>
      </c>
      <c r="I87">
        <v>0.10528518707169399</v>
      </c>
      <c r="J87">
        <v>-0.97039801393066227</v>
      </c>
      <c r="K87">
        <v>1.3957985029780389</v>
      </c>
      <c r="L87">
        <v>2.2237827579374425E-4</v>
      </c>
      <c r="M87">
        <v>-8.9307195621131541E-2</v>
      </c>
      <c r="N87">
        <v>-9.3672551256482279</v>
      </c>
      <c r="O87" s="10">
        <v>50</v>
      </c>
      <c r="P87" s="10" t="s">
        <v>53</v>
      </c>
      <c r="Q87" s="10" t="s">
        <v>33</v>
      </c>
      <c r="R87" s="10" t="s">
        <v>0</v>
      </c>
      <c r="S87">
        <v>0</v>
      </c>
      <c r="T87">
        <v>1.0874476143160783E-2</v>
      </c>
      <c r="U87">
        <v>2.0409267293837467E-3</v>
      </c>
      <c r="V87">
        <v>-1.273746660744758E-3</v>
      </c>
      <c r="W87">
        <v>1.1355877137693033E-4</v>
      </c>
      <c r="X87">
        <v>4.1498029155237551E-3</v>
      </c>
      <c r="Y87">
        <v>0.52157337969289419</v>
      </c>
      <c r="Z87">
        <v>4.7379952540995043E-2</v>
      </c>
    </row>
    <row r="88" spans="1:26" x14ac:dyDescent="0.3">
      <c r="A88" s="18">
        <v>45911</v>
      </c>
      <c r="B88">
        <v>527</v>
      </c>
      <c r="C88" t="s">
        <v>52</v>
      </c>
      <c r="D88" s="18">
        <v>45961</v>
      </c>
      <c r="E88">
        <v>3.9553999999999999E-2</v>
      </c>
      <c r="F88">
        <v>6647.5</v>
      </c>
      <c r="G88">
        <v>7175</v>
      </c>
      <c r="H88" t="s">
        <v>2</v>
      </c>
      <c r="I88">
        <v>0.10404743034262004</v>
      </c>
      <c r="J88">
        <v>-0.9699462055721142</v>
      </c>
      <c r="K88">
        <v>1.4278849564938128</v>
      </c>
      <c r="L88">
        <v>2.2542167243955191E-4</v>
      </c>
      <c r="M88">
        <v>-8.8453246025437693E-2</v>
      </c>
      <c r="N88">
        <v>-9.5541970226182116</v>
      </c>
      <c r="O88" s="10">
        <v>50</v>
      </c>
      <c r="P88" s="10" t="s">
        <v>53</v>
      </c>
      <c r="Q88" s="10" t="s">
        <v>33</v>
      </c>
      <c r="R88" s="10" t="s">
        <v>0</v>
      </c>
      <c r="S88">
        <v>0</v>
      </c>
      <c r="T88">
        <v>1.1104704201223597E-2</v>
      </c>
      <c r="U88">
        <v>2.0821067995422946E-3</v>
      </c>
      <c r="V88">
        <v>-1.260526216895753E-3</v>
      </c>
      <c r="W88">
        <v>1.1494911123966199E-4</v>
      </c>
      <c r="X88">
        <v>4.2222389331517405E-3</v>
      </c>
      <c r="Y88">
        <v>0.53650412471431674</v>
      </c>
      <c r="Z88">
        <v>4.8018672421797262E-2</v>
      </c>
    </row>
    <row r="89" spans="1:26" x14ac:dyDescent="0.3">
      <c r="A89" s="18">
        <v>45910</v>
      </c>
      <c r="B89">
        <v>578.5</v>
      </c>
      <c r="C89" t="s">
        <v>52</v>
      </c>
      <c r="D89" s="18">
        <v>45961</v>
      </c>
      <c r="E89">
        <v>3.9921000000000005E-2</v>
      </c>
      <c r="F89">
        <v>6594.5</v>
      </c>
      <c r="G89">
        <v>7175</v>
      </c>
      <c r="H89" t="s">
        <v>2</v>
      </c>
      <c r="I89">
        <v>0.1020014542260257</v>
      </c>
      <c r="J89">
        <v>-0.9803860587339841</v>
      </c>
      <c r="K89">
        <v>0.89487900155660327</v>
      </c>
      <c r="L89">
        <v>1.4228135114535689E-4</v>
      </c>
      <c r="M89">
        <v>-2.3227493395324927E-2</v>
      </c>
      <c r="N89">
        <v>-9.8416646780689803</v>
      </c>
      <c r="O89" s="10">
        <v>50</v>
      </c>
      <c r="P89" s="10" t="s">
        <v>53</v>
      </c>
      <c r="Q89" s="10" t="s">
        <v>33</v>
      </c>
      <c r="R89" s="10" t="s">
        <v>0</v>
      </c>
      <c r="S89">
        <v>0</v>
      </c>
      <c r="T89">
        <v>7.826960687658719E-3</v>
      </c>
      <c r="U89">
        <v>2.2351423682065094E-3</v>
      </c>
      <c r="V89">
        <v>-8.8993460268783084E-4</v>
      </c>
      <c r="W89">
        <v>8.1854762602534363E-5</v>
      </c>
      <c r="X89">
        <v>3.5833477971027182E-3</v>
      </c>
      <c r="Y89">
        <v>0.42323566662299755</v>
      </c>
      <c r="Z89">
        <v>7.8648962541508008E-2</v>
      </c>
    </row>
    <row r="90" spans="1:26" x14ac:dyDescent="0.3">
      <c r="A90" s="18">
        <v>45909</v>
      </c>
      <c r="B90">
        <v>596</v>
      </c>
      <c r="C90" t="s">
        <v>52</v>
      </c>
      <c r="D90" s="18">
        <v>45961</v>
      </c>
      <c r="E90">
        <v>4.0023000000000003E-2</v>
      </c>
      <c r="F90">
        <v>6576.5</v>
      </c>
      <c r="G90">
        <v>7175</v>
      </c>
      <c r="H90" t="s">
        <v>2</v>
      </c>
      <c r="I90">
        <v>9.9717587389584722E-2</v>
      </c>
      <c r="J90">
        <v>-0.98351896778012815</v>
      </c>
      <c r="K90">
        <v>0.72156550743090975</v>
      </c>
      <c r="L90">
        <v>1.1501242624945007E-4</v>
      </c>
      <c r="M90">
        <v>-9.9185362489606632E-4</v>
      </c>
      <c r="N90">
        <v>-10.063800661865002</v>
      </c>
      <c r="O90" s="10">
        <v>50</v>
      </c>
      <c r="P90" s="10" t="s">
        <v>53</v>
      </c>
      <c r="Q90" s="10" t="s">
        <v>33</v>
      </c>
      <c r="R90" s="10" t="s">
        <v>0</v>
      </c>
      <c r="S90">
        <v>0</v>
      </c>
      <c r="T90">
        <v>6.6607183004100705E-3</v>
      </c>
      <c r="U90">
        <v>2.2517335522739385E-3</v>
      </c>
      <c r="V90">
        <v>-7.4648983651664071E-4</v>
      </c>
      <c r="W90">
        <v>7.0142355678347133E-5</v>
      </c>
      <c r="X90">
        <v>3.3034435557348181E-3</v>
      </c>
      <c r="Y90">
        <v>0.37950408822141307</v>
      </c>
      <c r="Z90">
        <v>8.9613836715604578E-2</v>
      </c>
    </row>
    <row r="91" spans="1:26" x14ac:dyDescent="0.3">
      <c r="A91" s="18">
        <v>45908</v>
      </c>
      <c r="B91">
        <v>611.75</v>
      </c>
      <c r="C91" t="s">
        <v>52</v>
      </c>
      <c r="D91" s="18">
        <v>45961</v>
      </c>
      <c r="E91">
        <v>3.9925999999999996E-2</v>
      </c>
      <c r="F91">
        <v>6560.5</v>
      </c>
      <c r="G91">
        <v>7175</v>
      </c>
      <c r="H91" t="s">
        <v>2</v>
      </c>
      <c r="I91">
        <v>9.9697306351064691E-2</v>
      </c>
      <c r="J91">
        <v>-0.9845766398257183</v>
      </c>
      <c r="K91">
        <v>0.66022821485319128</v>
      </c>
      <c r="L91">
        <v>1.035118657455314E-4</v>
      </c>
      <c r="M91">
        <v>7.5545898064319772E-3</v>
      </c>
      <c r="N91">
        <v>-10.267439863106233</v>
      </c>
      <c r="O91" s="10">
        <v>50</v>
      </c>
      <c r="P91" s="10" t="s">
        <v>53</v>
      </c>
      <c r="Q91" s="10" t="s">
        <v>33</v>
      </c>
      <c r="R91" s="10" t="s">
        <v>0</v>
      </c>
      <c r="S91">
        <v>0</v>
      </c>
      <c r="T91">
        <v>6.1480501708019884E-3</v>
      </c>
      <c r="U91">
        <v>2.2015977479150021E-3</v>
      </c>
      <c r="V91">
        <v>-6.8594829265129895E-4</v>
      </c>
      <c r="W91">
        <v>6.3699094334949115E-5</v>
      </c>
      <c r="X91">
        <v>3.1021300471692731E-3</v>
      </c>
      <c r="Y91">
        <v>0.35931374559696272</v>
      </c>
      <c r="Z91">
        <v>9.2042998148796282E-2</v>
      </c>
    </row>
    <row r="92" spans="1:26" x14ac:dyDescent="0.3">
      <c r="A92" s="18">
        <v>45905</v>
      </c>
      <c r="B92">
        <v>627.5</v>
      </c>
      <c r="C92" t="s">
        <v>52</v>
      </c>
      <c r="D92" s="18">
        <v>45961</v>
      </c>
      <c r="E92">
        <v>4.0140000000000002E-2</v>
      </c>
      <c r="F92">
        <v>6544.5</v>
      </c>
      <c r="G92">
        <v>7175</v>
      </c>
      <c r="H92" t="s">
        <v>2</v>
      </c>
      <c r="I92">
        <v>0.10034866094563571</v>
      </c>
      <c r="J92">
        <v>-0.9837629154503702</v>
      </c>
      <c r="K92">
        <v>0.70384958022913224</v>
      </c>
      <c r="L92">
        <v>1.0441453923704103E-4</v>
      </c>
      <c r="M92">
        <v>8.5510460475006767E-3</v>
      </c>
      <c r="N92">
        <v>-10.840429890865948</v>
      </c>
      <c r="O92" s="10">
        <v>50</v>
      </c>
      <c r="P92" s="10" t="s">
        <v>53</v>
      </c>
      <c r="Q92" s="10" t="s">
        <v>33</v>
      </c>
      <c r="R92" s="10" t="s">
        <v>0</v>
      </c>
      <c r="S92">
        <v>0</v>
      </c>
      <c r="T92">
        <v>6.3155976458770698E-3</v>
      </c>
      <c r="U92">
        <v>2.1977867165115426E-3</v>
      </c>
      <c r="V92">
        <v>-6.740456886771771E-4</v>
      </c>
      <c r="W92">
        <v>6.1636242982083229E-5</v>
      </c>
      <c r="X92">
        <v>3.0474198409983048E-3</v>
      </c>
      <c r="Y92">
        <v>0.37566377078217511</v>
      </c>
      <c r="Z92">
        <v>9.265854350300462E-2</v>
      </c>
    </row>
    <row r="93" spans="1:26" x14ac:dyDescent="0.3">
      <c r="A93" s="18">
        <v>45904</v>
      </c>
      <c r="B93">
        <v>605.5</v>
      </c>
      <c r="C93" t="s">
        <v>52</v>
      </c>
      <c r="D93" s="18">
        <v>45961</v>
      </c>
      <c r="E93">
        <v>4.0605000000000002E-2</v>
      </c>
      <c r="F93">
        <v>6566.75</v>
      </c>
      <c r="G93">
        <v>7175</v>
      </c>
      <c r="H93" t="s">
        <v>2</v>
      </c>
      <c r="I93">
        <v>9.912784194658586E-2</v>
      </c>
      <c r="J93">
        <v>-0.98126953229780156</v>
      </c>
      <c r="K93">
        <v>0.84895851796653687</v>
      </c>
      <c r="L93">
        <v>1.2489749678934459E-4</v>
      </c>
      <c r="M93">
        <v>-3.8315867196843101E-3</v>
      </c>
      <c r="N93">
        <v>-11.008232692806985</v>
      </c>
      <c r="O93" s="10">
        <v>50</v>
      </c>
      <c r="P93" s="10" t="s">
        <v>53</v>
      </c>
      <c r="Q93" s="10" t="s">
        <v>33</v>
      </c>
      <c r="R93" s="10" t="s">
        <v>0</v>
      </c>
      <c r="S93">
        <v>0</v>
      </c>
      <c r="T93">
        <v>7.392673117415309E-3</v>
      </c>
      <c r="U93">
        <v>2.3346250614357774E-3</v>
      </c>
      <c r="V93">
        <v>-7.5198720157446618E-4</v>
      </c>
      <c r="W93">
        <v>7.1474309981620031E-5</v>
      </c>
      <c r="X93">
        <v>3.4032467382046428E-3</v>
      </c>
      <c r="Y93">
        <v>0.4300631934992184</v>
      </c>
      <c r="Z93">
        <v>9.1672239888869717E-2</v>
      </c>
    </row>
    <row r="94" spans="1:26" x14ac:dyDescent="0.3">
      <c r="A94" s="18">
        <v>45903</v>
      </c>
      <c r="B94">
        <v>658.75</v>
      </c>
      <c r="C94" t="s">
        <v>52</v>
      </c>
      <c r="D94" s="18">
        <v>45961</v>
      </c>
      <c r="E94">
        <v>4.0839E-2</v>
      </c>
      <c r="F94">
        <v>6512.75</v>
      </c>
      <c r="G94">
        <v>7175</v>
      </c>
      <c r="H94" t="s">
        <v>2</v>
      </c>
      <c r="I94">
        <v>0.10184480242067777</v>
      </c>
      <c r="J94">
        <v>-0.98457611188678129</v>
      </c>
      <c r="K94">
        <v>0.64313603119222762</v>
      </c>
      <c r="L94">
        <v>9.1463334683794528E-5</v>
      </c>
      <c r="M94">
        <v>1.969899811626874E-2</v>
      </c>
      <c r="N94">
        <v>-11.236042149509785</v>
      </c>
      <c r="O94" s="10">
        <v>50</v>
      </c>
      <c r="P94" s="10" t="s">
        <v>53</v>
      </c>
      <c r="Q94" s="10" t="s">
        <v>33</v>
      </c>
      <c r="R94" s="10" t="s">
        <v>0</v>
      </c>
      <c r="S94">
        <v>0</v>
      </c>
      <c r="T94">
        <v>5.7118498533867941E-3</v>
      </c>
      <c r="U94">
        <v>2.078677550848825E-3</v>
      </c>
      <c r="V94">
        <v>-6.1164660052980208E-4</v>
      </c>
      <c r="W94">
        <v>5.327783939503413E-5</v>
      </c>
      <c r="X94">
        <v>2.742608523119167E-3</v>
      </c>
      <c r="Y94">
        <v>0.35071135597069236</v>
      </c>
      <c r="Z94">
        <v>9.2605192536310235E-2</v>
      </c>
    </row>
    <row r="95" spans="1:26" x14ac:dyDescent="0.3">
      <c r="A95" s="18">
        <v>45902</v>
      </c>
      <c r="B95">
        <v>690.5</v>
      </c>
      <c r="C95" t="s">
        <v>52</v>
      </c>
      <c r="D95" s="18">
        <v>45961</v>
      </c>
      <c r="E95">
        <v>4.0957999999999994E-2</v>
      </c>
      <c r="F95">
        <v>6480.75</v>
      </c>
      <c r="G95">
        <v>7175</v>
      </c>
      <c r="H95" t="s">
        <v>2</v>
      </c>
      <c r="I95">
        <v>0.10626717574107615</v>
      </c>
      <c r="J95">
        <v>-0.9843375941954946</v>
      </c>
      <c r="K95">
        <v>0.65089674044560297</v>
      </c>
      <c r="L95">
        <v>8.8250544649781659E-5</v>
      </c>
      <c r="M95">
        <v>2.1274878200756575E-2</v>
      </c>
      <c r="N95">
        <v>-11.427671779479738</v>
      </c>
      <c r="O95" s="10">
        <v>50</v>
      </c>
      <c r="P95" s="10" t="s">
        <v>53</v>
      </c>
      <c r="Q95" s="10" t="s">
        <v>33</v>
      </c>
      <c r="R95" s="10" t="s">
        <v>0</v>
      </c>
      <c r="S95">
        <v>0</v>
      </c>
      <c r="T95">
        <v>5.5264979705193038E-3</v>
      </c>
      <c r="U95">
        <v>1.9194462613628567E-3</v>
      </c>
      <c r="V95">
        <v>-6.0815559525055651E-4</v>
      </c>
      <c r="W95">
        <v>4.8761410879942608E-5</v>
      </c>
      <c r="X95">
        <v>2.5151792198898604E-3</v>
      </c>
      <c r="Y95">
        <v>0.33991356084072227</v>
      </c>
      <c r="Z95">
        <v>8.5492096564142736E-2</v>
      </c>
    </row>
    <row r="96" spans="1:26" x14ac:dyDescent="0.3">
      <c r="A96" s="18">
        <v>45898</v>
      </c>
      <c r="B96">
        <v>643.25</v>
      </c>
      <c r="C96" t="s">
        <v>52</v>
      </c>
      <c r="D96" s="18">
        <v>45961</v>
      </c>
      <c r="E96">
        <v>4.1078999999999997E-2</v>
      </c>
      <c r="F96">
        <v>6528.5</v>
      </c>
      <c r="G96">
        <v>7175</v>
      </c>
      <c r="H96" t="s">
        <v>2</v>
      </c>
      <c r="I96">
        <v>0.10220859878140681</v>
      </c>
      <c r="J96">
        <v>-0.97921659777853165</v>
      </c>
      <c r="K96">
        <v>0.96471904833128974</v>
      </c>
      <c r="L96">
        <v>1.263549620489357E-4</v>
      </c>
      <c r="M96">
        <v>-3.4781426440986252E-3</v>
      </c>
      <c r="N96">
        <v>-12.144213112739124</v>
      </c>
      <c r="O96" s="10">
        <v>50</v>
      </c>
      <c r="P96" s="10" t="s">
        <v>53</v>
      </c>
      <c r="Q96" s="10" t="s">
        <v>33</v>
      </c>
      <c r="R96" s="10" t="s">
        <v>0</v>
      </c>
      <c r="S96">
        <v>0</v>
      </c>
      <c r="T96">
        <v>7.6945971907860745E-3</v>
      </c>
      <c r="U96">
        <v>2.230908927776653E-3</v>
      </c>
      <c r="V96">
        <v>-7.3437597214102372E-4</v>
      </c>
      <c r="W96">
        <v>6.5545669176961249E-5</v>
      </c>
      <c r="X96">
        <v>3.183864661194238E-3</v>
      </c>
      <c r="Y96">
        <v>0.45965811105321325</v>
      </c>
      <c r="Z96">
        <v>8.7429930596050989E-2</v>
      </c>
    </row>
    <row r="97" spans="1:26" x14ac:dyDescent="0.3">
      <c r="A97" s="18">
        <v>45897</v>
      </c>
      <c r="B97">
        <v>598.5</v>
      </c>
      <c r="C97" t="s">
        <v>52</v>
      </c>
      <c r="D97" s="18">
        <v>45961</v>
      </c>
      <c r="E97">
        <v>4.1174999999999996E-2</v>
      </c>
      <c r="F97">
        <v>6574</v>
      </c>
      <c r="G97">
        <v>7175</v>
      </c>
      <c r="H97" t="s">
        <v>2</v>
      </c>
      <c r="I97">
        <v>9.9374711039460037E-2</v>
      </c>
      <c r="J97">
        <v>-0.97424553446217033</v>
      </c>
      <c r="K97">
        <v>1.2627859468117322</v>
      </c>
      <c r="L97">
        <v>1.659191184444353E-4</v>
      </c>
      <c r="M97">
        <v>-2.8201393718745749E-2</v>
      </c>
      <c r="N97">
        <v>-12.279256687457519</v>
      </c>
      <c r="O97" s="10">
        <v>50</v>
      </c>
      <c r="P97" s="10" t="s">
        <v>53</v>
      </c>
      <c r="Q97" s="10" t="s">
        <v>33</v>
      </c>
      <c r="R97" s="10" t="s">
        <v>0</v>
      </c>
      <c r="S97">
        <v>0</v>
      </c>
      <c r="T97">
        <v>9.6976796456263586E-3</v>
      </c>
      <c r="U97">
        <v>2.3799050970086774E-3</v>
      </c>
      <c r="V97">
        <v>-8.6279674170596031E-4</v>
      </c>
      <c r="W97">
        <v>8.3000084899190934E-5</v>
      </c>
      <c r="X97">
        <v>3.7531771993245294E-3</v>
      </c>
      <c r="Y97">
        <v>0.55566401925668918</v>
      </c>
      <c r="Z97">
        <v>7.9331474130349952E-2</v>
      </c>
    </row>
    <row r="98" spans="1:26" x14ac:dyDescent="0.3">
      <c r="A98" s="18">
        <v>45896</v>
      </c>
      <c r="B98">
        <v>620.25</v>
      </c>
      <c r="C98" t="s">
        <v>52</v>
      </c>
      <c r="D98" s="18">
        <v>45961</v>
      </c>
      <c r="E98">
        <v>4.122E-2</v>
      </c>
      <c r="F98">
        <v>6552</v>
      </c>
      <c r="G98">
        <v>7175</v>
      </c>
      <c r="H98" t="s">
        <v>2</v>
      </c>
      <c r="I98">
        <v>0.10171210034386542</v>
      </c>
      <c r="J98">
        <v>-0.97472185378819631</v>
      </c>
      <c r="K98">
        <v>1.2336277776845463</v>
      </c>
      <c r="L98">
        <v>1.5698105926276185E-4</v>
      </c>
      <c r="M98">
        <v>-2.4179783649742603E-2</v>
      </c>
      <c r="N98">
        <v>-12.477259321927818</v>
      </c>
      <c r="O98" s="10">
        <v>50</v>
      </c>
      <c r="P98" s="10" t="s">
        <v>53</v>
      </c>
      <c r="Q98" s="10" t="s">
        <v>33</v>
      </c>
      <c r="R98" s="10" t="s">
        <v>0</v>
      </c>
      <c r="S98">
        <v>0</v>
      </c>
      <c r="T98">
        <v>9.2780529646576196E-3</v>
      </c>
      <c r="U98">
        <v>2.2785969132945597E-3</v>
      </c>
      <c r="V98">
        <v>-8.3599238781034214E-4</v>
      </c>
      <c r="W98">
        <v>7.6609194376718806E-5</v>
      </c>
      <c r="X98">
        <v>3.5167944042761383E-3</v>
      </c>
      <c r="Y98">
        <v>0.53736845291463842</v>
      </c>
      <c r="Z98">
        <v>7.8057450349530433E-2</v>
      </c>
    </row>
    <row r="99" spans="1:26" x14ac:dyDescent="0.3">
      <c r="A99" s="18">
        <v>45895</v>
      </c>
      <c r="B99">
        <v>633.5</v>
      </c>
      <c r="C99" t="s">
        <v>52</v>
      </c>
      <c r="D99" s="18">
        <v>45961</v>
      </c>
      <c r="E99">
        <v>4.1289999999999993E-2</v>
      </c>
      <c r="F99">
        <v>6538.5</v>
      </c>
      <c r="G99">
        <v>7175</v>
      </c>
      <c r="H99" t="s">
        <v>2</v>
      </c>
      <c r="I99">
        <v>0.1023106083003102</v>
      </c>
      <c r="J99">
        <v>-0.97541051340499507</v>
      </c>
      <c r="K99">
        <v>1.1931713902118872</v>
      </c>
      <c r="L99">
        <v>1.4916281543264631E-4</v>
      </c>
      <c r="M99">
        <v>-1.855210493931736E-2</v>
      </c>
      <c r="N99">
        <v>-12.677533311480943</v>
      </c>
      <c r="O99" s="10">
        <v>50</v>
      </c>
      <c r="P99" s="10" t="s">
        <v>53</v>
      </c>
      <c r="Q99" s="10" t="s">
        <v>33</v>
      </c>
      <c r="R99" s="10" t="s">
        <v>0</v>
      </c>
      <c r="S99">
        <v>0</v>
      </c>
      <c r="T99">
        <v>8.9461987129018754E-3</v>
      </c>
      <c r="U99">
        <v>2.2550587923557512E-3</v>
      </c>
      <c r="V99">
        <v>-8.0374394130099363E-4</v>
      </c>
      <c r="W99">
        <v>7.2466880498520266E-5</v>
      </c>
      <c r="X99">
        <v>3.3926834624708091E-3</v>
      </c>
      <c r="Y99">
        <v>0.52570384871862441</v>
      </c>
      <c r="Z99">
        <v>8.0072774952663392E-2</v>
      </c>
    </row>
    <row r="100" spans="1:26" x14ac:dyDescent="0.3">
      <c r="A100" s="18">
        <v>45894</v>
      </c>
      <c r="B100">
        <v>660.25</v>
      </c>
      <c r="C100" t="s">
        <v>52</v>
      </c>
      <c r="D100" s="18">
        <v>45961</v>
      </c>
      <c r="E100">
        <v>4.1439000000000004E-2</v>
      </c>
      <c r="F100">
        <v>6511.25</v>
      </c>
      <c r="G100">
        <v>7175</v>
      </c>
      <c r="H100" t="s">
        <v>2</v>
      </c>
      <c r="I100">
        <v>0.10362929530424433</v>
      </c>
      <c r="J100">
        <v>-0.97731078548690675</v>
      </c>
      <c r="K100">
        <v>1.0760726075641855</v>
      </c>
      <c r="L100">
        <v>1.3169369594834279E-4</v>
      </c>
      <c r="M100">
        <v>-6.0208456889085937E-3</v>
      </c>
      <c r="N100">
        <v>-12.892670638907816</v>
      </c>
      <c r="O100" s="10">
        <v>50</v>
      </c>
      <c r="P100" s="10" t="s">
        <v>53</v>
      </c>
      <c r="Q100" s="10" t="s">
        <v>33</v>
      </c>
      <c r="R100" s="10" t="s">
        <v>0</v>
      </c>
      <c r="S100">
        <v>0</v>
      </c>
      <c r="T100">
        <v>8.1137270414384441E-3</v>
      </c>
      <c r="U100">
        <v>2.1920335607134673E-3</v>
      </c>
      <c r="V100">
        <v>-7.384330404640666E-4</v>
      </c>
      <c r="W100">
        <v>6.4190655129907484E-5</v>
      </c>
      <c r="X100">
        <v>3.1274176492240985E-3</v>
      </c>
      <c r="Y100">
        <v>0.48984746164613491</v>
      </c>
      <c r="Z100">
        <v>8.4099972370967155E-2</v>
      </c>
    </row>
    <row r="101" spans="1:26" x14ac:dyDescent="0.3">
      <c r="A101" s="18">
        <v>45891</v>
      </c>
      <c r="B101">
        <v>633.25</v>
      </c>
      <c r="C101" t="s">
        <v>52</v>
      </c>
      <c r="D101" s="18">
        <v>45961</v>
      </c>
      <c r="E101">
        <v>4.1464999999999995E-2</v>
      </c>
      <c r="F101">
        <v>6539</v>
      </c>
      <c r="G101">
        <v>7175</v>
      </c>
      <c r="H101" t="s">
        <v>2</v>
      </c>
      <c r="I101">
        <v>0.10342785546377983</v>
      </c>
      <c r="J101">
        <v>-0.97089684150546418</v>
      </c>
      <c r="K101">
        <v>1.4653074864220343</v>
      </c>
      <c r="L101">
        <v>1.7140905583801214E-4</v>
      </c>
      <c r="M101">
        <v>-3.424466499279788E-2</v>
      </c>
      <c r="N101">
        <v>-13.389661692106472</v>
      </c>
      <c r="O101" s="10">
        <v>50</v>
      </c>
      <c r="P101" s="10" t="s">
        <v>53</v>
      </c>
      <c r="Q101" s="10" t="s">
        <v>33</v>
      </c>
      <c r="R101" s="10" t="s">
        <v>0</v>
      </c>
      <c r="S101">
        <v>0</v>
      </c>
      <c r="T101">
        <v>1.0170417316630766E-2</v>
      </c>
      <c r="U101">
        <v>2.183754921316736E-3</v>
      </c>
      <c r="V101">
        <v>-8.6165686420959172E-4</v>
      </c>
      <c r="W101">
        <v>7.6698216114174967E-5</v>
      </c>
      <c r="X101">
        <v>3.4668269819122478E-3</v>
      </c>
      <c r="Y101">
        <v>0.59022953345594953</v>
      </c>
      <c r="Z101">
        <v>6.8389720789546887E-2</v>
      </c>
    </row>
    <row r="102" spans="1:26" x14ac:dyDescent="0.3">
      <c r="A102" s="18">
        <v>45890</v>
      </c>
      <c r="B102">
        <v>726.75</v>
      </c>
      <c r="C102" t="s">
        <v>52</v>
      </c>
      <c r="D102" s="18">
        <v>45961</v>
      </c>
      <c r="E102">
        <v>4.1715999999999996E-2</v>
      </c>
      <c r="F102">
        <v>6443.5</v>
      </c>
      <c r="G102">
        <v>7175</v>
      </c>
      <c r="H102" t="s">
        <v>2</v>
      </c>
      <c r="I102">
        <v>0.10609302322227113</v>
      </c>
      <c r="J102">
        <v>-0.9805481782507286</v>
      </c>
      <c r="K102">
        <v>0.86116066219460663</v>
      </c>
      <c r="L102">
        <v>9.8742702903109603E-5</v>
      </c>
      <c r="M102">
        <v>2.0794087184754062E-2</v>
      </c>
      <c r="N102">
        <v>-13.703570913883311</v>
      </c>
      <c r="O102" s="10">
        <v>50</v>
      </c>
      <c r="P102" s="10" t="s">
        <v>53</v>
      </c>
      <c r="Q102" s="10" t="s">
        <v>33</v>
      </c>
      <c r="R102" s="10" t="s">
        <v>0</v>
      </c>
      <c r="S102">
        <v>0</v>
      </c>
      <c r="T102">
        <v>6.5149170908461625E-3</v>
      </c>
      <c r="U102">
        <v>2.0269078821117531E-3</v>
      </c>
      <c r="V102">
        <v>-5.9881883891000427E-4</v>
      </c>
      <c r="W102">
        <v>4.8005570721101995E-5</v>
      </c>
      <c r="X102">
        <v>2.5673205424933138E-3</v>
      </c>
      <c r="Y102">
        <v>0.42114638815128547</v>
      </c>
      <c r="Z102">
        <v>9.0513685652664072E-2</v>
      </c>
    </row>
    <row r="103" spans="1:26" x14ac:dyDescent="0.3">
      <c r="A103" s="18">
        <v>45889</v>
      </c>
      <c r="B103">
        <v>702.75</v>
      </c>
      <c r="C103" t="s">
        <v>52</v>
      </c>
      <c r="D103" s="18">
        <v>45961</v>
      </c>
      <c r="E103">
        <v>4.1529999999999997E-2</v>
      </c>
      <c r="F103">
        <v>6468.25</v>
      </c>
      <c r="G103">
        <v>7175</v>
      </c>
      <c r="H103" t="s">
        <v>2</v>
      </c>
      <c r="I103">
        <v>0.10801827691333643</v>
      </c>
      <c r="J103">
        <v>-0.97569480225274674</v>
      </c>
      <c r="K103">
        <v>1.1704721278949819</v>
      </c>
      <c r="L103">
        <v>1.2985992725589313E-4</v>
      </c>
      <c r="M103">
        <v>-5.768974138163685E-3</v>
      </c>
      <c r="N103">
        <v>-13.835123475005844</v>
      </c>
      <c r="O103" s="10">
        <v>50</v>
      </c>
      <c r="P103" s="10" t="s">
        <v>53</v>
      </c>
      <c r="Q103" s="10" t="s">
        <v>33</v>
      </c>
      <c r="R103" s="10" t="s">
        <v>0</v>
      </c>
      <c r="S103">
        <v>0</v>
      </c>
      <c r="T103">
        <v>8.1524109806967136E-3</v>
      </c>
      <c r="U103">
        <v>2.0327334042507259E-3</v>
      </c>
      <c r="V103">
        <v>-7.2254965294435674E-4</v>
      </c>
      <c r="W103">
        <v>5.7852557296382715E-5</v>
      </c>
      <c r="X103">
        <v>2.8546744721102669E-3</v>
      </c>
      <c r="Y103">
        <v>0.50060577574334464</v>
      </c>
      <c r="Z103">
        <v>7.7437001666144367E-2</v>
      </c>
    </row>
    <row r="104" spans="1:26" x14ac:dyDescent="0.3">
      <c r="A104" s="18">
        <v>45888</v>
      </c>
      <c r="B104">
        <v>683.75</v>
      </c>
      <c r="C104" t="s">
        <v>52</v>
      </c>
      <c r="D104" s="18">
        <v>45961</v>
      </c>
      <c r="E104">
        <v>4.1524999999999999E-2</v>
      </c>
      <c r="F104">
        <v>6487.25</v>
      </c>
      <c r="G104">
        <v>7175</v>
      </c>
      <c r="H104" t="s">
        <v>2</v>
      </c>
      <c r="I104">
        <v>0.1039788614689123</v>
      </c>
      <c r="J104">
        <v>-0.97583281394122423</v>
      </c>
      <c r="K104">
        <v>1.1676088192680254</v>
      </c>
      <c r="L104">
        <v>1.3179146662878338E-4</v>
      </c>
      <c r="M104">
        <v>-3.3231625601501946E-3</v>
      </c>
      <c r="N104">
        <v>-14.028118610744457</v>
      </c>
      <c r="O104" s="10">
        <v>50</v>
      </c>
      <c r="P104" s="10" t="s">
        <v>53</v>
      </c>
      <c r="Q104" s="10" t="s">
        <v>33</v>
      </c>
      <c r="R104" s="10" t="s">
        <v>0</v>
      </c>
      <c r="S104">
        <v>0</v>
      </c>
      <c r="T104">
        <v>8.3746248556431438E-3</v>
      </c>
      <c r="U104">
        <v>2.1877445566063115E-3</v>
      </c>
      <c r="V104">
        <v>-7.0744506035136498E-4</v>
      </c>
      <c r="W104">
        <v>6.0758869268598885E-5</v>
      </c>
      <c r="X104">
        <v>3.0384088103732991E-3</v>
      </c>
      <c r="Y104">
        <v>0.5208366725553496</v>
      </c>
      <c r="Z104">
        <v>8.4883536694818934E-2</v>
      </c>
    </row>
    <row r="105" spans="1:26" x14ac:dyDescent="0.3">
      <c r="A105" s="18">
        <v>45887</v>
      </c>
      <c r="B105">
        <v>647.75</v>
      </c>
      <c r="C105" t="s">
        <v>52</v>
      </c>
      <c r="D105" s="18">
        <v>45961</v>
      </c>
      <c r="E105">
        <v>4.1693000000000001E-2</v>
      </c>
      <c r="F105">
        <v>6524.5</v>
      </c>
      <c r="G105">
        <v>7175</v>
      </c>
      <c r="H105" t="s">
        <v>2</v>
      </c>
      <c r="I105">
        <v>0.10546702452705016</v>
      </c>
      <c r="J105">
        <v>-0.96779555865396105</v>
      </c>
      <c r="K105">
        <v>1.6545312841835198</v>
      </c>
      <c r="L105">
        <v>1.8067112250719219E-4</v>
      </c>
      <c r="M105">
        <v>-4.2017584972995792E-2</v>
      </c>
      <c r="N105">
        <v>-14.114583070491847</v>
      </c>
      <c r="O105" s="10">
        <v>50</v>
      </c>
      <c r="P105" s="10" t="s">
        <v>53</v>
      </c>
      <c r="Q105" s="10" t="s">
        <v>33</v>
      </c>
      <c r="R105" s="10" t="s">
        <v>0</v>
      </c>
      <c r="S105">
        <v>0</v>
      </c>
      <c r="T105">
        <v>1.0748560391162107E-2</v>
      </c>
      <c r="U105">
        <v>2.0669232368215103E-3</v>
      </c>
      <c r="V105">
        <v>-8.7650733693757875E-4</v>
      </c>
      <c r="W105">
        <v>7.5238791835418646E-5</v>
      </c>
      <c r="X105">
        <v>3.3583308365987617E-3</v>
      </c>
      <c r="Y105">
        <v>0.62444863483148338</v>
      </c>
      <c r="Z105">
        <v>5.9450280970813917E-2</v>
      </c>
    </row>
    <row r="106" spans="1:26" x14ac:dyDescent="0.3">
      <c r="A106" s="18">
        <v>45884</v>
      </c>
      <c r="B106">
        <v>646.5</v>
      </c>
      <c r="C106" t="s">
        <v>52</v>
      </c>
      <c r="D106" s="18">
        <v>45961</v>
      </c>
      <c r="E106">
        <v>4.1639999999999996E-2</v>
      </c>
      <c r="F106">
        <v>6526.5</v>
      </c>
      <c r="G106">
        <v>7175</v>
      </c>
      <c r="H106" t="s">
        <v>2</v>
      </c>
      <c r="I106">
        <v>0.10822863951647357</v>
      </c>
      <c r="J106">
        <v>-0.96152023321565139</v>
      </c>
      <c r="K106">
        <v>2.0282887434752297</v>
      </c>
      <c r="L106">
        <v>2.0787638277397491E-4</v>
      </c>
      <c r="M106">
        <v>-6.7113408712316414E-2</v>
      </c>
      <c r="N106">
        <v>-14.60178424784749</v>
      </c>
      <c r="O106" s="10">
        <v>50</v>
      </c>
      <c r="P106" s="10" t="s">
        <v>53</v>
      </c>
      <c r="Q106" s="10" t="s">
        <v>33</v>
      </c>
      <c r="R106" s="10" t="s">
        <v>0</v>
      </c>
      <c r="S106">
        <v>0</v>
      </c>
      <c r="T106">
        <v>1.202977511427151E-2</v>
      </c>
      <c r="U106">
        <v>1.8415993086835635E-3</v>
      </c>
      <c r="V106">
        <v>-9.5512492935080856E-4</v>
      </c>
      <c r="W106">
        <v>7.8651683767077589E-5</v>
      </c>
      <c r="X106">
        <v>3.2981382650301263E-3</v>
      </c>
      <c r="Y106">
        <v>0.67825131816091799</v>
      </c>
      <c r="Z106">
        <v>3.9506633055337713E-2</v>
      </c>
    </row>
    <row r="107" spans="1:26" x14ac:dyDescent="0.3">
      <c r="A107" s="18">
        <v>45883</v>
      </c>
      <c r="B107">
        <v>627.75</v>
      </c>
      <c r="C107" t="s">
        <v>52</v>
      </c>
      <c r="D107" s="18">
        <v>45961</v>
      </c>
      <c r="E107">
        <v>4.1513000000000001E-2</v>
      </c>
      <c r="F107">
        <v>6545.5</v>
      </c>
      <c r="G107">
        <v>7175</v>
      </c>
      <c r="H107" t="s">
        <v>2</v>
      </c>
      <c r="I107">
        <v>0.10541496960542257</v>
      </c>
      <c r="J107">
        <v>-0.960000629413571</v>
      </c>
      <c r="K107">
        <v>2.1280314346819296</v>
      </c>
      <c r="L107">
        <v>2.1983396436553448E-4</v>
      </c>
      <c r="M107">
        <v>-7.0809331488931093E-2</v>
      </c>
      <c r="N107">
        <v>-14.769081870321372</v>
      </c>
      <c r="O107" s="10">
        <v>50</v>
      </c>
      <c r="P107" s="10" t="s">
        <v>53</v>
      </c>
      <c r="Q107" s="10" t="s">
        <v>33</v>
      </c>
      <c r="R107" s="10" t="s">
        <v>0</v>
      </c>
      <c r="S107">
        <v>0</v>
      </c>
      <c r="T107">
        <v>1.2696263462247148E-2</v>
      </c>
      <c r="U107">
        <v>1.8977229498521777E-3</v>
      </c>
      <c r="V107">
        <v>-9.6711842712950483E-4</v>
      </c>
      <c r="W107">
        <v>8.3906798724570959E-5</v>
      </c>
      <c r="X107">
        <v>3.4809323433608926E-3</v>
      </c>
      <c r="Y107">
        <v>0.71453744902898431</v>
      </c>
      <c r="Z107">
        <v>3.7243405259092345E-2</v>
      </c>
    </row>
    <row r="108" spans="1:26" x14ac:dyDescent="0.3">
      <c r="A108" s="18">
        <v>45882</v>
      </c>
      <c r="B108">
        <v>630.25</v>
      </c>
      <c r="C108" t="s">
        <v>52</v>
      </c>
      <c r="D108" s="18">
        <v>45961</v>
      </c>
      <c r="E108">
        <v>4.1361000000000002E-2</v>
      </c>
      <c r="F108">
        <v>6543</v>
      </c>
      <c r="G108">
        <v>7175</v>
      </c>
      <c r="H108" t="s">
        <v>2</v>
      </c>
      <c r="I108">
        <v>0.10545149235548366</v>
      </c>
      <c r="J108">
        <v>-0.95957153395715977</v>
      </c>
      <c r="K108">
        <v>2.1603281711307432</v>
      </c>
      <c r="L108">
        <v>2.2046265257813502E-4</v>
      </c>
      <c r="M108">
        <v>-7.12069725703941E-2</v>
      </c>
      <c r="N108">
        <v>-14.952558714502061</v>
      </c>
      <c r="O108" s="10">
        <v>50</v>
      </c>
      <c r="P108" s="10" t="s">
        <v>53</v>
      </c>
      <c r="Q108" s="10" t="s">
        <v>33</v>
      </c>
      <c r="R108" s="10" t="s">
        <v>0</v>
      </c>
      <c r="S108">
        <v>0</v>
      </c>
      <c r="T108">
        <v>1.2777732095612124E-2</v>
      </c>
      <c r="U108">
        <v>1.887504560965071E-3</v>
      </c>
      <c r="V108">
        <v>-9.6154092179533742E-4</v>
      </c>
      <c r="W108">
        <v>8.3359144401395585E-5</v>
      </c>
      <c r="X108">
        <v>3.4634821648799287E-3</v>
      </c>
      <c r="Y108">
        <v>0.72150023575788913</v>
      </c>
      <c r="Z108">
        <v>3.6349138122756919E-2</v>
      </c>
    </row>
  </sheetData>
  <autoFilter ref="A1:AA108" xr:uid="{6024B8C4-DBF1-4D83-BA7F-9F8C1FB81E37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901"/>
  <sheetViews>
    <sheetView workbookViewId="0">
      <selection activeCell="I3" sqref="I3"/>
    </sheetView>
  </sheetViews>
  <sheetFormatPr defaultRowHeight="14.4" x14ac:dyDescent="0.3"/>
  <cols>
    <col min="1" max="1" width="12.77734375" style="18" customWidth="1"/>
    <col min="2" max="3" width="12.77734375" customWidth="1"/>
    <col min="4" max="4" width="12.77734375" style="18" customWidth="1"/>
    <col min="5" max="26" width="12.77734375" customWidth="1"/>
  </cols>
  <sheetData>
    <row r="1" spans="1:28" ht="30" customHeight="1" x14ac:dyDescent="0.3">
      <c r="A1" s="19" t="s">
        <v>8</v>
      </c>
      <c r="B1" s="2" t="s">
        <v>9</v>
      </c>
      <c r="C1" s="2" t="s">
        <v>10</v>
      </c>
      <c r="D1" s="19" t="s">
        <v>6</v>
      </c>
      <c r="E1" s="2" t="s">
        <v>31</v>
      </c>
      <c r="F1" s="2" t="s">
        <v>5</v>
      </c>
      <c r="G1" s="2" t="s">
        <v>12</v>
      </c>
      <c r="H1" s="2" t="s">
        <v>7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32</v>
      </c>
      <c r="P1" s="2" t="s">
        <v>30</v>
      </c>
      <c r="Q1" s="2" t="s">
        <v>19</v>
      </c>
      <c r="R1" s="2" t="s">
        <v>4</v>
      </c>
      <c r="S1" s="2" t="s">
        <v>3</v>
      </c>
      <c r="T1" s="2" t="s">
        <v>20</v>
      </c>
      <c r="U1" s="2" t="s">
        <v>21</v>
      </c>
      <c r="V1" s="2" t="s">
        <v>22</v>
      </c>
      <c r="W1" s="2" t="s">
        <v>23</v>
      </c>
      <c r="X1" s="2" t="s">
        <v>24</v>
      </c>
      <c r="Y1" s="2" t="s">
        <v>25</v>
      </c>
      <c r="Z1" s="2" t="s">
        <v>26</v>
      </c>
      <c r="AA1" s="2" t="s">
        <v>27</v>
      </c>
      <c r="AB1" s="2" t="s">
        <v>28</v>
      </c>
    </row>
    <row r="2" spans="1:28" x14ac:dyDescent="0.3">
      <c r="A2" s="18" t="str">
        <f>_xll.RHistory("1EW7150V25",".Timestamp;.Close","START:2025-08-01 END:2025-09-29 INTERVAL:1D")</f>
        <v>Not Signed In</v>
      </c>
      <c r="B2">
        <v>437</v>
      </c>
      <c r="C2" t="s">
        <v>48</v>
      </c>
      <c r="D2" s="18">
        <v>45961</v>
      </c>
      <c r="E2" t="str">
        <f>IFERROR(VLOOKUP(A2,#REF!,5,TRUE),"not found")</f>
        <v>not found</v>
      </c>
      <c r="F2" t="str">
        <f>IFERROR(VLOOKUP(A2,#REF!,2,TRUE),"")</f>
        <v/>
      </c>
      <c r="G2">
        <v>7150</v>
      </c>
      <c r="H2" t="s">
        <v>2</v>
      </c>
      <c r="I2" t="e">
        <f ca="1">IF(B2="","",GBlackScholesImpVolBisection(LOWER(H2),F2,G2,(D2-A2)/365,E2,0,B2))</f>
        <v>#NAME?</v>
      </c>
      <c r="J2" t="e">
        <f ca="1">IF(B2="","",GBlackScholesNGreeks("d",LOWER(H2),F2,G2,(D2-A2)/365,E2,0,I2))</f>
        <v>#NAME?</v>
      </c>
      <c r="K2" t="e">
        <f ca="1">IF(B2="","",GBlackScholesNGreeks("v",LOWER(H2),F2,G2,(D2-A2)/365,E2,0,I2))</f>
        <v>#NAME?</v>
      </c>
      <c r="L2" t="e">
        <f ca="1">IF(B2="","",GBlackScholesNGreeks("g",LOWER(H2),F2,G2,(D2-A2)/365,E2,0,I2))</f>
        <v>#NAME?</v>
      </c>
      <c r="M2" t="e">
        <f ca="1">IF(B2="","",GBlackScholesNGreeks("t",LOWER(H2),F2,G2,(D2-A2)/365,E2,0,I2))</f>
        <v>#NAME?</v>
      </c>
      <c r="N2" t="e">
        <f ca="1">IF(B2="","",GBlackScholesNGreeks("r",LOWER(H2),F2,G2,(D2-A2)/365,E2,0,I2))</f>
        <v>#NAME?</v>
      </c>
      <c r="O2">
        <v>62</v>
      </c>
      <c r="P2" t="s">
        <v>37</v>
      </c>
      <c r="Q2">
        <v>50</v>
      </c>
      <c r="R2" t="s">
        <v>49</v>
      </c>
      <c r="S2" t="s">
        <v>33</v>
      </c>
      <c r="T2" t="s">
        <v>0</v>
      </c>
      <c r="U2">
        <v>0</v>
      </c>
      <c r="V2" t="e">
        <f ca="1">IF(B2="","",CGBlackScholes("dddv",LOWER(H2),F2,G2,(D2-A2)/365,E2,0,I2,J2))</f>
        <v>#NAME?</v>
      </c>
      <c r="W2" t="e">
        <f ca="1">IF(B2="","",CGBlackScholes("dvv",LOWER(H2),F2,G2,(D2-A2)/365,E2,0,I2,J2))</f>
        <v>#NAME?</v>
      </c>
      <c r="X2" t="e">
        <f ca="1">IF(B2="","",CGBlackScholes("dt",LOWER(H2),F2,G2,(D2-A2)/365,E2,0,I2,J2))</f>
        <v>#NAME?</v>
      </c>
      <c r="Y2" t="e">
        <f ca="1">IF(B2="","",CGBlackScholes("gps",LOWER(H2),F2,G2,(D2-A2)/365,E2,0,I2,J2))</f>
        <v>#NAME?</v>
      </c>
      <c r="Z2" t="e">
        <f ca="1">IF(B2="","",CGBlackScholes("gpv",LOWER(H2),F2,G2,(D2-A2)/365,E2,0,I2,J2))</f>
        <v>#NAME?</v>
      </c>
      <c r="AA2" t="e">
        <f ca="1">IF(B2="","",CGBlackScholes("dvdv",LOWER(H2),F2,G2,(D2-A2)/365,E2,0,I2,J2))</f>
        <v>#NAME?</v>
      </c>
      <c r="AB2" t="e">
        <f ca="1">IF(B2="","",CGBlackScholes("vvv",LOWER(H2),F2,G2,(D2-A2)/365,E2,0,I2,J2))</f>
        <v>#NAME?</v>
      </c>
    </row>
    <row r="3" spans="1:28" x14ac:dyDescent="0.3">
      <c r="A3" s="18">
        <v>45926</v>
      </c>
      <c r="B3">
        <v>454</v>
      </c>
      <c r="C3" t="s">
        <v>48</v>
      </c>
      <c r="D3" s="18">
        <v>45961</v>
      </c>
      <c r="E3" t="str">
        <f>IFERROR(VLOOKUP(A3,#REF!,5,TRUE),"not found")</f>
        <v>not found</v>
      </c>
      <c r="F3" t="str">
        <f>IFERROR(VLOOKUP(A3,#REF!,2,TRUE),"")</f>
        <v/>
      </c>
      <c r="G3">
        <v>7150</v>
      </c>
      <c r="H3" t="s">
        <v>2</v>
      </c>
      <c r="I3" t="e">
        <f ca="1">IF(B3="","",GBlackScholesImpVolBisection(LOWER(H3),F3,G3,(D3-A3)/365,E3,0,B3))</f>
        <v>#NAME?</v>
      </c>
      <c r="J3" t="e">
        <f ca="1">IF(B3="","",GBlackScholesNGreeks("d",LOWER(H3),F3,G3,(D3-A3)/365,E3,0,I3))</f>
        <v>#NAME?</v>
      </c>
      <c r="K3" t="e">
        <f ca="1">IF(B3="","",GBlackScholesNGreeks("v",LOWER(H3),F3,G3,(D3-A3)/365,E3,0,I3))</f>
        <v>#NAME?</v>
      </c>
      <c r="L3" t="e">
        <f ca="1">IF(B3="","",GBlackScholesNGreeks("g",LOWER(H3),F3,G3,(D3-A3)/365,E3,0,I3))</f>
        <v>#NAME?</v>
      </c>
      <c r="M3" t="e">
        <f ca="1">IF(B3="","",GBlackScholesNGreeks("t",LOWER(H3),F3,G3,(D3-A3)/365,E3,0,I3))</f>
        <v>#NAME?</v>
      </c>
      <c r="N3" t="e">
        <f ca="1">IF(B3="","",GBlackScholesNGreeks("r",LOWER(H3),F3,G3,(D3-A3)/365,E3,0,I3))</f>
        <v>#NAME?</v>
      </c>
      <c r="O3">
        <v>62</v>
      </c>
      <c r="P3" t="s">
        <v>37</v>
      </c>
      <c r="Q3">
        <v>50</v>
      </c>
      <c r="R3" t="s">
        <v>49</v>
      </c>
      <c r="S3" t="s">
        <v>33</v>
      </c>
      <c r="T3" t="s">
        <v>0</v>
      </c>
      <c r="U3">
        <v>0</v>
      </c>
      <c r="V3" t="e">
        <f ca="1">IF(B3="","",CGBlackScholes("dddv",LOWER(H3),F3,G3,(D3-A3)/365,E3,0,I3,J3))</f>
        <v>#NAME?</v>
      </c>
      <c r="W3" t="e">
        <f ca="1">IF(B3="","",CGBlackScholes("dvv",LOWER(H3),F3,G3,(D3-A3)/365,E3,0,I3,J3))</f>
        <v>#NAME?</v>
      </c>
      <c r="X3" t="e">
        <f ca="1">IF(B3="","",CGBlackScholes("dt",LOWER(H3),F3,G3,(D3-A3)/365,E3,0,I3,J3))</f>
        <v>#NAME?</v>
      </c>
      <c r="Y3" t="e">
        <f ca="1">IF(B3="","",CGBlackScholes("gps",LOWER(H3),F3,G3,(D3-A3)/365,E3,0,I3,J3))</f>
        <v>#NAME?</v>
      </c>
      <c r="Z3" t="e">
        <f ca="1">IF(B3="","",CGBlackScholes("gpv",LOWER(H3),F3,G3,(D3-A3)/365,E3,0,I3,J3))</f>
        <v>#NAME?</v>
      </c>
      <c r="AA3" t="e">
        <f ca="1">IF(B3="","",CGBlackScholes("dvdv",LOWER(H3),F3,G3,(D3-A3)/365,E3,0,I3,J3))</f>
        <v>#NAME?</v>
      </c>
      <c r="AB3" t="e">
        <f ca="1">IF(B3="","",CGBlackScholes("vvv",LOWER(H3),F3,G3,(D3-A3)/365,E3,0,I3,J3))</f>
        <v>#NAME?</v>
      </c>
    </row>
    <row r="4" spans="1:28" x14ac:dyDescent="0.3">
      <c r="A4" s="18">
        <v>45925</v>
      </c>
      <c r="B4">
        <v>490.75</v>
      </c>
      <c r="C4" t="s">
        <v>48</v>
      </c>
      <c r="D4" s="18">
        <v>45961</v>
      </c>
      <c r="E4" t="str">
        <f>IFERROR(VLOOKUP(A4,#REF!,5,TRUE),"not found")</f>
        <v>not found</v>
      </c>
      <c r="F4" t="str">
        <f>IFERROR(VLOOKUP(A4,#REF!,2,TRUE),"")</f>
        <v/>
      </c>
      <c r="G4">
        <v>7150</v>
      </c>
      <c r="H4" t="s">
        <v>2</v>
      </c>
      <c r="I4" t="e">
        <f ca="1">IF(B4="","",GBlackScholesImpVolBisection(LOWER(H4),F4,G4,(D4-A4)/365,E4,0,B4))</f>
        <v>#NAME?</v>
      </c>
      <c r="J4" t="e">
        <f ca="1">IF(B4="","",GBlackScholesNGreeks("d",LOWER(H4),F4,G4,(D4-A4)/365,E4,0,I4))</f>
        <v>#NAME?</v>
      </c>
      <c r="K4" t="e">
        <f ca="1">IF(B4="","",GBlackScholesNGreeks("v",LOWER(H4),F4,G4,(D4-A4)/365,E4,0,I4))</f>
        <v>#NAME?</v>
      </c>
      <c r="L4" t="e">
        <f ca="1">IF(B4="","",GBlackScholesNGreeks("g",LOWER(H4),F4,G4,(D4-A4)/365,E4,0,I4))</f>
        <v>#NAME?</v>
      </c>
      <c r="M4" t="e">
        <f ca="1">IF(B4="","",GBlackScholesNGreeks("t",LOWER(H4),F4,G4,(D4-A4)/365,E4,0,I4))</f>
        <v>#NAME?</v>
      </c>
      <c r="N4" t="e">
        <f ca="1">IF(B4="","",GBlackScholesNGreeks("r",LOWER(H4),F4,G4,(D4-A4)/365,E4,0,I4))</f>
        <v>#NAME?</v>
      </c>
      <c r="O4">
        <v>62</v>
      </c>
      <c r="P4" t="s">
        <v>37</v>
      </c>
      <c r="Q4">
        <v>50</v>
      </c>
      <c r="R4" t="s">
        <v>49</v>
      </c>
      <c r="S4" t="s">
        <v>33</v>
      </c>
      <c r="T4" t="s">
        <v>0</v>
      </c>
      <c r="U4">
        <v>0</v>
      </c>
      <c r="V4" t="e">
        <f ca="1">IF(B4="","",CGBlackScholes("dddv",LOWER(H4),F4,G4,(D4-A4)/365,E4,0,I4,J4))</f>
        <v>#NAME?</v>
      </c>
      <c r="W4" t="e">
        <f ca="1">IF(B4="","",CGBlackScholes("dvv",LOWER(H4),F4,G4,(D4-A4)/365,E4,0,I4,J4))</f>
        <v>#NAME?</v>
      </c>
      <c r="X4" t="e">
        <f ca="1">IF(B4="","",CGBlackScholes("dt",LOWER(H4),F4,G4,(D4-A4)/365,E4,0,I4,J4))</f>
        <v>#NAME?</v>
      </c>
      <c r="Y4" t="e">
        <f ca="1">IF(B4="","",CGBlackScholes("gps",LOWER(H4),F4,G4,(D4-A4)/365,E4,0,I4,J4))</f>
        <v>#NAME?</v>
      </c>
      <c r="Z4" t="e">
        <f ca="1">IF(B4="","",CGBlackScholes("gpv",LOWER(H4),F4,G4,(D4-A4)/365,E4,0,I4,J4))</f>
        <v>#NAME?</v>
      </c>
      <c r="AA4" t="e">
        <f ca="1">IF(B4="","",CGBlackScholes("dvdv",LOWER(H4),F4,G4,(D4-A4)/365,E4,0,I4,J4))</f>
        <v>#NAME?</v>
      </c>
      <c r="AB4" t="e">
        <f ca="1">IF(B4="","",CGBlackScholes("vvv",LOWER(H4),F4,G4,(D4-A4)/365,E4,0,I4,J4))</f>
        <v>#NAME?</v>
      </c>
    </row>
    <row r="5" spans="1:28" x14ac:dyDescent="0.3">
      <c r="A5" s="18">
        <v>45924</v>
      </c>
      <c r="B5">
        <v>459.25</v>
      </c>
      <c r="C5" t="s">
        <v>48</v>
      </c>
      <c r="D5" s="18">
        <v>45961</v>
      </c>
      <c r="E5" t="str">
        <f>IFERROR(VLOOKUP(A5,#REF!,5,TRUE),"not found")</f>
        <v>not found</v>
      </c>
      <c r="F5" t="str">
        <f>IFERROR(VLOOKUP(A5,#REF!,2,TRUE),"")</f>
        <v/>
      </c>
      <c r="G5">
        <v>7150</v>
      </c>
      <c r="H5" t="s">
        <v>2</v>
      </c>
      <c r="I5" t="e">
        <f ca="1">IF(B5="","",GBlackScholesImpVolBisection(LOWER(H5),F5,G5,(D5-A5)/365,E5,0,B5))</f>
        <v>#NAME?</v>
      </c>
      <c r="J5" t="e">
        <f ca="1">IF(B5="","",GBlackScholesNGreeks("d",LOWER(H5),F5,G5,(D5-A5)/365,E5,0,I5))</f>
        <v>#NAME?</v>
      </c>
      <c r="K5" t="e">
        <f ca="1">IF(B5="","",GBlackScholesNGreeks("v",LOWER(H5),F5,G5,(D5-A5)/365,E5,0,I5))</f>
        <v>#NAME?</v>
      </c>
      <c r="L5" t="e">
        <f ca="1">IF(B5="","",GBlackScholesNGreeks("g",LOWER(H5),F5,G5,(D5-A5)/365,E5,0,I5))</f>
        <v>#NAME?</v>
      </c>
      <c r="M5" t="e">
        <f ca="1">IF(B5="","",GBlackScholesNGreeks("t",LOWER(H5),F5,G5,(D5-A5)/365,E5,0,I5))</f>
        <v>#NAME?</v>
      </c>
      <c r="N5" t="e">
        <f ca="1">IF(B5="","",GBlackScholesNGreeks("r",LOWER(H5),F5,G5,(D5-A5)/365,E5,0,I5))</f>
        <v>#NAME?</v>
      </c>
      <c r="O5">
        <v>62</v>
      </c>
      <c r="P5" t="s">
        <v>37</v>
      </c>
      <c r="Q5">
        <v>50</v>
      </c>
      <c r="R5" t="s">
        <v>49</v>
      </c>
      <c r="S5" t="s">
        <v>33</v>
      </c>
      <c r="T5" t="s">
        <v>0</v>
      </c>
      <c r="U5">
        <v>0</v>
      </c>
      <c r="V5" t="e">
        <f ca="1">IF(B5="","",CGBlackScholes("dddv",LOWER(H5),F5,G5,(D5-A5)/365,E5,0,I5,J5))</f>
        <v>#NAME?</v>
      </c>
      <c r="W5" t="e">
        <f ca="1">IF(B5="","",CGBlackScholes("dvv",LOWER(H5),F5,G5,(D5-A5)/365,E5,0,I5,J5))</f>
        <v>#NAME?</v>
      </c>
      <c r="X5" t="e">
        <f ca="1">IF(B5="","",CGBlackScholes("dt",LOWER(H5),F5,G5,(D5-A5)/365,E5,0,I5,J5))</f>
        <v>#NAME?</v>
      </c>
      <c r="Y5" t="e">
        <f ca="1">IF(B5="","",CGBlackScholes("gps",LOWER(H5),F5,G5,(D5-A5)/365,E5,0,I5,J5))</f>
        <v>#NAME?</v>
      </c>
      <c r="Z5" t="e">
        <f ca="1">IF(B5="","",CGBlackScholes("gpv",LOWER(H5),F5,G5,(D5-A5)/365,E5,0,I5,J5))</f>
        <v>#NAME?</v>
      </c>
      <c r="AA5" t="e">
        <f ca="1">IF(B5="","",CGBlackScholes("dvdv",LOWER(H5),F5,G5,(D5-A5)/365,E5,0,I5,J5))</f>
        <v>#NAME?</v>
      </c>
      <c r="AB5" t="e">
        <f ca="1">IF(B5="","",CGBlackScholes("vvv",LOWER(H5),F5,G5,(D5-A5)/365,E5,0,I5,J5))</f>
        <v>#NAME?</v>
      </c>
    </row>
    <row r="6" spans="1:28" x14ac:dyDescent="0.3">
      <c r="A6" s="18">
        <v>45923</v>
      </c>
      <c r="B6">
        <v>437.75</v>
      </c>
      <c r="C6" t="s">
        <v>48</v>
      </c>
      <c r="D6" s="18">
        <v>45961</v>
      </c>
      <c r="E6" t="str">
        <f>IFERROR(VLOOKUP(A6,#REF!,5,TRUE),"not found")</f>
        <v>not found</v>
      </c>
      <c r="F6" t="str">
        <f>IFERROR(VLOOKUP(A6,#REF!,2,TRUE),"")</f>
        <v/>
      </c>
      <c r="G6">
        <v>7150</v>
      </c>
      <c r="H6" t="s">
        <v>2</v>
      </c>
      <c r="I6" t="e">
        <f ca="1">IF(B6="","",GBlackScholesImpVolBisection(LOWER(H6),F6,G6,(D6-A6)/365,E6,0,B6))</f>
        <v>#NAME?</v>
      </c>
      <c r="J6" t="e">
        <f ca="1">IF(B6="","",GBlackScholesNGreeks("d",LOWER(H6),F6,G6,(D6-A6)/365,E6,0,I6))</f>
        <v>#NAME?</v>
      </c>
      <c r="K6" t="e">
        <f ca="1">IF(B6="","",GBlackScholesNGreeks("v",LOWER(H6),F6,G6,(D6-A6)/365,E6,0,I6))</f>
        <v>#NAME?</v>
      </c>
      <c r="L6" t="e">
        <f ca="1">IF(B6="","",GBlackScholesNGreeks("g",LOWER(H6),F6,G6,(D6-A6)/365,E6,0,I6))</f>
        <v>#NAME?</v>
      </c>
      <c r="M6" t="e">
        <f ca="1">IF(B6="","",GBlackScholesNGreeks("t",LOWER(H6),F6,G6,(D6-A6)/365,E6,0,I6))</f>
        <v>#NAME?</v>
      </c>
      <c r="N6" t="e">
        <f ca="1">IF(B6="","",GBlackScholesNGreeks("r",LOWER(H6),F6,G6,(D6-A6)/365,E6,0,I6))</f>
        <v>#NAME?</v>
      </c>
      <c r="O6">
        <v>62</v>
      </c>
      <c r="P6" t="s">
        <v>37</v>
      </c>
      <c r="Q6">
        <v>50</v>
      </c>
      <c r="R6" t="s">
        <v>49</v>
      </c>
      <c r="S6" t="s">
        <v>33</v>
      </c>
      <c r="T6" t="s">
        <v>0</v>
      </c>
      <c r="U6">
        <v>0</v>
      </c>
      <c r="V6" t="e">
        <f ca="1">IF(B6="","",CGBlackScholes("dddv",LOWER(H6),F6,G6,(D6-A6)/365,E6,0,I6,J6))</f>
        <v>#NAME?</v>
      </c>
      <c r="W6" t="e">
        <f ca="1">IF(B6="","",CGBlackScholes("dvv",LOWER(H6),F6,G6,(D6-A6)/365,E6,0,I6,J6))</f>
        <v>#NAME?</v>
      </c>
      <c r="X6" t="e">
        <f ca="1">IF(B6="","",CGBlackScholes("dt",LOWER(H6),F6,G6,(D6-A6)/365,E6,0,I6,J6))</f>
        <v>#NAME?</v>
      </c>
      <c r="Y6" t="e">
        <f ca="1">IF(B6="","",CGBlackScholes("gps",LOWER(H6),F6,G6,(D6-A6)/365,E6,0,I6,J6))</f>
        <v>#NAME?</v>
      </c>
      <c r="Z6" t="e">
        <f ca="1">IF(B6="","",CGBlackScholes("gpv",LOWER(H6),F6,G6,(D6-A6)/365,E6,0,I6,J6))</f>
        <v>#NAME?</v>
      </c>
      <c r="AA6" t="e">
        <f ca="1">IF(B6="","",CGBlackScholes("dvdv",LOWER(H6),F6,G6,(D6-A6)/365,E6,0,I6,J6))</f>
        <v>#NAME?</v>
      </c>
      <c r="AB6" t="e">
        <f ca="1">IF(B6="","",CGBlackScholes("vvv",LOWER(H6),F6,G6,(D6-A6)/365,E6,0,I6,J6))</f>
        <v>#NAME?</v>
      </c>
    </row>
    <row r="7" spans="1:28" x14ac:dyDescent="0.3">
      <c r="A7" s="18">
        <v>45922</v>
      </c>
      <c r="B7">
        <v>402.5</v>
      </c>
      <c r="C7" t="s">
        <v>48</v>
      </c>
      <c r="D7" s="18">
        <v>45961</v>
      </c>
      <c r="E7" t="str">
        <f>IFERROR(VLOOKUP(A7,#REF!,5,TRUE),"not found")</f>
        <v>not found</v>
      </c>
      <c r="F7" t="str">
        <f>IFERROR(VLOOKUP(A7,#REF!,2,TRUE),"")</f>
        <v/>
      </c>
      <c r="G7">
        <v>7150</v>
      </c>
      <c r="H7" t="s">
        <v>2</v>
      </c>
      <c r="I7" t="e">
        <f ca="1">IF(B7="","",GBlackScholesImpVolBisection(LOWER(H7),F7,G7,(D7-A7)/365,E7,0,B7))</f>
        <v>#NAME?</v>
      </c>
      <c r="J7" t="e">
        <f ca="1">IF(B7="","",GBlackScholesNGreeks("d",LOWER(H7),F7,G7,(D7-A7)/365,E7,0,I7))</f>
        <v>#NAME?</v>
      </c>
      <c r="K7" t="e">
        <f ca="1">IF(B7="","",GBlackScholesNGreeks("v",LOWER(H7),F7,G7,(D7-A7)/365,E7,0,I7))</f>
        <v>#NAME?</v>
      </c>
      <c r="L7" t="e">
        <f ca="1">IF(B7="","",GBlackScholesNGreeks("g",LOWER(H7),F7,G7,(D7-A7)/365,E7,0,I7))</f>
        <v>#NAME?</v>
      </c>
      <c r="M7" t="e">
        <f ca="1">IF(B7="","",GBlackScholesNGreeks("t",LOWER(H7),F7,G7,(D7-A7)/365,E7,0,I7))</f>
        <v>#NAME?</v>
      </c>
      <c r="N7" t="e">
        <f ca="1">IF(B7="","",GBlackScholesNGreeks("r",LOWER(H7),F7,G7,(D7-A7)/365,E7,0,I7))</f>
        <v>#NAME?</v>
      </c>
      <c r="O7">
        <v>62</v>
      </c>
      <c r="P7" t="s">
        <v>37</v>
      </c>
      <c r="Q7">
        <v>50</v>
      </c>
      <c r="R7" t="s">
        <v>49</v>
      </c>
      <c r="S7" t="s">
        <v>33</v>
      </c>
      <c r="T7" t="s">
        <v>0</v>
      </c>
      <c r="U7">
        <v>0</v>
      </c>
      <c r="V7" t="e">
        <f ca="1">IF(B7="","",CGBlackScholes("dddv",LOWER(H7),F7,G7,(D7-A7)/365,E7,0,I7,J7))</f>
        <v>#NAME?</v>
      </c>
      <c r="W7" t="e">
        <f ca="1">IF(B7="","",CGBlackScholes("dvv",LOWER(H7),F7,G7,(D7-A7)/365,E7,0,I7,J7))</f>
        <v>#NAME?</v>
      </c>
      <c r="X7" t="e">
        <f ca="1">IF(B7="","",CGBlackScholes("dt",LOWER(H7),F7,G7,(D7-A7)/365,E7,0,I7,J7))</f>
        <v>#NAME?</v>
      </c>
      <c r="Y7" t="e">
        <f ca="1">IF(B7="","",CGBlackScholes("gps",LOWER(H7),F7,G7,(D7-A7)/365,E7,0,I7,J7))</f>
        <v>#NAME?</v>
      </c>
      <c r="Z7" t="e">
        <f ca="1">IF(B7="","",CGBlackScholes("gpv",LOWER(H7),F7,G7,(D7-A7)/365,E7,0,I7,J7))</f>
        <v>#NAME?</v>
      </c>
      <c r="AA7" t="e">
        <f ca="1">IF(B7="","",CGBlackScholes("dvdv",LOWER(H7),F7,G7,(D7-A7)/365,E7,0,I7,J7))</f>
        <v>#NAME?</v>
      </c>
      <c r="AB7" t="e">
        <f ca="1">IF(B7="","",CGBlackScholes("vvv",LOWER(H7),F7,G7,(D7-A7)/365,E7,0,I7,J7))</f>
        <v>#NAME?</v>
      </c>
    </row>
    <row r="8" spans="1:28" x14ac:dyDescent="0.3">
      <c r="A8" s="18">
        <v>45919</v>
      </c>
      <c r="B8">
        <v>430.75</v>
      </c>
      <c r="C8" t="s">
        <v>48</v>
      </c>
      <c r="D8" s="18">
        <v>45961</v>
      </c>
      <c r="E8" t="str">
        <f>IFERROR(VLOOKUP(A8,#REF!,5,TRUE),"not found")</f>
        <v>not found</v>
      </c>
      <c r="F8" t="str">
        <f>IFERROR(VLOOKUP(A8,#REF!,2,TRUE),"")</f>
        <v/>
      </c>
      <c r="G8">
        <v>7150</v>
      </c>
      <c r="H8" t="s">
        <v>2</v>
      </c>
      <c r="I8" t="e">
        <f ca="1">IF(B8="","",GBlackScholesImpVolBisection(LOWER(H8),F8,G8,(D8-A8)/365,E8,0,B8))</f>
        <v>#NAME?</v>
      </c>
      <c r="J8" t="e">
        <f ca="1">IF(B8="","",GBlackScholesNGreeks("d",LOWER(H8),F8,G8,(D8-A8)/365,E8,0,I8))</f>
        <v>#NAME?</v>
      </c>
      <c r="K8" t="e">
        <f ca="1">IF(B8="","",GBlackScholesNGreeks("v",LOWER(H8),F8,G8,(D8-A8)/365,E8,0,I8))</f>
        <v>#NAME?</v>
      </c>
      <c r="L8" t="e">
        <f ca="1">IF(B8="","",GBlackScholesNGreeks("g",LOWER(H8),F8,G8,(D8-A8)/365,E8,0,I8))</f>
        <v>#NAME?</v>
      </c>
      <c r="M8" t="e">
        <f ca="1">IF(B8="","",GBlackScholesNGreeks("t",LOWER(H8),F8,G8,(D8-A8)/365,E8,0,I8))</f>
        <v>#NAME?</v>
      </c>
      <c r="N8" t="e">
        <f ca="1">IF(B8="","",GBlackScholesNGreeks("r",LOWER(H8),F8,G8,(D8-A8)/365,E8,0,I8))</f>
        <v>#NAME?</v>
      </c>
      <c r="O8">
        <v>62</v>
      </c>
      <c r="P8" t="s">
        <v>37</v>
      </c>
      <c r="Q8">
        <v>50</v>
      </c>
      <c r="R8" t="s">
        <v>49</v>
      </c>
      <c r="S8" t="s">
        <v>33</v>
      </c>
      <c r="T8" t="s">
        <v>0</v>
      </c>
      <c r="U8">
        <v>0</v>
      </c>
      <c r="V8" t="e">
        <f ca="1">IF(B8="","",CGBlackScholes("dddv",LOWER(H8),F8,G8,(D8-A8)/365,E8,0,I8,J8))</f>
        <v>#NAME?</v>
      </c>
      <c r="W8" t="e">
        <f ca="1">IF(B8="","",CGBlackScholes("dvv",LOWER(H8),F8,G8,(D8-A8)/365,E8,0,I8,J8))</f>
        <v>#NAME?</v>
      </c>
      <c r="X8" t="e">
        <f ca="1">IF(B8="","",CGBlackScholes("dt",LOWER(H8),F8,G8,(D8-A8)/365,E8,0,I8,J8))</f>
        <v>#NAME?</v>
      </c>
      <c r="Y8" t="e">
        <f ca="1">IF(B8="","",CGBlackScholes("gps",LOWER(H8),F8,G8,(D8-A8)/365,E8,0,I8,J8))</f>
        <v>#NAME?</v>
      </c>
      <c r="Z8" t="e">
        <f ca="1">IF(B8="","",CGBlackScholes("gpv",LOWER(H8),F8,G8,(D8-A8)/365,E8,0,I8,J8))</f>
        <v>#NAME?</v>
      </c>
      <c r="AA8" t="e">
        <f ca="1">IF(B8="","",CGBlackScholes("dvdv",LOWER(H8),F8,G8,(D8-A8)/365,E8,0,I8,J8))</f>
        <v>#NAME?</v>
      </c>
      <c r="AB8" t="e">
        <f ca="1">IF(B8="","",CGBlackScholes("vvv",LOWER(H8),F8,G8,(D8-A8)/365,E8,0,I8,J8))</f>
        <v>#NAME?</v>
      </c>
    </row>
    <row r="9" spans="1:28" x14ac:dyDescent="0.3">
      <c r="A9" s="18">
        <v>45918</v>
      </c>
      <c r="B9">
        <v>458.5</v>
      </c>
      <c r="C9" t="s">
        <v>48</v>
      </c>
      <c r="D9" s="18">
        <v>45961</v>
      </c>
      <c r="E9" t="str">
        <f>IFERROR(VLOOKUP(A9,#REF!,5,TRUE),"not found")</f>
        <v>not found</v>
      </c>
      <c r="F9" t="str">
        <f>IFERROR(VLOOKUP(A9,#REF!,2,TRUE),"")</f>
        <v/>
      </c>
      <c r="G9">
        <v>7150</v>
      </c>
      <c r="H9" t="s">
        <v>2</v>
      </c>
      <c r="I9" t="e">
        <f ca="1">IF(B9="","",GBlackScholesImpVolBisection(LOWER(H9),F9,G9,(D9-A9)/365,E9,0,B9))</f>
        <v>#NAME?</v>
      </c>
      <c r="J9" t="e">
        <f ca="1">IF(B9="","",GBlackScholesNGreeks("d",LOWER(H9),F9,G9,(D9-A9)/365,E9,0,I9))</f>
        <v>#NAME?</v>
      </c>
      <c r="K9" t="e">
        <f ca="1">IF(B9="","",GBlackScholesNGreeks("v",LOWER(H9),F9,G9,(D9-A9)/365,E9,0,I9))</f>
        <v>#NAME?</v>
      </c>
      <c r="L9" t="e">
        <f ca="1">IF(B9="","",GBlackScholesNGreeks("g",LOWER(H9),F9,G9,(D9-A9)/365,E9,0,I9))</f>
        <v>#NAME?</v>
      </c>
      <c r="M9" t="e">
        <f ca="1">IF(B9="","",GBlackScholesNGreeks("t",LOWER(H9),F9,G9,(D9-A9)/365,E9,0,I9))</f>
        <v>#NAME?</v>
      </c>
      <c r="N9" t="e">
        <f ca="1">IF(B9="","",GBlackScholesNGreeks("r",LOWER(H9),F9,G9,(D9-A9)/365,E9,0,I9))</f>
        <v>#NAME?</v>
      </c>
      <c r="O9">
        <v>62</v>
      </c>
      <c r="P9" t="s">
        <v>37</v>
      </c>
      <c r="Q9">
        <v>50</v>
      </c>
      <c r="R9" t="s">
        <v>49</v>
      </c>
      <c r="S9" t="s">
        <v>33</v>
      </c>
      <c r="T9" t="s">
        <v>0</v>
      </c>
      <c r="U9">
        <v>0</v>
      </c>
      <c r="V9" t="e">
        <f ca="1">IF(B9="","",CGBlackScholes("dddv",LOWER(H9),F9,G9,(D9-A9)/365,E9,0,I9,J9))</f>
        <v>#NAME?</v>
      </c>
      <c r="W9" t="e">
        <f ca="1">IF(B9="","",CGBlackScholes("dvv",LOWER(H9),F9,G9,(D9-A9)/365,E9,0,I9,J9))</f>
        <v>#NAME?</v>
      </c>
      <c r="X9" t="e">
        <f ca="1">IF(B9="","",CGBlackScholes("dt",LOWER(H9),F9,G9,(D9-A9)/365,E9,0,I9,J9))</f>
        <v>#NAME?</v>
      </c>
      <c r="Y9" t="e">
        <f ca="1">IF(B9="","",CGBlackScholes("gps",LOWER(H9),F9,G9,(D9-A9)/365,E9,0,I9,J9))</f>
        <v>#NAME?</v>
      </c>
      <c r="Z9" t="e">
        <f ca="1">IF(B9="","",CGBlackScholes("gpv",LOWER(H9),F9,G9,(D9-A9)/365,E9,0,I9,J9))</f>
        <v>#NAME?</v>
      </c>
      <c r="AA9" t="e">
        <f ca="1">IF(B9="","",CGBlackScholes("dvdv",LOWER(H9),F9,G9,(D9-A9)/365,E9,0,I9,J9))</f>
        <v>#NAME?</v>
      </c>
      <c r="AB9" t="e">
        <f ca="1">IF(B9="","",CGBlackScholes("vvv",LOWER(H9),F9,G9,(D9-A9)/365,E9,0,I9,J9))</f>
        <v>#NAME?</v>
      </c>
    </row>
    <row r="10" spans="1:28" x14ac:dyDescent="0.3">
      <c r="A10" s="18">
        <v>45917</v>
      </c>
      <c r="B10">
        <v>492</v>
      </c>
      <c r="C10" t="s">
        <v>48</v>
      </c>
      <c r="D10" s="18">
        <v>45961</v>
      </c>
      <c r="E10" t="str">
        <f>IFERROR(VLOOKUP(A10,#REF!,5,TRUE),"not found")</f>
        <v>not found</v>
      </c>
      <c r="F10" t="str">
        <f>IFERROR(VLOOKUP(A10,#REF!,2,TRUE),"")</f>
        <v/>
      </c>
      <c r="G10">
        <v>7150</v>
      </c>
      <c r="H10" t="s">
        <v>2</v>
      </c>
      <c r="I10" t="e">
        <f ca="1">IF(B10="","",GBlackScholesImpVolBisection(LOWER(H10),F10,G10,(D10-A10)/365,E10,0,B10))</f>
        <v>#NAME?</v>
      </c>
      <c r="J10" t="e">
        <f ca="1">IF(B10="","",GBlackScholesNGreeks("d",LOWER(H10),F10,G10,(D10-A10)/365,E10,0,I10))</f>
        <v>#NAME?</v>
      </c>
      <c r="K10" t="e">
        <f ca="1">IF(B10="","",GBlackScholesNGreeks("v",LOWER(H10),F10,G10,(D10-A10)/365,E10,0,I10))</f>
        <v>#NAME?</v>
      </c>
      <c r="L10" t="e">
        <f ca="1">IF(B10="","",GBlackScholesNGreeks("g",LOWER(H10),F10,G10,(D10-A10)/365,E10,0,I10))</f>
        <v>#NAME?</v>
      </c>
      <c r="M10" t="e">
        <f ca="1">IF(B10="","",GBlackScholesNGreeks("t",LOWER(H10),F10,G10,(D10-A10)/365,E10,0,I10))</f>
        <v>#NAME?</v>
      </c>
      <c r="N10" t="e">
        <f ca="1">IF(B10="","",GBlackScholesNGreeks("r",LOWER(H10),F10,G10,(D10-A10)/365,E10,0,I10))</f>
        <v>#NAME?</v>
      </c>
      <c r="O10">
        <v>62</v>
      </c>
      <c r="P10" t="s">
        <v>37</v>
      </c>
      <c r="Q10">
        <v>50</v>
      </c>
      <c r="R10" t="s">
        <v>49</v>
      </c>
      <c r="S10" t="s">
        <v>33</v>
      </c>
      <c r="T10" t="s">
        <v>0</v>
      </c>
      <c r="U10">
        <v>0</v>
      </c>
      <c r="V10" t="e">
        <f ca="1">IF(B10="","",CGBlackScholes("dddv",LOWER(H10),F10,G10,(D10-A10)/365,E10,0,I10,J10))</f>
        <v>#NAME?</v>
      </c>
      <c r="W10" t="e">
        <f ca="1">IF(B10="","",CGBlackScholes("dvv",LOWER(H10),F10,G10,(D10-A10)/365,E10,0,I10,J10))</f>
        <v>#NAME?</v>
      </c>
      <c r="X10" t="e">
        <f ca="1">IF(B10="","",CGBlackScholes("dt",LOWER(H10),F10,G10,(D10-A10)/365,E10,0,I10,J10))</f>
        <v>#NAME?</v>
      </c>
      <c r="Y10" t="e">
        <f ca="1">IF(B10="","",CGBlackScholes("gps",LOWER(H10),F10,G10,(D10-A10)/365,E10,0,I10,J10))</f>
        <v>#NAME?</v>
      </c>
      <c r="Z10" t="e">
        <f ca="1">IF(B10="","",CGBlackScholes("gpv",LOWER(H10),F10,G10,(D10-A10)/365,E10,0,I10,J10))</f>
        <v>#NAME?</v>
      </c>
      <c r="AA10" t="e">
        <f ca="1">IF(B10="","",CGBlackScholes("dvdv",LOWER(H10),F10,G10,(D10-A10)/365,E10,0,I10,J10))</f>
        <v>#NAME?</v>
      </c>
      <c r="AB10" t="e">
        <f ca="1">IF(B10="","",CGBlackScholes("vvv",LOWER(H10),F10,G10,(D10-A10)/365,E10,0,I10,J10))</f>
        <v>#NAME?</v>
      </c>
    </row>
    <row r="11" spans="1:28" x14ac:dyDescent="0.3">
      <c r="A11" s="18">
        <v>45916</v>
      </c>
      <c r="B11">
        <v>483.75</v>
      </c>
      <c r="C11" t="s">
        <v>48</v>
      </c>
      <c r="D11" s="18">
        <v>45961</v>
      </c>
      <c r="E11" t="str">
        <f>IFERROR(VLOOKUP(A11,#REF!,5,TRUE),"not found")</f>
        <v>not found</v>
      </c>
      <c r="F11" t="str">
        <f>IFERROR(VLOOKUP(A11,#REF!,2,TRUE),"")</f>
        <v/>
      </c>
      <c r="G11">
        <v>7150</v>
      </c>
      <c r="H11" t="s">
        <v>2</v>
      </c>
      <c r="I11" t="e">
        <f ca="1">IF(B11="","",GBlackScholesImpVolBisection(LOWER(H11),F11,G11,(D11-A11)/365,E11,0,B11))</f>
        <v>#NAME?</v>
      </c>
      <c r="J11" t="e">
        <f ca="1">IF(B11="","",GBlackScholesNGreeks("d",LOWER(H11),F11,G11,(D11-A11)/365,E11,0,I11))</f>
        <v>#NAME?</v>
      </c>
      <c r="K11" t="e">
        <f ca="1">IF(B11="","",GBlackScholesNGreeks("v",LOWER(H11),F11,G11,(D11-A11)/365,E11,0,I11))</f>
        <v>#NAME?</v>
      </c>
      <c r="L11" t="e">
        <f ca="1">IF(B11="","",GBlackScholesNGreeks("g",LOWER(H11),F11,G11,(D11-A11)/365,E11,0,I11))</f>
        <v>#NAME?</v>
      </c>
      <c r="M11" t="e">
        <f ca="1">IF(B11="","",GBlackScholesNGreeks("t",LOWER(H11),F11,G11,(D11-A11)/365,E11,0,I11))</f>
        <v>#NAME?</v>
      </c>
      <c r="N11" t="e">
        <f ca="1">IF(B11="","",GBlackScholesNGreeks("r",LOWER(H11),F11,G11,(D11-A11)/365,E11,0,I11))</f>
        <v>#NAME?</v>
      </c>
      <c r="O11">
        <v>62</v>
      </c>
      <c r="P11" t="s">
        <v>37</v>
      </c>
      <c r="Q11">
        <v>50</v>
      </c>
      <c r="R11" t="s">
        <v>49</v>
      </c>
      <c r="S11" t="s">
        <v>33</v>
      </c>
      <c r="T11" t="s">
        <v>0</v>
      </c>
      <c r="U11">
        <v>0</v>
      </c>
      <c r="V11" t="e">
        <f ca="1">IF(B11="","",CGBlackScholes("dddv",LOWER(H11),F11,G11,(D11-A11)/365,E11,0,I11,J11))</f>
        <v>#NAME?</v>
      </c>
      <c r="W11" t="e">
        <f ca="1">IF(B11="","",CGBlackScholes("dvv",LOWER(H11),F11,G11,(D11-A11)/365,E11,0,I11,J11))</f>
        <v>#NAME?</v>
      </c>
      <c r="X11" t="e">
        <f ca="1">IF(B11="","",CGBlackScholes("dt",LOWER(H11),F11,G11,(D11-A11)/365,E11,0,I11,J11))</f>
        <v>#NAME?</v>
      </c>
      <c r="Y11" t="e">
        <f ca="1">IF(B11="","",CGBlackScholes("gps",LOWER(H11),F11,G11,(D11-A11)/365,E11,0,I11,J11))</f>
        <v>#NAME?</v>
      </c>
      <c r="Z11" t="e">
        <f ca="1">IF(B11="","",CGBlackScholes("gpv",LOWER(H11),F11,G11,(D11-A11)/365,E11,0,I11,J11))</f>
        <v>#NAME?</v>
      </c>
      <c r="AA11" t="e">
        <f ca="1">IF(B11="","",CGBlackScholes("dvdv",LOWER(H11),F11,G11,(D11-A11)/365,E11,0,I11,J11))</f>
        <v>#NAME?</v>
      </c>
      <c r="AB11" t="e">
        <f ca="1">IF(B11="","",CGBlackScholes("vvv",LOWER(H11),F11,G11,(D11-A11)/365,E11,0,I11,J11))</f>
        <v>#NAME?</v>
      </c>
    </row>
    <row r="12" spans="1:28" x14ac:dyDescent="0.3">
      <c r="A12" s="18">
        <v>45915</v>
      </c>
      <c r="B12">
        <v>472.25</v>
      </c>
      <c r="C12" t="s">
        <v>48</v>
      </c>
      <c r="D12" s="18">
        <v>45961</v>
      </c>
      <c r="E12" t="str">
        <f>IFERROR(VLOOKUP(A12,#REF!,5,TRUE),"not found")</f>
        <v>not found</v>
      </c>
      <c r="F12" t="str">
        <f>IFERROR(VLOOKUP(A12,#REF!,2,TRUE),"")</f>
        <v/>
      </c>
      <c r="G12">
        <v>7150</v>
      </c>
      <c r="H12" t="s">
        <v>2</v>
      </c>
      <c r="I12" t="e">
        <f ca="1">IF(B12="","",GBlackScholesImpVolBisection(LOWER(H12),F12,G12,(D12-A12)/365,E12,0,B12))</f>
        <v>#NAME?</v>
      </c>
      <c r="J12" t="e">
        <f ca="1">IF(B12="","",GBlackScholesNGreeks("d",LOWER(H12),F12,G12,(D12-A12)/365,E12,0,I12))</f>
        <v>#NAME?</v>
      </c>
      <c r="K12" t="e">
        <f ca="1">IF(B12="","",GBlackScholesNGreeks("v",LOWER(H12),F12,G12,(D12-A12)/365,E12,0,I12))</f>
        <v>#NAME?</v>
      </c>
      <c r="L12" t="e">
        <f ca="1">IF(B12="","",GBlackScholesNGreeks("g",LOWER(H12),F12,G12,(D12-A12)/365,E12,0,I12))</f>
        <v>#NAME?</v>
      </c>
      <c r="M12" t="e">
        <f ca="1">IF(B12="","",GBlackScholesNGreeks("t",LOWER(H12),F12,G12,(D12-A12)/365,E12,0,I12))</f>
        <v>#NAME?</v>
      </c>
      <c r="N12" t="e">
        <f ca="1">IF(B12="","",GBlackScholesNGreeks("r",LOWER(H12),F12,G12,(D12-A12)/365,E12,0,I12))</f>
        <v>#NAME?</v>
      </c>
      <c r="O12">
        <v>62</v>
      </c>
      <c r="P12" t="s">
        <v>37</v>
      </c>
      <c r="Q12">
        <v>50</v>
      </c>
      <c r="R12" t="s">
        <v>49</v>
      </c>
      <c r="S12" t="s">
        <v>33</v>
      </c>
      <c r="T12" t="s">
        <v>0</v>
      </c>
      <c r="U12">
        <v>0</v>
      </c>
      <c r="V12" t="e">
        <f ca="1">IF(B12="","",CGBlackScholes("dddv",LOWER(H12),F12,G12,(D12-A12)/365,E12,0,I12,J12))</f>
        <v>#NAME?</v>
      </c>
      <c r="W12" t="e">
        <f ca="1">IF(B12="","",CGBlackScholes("dvv",LOWER(H12),F12,G12,(D12-A12)/365,E12,0,I12,J12))</f>
        <v>#NAME?</v>
      </c>
      <c r="X12" t="e">
        <f ca="1">IF(B12="","",CGBlackScholes("dt",LOWER(H12),F12,G12,(D12-A12)/365,E12,0,I12,J12))</f>
        <v>#NAME?</v>
      </c>
      <c r="Y12" t="e">
        <f ca="1">IF(B12="","",CGBlackScholes("gps",LOWER(H12),F12,G12,(D12-A12)/365,E12,0,I12,J12))</f>
        <v>#NAME?</v>
      </c>
      <c r="Z12" t="e">
        <f ca="1">IF(B12="","",CGBlackScholes("gpv",LOWER(H12),F12,G12,(D12-A12)/365,E12,0,I12,J12))</f>
        <v>#NAME?</v>
      </c>
      <c r="AA12" t="e">
        <f ca="1">IF(B12="","",CGBlackScholes("dvdv",LOWER(H12),F12,G12,(D12-A12)/365,E12,0,I12,J12))</f>
        <v>#NAME?</v>
      </c>
      <c r="AB12" t="e">
        <f ca="1">IF(B12="","",CGBlackScholes("vvv",LOWER(H12),F12,G12,(D12-A12)/365,E12,0,I12,J12))</f>
        <v>#NAME?</v>
      </c>
    </row>
    <row r="13" spans="1:28" x14ac:dyDescent="0.3">
      <c r="A13" s="18">
        <v>45912</v>
      </c>
      <c r="B13">
        <v>505.25</v>
      </c>
      <c r="C13" t="s">
        <v>48</v>
      </c>
      <c r="D13" s="18">
        <v>45961</v>
      </c>
      <c r="E13" t="str">
        <f>IFERROR(VLOOKUP(A13,#REF!,5,TRUE),"not found")</f>
        <v>not found</v>
      </c>
      <c r="F13" t="str">
        <f>IFERROR(VLOOKUP(A13,#REF!,2,TRUE),"")</f>
        <v/>
      </c>
      <c r="G13">
        <v>7150</v>
      </c>
      <c r="H13" t="s">
        <v>2</v>
      </c>
      <c r="I13" t="e">
        <f ca="1">IF(B13="","",GBlackScholesImpVolBisection(LOWER(H13),F13,G13,(D13-A13)/365,E13,0,B13))</f>
        <v>#NAME?</v>
      </c>
      <c r="J13" t="e">
        <f ca="1">IF(B13="","",GBlackScholesNGreeks("d",LOWER(H13),F13,G13,(D13-A13)/365,E13,0,I13))</f>
        <v>#NAME?</v>
      </c>
      <c r="K13" t="e">
        <f ca="1">IF(B13="","",GBlackScholesNGreeks("v",LOWER(H13),F13,G13,(D13-A13)/365,E13,0,I13))</f>
        <v>#NAME?</v>
      </c>
      <c r="L13" t="e">
        <f ca="1">IF(B13="","",GBlackScholesNGreeks("g",LOWER(H13),F13,G13,(D13-A13)/365,E13,0,I13))</f>
        <v>#NAME?</v>
      </c>
      <c r="M13" t="e">
        <f ca="1">IF(B13="","",GBlackScholesNGreeks("t",LOWER(H13),F13,G13,(D13-A13)/365,E13,0,I13))</f>
        <v>#NAME?</v>
      </c>
      <c r="N13" t="e">
        <f ca="1">IF(B13="","",GBlackScholesNGreeks("r",LOWER(H13),F13,G13,(D13-A13)/365,E13,0,I13))</f>
        <v>#NAME?</v>
      </c>
      <c r="O13">
        <v>62</v>
      </c>
      <c r="P13" t="s">
        <v>37</v>
      </c>
      <c r="Q13">
        <v>50</v>
      </c>
      <c r="R13" t="s">
        <v>49</v>
      </c>
      <c r="S13" t="s">
        <v>33</v>
      </c>
      <c r="T13" t="s">
        <v>0</v>
      </c>
      <c r="U13">
        <v>0</v>
      </c>
      <c r="V13" t="e">
        <f ca="1">IF(B13="","",CGBlackScholes("dddv",LOWER(H13),F13,G13,(D13-A13)/365,E13,0,I13,J13))</f>
        <v>#NAME?</v>
      </c>
      <c r="W13" t="e">
        <f ca="1">IF(B13="","",CGBlackScholes("dvv",LOWER(H13),F13,G13,(D13-A13)/365,E13,0,I13,J13))</f>
        <v>#NAME?</v>
      </c>
      <c r="X13" t="e">
        <f ca="1">IF(B13="","",CGBlackScholes("dt",LOWER(H13),F13,G13,(D13-A13)/365,E13,0,I13,J13))</f>
        <v>#NAME?</v>
      </c>
      <c r="Y13" t="e">
        <f ca="1">IF(B13="","",CGBlackScholes("gps",LOWER(H13),F13,G13,(D13-A13)/365,E13,0,I13,J13))</f>
        <v>#NAME?</v>
      </c>
      <c r="Z13" t="e">
        <f ca="1">IF(B13="","",CGBlackScholes("gpv",LOWER(H13),F13,G13,(D13-A13)/365,E13,0,I13,J13))</f>
        <v>#NAME?</v>
      </c>
      <c r="AA13" t="e">
        <f ca="1">IF(B13="","",CGBlackScholes("dvdv",LOWER(H13),F13,G13,(D13-A13)/365,E13,0,I13,J13))</f>
        <v>#NAME?</v>
      </c>
      <c r="AB13" t="e">
        <f ca="1">IF(B13="","",CGBlackScholes("vvv",LOWER(H13),F13,G13,(D13-A13)/365,E13,0,I13,J13))</f>
        <v>#NAME?</v>
      </c>
    </row>
    <row r="14" spans="1:28" x14ac:dyDescent="0.3">
      <c r="A14" s="18">
        <v>45911</v>
      </c>
      <c r="B14">
        <v>502.5</v>
      </c>
      <c r="C14" t="s">
        <v>48</v>
      </c>
      <c r="D14" s="18">
        <v>45961</v>
      </c>
      <c r="E14" t="str">
        <f>IFERROR(VLOOKUP(A14,#REF!,5,TRUE),"not found")</f>
        <v>not found</v>
      </c>
      <c r="F14" t="str">
        <f>IFERROR(VLOOKUP(A14,#REF!,2,TRUE),"")</f>
        <v/>
      </c>
      <c r="G14">
        <v>7150</v>
      </c>
      <c r="H14" t="s">
        <v>2</v>
      </c>
      <c r="I14" t="e">
        <f ca="1">IF(B14="","",GBlackScholesImpVolBisection(LOWER(H14),F14,G14,(D14-A14)/365,E14,0,B14))</f>
        <v>#NAME?</v>
      </c>
      <c r="J14" t="e">
        <f ca="1">IF(B14="","",GBlackScholesNGreeks("d",LOWER(H14),F14,G14,(D14-A14)/365,E14,0,I14))</f>
        <v>#NAME?</v>
      </c>
      <c r="K14" t="e">
        <f ca="1">IF(B14="","",GBlackScholesNGreeks("v",LOWER(H14),F14,G14,(D14-A14)/365,E14,0,I14))</f>
        <v>#NAME?</v>
      </c>
      <c r="L14" t="e">
        <f ca="1">IF(B14="","",GBlackScholesNGreeks("g",LOWER(H14),F14,G14,(D14-A14)/365,E14,0,I14))</f>
        <v>#NAME?</v>
      </c>
      <c r="M14" t="e">
        <f ca="1">IF(B14="","",GBlackScholesNGreeks("t",LOWER(H14),F14,G14,(D14-A14)/365,E14,0,I14))</f>
        <v>#NAME?</v>
      </c>
      <c r="N14" t="e">
        <f ca="1">IF(B14="","",GBlackScholesNGreeks("r",LOWER(H14),F14,G14,(D14-A14)/365,E14,0,I14))</f>
        <v>#NAME?</v>
      </c>
      <c r="O14">
        <v>62</v>
      </c>
      <c r="P14" t="s">
        <v>37</v>
      </c>
      <c r="Q14">
        <v>50</v>
      </c>
      <c r="R14" t="s">
        <v>49</v>
      </c>
      <c r="S14" t="s">
        <v>33</v>
      </c>
      <c r="T14" t="s">
        <v>0</v>
      </c>
      <c r="U14">
        <v>0</v>
      </c>
      <c r="V14" t="e">
        <f ca="1">IF(B14="","",CGBlackScholes("dddv",LOWER(H14),F14,G14,(D14-A14)/365,E14,0,I14,J14))</f>
        <v>#NAME?</v>
      </c>
      <c r="W14" t="e">
        <f ca="1">IF(B14="","",CGBlackScholes("dvv",LOWER(H14),F14,G14,(D14-A14)/365,E14,0,I14,J14))</f>
        <v>#NAME?</v>
      </c>
      <c r="X14" t="e">
        <f ca="1">IF(B14="","",CGBlackScholes("dt",LOWER(H14),F14,G14,(D14-A14)/365,E14,0,I14,J14))</f>
        <v>#NAME?</v>
      </c>
      <c r="Y14" t="e">
        <f ca="1">IF(B14="","",CGBlackScholes("gps",LOWER(H14),F14,G14,(D14-A14)/365,E14,0,I14,J14))</f>
        <v>#NAME?</v>
      </c>
      <c r="Z14" t="e">
        <f ca="1">IF(B14="","",CGBlackScholes("gpv",LOWER(H14),F14,G14,(D14-A14)/365,E14,0,I14,J14))</f>
        <v>#NAME?</v>
      </c>
      <c r="AA14" t="e">
        <f ca="1">IF(B14="","",CGBlackScholes("dvdv",LOWER(H14),F14,G14,(D14-A14)/365,E14,0,I14,J14))</f>
        <v>#NAME?</v>
      </c>
      <c r="AB14" t="e">
        <f ca="1">IF(B14="","",CGBlackScholes("vvv",LOWER(H14),F14,G14,(D14-A14)/365,E14,0,I14,J14))</f>
        <v>#NAME?</v>
      </c>
    </row>
    <row r="15" spans="1:28" x14ac:dyDescent="0.3">
      <c r="A15" s="18">
        <v>45910</v>
      </c>
      <c r="B15">
        <v>553.75</v>
      </c>
      <c r="C15" t="s">
        <v>48</v>
      </c>
      <c r="D15" s="18">
        <v>45961</v>
      </c>
      <c r="E15" t="str">
        <f>IFERROR(VLOOKUP(A15,#REF!,5,TRUE),"not found")</f>
        <v>not found</v>
      </c>
      <c r="F15" t="str">
        <f>IFERROR(VLOOKUP(A15,#REF!,2,TRUE),"")</f>
        <v/>
      </c>
      <c r="G15">
        <v>7150</v>
      </c>
      <c r="H15" t="s">
        <v>2</v>
      </c>
      <c r="I15" t="e">
        <f ca="1">IF(B15="","",GBlackScholesImpVolBisection(LOWER(H15),F15,G15,(D15-A15)/365,E15,0,B15))</f>
        <v>#NAME?</v>
      </c>
      <c r="J15" t="e">
        <f ca="1">IF(B15="","",GBlackScholesNGreeks("d",LOWER(H15),F15,G15,(D15-A15)/365,E15,0,I15))</f>
        <v>#NAME?</v>
      </c>
      <c r="K15" t="e">
        <f ca="1">IF(B15="","",GBlackScholesNGreeks("v",LOWER(H15),F15,G15,(D15-A15)/365,E15,0,I15))</f>
        <v>#NAME?</v>
      </c>
      <c r="L15" t="e">
        <f ca="1">IF(B15="","",GBlackScholesNGreeks("g",LOWER(H15),F15,G15,(D15-A15)/365,E15,0,I15))</f>
        <v>#NAME?</v>
      </c>
      <c r="M15" t="e">
        <f ca="1">IF(B15="","",GBlackScholesNGreeks("t",LOWER(H15),F15,G15,(D15-A15)/365,E15,0,I15))</f>
        <v>#NAME?</v>
      </c>
      <c r="N15" t="e">
        <f ca="1">IF(B15="","",GBlackScholesNGreeks("r",LOWER(H15),F15,G15,(D15-A15)/365,E15,0,I15))</f>
        <v>#NAME?</v>
      </c>
      <c r="O15">
        <v>62</v>
      </c>
      <c r="P15" t="s">
        <v>37</v>
      </c>
      <c r="Q15">
        <v>50</v>
      </c>
      <c r="R15" t="s">
        <v>49</v>
      </c>
      <c r="S15" t="s">
        <v>33</v>
      </c>
      <c r="T15" t="s">
        <v>0</v>
      </c>
      <c r="U15">
        <v>0</v>
      </c>
      <c r="V15" t="e">
        <f ca="1">IF(B15="","",CGBlackScholes("dddv",LOWER(H15),F15,G15,(D15-A15)/365,E15,0,I15,J15))</f>
        <v>#NAME?</v>
      </c>
      <c r="W15" t="e">
        <f ca="1">IF(B15="","",CGBlackScholes("dvv",LOWER(H15),F15,G15,(D15-A15)/365,E15,0,I15,J15))</f>
        <v>#NAME?</v>
      </c>
      <c r="X15" t="e">
        <f ca="1">IF(B15="","",CGBlackScholes("dt",LOWER(H15),F15,G15,(D15-A15)/365,E15,0,I15,J15))</f>
        <v>#NAME?</v>
      </c>
      <c r="Y15" t="e">
        <f ca="1">IF(B15="","",CGBlackScholes("gps",LOWER(H15),F15,G15,(D15-A15)/365,E15,0,I15,J15))</f>
        <v>#NAME?</v>
      </c>
      <c r="Z15" t="e">
        <f ca="1">IF(B15="","",CGBlackScholes("gpv",LOWER(H15),F15,G15,(D15-A15)/365,E15,0,I15,J15))</f>
        <v>#NAME?</v>
      </c>
      <c r="AA15" t="e">
        <f ca="1">IF(B15="","",CGBlackScholes("dvdv",LOWER(H15),F15,G15,(D15-A15)/365,E15,0,I15,J15))</f>
        <v>#NAME?</v>
      </c>
      <c r="AB15" t="e">
        <f ca="1">IF(B15="","",CGBlackScholes("vvv",LOWER(H15),F15,G15,(D15-A15)/365,E15,0,I15,J15))</f>
        <v>#NAME?</v>
      </c>
    </row>
    <row r="16" spans="1:28" x14ac:dyDescent="0.3">
      <c r="A16" s="18">
        <v>45909</v>
      </c>
      <c r="B16">
        <v>571.5</v>
      </c>
      <c r="C16" t="s">
        <v>48</v>
      </c>
      <c r="D16" s="18">
        <v>45961</v>
      </c>
      <c r="E16" t="str">
        <f>IFERROR(VLOOKUP(A16,#REF!,5,TRUE),"not found")</f>
        <v>not found</v>
      </c>
      <c r="F16" t="str">
        <f>IFERROR(VLOOKUP(A16,#REF!,2,TRUE),"")</f>
        <v/>
      </c>
      <c r="G16">
        <v>7150</v>
      </c>
      <c r="H16" t="s">
        <v>2</v>
      </c>
      <c r="I16" t="e">
        <f ca="1">IF(B16="","",GBlackScholesImpVolBisection(LOWER(H16),F16,G16,(D16-A16)/365,E16,0,B16))</f>
        <v>#NAME?</v>
      </c>
      <c r="J16" t="e">
        <f ca="1">IF(B16="","",GBlackScholesNGreeks("d",LOWER(H16),F16,G16,(D16-A16)/365,E16,0,I16))</f>
        <v>#NAME?</v>
      </c>
      <c r="K16" t="e">
        <f ca="1">IF(B16="","",GBlackScholesNGreeks("v",LOWER(H16),F16,G16,(D16-A16)/365,E16,0,I16))</f>
        <v>#NAME?</v>
      </c>
      <c r="L16" t="e">
        <f ca="1">IF(B16="","",GBlackScholesNGreeks("g",LOWER(H16),F16,G16,(D16-A16)/365,E16,0,I16))</f>
        <v>#NAME?</v>
      </c>
      <c r="M16" t="e">
        <f ca="1">IF(B16="","",GBlackScholesNGreeks("t",LOWER(H16),F16,G16,(D16-A16)/365,E16,0,I16))</f>
        <v>#NAME?</v>
      </c>
      <c r="N16" t="e">
        <f ca="1">IF(B16="","",GBlackScholesNGreeks("r",LOWER(H16),F16,G16,(D16-A16)/365,E16,0,I16))</f>
        <v>#NAME?</v>
      </c>
      <c r="O16">
        <v>62</v>
      </c>
      <c r="P16" t="s">
        <v>37</v>
      </c>
      <c r="Q16">
        <v>50</v>
      </c>
      <c r="R16" t="s">
        <v>49</v>
      </c>
      <c r="S16" t="s">
        <v>33</v>
      </c>
      <c r="T16" t="s">
        <v>0</v>
      </c>
      <c r="U16">
        <v>0</v>
      </c>
      <c r="V16" t="e">
        <f ca="1">IF(B16="","",CGBlackScholes("dddv",LOWER(H16),F16,G16,(D16-A16)/365,E16,0,I16,J16))</f>
        <v>#NAME?</v>
      </c>
      <c r="W16" t="e">
        <f ca="1">IF(B16="","",CGBlackScholes("dvv",LOWER(H16),F16,G16,(D16-A16)/365,E16,0,I16,J16))</f>
        <v>#NAME?</v>
      </c>
      <c r="X16" t="e">
        <f ca="1">IF(B16="","",CGBlackScholes("dt",LOWER(H16),F16,G16,(D16-A16)/365,E16,0,I16,J16))</f>
        <v>#NAME?</v>
      </c>
      <c r="Y16" t="e">
        <f ca="1">IF(B16="","",CGBlackScholes("gps",LOWER(H16),F16,G16,(D16-A16)/365,E16,0,I16,J16))</f>
        <v>#NAME?</v>
      </c>
      <c r="Z16" t="e">
        <f ca="1">IF(B16="","",CGBlackScholes("gpv",LOWER(H16),F16,G16,(D16-A16)/365,E16,0,I16,J16))</f>
        <v>#NAME?</v>
      </c>
      <c r="AA16" t="e">
        <f ca="1">IF(B16="","",CGBlackScholes("dvdv",LOWER(H16),F16,G16,(D16-A16)/365,E16,0,I16,J16))</f>
        <v>#NAME?</v>
      </c>
      <c r="AB16" t="e">
        <f ca="1">IF(B16="","",CGBlackScholes("vvv",LOWER(H16),F16,G16,(D16-A16)/365,E16,0,I16,J16))</f>
        <v>#NAME?</v>
      </c>
    </row>
    <row r="17" spans="1:28" x14ac:dyDescent="0.3">
      <c r="A17" s="18">
        <v>45908</v>
      </c>
      <c r="B17">
        <v>587.25</v>
      </c>
      <c r="C17" t="s">
        <v>48</v>
      </c>
      <c r="D17" s="18">
        <v>45961</v>
      </c>
      <c r="E17" t="str">
        <f>IFERROR(VLOOKUP(A17,#REF!,5,TRUE),"not found")</f>
        <v>not found</v>
      </c>
      <c r="F17" t="str">
        <f>IFERROR(VLOOKUP(A17,#REF!,2,TRUE),"")</f>
        <v/>
      </c>
      <c r="G17">
        <v>7150</v>
      </c>
      <c r="H17" t="s">
        <v>2</v>
      </c>
      <c r="I17" t="e">
        <f ca="1">IF(B17="","",GBlackScholesImpVolBisection(LOWER(H17),F17,G17,(D17-A17)/365,E17,0,B17))</f>
        <v>#NAME?</v>
      </c>
      <c r="J17" t="e">
        <f ca="1">IF(B17="","",GBlackScholesNGreeks("d",LOWER(H17),F17,G17,(D17-A17)/365,E17,0,I17))</f>
        <v>#NAME?</v>
      </c>
      <c r="K17" t="e">
        <f ca="1">IF(B17="","",GBlackScholesNGreeks("v",LOWER(H17),F17,G17,(D17-A17)/365,E17,0,I17))</f>
        <v>#NAME?</v>
      </c>
      <c r="L17" t="e">
        <f ca="1">IF(B17="","",GBlackScholesNGreeks("g",LOWER(H17),F17,G17,(D17-A17)/365,E17,0,I17))</f>
        <v>#NAME?</v>
      </c>
      <c r="M17" t="e">
        <f ca="1">IF(B17="","",GBlackScholesNGreeks("t",LOWER(H17),F17,G17,(D17-A17)/365,E17,0,I17))</f>
        <v>#NAME?</v>
      </c>
      <c r="N17" t="e">
        <f ca="1">IF(B17="","",GBlackScholesNGreeks("r",LOWER(H17),F17,G17,(D17-A17)/365,E17,0,I17))</f>
        <v>#NAME?</v>
      </c>
      <c r="O17">
        <v>62</v>
      </c>
      <c r="P17" t="s">
        <v>37</v>
      </c>
      <c r="Q17">
        <v>50</v>
      </c>
      <c r="R17" t="s">
        <v>49</v>
      </c>
      <c r="S17" t="s">
        <v>33</v>
      </c>
      <c r="T17" t="s">
        <v>0</v>
      </c>
      <c r="U17">
        <v>0</v>
      </c>
      <c r="V17" t="e">
        <f ca="1">IF(B17="","",CGBlackScholes("dddv",LOWER(H17),F17,G17,(D17-A17)/365,E17,0,I17,J17))</f>
        <v>#NAME?</v>
      </c>
      <c r="W17" t="e">
        <f ca="1">IF(B17="","",CGBlackScholes("dvv",LOWER(H17),F17,G17,(D17-A17)/365,E17,0,I17,J17))</f>
        <v>#NAME?</v>
      </c>
      <c r="X17" t="e">
        <f ca="1">IF(B17="","",CGBlackScholes("dt",LOWER(H17),F17,G17,(D17-A17)/365,E17,0,I17,J17))</f>
        <v>#NAME?</v>
      </c>
      <c r="Y17" t="e">
        <f ca="1">IF(B17="","",CGBlackScholes("gps",LOWER(H17),F17,G17,(D17-A17)/365,E17,0,I17,J17))</f>
        <v>#NAME?</v>
      </c>
      <c r="Z17" t="e">
        <f ca="1">IF(B17="","",CGBlackScholes("gpv",LOWER(H17),F17,G17,(D17-A17)/365,E17,0,I17,J17))</f>
        <v>#NAME?</v>
      </c>
      <c r="AA17" t="e">
        <f ca="1">IF(B17="","",CGBlackScholes("dvdv",LOWER(H17),F17,G17,(D17-A17)/365,E17,0,I17,J17))</f>
        <v>#NAME?</v>
      </c>
      <c r="AB17" t="e">
        <f ca="1">IF(B17="","",CGBlackScholes("vvv",LOWER(H17),F17,G17,(D17-A17)/365,E17,0,I17,J17))</f>
        <v>#NAME?</v>
      </c>
    </row>
    <row r="18" spans="1:28" x14ac:dyDescent="0.3">
      <c r="A18" s="18">
        <v>45905</v>
      </c>
      <c r="B18">
        <v>602.75</v>
      </c>
      <c r="C18" t="s">
        <v>48</v>
      </c>
      <c r="D18" s="18">
        <v>45961</v>
      </c>
      <c r="E18" t="str">
        <f>IFERROR(VLOOKUP(A18,#REF!,5,TRUE),"not found")</f>
        <v>not found</v>
      </c>
      <c r="F18" t="str">
        <f>IFERROR(VLOOKUP(A18,#REF!,2,TRUE),"")</f>
        <v/>
      </c>
      <c r="G18">
        <v>7150</v>
      </c>
      <c r="H18" t="s">
        <v>2</v>
      </c>
      <c r="I18" t="e">
        <f ca="1">IF(B18="","",GBlackScholesImpVolBisection(LOWER(H18),F18,G18,(D18-A18)/365,E18,0,B18))</f>
        <v>#NAME?</v>
      </c>
      <c r="J18" t="e">
        <f ca="1">IF(B18="","",GBlackScholesNGreeks("d",LOWER(H18),F18,G18,(D18-A18)/365,E18,0,I18))</f>
        <v>#NAME?</v>
      </c>
      <c r="K18" t="e">
        <f ca="1">IF(B18="","",GBlackScholesNGreeks("v",LOWER(H18),F18,G18,(D18-A18)/365,E18,0,I18))</f>
        <v>#NAME?</v>
      </c>
      <c r="L18" t="e">
        <f ca="1">IF(B18="","",GBlackScholesNGreeks("g",LOWER(H18),F18,G18,(D18-A18)/365,E18,0,I18))</f>
        <v>#NAME?</v>
      </c>
      <c r="M18" t="e">
        <f ca="1">IF(B18="","",GBlackScholesNGreeks("t",LOWER(H18),F18,G18,(D18-A18)/365,E18,0,I18))</f>
        <v>#NAME?</v>
      </c>
      <c r="N18" t="e">
        <f ca="1">IF(B18="","",GBlackScholesNGreeks("r",LOWER(H18),F18,G18,(D18-A18)/365,E18,0,I18))</f>
        <v>#NAME?</v>
      </c>
      <c r="O18">
        <v>62</v>
      </c>
      <c r="P18" t="s">
        <v>37</v>
      </c>
      <c r="Q18">
        <v>50</v>
      </c>
      <c r="R18" t="s">
        <v>49</v>
      </c>
      <c r="S18" t="s">
        <v>33</v>
      </c>
      <c r="T18" t="s">
        <v>0</v>
      </c>
      <c r="U18">
        <v>0</v>
      </c>
      <c r="V18" t="e">
        <f ca="1">IF(B18="","",CGBlackScholes("dddv",LOWER(H18),F18,G18,(D18-A18)/365,E18,0,I18,J18))</f>
        <v>#NAME?</v>
      </c>
      <c r="W18" t="e">
        <f ca="1">IF(B18="","",CGBlackScholes("dvv",LOWER(H18),F18,G18,(D18-A18)/365,E18,0,I18,J18))</f>
        <v>#NAME?</v>
      </c>
      <c r="X18" t="e">
        <f ca="1">IF(B18="","",CGBlackScholes("dt",LOWER(H18),F18,G18,(D18-A18)/365,E18,0,I18,J18))</f>
        <v>#NAME?</v>
      </c>
      <c r="Y18" t="e">
        <f ca="1">IF(B18="","",CGBlackScholes("gps",LOWER(H18),F18,G18,(D18-A18)/365,E18,0,I18,J18))</f>
        <v>#NAME?</v>
      </c>
      <c r="Z18" t="e">
        <f ca="1">IF(B18="","",CGBlackScholes("gpv",LOWER(H18),F18,G18,(D18-A18)/365,E18,0,I18,J18))</f>
        <v>#NAME?</v>
      </c>
      <c r="AA18" t="e">
        <f ca="1">IF(B18="","",CGBlackScholes("dvdv",LOWER(H18),F18,G18,(D18-A18)/365,E18,0,I18,J18))</f>
        <v>#NAME?</v>
      </c>
      <c r="AB18" t="e">
        <f ca="1">IF(B18="","",CGBlackScholes("vvv",LOWER(H18),F18,G18,(D18-A18)/365,E18,0,I18,J18))</f>
        <v>#NAME?</v>
      </c>
    </row>
    <row r="19" spans="1:28" x14ac:dyDescent="0.3">
      <c r="A19" s="18">
        <v>45904</v>
      </c>
      <c r="B19">
        <v>581</v>
      </c>
      <c r="C19" t="s">
        <v>48</v>
      </c>
      <c r="D19" s="18">
        <v>45961</v>
      </c>
      <c r="E19" t="str">
        <f>IFERROR(VLOOKUP(A19,#REF!,5,TRUE),"not found")</f>
        <v>not found</v>
      </c>
      <c r="F19" t="str">
        <f>IFERROR(VLOOKUP(A19,#REF!,2,TRUE),"")</f>
        <v/>
      </c>
      <c r="G19">
        <v>7150</v>
      </c>
      <c r="H19" t="s">
        <v>2</v>
      </c>
      <c r="I19" t="e">
        <f ca="1">IF(B19="","",GBlackScholesImpVolBisection(LOWER(H19),F19,G19,(D19-A19)/365,E19,0,B19))</f>
        <v>#NAME?</v>
      </c>
      <c r="J19" t="e">
        <f ca="1">IF(B19="","",GBlackScholesNGreeks("d",LOWER(H19),F19,G19,(D19-A19)/365,E19,0,I19))</f>
        <v>#NAME?</v>
      </c>
      <c r="K19" t="e">
        <f ca="1">IF(B19="","",GBlackScholesNGreeks("v",LOWER(H19),F19,G19,(D19-A19)/365,E19,0,I19))</f>
        <v>#NAME?</v>
      </c>
      <c r="L19" t="e">
        <f ca="1">IF(B19="","",GBlackScholesNGreeks("g",LOWER(H19),F19,G19,(D19-A19)/365,E19,0,I19))</f>
        <v>#NAME?</v>
      </c>
      <c r="M19" t="e">
        <f ca="1">IF(B19="","",GBlackScholesNGreeks("t",LOWER(H19),F19,G19,(D19-A19)/365,E19,0,I19))</f>
        <v>#NAME?</v>
      </c>
      <c r="N19" t="e">
        <f ca="1">IF(B19="","",GBlackScholesNGreeks("r",LOWER(H19),F19,G19,(D19-A19)/365,E19,0,I19))</f>
        <v>#NAME?</v>
      </c>
      <c r="O19">
        <v>62</v>
      </c>
      <c r="P19" t="s">
        <v>37</v>
      </c>
      <c r="Q19">
        <v>50</v>
      </c>
      <c r="R19" t="s">
        <v>49</v>
      </c>
      <c r="S19" t="s">
        <v>33</v>
      </c>
      <c r="T19" t="s">
        <v>0</v>
      </c>
      <c r="U19">
        <v>0</v>
      </c>
      <c r="V19" t="e">
        <f ca="1">IF(B19="","",CGBlackScholes("dddv",LOWER(H19),F19,G19,(D19-A19)/365,E19,0,I19,J19))</f>
        <v>#NAME?</v>
      </c>
      <c r="W19" t="e">
        <f ca="1">IF(B19="","",CGBlackScholes("dvv",LOWER(H19),F19,G19,(D19-A19)/365,E19,0,I19,J19))</f>
        <v>#NAME?</v>
      </c>
      <c r="X19" t="e">
        <f ca="1">IF(B19="","",CGBlackScholes("dt",LOWER(H19),F19,G19,(D19-A19)/365,E19,0,I19,J19))</f>
        <v>#NAME?</v>
      </c>
      <c r="Y19" t="e">
        <f ca="1">IF(B19="","",CGBlackScholes("gps",LOWER(H19),F19,G19,(D19-A19)/365,E19,0,I19,J19))</f>
        <v>#NAME?</v>
      </c>
      <c r="Z19" t="e">
        <f ca="1">IF(B19="","",CGBlackScholes("gpv",LOWER(H19),F19,G19,(D19-A19)/365,E19,0,I19,J19))</f>
        <v>#NAME?</v>
      </c>
      <c r="AA19" t="e">
        <f ca="1">IF(B19="","",CGBlackScholes("dvdv",LOWER(H19),F19,G19,(D19-A19)/365,E19,0,I19,J19))</f>
        <v>#NAME?</v>
      </c>
      <c r="AB19" t="e">
        <f ca="1">IF(B19="","",CGBlackScholes("vvv",LOWER(H19),F19,G19,(D19-A19)/365,E19,0,I19,J19))</f>
        <v>#NAME?</v>
      </c>
    </row>
    <row r="20" spans="1:28" x14ac:dyDescent="0.3">
      <c r="A20" s="18">
        <v>45903</v>
      </c>
      <c r="B20">
        <v>634</v>
      </c>
      <c r="C20" t="s">
        <v>48</v>
      </c>
      <c r="D20" s="18">
        <v>45961</v>
      </c>
      <c r="E20" t="str">
        <f>IFERROR(VLOOKUP(A20,#REF!,5,TRUE),"not found")</f>
        <v>not found</v>
      </c>
      <c r="F20" t="str">
        <f>IFERROR(VLOOKUP(A20,#REF!,2,TRUE),"")</f>
        <v/>
      </c>
      <c r="G20">
        <v>7150</v>
      </c>
      <c r="H20" t="s">
        <v>2</v>
      </c>
      <c r="I20" t="e">
        <f ca="1">IF(B20="","",GBlackScholesImpVolBisection(LOWER(H20),F20,G20,(D20-A20)/365,E20,0,B20))</f>
        <v>#NAME?</v>
      </c>
      <c r="J20" t="e">
        <f ca="1">IF(B20="","",GBlackScholesNGreeks("d",LOWER(H20),F20,G20,(D20-A20)/365,E20,0,I20))</f>
        <v>#NAME?</v>
      </c>
      <c r="K20" t="e">
        <f ca="1">IF(B20="","",GBlackScholesNGreeks("v",LOWER(H20),F20,G20,(D20-A20)/365,E20,0,I20))</f>
        <v>#NAME?</v>
      </c>
      <c r="L20" t="e">
        <f ca="1">IF(B20="","",GBlackScholesNGreeks("g",LOWER(H20),F20,G20,(D20-A20)/365,E20,0,I20))</f>
        <v>#NAME?</v>
      </c>
      <c r="M20" t="e">
        <f ca="1">IF(B20="","",GBlackScholesNGreeks("t",LOWER(H20),F20,G20,(D20-A20)/365,E20,0,I20))</f>
        <v>#NAME?</v>
      </c>
      <c r="N20" t="e">
        <f ca="1">IF(B20="","",GBlackScholesNGreeks("r",LOWER(H20),F20,G20,(D20-A20)/365,E20,0,I20))</f>
        <v>#NAME?</v>
      </c>
      <c r="O20">
        <v>62</v>
      </c>
      <c r="P20" t="s">
        <v>37</v>
      </c>
      <c r="Q20">
        <v>50</v>
      </c>
      <c r="R20" t="s">
        <v>49</v>
      </c>
      <c r="S20" t="s">
        <v>33</v>
      </c>
      <c r="T20" t="s">
        <v>0</v>
      </c>
      <c r="U20">
        <v>0</v>
      </c>
      <c r="V20" t="e">
        <f ca="1">IF(B20="","",CGBlackScholes("dddv",LOWER(H20),F20,G20,(D20-A20)/365,E20,0,I20,J20))</f>
        <v>#NAME?</v>
      </c>
      <c r="W20" t="e">
        <f ca="1">IF(B20="","",CGBlackScholes("dvv",LOWER(H20),F20,G20,(D20-A20)/365,E20,0,I20,J20))</f>
        <v>#NAME?</v>
      </c>
      <c r="X20" t="e">
        <f ca="1">IF(B20="","",CGBlackScholes("dt",LOWER(H20),F20,G20,(D20-A20)/365,E20,0,I20,J20))</f>
        <v>#NAME?</v>
      </c>
      <c r="Y20" t="e">
        <f ca="1">IF(B20="","",CGBlackScholes("gps",LOWER(H20),F20,G20,(D20-A20)/365,E20,0,I20,J20))</f>
        <v>#NAME?</v>
      </c>
      <c r="Z20" t="e">
        <f ca="1">IF(B20="","",CGBlackScholes("gpv",LOWER(H20),F20,G20,(D20-A20)/365,E20,0,I20,J20))</f>
        <v>#NAME?</v>
      </c>
      <c r="AA20" t="e">
        <f ca="1">IF(B20="","",CGBlackScholes("dvdv",LOWER(H20),F20,G20,(D20-A20)/365,E20,0,I20,J20))</f>
        <v>#NAME?</v>
      </c>
      <c r="AB20" t="e">
        <f ca="1">IF(B20="","",CGBlackScholes("vvv",LOWER(H20),F20,G20,(D20-A20)/365,E20,0,I20,J20))</f>
        <v>#NAME?</v>
      </c>
    </row>
    <row r="21" spans="1:28" x14ac:dyDescent="0.3">
      <c r="A21" s="18">
        <v>45902</v>
      </c>
      <c r="B21">
        <v>665.75</v>
      </c>
      <c r="C21" t="s">
        <v>48</v>
      </c>
      <c r="D21" s="18">
        <v>45961</v>
      </c>
      <c r="E21" t="str">
        <f>IFERROR(VLOOKUP(A21,#REF!,5,TRUE),"not found")</f>
        <v>not found</v>
      </c>
      <c r="F21" t="str">
        <f>IFERROR(VLOOKUP(A21,#REF!,2,TRUE),"")</f>
        <v/>
      </c>
      <c r="G21">
        <v>7150</v>
      </c>
      <c r="H21" t="s">
        <v>2</v>
      </c>
      <c r="I21" t="e">
        <f ca="1">IF(B21="","",GBlackScholesImpVolBisection(LOWER(H21),F21,G21,(D21-A21)/365,E21,0,B21))</f>
        <v>#NAME?</v>
      </c>
      <c r="J21" t="e">
        <f ca="1">IF(B21="","",GBlackScholesNGreeks("d",LOWER(H21),F21,G21,(D21-A21)/365,E21,0,I21))</f>
        <v>#NAME?</v>
      </c>
      <c r="K21" t="e">
        <f ca="1">IF(B21="","",GBlackScholesNGreeks("v",LOWER(H21),F21,G21,(D21-A21)/365,E21,0,I21))</f>
        <v>#NAME?</v>
      </c>
      <c r="L21" t="e">
        <f ca="1">IF(B21="","",GBlackScholesNGreeks("g",LOWER(H21),F21,G21,(D21-A21)/365,E21,0,I21))</f>
        <v>#NAME?</v>
      </c>
      <c r="M21" t="e">
        <f ca="1">IF(B21="","",GBlackScholesNGreeks("t",LOWER(H21),F21,G21,(D21-A21)/365,E21,0,I21))</f>
        <v>#NAME?</v>
      </c>
      <c r="N21" t="e">
        <f ca="1">IF(B21="","",GBlackScholesNGreeks("r",LOWER(H21),F21,G21,(D21-A21)/365,E21,0,I21))</f>
        <v>#NAME?</v>
      </c>
      <c r="O21">
        <v>62</v>
      </c>
      <c r="P21" t="s">
        <v>37</v>
      </c>
      <c r="Q21">
        <v>50</v>
      </c>
      <c r="R21" t="s">
        <v>49</v>
      </c>
      <c r="S21" t="s">
        <v>33</v>
      </c>
      <c r="T21" t="s">
        <v>0</v>
      </c>
      <c r="U21">
        <v>0</v>
      </c>
      <c r="V21" t="e">
        <f ca="1">IF(B21="","",CGBlackScholes("dddv",LOWER(H21),F21,G21,(D21-A21)/365,E21,0,I21,J21))</f>
        <v>#NAME?</v>
      </c>
      <c r="W21" t="e">
        <f ca="1">IF(B21="","",CGBlackScholes("dvv",LOWER(H21),F21,G21,(D21-A21)/365,E21,0,I21,J21))</f>
        <v>#NAME?</v>
      </c>
      <c r="X21" t="e">
        <f ca="1">IF(B21="","",CGBlackScholes("dt",LOWER(H21),F21,G21,(D21-A21)/365,E21,0,I21,J21))</f>
        <v>#NAME?</v>
      </c>
      <c r="Y21" t="e">
        <f ca="1">IF(B21="","",CGBlackScholes("gps",LOWER(H21),F21,G21,(D21-A21)/365,E21,0,I21,J21))</f>
        <v>#NAME?</v>
      </c>
      <c r="Z21" t="e">
        <f ca="1">IF(B21="","",CGBlackScholes("gpv",LOWER(H21),F21,G21,(D21-A21)/365,E21,0,I21,J21))</f>
        <v>#NAME?</v>
      </c>
      <c r="AA21" t="e">
        <f ca="1">IF(B21="","",CGBlackScholes("dvdv",LOWER(H21),F21,G21,(D21-A21)/365,E21,0,I21,J21))</f>
        <v>#NAME?</v>
      </c>
      <c r="AB21" t="e">
        <f ca="1">IF(B21="","",CGBlackScholes("vvv",LOWER(H21),F21,G21,(D21-A21)/365,E21,0,I21,J21))</f>
        <v>#NAME?</v>
      </c>
    </row>
    <row r="22" spans="1:28" x14ac:dyDescent="0.3">
      <c r="A22" s="18">
        <v>45898</v>
      </c>
      <c r="B22">
        <v>618.75</v>
      </c>
      <c r="C22" t="s">
        <v>48</v>
      </c>
      <c r="D22" s="18">
        <v>45961</v>
      </c>
      <c r="E22" t="str">
        <f>IFERROR(VLOOKUP(A22,#REF!,5,TRUE),"not found")</f>
        <v>not found</v>
      </c>
      <c r="F22" t="str">
        <f>IFERROR(VLOOKUP(A22,#REF!,2,TRUE),"")</f>
        <v/>
      </c>
      <c r="G22">
        <v>7150</v>
      </c>
      <c r="H22" t="s">
        <v>2</v>
      </c>
      <c r="I22" t="e">
        <f ca="1">IF(B22="","",GBlackScholesImpVolBisection(LOWER(H22),F22,G22,(D22-A22)/365,E22,0,B22))</f>
        <v>#NAME?</v>
      </c>
      <c r="J22" t="e">
        <f ca="1">IF(B22="","",GBlackScholesNGreeks("d",LOWER(H22),F22,G22,(D22-A22)/365,E22,0,I22))</f>
        <v>#NAME?</v>
      </c>
      <c r="K22" t="e">
        <f ca="1">IF(B22="","",GBlackScholesNGreeks("v",LOWER(H22),F22,G22,(D22-A22)/365,E22,0,I22))</f>
        <v>#NAME?</v>
      </c>
      <c r="L22" t="e">
        <f ca="1">IF(B22="","",GBlackScholesNGreeks("g",LOWER(H22),F22,G22,(D22-A22)/365,E22,0,I22))</f>
        <v>#NAME?</v>
      </c>
      <c r="M22" t="e">
        <f ca="1">IF(B22="","",GBlackScholesNGreeks("t",LOWER(H22),F22,G22,(D22-A22)/365,E22,0,I22))</f>
        <v>#NAME?</v>
      </c>
      <c r="N22" t="e">
        <f ca="1">IF(B22="","",GBlackScholesNGreeks("r",LOWER(H22),F22,G22,(D22-A22)/365,E22,0,I22))</f>
        <v>#NAME?</v>
      </c>
      <c r="O22">
        <v>62</v>
      </c>
      <c r="P22" t="s">
        <v>37</v>
      </c>
      <c r="Q22">
        <v>50</v>
      </c>
      <c r="R22" t="s">
        <v>49</v>
      </c>
      <c r="S22" t="s">
        <v>33</v>
      </c>
      <c r="T22" t="s">
        <v>0</v>
      </c>
      <c r="U22">
        <v>0</v>
      </c>
      <c r="V22" t="e">
        <f ca="1">IF(B22="","",CGBlackScholes("dddv",LOWER(H22),F22,G22,(D22-A22)/365,E22,0,I22,J22))</f>
        <v>#NAME?</v>
      </c>
      <c r="W22" t="e">
        <f ca="1">IF(B22="","",CGBlackScholes("dvv",LOWER(H22),F22,G22,(D22-A22)/365,E22,0,I22,J22))</f>
        <v>#NAME?</v>
      </c>
      <c r="X22" t="e">
        <f ca="1">IF(B22="","",CGBlackScholes("dt",LOWER(H22),F22,G22,(D22-A22)/365,E22,0,I22,J22))</f>
        <v>#NAME?</v>
      </c>
      <c r="Y22" t="e">
        <f ca="1">IF(B22="","",CGBlackScholes("gps",LOWER(H22),F22,G22,(D22-A22)/365,E22,0,I22,J22))</f>
        <v>#NAME?</v>
      </c>
      <c r="Z22" t="e">
        <f ca="1">IF(B22="","",CGBlackScholes("gpv",LOWER(H22),F22,G22,(D22-A22)/365,E22,0,I22,J22))</f>
        <v>#NAME?</v>
      </c>
      <c r="AA22" t="e">
        <f ca="1">IF(B22="","",CGBlackScholes("dvdv",LOWER(H22),F22,G22,(D22-A22)/365,E22,0,I22,J22))</f>
        <v>#NAME?</v>
      </c>
      <c r="AB22" t="e">
        <f ca="1">IF(B22="","",CGBlackScholes("vvv",LOWER(H22),F22,G22,(D22-A22)/365,E22,0,I22,J22))</f>
        <v>#NAME?</v>
      </c>
    </row>
    <row r="23" spans="1:28" x14ac:dyDescent="0.3">
      <c r="A23" s="18">
        <v>45897</v>
      </c>
      <c r="B23">
        <v>574.25</v>
      </c>
      <c r="C23" t="s">
        <v>48</v>
      </c>
      <c r="D23" s="18">
        <v>45961</v>
      </c>
      <c r="E23" t="str">
        <f>IFERROR(VLOOKUP(A23,#REF!,5,TRUE),"not found")</f>
        <v>not found</v>
      </c>
      <c r="F23" t="str">
        <f>IFERROR(VLOOKUP(A23,#REF!,2,TRUE),"")</f>
        <v/>
      </c>
      <c r="G23">
        <v>7150</v>
      </c>
      <c r="H23" t="s">
        <v>2</v>
      </c>
      <c r="I23" t="e">
        <f ca="1">IF(B23="","",GBlackScholesImpVolBisection(LOWER(H23),F23,G23,(D23-A23)/365,E23,0,B23))</f>
        <v>#NAME?</v>
      </c>
      <c r="J23" t="e">
        <f ca="1">IF(B23="","",GBlackScholesNGreeks("d",LOWER(H23),F23,G23,(D23-A23)/365,E23,0,I23))</f>
        <v>#NAME?</v>
      </c>
      <c r="K23" t="e">
        <f ca="1">IF(B23="","",GBlackScholesNGreeks("v",LOWER(H23),F23,G23,(D23-A23)/365,E23,0,I23))</f>
        <v>#NAME?</v>
      </c>
      <c r="L23" t="e">
        <f ca="1">IF(B23="","",GBlackScholesNGreeks("g",LOWER(H23),F23,G23,(D23-A23)/365,E23,0,I23))</f>
        <v>#NAME?</v>
      </c>
      <c r="M23" t="e">
        <f ca="1">IF(B23="","",GBlackScholesNGreeks("t",LOWER(H23),F23,G23,(D23-A23)/365,E23,0,I23))</f>
        <v>#NAME?</v>
      </c>
      <c r="N23" t="e">
        <f ca="1">IF(B23="","",GBlackScholesNGreeks("r",LOWER(H23),F23,G23,(D23-A23)/365,E23,0,I23))</f>
        <v>#NAME?</v>
      </c>
      <c r="O23">
        <v>62</v>
      </c>
      <c r="P23" t="s">
        <v>37</v>
      </c>
      <c r="Q23">
        <v>50</v>
      </c>
      <c r="R23" t="s">
        <v>49</v>
      </c>
      <c r="S23" t="s">
        <v>33</v>
      </c>
      <c r="T23" t="s">
        <v>0</v>
      </c>
      <c r="U23">
        <v>0</v>
      </c>
      <c r="V23" t="e">
        <f ca="1">IF(B23="","",CGBlackScholes("dddv",LOWER(H23),F23,G23,(D23-A23)/365,E23,0,I23,J23))</f>
        <v>#NAME?</v>
      </c>
      <c r="W23" t="e">
        <f ca="1">IF(B23="","",CGBlackScholes("dvv",LOWER(H23),F23,G23,(D23-A23)/365,E23,0,I23,J23))</f>
        <v>#NAME?</v>
      </c>
      <c r="X23" t="e">
        <f ca="1">IF(B23="","",CGBlackScholes("dt",LOWER(H23),F23,G23,(D23-A23)/365,E23,0,I23,J23))</f>
        <v>#NAME?</v>
      </c>
      <c r="Y23" t="e">
        <f ca="1">IF(B23="","",CGBlackScholes("gps",LOWER(H23),F23,G23,(D23-A23)/365,E23,0,I23,J23))</f>
        <v>#NAME?</v>
      </c>
      <c r="Z23" t="e">
        <f ca="1">IF(B23="","",CGBlackScholes("gpv",LOWER(H23),F23,G23,(D23-A23)/365,E23,0,I23,J23))</f>
        <v>#NAME?</v>
      </c>
      <c r="AA23" t="e">
        <f ca="1">IF(B23="","",CGBlackScholes("dvdv",LOWER(H23),F23,G23,(D23-A23)/365,E23,0,I23,J23))</f>
        <v>#NAME?</v>
      </c>
      <c r="AB23" t="e">
        <f ca="1">IF(B23="","",CGBlackScholes("vvv",LOWER(H23),F23,G23,(D23-A23)/365,E23,0,I23,J23))</f>
        <v>#NAME?</v>
      </c>
    </row>
    <row r="24" spans="1:28" x14ac:dyDescent="0.3">
      <c r="A24" s="18">
        <v>45896</v>
      </c>
      <c r="B24">
        <v>596</v>
      </c>
      <c r="C24" t="s">
        <v>48</v>
      </c>
      <c r="D24" s="18">
        <v>45961</v>
      </c>
      <c r="E24" t="str">
        <f>IFERROR(VLOOKUP(A24,#REF!,5,TRUE),"not found")</f>
        <v>not found</v>
      </c>
      <c r="F24" t="str">
        <f>IFERROR(VLOOKUP(A24,#REF!,2,TRUE),"")</f>
        <v/>
      </c>
      <c r="G24">
        <v>7150</v>
      </c>
      <c r="H24" t="s">
        <v>2</v>
      </c>
      <c r="I24" t="e">
        <f ca="1">IF(B24="","",GBlackScholesImpVolBisection(LOWER(H24),F24,G24,(D24-A24)/365,E24,0,B24))</f>
        <v>#NAME?</v>
      </c>
      <c r="J24" t="e">
        <f ca="1">IF(B24="","",GBlackScholesNGreeks("d",LOWER(H24),F24,G24,(D24-A24)/365,E24,0,I24))</f>
        <v>#NAME?</v>
      </c>
      <c r="K24" t="e">
        <f ca="1">IF(B24="","",GBlackScholesNGreeks("v",LOWER(H24),F24,G24,(D24-A24)/365,E24,0,I24))</f>
        <v>#NAME?</v>
      </c>
      <c r="L24" t="e">
        <f ca="1">IF(B24="","",GBlackScholesNGreeks("g",LOWER(H24),F24,G24,(D24-A24)/365,E24,0,I24))</f>
        <v>#NAME?</v>
      </c>
      <c r="M24" t="e">
        <f ca="1">IF(B24="","",GBlackScholesNGreeks("t",LOWER(H24),F24,G24,(D24-A24)/365,E24,0,I24))</f>
        <v>#NAME?</v>
      </c>
      <c r="N24" t="e">
        <f ca="1">IF(B24="","",GBlackScholesNGreeks("r",LOWER(H24),F24,G24,(D24-A24)/365,E24,0,I24))</f>
        <v>#NAME?</v>
      </c>
      <c r="O24">
        <v>62</v>
      </c>
      <c r="P24" t="s">
        <v>37</v>
      </c>
      <c r="Q24">
        <v>50</v>
      </c>
      <c r="R24" t="s">
        <v>49</v>
      </c>
      <c r="S24" t="s">
        <v>33</v>
      </c>
      <c r="T24" t="s">
        <v>0</v>
      </c>
      <c r="U24">
        <v>0</v>
      </c>
      <c r="V24" t="e">
        <f ca="1">IF(B24="","",CGBlackScholes("dddv",LOWER(H24),F24,G24,(D24-A24)/365,E24,0,I24,J24))</f>
        <v>#NAME?</v>
      </c>
      <c r="W24" t="e">
        <f ca="1">IF(B24="","",CGBlackScholes("dvv",LOWER(H24),F24,G24,(D24-A24)/365,E24,0,I24,J24))</f>
        <v>#NAME?</v>
      </c>
      <c r="X24" t="e">
        <f ca="1">IF(B24="","",CGBlackScholes("dt",LOWER(H24),F24,G24,(D24-A24)/365,E24,0,I24,J24))</f>
        <v>#NAME?</v>
      </c>
      <c r="Y24" t="e">
        <f ca="1">IF(B24="","",CGBlackScholes("gps",LOWER(H24),F24,G24,(D24-A24)/365,E24,0,I24,J24))</f>
        <v>#NAME?</v>
      </c>
      <c r="Z24" t="e">
        <f ca="1">IF(B24="","",CGBlackScholes("gpv",LOWER(H24),F24,G24,(D24-A24)/365,E24,0,I24,J24))</f>
        <v>#NAME?</v>
      </c>
      <c r="AA24" t="e">
        <f ca="1">IF(B24="","",CGBlackScholes("dvdv",LOWER(H24),F24,G24,(D24-A24)/365,E24,0,I24,J24))</f>
        <v>#NAME?</v>
      </c>
      <c r="AB24" t="e">
        <f ca="1">IF(B24="","",CGBlackScholes("vvv",LOWER(H24),F24,G24,(D24-A24)/365,E24,0,I24,J24))</f>
        <v>#NAME?</v>
      </c>
    </row>
    <row r="25" spans="1:28" x14ac:dyDescent="0.3">
      <c r="A25" s="18">
        <v>45895</v>
      </c>
      <c r="B25">
        <v>609</v>
      </c>
      <c r="C25" t="s">
        <v>48</v>
      </c>
      <c r="D25" s="18">
        <v>45961</v>
      </c>
      <c r="E25" t="str">
        <f>IFERROR(VLOOKUP(A25,#REF!,5,TRUE),"not found")</f>
        <v>not found</v>
      </c>
      <c r="F25" t="str">
        <f>IFERROR(VLOOKUP(A25,#REF!,2,TRUE),"")</f>
        <v/>
      </c>
      <c r="G25">
        <v>7150</v>
      </c>
      <c r="H25" t="s">
        <v>2</v>
      </c>
      <c r="I25" t="e">
        <f ca="1">IF(B25="","",GBlackScholesImpVolBisection(LOWER(H25),F25,G25,(D25-A25)/365,E25,0,B25))</f>
        <v>#NAME?</v>
      </c>
      <c r="J25" t="e">
        <f ca="1">IF(B25="","",GBlackScholesNGreeks("d",LOWER(H25),F25,G25,(D25-A25)/365,E25,0,I25))</f>
        <v>#NAME?</v>
      </c>
      <c r="K25" t="e">
        <f ca="1">IF(B25="","",GBlackScholesNGreeks("v",LOWER(H25),F25,G25,(D25-A25)/365,E25,0,I25))</f>
        <v>#NAME?</v>
      </c>
      <c r="L25" t="e">
        <f ca="1">IF(B25="","",GBlackScholesNGreeks("g",LOWER(H25),F25,G25,(D25-A25)/365,E25,0,I25))</f>
        <v>#NAME?</v>
      </c>
      <c r="M25" t="e">
        <f ca="1">IF(B25="","",GBlackScholesNGreeks("t",LOWER(H25),F25,G25,(D25-A25)/365,E25,0,I25))</f>
        <v>#NAME?</v>
      </c>
      <c r="N25" t="e">
        <f ca="1">IF(B25="","",GBlackScholesNGreeks("r",LOWER(H25),F25,G25,(D25-A25)/365,E25,0,I25))</f>
        <v>#NAME?</v>
      </c>
      <c r="O25">
        <v>62</v>
      </c>
      <c r="P25" t="s">
        <v>37</v>
      </c>
      <c r="Q25">
        <v>50</v>
      </c>
      <c r="R25" t="s">
        <v>49</v>
      </c>
      <c r="S25" t="s">
        <v>33</v>
      </c>
      <c r="T25" t="s">
        <v>0</v>
      </c>
      <c r="U25">
        <v>0</v>
      </c>
      <c r="V25" t="e">
        <f ca="1">IF(B25="","",CGBlackScholes("dddv",LOWER(H25),F25,G25,(D25-A25)/365,E25,0,I25,J25))</f>
        <v>#NAME?</v>
      </c>
      <c r="W25" t="e">
        <f ca="1">IF(B25="","",CGBlackScholes("dvv",LOWER(H25),F25,G25,(D25-A25)/365,E25,0,I25,J25))</f>
        <v>#NAME?</v>
      </c>
      <c r="X25" t="e">
        <f ca="1">IF(B25="","",CGBlackScholes("dt",LOWER(H25),F25,G25,(D25-A25)/365,E25,0,I25,J25))</f>
        <v>#NAME?</v>
      </c>
      <c r="Y25" t="e">
        <f ca="1">IF(B25="","",CGBlackScholes("gps",LOWER(H25),F25,G25,(D25-A25)/365,E25,0,I25,J25))</f>
        <v>#NAME?</v>
      </c>
      <c r="Z25" t="e">
        <f ca="1">IF(B25="","",CGBlackScholes("gpv",LOWER(H25),F25,G25,(D25-A25)/365,E25,0,I25,J25))</f>
        <v>#NAME?</v>
      </c>
      <c r="AA25" t="e">
        <f ca="1">IF(B25="","",CGBlackScholes("dvdv",LOWER(H25),F25,G25,(D25-A25)/365,E25,0,I25,J25))</f>
        <v>#NAME?</v>
      </c>
      <c r="AB25" t="e">
        <f ca="1">IF(B25="","",CGBlackScholes("vvv",LOWER(H25),F25,G25,(D25-A25)/365,E25,0,I25,J25))</f>
        <v>#NAME?</v>
      </c>
    </row>
    <row r="26" spans="1:28" x14ac:dyDescent="0.3">
      <c r="A26" s="18">
        <v>45894</v>
      </c>
      <c r="B26">
        <v>635.75</v>
      </c>
      <c r="C26" t="s">
        <v>48</v>
      </c>
      <c r="D26" s="18">
        <v>45961</v>
      </c>
      <c r="E26" t="str">
        <f>IFERROR(VLOOKUP(A26,#REF!,5,TRUE),"not found")</f>
        <v>not found</v>
      </c>
      <c r="F26" t="str">
        <f>IFERROR(VLOOKUP(A26,#REF!,2,TRUE),"")</f>
        <v/>
      </c>
      <c r="G26">
        <v>7150</v>
      </c>
      <c r="H26" t="s">
        <v>2</v>
      </c>
      <c r="I26" t="e">
        <f ca="1">IF(B26="","",GBlackScholesImpVolBisection(LOWER(H26),F26,G26,(D26-A26)/365,E26,0,B26))</f>
        <v>#NAME?</v>
      </c>
      <c r="J26" t="e">
        <f ca="1">IF(B26="","",GBlackScholesNGreeks("d",LOWER(H26),F26,G26,(D26-A26)/365,E26,0,I26))</f>
        <v>#NAME?</v>
      </c>
      <c r="K26" t="e">
        <f ca="1">IF(B26="","",GBlackScholesNGreeks("v",LOWER(H26),F26,G26,(D26-A26)/365,E26,0,I26))</f>
        <v>#NAME?</v>
      </c>
      <c r="L26" t="e">
        <f ca="1">IF(B26="","",GBlackScholesNGreeks("g",LOWER(H26),F26,G26,(D26-A26)/365,E26,0,I26))</f>
        <v>#NAME?</v>
      </c>
      <c r="M26" t="e">
        <f ca="1">IF(B26="","",GBlackScholesNGreeks("t",LOWER(H26),F26,G26,(D26-A26)/365,E26,0,I26))</f>
        <v>#NAME?</v>
      </c>
      <c r="N26" t="e">
        <f ca="1">IF(B26="","",GBlackScholesNGreeks("r",LOWER(H26),F26,G26,(D26-A26)/365,E26,0,I26))</f>
        <v>#NAME?</v>
      </c>
      <c r="O26">
        <v>62</v>
      </c>
      <c r="P26" t="s">
        <v>37</v>
      </c>
      <c r="Q26">
        <v>50</v>
      </c>
      <c r="R26" t="s">
        <v>49</v>
      </c>
      <c r="S26" t="s">
        <v>33</v>
      </c>
      <c r="T26" t="s">
        <v>0</v>
      </c>
      <c r="U26">
        <v>0</v>
      </c>
      <c r="V26" t="e">
        <f ca="1">IF(B26="","",CGBlackScholes("dddv",LOWER(H26),F26,G26,(D26-A26)/365,E26,0,I26,J26))</f>
        <v>#NAME?</v>
      </c>
      <c r="W26" t="e">
        <f ca="1">IF(B26="","",CGBlackScholes("dvv",LOWER(H26),F26,G26,(D26-A26)/365,E26,0,I26,J26))</f>
        <v>#NAME?</v>
      </c>
      <c r="X26" t="e">
        <f ca="1">IF(B26="","",CGBlackScholes("dt",LOWER(H26),F26,G26,(D26-A26)/365,E26,0,I26,J26))</f>
        <v>#NAME?</v>
      </c>
      <c r="Y26" t="e">
        <f ca="1">IF(B26="","",CGBlackScholes("gps",LOWER(H26),F26,G26,(D26-A26)/365,E26,0,I26,J26))</f>
        <v>#NAME?</v>
      </c>
      <c r="Z26" t="e">
        <f ca="1">IF(B26="","",CGBlackScholes("gpv",LOWER(H26),F26,G26,(D26-A26)/365,E26,0,I26,J26))</f>
        <v>#NAME?</v>
      </c>
      <c r="AA26" t="e">
        <f ca="1">IF(B26="","",CGBlackScholes("dvdv",LOWER(H26),F26,G26,(D26-A26)/365,E26,0,I26,J26))</f>
        <v>#NAME?</v>
      </c>
      <c r="AB26" t="e">
        <f ca="1">IF(B26="","",CGBlackScholes("vvv",LOWER(H26),F26,G26,(D26-A26)/365,E26,0,I26,J26))</f>
        <v>#NAME?</v>
      </c>
    </row>
    <row r="27" spans="1:28" x14ac:dyDescent="0.3">
      <c r="A27" s="18">
        <v>45891</v>
      </c>
      <c r="B27">
        <v>608.75</v>
      </c>
      <c r="C27" t="s">
        <v>48</v>
      </c>
      <c r="D27" s="18">
        <v>45961</v>
      </c>
      <c r="E27" t="str">
        <f>IFERROR(VLOOKUP(A27,#REF!,5,TRUE),"not found")</f>
        <v>not found</v>
      </c>
      <c r="F27" t="str">
        <f>IFERROR(VLOOKUP(A27,#REF!,2,TRUE),"")</f>
        <v/>
      </c>
      <c r="G27">
        <v>7150</v>
      </c>
      <c r="H27" t="s">
        <v>2</v>
      </c>
      <c r="I27" t="e">
        <f ca="1">IF(B27="","",GBlackScholesImpVolBisection(LOWER(H27),F27,G27,(D27-A27)/365,E27,0,B27))</f>
        <v>#NAME?</v>
      </c>
      <c r="J27" t="e">
        <f ca="1">IF(B27="","",GBlackScholesNGreeks("d",LOWER(H27),F27,G27,(D27-A27)/365,E27,0,I27))</f>
        <v>#NAME?</v>
      </c>
      <c r="K27" t="e">
        <f ca="1">IF(B27="","",GBlackScholesNGreeks("v",LOWER(H27),F27,G27,(D27-A27)/365,E27,0,I27))</f>
        <v>#NAME?</v>
      </c>
      <c r="L27" t="e">
        <f ca="1">IF(B27="","",GBlackScholesNGreeks("g",LOWER(H27),F27,G27,(D27-A27)/365,E27,0,I27))</f>
        <v>#NAME?</v>
      </c>
      <c r="M27" t="e">
        <f ca="1">IF(B27="","",GBlackScholesNGreeks("t",LOWER(H27),F27,G27,(D27-A27)/365,E27,0,I27))</f>
        <v>#NAME?</v>
      </c>
      <c r="N27" t="e">
        <f ca="1">IF(B27="","",GBlackScholesNGreeks("r",LOWER(H27),F27,G27,(D27-A27)/365,E27,0,I27))</f>
        <v>#NAME?</v>
      </c>
      <c r="O27">
        <v>62</v>
      </c>
      <c r="P27" t="s">
        <v>37</v>
      </c>
      <c r="Q27">
        <v>50</v>
      </c>
      <c r="R27" t="s">
        <v>49</v>
      </c>
      <c r="S27" t="s">
        <v>33</v>
      </c>
      <c r="T27" t="s">
        <v>0</v>
      </c>
      <c r="U27">
        <v>0</v>
      </c>
      <c r="V27" t="e">
        <f ca="1">IF(B27="","",CGBlackScholes("dddv",LOWER(H27),F27,G27,(D27-A27)/365,E27,0,I27,J27))</f>
        <v>#NAME?</v>
      </c>
      <c r="W27" t="e">
        <f ca="1">IF(B27="","",CGBlackScholes("dvv",LOWER(H27),F27,G27,(D27-A27)/365,E27,0,I27,J27))</f>
        <v>#NAME?</v>
      </c>
      <c r="X27" t="e">
        <f ca="1">IF(B27="","",CGBlackScholes("dt",LOWER(H27),F27,G27,(D27-A27)/365,E27,0,I27,J27))</f>
        <v>#NAME?</v>
      </c>
      <c r="Y27" t="e">
        <f ca="1">IF(B27="","",CGBlackScholes("gps",LOWER(H27),F27,G27,(D27-A27)/365,E27,0,I27,J27))</f>
        <v>#NAME?</v>
      </c>
      <c r="Z27" t="e">
        <f ca="1">IF(B27="","",CGBlackScholes("gpv",LOWER(H27),F27,G27,(D27-A27)/365,E27,0,I27,J27))</f>
        <v>#NAME?</v>
      </c>
      <c r="AA27" t="e">
        <f ca="1">IF(B27="","",CGBlackScholes("dvdv",LOWER(H27),F27,G27,(D27-A27)/365,E27,0,I27,J27))</f>
        <v>#NAME?</v>
      </c>
      <c r="AB27" t="e">
        <f ca="1">IF(B27="","",CGBlackScholes("vvv",LOWER(H27),F27,G27,(D27-A27)/365,E27,0,I27,J27))</f>
        <v>#NAME?</v>
      </c>
    </row>
    <row r="28" spans="1:28" x14ac:dyDescent="0.3">
      <c r="A28" s="18">
        <v>45890</v>
      </c>
      <c r="B28">
        <v>702.25</v>
      </c>
      <c r="C28" t="s">
        <v>48</v>
      </c>
      <c r="D28" s="18">
        <v>45961</v>
      </c>
      <c r="E28" t="str">
        <f>IFERROR(VLOOKUP(A28,#REF!,5,TRUE),"not found")</f>
        <v>not found</v>
      </c>
      <c r="F28" t="str">
        <f>IFERROR(VLOOKUP(A28,#REF!,2,TRUE),"")</f>
        <v/>
      </c>
      <c r="G28">
        <v>7150</v>
      </c>
      <c r="H28" t="s">
        <v>2</v>
      </c>
      <c r="I28" t="e">
        <f ca="1">IF(B28="","",GBlackScholesImpVolBisection(LOWER(H28),F28,G28,(D28-A28)/365,E28,0,B28))</f>
        <v>#NAME?</v>
      </c>
      <c r="J28" t="e">
        <f ca="1">IF(B28="","",GBlackScholesNGreeks("d",LOWER(H28),F28,G28,(D28-A28)/365,E28,0,I28))</f>
        <v>#NAME?</v>
      </c>
      <c r="K28" t="e">
        <f ca="1">IF(B28="","",GBlackScholesNGreeks("v",LOWER(H28),F28,G28,(D28-A28)/365,E28,0,I28))</f>
        <v>#NAME?</v>
      </c>
      <c r="L28" t="e">
        <f ca="1">IF(B28="","",GBlackScholesNGreeks("g",LOWER(H28),F28,G28,(D28-A28)/365,E28,0,I28))</f>
        <v>#NAME?</v>
      </c>
      <c r="M28" t="e">
        <f ca="1">IF(B28="","",GBlackScholesNGreeks("t",LOWER(H28),F28,G28,(D28-A28)/365,E28,0,I28))</f>
        <v>#NAME?</v>
      </c>
      <c r="N28" t="e">
        <f ca="1">IF(B28="","",GBlackScholesNGreeks("r",LOWER(H28),F28,G28,(D28-A28)/365,E28,0,I28))</f>
        <v>#NAME?</v>
      </c>
      <c r="O28">
        <v>62</v>
      </c>
      <c r="P28" t="s">
        <v>37</v>
      </c>
      <c r="Q28">
        <v>50</v>
      </c>
      <c r="R28" t="s">
        <v>49</v>
      </c>
      <c r="S28" t="s">
        <v>33</v>
      </c>
      <c r="T28" t="s">
        <v>0</v>
      </c>
      <c r="U28">
        <v>0</v>
      </c>
      <c r="V28" t="e">
        <f ca="1">IF(B28="","",CGBlackScholes("dddv",LOWER(H28),F28,G28,(D28-A28)/365,E28,0,I28,J28))</f>
        <v>#NAME?</v>
      </c>
      <c r="W28" t="e">
        <f ca="1">IF(B28="","",CGBlackScholes("dvv",LOWER(H28),F28,G28,(D28-A28)/365,E28,0,I28,J28))</f>
        <v>#NAME?</v>
      </c>
      <c r="X28" t="e">
        <f ca="1">IF(B28="","",CGBlackScholes("dt",LOWER(H28),F28,G28,(D28-A28)/365,E28,0,I28,J28))</f>
        <v>#NAME?</v>
      </c>
      <c r="Y28" t="e">
        <f ca="1">IF(B28="","",CGBlackScholes("gps",LOWER(H28),F28,G28,(D28-A28)/365,E28,0,I28,J28))</f>
        <v>#NAME?</v>
      </c>
      <c r="Z28" t="e">
        <f ca="1">IF(B28="","",CGBlackScholes("gpv",LOWER(H28),F28,G28,(D28-A28)/365,E28,0,I28,J28))</f>
        <v>#NAME?</v>
      </c>
      <c r="AA28" t="e">
        <f ca="1">IF(B28="","",CGBlackScholes("dvdv",LOWER(H28),F28,G28,(D28-A28)/365,E28,0,I28,J28))</f>
        <v>#NAME?</v>
      </c>
      <c r="AB28" t="e">
        <f ca="1">IF(B28="","",CGBlackScholes("vvv",LOWER(H28),F28,G28,(D28-A28)/365,E28,0,I28,J28))</f>
        <v>#NAME?</v>
      </c>
    </row>
    <row r="29" spans="1:28" x14ac:dyDescent="0.3">
      <c r="A29" s="18">
        <v>45889</v>
      </c>
      <c r="B29">
        <v>678.25</v>
      </c>
      <c r="C29" t="s">
        <v>48</v>
      </c>
      <c r="D29" s="18">
        <v>45961</v>
      </c>
      <c r="E29" t="str">
        <f>IFERROR(VLOOKUP(A29,#REF!,5,TRUE),"not found")</f>
        <v>not found</v>
      </c>
      <c r="F29" t="str">
        <f>IFERROR(VLOOKUP(A29,#REF!,2,TRUE),"")</f>
        <v/>
      </c>
      <c r="G29">
        <v>7150</v>
      </c>
      <c r="H29" t="s">
        <v>2</v>
      </c>
      <c r="I29" t="e">
        <f ca="1">IF(B29="","",GBlackScholesImpVolBisection(LOWER(H29),F29,G29,(D29-A29)/365,E29,0,B29))</f>
        <v>#NAME?</v>
      </c>
      <c r="J29" t="e">
        <f ca="1">IF(B29="","",GBlackScholesNGreeks("d",LOWER(H29),F29,G29,(D29-A29)/365,E29,0,I29))</f>
        <v>#NAME?</v>
      </c>
      <c r="K29" t="e">
        <f ca="1">IF(B29="","",GBlackScholesNGreeks("v",LOWER(H29),F29,G29,(D29-A29)/365,E29,0,I29))</f>
        <v>#NAME?</v>
      </c>
      <c r="L29" t="e">
        <f ca="1">IF(B29="","",GBlackScholesNGreeks("g",LOWER(H29),F29,G29,(D29-A29)/365,E29,0,I29))</f>
        <v>#NAME?</v>
      </c>
      <c r="M29" t="e">
        <f ca="1">IF(B29="","",GBlackScholesNGreeks("t",LOWER(H29),F29,G29,(D29-A29)/365,E29,0,I29))</f>
        <v>#NAME?</v>
      </c>
      <c r="N29" t="e">
        <f ca="1">IF(B29="","",GBlackScholesNGreeks("r",LOWER(H29),F29,G29,(D29-A29)/365,E29,0,I29))</f>
        <v>#NAME?</v>
      </c>
      <c r="O29">
        <v>62</v>
      </c>
      <c r="P29" t="s">
        <v>37</v>
      </c>
      <c r="Q29">
        <v>50</v>
      </c>
      <c r="R29" t="s">
        <v>49</v>
      </c>
      <c r="S29" t="s">
        <v>33</v>
      </c>
      <c r="T29" t="s">
        <v>0</v>
      </c>
      <c r="U29">
        <v>0</v>
      </c>
      <c r="V29" t="e">
        <f ca="1">IF(B29="","",CGBlackScholes("dddv",LOWER(H29),F29,G29,(D29-A29)/365,E29,0,I29,J29))</f>
        <v>#NAME?</v>
      </c>
      <c r="W29" t="e">
        <f ca="1">IF(B29="","",CGBlackScholes("dvv",LOWER(H29),F29,G29,(D29-A29)/365,E29,0,I29,J29))</f>
        <v>#NAME?</v>
      </c>
      <c r="X29" t="e">
        <f ca="1">IF(B29="","",CGBlackScholes("dt",LOWER(H29),F29,G29,(D29-A29)/365,E29,0,I29,J29))</f>
        <v>#NAME?</v>
      </c>
      <c r="Y29" t="e">
        <f ca="1">IF(B29="","",CGBlackScholes("gps",LOWER(H29),F29,G29,(D29-A29)/365,E29,0,I29,J29))</f>
        <v>#NAME?</v>
      </c>
      <c r="Z29" t="e">
        <f ca="1">IF(B29="","",CGBlackScholes("gpv",LOWER(H29),F29,G29,(D29-A29)/365,E29,0,I29,J29))</f>
        <v>#NAME?</v>
      </c>
      <c r="AA29" t="e">
        <f ca="1">IF(B29="","",CGBlackScholes("dvdv",LOWER(H29),F29,G29,(D29-A29)/365,E29,0,I29,J29))</f>
        <v>#NAME?</v>
      </c>
      <c r="AB29" t="e">
        <f ca="1">IF(B29="","",CGBlackScholes("vvv",LOWER(H29),F29,G29,(D29-A29)/365,E29,0,I29,J29))</f>
        <v>#NAME?</v>
      </c>
    </row>
    <row r="30" spans="1:28" x14ac:dyDescent="0.3">
      <c r="A30" s="18">
        <v>45888</v>
      </c>
      <c r="B30">
        <v>659.25</v>
      </c>
      <c r="C30" t="s">
        <v>48</v>
      </c>
      <c r="D30" s="18">
        <v>45961</v>
      </c>
      <c r="E30" t="str">
        <f>IFERROR(VLOOKUP(A30,#REF!,5,TRUE),"not found")</f>
        <v>not found</v>
      </c>
      <c r="F30" t="str">
        <f>IFERROR(VLOOKUP(A30,#REF!,2,TRUE),"")</f>
        <v/>
      </c>
      <c r="G30">
        <v>7150</v>
      </c>
      <c r="H30" t="s">
        <v>2</v>
      </c>
      <c r="I30" t="e">
        <f ca="1">IF(B30="","",GBlackScholesImpVolBisection(LOWER(H30),F30,G30,(D30-A30)/365,E30,0,B30))</f>
        <v>#NAME?</v>
      </c>
      <c r="J30" t="e">
        <f ca="1">IF(B30="","",GBlackScholesNGreeks("d",LOWER(H30),F30,G30,(D30-A30)/365,E30,0,I30))</f>
        <v>#NAME?</v>
      </c>
      <c r="K30" t="e">
        <f ca="1">IF(B30="","",GBlackScholesNGreeks("v",LOWER(H30),F30,G30,(D30-A30)/365,E30,0,I30))</f>
        <v>#NAME?</v>
      </c>
      <c r="L30" t="e">
        <f ca="1">IF(B30="","",GBlackScholesNGreeks("g",LOWER(H30),F30,G30,(D30-A30)/365,E30,0,I30))</f>
        <v>#NAME?</v>
      </c>
      <c r="M30" t="e">
        <f ca="1">IF(B30="","",GBlackScholesNGreeks("t",LOWER(H30),F30,G30,(D30-A30)/365,E30,0,I30))</f>
        <v>#NAME?</v>
      </c>
      <c r="N30" t="e">
        <f ca="1">IF(B30="","",GBlackScholesNGreeks("r",LOWER(H30),F30,G30,(D30-A30)/365,E30,0,I30))</f>
        <v>#NAME?</v>
      </c>
      <c r="O30">
        <v>62</v>
      </c>
      <c r="P30" t="s">
        <v>37</v>
      </c>
      <c r="Q30">
        <v>50</v>
      </c>
      <c r="R30" t="s">
        <v>49</v>
      </c>
      <c r="S30" t="s">
        <v>33</v>
      </c>
      <c r="T30" t="s">
        <v>0</v>
      </c>
      <c r="U30">
        <v>0</v>
      </c>
      <c r="V30" t="e">
        <f ca="1">IF(B30="","",CGBlackScholes("dddv",LOWER(H30),F30,G30,(D30-A30)/365,E30,0,I30,J30))</f>
        <v>#NAME?</v>
      </c>
      <c r="W30" t="e">
        <f ca="1">IF(B30="","",CGBlackScholes("dvv",LOWER(H30),F30,G30,(D30-A30)/365,E30,0,I30,J30))</f>
        <v>#NAME?</v>
      </c>
      <c r="X30" t="e">
        <f ca="1">IF(B30="","",CGBlackScholes("dt",LOWER(H30),F30,G30,(D30-A30)/365,E30,0,I30,J30))</f>
        <v>#NAME?</v>
      </c>
      <c r="Y30" t="e">
        <f ca="1">IF(B30="","",CGBlackScholes("gps",LOWER(H30),F30,G30,(D30-A30)/365,E30,0,I30,J30))</f>
        <v>#NAME?</v>
      </c>
      <c r="Z30" t="e">
        <f ca="1">IF(B30="","",CGBlackScholes("gpv",LOWER(H30),F30,G30,(D30-A30)/365,E30,0,I30,J30))</f>
        <v>#NAME?</v>
      </c>
      <c r="AA30" t="e">
        <f ca="1">IF(B30="","",CGBlackScholes("dvdv",LOWER(H30),F30,G30,(D30-A30)/365,E30,0,I30,J30))</f>
        <v>#NAME?</v>
      </c>
      <c r="AB30" t="e">
        <f ca="1">IF(B30="","",CGBlackScholes("vvv",LOWER(H30),F30,G30,(D30-A30)/365,E30,0,I30,J30))</f>
        <v>#NAME?</v>
      </c>
    </row>
    <row r="31" spans="1:28" x14ac:dyDescent="0.3">
      <c r="A31" s="18">
        <v>45887</v>
      </c>
      <c r="B31">
        <v>623.25</v>
      </c>
      <c r="C31" t="s">
        <v>48</v>
      </c>
      <c r="D31" s="18">
        <v>45961</v>
      </c>
      <c r="E31" t="str">
        <f>IFERROR(VLOOKUP(A31,#REF!,5,TRUE),"not found")</f>
        <v>not found</v>
      </c>
      <c r="F31" t="str">
        <f>IFERROR(VLOOKUP(A31,#REF!,2,TRUE),"")</f>
        <v/>
      </c>
      <c r="G31">
        <v>7150</v>
      </c>
      <c r="H31" t="s">
        <v>2</v>
      </c>
      <c r="I31" t="e">
        <f ca="1">IF(B31="","",GBlackScholesImpVolBisection(LOWER(H31),F31,G31,(D31-A31)/365,E31,0,B31))</f>
        <v>#NAME?</v>
      </c>
      <c r="J31" t="e">
        <f ca="1">IF(B31="","",GBlackScholesNGreeks("d",LOWER(H31),F31,G31,(D31-A31)/365,E31,0,I31))</f>
        <v>#NAME?</v>
      </c>
      <c r="K31" t="e">
        <f ca="1">IF(B31="","",GBlackScholesNGreeks("v",LOWER(H31),F31,G31,(D31-A31)/365,E31,0,I31))</f>
        <v>#NAME?</v>
      </c>
      <c r="L31" t="e">
        <f ca="1">IF(B31="","",GBlackScholesNGreeks("g",LOWER(H31),F31,G31,(D31-A31)/365,E31,0,I31))</f>
        <v>#NAME?</v>
      </c>
      <c r="M31" t="e">
        <f ca="1">IF(B31="","",GBlackScholesNGreeks("t",LOWER(H31),F31,G31,(D31-A31)/365,E31,0,I31))</f>
        <v>#NAME?</v>
      </c>
      <c r="N31" t="e">
        <f ca="1">IF(B31="","",GBlackScholesNGreeks("r",LOWER(H31),F31,G31,(D31-A31)/365,E31,0,I31))</f>
        <v>#NAME?</v>
      </c>
      <c r="O31">
        <v>62</v>
      </c>
      <c r="P31" t="s">
        <v>37</v>
      </c>
      <c r="Q31">
        <v>50</v>
      </c>
      <c r="R31" t="s">
        <v>49</v>
      </c>
      <c r="S31" t="s">
        <v>33</v>
      </c>
      <c r="T31" t="s">
        <v>0</v>
      </c>
      <c r="U31">
        <v>0</v>
      </c>
      <c r="V31" t="e">
        <f ca="1">IF(B31="","",CGBlackScholes("dddv",LOWER(H31),F31,G31,(D31-A31)/365,E31,0,I31,J31))</f>
        <v>#NAME?</v>
      </c>
      <c r="W31" t="e">
        <f ca="1">IF(B31="","",CGBlackScholes("dvv",LOWER(H31),F31,G31,(D31-A31)/365,E31,0,I31,J31))</f>
        <v>#NAME?</v>
      </c>
      <c r="X31" t="e">
        <f ca="1">IF(B31="","",CGBlackScholes("dt",LOWER(H31),F31,G31,(D31-A31)/365,E31,0,I31,J31))</f>
        <v>#NAME?</v>
      </c>
      <c r="Y31" t="e">
        <f ca="1">IF(B31="","",CGBlackScholes("gps",LOWER(H31),F31,G31,(D31-A31)/365,E31,0,I31,J31))</f>
        <v>#NAME?</v>
      </c>
      <c r="Z31" t="e">
        <f ca="1">IF(B31="","",CGBlackScholes("gpv",LOWER(H31),F31,G31,(D31-A31)/365,E31,0,I31,J31))</f>
        <v>#NAME?</v>
      </c>
      <c r="AA31" t="e">
        <f ca="1">IF(B31="","",CGBlackScholes("dvdv",LOWER(H31),F31,G31,(D31-A31)/365,E31,0,I31,J31))</f>
        <v>#NAME?</v>
      </c>
      <c r="AB31" t="e">
        <f ca="1">IF(B31="","",CGBlackScholes("vvv",LOWER(H31),F31,G31,(D31-A31)/365,E31,0,I31,J31))</f>
        <v>#NAME?</v>
      </c>
    </row>
    <row r="32" spans="1:28" x14ac:dyDescent="0.3">
      <c r="A32" s="18">
        <v>45884</v>
      </c>
      <c r="B32">
        <v>622.25</v>
      </c>
      <c r="C32" t="s">
        <v>48</v>
      </c>
      <c r="D32" s="18">
        <v>45961</v>
      </c>
      <c r="E32" t="str">
        <f>IFERROR(VLOOKUP(A32,#REF!,5,TRUE),"not found")</f>
        <v>not found</v>
      </c>
      <c r="F32" t="str">
        <f>IFERROR(VLOOKUP(A32,#REF!,2,TRUE),"")</f>
        <v/>
      </c>
      <c r="G32">
        <v>7150</v>
      </c>
      <c r="H32" t="s">
        <v>2</v>
      </c>
      <c r="I32" t="e">
        <f ca="1">IF(B32="","",GBlackScholesImpVolBisection(LOWER(H32),F32,G32,(D32-A32)/365,E32,0,B32))</f>
        <v>#NAME?</v>
      </c>
      <c r="J32" t="e">
        <f ca="1">IF(B32="","",GBlackScholesNGreeks("d",LOWER(H32),F32,G32,(D32-A32)/365,E32,0,I32))</f>
        <v>#NAME?</v>
      </c>
      <c r="K32" t="e">
        <f ca="1">IF(B32="","",GBlackScholesNGreeks("v",LOWER(H32),F32,G32,(D32-A32)/365,E32,0,I32))</f>
        <v>#NAME?</v>
      </c>
      <c r="L32" t="e">
        <f ca="1">IF(B32="","",GBlackScholesNGreeks("g",LOWER(H32),F32,G32,(D32-A32)/365,E32,0,I32))</f>
        <v>#NAME?</v>
      </c>
      <c r="M32" t="e">
        <f ca="1">IF(B32="","",GBlackScholesNGreeks("t",LOWER(H32),F32,G32,(D32-A32)/365,E32,0,I32))</f>
        <v>#NAME?</v>
      </c>
      <c r="N32" t="e">
        <f ca="1">IF(B32="","",GBlackScholesNGreeks("r",LOWER(H32),F32,G32,(D32-A32)/365,E32,0,I32))</f>
        <v>#NAME?</v>
      </c>
      <c r="O32">
        <v>62</v>
      </c>
      <c r="P32" t="s">
        <v>37</v>
      </c>
      <c r="Q32">
        <v>50</v>
      </c>
      <c r="R32" t="s">
        <v>49</v>
      </c>
      <c r="S32" t="s">
        <v>33</v>
      </c>
      <c r="T32" t="s">
        <v>0</v>
      </c>
      <c r="U32">
        <v>0</v>
      </c>
      <c r="V32" t="e">
        <f ca="1">IF(B32="","",CGBlackScholes("dddv",LOWER(H32),F32,G32,(D32-A32)/365,E32,0,I32,J32))</f>
        <v>#NAME?</v>
      </c>
      <c r="W32" t="e">
        <f ca="1">IF(B32="","",CGBlackScholes("dvv",LOWER(H32),F32,G32,(D32-A32)/365,E32,0,I32,J32))</f>
        <v>#NAME?</v>
      </c>
      <c r="X32" t="e">
        <f ca="1">IF(B32="","",CGBlackScholes("dt",LOWER(H32),F32,G32,(D32-A32)/365,E32,0,I32,J32))</f>
        <v>#NAME?</v>
      </c>
      <c r="Y32" t="e">
        <f ca="1">IF(B32="","",CGBlackScholes("gps",LOWER(H32),F32,G32,(D32-A32)/365,E32,0,I32,J32))</f>
        <v>#NAME?</v>
      </c>
      <c r="Z32" t="e">
        <f ca="1">IF(B32="","",CGBlackScholes("gpv",LOWER(H32),F32,G32,(D32-A32)/365,E32,0,I32,J32))</f>
        <v>#NAME?</v>
      </c>
      <c r="AA32" t="e">
        <f ca="1">IF(B32="","",CGBlackScholes("dvdv",LOWER(H32),F32,G32,(D32-A32)/365,E32,0,I32,J32))</f>
        <v>#NAME?</v>
      </c>
      <c r="AB32" t="e">
        <f ca="1">IF(B32="","",CGBlackScholes("vvv",LOWER(H32),F32,G32,(D32-A32)/365,E32,0,I32,J32))</f>
        <v>#NAME?</v>
      </c>
    </row>
    <row r="33" spans="1:28" x14ac:dyDescent="0.3">
      <c r="A33" s="18">
        <v>45883</v>
      </c>
      <c r="B33">
        <v>603.75</v>
      </c>
      <c r="C33" t="s">
        <v>48</v>
      </c>
      <c r="D33" s="18">
        <v>45961</v>
      </c>
      <c r="E33" t="str">
        <f>IFERROR(VLOOKUP(A33,#REF!,5,TRUE),"not found")</f>
        <v>not found</v>
      </c>
      <c r="F33" t="str">
        <f>IFERROR(VLOOKUP(A33,#REF!,2,TRUE),"")</f>
        <v/>
      </c>
      <c r="G33">
        <v>7150</v>
      </c>
      <c r="H33" t="s">
        <v>2</v>
      </c>
      <c r="I33" t="e">
        <f ca="1">IF(B33="","",GBlackScholesImpVolBisection(LOWER(H33),F33,G33,(D33-A33)/365,E33,0,B33))</f>
        <v>#NAME?</v>
      </c>
      <c r="J33" t="e">
        <f ca="1">IF(B33="","",GBlackScholesNGreeks("d",LOWER(H33),F33,G33,(D33-A33)/365,E33,0,I33))</f>
        <v>#NAME?</v>
      </c>
      <c r="K33" t="e">
        <f ca="1">IF(B33="","",GBlackScholesNGreeks("v",LOWER(H33),F33,G33,(D33-A33)/365,E33,0,I33))</f>
        <v>#NAME?</v>
      </c>
      <c r="L33" t="e">
        <f ca="1">IF(B33="","",GBlackScholesNGreeks("g",LOWER(H33),F33,G33,(D33-A33)/365,E33,0,I33))</f>
        <v>#NAME?</v>
      </c>
      <c r="M33" t="e">
        <f ca="1">IF(B33="","",GBlackScholesNGreeks("t",LOWER(H33),F33,G33,(D33-A33)/365,E33,0,I33))</f>
        <v>#NAME?</v>
      </c>
      <c r="N33" t="e">
        <f ca="1">IF(B33="","",GBlackScholesNGreeks("r",LOWER(H33),F33,G33,(D33-A33)/365,E33,0,I33))</f>
        <v>#NAME?</v>
      </c>
      <c r="O33">
        <v>62</v>
      </c>
      <c r="P33" t="s">
        <v>37</v>
      </c>
      <c r="Q33">
        <v>50</v>
      </c>
      <c r="R33" t="s">
        <v>49</v>
      </c>
      <c r="S33" t="s">
        <v>33</v>
      </c>
      <c r="T33" t="s">
        <v>0</v>
      </c>
      <c r="U33">
        <v>0</v>
      </c>
      <c r="V33" t="e">
        <f ca="1">IF(B33="","",CGBlackScholes("dddv",LOWER(H33),F33,G33,(D33-A33)/365,E33,0,I33,J33))</f>
        <v>#NAME?</v>
      </c>
      <c r="W33" t="e">
        <f ca="1">IF(B33="","",CGBlackScholes("dvv",LOWER(H33),F33,G33,(D33-A33)/365,E33,0,I33,J33))</f>
        <v>#NAME?</v>
      </c>
      <c r="X33" t="e">
        <f ca="1">IF(B33="","",CGBlackScholes("dt",LOWER(H33),F33,G33,(D33-A33)/365,E33,0,I33,J33))</f>
        <v>#NAME?</v>
      </c>
      <c r="Y33" t="e">
        <f ca="1">IF(B33="","",CGBlackScholes("gps",LOWER(H33),F33,G33,(D33-A33)/365,E33,0,I33,J33))</f>
        <v>#NAME?</v>
      </c>
      <c r="Z33" t="e">
        <f ca="1">IF(B33="","",CGBlackScholes("gpv",LOWER(H33),F33,G33,(D33-A33)/365,E33,0,I33,J33))</f>
        <v>#NAME?</v>
      </c>
      <c r="AA33" t="e">
        <f ca="1">IF(B33="","",CGBlackScholes("dvdv",LOWER(H33),F33,G33,(D33-A33)/365,E33,0,I33,J33))</f>
        <v>#NAME?</v>
      </c>
      <c r="AB33" t="e">
        <f ca="1">IF(B33="","",CGBlackScholes("vvv",LOWER(H33),F33,G33,(D33-A33)/365,E33,0,I33,J33))</f>
        <v>#NAME?</v>
      </c>
    </row>
    <row r="34" spans="1:28" x14ac:dyDescent="0.3">
      <c r="A34" s="18">
        <v>45882</v>
      </c>
      <c r="B34">
        <v>606.25</v>
      </c>
      <c r="C34" t="s">
        <v>48</v>
      </c>
      <c r="D34" s="18">
        <v>45961</v>
      </c>
      <c r="E34" t="str">
        <f>IFERROR(VLOOKUP(A34,#REF!,5,TRUE),"not found")</f>
        <v>not found</v>
      </c>
      <c r="F34" t="str">
        <f>IFERROR(VLOOKUP(A34,#REF!,2,TRUE),"")</f>
        <v/>
      </c>
      <c r="G34">
        <v>7150</v>
      </c>
      <c r="H34" t="s">
        <v>2</v>
      </c>
      <c r="I34" t="e">
        <f ca="1">IF(B34="","",GBlackScholesImpVolBisection(LOWER(H34),F34,G34,(D34-A34)/365,E34,0,B34))</f>
        <v>#NAME?</v>
      </c>
      <c r="J34" t="e">
        <f ca="1">IF(B34="","",GBlackScholesNGreeks("d",LOWER(H34),F34,G34,(D34-A34)/365,E34,0,I34))</f>
        <v>#NAME?</v>
      </c>
      <c r="K34" t="e">
        <f ca="1">IF(B34="","",GBlackScholesNGreeks("v",LOWER(H34),F34,G34,(D34-A34)/365,E34,0,I34))</f>
        <v>#NAME?</v>
      </c>
      <c r="L34" t="e">
        <f ca="1">IF(B34="","",GBlackScholesNGreeks("g",LOWER(H34),F34,G34,(D34-A34)/365,E34,0,I34))</f>
        <v>#NAME?</v>
      </c>
      <c r="M34" t="e">
        <f ca="1">IF(B34="","",GBlackScholesNGreeks("t",LOWER(H34),F34,G34,(D34-A34)/365,E34,0,I34))</f>
        <v>#NAME?</v>
      </c>
      <c r="N34" t="e">
        <f ca="1">IF(B34="","",GBlackScholesNGreeks("r",LOWER(H34),F34,G34,(D34-A34)/365,E34,0,I34))</f>
        <v>#NAME?</v>
      </c>
      <c r="O34">
        <v>62</v>
      </c>
      <c r="P34" t="s">
        <v>37</v>
      </c>
      <c r="Q34">
        <v>50</v>
      </c>
      <c r="R34" t="s">
        <v>49</v>
      </c>
      <c r="S34" t="s">
        <v>33</v>
      </c>
      <c r="T34" t="s">
        <v>0</v>
      </c>
      <c r="U34">
        <v>0</v>
      </c>
      <c r="V34" t="e">
        <f ca="1">IF(B34="","",CGBlackScholes("dddv",LOWER(H34),F34,G34,(D34-A34)/365,E34,0,I34,J34))</f>
        <v>#NAME?</v>
      </c>
      <c r="W34" t="e">
        <f ca="1">IF(B34="","",CGBlackScholes("dvv",LOWER(H34),F34,G34,(D34-A34)/365,E34,0,I34,J34))</f>
        <v>#NAME?</v>
      </c>
      <c r="X34" t="e">
        <f ca="1">IF(B34="","",CGBlackScholes("dt",LOWER(H34),F34,G34,(D34-A34)/365,E34,0,I34,J34))</f>
        <v>#NAME?</v>
      </c>
      <c r="Y34" t="e">
        <f ca="1">IF(B34="","",CGBlackScholes("gps",LOWER(H34),F34,G34,(D34-A34)/365,E34,0,I34,J34))</f>
        <v>#NAME?</v>
      </c>
      <c r="Z34" t="e">
        <f ca="1">IF(B34="","",CGBlackScholes("gpv",LOWER(H34),F34,G34,(D34-A34)/365,E34,0,I34,J34))</f>
        <v>#NAME?</v>
      </c>
      <c r="AA34" t="e">
        <f ca="1">IF(B34="","",CGBlackScholes("dvdv",LOWER(H34),F34,G34,(D34-A34)/365,E34,0,I34,J34))</f>
        <v>#NAME?</v>
      </c>
      <c r="AB34" t="e">
        <f ca="1">IF(B34="","",CGBlackScholes("vvv",LOWER(H34),F34,G34,(D34-A34)/365,E34,0,I34,J34))</f>
        <v>#NAME?</v>
      </c>
    </row>
    <row r="35" spans="1:28" x14ac:dyDescent="0.3">
      <c r="A35" s="18">
        <v>45881</v>
      </c>
      <c r="B35">
        <v>625.25</v>
      </c>
      <c r="C35" t="s">
        <v>48</v>
      </c>
      <c r="D35" s="18">
        <v>45961</v>
      </c>
      <c r="E35" t="str">
        <f>IFERROR(VLOOKUP(A35,#REF!,5,TRUE),"not found")</f>
        <v>not found</v>
      </c>
      <c r="F35" t="str">
        <f>IFERROR(VLOOKUP(A35,#REF!,2,TRUE),"")</f>
        <v/>
      </c>
      <c r="G35">
        <v>7150</v>
      </c>
      <c r="H35" t="s">
        <v>2</v>
      </c>
      <c r="I35" t="e">
        <f ca="1">IF(B35="","",GBlackScholesImpVolBisection(LOWER(H35),F35,G35,(D35-A35)/365,E35,0,B35))</f>
        <v>#NAME?</v>
      </c>
      <c r="J35" t="e">
        <f ca="1">IF(B35="","",GBlackScholesNGreeks("d",LOWER(H35),F35,G35,(D35-A35)/365,E35,0,I35))</f>
        <v>#NAME?</v>
      </c>
      <c r="K35" t="e">
        <f ca="1">IF(B35="","",GBlackScholesNGreeks("v",LOWER(H35),F35,G35,(D35-A35)/365,E35,0,I35))</f>
        <v>#NAME?</v>
      </c>
      <c r="L35" t="e">
        <f ca="1">IF(B35="","",GBlackScholesNGreeks("g",LOWER(H35),F35,G35,(D35-A35)/365,E35,0,I35))</f>
        <v>#NAME?</v>
      </c>
      <c r="M35" t="e">
        <f ca="1">IF(B35="","",GBlackScholesNGreeks("t",LOWER(H35),F35,G35,(D35-A35)/365,E35,0,I35))</f>
        <v>#NAME?</v>
      </c>
      <c r="N35" t="e">
        <f ca="1">IF(B35="","",GBlackScholesNGreeks("r",LOWER(H35),F35,G35,(D35-A35)/365,E35,0,I35))</f>
        <v>#NAME?</v>
      </c>
      <c r="O35">
        <v>62</v>
      </c>
      <c r="P35" t="s">
        <v>37</v>
      </c>
      <c r="Q35">
        <v>50</v>
      </c>
      <c r="R35" t="s">
        <v>49</v>
      </c>
      <c r="S35" t="s">
        <v>33</v>
      </c>
      <c r="T35" t="s">
        <v>0</v>
      </c>
      <c r="U35">
        <v>0</v>
      </c>
      <c r="V35" t="e">
        <f ca="1">IF(B35="","",CGBlackScholes("dddv",LOWER(H35),F35,G35,(D35-A35)/365,E35,0,I35,J35))</f>
        <v>#NAME?</v>
      </c>
      <c r="W35" t="e">
        <f ca="1">IF(B35="","",CGBlackScholes("dvv",LOWER(H35),F35,G35,(D35-A35)/365,E35,0,I35,J35))</f>
        <v>#NAME?</v>
      </c>
      <c r="X35" t="e">
        <f ca="1">IF(B35="","",CGBlackScholes("dt",LOWER(H35),F35,G35,(D35-A35)/365,E35,0,I35,J35))</f>
        <v>#NAME?</v>
      </c>
      <c r="Y35" t="e">
        <f ca="1">IF(B35="","",CGBlackScholes("gps",LOWER(H35),F35,G35,(D35-A35)/365,E35,0,I35,J35))</f>
        <v>#NAME?</v>
      </c>
      <c r="Z35" t="e">
        <f ca="1">IF(B35="","",CGBlackScholes("gpv",LOWER(H35),F35,G35,(D35-A35)/365,E35,0,I35,J35))</f>
        <v>#NAME?</v>
      </c>
      <c r="AA35" t="e">
        <f ca="1">IF(B35="","",CGBlackScholes("dvdv",LOWER(H35),F35,G35,(D35-A35)/365,E35,0,I35,J35))</f>
        <v>#NAME?</v>
      </c>
      <c r="AB35" t="e">
        <f ca="1">IF(B35="","",CGBlackScholes("vvv",LOWER(H35),F35,G35,(D35-A35)/365,E35,0,I35,J35))</f>
        <v>#NAME?</v>
      </c>
    </row>
    <row r="36" spans="1:28" x14ac:dyDescent="0.3">
      <c r="A36" s="18">
        <v>45880</v>
      </c>
      <c r="B36">
        <v>692</v>
      </c>
      <c r="C36" t="s">
        <v>48</v>
      </c>
      <c r="D36" s="18">
        <v>45961</v>
      </c>
      <c r="E36" t="str">
        <f>IFERROR(VLOOKUP(A36,#REF!,5,TRUE),"not found")</f>
        <v>not found</v>
      </c>
      <c r="F36" t="str">
        <f>IFERROR(VLOOKUP(A36,#REF!,2,TRUE),"")</f>
        <v/>
      </c>
      <c r="G36">
        <v>7150</v>
      </c>
      <c r="H36" t="s">
        <v>2</v>
      </c>
      <c r="I36" t="e">
        <f ca="1">IF(B36="","",GBlackScholesImpVolBisection(LOWER(H36),F36,G36,(D36-A36)/365,E36,0,B36))</f>
        <v>#NAME?</v>
      </c>
      <c r="J36" t="e">
        <f ca="1">IF(B36="","",GBlackScholesNGreeks("d",LOWER(H36),F36,G36,(D36-A36)/365,E36,0,I36))</f>
        <v>#NAME?</v>
      </c>
      <c r="K36" t="e">
        <f ca="1">IF(B36="","",GBlackScholesNGreeks("v",LOWER(H36),F36,G36,(D36-A36)/365,E36,0,I36))</f>
        <v>#NAME?</v>
      </c>
      <c r="L36" t="e">
        <f ca="1">IF(B36="","",GBlackScholesNGreeks("g",LOWER(H36),F36,G36,(D36-A36)/365,E36,0,I36))</f>
        <v>#NAME?</v>
      </c>
      <c r="M36" t="e">
        <f ca="1">IF(B36="","",GBlackScholesNGreeks("t",LOWER(H36),F36,G36,(D36-A36)/365,E36,0,I36))</f>
        <v>#NAME?</v>
      </c>
      <c r="N36" t="e">
        <f ca="1">IF(B36="","",GBlackScholesNGreeks("r",LOWER(H36),F36,G36,(D36-A36)/365,E36,0,I36))</f>
        <v>#NAME?</v>
      </c>
      <c r="O36">
        <v>62</v>
      </c>
      <c r="P36" t="s">
        <v>37</v>
      </c>
      <c r="Q36">
        <v>50</v>
      </c>
      <c r="R36" t="s">
        <v>49</v>
      </c>
      <c r="S36" t="s">
        <v>33</v>
      </c>
      <c r="T36" t="s">
        <v>0</v>
      </c>
      <c r="U36">
        <v>0</v>
      </c>
      <c r="V36" t="e">
        <f ca="1">IF(B36="","",CGBlackScholes("dddv",LOWER(H36),F36,G36,(D36-A36)/365,E36,0,I36,J36))</f>
        <v>#NAME?</v>
      </c>
      <c r="W36" t="e">
        <f ca="1">IF(B36="","",CGBlackScholes("dvv",LOWER(H36),F36,G36,(D36-A36)/365,E36,0,I36,J36))</f>
        <v>#NAME?</v>
      </c>
      <c r="X36" t="e">
        <f ca="1">IF(B36="","",CGBlackScholes("dt",LOWER(H36),F36,G36,(D36-A36)/365,E36,0,I36,J36))</f>
        <v>#NAME?</v>
      </c>
      <c r="Y36" t="e">
        <f ca="1">IF(B36="","",CGBlackScholes("gps",LOWER(H36),F36,G36,(D36-A36)/365,E36,0,I36,J36))</f>
        <v>#NAME?</v>
      </c>
      <c r="Z36" t="e">
        <f ca="1">IF(B36="","",CGBlackScholes("gpv",LOWER(H36),F36,G36,(D36-A36)/365,E36,0,I36,J36))</f>
        <v>#NAME?</v>
      </c>
      <c r="AA36" t="e">
        <f ca="1">IF(B36="","",CGBlackScholes("dvdv",LOWER(H36),F36,G36,(D36-A36)/365,E36,0,I36,J36))</f>
        <v>#NAME?</v>
      </c>
      <c r="AB36" t="e">
        <f ca="1">IF(B36="","",CGBlackScholes("vvv",LOWER(H36),F36,G36,(D36-A36)/365,E36,0,I36,J36))</f>
        <v>#NAME?</v>
      </c>
    </row>
    <row r="37" spans="1:28" x14ac:dyDescent="0.3">
      <c r="A37" s="18">
        <v>45877</v>
      </c>
      <c r="B37">
        <v>679</v>
      </c>
      <c r="C37" t="s">
        <v>48</v>
      </c>
      <c r="D37" s="18">
        <v>45961</v>
      </c>
      <c r="E37" t="str">
        <f>IFERROR(VLOOKUP(A37,#REF!,5,TRUE),"not found")</f>
        <v>not found</v>
      </c>
      <c r="F37" t="str">
        <f>IFERROR(VLOOKUP(A37,#REF!,2,TRUE),"")</f>
        <v/>
      </c>
      <c r="G37">
        <v>7150</v>
      </c>
      <c r="H37" t="s">
        <v>2</v>
      </c>
      <c r="I37" t="e">
        <f ca="1">IF(B37="","",GBlackScholesImpVolBisection(LOWER(H37),F37,G37,(D37-A37)/365,E37,0,B37))</f>
        <v>#NAME?</v>
      </c>
      <c r="J37" t="e">
        <f ca="1">IF(B37="","",GBlackScholesNGreeks("d",LOWER(H37),F37,G37,(D37-A37)/365,E37,0,I37))</f>
        <v>#NAME?</v>
      </c>
      <c r="K37" t="e">
        <f ca="1">IF(B37="","",GBlackScholesNGreeks("v",LOWER(H37),F37,G37,(D37-A37)/365,E37,0,I37))</f>
        <v>#NAME?</v>
      </c>
      <c r="L37" t="e">
        <f ca="1">IF(B37="","",GBlackScholesNGreeks("g",LOWER(H37),F37,G37,(D37-A37)/365,E37,0,I37))</f>
        <v>#NAME?</v>
      </c>
      <c r="M37" t="e">
        <f ca="1">IF(B37="","",GBlackScholesNGreeks("t",LOWER(H37),F37,G37,(D37-A37)/365,E37,0,I37))</f>
        <v>#NAME?</v>
      </c>
      <c r="N37" t="e">
        <f ca="1">IF(B37="","",GBlackScholesNGreeks("r",LOWER(H37),F37,G37,(D37-A37)/365,E37,0,I37))</f>
        <v>#NAME?</v>
      </c>
      <c r="O37">
        <v>62</v>
      </c>
      <c r="P37" t="s">
        <v>37</v>
      </c>
      <c r="Q37">
        <v>50</v>
      </c>
      <c r="R37" t="s">
        <v>49</v>
      </c>
      <c r="S37" t="s">
        <v>33</v>
      </c>
      <c r="T37" t="s">
        <v>0</v>
      </c>
      <c r="U37">
        <v>0</v>
      </c>
      <c r="V37" t="e">
        <f ca="1">IF(B37="","",CGBlackScholes("dddv",LOWER(H37),F37,G37,(D37-A37)/365,E37,0,I37,J37))</f>
        <v>#NAME?</v>
      </c>
      <c r="W37" t="e">
        <f ca="1">IF(B37="","",CGBlackScholes("dvv",LOWER(H37),F37,G37,(D37-A37)/365,E37,0,I37,J37))</f>
        <v>#NAME?</v>
      </c>
      <c r="X37" t="e">
        <f ca="1">IF(B37="","",CGBlackScholes("dt",LOWER(H37),F37,G37,(D37-A37)/365,E37,0,I37,J37))</f>
        <v>#NAME?</v>
      </c>
      <c r="Y37" t="e">
        <f ca="1">IF(B37="","",CGBlackScholes("gps",LOWER(H37),F37,G37,(D37-A37)/365,E37,0,I37,J37))</f>
        <v>#NAME?</v>
      </c>
      <c r="Z37" t="e">
        <f ca="1">IF(B37="","",CGBlackScholes("gpv",LOWER(H37),F37,G37,(D37-A37)/365,E37,0,I37,J37))</f>
        <v>#NAME?</v>
      </c>
      <c r="AA37" t="e">
        <f ca="1">IF(B37="","",CGBlackScholes("dvdv",LOWER(H37),F37,G37,(D37-A37)/365,E37,0,I37,J37))</f>
        <v>#NAME?</v>
      </c>
      <c r="AB37" t="e">
        <f ca="1">IF(B37="","",CGBlackScholes("vvv",LOWER(H37),F37,G37,(D37-A37)/365,E37,0,I37,J37))</f>
        <v>#NAME?</v>
      </c>
    </row>
    <row r="38" spans="1:28" x14ac:dyDescent="0.3">
      <c r="A38" s="18">
        <v>45876</v>
      </c>
      <c r="B38">
        <v>725.25</v>
      </c>
      <c r="C38" t="s">
        <v>48</v>
      </c>
      <c r="D38" s="18">
        <v>45961</v>
      </c>
      <c r="E38" t="str">
        <f>IFERROR(VLOOKUP(A38,#REF!,5,TRUE),"not found")</f>
        <v>not found</v>
      </c>
      <c r="F38" t="str">
        <f>IFERROR(VLOOKUP(A38,#REF!,2,TRUE),"")</f>
        <v/>
      </c>
      <c r="G38">
        <v>7150</v>
      </c>
      <c r="H38" t="s">
        <v>2</v>
      </c>
      <c r="I38" t="e">
        <f ca="1">IF(B38="","",GBlackScholesImpVolBisection(LOWER(H38),F38,G38,(D38-A38)/365,E38,0,B38))</f>
        <v>#NAME?</v>
      </c>
      <c r="J38" t="e">
        <f ca="1">IF(B38="","",GBlackScholesNGreeks("d",LOWER(H38),F38,G38,(D38-A38)/365,E38,0,I38))</f>
        <v>#NAME?</v>
      </c>
      <c r="K38" t="e">
        <f ca="1">IF(B38="","",GBlackScholesNGreeks("v",LOWER(H38),F38,G38,(D38-A38)/365,E38,0,I38))</f>
        <v>#NAME?</v>
      </c>
      <c r="L38" t="e">
        <f ca="1">IF(B38="","",GBlackScholesNGreeks("g",LOWER(H38),F38,G38,(D38-A38)/365,E38,0,I38))</f>
        <v>#NAME?</v>
      </c>
      <c r="M38" t="e">
        <f ca="1">IF(B38="","",GBlackScholesNGreeks("t",LOWER(H38),F38,G38,(D38-A38)/365,E38,0,I38))</f>
        <v>#NAME?</v>
      </c>
      <c r="N38" t="e">
        <f ca="1">IF(B38="","",GBlackScholesNGreeks("r",LOWER(H38),F38,G38,(D38-A38)/365,E38,0,I38))</f>
        <v>#NAME?</v>
      </c>
      <c r="O38">
        <v>62</v>
      </c>
      <c r="P38" t="s">
        <v>37</v>
      </c>
      <c r="Q38">
        <v>50</v>
      </c>
      <c r="R38" t="s">
        <v>49</v>
      </c>
      <c r="S38" t="s">
        <v>33</v>
      </c>
      <c r="T38" t="s">
        <v>0</v>
      </c>
      <c r="U38">
        <v>0</v>
      </c>
      <c r="V38" t="e">
        <f ca="1">IF(B38="","",CGBlackScholes("dddv",LOWER(H38),F38,G38,(D38-A38)/365,E38,0,I38,J38))</f>
        <v>#NAME?</v>
      </c>
      <c r="W38" t="e">
        <f ca="1">IF(B38="","",CGBlackScholes("dvv",LOWER(H38),F38,G38,(D38-A38)/365,E38,0,I38,J38))</f>
        <v>#NAME?</v>
      </c>
      <c r="X38" t="e">
        <f ca="1">IF(B38="","",CGBlackScholes("dt",LOWER(H38),F38,G38,(D38-A38)/365,E38,0,I38,J38))</f>
        <v>#NAME?</v>
      </c>
      <c r="Y38" t="e">
        <f ca="1">IF(B38="","",CGBlackScholes("gps",LOWER(H38),F38,G38,(D38-A38)/365,E38,0,I38,J38))</f>
        <v>#NAME?</v>
      </c>
      <c r="Z38" t="e">
        <f ca="1">IF(B38="","",CGBlackScholes("gpv",LOWER(H38),F38,G38,(D38-A38)/365,E38,0,I38,J38))</f>
        <v>#NAME?</v>
      </c>
      <c r="AA38" t="e">
        <f ca="1">IF(B38="","",CGBlackScholes("dvdv",LOWER(H38),F38,G38,(D38-A38)/365,E38,0,I38,J38))</f>
        <v>#NAME?</v>
      </c>
      <c r="AB38" t="e">
        <f ca="1">IF(B38="","",CGBlackScholes("vvv",LOWER(H38),F38,G38,(D38-A38)/365,E38,0,I38,J38))</f>
        <v>#NAME?</v>
      </c>
    </row>
    <row r="39" spans="1:28" x14ac:dyDescent="0.3">
      <c r="A39" s="18">
        <v>45875</v>
      </c>
      <c r="B39">
        <v>720.25</v>
      </c>
      <c r="C39" t="s">
        <v>48</v>
      </c>
      <c r="D39" s="18">
        <v>45961</v>
      </c>
      <c r="E39" t="str">
        <f>IFERROR(VLOOKUP(A39,#REF!,5,TRUE),"not found")</f>
        <v>not found</v>
      </c>
      <c r="F39" t="str">
        <f>IFERROR(VLOOKUP(A39,#REF!,2,TRUE),"")</f>
        <v/>
      </c>
      <c r="G39">
        <v>7150</v>
      </c>
      <c r="H39" t="s">
        <v>2</v>
      </c>
      <c r="I39" t="e">
        <f ca="1">IF(B39="","",GBlackScholesImpVolBisection(LOWER(H39),F39,G39,(D39-A39)/365,E39,0,B39))</f>
        <v>#NAME?</v>
      </c>
      <c r="J39" t="e">
        <f ca="1">IF(B39="","",GBlackScholesNGreeks("d",LOWER(H39),F39,G39,(D39-A39)/365,E39,0,I39))</f>
        <v>#NAME?</v>
      </c>
      <c r="K39" t="e">
        <f ca="1">IF(B39="","",GBlackScholesNGreeks("v",LOWER(H39),F39,G39,(D39-A39)/365,E39,0,I39))</f>
        <v>#NAME?</v>
      </c>
      <c r="L39" t="e">
        <f ca="1">IF(B39="","",GBlackScholesNGreeks("g",LOWER(H39),F39,G39,(D39-A39)/365,E39,0,I39))</f>
        <v>#NAME?</v>
      </c>
      <c r="M39" t="e">
        <f ca="1">IF(B39="","",GBlackScholesNGreeks("t",LOWER(H39),F39,G39,(D39-A39)/365,E39,0,I39))</f>
        <v>#NAME?</v>
      </c>
      <c r="N39" t="e">
        <f ca="1">IF(B39="","",GBlackScholesNGreeks("r",LOWER(H39),F39,G39,(D39-A39)/365,E39,0,I39))</f>
        <v>#NAME?</v>
      </c>
      <c r="O39">
        <v>62</v>
      </c>
      <c r="P39" t="s">
        <v>37</v>
      </c>
      <c r="Q39">
        <v>50</v>
      </c>
      <c r="R39" t="s">
        <v>49</v>
      </c>
      <c r="S39" t="s">
        <v>33</v>
      </c>
      <c r="T39" t="s">
        <v>0</v>
      </c>
      <c r="U39">
        <v>0</v>
      </c>
      <c r="V39" t="e">
        <f ca="1">IF(B39="","",CGBlackScholes("dddv",LOWER(H39),F39,G39,(D39-A39)/365,E39,0,I39,J39))</f>
        <v>#NAME?</v>
      </c>
      <c r="W39" t="e">
        <f ca="1">IF(B39="","",CGBlackScholes("dvv",LOWER(H39),F39,G39,(D39-A39)/365,E39,0,I39,J39))</f>
        <v>#NAME?</v>
      </c>
      <c r="X39" t="e">
        <f ca="1">IF(B39="","",CGBlackScholes("dt",LOWER(H39),F39,G39,(D39-A39)/365,E39,0,I39,J39))</f>
        <v>#NAME?</v>
      </c>
      <c r="Y39" t="e">
        <f ca="1">IF(B39="","",CGBlackScholes("gps",LOWER(H39),F39,G39,(D39-A39)/365,E39,0,I39,J39))</f>
        <v>#NAME?</v>
      </c>
      <c r="Z39" t="e">
        <f ca="1">IF(B39="","",CGBlackScholes("gpv",LOWER(H39),F39,G39,(D39-A39)/365,E39,0,I39,J39))</f>
        <v>#NAME?</v>
      </c>
      <c r="AA39" t="e">
        <f ca="1">IF(B39="","",CGBlackScholes("dvdv",LOWER(H39),F39,G39,(D39-A39)/365,E39,0,I39,J39))</f>
        <v>#NAME?</v>
      </c>
      <c r="AB39" t="e">
        <f ca="1">IF(B39="","",CGBlackScholes("vvv",LOWER(H39),F39,G39,(D39-A39)/365,E39,0,I39,J39))</f>
        <v>#NAME?</v>
      </c>
    </row>
    <row r="40" spans="1:28" x14ac:dyDescent="0.3">
      <c r="A40" s="18">
        <v>45874</v>
      </c>
      <c r="B40">
        <v>765.75</v>
      </c>
      <c r="C40" t="s">
        <v>48</v>
      </c>
      <c r="D40" s="18">
        <v>45961</v>
      </c>
      <c r="E40" t="str">
        <f>IFERROR(VLOOKUP(A40,#REF!,5,TRUE),"not found")</f>
        <v>not found</v>
      </c>
      <c r="F40" t="str">
        <f>IFERROR(VLOOKUP(A40,#REF!,2,TRUE),"")</f>
        <v/>
      </c>
      <c r="G40">
        <v>7150</v>
      </c>
      <c r="H40" t="s">
        <v>2</v>
      </c>
      <c r="I40" t="e">
        <f ca="1">IF(B40="","",GBlackScholesImpVolBisection(LOWER(H40),F40,G40,(D40-A40)/365,E40,0,B40))</f>
        <v>#NAME?</v>
      </c>
      <c r="J40" t="e">
        <f ca="1">IF(B40="","",GBlackScholesNGreeks("d",LOWER(H40),F40,G40,(D40-A40)/365,E40,0,I40))</f>
        <v>#NAME?</v>
      </c>
      <c r="K40" t="e">
        <f ca="1">IF(B40="","",GBlackScholesNGreeks("v",LOWER(H40),F40,G40,(D40-A40)/365,E40,0,I40))</f>
        <v>#NAME?</v>
      </c>
      <c r="L40" t="e">
        <f ca="1">IF(B40="","",GBlackScholesNGreeks("g",LOWER(H40),F40,G40,(D40-A40)/365,E40,0,I40))</f>
        <v>#NAME?</v>
      </c>
      <c r="M40" t="e">
        <f ca="1">IF(B40="","",GBlackScholesNGreeks("t",LOWER(H40),F40,G40,(D40-A40)/365,E40,0,I40))</f>
        <v>#NAME?</v>
      </c>
      <c r="N40" t="e">
        <f ca="1">IF(B40="","",GBlackScholesNGreeks("r",LOWER(H40),F40,G40,(D40-A40)/365,E40,0,I40))</f>
        <v>#NAME?</v>
      </c>
      <c r="O40">
        <v>62</v>
      </c>
      <c r="P40" t="s">
        <v>37</v>
      </c>
      <c r="Q40">
        <v>50</v>
      </c>
      <c r="R40" t="s">
        <v>49</v>
      </c>
      <c r="S40" t="s">
        <v>33</v>
      </c>
      <c r="T40" t="s">
        <v>0</v>
      </c>
      <c r="U40">
        <v>0</v>
      </c>
      <c r="V40" t="e">
        <f ca="1">IF(B40="","",CGBlackScholes("dddv",LOWER(H40),F40,G40,(D40-A40)/365,E40,0,I40,J40))</f>
        <v>#NAME?</v>
      </c>
      <c r="W40" t="e">
        <f ca="1">IF(B40="","",CGBlackScholes("dvv",LOWER(H40),F40,G40,(D40-A40)/365,E40,0,I40,J40))</f>
        <v>#NAME?</v>
      </c>
      <c r="X40" t="e">
        <f ca="1">IF(B40="","",CGBlackScholes("dt",LOWER(H40),F40,G40,(D40-A40)/365,E40,0,I40,J40))</f>
        <v>#NAME?</v>
      </c>
      <c r="Y40" t="e">
        <f ca="1">IF(B40="","",CGBlackScholes("gps",LOWER(H40),F40,G40,(D40-A40)/365,E40,0,I40,J40))</f>
        <v>#NAME?</v>
      </c>
      <c r="Z40" t="e">
        <f ca="1">IF(B40="","",CGBlackScholes("gpv",LOWER(H40),F40,G40,(D40-A40)/365,E40,0,I40,J40))</f>
        <v>#NAME?</v>
      </c>
      <c r="AA40" t="e">
        <f ca="1">IF(B40="","",CGBlackScholes("dvdv",LOWER(H40),F40,G40,(D40-A40)/365,E40,0,I40,J40))</f>
        <v>#NAME?</v>
      </c>
      <c r="AB40" t="e">
        <f ca="1">IF(B40="","",CGBlackScholes("vvv",LOWER(H40),F40,G40,(D40-A40)/365,E40,0,I40,J40))</f>
        <v>#NAME?</v>
      </c>
    </row>
    <row r="41" spans="1:28" x14ac:dyDescent="0.3">
      <c r="A41" s="18">
        <v>45873</v>
      </c>
      <c r="B41">
        <v>735.5</v>
      </c>
      <c r="C41" t="s">
        <v>48</v>
      </c>
      <c r="D41" s="18">
        <v>45961</v>
      </c>
      <c r="E41" t="str">
        <f>IFERROR(VLOOKUP(A41,#REF!,5,TRUE),"not found")</f>
        <v>not found</v>
      </c>
      <c r="F41" t="str">
        <f>IFERROR(VLOOKUP(A41,#REF!,2,TRUE),"")</f>
        <v/>
      </c>
      <c r="G41">
        <v>7150</v>
      </c>
      <c r="H41" t="s">
        <v>2</v>
      </c>
      <c r="I41" t="e">
        <f ca="1">IF(B41="","",GBlackScholesImpVolBisection(LOWER(H41),F41,G41,(D41-A41)/365,E41,0,B41))</f>
        <v>#NAME?</v>
      </c>
      <c r="J41" t="e">
        <f ca="1">IF(B41="","",GBlackScholesNGreeks("d",LOWER(H41),F41,G41,(D41-A41)/365,E41,0,I41))</f>
        <v>#NAME?</v>
      </c>
      <c r="K41" t="e">
        <f ca="1">IF(B41="","",GBlackScholesNGreeks("v",LOWER(H41),F41,G41,(D41-A41)/365,E41,0,I41))</f>
        <v>#NAME?</v>
      </c>
      <c r="L41" t="e">
        <f ca="1">IF(B41="","",GBlackScholesNGreeks("g",LOWER(H41),F41,G41,(D41-A41)/365,E41,0,I41))</f>
        <v>#NAME?</v>
      </c>
      <c r="M41" t="e">
        <f ca="1">IF(B41="","",GBlackScholesNGreeks("t",LOWER(H41),F41,G41,(D41-A41)/365,E41,0,I41))</f>
        <v>#NAME?</v>
      </c>
      <c r="N41" t="e">
        <f ca="1">IF(B41="","",GBlackScholesNGreeks("r",LOWER(H41),F41,G41,(D41-A41)/365,E41,0,I41))</f>
        <v>#NAME?</v>
      </c>
      <c r="O41">
        <v>62</v>
      </c>
      <c r="P41" t="s">
        <v>37</v>
      </c>
      <c r="Q41">
        <v>50</v>
      </c>
      <c r="R41" t="s">
        <v>49</v>
      </c>
      <c r="S41" t="s">
        <v>33</v>
      </c>
      <c r="T41" t="s">
        <v>0</v>
      </c>
      <c r="U41">
        <v>0</v>
      </c>
      <c r="V41" t="e">
        <f ca="1">IF(B41="","",CGBlackScholes("dddv",LOWER(H41),F41,G41,(D41-A41)/365,E41,0,I41,J41))</f>
        <v>#NAME?</v>
      </c>
      <c r="W41" t="e">
        <f ca="1">IF(B41="","",CGBlackScholes("dvv",LOWER(H41),F41,G41,(D41-A41)/365,E41,0,I41,J41))</f>
        <v>#NAME?</v>
      </c>
      <c r="X41" t="e">
        <f ca="1">IF(B41="","",CGBlackScholes("dt",LOWER(H41),F41,G41,(D41-A41)/365,E41,0,I41,J41))</f>
        <v>#NAME?</v>
      </c>
      <c r="Y41" t="e">
        <f ca="1">IF(B41="","",CGBlackScholes("gps",LOWER(H41),F41,G41,(D41-A41)/365,E41,0,I41,J41))</f>
        <v>#NAME?</v>
      </c>
      <c r="Z41" t="e">
        <f ca="1">IF(B41="","",CGBlackScholes("gpv",LOWER(H41),F41,G41,(D41-A41)/365,E41,0,I41,J41))</f>
        <v>#NAME?</v>
      </c>
      <c r="AA41" t="e">
        <f ca="1">IF(B41="","",CGBlackScholes("dvdv",LOWER(H41),F41,G41,(D41-A41)/365,E41,0,I41,J41))</f>
        <v>#NAME?</v>
      </c>
      <c r="AB41" t="e">
        <f ca="1">IF(B41="","",CGBlackScholes("vvv",LOWER(H41),F41,G41,(D41-A41)/365,E41,0,I41,J41))</f>
        <v>#NAME?</v>
      </c>
    </row>
    <row r="42" spans="1:28" x14ac:dyDescent="0.3">
      <c r="A42" s="18">
        <v>45870</v>
      </c>
      <c r="B42">
        <v>826.25</v>
      </c>
      <c r="C42" t="s">
        <v>48</v>
      </c>
      <c r="D42" s="18">
        <v>45961</v>
      </c>
      <c r="E42" t="str">
        <f>IFERROR(VLOOKUP(A42,#REF!,5,TRUE),"not found")</f>
        <v>not found</v>
      </c>
      <c r="F42" t="str">
        <f>IFERROR(VLOOKUP(A42,#REF!,2,TRUE),"")</f>
        <v/>
      </c>
      <c r="G42">
        <v>7150</v>
      </c>
      <c r="H42" t="s">
        <v>2</v>
      </c>
      <c r="I42" t="e">
        <f ca="1">IF(B42="","",GBlackScholesImpVolBisection(LOWER(H42),F42,G42,(D42-A42)/365,E42,0,B42))</f>
        <v>#NAME?</v>
      </c>
      <c r="J42" t="e">
        <f ca="1">IF(B42="","",GBlackScholesNGreeks("d",LOWER(H42),F42,G42,(D42-A42)/365,E42,0,I42))</f>
        <v>#NAME?</v>
      </c>
      <c r="K42" t="e">
        <f ca="1">IF(B42="","",GBlackScholesNGreeks("v",LOWER(H42),F42,G42,(D42-A42)/365,E42,0,I42))</f>
        <v>#NAME?</v>
      </c>
      <c r="L42" t="e">
        <f ca="1">IF(B42="","",GBlackScholesNGreeks("g",LOWER(H42),F42,G42,(D42-A42)/365,E42,0,I42))</f>
        <v>#NAME?</v>
      </c>
      <c r="M42" t="e">
        <f ca="1">IF(B42="","",GBlackScholesNGreeks("t",LOWER(H42),F42,G42,(D42-A42)/365,E42,0,I42))</f>
        <v>#NAME?</v>
      </c>
      <c r="N42" t="e">
        <f ca="1">IF(B42="","",GBlackScholesNGreeks("r",LOWER(H42),F42,G42,(D42-A42)/365,E42,0,I42))</f>
        <v>#NAME?</v>
      </c>
      <c r="O42">
        <v>62</v>
      </c>
      <c r="P42" t="s">
        <v>37</v>
      </c>
      <c r="Q42">
        <v>50</v>
      </c>
      <c r="R42" t="s">
        <v>49</v>
      </c>
      <c r="S42" t="s">
        <v>33</v>
      </c>
      <c r="T42" t="s">
        <v>0</v>
      </c>
      <c r="U42">
        <v>0</v>
      </c>
      <c r="V42" t="e">
        <f ca="1">IF(B42="","",CGBlackScholes("dddv",LOWER(H42),F42,G42,(D42-A42)/365,E42,0,I42,J42))</f>
        <v>#NAME?</v>
      </c>
      <c r="W42" t="e">
        <f ca="1">IF(B42="","",CGBlackScholes("dvv",LOWER(H42),F42,G42,(D42-A42)/365,E42,0,I42,J42))</f>
        <v>#NAME?</v>
      </c>
      <c r="X42" t="e">
        <f ca="1">IF(B42="","",CGBlackScholes("dt",LOWER(H42),F42,G42,(D42-A42)/365,E42,0,I42,J42))</f>
        <v>#NAME?</v>
      </c>
      <c r="Y42" t="e">
        <f ca="1">IF(B42="","",CGBlackScholes("gps",LOWER(H42),F42,G42,(D42-A42)/365,E42,0,I42,J42))</f>
        <v>#NAME?</v>
      </c>
      <c r="Z42" t="e">
        <f ca="1">IF(B42="","",CGBlackScholes("gpv",LOWER(H42),F42,G42,(D42-A42)/365,E42,0,I42,J42))</f>
        <v>#NAME?</v>
      </c>
      <c r="AA42" t="e">
        <f ca="1">IF(B42="","",CGBlackScholes("dvdv",LOWER(H42),F42,G42,(D42-A42)/365,E42,0,I42,J42))</f>
        <v>#NAME?</v>
      </c>
      <c r="AB42" t="e">
        <f ca="1">IF(B42="","",CGBlackScholes("vvv",LOWER(H42),F42,G42,(D42-A42)/365,E42,0,I42,J42))</f>
        <v>#NAME?</v>
      </c>
    </row>
    <row r="43" spans="1:28" x14ac:dyDescent="0.3">
      <c r="C43" t="s">
        <v>48</v>
      </c>
      <c r="D43" s="18">
        <v>45961</v>
      </c>
      <c r="E43" t="str">
        <f>IFERROR(VLOOKUP(A43,#REF!,5,TRUE),"not found")</f>
        <v>not found</v>
      </c>
      <c r="F43" t="str">
        <f>IFERROR(VLOOKUP(A43,#REF!,2,TRUE),"")</f>
        <v/>
      </c>
      <c r="G43">
        <v>7150</v>
      </c>
      <c r="H43" t="s">
        <v>2</v>
      </c>
      <c r="O43">
        <v>62</v>
      </c>
      <c r="P43" t="s">
        <v>37</v>
      </c>
      <c r="Q43">
        <v>50</v>
      </c>
      <c r="R43" t="s">
        <v>49</v>
      </c>
      <c r="S43" t="s">
        <v>33</v>
      </c>
      <c r="T43" t="s">
        <v>0</v>
      </c>
      <c r="U43">
        <v>0</v>
      </c>
    </row>
    <row r="44" spans="1:28" x14ac:dyDescent="0.3">
      <c r="C44" t="s">
        <v>48</v>
      </c>
      <c r="D44" s="18">
        <v>45961</v>
      </c>
      <c r="E44" t="str">
        <f>IFERROR(VLOOKUP(A44,#REF!,5,TRUE),"not found")</f>
        <v>not found</v>
      </c>
      <c r="F44" t="str">
        <f>IFERROR(VLOOKUP(A44,#REF!,2,TRUE),"")</f>
        <v/>
      </c>
      <c r="G44">
        <v>7150</v>
      </c>
      <c r="H44" t="s">
        <v>2</v>
      </c>
      <c r="O44">
        <v>62</v>
      </c>
      <c r="P44" t="s">
        <v>37</v>
      </c>
      <c r="Q44">
        <v>50</v>
      </c>
      <c r="R44" t="s">
        <v>49</v>
      </c>
      <c r="S44" t="s">
        <v>33</v>
      </c>
      <c r="T44" t="s">
        <v>0</v>
      </c>
      <c r="U44">
        <v>0</v>
      </c>
    </row>
    <row r="45" spans="1:28" x14ac:dyDescent="0.3">
      <c r="C45" t="s">
        <v>48</v>
      </c>
      <c r="D45" s="18">
        <v>45961</v>
      </c>
      <c r="E45" t="str">
        <f>IFERROR(VLOOKUP(A45,#REF!,5,TRUE),"not found")</f>
        <v>not found</v>
      </c>
      <c r="F45" t="str">
        <f>IFERROR(VLOOKUP(A45,#REF!,2,TRUE),"")</f>
        <v/>
      </c>
      <c r="G45">
        <v>7150</v>
      </c>
      <c r="H45" t="s">
        <v>2</v>
      </c>
      <c r="O45">
        <v>62</v>
      </c>
      <c r="P45" t="s">
        <v>37</v>
      </c>
      <c r="Q45">
        <v>50</v>
      </c>
      <c r="R45" t="s">
        <v>49</v>
      </c>
      <c r="S45" t="s">
        <v>33</v>
      </c>
      <c r="T45" t="s">
        <v>0</v>
      </c>
      <c r="U45">
        <v>0</v>
      </c>
    </row>
    <row r="46" spans="1:28" x14ac:dyDescent="0.3">
      <c r="C46" t="s">
        <v>48</v>
      </c>
      <c r="D46" s="18">
        <v>45961</v>
      </c>
      <c r="E46" t="str">
        <f>IFERROR(VLOOKUP(A46,#REF!,5,TRUE),"not found")</f>
        <v>not found</v>
      </c>
      <c r="F46" t="str">
        <f>IFERROR(VLOOKUP(A46,#REF!,2,TRUE),"")</f>
        <v/>
      </c>
      <c r="G46">
        <v>7150</v>
      </c>
      <c r="H46" t="s">
        <v>2</v>
      </c>
      <c r="O46">
        <v>62</v>
      </c>
      <c r="P46" t="s">
        <v>37</v>
      </c>
      <c r="Q46">
        <v>50</v>
      </c>
      <c r="R46" t="s">
        <v>49</v>
      </c>
      <c r="S46" t="s">
        <v>33</v>
      </c>
      <c r="T46" t="s">
        <v>0</v>
      </c>
      <c r="U46">
        <v>0</v>
      </c>
    </row>
    <row r="47" spans="1:28" x14ac:dyDescent="0.3">
      <c r="C47" t="s">
        <v>48</v>
      </c>
      <c r="D47" s="18">
        <v>45961</v>
      </c>
      <c r="E47" t="str">
        <f>IFERROR(VLOOKUP(A47,#REF!,5,TRUE),"not found")</f>
        <v>not found</v>
      </c>
      <c r="F47" t="str">
        <f>IFERROR(VLOOKUP(A47,#REF!,2,TRUE),"")</f>
        <v/>
      </c>
      <c r="G47">
        <v>7150</v>
      </c>
      <c r="H47" t="s">
        <v>2</v>
      </c>
      <c r="O47">
        <v>62</v>
      </c>
      <c r="P47" t="s">
        <v>37</v>
      </c>
      <c r="Q47">
        <v>50</v>
      </c>
      <c r="R47" t="s">
        <v>49</v>
      </c>
      <c r="S47" t="s">
        <v>33</v>
      </c>
      <c r="T47" t="s">
        <v>0</v>
      </c>
      <c r="U47">
        <v>0</v>
      </c>
    </row>
    <row r="48" spans="1:28" x14ac:dyDescent="0.3">
      <c r="C48" t="s">
        <v>48</v>
      </c>
      <c r="D48" s="18">
        <v>45961</v>
      </c>
      <c r="E48" t="str">
        <f>IFERROR(VLOOKUP(A48,#REF!,5,TRUE),"not found")</f>
        <v>not found</v>
      </c>
      <c r="F48" t="str">
        <f>IFERROR(VLOOKUP(A48,#REF!,2,TRUE),"")</f>
        <v/>
      </c>
      <c r="G48">
        <v>7150</v>
      </c>
      <c r="H48" t="s">
        <v>2</v>
      </c>
      <c r="O48">
        <v>62</v>
      </c>
      <c r="P48" t="s">
        <v>37</v>
      </c>
      <c r="Q48">
        <v>50</v>
      </c>
      <c r="R48" t="s">
        <v>49</v>
      </c>
      <c r="S48" t="s">
        <v>33</v>
      </c>
      <c r="T48" t="s">
        <v>0</v>
      </c>
      <c r="U48">
        <v>0</v>
      </c>
    </row>
    <row r="49" spans="3:21" x14ac:dyDescent="0.3">
      <c r="C49" t="s">
        <v>48</v>
      </c>
      <c r="D49" s="18">
        <v>45961</v>
      </c>
      <c r="E49" t="str">
        <f>IFERROR(VLOOKUP(A49,#REF!,5,TRUE),"not found")</f>
        <v>not found</v>
      </c>
      <c r="F49" t="str">
        <f>IFERROR(VLOOKUP(A49,#REF!,2,TRUE),"")</f>
        <v/>
      </c>
      <c r="G49">
        <v>7150</v>
      </c>
      <c r="H49" t="s">
        <v>2</v>
      </c>
      <c r="O49">
        <v>62</v>
      </c>
      <c r="P49" t="s">
        <v>37</v>
      </c>
      <c r="Q49">
        <v>50</v>
      </c>
      <c r="R49" t="s">
        <v>49</v>
      </c>
      <c r="S49" t="s">
        <v>33</v>
      </c>
      <c r="T49" t="s">
        <v>0</v>
      </c>
      <c r="U49">
        <v>0</v>
      </c>
    </row>
    <row r="50" spans="3:21" x14ac:dyDescent="0.3">
      <c r="C50" t="s">
        <v>48</v>
      </c>
      <c r="D50" s="18">
        <v>45961</v>
      </c>
      <c r="E50" t="str">
        <f>IFERROR(VLOOKUP(A50,#REF!,5,TRUE),"not found")</f>
        <v>not found</v>
      </c>
      <c r="F50" t="str">
        <f>IFERROR(VLOOKUP(A50,#REF!,2,TRUE),"")</f>
        <v/>
      </c>
      <c r="G50">
        <v>7150</v>
      </c>
      <c r="H50" t="s">
        <v>2</v>
      </c>
      <c r="O50">
        <v>62</v>
      </c>
      <c r="P50" t="s">
        <v>37</v>
      </c>
      <c r="Q50">
        <v>50</v>
      </c>
      <c r="R50" t="s">
        <v>49</v>
      </c>
      <c r="S50" t="s">
        <v>33</v>
      </c>
      <c r="T50" t="s">
        <v>0</v>
      </c>
      <c r="U50">
        <v>0</v>
      </c>
    </row>
    <row r="51" spans="3:21" x14ac:dyDescent="0.3">
      <c r="C51" t="s">
        <v>48</v>
      </c>
      <c r="D51" s="18">
        <v>45961</v>
      </c>
      <c r="E51" t="str">
        <f>IFERROR(VLOOKUP(A51,#REF!,5,TRUE),"not found")</f>
        <v>not found</v>
      </c>
      <c r="F51" t="str">
        <f>IFERROR(VLOOKUP(A51,#REF!,2,TRUE),"")</f>
        <v/>
      </c>
      <c r="G51">
        <v>7150</v>
      </c>
      <c r="H51" t="s">
        <v>2</v>
      </c>
      <c r="O51">
        <v>62</v>
      </c>
      <c r="P51" t="s">
        <v>37</v>
      </c>
      <c r="Q51">
        <v>50</v>
      </c>
      <c r="R51" t="s">
        <v>49</v>
      </c>
      <c r="S51" t="s">
        <v>33</v>
      </c>
      <c r="T51" t="s">
        <v>0</v>
      </c>
      <c r="U51">
        <v>0</v>
      </c>
    </row>
    <row r="52" spans="3:21" x14ac:dyDescent="0.3">
      <c r="C52" t="s">
        <v>48</v>
      </c>
      <c r="D52" s="18">
        <v>45961</v>
      </c>
      <c r="E52" t="str">
        <f>IFERROR(VLOOKUP(A52,#REF!,5,TRUE),"not found")</f>
        <v>not found</v>
      </c>
      <c r="F52" t="str">
        <f>IFERROR(VLOOKUP(A52,#REF!,2,TRUE),"")</f>
        <v/>
      </c>
      <c r="G52">
        <v>7150</v>
      </c>
      <c r="H52" t="s">
        <v>2</v>
      </c>
      <c r="O52">
        <v>62</v>
      </c>
      <c r="P52" t="s">
        <v>37</v>
      </c>
      <c r="Q52">
        <v>50</v>
      </c>
      <c r="R52" t="s">
        <v>49</v>
      </c>
      <c r="S52" t="s">
        <v>33</v>
      </c>
      <c r="T52" t="s">
        <v>0</v>
      </c>
      <c r="U52">
        <v>0</v>
      </c>
    </row>
    <row r="53" spans="3:21" x14ac:dyDescent="0.3">
      <c r="C53" t="s">
        <v>48</v>
      </c>
      <c r="D53" s="18">
        <v>45961</v>
      </c>
      <c r="E53" t="str">
        <f>IFERROR(VLOOKUP(A53,#REF!,5,TRUE),"not found")</f>
        <v>not found</v>
      </c>
      <c r="F53" t="str">
        <f>IFERROR(VLOOKUP(A53,#REF!,2,TRUE),"")</f>
        <v/>
      </c>
      <c r="G53">
        <v>7150</v>
      </c>
      <c r="H53" t="s">
        <v>2</v>
      </c>
      <c r="O53">
        <v>62</v>
      </c>
      <c r="P53" t="s">
        <v>37</v>
      </c>
      <c r="Q53">
        <v>50</v>
      </c>
      <c r="R53" t="s">
        <v>49</v>
      </c>
      <c r="S53" t="s">
        <v>33</v>
      </c>
      <c r="T53" t="s">
        <v>0</v>
      </c>
      <c r="U53">
        <v>0</v>
      </c>
    </row>
    <row r="54" spans="3:21" x14ac:dyDescent="0.3">
      <c r="C54" t="s">
        <v>48</v>
      </c>
      <c r="D54" s="18">
        <v>45961</v>
      </c>
      <c r="E54" t="str">
        <f>IFERROR(VLOOKUP(A54,#REF!,5,TRUE),"not found")</f>
        <v>not found</v>
      </c>
      <c r="F54" t="str">
        <f>IFERROR(VLOOKUP(A54,#REF!,2,TRUE),"")</f>
        <v/>
      </c>
      <c r="G54">
        <v>7150</v>
      </c>
      <c r="H54" t="s">
        <v>2</v>
      </c>
      <c r="O54">
        <v>62</v>
      </c>
      <c r="P54" t="s">
        <v>37</v>
      </c>
      <c r="Q54">
        <v>50</v>
      </c>
      <c r="R54" t="s">
        <v>49</v>
      </c>
      <c r="S54" t="s">
        <v>33</v>
      </c>
      <c r="T54" t="s">
        <v>0</v>
      </c>
      <c r="U54">
        <v>0</v>
      </c>
    </row>
    <row r="55" spans="3:21" x14ac:dyDescent="0.3">
      <c r="C55" t="s">
        <v>48</v>
      </c>
      <c r="D55" s="18">
        <v>45961</v>
      </c>
      <c r="E55" t="str">
        <f>IFERROR(VLOOKUP(A55,#REF!,5,TRUE),"not found")</f>
        <v>not found</v>
      </c>
      <c r="F55" t="str">
        <f>IFERROR(VLOOKUP(A55,#REF!,2,TRUE),"")</f>
        <v/>
      </c>
      <c r="G55">
        <v>7150</v>
      </c>
      <c r="H55" t="s">
        <v>2</v>
      </c>
      <c r="O55">
        <v>62</v>
      </c>
      <c r="P55" t="s">
        <v>37</v>
      </c>
      <c r="Q55">
        <v>50</v>
      </c>
      <c r="R55" t="s">
        <v>49</v>
      </c>
      <c r="S55" t="s">
        <v>33</v>
      </c>
      <c r="T55" t="s">
        <v>0</v>
      </c>
      <c r="U55">
        <v>0</v>
      </c>
    </row>
    <row r="56" spans="3:21" x14ac:dyDescent="0.3">
      <c r="C56" t="s">
        <v>48</v>
      </c>
      <c r="D56" s="18">
        <v>45961</v>
      </c>
      <c r="E56" t="str">
        <f>IFERROR(VLOOKUP(A56,#REF!,5,TRUE),"not found")</f>
        <v>not found</v>
      </c>
      <c r="F56" t="str">
        <f>IFERROR(VLOOKUP(A56,#REF!,2,TRUE),"")</f>
        <v/>
      </c>
      <c r="G56">
        <v>7150</v>
      </c>
      <c r="H56" t="s">
        <v>2</v>
      </c>
      <c r="O56">
        <v>62</v>
      </c>
      <c r="P56" t="s">
        <v>37</v>
      </c>
      <c r="Q56">
        <v>50</v>
      </c>
      <c r="R56" t="s">
        <v>49</v>
      </c>
      <c r="S56" t="s">
        <v>33</v>
      </c>
      <c r="T56" t="s">
        <v>0</v>
      </c>
      <c r="U56">
        <v>0</v>
      </c>
    </row>
    <row r="57" spans="3:21" x14ac:dyDescent="0.3">
      <c r="C57" t="s">
        <v>48</v>
      </c>
      <c r="D57" s="18">
        <v>45961</v>
      </c>
      <c r="E57" t="str">
        <f>IFERROR(VLOOKUP(A57,#REF!,5,TRUE),"not found")</f>
        <v>not found</v>
      </c>
      <c r="F57" t="str">
        <f>IFERROR(VLOOKUP(A57,#REF!,2,TRUE),"")</f>
        <v/>
      </c>
      <c r="G57">
        <v>7150</v>
      </c>
      <c r="H57" t="s">
        <v>2</v>
      </c>
      <c r="O57">
        <v>62</v>
      </c>
      <c r="P57" t="s">
        <v>37</v>
      </c>
      <c r="Q57">
        <v>50</v>
      </c>
      <c r="R57" t="s">
        <v>49</v>
      </c>
      <c r="S57" t="s">
        <v>33</v>
      </c>
      <c r="T57" t="s">
        <v>0</v>
      </c>
      <c r="U57">
        <v>0</v>
      </c>
    </row>
    <row r="58" spans="3:21" x14ac:dyDescent="0.3">
      <c r="C58" t="s">
        <v>48</v>
      </c>
      <c r="D58" s="18">
        <v>45961</v>
      </c>
      <c r="E58" t="str">
        <f>IFERROR(VLOOKUP(A58,#REF!,5,TRUE),"not found")</f>
        <v>not found</v>
      </c>
      <c r="F58" t="str">
        <f>IFERROR(VLOOKUP(A58,#REF!,2,TRUE),"")</f>
        <v/>
      </c>
      <c r="G58">
        <v>7150</v>
      </c>
      <c r="H58" t="s">
        <v>2</v>
      </c>
      <c r="O58">
        <v>62</v>
      </c>
      <c r="P58" t="s">
        <v>37</v>
      </c>
      <c r="Q58">
        <v>50</v>
      </c>
      <c r="R58" t="s">
        <v>49</v>
      </c>
      <c r="S58" t="s">
        <v>33</v>
      </c>
      <c r="T58" t="s">
        <v>0</v>
      </c>
      <c r="U58">
        <v>0</v>
      </c>
    </row>
    <row r="59" spans="3:21" x14ac:dyDescent="0.3">
      <c r="C59" t="s">
        <v>48</v>
      </c>
      <c r="D59" s="18">
        <v>45961</v>
      </c>
      <c r="E59" t="str">
        <f>IFERROR(VLOOKUP(A59,#REF!,5,TRUE),"not found")</f>
        <v>not found</v>
      </c>
      <c r="F59" t="str">
        <f>IFERROR(VLOOKUP(A59,#REF!,2,TRUE),"")</f>
        <v/>
      </c>
      <c r="G59">
        <v>7150</v>
      </c>
      <c r="H59" t="s">
        <v>2</v>
      </c>
      <c r="O59">
        <v>62</v>
      </c>
      <c r="P59" t="s">
        <v>37</v>
      </c>
      <c r="Q59">
        <v>50</v>
      </c>
      <c r="R59" t="s">
        <v>49</v>
      </c>
      <c r="S59" t="s">
        <v>33</v>
      </c>
      <c r="T59" t="s">
        <v>0</v>
      </c>
      <c r="U59">
        <v>0</v>
      </c>
    </row>
    <row r="60" spans="3:21" x14ac:dyDescent="0.3">
      <c r="C60" t="s">
        <v>48</v>
      </c>
      <c r="D60" s="18">
        <v>45961</v>
      </c>
      <c r="E60" t="str">
        <f>IFERROR(VLOOKUP(A60,#REF!,5,TRUE),"not found")</f>
        <v>not found</v>
      </c>
      <c r="F60" t="str">
        <f>IFERROR(VLOOKUP(A60,#REF!,2,TRUE),"")</f>
        <v/>
      </c>
      <c r="G60">
        <v>7150</v>
      </c>
      <c r="H60" t="s">
        <v>2</v>
      </c>
      <c r="O60">
        <v>62</v>
      </c>
      <c r="P60" t="s">
        <v>37</v>
      </c>
      <c r="Q60">
        <v>50</v>
      </c>
      <c r="R60" t="s">
        <v>49</v>
      </c>
      <c r="S60" t="s">
        <v>33</v>
      </c>
      <c r="T60" t="s">
        <v>0</v>
      </c>
      <c r="U60">
        <v>0</v>
      </c>
    </row>
    <row r="61" spans="3:21" x14ac:dyDescent="0.3">
      <c r="C61" t="s">
        <v>48</v>
      </c>
      <c r="D61" s="18">
        <v>45961</v>
      </c>
      <c r="E61" t="str">
        <f>IFERROR(VLOOKUP(A61,#REF!,5,TRUE),"not found")</f>
        <v>not found</v>
      </c>
      <c r="F61" t="str">
        <f>IFERROR(VLOOKUP(A61,#REF!,2,TRUE),"")</f>
        <v/>
      </c>
      <c r="G61">
        <v>7150</v>
      </c>
      <c r="H61" t="s">
        <v>2</v>
      </c>
      <c r="O61">
        <v>62</v>
      </c>
      <c r="P61" t="s">
        <v>37</v>
      </c>
      <c r="Q61">
        <v>50</v>
      </c>
      <c r="R61" t="s">
        <v>49</v>
      </c>
      <c r="S61" t="s">
        <v>33</v>
      </c>
      <c r="T61" t="s">
        <v>0</v>
      </c>
      <c r="U61">
        <v>0</v>
      </c>
    </row>
    <row r="62" spans="3:21" x14ac:dyDescent="0.3">
      <c r="C62" t="s">
        <v>48</v>
      </c>
      <c r="D62" s="18">
        <v>45961</v>
      </c>
      <c r="E62" t="str">
        <f>IFERROR(VLOOKUP(A62,#REF!,5,TRUE),"not found")</f>
        <v>not found</v>
      </c>
      <c r="F62" t="str">
        <f>IFERROR(VLOOKUP(A62,#REF!,2,TRUE),"")</f>
        <v/>
      </c>
      <c r="G62">
        <v>7150</v>
      </c>
      <c r="H62" t="s">
        <v>2</v>
      </c>
      <c r="O62">
        <v>62</v>
      </c>
      <c r="P62" t="s">
        <v>37</v>
      </c>
      <c r="Q62">
        <v>50</v>
      </c>
      <c r="R62" t="s">
        <v>49</v>
      </c>
      <c r="S62" t="s">
        <v>33</v>
      </c>
      <c r="T62" t="s">
        <v>0</v>
      </c>
      <c r="U62">
        <v>0</v>
      </c>
    </row>
    <row r="63" spans="3:21" x14ac:dyDescent="0.3">
      <c r="C63" t="s">
        <v>48</v>
      </c>
      <c r="D63" s="18">
        <v>45961</v>
      </c>
      <c r="E63" t="str">
        <f>IFERROR(VLOOKUP(A63,#REF!,5,TRUE),"not found")</f>
        <v>not found</v>
      </c>
      <c r="F63" t="str">
        <f>IFERROR(VLOOKUP(A63,#REF!,2,TRUE),"")</f>
        <v/>
      </c>
      <c r="G63">
        <v>7150</v>
      </c>
      <c r="H63" t="s">
        <v>2</v>
      </c>
      <c r="O63">
        <v>62</v>
      </c>
      <c r="P63" t="s">
        <v>37</v>
      </c>
      <c r="Q63">
        <v>50</v>
      </c>
      <c r="R63" t="s">
        <v>49</v>
      </c>
      <c r="S63" t="s">
        <v>33</v>
      </c>
      <c r="T63" t="s">
        <v>0</v>
      </c>
      <c r="U63">
        <v>0</v>
      </c>
    </row>
    <row r="64" spans="3:21" x14ac:dyDescent="0.3">
      <c r="C64" t="s">
        <v>48</v>
      </c>
      <c r="D64" s="18">
        <v>45961</v>
      </c>
      <c r="E64" t="str">
        <f>IFERROR(VLOOKUP(A64,#REF!,5,TRUE),"not found")</f>
        <v>not found</v>
      </c>
      <c r="F64" t="str">
        <f>IFERROR(VLOOKUP(A64,#REF!,2,TRUE),"")</f>
        <v/>
      </c>
      <c r="G64">
        <v>7150</v>
      </c>
      <c r="H64" t="s">
        <v>2</v>
      </c>
      <c r="O64">
        <v>62</v>
      </c>
      <c r="P64" t="s">
        <v>37</v>
      </c>
      <c r="Q64">
        <v>50</v>
      </c>
      <c r="R64" t="s">
        <v>49</v>
      </c>
      <c r="S64" t="s">
        <v>33</v>
      </c>
      <c r="T64" t="s">
        <v>0</v>
      </c>
      <c r="U64">
        <v>0</v>
      </c>
    </row>
    <row r="65" spans="3:21" x14ac:dyDescent="0.3">
      <c r="C65" t="s">
        <v>48</v>
      </c>
      <c r="D65" s="18">
        <v>45961</v>
      </c>
      <c r="E65" t="str">
        <f>IFERROR(VLOOKUP(A65,#REF!,5,TRUE),"not found")</f>
        <v>not found</v>
      </c>
      <c r="F65" t="str">
        <f>IFERROR(VLOOKUP(A65,#REF!,2,TRUE),"")</f>
        <v/>
      </c>
      <c r="G65">
        <v>7150</v>
      </c>
      <c r="H65" t="s">
        <v>2</v>
      </c>
      <c r="O65">
        <v>62</v>
      </c>
      <c r="P65" t="s">
        <v>37</v>
      </c>
      <c r="Q65">
        <v>50</v>
      </c>
      <c r="R65" t="s">
        <v>49</v>
      </c>
      <c r="S65" t="s">
        <v>33</v>
      </c>
      <c r="T65" t="s">
        <v>0</v>
      </c>
      <c r="U65">
        <v>0</v>
      </c>
    </row>
    <row r="66" spans="3:21" x14ac:dyDescent="0.3">
      <c r="C66" t="s">
        <v>48</v>
      </c>
      <c r="D66" s="18">
        <v>45961</v>
      </c>
      <c r="E66" t="str">
        <f>IFERROR(VLOOKUP(A66,#REF!,5,TRUE),"not found")</f>
        <v>not found</v>
      </c>
      <c r="F66" t="str">
        <f>IFERROR(VLOOKUP(A66,#REF!,2,TRUE),"")</f>
        <v/>
      </c>
      <c r="G66">
        <v>7150</v>
      </c>
      <c r="H66" t="s">
        <v>2</v>
      </c>
      <c r="O66">
        <v>62</v>
      </c>
      <c r="P66" t="s">
        <v>37</v>
      </c>
      <c r="Q66">
        <v>50</v>
      </c>
      <c r="R66" t="s">
        <v>49</v>
      </c>
      <c r="S66" t="s">
        <v>33</v>
      </c>
      <c r="T66" t="s">
        <v>0</v>
      </c>
      <c r="U66">
        <v>0</v>
      </c>
    </row>
    <row r="67" spans="3:21" x14ac:dyDescent="0.3">
      <c r="C67" t="s">
        <v>48</v>
      </c>
      <c r="D67" s="18">
        <v>45961</v>
      </c>
      <c r="E67" t="str">
        <f>IFERROR(VLOOKUP(A67,#REF!,5,TRUE),"not found")</f>
        <v>not found</v>
      </c>
      <c r="F67" t="str">
        <f>IFERROR(VLOOKUP(A67,#REF!,2,TRUE),"")</f>
        <v/>
      </c>
      <c r="G67">
        <v>7150</v>
      </c>
      <c r="H67" t="s">
        <v>2</v>
      </c>
      <c r="O67">
        <v>62</v>
      </c>
      <c r="P67" t="s">
        <v>37</v>
      </c>
      <c r="Q67">
        <v>50</v>
      </c>
      <c r="R67" t="s">
        <v>49</v>
      </c>
      <c r="S67" t="s">
        <v>33</v>
      </c>
      <c r="T67" t="s">
        <v>0</v>
      </c>
      <c r="U67">
        <v>0</v>
      </c>
    </row>
    <row r="68" spans="3:21" x14ac:dyDescent="0.3">
      <c r="C68" t="s">
        <v>48</v>
      </c>
      <c r="D68" s="18">
        <v>45961</v>
      </c>
      <c r="E68" t="str">
        <f>IFERROR(VLOOKUP(A68,#REF!,5,TRUE),"not found")</f>
        <v>not found</v>
      </c>
      <c r="F68" t="str">
        <f>IFERROR(VLOOKUP(A68,#REF!,2,TRUE),"")</f>
        <v/>
      </c>
      <c r="G68">
        <v>7150</v>
      </c>
      <c r="H68" t="s">
        <v>2</v>
      </c>
      <c r="O68">
        <v>62</v>
      </c>
      <c r="P68" t="s">
        <v>37</v>
      </c>
      <c r="Q68">
        <v>50</v>
      </c>
      <c r="R68" t="s">
        <v>49</v>
      </c>
      <c r="S68" t="s">
        <v>33</v>
      </c>
      <c r="T68" t="s">
        <v>0</v>
      </c>
      <c r="U68">
        <v>0</v>
      </c>
    </row>
    <row r="69" spans="3:21" x14ac:dyDescent="0.3">
      <c r="C69" t="s">
        <v>48</v>
      </c>
      <c r="D69" s="18">
        <v>45961</v>
      </c>
      <c r="E69" t="str">
        <f>IFERROR(VLOOKUP(A69,#REF!,5,TRUE),"not found")</f>
        <v>not found</v>
      </c>
      <c r="F69" t="str">
        <f>IFERROR(VLOOKUP(A69,#REF!,2,TRUE),"")</f>
        <v/>
      </c>
      <c r="G69">
        <v>7150</v>
      </c>
      <c r="H69" t="s">
        <v>2</v>
      </c>
      <c r="O69">
        <v>62</v>
      </c>
      <c r="P69" t="s">
        <v>37</v>
      </c>
      <c r="Q69">
        <v>50</v>
      </c>
      <c r="R69" t="s">
        <v>49</v>
      </c>
      <c r="S69" t="s">
        <v>33</v>
      </c>
      <c r="T69" t="s">
        <v>0</v>
      </c>
      <c r="U69">
        <v>0</v>
      </c>
    </row>
    <row r="70" spans="3:21" x14ac:dyDescent="0.3">
      <c r="C70" t="s">
        <v>48</v>
      </c>
      <c r="D70" s="18">
        <v>45961</v>
      </c>
      <c r="E70" t="str">
        <f>IFERROR(VLOOKUP(A70,#REF!,5,TRUE),"not found")</f>
        <v>not found</v>
      </c>
      <c r="F70" t="str">
        <f>IFERROR(VLOOKUP(A70,#REF!,2,TRUE),"")</f>
        <v/>
      </c>
      <c r="G70">
        <v>7150</v>
      </c>
      <c r="H70" t="s">
        <v>2</v>
      </c>
      <c r="O70">
        <v>62</v>
      </c>
      <c r="P70" t="s">
        <v>37</v>
      </c>
      <c r="Q70">
        <v>50</v>
      </c>
      <c r="R70" t="s">
        <v>49</v>
      </c>
      <c r="S70" t="s">
        <v>33</v>
      </c>
      <c r="T70" t="s">
        <v>0</v>
      </c>
      <c r="U70">
        <v>0</v>
      </c>
    </row>
    <row r="71" spans="3:21" x14ac:dyDescent="0.3">
      <c r="C71" t="s">
        <v>48</v>
      </c>
      <c r="D71" s="18">
        <v>45961</v>
      </c>
      <c r="E71" t="str">
        <f>IFERROR(VLOOKUP(A71,#REF!,5,TRUE),"not found")</f>
        <v>not found</v>
      </c>
      <c r="F71" t="str">
        <f>IFERROR(VLOOKUP(A71,#REF!,2,TRUE),"")</f>
        <v/>
      </c>
      <c r="G71">
        <v>7150</v>
      </c>
      <c r="H71" t="s">
        <v>2</v>
      </c>
      <c r="O71">
        <v>62</v>
      </c>
      <c r="P71" t="s">
        <v>37</v>
      </c>
      <c r="Q71">
        <v>50</v>
      </c>
      <c r="R71" t="s">
        <v>49</v>
      </c>
      <c r="S71" t="s">
        <v>33</v>
      </c>
      <c r="T71" t="s">
        <v>0</v>
      </c>
      <c r="U71">
        <v>0</v>
      </c>
    </row>
    <row r="72" spans="3:21" x14ac:dyDescent="0.3">
      <c r="C72" t="s">
        <v>48</v>
      </c>
      <c r="D72" s="18">
        <v>45961</v>
      </c>
      <c r="E72" t="str">
        <f>IFERROR(VLOOKUP(A72,#REF!,5,TRUE),"not found")</f>
        <v>not found</v>
      </c>
      <c r="F72" t="str">
        <f>IFERROR(VLOOKUP(A72,#REF!,2,TRUE),"")</f>
        <v/>
      </c>
      <c r="G72">
        <v>7150</v>
      </c>
      <c r="H72" t="s">
        <v>2</v>
      </c>
      <c r="O72">
        <v>62</v>
      </c>
      <c r="P72" t="s">
        <v>37</v>
      </c>
      <c r="Q72">
        <v>50</v>
      </c>
      <c r="R72" t="s">
        <v>49</v>
      </c>
      <c r="S72" t="s">
        <v>33</v>
      </c>
      <c r="T72" t="s">
        <v>0</v>
      </c>
      <c r="U72">
        <v>0</v>
      </c>
    </row>
    <row r="73" spans="3:21" x14ac:dyDescent="0.3">
      <c r="C73" t="s">
        <v>48</v>
      </c>
      <c r="D73" s="18">
        <v>45961</v>
      </c>
      <c r="E73" t="str">
        <f>IFERROR(VLOOKUP(A73,#REF!,5,TRUE),"not found")</f>
        <v>not found</v>
      </c>
      <c r="F73" t="str">
        <f>IFERROR(VLOOKUP(A73,#REF!,2,TRUE),"")</f>
        <v/>
      </c>
      <c r="G73">
        <v>7150</v>
      </c>
      <c r="H73" t="s">
        <v>2</v>
      </c>
      <c r="O73">
        <v>62</v>
      </c>
      <c r="P73" t="s">
        <v>37</v>
      </c>
      <c r="Q73">
        <v>50</v>
      </c>
      <c r="R73" t="s">
        <v>49</v>
      </c>
      <c r="S73" t="s">
        <v>33</v>
      </c>
      <c r="T73" t="s">
        <v>0</v>
      </c>
      <c r="U73">
        <v>0</v>
      </c>
    </row>
    <row r="74" spans="3:21" x14ac:dyDescent="0.3">
      <c r="C74" t="s">
        <v>48</v>
      </c>
      <c r="D74" s="18">
        <v>45961</v>
      </c>
      <c r="E74" t="str">
        <f>IFERROR(VLOOKUP(A74,#REF!,5,TRUE),"not found")</f>
        <v>not found</v>
      </c>
      <c r="F74" t="str">
        <f>IFERROR(VLOOKUP(A74,#REF!,2,TRUE),"")</f>
        <v/>
      </c>
      <c r="G74">
        <v>7150</v>
      </c>
      <c r="H74" t="s">
        <v>2</v>
      </c>
      <c r="O74">
        <v>62</v>
      </c>
      <c r="P74" t="s">
        <v>37</v>
      </c>
      <c r="Q74">
        <v>50</v>
      </c>
      <c r="R74" t="s">
        <v>49</v>
      </c>
      <c r="S74" t="s">
        <v>33</v>
      </c>
      <c r="T74" t="s">
        <v>0</v>
      </c>
      <c r="U74">
        <v>0</v>
      </c>
    </row>
    <row r="75" spans="3:21" x14ac:dyDescent="0.3">
      <c r="C75" t="s">
        <v>48</v>
      </c>
      <c r="D75" s="18">
        <v>45961</v>
      </c>
      <c r="E75" t="str">
        <f>IFERROR(VLOOKUP(A75,#REF!,5,TRUE),"not found")</f>
        <v>not found</v>
      </c>
      <c r="F75" t="str">
        <f>IFERROR(VLOOKUP(A75,#REF!,2,TRUE),"")</f>
        <v/>
      </c>
      <c r="G75">
        <v>7150</v>
      </c>
      <c r="H75" t="s">
        <v>2</v>
      </c>
      <c r="O75">
        <v>62</v>
      </c>
      <c r="P75" t="s">
        <v>37</v>
      </c>
      <c r="Q75">
        <v>50</v>
      </c>
      <c r="R75" t="s">
        <v>49</v>
      </c>
      <c r="S75" t="s">
        <v>33</v>
      </c>
      <c r="T75" t="s">
        <v>0</v>
      </c>
      <c r="U75">
        <v>0</v>
      </c>
    </row>
    <row r="76" spans="3:21" x14ac:dyDescent="0.3">
      <c r="C76" t="s">
        <v>48</v>
      </c>
      <c r="D76" s="18">
        <v>45961</v>
      </c>
      <c r="E76" t="str">
        <f>IFERROR(VLOOKUP(A76,#REF!,5,TRUE),"not found")</f>
        <v>not found</v>
      </c>
      <c r="F76" t="str">
        <f>IFERROR(VLOOKUP(A76,#REF!,2,TRUE),"")</f>
        <v/>
      </c>
      <c r="G76">
        <v>7150</v>
      </c>
      <c r="H76" t="s">
        <v>2</v>
      </c>
      <c r="O76">
        <v>62</v>
      </c>
      <c r="P76" t="s">
        <v>37</v>
      </c>
      <c r="Q76">
        <v>50</v>
      </c>
      <c r="R76" t="s">
        <v>49</v>
      </c>
      <c r="S76" t="s">
        <v>33</v>
      </c>
      <c r="T76" t="s">
        <v>0</v>
      </c>
      <c r="U76">
        <v>0</v>
      </c>
    </row>
    <row r="77" spans="3:21" x14ac:dyDescent="0.3">
      <c r="C77" t="s">
        <v>48</v>
      </c>
      <c r="D77" s="18">
        <v>45961</v>
      </c>
      <c r="E77" t="str">
        <f>IFERROR(VLOOKUP(A77,#REF!,5,TRUE),"not found")</f>
        <v>not found</v>
      </c>
      <c r="F77" t="str">
        <f>IFERROR(VLOOKUP(A77,#REF!,2,TRUE),"")</f>
        <v/>
      </c>
      <c r="G77">
        <v>7150</v>
      </c>
      <c r="H77" t="s">
        <v>2</v>
      </c>
      <c r="O77">
        <v>62</v>
      </c>
      <c r="P77" t="s">
        <v>37</v>
      </c>
      <c r="Q77">
        <v>50</v>
      </c>
      <c r="R77" t="s">
        <v>49</v>
      </c>
      <c r="S77" t="s">
        <v>33</v>
      </c>
      <c r="T77" t="s">
        <v>0</v>
      </c>
      <c r="U77">
        <v>0</v>
      </c>
    </row>
    <row r="78" spans="3:21" x14ac:dyDescent="0.3">
      <c r="C78" t="s">
        <v>48</v>
      </c>
      <c r="D78" s="18">
        <v>45961</v>
      </c>
      <c r="E78" t="str">
        <f>IFERROR(VLOOKUP(A78,#REF!,5,TRUE),"not found")</f>
        <v>not found</v>
      </c>
      <c r="F78" t="str">
        <f>IFERROR(VLOOKUP(A78,#REF!,2,TRUE),"")</f>
        <v/>
      </c>
      <c r="G78">
        <v>7150</v>
      </c>
      <c r="H78" t="s">
        <v>2</v>
      </c>
      <c r="O78">
        <v>62</v>
      </c>
      <c r="P78" t="s">
        <v>37</v>
      </c>
      <c r="Q78">
        <v>50</v>
      </c>
      <c r="R78" t="s">
        <v>49</v>
      </c>
      <c r="S78" t="s">
        <v>33</v>
      </c>
      <c r="T78" t="s">
        <v>0</v>
      </c>
      <c r="U78">
        <v>0</v>
      </c>
    </row>
    <row r="79" spans="3:21" x14ac:dyDescent="0.3">
      <c r="C79" t="s">
        <v>48</v>
      </c>
      <c r="D79" s="18">
        <v>45961</v>
      </c>
      <c r="E79" t="str">
        <f>IFERROR(VLOOKUP(A79,#REF!,5,TRUE),"not found")</f>
        <v>not found</v>
      </c>
      <c r="F79" t="str">
        <f>IFERROR(VLOOKUP(A79,#REF!,2,TRUE),"")</f>
        <v/>
      </c>
      <c r="G79">
        <v>7150</v>
      </c>
      <c r="H79" t="s">
        <v>2</v>
      </c>
      <c r="O79">
        <v>62</v>
      </c>
      <c r="P79" t="s">
        <v>37</v>
      </c>
      <c r="Q79">
        <v>50</v>
      </c>
      <c r="R79" t="s">
        <v>49</v>
      </c>
      <c r="S79" t="s">
        <v>33</v>
      </c>
      <c r="T79" t="s">
        <v>0</v>
      </c>
      <c r="U79">
        <v>0</v>
      </c>
    </row>
    <row r="80" spans="3:21" x14ac:dyDescent="0.3">
      <c r="C80" t="s">
        <v>48</v>
      </c>
      <c r="D80" s="18">
        <v>45961</v>
      </c>
      <c r="E80" t="str">
        <f>IFERROR(VLOOKUP(A80,#REF!,5,TRUE),"not found")</f>
        <v>not found</v>
      </c>
      <c r="F80" t="str">
        <f>IFERROR(VLOOKUP(A80,#REF!,2,TRUE),"")</f>
        <v/>
      </c>
      <c r="G80">
        <v>7150</v>
      </c>
      <c r="H80" t="s">
        <v>2</v>
      </c>
      <c r="O80">
        <v>62</v>
      </c>
      <c r="P80" t="s">
        <v>37</v>
      </c>
      <c r="Q80">
        <v>50</v>
      </c>
      <c r="R80" t="s">
        <v>49</v>
      </c>
      <c r="S80" t="s">
        <v>33</v>
      </c>
      <c r="T80" t="s">
        <v>0</v>
      </c>
      <c r="U80">
        <v>0</v>
      </c>
    </row>
    <row r="81" spans="3:21" x14ac:dyDescent="0.3">
      <c r="C81" t="s">
        <v>48</v>
      </c>
      <c r="D81" s="18">
        <v>45961</v>
      </c>
      <c r="E81" t="str">
        <f>IFERROR(VLOOKUP(A81,#REF!,5,TRUE),"not found")</f>
        <v>not found</v>
      </c>
      <c r="F81" t="str">
        <f>IFERROR(VLOOKUP(A81,#REF!,2,TRUE),"")</f>
        <v/>
      </c>
      <c r="G81">
        <v>7150</v>
      </c>
      <c r="H81" t="s">
        <v>2</v>
      </c>
      <c r="O81">
        <v>62</v>
      </c>
      <c r="P81" t="s">
        <v>37</v>
      </c>
      <c r="Q81">
        <v>50</v>
      </c>
      <c r="R81" t="s">
        <v>49</v>
      </c>
      <c r="S81" t="s">
        <v>33</v>
      </c>
      <c r="T81" t="s">
        <v>0</v>
      </c>
      <c r="U81">
        <v>0</v>
      </c>
    </row>
    <row r="82" spans="3:21" x14ac:dyDescent="0.3">
      <c r="C82" t="s">
        <v>48</v>
      </c>
      <c r="D82" s="18">
        <v>45961</v>
      </c>
      <c r="E82" t="str">
        <f>IFERROR(VLOOKUP(A82,#REF!,5,TRUE),"not found")</f>
        <v>not found</v>
      </c>
      <c r="F82" t="str">
        <f>IFERROR(VLOOKUP(A82,#REF!,2,TRUE),"")</f>
        <v/>
      </c>
      <c r="G82">
        <v>7150</v>
      </c>
      <c r="H82" t="s">
        <v>2</v>
      </c>
      <c r="O82">
        <v>62</v>
      </c>
      <c r="P82" t="s">
        <v>37</v>
      </c>
      <c r="Q82">
        <v>50</v>
      </c>
      <c r="R82" t="s">
        <v>49</v>
      </c>
      <c r="S82" t="s">
        <v>33</v>
      </c>
      <c r="T82" t="s">
        <v>0</v>
      </c>
      <c r="U82">
        <v>0</v>
      </c>
    </row>
    <row r="83" spans="3:21" x14ac:dyDescent="0.3">
      <c r="C83" t="s">
        <v>48</v>
      </c>
      <c r="D83" s="18">
        <v>45961</v>
      </c>
      <c r="E83" t="str">
        <f>IFERROR(VLOOKUP(A83,#REF!,5,TRUE),"not found")</f>
        <v>not found</v>
      </c>
      <c r="F83" t="str">
        <f>IFERROR(VLOOKUP(A83,#REF!,2,TRUE),"")</f>
        <v/>
      </c>
      <c r="G83">
        <v>7150</v>
      </c>
      <c r="H83" t="s">
        <v>2</v>
      </c>
      <c r="O83">
        <v>62</v>
      </c>
      <c r="P83" t="s">
        <v>37</v>
      </c>
      <c r="Q83">
        <v>50</v>
      </c>
      <c r="R83" t="s">
        <v>49</v>
      </c>
      <c r="S83" t="s">
        <v>33</v>
      </c>
      <c r="T83" t="s">
        <v>0</v>
      </c>
      <c r="U83">
        <v>0</v>
      </c>
    </row>
    <row r="84" spans="3:21" x14ac:dyDescent="0.3">
      <c r="C84" t="s">
        <v>48</v>
      </c>
      <c r="D84" s="18">
        <v>45961</v>
      </c>
      <c r="E84" t="str">
        <f>IFERROR(VLOOKUP(A84,#REF!,5,TRUE),"not found")</f>
        <v>not found</v>
      </c>
      <c r="F84" t="str">
        <f>IFERROR(VLOOKUP(A84,#REF!,2,TRUE),"")</f>
        <v/>
      </c>
      <c r="G84">
        <v>7150</v>
      </c>
      <c r="H84" t="s">
        <v>2</v>
      </c>
      <c r="O84">
        <v>62</v>
      </c>
      <c r="P84" t="s">
        <v>37</v>
      </c>
      <c r="Q84">
        <v>50</v>
      </c>
      <c r="R84" t="s">
        <v>49</v>
      </c>
      <c r="S84" t="s">
        <v>33</v>
      </c>
      <c r="T84" t="s">
        <v>0</v>
      </c>
      <c r="U84">
        <v>0</v>
      </c>
    </row>
    <row r="85" spans="3:21" x14ac:dyDescent="0.3">
      <c r="C85" t="s">
        <v>48</v>
      </c>
      <c r="D85" s="18">
        <v>45961</v>
      </c>
      <c r="E85" t="str">
        <f>IFERROR(VLOOKUP(A85,#REF!,5,TRUE),"not found")</f>
        <v>not found</v>
      </c>
      <c r="F85" t="str">
        <f>IFERROR(VLOOKUP(A85,#REF!,2,TRUE),"")</f>
        <v/>
      </c>
      <c r="G85">
        <v>7150</v>
      </c>
      <c r="H85" t="s">
        <v>2</v>
      </c>
      <c r="O85">
        <v>62</v>
      </c>
      <c r="P85" t="s">
        <v>37</v>
      </c>
      <c r="Q85">
        <v>50</v>
      </c>
      <c r="R85" t="s">
        <v>49</v>
      </c>
      <c r="S85" t="s">
        <v>33</v>
      </c>
      <c r="T85" t="s">
        <v>0</v>
      </c>
      <c r="U85">
        <v>0</v>
      </c>
    </row>
    <row r="86" spans="3:21" x14ac:dyDescent="0.3">
      <c r="C86" t="s">
        <v>48</v>
      </c>
      <c r="D86" s="18">
        <v>45961</v>
      </c>
      <c r="E86" t="str">
        <f>IFERROR(VLOOKUP(A86,#REF!,5,TRUE),"not found")</f>
        <v>not found</v>
      </c>
      <c r="F86" t="str">
        <f>IFERROR(VLOOKUP(A86,#REF!,2,TRUE),"")</f>
        <v/>
      </c>
      <c r="G86">
        <v>7150</v>
      </c>
      <c r="H86" t="s">
        <v>2</v>
      </c>
      <c r="O86">
        <v>62</v>
      </c>
      <c r="P86" t="s">
        <v>37</v>
      </c>
      <c r="Q86">
        <v>50</v>
      </c>
      <c r="R86" t="s">
        <v>49</v>
      </c>
      <c r="S86" t="s">
        <v>33</v>
      </c>
      <c r="T86" t="s">
        <v>0</v>
      </c>
      <c r="U86">
        <v>0</v>
      </c>
    </row>
    <row r="87" spans="3:21" x14ac:dyDescent="0.3">
      <c r="C87" t="s">
        <v>48</v>
      </c>
      <c r="D87" s="18">
        <v>45961</v>
      </c>
      <c r="E87" t="str">
        <f>IFERROR(VLOOKUP(A87,#REF!,5,TRUE),"not found")</f>
        <v>not found</v>
      </c>
      <c r="F87" t="str">
        <f>IFERROR(VLOOKUP(A87,#REF!,2,TRUE),"")</f>
        <v/>
      </c>
      <c r="G87">
        <v>7150</v>
      </c>
      <c r="H87" t="s">
        <v>2</v>
      </c>
      <c r="O87">
        <v>62</v>
      </c>
      <c r="P87" t="s">
        <v>37</v>
      </c>
      <c r="Q87">
        <v>50</v>
      </c>
      <c r="R87" t="s">
        <v>49</v>
      </c>
      <c r="S87" t="s">
        <v>33</v>
      </c>
      <c r="T87" t="s">
        <v>0</v>
      </c>
      <c r="U87">
        <v>0</v>
      </c>
    </row>
    <row r="88" spans="3:21" x14ac:dyDescent="0.3">
      <c r="C88" t="s">
        <v>48</v>
      </c>
      <c r="D88" s="18">
        <v>45961</v>
      </c>
      <c r="E88" t="str">
        <f>IFERROR(VLOOKUP(A88,#REF!,5,TRUE),"not found")</f>
        <v>not found</v>
      </c>
      <c r="F88" t="str">
        <f>IFERROR(VLOOKUP(A88,#REF!,2,TRUE),"")</f>
        <v/>
      </c>
      <c r="G88">
        <v>7150</v>
      </c>
      <c r="H88" t="s">
        <v>2</v>
      </c>
      <c r="O88">
        <v>62</v>
      </c>
      <c r="P88" t="s">
        <v>37</v>
      </c>
      <c r="Q88">
        <v>50</v>
      </c>
      <c r="R88" t="s">
        <v>49</v>
      </c>
      <c r="S88" t="s">
        <v>33</v>
      </c>
      <c r="T88" t="s">
        <v>0</v>
      </c>
      <c r="U88">
        <v>0</v>
      </c>
    </row>
    <row r="89" spans="3:21" x14ac:dyDescent="0.3">
      <c r="C89" t="s">
        <v>48</v>
      </c>
      <c r="D89" s="18">
        <v>45961</v>
      </c>
      <c r="E89" t="str">
        <f>IFERROR(VLOOKUP(A89,#REF!,5,TRUE),"not found")</f>
        <v>not found</v>
      </c>
      <c r="F89" t="str">
        <f>IFERROR(VLOOKUP(A89,#REF!,2,TRUE),"")</f>
        <v/>
      </c>
      <c r="G89">
        <v>7150</v>
      </c>
      <c r="H89" t="s">
        <v>2</v>
      </c>
      <c r="O89">
        <v>62</v>
      </c>
      <c r="P89" t="s">
        <v>37</v>
      </c>
      <c r="Q89">
        <v>50</v>
      </c>
      <c r="R89" t="s">
        <v>49</v>
      </c>
      <c r="S89" t="s">
        <v>33</v>
      </c>
      <c r="T89" t="s">
        <v>0</v>
      </c>
      <c r="U89">
        <v>0</v>
      </c>
    </row>
    <row r="90" spans="3:21" x14ac:dyDescent="0.3">
      <c r="C90" t="s">
        <v>48</v>
      </c>
      <c r="D90" s="18">
        <v>45961</v>
      </c>
      <c r="E90" t="str">
        <f>IFERROR(VLOOKUP(A90,#REF!,5,TRUE),"not found")</f>
        <v>not found</v>
      </c>
      <c r="F90" t="str">
        <f>IFERROR(VLOOKUP(A90,#REF!,2,TRUE),"")</f>
        <v/>
      </c>
      <c r="G90">
        <v>7150</v>
      </c>
      <c r="H90" t="s">
        <v>2</v>
      </c>
      <c r="O90">
        <v>62</v>
      </c>
      <c r="P90" t="s">
        <v>37</v>
      </c>
      <c r="Q90">
        <v>50</v>
      </c>
      <c r="R90" t="s">
        <v>49</v>
      </c>
      <c r="S90" t="s">
        <v>33</v>
      </c>
      <c r="T90" t="s">
        <v>0</v>
      </c>
      <c r="U90">
        <v>0</v>
      </c>
    </row>
    <row r="91" spans="3:21" x14ac:dyDescent="0.3">
      <c r="C91" t="s">
        <v>48</v>
      </c>
      <c r="D91" s="18">
        <v>45961</v>
      </c>
      <c r="E91" t="str">
        <f>IFERROR(VLOOKUP(A91,#REF!,5,TRUE),"not found")</f>
        <v>not found</v>
      </c>
      <c r="F91" t="str">
        <f>IFERROR(VLOOKUP(A91,#REF!,2,TRUE),"")</f>
        <v/>
      </c>
      <c r="G91">
        <v>7150</v>
      </c>
      <c r="H91" t="s">
        <v>2</v>
      </c>
      <c r="O91">
        <v>62</v>
      </c>
      <c r="P91" t="s">
        <v>37</v>
      </c>
      <c r="Q91">
        <v>50</v>
      </c>
      <c r="R91" t="s">
        <v>49</v>
      </c>
      <c r="S91" t="s">
        <v>33</v>
      </c>
      <c r="T91" t="s">
        <v>0</v>
      </c>
      <c r="U91">
        <v>0</v>
      </c>
    </row>
    <row r="92" spans="3:21" x14ac:dyDescent="0.3">
      <c r="C92" t="s">
        <v>48</v>
      </c>
      <c r="D92" s="18">
        <v>45961</v>
      </c>
      <c r="E92" t="str">
        <f>IFERROR(VLOOKUP(A92,#REF!,5,TRUE),"not found")</f>
        <v>not found</v>
      </c>
      <c r="F92" t="str">
        <f>IFERROR(VLOOKUP(A92,#REF!,2,TRUE),"")</f>
        <v/>
      </c>
      <c r="G92">
        <v>7150</v>
      </c>
      <c r="H92" t="s">
        <v>2</v>
      </c>
      <c r="O92">
        <v>62</v>
      </c>
      <c r="P92" t="s">
        <v>37</v>
      </c>
      <c r="Q92">
        <v>50</v>
      </c>
      <c r="R92" t="s">
        <v>49</v>
      </c>
      <c r="S92" t="s">
        <v>33</v>
      </c>
      <c r="T92" t="s">
        <v>0</v>
      </c>
      <c r="U92">
        <v>0</v>
      </c>
    </row>
    <row r="93" spans="3:21" x14ac:dyDescent="0.3">
      <c r="C93" t="s">
        <v>48</v>
      </c>
      <c r="D93" s="18">
        <v>45961</v>
      </c>
      <c r="E93" t="str">
        <f>IFERROR(VLOOKUP(A93,#REF!,5,TRUE),"not found")</f>
        <v>not found</v>
      </c>
      <c r="F93" t="str">
        <f>IFERROR(VLOOKUP(A93,#REF!,2,TRUE),"")</f>
        <v/>
      </c>
      <c r="G93">
        <v>7150</v>
      </c>
      <c r="H93" t="s">
        <v>2</v>
      </c>
      <c r="O93">
        <v>62</v>
      </c>
      <c r="P93" t="s">
        <v>37</v>
      </c>
      <c r="Q93">
        <v>50</v>
      </c>
      <c r="R93" t="s">
        <v>49</v>
      </c>
      <c r="S93" t="s">
        <v>33</v>
      </c>
      <c r="T93" t="s">
        <v>0</v>
      </c>
      <c r="U93">
        <v>0</v>
      </c>
    </row>
    <row r="94" spans="3:21" x14ac:dyDescent="0.3">
      <c r="C94" t="s">
        <v>48</v>
      </c>
      <c r="D94" s="18">
        <v>45961</v>
      </c>
      <c r="E94" t="str">
        <f>IFERROR(VLOOKUP(A94,#REF!,5,TRUE),"not found")</f>
        <v>not found</v>
      </c>
      <c r="F94" t="str">
        <f>IFERROR(VLOOKUP(A94,#REF!,2,TRUE),"")</f>
        <v/>
      </c>
      <c r="G94">
        <v>7150</v>
      </c>
      <c r="H94" t="s">
        <v>2</v>
      </c>
      <c r="O94">
        <v>62</v>
      </c>
      <c r="P94" t="s">
        <v>37</v>
      </c>
      <c r="Q94">
        <v>50</v>
      </c>
      <c r="R94" t="s">
        <v>49</v>
      </c>
      <c r="S94" t="s">
        <v>33</v>
      </c>
      <c r="T94" t="s">
        <v>0</v>
      </c>
      <c r="U94">
        <v>0</v>
      </c>
    </row>
    <row r="95" spans="3:21" x14ac:dyDescent="0.3">
      <c r="C95" t="s">
        <v>48</v>
      </c>
      <c r="D95" s="18">
        <v>45961</v>
      </c>
      <c r="E95" t="str">
        <f>IFERROR(VLOOKUP(A95,#REF!,5,TRUE),"not found")</f>
        <v>not found</v>
      </c>
      <c r="F95" t="str">
        <f>IFERROR(VLOOKUP(A95,#REF!,2,TRUE),"")</f>
        <v/>
      </c>
      <c r="G95">
        <v>7150</v>
      </c>
      <c r="H95" t="s">
        <v>2</v>
      </c>
      <c r="O95">
        <v>62</v>
      </c>
      <c r="P95" t="s">
        <v>37</v>
      </c>
      <c r="Q95">
        <v>50</v>
      </c>
      <c r="R95" t="s">
        <v>49</v>
      </c>
      <c r="S95" t="s">
        <v>33</v>
      </c>
      <c r="T95" t="s">
        <v>0</v>
      </c>
      <c r="U95">
        <v>0</v>
      </c>
    </row>
    <row r="96" spans="3:21" x14ac:dyDescent="0.3">
      <c r="C96" t="s">
        <v>48</v>
      </c>
      <c r="D96" s="18">
        <v>45961</v>
      </c>
      <c r="E96" t="str">
        <f>IFERROR(VLOOKUP(A96,#REF!,5,TRUE),"not found")</f>
        <v>not found</v>
      </c>
      <c r="F96" t="str">
        <f>IFERROR(VLOOKUP(A96,#REF!,2,TRUE),"")</f>
        <v/>
      </c>
      <c r="G96">
        <v>7150</v>
      </c>
      <c r="H96" t="s">
        <v>2</v>
      </c>
      <c r="O96">
        <v>62</v>
      </c>
      <c r="P96" t="s">
        <v>37</v>
      </c>
      <c r="Q96">
        <v>50</v>
      </c>
      <c r="R96" t="s">
        <v>49</v>
      </c>
      <c r="S96" t="s">
        <v>33</v>
      </c>
      <c r="T96" t="s">
        <v>0</v>
      </c>
      <c r="U96">
        <v>0</v>
      </c>
    </row>
    <row r="97" spans="3:21" x14ac:dyDescent="0.3">
      <c r="C97" t="s">
        <v>48</v>
      </c>
      <c r="D97" s="18">
        <v>45961</v>
      </c>
      <c r="E97" t="str">
        <f>IFERROR(VLOOKUP(A97,#REF!,5,TRUE),"not found")</f>
        <v>not found</v>
      </c>
      <c r="F97" t="str">
        <f>IFERROR(VLOOKUP(A97,#REF!,2,TRUE),"")</f>
        <v/>
      </c>
      <c r="G97">
        <v>7150</v>
      </c>
      <c r="H97" t="s">
        <v>2</v>
      </c>
      <c r="O97">
        <v>62</v>
      </c>
      <c r="P97" t="s">
        <v>37</v>
      </c>
      <c r="Q97">
        <v>50</v>
      </c>
      <c r="R97" t="s">
        <v>49</v>
      </c>
      <c r="S97" t="s">
        <v>33</v>
      </c>
      <c r="T97" t="s">
        <v>0</v>
      </c>
      <c r="U97">
        <v>0</v>
      </c>
    </row>
    <row r="98" spans="3:21" x14ac:dyDescent="0.3">
      <c r="C98" t="s">
        <v>48</v>
      </c>
      <c r="D98" s="18">
        <v>45961</v>
      </c>
      <c r="E98" t="str">
        <f>IFERROR(VLOOKUP(A98,#REF!,5,TRUE),"not found")</f>
        <v>not found</v>
      </c>
      <c r="F98" t="str">
        <f>IFERROR(VLOOKUP(A98,#REF!,2,TRUE),"")</f>
        <v/>
      </c>
      <c r="G98">
        <v>7150</v>
      </c>
      <c r="H98" t="s">
        <v>2</v>
      </c>
      <c r="O98">
        <v>62</v>
      </c>
      <c r="P98" t="s">
        <v>37</v>
      </c>
      <c r="Q98">
        <v>50</v>
      </c>
      <c r="R98" t="s">
        <v>49</v>
      </c>
      <c r="S98" t="s">
        <v>33</v>
      </c>
      <c r="T98" t="s">
        <v>0</v>
      </c>
      <c r="U98">
        <v>0</v>
      </c>
    </row>
    <row r="99" spans="3:21" x14ac:dyDescent="0.3">
      <c r="C99" t="s">
        <v>48</v>
      </c>
      <c r="D99" s="18">
        <v>45961</v>
      </c>
      <c r="E99" t="str">
        <f>IFERROR(VLOOKUP(A99,#REF!,5,TRUE),"not found")</f>
        <v>not found</v>
      </c>
      <c r="F99" t="str">
        <f>IFERROR(VLOOKUP(A99,#REF!,2,TRUE),"")</f>
        <v/>
      </c>
      <c r="G99">
        <v>7150</v>
      </c>
      <c r="H99" t="s">
        <v>2</v>
      </c>
      <c r="O99">
        <v>62</v>
      </c>
      <c r="P99" t="s">
        <v>37</v>
      </c>
      <c r="Q99">
        <v>50</v>
      </c>
      <c r="R99" t="s">
        <v>49</v>
      </c>
      <c r="S99" t="s">
        <v>33</v>
      </c>
      <c r="T99" t="s">
        <v>0</v>
      </c>
      <c r="U99">
        <v>0</v>
      </c>
    </row>
    <row r="100" spans="3:21" x14ac:dyDescent="0.3">
      <c r="C100" t="s">
        <v>48</v>
      </c>
      <c r="D100" s="18">
        <v>45961</v>
      </c>
      <c r="E100" t="str">
        <f>IFERROR(VLOOKUP(A100,#REF!,5,TRUE),"not found")</f>
        <v>not found</v>
      </c>
      <c r="F100" t="str">
        <f>IFERROR(VLOOKUP(A100,#REF!,2,TRUE),"")</f>
        <v/>
      </c>
      <c r="G100">
        <v>7150</v>
      </c>
      <c r="H100" t="s">
        <v>2</v>
      </c>
      <c r="O100">
        <v>62</v>
      </c>
      <c r="P100" t="s">
        <v>37</v>
      </c>
      <c r="Q100">
        <v>50</v>
      </c>
      <c r="R100" t="s">
        <v>49</v>
      </c>
      <c r="S100" t="s">
        <v>33</v>
      </c>
      <c r="T100" t="s">
        <v>0</v>
      </c>
      <c r="U100">
        <v>0</v>
      </c>
    </row>
    <row r="101" spans="3:21" x14ac:dyDescent="0.3">
      <c r="C101" t="s">
        <v>48</v>
      </c>
      <c r="D101" s="18">
        <v>45961</v>
      </c>
      <c r="E101" t="str">
        <f>IFERROR(VLOOKUP(A101,#REF!,5,TRUE),"not found")</f>
        <v>not found</v>
      </c>
      <c r="F101" t="str">
        <f>IFERROR(VLOOKUP(A101,#REF!,2,TRUE),"")</f>
        <v/>
      </c>
      <c r="G101">
        <v>7150</v>
      </c>
      <c r="H101" t="s">
        <v>2</v>
      </c>
      <c r="O101">
        <v>62</v>
      </c>
      <c r="P101" t="s">
        <v>37</v>
      </c>
      <c r="Q101">
        <v>50</v>
      </c>
      <c r="R101" t="s">
        <v>49</v>
      </c>
      <c r="S101" t="s">
        <v>33</v>
      </c>
      <c r="T101" t="s">
        <v>0</v>
      </c>
      <c r="U101">
        <v>0</v>
      </c>
    </row>
    <row r="102" spans="3:21" x14ac:dyDescent="0.3">
      <c r="C102" t="s">
        <v>48</v>
      </c>
      <c r="D102" s="18">
        <v>45961</v>
      </c>
      <c r="E102" t="str">
        <f>IFERROR(VLOOKUP(A102,#REF!,5,TRUE),"not found")</f>
        <v>not found</v>
      </c>
      <c r="F102" t="str">
        <f>IFERROR(VLOOKUP(A102,#REF!,2,TRUE),"")</f>
        <v/>
      </c>
      <c r="G102">
        <v>7150</v>
      </c>
      <c r="H102" t="s">
        <v>2</v>
      </c>
      <c r="O102">
        <v>62</v>
      </c>
      <c r="P102" t="s">
        <v>37</v>
      </c>
      <c r="Q102">
        <v>50</v>
      </c>
      <c r="R102" t="s">
        <v>49</v>
      </c>
      <c r="S102" t="s">
        <v>33</v>
      </c>
      <c r="T102" t="s">
        <v>0</v>
      </c>
      <c r="U102">
        <v>0</v>
      </c>
    </row>
    <row r="103" spans="3:21" x14ac:dyDescent="0.3">
      <c r="C103" t="s">
        <v>48</v>
      </c>
      <c r="D103" s="18">
        <v>45961</v>
      </c>
      <c r="E103" t="str">
        <f>IFERROR(VLOOKUP(A103,#REF!,5,TRUE),"not found")</f>
        <v>not found</v>
      </c>
      <c r="F103" t="str">
        <f>IFERROR(VLOOKUP(A103,#REF!,2,TRUE),"")</f>
        <v/>
      </c>
      <c r="G103">
        <v>7150</v>
      </c>
      <c r="H103" t="s">
        <v>2</v>
      </c>
      <c r="O103">
        <v>62</v>
      </c>
      <c r="P103" t="s">
        <v>37</v>
      </c>
      <c r="Q103">
        <v>50</v>
      </c>
      <c r="R103" t="s">
        <v>49</v>
      </c>
      <c r="S103" t="s">
        <v>33</v>
      </c>
      <c r="T103" t="s">
        <v>0</v>
      </c>
      <c r="U103">
        <v>0</v>
      </c>
    </row>
    <row r="104" spans="3:21" x14ac:dyDescent="0.3">
      <c r="C104" t="s">
        <v>48</v>
      </c>
      <c r="D104" s="18">
        <v>45961</v>
      </c>
      <c r="E104" t="str">
        <f>IFERROR(VLOOKUP(A104,#REF!,5,TRUE),"not found")</f>
        <v>not found</v>
      </c>
      <c r="F104" t="str">
        <f>IFERROR(VLOOKUP(A104,#REF!,2,TRUE),"")</f>
        <v/>
      </c>
      <c r="G104">
        <v>7150</v>
      </c>
      <c r="H104" t="s">
        <v>2</v>
      </c>
      <c r="O104">
        <v>62</v>
      </c>
      <c r="P104" t="s">
        <v>37</v>
      </c>
      <c r="Q104">
        <v>50</v>
      </c>
      <c r="R104" t="s">
        <v>49</v>
      </c>
      <c r="S104" t="s">
        <v>33</v>
      </c>
      <c r="T104" t="s">
        <v>0</v>
      </c>
      <c r="U104">
        <v>0</v>
      </c>
    </row>
    <row r="105" spans="3:21" x14ac:dyDescent="0.3">
      <c r="C105" t="s">
        <v>48</v>
      </c>
      <c r="D105" s="18">
        <v>45961</v>
      </c>
      <c r="E105" t="str">
        <f>IFERROR(VLOOKUP(A105,#REF!,5,TRUE),"not found")</f>
        <v>not found</v>
      </c>
      <c r="F105" t="str">
        <f>IFERROR(VLOOKUP(A105,#REF!,2,TRUE),"")</f>
        <v/>
      </c>
      <c r="G105">
        <v>7150</v>
      </c>
      <c r="H105" t="s">
        <v>2</v>
      </c>
      <c r="O105">
        <v>62</v>
      </c>
      <c r="P105" t="s">
        <v>37</v>
      </c>
      <c r="Q105">
        <v>50</v>
      </c>
      <c r="R105" t="s">
        <v>49</v>
      </c>
      <c r="S105" t="s">
        <v>33</v>
      </c>
      <c r="T105" t="s">
        <v>0</v>
      </c>
      <c r="U105">
        <v>0</v>
      </c>
    </row>
    <row r="106" spans="3:21" x14ac:dyDescent="0.3">
      <c r="C106" t="s">
        <v>48</v>
      </c>
      <c r="D106" s="18">
        <v>45961</v>
      </c>
      <c r="E106" t="str">
        <f>IFERROR(VLOOKUP(A106,#REF!,5,TRUE),"not found")</f>
        <v>not found</v>
      </c>
      <c r="F106" t="str">
        <f>IFERROR(VLOOKUP(A106,#REF!,2,TRUE),"")</f>
        <v/>
      </c>
      <c r="G106">
        <v>7150</v>
      </c>
      <c r="H106" t="s">
        <v>2</v>
      </c>
      <c r="O106">
        <v>62</v>
      </c>
      <c r="P106" t="s">
        <v>37</v>
      </c>
      <c r="Q106">
        <v>50</v>
      </c>
      <c r="R106" t="s">
        <v>49</v>
      </c>
      <c r="S106" t="s">
        <v>33</v>
      </c>
      <c r="T106" t="s">
        <v>0</v>
      </c>
      <c r="U106">
        <v>0</v>
      </c>
    </row>
    <row r="107" spans="3:21" x14ac:dyDescent="0.3">
      <c r="C107" t="s">
        <v>48</v>
      </c>
      <c r="D107" s="18">
        <v>45961</v>
      </c>
      <c r="E107" t="str">
        <f>IFERROR(VLOOKUP(A107,#REF!,5,TRUE),"not found")</f>
        <v>not found</v>
      </c>
      <c r="F107" t="str">
        <f>IFERROR(VLOOKUP(A107,#REF!,2,TRUE),"")</f>
        <v/>
      </c>
      <c r="G107">
        <v>7150</v>
      </c>
      <c r="H107" t="s">
        <v>2</v>
      </c>
      <c r="O107">
        <v>62</v>
      </c>
      <c r="P107" t="s">
        <v>37</v>
      </c>
      <c r="Q107">
        <v>50</v>
      </c>
      <c r="R107" t="s">
        <v>49</v>
      </c>
      <c r="S107" t="s">
        <v>33</v>
      </c>
      <c r="T107" t="s">
        <v>0</v>
      </c>
      <c r="U107">
        <v>0</v>
      </c>
    </row>
    <row r="108" spans="3:21" x14ac:dyDescent="0.3">
      <c r="C108" t="s">
        <v>48</v>
      </c>
      <c r="D108" s="18">
        <v>45961</v>
      </c>
      <c r="E108" t="str">
        <f>IFERROR(VLOOKUP(A108,#REF!,5,TRUE),"not found")</f>
        <v>not found</v>
      </c>
      <c r="F108" t="str">
        <f>IFERROR(VLOOKUP(A108,#REF!,2,TRUE),"")</f>
        <v/>
      </c>
      <c r="G108">
        <v>7150</v>
      </c>
      <c r="H108" t="s">
        <v>2</v>
      </c>
      <c r="O108">
        <v>62</v>
      </c>
      <c r="P108" t="s">
        <v>37</v>
      </c>
      <c r="Q108">
        <v>50</v>
      </c>
      <c r="R108" t="s">
        <v>49</v>
      </c>
      <c r="S108" t="s">
        <v>33</v>
      </c>
      <c r="T108" t="s">
        <v>0</v>
      </c>
      <c r="U108">
        <v>0</v>
      </c>
    </row>
    <row r="109" spans="3:21" x14ac:dyDescent="0.3">
      <c r="C109" t="s">
        <v>48</v>
      </c>
      <c r="D109" s="18">
        <v>45961</v>
      </c>
      <c r="E109" t="str">
        <f>IFERROR(VLOOKUP(A109,#REF!,5,TRUE),"not found")</f>
        <v>not found</v>
      </c>
      <c r="F109" t="str">
        <f>IFERROR(VLOOKUP(A109,#REF!,2,TRUE),"")</f>
        <v/>
      </c>
      <c r="G109">
        <v>7150</v>
      </c>
      <c r="H109" t="s">
        <v>2</v>
      </c>
      <c r="O109">
        <v>62</v>
      </c>
      <c r="P109" t="s">
        <v>37</v>
      </c>
      <c r="Q109">
        <v>50</v>
      </c>
      <c r="R109" t="s">
        <v>49</v>
      </c>
      <c r="S109" t="s">
        <v>33</v>
      </c>
      <c r="T109" t="s">
        <v>0</v>
      </c>
      <c r="U109">
        <v>0</v>
      </c>
    </row>
    <row r="110" spans="3:21" x14ac:dyDescent="0.3">
      <c r="C110" t="s">
        <v>48</v>
      </c>
      <c r="D110" s="18">
        <v>45961</v>
      </c>
      <c r="E110" t="str">
        <f>IFERROR(VLOOKUP(A110,#REF!,5,TRUE),"not found")</f>
        <v>not found</v>
      </c>
      <c r="F110" t="str">
        <f>IFERROR(VLOOKUP(A110,#REF!,2,TRUE),"")</f>
        <v/>
      </c>
      <c r="G110">
        <v>7150</v>
      </c>
      <c r="H110" t="s">
        <v>2</v>
      </c>
      <c r="O110">
        <v>62</v>
      </c>
      <c r="P110" t="s">
        <v>37</v>
      </c>
      <c r="Q110">
        <v>50</v>
      </c>
      <c r="R110" t="s">
        <v>49</v>
      </c>
      <c r="S110" t="s">
        <v>33</v>
      </c>
      <c r="T110" t="s">
        <v>0</v>
      </c>
      <c r="U110">
        <v>0</v>
      </c>
    </row>
    <row r="111" spans="3:21" x14ac:dyDescent="0.3">
      <c r="C111" t="s">
        <v>48</v>
      </c>
      <c r="D111" s="18">
        <v>45961</v>
      </c>
      <c r="E111" t="str">
        <f>IFERROR(VLOOKUP(A111,#REF!,5,TRUE),"not found")</f>
        <v>not found</v>
      </c>
      <c r="F111" t="str">
        <f>IFERROR(VLOOKUP(A111,#REF!,2,TRUE),"")</f>
        <v/>
      </c>
      <c r="G111">
        <v>7150</v>
      </c>
      <c r="H111" t="s">
        <v>2</v>
      </c>
      <c r="O111">
        <v>62</v>
      </c>
      <c r="P111" t="s">
        <v>37</v>
      </c>
      <c r="Q111">
        <v>50</v>
      </c>
      <c r="R111" t="s">
        <v>49</v>
      </c>
      <c r="S111" t="s">
        <v>33</v>
      </c>
      <c r="T111" t="s">
        <v>0</v>
      </c>
      <c r="U111">
        <v>0</v>
      </c>
    </row>
    <row r="112" spans="3:21" x14ac:dyDescent="0.3">
      <c r="C112" t="s">
        <v>48</v>
      </c>
      <c r="D112" s="18">
        <v>45961</v>
      </c>
      <c r="E112" t="str">
        <f>IFERROR(VLOOKUP(A112,#REF!,5,TRUE),"not found")</f>
        <v>not found</v>
      </c>
      <c r="F112" t="str">
        <f>IFERROR(VLOOKUP(A112,#REF!,2,TRUE),"")</f>
        <v/>
      </c>
      <c r="G112">
        <v>7150</v>
      </c>
      <c r="H112" t="s">
        <v>2</v>
      </c>
      <c r="O112">
        <v>62</v>
      </c>
      <c r="P112" t="s">
        <v>37</v>
      </c>
      <c r="Q112">
        <v>50</v>
      </c>
      <c r="R112" t="s">
        <v>49</v>
      </c>
      <c r="S112" t="s">
        <v>33</v>
      </c>
      <c r="T112" t="s">
        <v>0</v>
      </c>
      <c r="U112">
        <v>0</v>
      </c>
    </row>
    <row r="113" spans="3:21" x14ac:dyDescent="0.3">
      <c r="C113" t="s">
        <v>48</v>
      </c>
      <c r="D113" s="18">
        <v>45961</v>
      </c>
      <c r="E113" t="str">
        <f>IFERROR(VLOOKUP(A113,#REF!,5,TRUE),"not found")</f>
        <v>not found</v>
      </c>
      <c r="F113" t="str">
        <f>IFERROR(VLOOKUP(A113,#REF!,2,TRUE),"")</f>
        <v/>
      </c>
      <c r="G113">
        <v>7150</v>
      </c>
      <c r="H113" t="s">
        <v>2</v>
      </c>
      <c r="O113">
        <v>62</v>
      </c>
      <c r="P113" t="s">
        <v>37</v>
      </c>
      <c r="Q113">
        <v>50</v>
      </c>
      <c r="R113" t="s">
        <v>49</v>
      </c>
      <c r="S113" t="s">
        <v>33</v>
      </c>
      <c r="T113" t="s">
        <v>0</v>
      </c>
      <c r="U113">
        <v>0</v>
      </c>
    </row>
    <row r="114" spans="3:21" x14ac:dyDescent="0.3">
      <c r="C114" t="s">
        <v>48</v>
      </c>
      <c r="D114" s="18">
        <v>45961</v>
      </c>
      <c r="E114" t="str">
        <f>IFERROR(VLOOKUP(A114,#REF!,5,TRUE),"not found")</f>
        <v>not found</v>
      </c>
      <c r="F114" t="str">
        <f>IFERROR(VLOOKUP(A114,#REF!,2,TRUE),"")</f>
        <v/>
      </c>
      <c r="G114">
        <v>7150</v>
      </c>
      <c r="H114" t="s">
        <v>2</v>
      </c>
      <c r="O114">
        <v>62</v>
      </c>
      <c r="P114" t="s">
        <v>37</v>
      </c>
      <c r="Q114">
        <v>50</v>
      </c>
      <c r="R114" t="s">
        <v>49</v>
      </c>
      <c r="S114" t="s">
        <v>33</v>
      </c>
      <c r="T114" t="s">
        <v>0</v>
      </c>
      <c r="U114">
        <v>0</v>
      </c>
    </row>
    <row r="115" spans="3:21" x14ac:dyDescent="0.3">
      <c r="C115" t="s">
        <v>48</v>
      </c>
      <c r="D115" s="18">
        <v>45961</v>
      </c>
      <c r="E115" t="str">
        <f>IFERROR(VLOOKUP(A115,#REF!,5,TRUE),"not found")</f>
        <v>not found</v>
      </c>
      <c r="F115" t="str">
        <f>IFERROR(VLOOKUP(A115,#REF!,2,TRUE),"")</f>
        <v/>
      </c>
      <c r="G115">
        <v>7150</v>
      </c>
      <c r="H115" t="s">
        <v>2</v>
      </c>
      <c r="O115">
        <v>62</v>
      </c>
      <c r="P115" t="s">
        <v>37</v>
      </c>
      <c r="Q115">
        <v>50</v>
      </c>
      <c r="R115" t="s">
        <v>49</v>
      </c>
      <c r="S115" t="s">
        <v>33</v>
      </c>
      <c r="T115" t="s">
        <v>0</v>
      </c>
      <c r="U115">
        <v>0</v>
      </c>
    </row>
    <row r="116" spans="3:21" x14ac:dyDescent="0.3">
      <c r="C116" t="s">
        <v>48</v>
      </c>
      <c r="D116" s="18">
        <v>45961</v>
      </c>
      <c r="E116" t="str">
        <f>IFERROR(VLOOKUP(A116,#REF!,5,TRUE),"not found")</f>
        <v>not found</v>
      </c>
      <c r="F116" t="str">
        <f>IFERROR(VLOOKUP(A116,#REF!,2,TRUE),"")</f>
        <v/>
      </c>
      <c r="G116">
        <v>7150</v>
      </c>
      <c r="H116" t="s">
        <v>2</v>
      </c>
      <c r="O116">
        <v>62</v>
      </c>
      <c r="P116" t="s">
        <v>37</v>
      </c>
      <c r="Q116">
        <v>50</v>
      </c>
      <c r="R116" t="s">
        <v>49</v>
      </c>
      <c r="S116" t="s">
        <v>33</v>
      </c>
      <c r="T116" t="s">
        <v>0</v>
      </c>
      <c r="U116">
        <v>0</v>
      </c>
    </row>
    <row r="117" spans="3:21" x14ac:dyDescent="0.3">
      <c r="C117" t="s">
        <v>48</v>
      </c>
      <c r="D117" s="18">
        <v>45961</v>
      </c>
      <c r="E117" t="str">
        <f>IFERROR(VLOOKUP(A117,#REF!,5,TRUE),"not found")</f>
        <v>not found</v>
      </c>
      <c r="F117" t="str">
        <f>IFERROR(VLOOKUP(A117,#REF!,2,TRUE),"")</f>
        <v/>
      </c>
      <c r="G117">
        <v>7150</v>
      </c>
      <c r="H117" t="s">
        <v>2</v>
      </c>
      <c r="O117">
        <v>62</v>
      </c>
      <c r="P117" t="s">
        <v>37</v>
      </c>
      <c r="Q117">
        <v>50</v>
      </c>
      <c r="R117" t="s">
        <v>49</v>
      </c>
      <c r="S117" t="s">
        <v>33</v>
      </c>
      <c r="T117" t="s">
        <v>0</v>
      </c>
      <c r="U117">
        <v>0</v>
      </c>
    </row>
    <row r="118" spans="3:21" x14ac:dyDescent="0.3">
      <c r="C118" t="s">
        <v>48</v>
      </c>
      <c r="D118" s="18">
        <v>45961</v>
      </c>
      <c r="E118" t="str">
        <f>IFERROR(VLOOKUP(A118,#REF!,5,TRUE),"not found")</f>
        <v>not found</v>
      </c>
      <c r="F118" t="str">
        <f>IFERROR(VLOOKUP(A118,#REF!,2,TRUE),"")</f>
        <v/>
      </c>
      <c r="G118">
        <v>7150</v>
      </c>
      <c r="H118" t="s">
        <v>2</v>
      </c>
      <c r="O118">
        <v>62</v>
      </c>
      <c r="P118" t="s">
        <v>37</v>
      </c>
      <c r="Q118">
        <v>50</v>
      </c>
      <c r="R118" t="s">
        <v>49</v>
      </c>
      <c r="S118" t="s">
        <v>33</v>
      </c>
      <c r="T118" t="s">
        <v>0</v>
      </c>
      <c r="U118">
        <v>0</v>
      </c>
    </row>
    <row r="119" spans="3:21" x14ac:dyDescent="0.3">
      <c r="C119" t="s">
        <v>48</v>
      </c>
      <c r="D119" s="18">
        <v>45961</v>
      </c>
      <c r="E119" t="str">
        <f>IFERROR(VLOOKUP(A119,#REF!,5,TRUE),"not found")</f>
        <v>not found</v>
      </c>
      <c r="F119" t="str">
        <f>IFERROR(VLOOKUP(A119,#REF!,2,TRUE),"")</f>
        <v/>
      </c>
      <c r="G119">
        <v>7150</v>
      </c>
      <c r="H119" t="s">
        <v>2</v>
      </c>
      <c r="O119">
        <v>62</v>
      </c>
      <c r="P119" t="s">
        <v>37</v>
      </c>
      <c r="Q119">
        <v>50</v>
      </c>
      <c r="R119" t="s">
        <v>49</v>
      </c>
      <c r="S119" t="s">
        <v>33</v>
      </c>
      <c r="T119" t="s">
        <v>0</v>
      </c>
      <c r="U119">
        <v>0</v>
      </c>
    </row>
    <row r="120" spans="3:21" x14ac:dyDescent="0.3">
      <c r="C120" t="s">
        <v>48</v>
      </c>
      <c r="D120" s="18">
        <v>45961</v>
      </c>
      <c r="E120" t="str">
        <f>IFERROR(VLOOKUP(A120,#REF!,5,TRUE),"not found")</f>
        <v>not found</v>
      </c>
      <c r="F120" t="str">
        <f>IFERROR(VLOOKUP(A120,#REF!,2,TRUE),"")</f>
        <v/>
      </c>
      <c r="G120">
        <v>7150</v>
      </c>
      <c r="H120" t="s">
        <v>2</v>
      </c>
      <c r="O120">
        <v>62</v>
      </c>
      <c r="P120" t="s">
        <v>37</v>
      </c>
      <c r="Q120">
        <v>50</v>
      </c>
      <c r="R120" t="s">
        <v>49</v>
      </c>
      <c r="S120" t="s">
        <v>33</v>
      </c>
      <c r="T120" t="s">
        <v>0</v>
      </c>
      <c r="U120">
        <v>0</v>
      </c>
    </row>
    <row r="121" spans="3:21" x14ac:dyDescent="0.3">
      <c r="C121" t="s">
        <v>48</v>
      </c>
      <c r="D121" s="18">
        <v>45961</v>
      </c>
      <c r="E121" t="str">
        <f>IFERROR(VLOOKUP(A121,#REF!,5,TRUE),"not found")</f>
        <v>not found</v>
      </c>
      <c r="F121" t="str">
        <f>IFERROR(VLOOKUP(A121,#REF!,2,TRUE),"")</f>
        <v/>
      </c>
      <c r="G121">
        <v>7150</v>
      </c>
      <c r="H121" t="s">
        <v>2</v>
      </c>
      <c r="O121">
        <v>62</v>
      </c>
      <c r="P121" t="s">
        <v>37</v>
      </c>
      <c r="Q121">
        <v>50</v>
      </c>
      <c r="R121" t="s">
        <v>49</v>
      </c>
      <c r="S121" t="s">
        <v>33</v>
      </c>
      <c r="T121" t="s">
        <v>0</v>
      </c>
      <c r="U121">
        <v>0</v>
      </c>
    </row>
    <row r="122" spans="3:21" x14ac:dyDescent="0.3">
      <c r="C122" t="s">
        <v>48</v>
      </c>
      <c r="D122" s="18">
        <v>45961</v>
      </c>
      <c r="E122" t="str">
        <f>IFERROR(VLOOKUP(A122,#REF!,5,TRUE),"not found")</f>
        <v>not found</v>
      </c>
      <c r="F122" t="str">
        <f>IFERROR(VLOOKUP(A122,#REF!,2,TRUE),"")</f>
        <v/>
      </c>
      <c r="G122">
        <v>7150</v>
      </c>
      <c r="H122" t="s">
        <v>2</v>
      </c>
      <c r="O122">
        <v>62</v>
      </c>
      <c r="P122" t="s">
        <v>37</v>
      </c>
      <c r="Q122">
        <v>50</v>
      </c>
      <c r="R122" t="s">
        <v>49</v>
      </c>
      <c r="S122" t="s">
        <v>33</v>
      </c>
      <c r="T122" t="s">
        <v>0</v>
      </c>
      <c r="U122">
        <v>0</v>
      </c>
    </row>
    <row r="123" spans="3:21" x14ac:dyDescent="0.3">
      <c r="C123" t="s">
        <v>48</v>
      </c>
      <c r="D123" s="18">
        <v>45961</v>
      </c>
      <c r="E123" t="str">
        <f>IFERROR(VLOOKUP(A123,#REF!,5,TRUE),"not found")</f>
        <v>not found</v>
      </c>
      <c r="F123" t="str">
        <f>IFERROR(VLOOKUP(A123,#REF!,2,TRUE),"")</f>
        <v/>
      </c>
      <c r="G123">
        <v>7150</v>
      </c>
      <c r="H123" t="s">
        <v>2</v>
      </c>
      <c r="O123">
        <v>62</v>
      </c>
      <c r="P123" t="s">
        <v>37</v>
      </c>
      <c r="Q123">
        <v>50</v>
      </c>
      <c r="R123" t="s">
        <v>49</v>
      </c>
      <c r="S123" t="s">
        <v>33</v>
      </c>
      <c r="T123" t="s">
        <v>0</v>
      </c>
      <c r="U123">
        <v>0</v>
      </c>
    </row>
    <row r="124" spans="3:21" x14ac:dyDescent="0.3">
      <c r="C124" t="s">
        <v>48</v>
      </c>
      <c r="D124" s="18">
        <v>45961</v>
      </c>
      <c r="E124" t="str">
        <f>IFERROR(VLOOKUP(A124,#REF!,5,TRUE),"not found")</f>
        <v>not found</v>
      </c>
      <c r="F124" t="str">
        <f>IFERROR(VLOOKUP(A124,#REF!,2,TRUE),"")</f>
        <v/>
      </c>
      <c r="G124">
        <v>7150</v>
      </c>
      <c r="H124" t="s">
        <v>2</v>
      </c>
      <c r="O124">
        <v>62</v>
      </c>
      <c r="P124" t="s">
        <v>37</v>
      </c>
      <c r="Q124">
        <v>50</v>
      </c>
      <c r="R124" t="s">
        <v>49</v>
      </c>
      <c r="S124" t="s">
        <v>33</v>
      </c>
      <c r="T124" t="s">
        <v>0</v>
      </c>
      <c r="U124">
        <v>0</v>
      </c>
    </row>
    <row r="125" spans="3:21" x14ac:dyDescent="0.3">
      <c r="C125" t="s">
        <v>48</v>
      </c>
      <c r="D125" s="18">
        <v>45961</v>
      </c>
      <c r="E125" t="str">
        <f>IFERROR(VLOOKUP(A125,#REF!,5,TRUE),"not found")</f>
        <v>not found</v>
      </c>
      <c r="F125" t="str">
        <f>IFERROR(VLOOKUP(A125,#REF!,2,TRUE),"")</f>
        <v/>
      </c>
      <c r="G125">
        <v>7150</v>
      </c>
      <c r="H125" t="s">
        <v>2</v>
      </c>
      <c r="O125">
        <v>62</v>
      </c>
      <c r="P125" t="s">
        <v>37</v>
      </c>
      <c r="Q125">
        <v>50</v>
      </c>
      <c r="R125" t="s">
        <v>49</v>
      </c>
      <c r="S125" t="s">
        <v>33</v>
      </c>
      <c r="T125" t="s">
        <v>0</v>
      </c>
      <c r="U125">
        <v>0</v>
      </c>
    </row>
    <row r="126" spans="3:21" x14ac:dyDescent="0.3">
      <c r="C126" t="s">
        <v>48</v>
      </c>
      <c r="D126" s="18">
        <v>45961</v>
      </c>
      <c r="E126" t="str">
        <f>IFERROR(VLOOKUP(A126,#REF!,5,TRUE),"not found")</f>
        <v>not found</v>
      </c>
      <c r="F126" t="str">
        <f>IFERROR(VLOOKUP(A126,#REF!,2,TRUE),"")</f>
        <v/>
      </c>
      <c r="G126">
        <v>7150</v>
      </c>
      <c r="H126" t="s">
        <v>2</v>
      </c>
      <c r="O126">
        <v>62</v>
      </c>
      <c r="P126" t="s">
        <v>37</v>
      </c>
      <c r="Q126">
        <v>50</v>
      </c>
      <c r="R126" t="s">
        <v>49</v>
      </c>
      <c r="S126" t="s">
        <v>33</v>
      </c>
      <c r="T126" t="s">
        <v>0</v>
      </c>
      <c r="U126">
        <v>0</v>
      </c>
    </row>
    <row r="127" spans="3:21" x14ac:dyDescent="0.3">
      <c r="C127" t="s">
        <v>48</v>
      </c>
      <c r="D127" s="18">
        <v>45961</v>
      </c>
      <c r="E127" t="str">
        <f>IFERROR(VLOOKUP(A127,#REF!,5,TRUE),"not found")</f>
        <v>not found</v>
      </c>
      <c r="F127" t="str">
        <f>IFERROR(VLOOKUP(A127,#REF!,2,TRUE),"")</f>
        <v/>
      </c>
      <c r="G127">
        <v>7150</v>
      </c>
      <c r="H127" t="s">
        <v>2</v>
      </c>
      <c r="O127">
        <v>62</v>
      </c>
      <c r="P127" t="s">
        <v>37</v>
      </c>
      <c r="Q127">
        <v>50</v>
      </c>
      <c r="R127" t="s">
        <v>49</v>
      </c>
      <c r="S127" t="s">
        <v>33</v>
      </c>
      <c r="T127" t="s">
        <v>0</v>
      </c>
      <c r="U127">
        <v>0</v>
      </c>
    </row>
    <row r="128" spans="3:21" x14ac:dyDescent="0.3">
      <c r="C128" t="s">
        <v>48</v>
      </c>
      <c r="D128" s="18">
        <v>45961</v>
      </c>
      <c r="E128" t="str">
        <f>IFERROR(VLOOKUP(A128,#REF!,5,TRUE),"not found")</f>
        <v>not found</v>
      </c>
      <c r="F128" t="str">
        <f>IFERROR(VLOOKUP(A128,#REF!,2,TRUE),"")</f>
        <v/>
      </c>
      <c r="G128">
        <v>7150</v>
      </c>
      <c r="H128" t="s">
        <v>2</v>
      </c>
      <c r="O128">
        <v>62</v>
      </c>
      <c r="P128" t="s">
        <v>37</v>
      </c>
      <c r="Q128">
        <v>50</v>
      </c>
      <c r="R128" t="s">
        <v>49</v>
      </c>
      <c r="S128" t="s">
        <v>33</v>
      </c>
      <c r="T128" t="s">
        <v>0</v>
      </c>
      <c r="U128">
        <v>0</v>
      </c>
    </row>
    <row r="129" spans="3:21" x14ac:dyDescent="0.3">
      <c r="C129" t="s">
        <v>48</v>
      </c>
      <c r="D129" s="18">
        <v>45961</v>
      </c>
      <c r="E129" t="str">
        <f>IFERROR(VLOOKUP(A129,#REF!,5,TRUE),"not found")</f>
        <v>not found</v>
      </c>
      <c r="F129" t="str">
        <f>IFERROR(VLOOKUP(A129,#REF!,2,TRUE),"")</f>
        <v/>
      </c>
      <c r="G129">
        <v>7150</v>
      </c>
      <c r="H129" t="s">
        <v>2</v>
      </c>
      <c r="O129">
        <v>62</v>
      </c>
      <c r="P129" t="s">
        <v>37</v>
      </c>
      <c r="Q129">
        <v>50</v>
      </c>
      <c r="R129" t="s">
        <v>49</v>
      </c>
      <c r="S129" t="s">
        <v>33</v>
      </c>
      <c r="T129" t="s">
        <v>0</v>
      </c>
      <c r="U129">
        <v>0</v>
      </c>
    </row>
    <row r="130" spans="3:21" x14ac:dyDescent="0.3">
      <c r="C130" t="s">
        <v>48</v>
      </c>
      <c r="D130" s="18">
        <v>45961</v>
      </c>
      <c r="E130" t="str">
        <f>IFERROR(VLOOKUP(A130,#REF!,5,TRUE),"not found")</f>
        <v>not found</v>
      </c>
      <c r="F130" t="str">
        <f>IFERROR(VLOOKUP(A130,#REF!,2,TRUE),"")</f>
        <v/>
      </c>
      <c r="G130">
        <v>7150</v>
      </c>
      <c r="H130" t="s">
        <v>2</v>
      </c>
      <c r="O130">
        <v>62</v>
      </c>
      <c r="P130" t="s">
        <v>37</v>
      </c>
      <c r="Q130">
        <v>50</v>
      </c>
      <c r="R130" t="s">
        <v>49</v>
      </c>
      <c r="S130" t="s">
        <v>33</v>
      </c>
      <c r="T130" t="s">
        <v>0</v>
      </c>
      <c r="U130">
        <v>0</v>
      </c>
    </row>
    <row r="131" spans="3:21" x14ac:dyDescent="0.3">
      <c r="C131" t="s">
        <v>48</v>
      </c>
      <c r="D131" s="18">
        <v>45961</v>
      </c>
      <c r="E131" t="str">
        <f>IFERROR(VLOOKUP(A131,#REF!,5,TRUE),"not found")</f>
        <v>not found</v>
      </c>
      <c r="F131" t="str">
        <f>IFERROR(VLOOKUP(A131,#REF!,2,TRUE),"")</f>
        <v/>
      </c>
      <c r="G131">
        <v>7150</v>
      </c>
      <c r="H131" t="s">
        <v>2</v>
      </c>
      <c r="O131">
        <v>62</v>
      </c>
      <c r="P131" t="s">
        <v>37</v>
      </c>
      <c r="Q131">
        <v>50</v>
      </c>
      <c r="R131" t="s">
        <v>49</v>
      </c>
      <c r="S131" t="s">
        <v>33</v>
      </c>
      <c r="T131" t="s">
        <v>0</v>
      </c>
      <c r="U131">
        <v>0</v>
      </c>
    </row>
    <row r="132" spans="3:21" x14ac:dyDescent="0.3">
      <c r="C132" t="s">
        <v>48</v>
      </c>
      <c r="D132" s="18">
        <v>45961</v>
      </c>
      <c r="E132" t="str">
        <f>IFERROR(VLOOKUP(A132,#REF!,5,TRUE),"not found")</f>
        <v>not found</v>
      </c>
      <c r="F132" t="str">
        <f>IFERROR(VLOOKUP(A132,#REF!,2,TRUE),"")</f>
        <v/>
      </c>
      <c r="G132">
        <v>7150</v>
      </c>
      <c r="H132" t="s">
        <v>2</v>
      </c>
      <c r="O132">
        <v>62</v>
      </c>
      <c r="P132" t="s">
        <v>37</v>
      </c>
      <c r="Q132">
        <v>50</v>
      </c>
      <c r="R132" t="s">
        <v>49</v>
      </c>
      <c r="S132" t="s">
        <v>33</v>
      </c>
      <c r="T132" t="s">
        <v>0</v>
      </c>
      <c r="U132">
        <v>0</v>
      </c>
    </row>
    <row r="133" spans="3:21" x14ac:dyDescent="0.3">
      <c r="C133" t="s">
        <v>48</v>
      </c>
      <c r="D133" s="18">
        <v>45961</v>
      </c>
      <c r="E133" t="str">
        <f>IFERROR(VLOOKUP(A133,#REF!,5,TRUE),"not found")</f>
        <v>not found</v>
      </c>
      <c r="F133" t="str">
        <f>IFERROR(VLOOKUP(A133,#REF!,2,TRUE),"")</f>
        <v/>
      </c>
      <c r="G133">
        <v>7150</v>
      </c>
      <c r="H133" t="s">
        <v>2</v>
      </c>
      <c r="O133">
        <v>62</v>
      </c>
      <c r="P133" t="s">
        <v>37</v>
      </c>
      <c r="Q133">
        <v>50</v>
      </c>
      <c r="R133" t="s">
        <v>49</v>
      </c>
      <c r="S133" t="s">
        <v>33</v>
      </c>
      <c r="T133" t="s">
        <v>0</v>
      </c>
      <c r="U133">
        <v>0</v>
      </c>
    </row>
    <row r="134" spans="3:21" x14ac:dyDescent="0.3">
      <c r="C134" t="s">
        <v>48</v>
      </c>
      <c r="D134" s="18">
        <v>45961</v>
      </c>
      <c r="E134" t="str">
        <f>IFERROR(VLOOKUP(A134,#REF!,5,TRUE),"not found")</f>
        <v>not found</v>
      </c>
      <c r="F134" t="str">
        <f>IFERROR(VLOOKUP(A134,#REF!,2,TRUE),"")</f>
        <v/>
      </c>
      <c r="G134">
        <v>7150</v>
      </c>
      <c r="H134" t="s">
        <v>2</v>
      </c>
      <c r="O134">
        <v>62</v>
      </c>
      <c r="P134" t="s">
        <v>37</v>
      </c>
      <c r="Q134">
        <v>50</v>
      </c>
      <c r="R134" t="s">
        <v>49</v>
      </c>
      <c r="S134" t="s">
        <v>33</v>
      </c>
      <c r="T134" t="s">
        <v>0</v>
      </c>
      <c r="U134">
        <v>0</v>
      </c>
    </row>
    <row r="135" spans="3:21" x14ac:dyDescent="0.3">
      <c r="C135" t="s">
        <v>48</v>
      </c>
      <c r="D135" s="18">
        <v>45961</v>
      </c>
      <c r="E135" t="str">
        <f>IFERROR(VLOOKUP(A135,#REF!,5,TRUE),"not found")</f>
        <v>not found</v>
      </c>
      <c r="F135" t="str">
        <f>IFERROR(VLOOKUP(A135,#REF!,2,TRUE),"")</f>
        <v/>
      </c>
      <c r="G135">
        <v>7150</v>
      </c>
      <c r="H135" t="s">
        <v>2</v>
      </c>
      <c r="O135">
        <v>62</v>
      </c>
      <c r="P135" t="s">
        <v>37</v>
      </c>
      <c r="Q135">
        <v>50</v>
      </c>
      <c r="R135" t="s">
        <v>49</v>
      </c>
      <c r="S135" t="s">
        <v>33</v>
      </c>
      <c r="T135" t="s">
        <v>0</v>
      </c>
      <c r="U135">
        <v>0</v>
      </c>
    </row>
    <row r="136" spans="3:21" x14ac:dyDescent="0.3">
      <c r="C136" t="s">
        <v>48</v>
      </c>
      <c r="D136" s="18">
        <v>45961</v>
      </c>
      <c r="E136" t="str">
        <f>IFERROR(VLOOKUP(A136,#REF!,5,TRUE),"not found")</f>
        <v>not found</v>
      </c>
      <c r="F136" t="str">
        <f>IFERROR(VLOOKUP(A136,#REF!,2,TRUE),"")</f>
        <v/>
      </c>
      <c r="G136">
        <v>7150</v>
      </c>
      <c r="H136" t="s">
        <v>2</v>
      </c>
      <c r="O136">
        <v>62</v>
      </c>
      <c r="P136" t="s">
        <v>37</v>
      </c>
      <c r="Q136">
        <v>50</v>
      </c>
      <c r="R136" t="s">
        <v>49</v>
      </c>
      <c r="S136" t="s">
        <v>33</v>
      </c>
      <c r="T136" t="s">
        <v>0</v>
      </c>
      <c r="U136">
        <v>0</v>
      </c>
    </row>
    <row r="137" spans="3:21" x14ac:dyDescent="0.3">
      <c r="C137" t="s">
        <v>48</v>
      </c>
      <c r="D137" s="18">
        <v>45961</v>
      </c>
      <c r="E137" t="str">
        <f>IFERROR(VLOOKUP(A137,#REF!,5,TRUE),"not found")</f>
        <v>not found</v>
      </c>
      <c r="F137" t="str">
        <f>IFERROR(VLOOKUP(A137,#REF!,2,TRUE),"")</f>
        <v/>
      </c>
      <c r="G137">
        <v>7150</v>
      </c>
      <c r="H137" t="s">
        <v>2</v>
      </c>
      <c r="O137">
        <v>62</v>
      </c>
      <c r="P137" t="s">
        <v>37</v>
      </c>
      <c r="Q137">
        <v>50</v>
      </c>
      <c r="R137" t="s">
        <v>49</v>
      </c>
      <c r="S137" t="s">
        <v>33</v>
      </c>
      <c r="T137" t="s">
        <v>0</v>
      </c>
      <c r="U137">
        <v>0</v>
      </c>
    </row>
    <row r="138" spans="3:21" x14ac:dyDescent="0.3">
      <c r="C138" t="s">
        <v>48</v>
      </c>
      <c r="D138" s="18">
        <v>45961</v>
      </c>
      <c r="E138" t="str">
        <f>IFERROR(VLOOKUP(A138,#REF!,5,TRUE),"not found")</f>
        <v>not found</v>
      </c>
      <c r="F138" t="str">
        <f>IFERROR(VLOOKUP(A138,#REF!,2,TRUE),"")</f>
        <v/>
      </c>
      <c r="G138">
        <v>7150</v>
      </c>
      <c r="H138" t="s">
        <v>2</v>
      </c>
      <c r="O138">
        <v>62</v>
      </c>
      <c r="P138" t="s">
        <v>37</v>
      </c>
      <c r="Q138">
        <v>50</v>
      </c>
      <c r="R138" t="s">
        <v>49</v>
      </c>
      <c r="S138" t="s">
        <v>33</v>
      </c>
      <c r="T138" t="s">
        <v>0</v>
      </c>
      <c r="U138">
        <v>0</v>
      </c>
    </row>
    <row r="139" spans="3:21" x14ac:dyDescent="0.3">
      <c r="C139" t="s">
        <v>48</v>
      </c>
      <c r="D139" s="18">
        <v>45961</v>
      </c>
      <c r="E139" t="str">
        <f>IFERROR(VLOOKUP(A139,#REF!,5,TRUE),"not found")</f>
        <v>not found</v>
      </c>
      <c r="F139" t="str">
        <f>IFERROR(VLOOKUP(A139,#REF!,2,TRUE),"")</f>
        <v/>
      </c>
      <c r="G139">
        <v>7150</v>
      </c>
      <c r="H139" t="s">
        <v>2</v>
      </c>
      <c r="O139">
        <v>62</v>
      </c>
      <c r="P139" t="s">
        <v>37</v>
      </c>
      <c r="Q139">
        <v>50</v>
      </c>
      <c r="R139" t="s">
        <v>49</v>
      </c>
      <c r="S139" t="s">
        <v>33</v>
      </c>
      <c r="T139" t="s">
        <v>0</v>
      </c>
      <c r="U139">
        <v>0</v>
      </c>
    </row>
    <row r="140" spans="3:21" x14ac:dyDescent="0.3">
      <c r="C140" t="s">
        <v>48</v>
      </c>
      <c r="D140" s="18">
        <v>45961</v>
      </c>
      <c r="E140" t="str">
        <f>IFERROR(VLOOKUP(A140,#REF!,5,TRUE),"not found")</f>
        <v>not found</v>
      </c>
      <c r="F140" t="str">
        <f>IFERROR(VLOOKUP(A140,#REF!,2,TRUE),"")</f>
        <v/>
      </c>
      <c r="G140">
        <v>7150</v>
      </c>
      <c r="H140" t="s">
        <v>2</v>
      </c>
      <c r="O140">
        <v>62</v>
      </c>
      <c r="P140" t="s">
        <v>37</v>
      </c>
      <c r="Q140">
        <v>50</v>
      </c>
      <c r="R140" t="s">
        <v>49</v>
      </c>
      <c r="S140" t="s">
        <v>33</v>
      </c>
      <c r="T140" t="s">
        <v>0</v>
      </c>
      <c r="U140">
        <v>0</v>
      </c>
    </row>
    <row r="141" spans="3:21" x14ac:dyDescent="0.3">
      <c r="C141" t="s">
        <v>48</v>
      </c>
      <c r="D141" s="18">
        <v>45961</v>
      </c>
      <c r="E141" t="str">
        <f>IFERROR(VLOOKUP(A141,#REF!,5,TRUE),"not found")</f>
        <v>not found</v>
      </c>
      <c r="F141" t="str">
        <f>IFERROR(VLOOKUP(A141,#REF!,2,TRUE),"")</f>
        <v/>
      </c>
      <c r="G141">
        <v>7150</v>
      </c>
      <c r="H141" t="s">
        <v>2</v>
      </c>
      <c r="O141">
        <v>62</v>
      </c>
      <c r="P141" t="s">
        <v>37</v>
      </c>
      <c r="Q141">
        <v>50</v>
      </c>
      <c r="R141" t="s">
        <v>49</v>
      </c>
      <c r="S141" t="s">
        <v>33</v>
      </c>
      <c r="T141" t="s">
        <v>0</v>
      </c>
      <c r="U141">
        <v>0</v>
      </c>
    </row>
    <row r="142" spans="3:21" x14ac:dyDescent="0.3">
      <c r="C142" t="s">
        <v>48</v>
      </c>
      <c r="D142" s="18">
        <v>45961</v>
      </c>
      <c r="E142" t="str">
        <f>IFERROR(VLOOKUP(A142,#REF!,5,TRUE),"not found")</f>
        <v>not found</v>
      </c>
      <c r="F142" t="str">
        <f>IFERROR(VLOOKUP(A142,#REF!,2,TRUE),"")</f>
        <v/>
      </c>
      <c r="G142">
        <v>7150</v>
      </c>
      <c r="H142" t="s">
        <v>2</v>
      </c>
      <c r="O142">
        <v>62</v>
      </c>
      <c r="P142" t="s">
        <v>37</v>
      </c>
      <c r="Q142">
        <v>50</v>
      </c>
      <c r="R142" t="s">
        <v>49</v>
      </c>
      <c r="S142" t="s">
        <v>33</v>
      </c>
      <c r="T142" t="s">
        <v>0</v>
      </c>
      <c r="U142">
        <v>0</v>
      </c>
    </row>
    <row r="143" spans="3:21" x14ac:dyDescent="0.3">
      <c r="C143" t="s">
        <v>48</v>
      </c>
      <c r="D143" s="18">
        <v>45961</v>
      </c>
      <c r="E143" t="str">
        <f>IFERROR(VLOOKUP(A143,#REF!,5,TRUE),"not found")</f>
        <v>not found</v>
      </c>
      <c r="F143" t="str">
        <f>IFERROR(VLOOKUP(A143,#REF!,2,TRUE),"")</f>
        <v/>
      </c>
      <c r="G143">
        <v>7150</v>
      </c>
      <c r="H143" t="s">
        <v>2</v>
      </c>
      <c r="O143">
        <v>62</v>
      </c>
      <c r="P143" t="s">
        <v>37</v>
      </c>
      <c r="Q143">
        <v>50</v>
      </c>
      <c r="R143" t="s">
        <v>49</v>
      </c>
      <c r="S143" t="s">
        <v>33</v>
      </c>
      <c r="T143" t="s">
        <v>0</v>
      </c>
      <c r="U143">
        <v>0</v>
      </c>
    </row>
    <row r="144" spans="3:21" x14ac:dyDescent="0.3">
      <c r="C144" t="s">
        <v>48</v>
      </c>
      <c r="D144" s="18">
        <v>45961</v>
      </c>
      <c r="E144" t="str">
        <f>IFERROR(VLOOKUP(A144,#REF!,5,TRUE),"not found")</f>
        <v>not found</v>
      </c>
      <c r="F144" t="str">
        <f>IFERROR(VLOOKUP(A144,#REF!,2,TRUE),"")</f>
        <v/>
      </c>
      <c r="G144">
        <v>7150</v>
      </c>
      <c r="H144" t="s">
        <v>2</v>
      </c>
      <c r="O144">
        <v>62</v>
      </c>
      <c r="P144" t="s">
        <v>37</v>
      </c>
      <c r="Q144">
        <v>50</v>
      </c>
      <c r="R144" t="s">
        <v>49</v>
      </c>
      <c r="S144" t="s">
        <v>33</v>
      </c>
      <c r="T144" t="s">
        <v>0</v>
      </c>
      <c r="U144">
        <v>0</v>
      </c>
    </row>
    <row r="145" spans="3:21" x14ac:dyDescent="0.3">
      <c r="C145" t="s">
        <v>48</v>
      </c>
      <c r="D145" s="18">
        <v>45961</v>
      </c>
      <c r="E145" t="str">
        <f>IFERROR(VLOOKUP(A145,#REF!,5,TRUE),"not found")</f>
        <v>not found</v>
      </c>
      <c r="F145" t="str">
        <f>IFERROR(VLOOKUP(A145,#REF!,2,TRUE),"")</f>
        <v/>
      </c>
      <c r="G145">
        <v>7150</v>
      </c>
      <c r="H145" t="s">
        <v>2</v>
      </c>
      <c r="O145">
        <v>62</v>
      </c>
      <c r="P145" t="s">
        <v>37</v>
      </c>
      <c r="Q145">
        <v>50</v>
      </c>
      <c r="R145" t="s">
        <v>49</v>
      </c>
      <c r="S145" t="s">
        <v>33</v>
      </c>
      <c r="T145" t="s">
        <v>0</v>
      </c>
      <c r="U145">
        <v>0</v>
      </c>
    </row>
    <row r="146" spans="3:21" x14ac:dyDescent="0.3">
      <c r="C146" t="s">
        <v>48</v>
      </c>
      <c r="D146" s="18">
        <v>45961</v>
      </c>
      <c r="E146" t="str">
        <f>IFERROR(VLOOKUP(A146,#REF!,5,TRUE),"not found")</f>
        <v>not found</v>
      </c>
      <c r="F146" t="str">
        <f>IFERROR(VLOOKUP(A146,#REF!,2,TRUE),"")</f>
        <v/>
      </c>
      <c r="G146">
        <v>7150</v>
      </c>
      <c r="H146" t="s">
        <v>2</v>
      </c>
      <c r="O146">
        <v>62</v>
      </c>
      <c r="P146" t="s">
        <v>37</v>
      </c>
      <c r="Q146">
        <v>50</v>
      </c>
      <c r="R146" t="s">
        <v>49</v>
      </c>
      <c r="S146" t="s">
        <v>33</v>
      </c>
      <c r="T146" t="s">
        <v>0</v>
      </c>
      <c r="U146">
        <v>0</v>
      </c>
    </row>
    <row r="147" spans="3:21" x14ac:dyDescent="0.3">
      <c r="C147" t="s">
        <v>48</v>
      </c>
      <c r="D147" s="18">
        <v>45961</v>
      </c>
      <c r="E147" t="str">
        <f>IFERROR(VLOOKUP(A147,#REF!,5,TRUE),"not found")</f>
        <v>not found</v>
      </c>
      <c r="F147" t="str">
        <f>IFERROR(VLOOKUP(A147,#REF!,2,TRUE),"")</f>
        <v/>
      </c>
      <c r="G147">
        <v>7150</v>
      </c>
      <c r="H147" t="s">
        <v>2</v>
      </c>
      <c r="O147">
        <v>62</v>
      </c>
      <c r="P147" t="s">
        <v>37</v>
      </c>
      <c r="Q147">
        <v>50</v>
      </c>
      <c r="R147" t="s">
        <v>49</v>
      </c>
      <c r="S147" t="s">
        <v>33</v>
      </c>
      <c r="T147" t="s">
        <v>0</v>
      </c>
      <c r="U147">
        <v>0</v>
      </c>
    </row>
    <row r="148" spans="3:21" x14ac:dyDescent="0.3">
      <c r="C148" t="s">
        <v>48</v>
      </c>
      <c r="D148" s="18">
        <v>45961</v>
      </c>
      <c r="E148" t="str">
        <f>IFERROR(VLOOKUP(A148,#REF!,5,TRUE),"not found")</f>
        <v>not found</v>
      </c>
      <c r="F148" t="str">
        <f>IFERROR(VLOOKUP(A148,#REF!,2,TRUE),"")</f>
        <v/>
      </c>
      <c r="G148">
        <v>7150</v>
      </c>
      <c r="H148" t="s">
        <v>2</v>
      </c>
      <c r="O148">
        <v>62</v>
      </c>
      <c r="P148" t="s">
        <v>37</v>
      </c>
      <c r="Q148">
        <v>50</v>
      </c>
      <c r="R148" t="s">
        <v>49</v>
      </c>
      <c r="S148" t="s">
        <v>33</v>
      </c>
      <c r="T148" t="s">
        <v>0</v>
      </c>
      <c r="U148">
        <v>0</v>
      </c>
    </row>
    <row r="149" spans="3:21" x14ac:dyDescent="0.3">
      <c r="C149" t="s">
        <v>48</v>
      </c>
      <c r="D149" s="18">
        <v>45961</v>
      </c>
      <c r="E149" t="str">
        <f>IFERROR(VLOOKUP(A149,#REF!,5,TRUE),"not found")</f>
        <v>not found</v>
      </c>
      <c r="F149" t="str">
        <f>IFERROR(VLOOKUP(A149,#REF!,2,TRUE),"")</f>
        <v/>
      </c>
      <c r="G149">
        <v>7150</v>
      </c>
      <c r="H149" t="s">
        <v>2</v>
      </c>
      <c r="O149">
        <v>62</v>
      </c>
      <c r="P149" t="s">
        <v>37</v>
      </c>
      <c r="Q149">
        <v>50</v>
      </c>
      <c r="R149" t="s">
        <v>49</v>
      </c>
      <c r="S149" t="s">
        <v>33</v>
      </c>
      <c r="T149" t="s">
        <v>0</v>
      </c>
      <c r="U149">
        <v>0</v>
      </c>
    </row>
    <row r="150" spans="3:21" x14ac:dyDescent="0.3">
      <c r="C150" t="s">
        <v>48</v>
      </c>
      <c r="D150" s="18">
        <v>45961</v>
      </c>
      <c r="E150" t="str">
        <f>IFERROR(VLOOKUP(A150,#REF!,5,TRUE),"not found")</f>
        <v>not found</v>
      </c>
      <c r="F150" t="str">
        <f>IFERROR(VLOOKUP(A150,#REF!,2,TRUE),"")</f>
        <v/>
      </c>
      <c r="G150">
        <v>7150</v>
      </c>
      <c r="H150" t="s">
        <v>2</v>
      </c>
      <c r="O150">
        <v>62</v>
      </c>
      <c r="P150" t="s">
        <v>37</v>
      </c>
      <c r="Q150">
        <v>50</v>
      </c>
      <c r="R150" t="s">
        <v>49</v>
      </c>
      <c r="S150" t="s">
        <v>33</v>
      </c>
      <c r="T150" t="s">
        <v>0</v>
      </c>
      <c r="U150">
        <v>0</v>
      </c>
    </row>
    <row r="151" spans="3:21" x14ac:dyDescent="0.3">
      <c r="C151" t="s">
        <v>48</v>
      </c>
      <c r="D151" s="18">
        <v>45961</v>
      </c>
      <c r="E151" t="str">
        <f>IFERROR(VLOOKUP(A151,#REF!,5,TRUE),"not found")</f>
        <v>not found</v>
      </c>
      <c r="F151" t="str">
        <f>IFERROR(VLOOKUP(A151,#REF!,2,TRUE),"")</f>
        <v/>
      </c>
      <c r="G151">
        <v>7150</v>
      </c>
      <c r="H151" t="s">
        <v>2</v>
      </c>
      <c r="O151">
        <v>62</v>
      </c>
      <c r="P151" t="s">
        <v>37</v>
      </c>
      <c r="Q151">
        <v>50</v>
      </c>
      <c r="R151" t="s">
        <v>49</v>
      </c>
      <c r="S151" t="s">
        <v>33</v>
      </c>
      <c r="T151" t="s">
        <v>0</v>
      </c>
      <c r="U151">
        <v>0</v>
      </c>
    </row>
    <row r="152" spans="3:21" x14ac:dyDescent="0.3">
      <c r="C152" t="s">
        <v>48</v>
      </c>
      <c r="D152" s="18">
        <v>45961</v>
      </c>
      <c r="E152" t="str">
        <f>IFERROR(VLOOKUP(A152,#REF!,5,TRUE),"not found")</f>
        <v>not found</v>
      </c>
      <c r="F152" t="str">
        <f>IFERROR(VLOOKUP(A152,#REF!,2,TRUE),"")</f>
        <v/>
      </c>
      <c r="G152">
        <v>7150</v>
      </c>
      <c r="H152" t="s">
        <v>2</v>
      </c>
      <c r="O152">
        <v>62</v>
      </c>
      <c r="P152" t="s">
        <v>37</v>
      </c>
      <c r="Q152">
        <v>50</v>
      </c>
      <c r="R152" t="s">
        <v>49</v>
      </c>
      <c r="S152" t="s">
        <v>33</v>
      </c>
      <c r="T152" t="s">
        <v>0</v>
      </c>
      <c r="U152">
        <v>0</v>
      </c>
    </row>
    <row r="153" spans="3:21" x14ac:dyDescent="0.3">
      <c r="C153" t="s">
        <v>48</v>
      </c>
      <c r="D153" s="18">
        <v>45961</v>
      </c>
      <c r="E153" t="str">
        <f>IFERROR(VLOOKUP(A153,#REF!,5,TRUE),"not found")</f>
        <v>not found</v>
      </c>
      <c r="F153" t="str">
        <f>IFERROR(VLOOKUP(A153,#REF!,2,TRUE),"")</f>
        <v/>
      </c>
      <c r="G153">
        <v>7150</v>
      </c>
      <c r="H153" t="s">
        <v>2</v>
      </c>
      <c r="O153">
        <v>62</v>
      </c>
      <c r="P153" t="s">
        <v>37</v>
      </c>
      <c r="Q153">
        <v>50</v>
      </c>
      <c r="R153" t="s">
        <v>49</v>
      </c>
      <c r="S153" t="s">
        <v>33</v>
      </c>
      <c r="T153" t="s">
        <v>0</v>
      </c>
      <c r="U153">
        <v>0</v>
      </c>
    </row>
    <row r="154" spans="3:21" x14ac:dyDescent="0.3">
      <c r="C154" t="s">
        <v>48</v>
      </c>
      <c r="D154" s="18">
        <v>45961</v>
      </c>
      <c r="E154" t="str">
        <f>IFERROR(VLOOKUP(A154,#REF!,5,TRUE),"not found")</f>
        <v>not found</v>
      </c>
      <c r="F154" t="str">
        <f>IFERROR(VLOOKUP(A154,#REF!,2,TRUE),"")</f>
        <v/>
      </c>
      <c r="G154">
        <v>7150</v>
      </c>
      <c r="H154" t="s">
        <v>2</v>
      </c>
      <c r="O154">
        <v>62</v>
      </c>
      <c r="P154" t="s">
        <v>37</v>
      </c>
      <c r="Q154">
        <v>50</v>
      </c>
      <c r="R154" t="s">
        <v>49</v>
      </c>
      <c r="S154" t="s">
        <v>33</v>
      </c>
      <c r="T154" t="s">
        <v>0</v>
      </c>
      <c r="U154">
        <v>0</v>
      </c>
    </row>
    <row r="155" spans="3:21" x14ac:dyDescent="0.3">
      <c r="C155" t="s">
        <v>48</v>
      </c>
      <c r="D155" s="18">
        <v>45961</v>
      </c>
      <c r="E155" t="str">
        <f>IFERROR(VLOOKUP(A155,#REF!,5,TRUE),"not found")</f>
        <v>not found</v>
      </c>
      <c r="F155" t="str">
        <f>IFERROR(VLOOKUP(A155,#REF!,2,TRUE),"")</f>
        <v/>
      </c>
      <c r="G155">
        <v>7150</v>
      </c>
      <c r="H155" t="s">
        <v>2</v>
      </c>
      <c r="O155">
        <v>62</v>
      </c>
      <c r="P155" t="s">
        <v>37</v>
      </c>
      <c r="Q155">
        <v>50</v>
      </c>
      <c r="R155" t="s">
        <v>49</v>
      </c>
      <c r="S155" t="s">
        <v>33</v>
      </c>
      <c r="T155" t="s">
        <v>0</v>
      </c>
      <c r="U155">
        <v>0</v>
      </c>
    </row>
    <row r="156" spans="3:21" x14ac:dyDescent="0.3">
      <c r="C156" t="s">
        <v>48</v>
      </c>
      <c r="D156" s="18">
        <v>45961</v>
      </c>
      <c r="E156" t="str">
        <f>IFERROR(VLOOKUP(A156,#REF!,5,TRUE),"not found")</f>
        <v>not found</v>
      </c>
      <c r="F156" t="str">
        <f>IFERROR(VLOOKUP(A156,#REF!,2,TRUE),"")</f>
        <v/>
      </c>
      <c r="G156">
        <v>7150</v>
      </c>
      <c r="H156" t="s">
        <v>2</v>
      </c>
      <c r="O156">
        <v>62</v>
      </c>
      <c r="P156" t="s">
        <v>37</v>
      </c>
      <c r="Q156">
        <v>50</v>
      </c>
      <c r="R156" t="s">
        <v>49</v>
      </c>
      <c r="S156" t="s">
        <v>33</v>
      </c>
      <c r="T156" t="s">
        <v>0</v>
      </c>
      <c r="U156">
        <v>0</v>
      </c>
    </row>
    <row r="157" spans="3:21" x14ac:dyDescent="0.3">
      <c r="C157" t="s">
        <v>48</v>
      </c>
      <c r="D157" s="18">
        <v>45961</v>
      </c>
      <c r="E157" t="str">
        <f>IFERROR(VLOOKUP(A157,#REF!,5,TRUE),"not found")</f>
        <v>not found</v>
      </c>
      <c r="F157" t="str">
        <f>IFERROR(VLOOKUP(A157,#REF!,2,TRUE),"")</f>
        <v/>
      </c>
      <c r="G157">
        <v>7150</v>
      </c>
      <c r="H157" t="s">
        <v>2</v>
      </c>
      <c r="O157">
        <v>62</v>
      </c>
      <c r="P157" t="s">
        <v>37</v>
      </c>
      <c r="Q157">
        <v>50</v>
      </c>
      <c r="R157" t="s">
        <v>49</v>
      </c>
      <c r="S157" t="s">
        <v>33</v>
      </c>
      <c r="T157" t="s">
        <v>0</v>
      </c>
      <c r="U157">
        <v>0</v>
      </c>
    </row>
    <row r="158" spans="3:21" x14ac:dyDescent="0.3">
      <c r="C158" t="s">
        <v>48</v>
      </c>
      <c r="D158" s="18">
        <v>45961</v>
      </c>
      <c r="E158" t="str">
        <f>IFERROR(VLOOKUP(A158,#REF!,5,TRUE),"not found")</f>
        <v>not found</v>
      </c>
      <c r="F158" t="str">
        <f>IFERROR(VLOOKUP(A158,#REF!,2,TRUE),"")</f>
        <v/>
      </c>
      <c r="G158">
        <v>7150</v>
      </c>
      <c r="H158" t="s">
        <v>2</v>
      </c>
      <c r="O158">
        <v>62</v>
      </c>
      <c r="P158" t="s">
        <v>37</v>
      </c>
      <c r="Q158">
        <v>50</v>
      </c>
      <c r="R158" t="s">
        <v>49</v>
      </c>
      <c r="S158" t="s">
        <v>33</v>
      </c>
      <c r="T158" t="s">
        <v>0</v>
      </c>
      <c r="U158">
        <v>0</v>
      </c>
    </row>
    <row r="159" spans="3:21" x14ac:dyDescent="0.3">
      <c r="C159" t="s">
        <v>48</v>
      </c>
      <c r="D159" s="18">
        <v>45961</v>
      </c>
      <c r="E159" t="str">
        <f>IFERROR(VLOOKUP(A159,#REF!,5,TRUE),"not found")</f>
        <v>not found</v>
      </c>
      <c r="F159" t="str">
        <f>IFERROR(VLOOKUP(A159,#REF!,2,TRUE),"")</f>
        <v/>
      </c>
      <c r="G159">
        <v>7150</v>
      </c>
      <c r="H159" t="s">
        <v>2</v>
      </c>
      <c r="O159">
        <v>62</v>
      </c>
      <c r="P159" t="s">
        <v>37</v>
      </c>
      <c r="Q159">
        <v>50</v>
      </c>
      <c r="R159" t="s">
        <v>49</v>
      </c>
      <c r="S159" t="s">
        <v>33</v>
      </c>
      <c r="T159" t="s">
        <v>0</v>
      </c>
      <c r="U159">
        <v>0</v>
      </c>
    </row>
    <row r="160" spans="3:21" x14ac:dyDescent="0.3">
      <c r="C160" t="s">
        <v>48</v>
      </c>
      <c r="D160" s="18">
        <v>45961</v>
      </c>
      <c r="E160" t="str">
        <f>IFERROR(VLOOKUP(A160,#REF!,5,TRUE),"not found")</f>
        <v>not found</v>
      </c>
      <c r="F160" t="str">
        <f>IFERROR(VLOOKUP(A160,#REF!,2,TRUE),"")</f>
        <v/>
      </c>
      <c r="G160">
        <v>7150</v>
      </c>
      <c r="H160" t="s">
        <v>2</v>
      </c>
      <c r="O160">
        <v>62</v>
      </c>
      <c r="P160" t="s">
        <v>37</v>
      </c>
      <c r="Q160">
        <v>50</v>
      </c>
      <c r="R160" t="s">
        <v>49</v>
      </c>
      <c r="S160" t="s">
        <v>33</v>
      </c>
      <c r="T160" t="s">
        <v>0</v>
      </c>
      <c r="U160">
        <v>0</v>
      </c>
    </row>
    <row r="161" spans="3:21" x14ac:dyDescent="0.3">
      <c r="C161" t="s">
        <v>48</v>
      </c>
      <c r="D161" s="18">
        <v>45961</v>
      </c>
      <c r="E161" t="str">
        <f>IFERROR(VLOOKUP(A161,#REF!,5,TRUE),"not found")</f>
        <v>not found</v>
      </c>
      <c r="F161" t="str">
        <f>IFERROR(VLOOKUP(A161,#REF!,2,TRUE),"")</f>
        <v/>
      </c>
      <c r="G161">
        <v>7150</v>
      </c>
      <c r="H161" t="s">
        <v>2</v>
      </c>
      <c r="O161">
        <v>62</v>
      </c>
      <c r="P161" t="s">
        <v>37</v>
      </c>
      <c r="Q161">
        <v>50</v>
      </c>
      <c r="R161" t="s">
        <v>49</v>
      </c>
      <c r="S161" t="s">
        <v>33</v>
      </c>
      <c r="T161" t="s">
        <v>0</v>
      </c>
      <c r="U161">
        <v>0</v>
      </c>
    </row>
    <row r="162" spans="3:21" x14ac:dyDescent="0.3">
      <c r="C162" t="s">
        <v>48</v>
      </c>
      <c r="D162" s="18">
        <v>45961</v>
      </c>
      <c r="E162" t="str">
        <f>IFERROR(VLOOKUP(A162,#REF!,5,TRUE),"not found")</f>
        <v>not found</v>
      </c>
      <c r="F162" t="str">
        <f>IFERROR(VLOOKUP(A162,#REF!,2,TRUE),"")</f>
        <v/>
      </c>
      <c r="G162">
        <v>7150</v>
      </c>
      <c r="H162" t="s">
        <v>2</v>
      </c>
      <c r="O162">
        <v>62</v>
      </c>
      <c r="P162" t="s">
        <v>37</v>
      </c>
      <c r="Q162">
        <v>50</v>
      </c>
      <c r="R162" t="s">
        <v>49</v>
      </c>
      <c r="S162" t="s">
        <v>33</v>
      </c>
      <c r="T162" t="s">
        <v>0</v>
      </c>
      <c r="U162">
        <v>0</v>
      </c>
    </row>
    <row r="163" spans="3:21" x14ac:dyDescent="0.3">
      <c r="C163" t="s">
        <v>48</v>
      </c>
      <c r="D163" s="18">
        <v>45961</v>
      </c>
      <c r="E163" t="str">
        <f>IFERROR(VLOOKUP(A163,#REF!,5,TRUE),"not found")</f>
        <v>not found</v>
      </c>
      <c r="F163" t="str">
        <f>IFERROR(VLOOKUP(A163,#REF!,2,TRUE),"")</f>
        <v/>
      </c>
      <c r="G163">
        <v>7150</v>
      </c>
      <c r="H163" t="s">
        <v>2</v>
      </c>
      <c r="O163">
        <v>62</v>
      </c>
      <c r="P163" t="s">
        <v>37</v>
      </c>
      <c r="Q163">
        <v>50</v>
      </c>
      <c r="R163" t="s">
        <v>49</v>
      </c>
      <c r="S163" t="s">
        <v>33</v>
      </c>
      <c r="T163" t="s">
        <v>0</v>
      </c>
      <c r="U163">
        <v>0</v>
      </c>
    </row>
    <row r="164" spans="3:21" x14ac:dyDescent="0.3">
      <c r="C164" t="s">
        <v>48</v>
      </c>
      <c r="D164" s="18">
        <v>45961</v>
      </c>
      <c r="E164" t="str">
        <f>IFERROR(VLOOKUP(A164,#REF!,5,TRUE),"not found")</f>
        <v>not found</v>
      </c>
      <c r="F164" t="str">
        <f>IFERROR(VLOOKUP(A164,#REF!,2,TRUE),"")</f>
        <v/>
      </c>
      <c r="G164">
        <v>7150</v>
      </c>
      <c r="H164" t="s">
        <v>2</v>
      </c>
      <c r="O164">
        <v>62</v>
      </c>
      <c r="P164" t="s">
        <v>37</v>
      </c>
      <c r="Q164">
        <v>50</v>
      </c>
      <c r="R164" t="s">
        <v>49</v>
      </c>
      <c r="S164" t="s">
        <v>33</v>
      </c>
      <c r="T164" t="s">
        <v>0</v>
      </c>
      <c r="U164">
        <v>0</v>
      </c>
    </row>
    <row r="165" spans="3:21" x14ac:dyDescent="0.3">
      <c r="C165" t="s">
        <v>48</v>
      </c>
      <c r="D165" s="18">
        <v>45961</v>
      </c>
      <c r="E165" t="str">
        <f>IFERROR(VLOOKUP(A165,#REF!,5,TRUE),"not found")</f>
        <v>not found</v>
      </c>
      <c r="F165" t="str">
        <f>IFERROR(VLOOKUP(A165,#REF!,2,TRUE),"")</f>
        <v/>
      </c>
      <c r="G165">
        <v>7150</v>
      </c>
      <c r="H165" t="s">
        <v>2</v>
      </c>
      <c r="O165">
        <v>62</v>
      </c>
      <c r="P165" t="s">
        <v>37</v>
      </c>
      <c r="Q165">
        <v>50</v>
      </c>
      <c r="R165" t="s">
        <v>49</v>
      </c>
      <c r="S165" t="s">
        <v>33</v>
      </c>
      <c r="T165" t="s">
        <v>0</v>
      </c>
      <c r="U165">
        <v>0</v>
      </c>
    </row>
    <row r="166" spans="3:21" x14ac:dyDescent="0.3">
      <c r="C166" t="s">
        <v>48</v>
      </c>
      <c r="D166" s="18">
        <v>45961</v>
      </c>
      <c r="E166" t="str">
        <f>IFERROR(VLOOKUP(A166,#REF!,5,TRUE),"not found")</f>
        <v>not found</v>
      </c>
      <c r="F166" t="str">
        <f>IFERROR(VLOOKUP(A166,#REF!,2,TRUE),"")</f>
        <v/>
      </c>
      <c r="G166">
        <v>7150</v>
      </c>
      <c r="H166" t="s">
        <v>2</v>
      </c>
      <c r="O166">
        <v>62</v>
      </c>
      <c r="P166" t="s">
        <v>37</v>
      </c>
      <c r="Q166">
        <v>50</v>
      </c>
      <c r="R166" t="s">
        <v>49</v>
      </c>
      <c r="S166" t="s">
        <v>33</v>
      </c>
      <c r="T166" t="s">
        <v>0</v>
      </c>
      <c r="U166">
        <v>0</v>
      </c>
    </row>
    <row r="167" spans="3:21" x14ac:dyDescent="0.3">
      <c r="C167" t="s">
        <v>48</v>
      </c>
      <c r="D167" s="18">
        <v>45961</v>
      </c>
      <c r="E167" t="str">
        <f>IFERROR(VLOOKUP(A167,#REF!,5,TRUE),"not found")</f>
        <v>not found</v>
      </c>
      <c r="F167" t="str">
        <f>IFERROR(VLOOKUP(A167,#REF!,2,TRUE),"")</f>
        <v/>
      </c>
      <c r="G167">
        <v>7150</v>
      </c>
      <c r="H167" t="s">
        <v>2</v>
      </c>
      <c r="O167">
        <v>62</v>
      </c>
      <c r="P167" t="s">
        <v>37</v>
      </c>
      <c r="Q167">
        <v>50</v>
      </c>
      <c r="R167" t="s">
        <v>49</v>
      </c>
      <c r="S167" t="s">
        <v>33</v>
      </c>
      <c r="T167" t="s">
        <v>0</v>
      </c>
      <c r="U167">
        <v>0</v>
      </c>
    </row>
    <row r="168" spans="3:21" x14ac:dyDescent="0.3">
      <c r="C168" t="s">
        <v>48</v>
      </c>
      <c r="D168" s="18">
        <v>45961</v>
      </c>
      <c r="E168" t="str">
        <f>IFERROR(VLOOKUP(A168,#REF!,5,TRUE),"not found")</f>
        <v>not found</v>
      </c>
      <c r="F168" t="str">
        <f>IFERROR(VLOOKUP(A168,#REF!,2,TRUE),"")</f>
        <v/>
      </c>
      <c r="G168">
        <v>7150</v>
      </c>
      <c r="H168" t="s">
        <v>2</v>
      </c>
      <c r="O168">
        <v>62</v>
      </c>
      <c r="P168" t="s">
        <v>37</v>
      </c>
      <c r="Q168">
        <v>50</v>
      </c>
      <c r="R168" t="s">
        <v>49</v>
      </c>
      <c r="S168" t="s">
        <v>33</v>
      </c>
      <c r="T168" t="s">
        <v>0</v>
      </c>
      <c r="U168">
        <v>0</v>
      </c>
    </row>
    <row r="169" spans="3:21" x14ac:dyDescent="0.3">
      <c r="C169" t="s">
        <v>48</v>
      </c>
      <c r="D169" s="18">
        <v>45961</v>
      </c>
      <c r="E169" t="str">
        <f>IFERROR(VLOOKUP(A169,#REF!,5,TRUE),"not found")</f>
        <v>not found</v>
      </c>
      <c r="F169" t="str">
        <f>IFERROR(VLOOKUP(A169,#REF!,2,TRUE),"")</f>
        <v/>
      </c>
      <c r="G169">
        <v>7150</v>
      </c>
      <c r="H169" t="s">
        <v>2</v>
      </c>
      <c r="O169">
        <v>62</v>
      </c>
      <c r="P169" t="s">
        <v>37</v>
      </c>
      <c r="Q169">
        <v>50</v>
      </c>
      <c r="R169" t="s">
        <v>49</v>
      </c>
      <c r="S169" t="s">
        <v>33</v>
      </c>
      <c r="T169" t="s">
        <v>0</v>
      </c>
      <c r="U169">
        <v>0</v>
      </c>
    </row>
    <row r="170" spans="3:21" x14ac:dyDescent="0.3">
      <c r="C170" t="s">
        <v>48</v>
      </c>
      <c r="D170" s="18">
        <v>45961</v>
      </c>
      <c r="E170" t="str">
        <f>IFERROR(VLOOKUP(A170,#REF!,5,TRUE),"not found")</f>
        <v>not found</v>
      </c>
      <c r="F170" t="str">
        <f>IFERROR(VLOOKUP(A170,#REF!,2,TRUE),"")</f>
        <v/>
      </c>
      <c r="G170">
        <v>7150</v>
      </c>
      <c r="H170" t="s">
        <v>2</v>
      </c>
      <c r="O170">
        <v>62</v>
      </c>
      <c r="P170" t="s">
        <v>37</v>
      </c>
      <c r="Q170">
        <v>50</v>
      </c>
      <c r="R170" t="s">
        <v>49</v>
      </c>
      <c r="S170" t="s">
        <v>33</v>
      </c>
      <c r="T170" t="s">
        <v>0</v>
      </c>
      <c r="U170">
        <v>0</v>
      </c>
    </row>
    <row r="171" spans="3:21" x14ac:dyDescent="0.3">
      <c r="C171" t="s">
        <v>48</v>
      </c>
      <c r="D171" s="18">
        <v>45961</v>
      </c>
      <c r="E171" t="str">
        <f>IFERROR(VLOOKUP(A171,#REF!,5,TRUE),"not found")</f>
        <v>not found</v>
      </c>
      <c r="F171" t="str">
        <f>IFERROR(VLOOKUP(A171,#REF!,2,TRUE),"")</f>
        <v/>
      </c>
      <c r="G171">
        <v>7150</v>
      </c>
      <c r="H171" t="s">
        <v>2</v>
      </c>
      <c r="O171">
        <v>62</v>
      </c>
      <c r="P171" t="s">
        <v>37</v>
      </c>
      <c r="Q171">
        <v>50</v>
      </c>
      <c r="R171" t="s">
        <v>49</v>
      </c>
      <c r="S171" t="s">
        <v>33</v>
      </c>
      <c r="T171" t="s">
        <v>0</v>
      </c>
      <c r="U171">
        <v>0</v>
      </c>
    </row>
    <row r="172" spans="3:21" x14ac:dyDescent="0.3">
      <c r="C172" t="s">
        <v>48</v>
      </c>
      <c r="D172" s="18">
        <v>45961</v>
      </c>
      <c r="E172" t="str">
        <f>IFERROR(VLOOKUP(A172,#REF!,5,TRUE),"not found")</f>
        <v>not found</v>
      </c>
      <c r="F172" t="str">
        <f>IFERROR(VLOOKUP(A172,#REF!,2,TRUE),"")</f>
        <v/>
      </c>
      <c r="G172">
        <v>7150</v>
      </c>
      <c r="H172" t="s">
        <v>2</v>
      </c>
      <c r="O172">
        <v>62</v>
      </c>
      <c r="P172" t="s">
        <v>37</v>
      </c>
      <c r="Q172">
        <v>50</v>
      </c>
      <c r="R172" t="s">
        <v>49</v>
      </c>
      <c r="S172" t="s">
        <v>33</v>
      </c>
      <c r="T172" t="s">
        <v>0</v>
      </c>
      <c r="U172">
        <v>0</v>
      </c>
    </row>
    <row r="173" spans="3:21" x14ac:dyDescent="0.3">
      <c r="C173" t="s">
        <v>48</v>
      </c>
      <c r="D173" s="18">
        <v>45961</v>
      </c>
      <c r="E173" t="str">
        <f>IFERROR(VLOOKUP(A173,#REF!,5,TRUE),"not found")</f>
        <v>not found</v>
      </c>
      <c r="F173" t="str">
        <f>IFERROR(VLOOKUP(A173,#REF!,2,TRUE),"")</f>
        <v/>
      </c>
      <c r="G173">
        <v>7150</v>
      </c>
      <c r="H173" t="s">
        <v>2</v>
      </c>
      <c r="O173">
        <v>62</v>
      </c>
      <c r="P173" t="s">
        <v>37</v>
      </c>
      <c r="Q173">
        <v>50</v>
      </c>
      <c r="R173" t="s">
        <v>49</v>
      </c>
      <c r="S173" t="s">
        <v>33</v>
      </c>
      <c r="T173" t="s">
        <v>0</v>
      </c>
      <c r="U173">
        <v>0</v>
      </c>
    </row>
    <row r="174" spans="3:21" x14ac:dyDescent="0.3">
      <c r="C174" t="s">
        <v>48</v>
      </c>
      <c r="D174" s="18">
        <v>45961</v>
      </c>
      <c r="E174" t="str">
        <f>IFERROR(VLOOKUP(A174,#REF!,5,TRUE),"not found")</f>
        <v>not found</v>
      </c>
      <c r="F174" t="str">
        <f>IFERROR(VLOOKUP(A174,#REF!,2,TRUE),"")</f>
        <v/>
      </c>
      <c r="G174">
        <v>7150</v>
      </c>
      <c r="H174" t="s">
        <v>2</v>
      </c>
      <c r="O174">
        <v>62</v>
      </c>
      <c r="P174" t="s">
        <v>37</v>
      </c>
      <c r="Q174">
        <v>50</v>
      </c>
      <c r="R174" t="s">
        <v>49</v>
      </c>
      <c r="S174" t="s">
        <v>33</v>
      </c>
      <c r="T174" t="s">
        <v>0</v>
      </c>
      <c r="U174">
        <v>0</v>
      </c>
    </row>
    <row r="175" spans="3:21" x14ac:dyDescent="0.3">
      <c r="C175" t="s">
        <v>48</v>
      </c>
      <c r="D175" s="18">
        <v>45961</v>
      </c>
      <c r="E175" t="str">
        <f>IFERROR(VLOOKUP(A175,#REF!,5,TRUE),"not found")</f>
        <v>not found</v>
      </c>
      <c r="F175" t="str">
        <f>IFERROR(VLOOKUP(A175,#REF!,2,TRUE),"")</f>
        <v/>
      </c>
      <c r="G175">
        <v>7150</v>
      </c>
      <c r="H175" t="s">
        <v>2</v>
      </c>
      <c r="O175">
        <v>62</v>
      </c>
      <c r="P175" t="s">
        <v>37</v>
      </c>
      <c r="Q175">
        <v>50</v>
      </c>
      <c r="R175" t="s">
        <v>49</v>
      </c>
      <c r="S175" t="s">
        <v>33</v>
      </c>
      <c r="T175" t="s">
        <v>0</v>
      </c>
      <c r="U175">
        <v>0</v>
      </c>
    </row>
    <row r="176" spans="3:21" x14ac:dyDescent="0.3">
      <c r="C176" t="s">
        <v>48</v>
      </c>
      <c r="D176" s="18">
        <v>45961</v>
      </c>
      <c r="E176" t="str">
        <f>IFERROR(VLOOKUP(A176,#REF!,5,TRUE),"not found")</f>
        <v>not found</v>
      </c>
      <c r="F176" t="str">
        <f>IFERROR(VLOOKUP(A176,#REF!,2,TRUE),"")</f>
        <v/>
      </c>
      <c r="G176">
        <v>7150</v>
      </c>
      <c r="H176" t="s">
        <v>2</v>
      </c>
      <c r="O176">
        <v>62</v>
      </c>
      <c r="P176" t="s">
        <v>37</v>
      </c>
      <c r="Q176">
        <v>50</v>
      </c>
      <c r="R176" t="s">
        <v>49</v>
      </c>
      <c r="S176" t="s">
        <v>33</v>
      </c>
      <c r="T176" t="s">
        <v>0</v>
      </c>
      <c r="U176">
        <v>0</v>
      </c>
    </row>
    <row r="177" spans="3:21" x14ac:dyDescent="0.3">
      <c r="C177" t="s">
        <v>48</v>
      </c>
      <c r="D177" s="18">
        <v>45961</v>
      </c>
      <c r="E177" t="str">
        <f>IFERROR(VLOOKUP(A177,#REF!,5,TRUE),"not found")</f>
        <v>not found</v>
      </c>
      <c r="F177" t="str">
        <f>IFERROR(VLOOKUP(A177,#REF!,2,TRUE),"")</f>
        <v/>
      </c>
      <c r="G177">
        <v>7150</v>
      </c>
      <c r="H177" t="s">
        <v>2</v>
      </c>
      <c r="O177">
        <v>62</v>
      </c>
      <c r="P177" t="s">
        <v>37</v>
      </c>
      <c r="Q177">
        <v>50</v>
      </c>
      <c r="R177" t="s">
        <v>49</v>
      </c>
      <c r="S177" t="s">
        <v>33</v>
      </c>
      <c r="T177" t="s">
        <v>0</v>
      </c>
      <c r="U177">
        <v>0</v>
      </c>
    </row>
    <row r="178" spans="3:21" x14ac:dyDescent="0.3">
      <c r="C178" t="s">
        <v>48</v>
      </c>
      <c r="D178" s="18">
        <v>45961</v>
      </c>
      <c r="E178" t="str">
        <f>IFERROR(VLOOKUP(A178,#REF!,5,TRUE),"not found")</f>
        <v>not found</v>
      </c>
      <c r="F178" t="str">
        <f>IFERROR(VLOOKUP(A178,#REF!,2,TRUE),"")</f>
        <v/>
      </c>
      <c r="G178">
        <v>7150</v>
      </c>
      <c r="H178" t="s">
        <v>2</v>
      </c>
      <c r="O178">
        <v>62</v>
      </c>
      <c r="P178" t="s">
        <v>37</v>
      </c>
      <c r="Q178">
        <v>50</v>
      </c>
      <c r="R178" t="s">
        <v>49</v>
      </c>
      <c r="S178" t="s">
        <v>33</v>
      </c>
      <c r="T178" t="s">
        <v>0</v>
      </c>
      <c r="U178">
        <v>0</v>
      </c>
    </row>
    <row r="179" spans="3:21" x14ac:dyDescent="0.3">
      <c r="C179" t="s">
        <v>48</v>
      </c>
      <c r="D179" s="18">
        <v>45961</v>
      </c>
      <c r="E179" t="str">
        <f>IFERROR(VLOOKUP(A179,#REF!,5,TRUE),"not found")</f>
        <v>not found</v>
      </c>
      <c r="F179" t="str">
        <f>IFERROR(VLOOKUP(A179,#REF!,2,TRUE),"")</f>
        <v/>
      </c>
      <c r="G179">
        <v>7150</v>
      </c>
      <c r="H179" t="s">
        <v>2</v>
      </c>
      <c r="O179">
        <v>62</v>
      </c>
      <c r="P179" t="s">
        <v>37</v>
      </c>
      <c r="Q179">
        <v>50</v>
      </c>
      <c r="R179" t="s">
        <v>49</v>
      </c>
      <c r="S179" t="s">
        <v>33</v>
      </c>
      <c r="T179" t="s">
        <v>0</v>
      </c>
      <c r="U179">
        <v>0</v>
      </c>
    </row>
    <row r="180" spans="3:21" x14ac:dyDescent="0.3">
      <c r="C180" t="s">
        <v>48</v>
      </c>
      <c r="D180" s="18">
        <v>45961</v>
      </c>
      <c r="E180" t="str">
        <f>IFERROR(VLOOKUP(A180,#REF!,5,TRUE),"not found")</f>
        <v>not found</v>
      </c>
      <c r="F180" t="str">
        <f>IFERROR(VLOOKUP(A180,#REF!,2,TRUE),"")</f>
        <v/>
      </c>
      <c r="G180">
        <v>7150</v>
      </c>
      <c r="H180" t="s">
        <v>2</v>
      </c>
      <c r="O180">
        <v>62</v>
      </c>
      <c r="P180" t="s">
        <v>37</v>
      </c>
      <c r="Q180">
        <v>50</v>
      </c>
      <c r="R180" t="s">
        <v>49</v>
      </c>
      <c r="S180" t="s">
        <v>33</v>
      </c>
      <c r="T180" t="s">
        <v>0</v>
      </c>
      <c r="U180">
        <v>0</v>
      </c>
    </row>
    <row r="181" spans="3:21" x14ac:dyDescent="0.3">
      <c r="C181" t="s">
        <v>48</v>
      </c>
      <c r="D181" s="18">
        <v>45961</v>
      </c>
      <c r="E181" t="str">
        <f>IFERROR(VLOOKUP(A181,#REF!,5,TRUE),"not found")</f>
        <v>not found</v>
      </c>
      <c r="F181" t="str">
        <f>IFERROR(VLOOKUP(A181,#REF!,2,TRUE),"")</f>
        <v/>
      </c>
      <c r="G181">
        <v>7150</v>
      </c>
      <c r="H181" t="s">
        <v>2</v>
      </c>
      <c r="O181">
        <v>62</v>
      </c>
      <c r="P181" t="s">
        <v>37</v>
      </c>
      <c r="Q181">
        <v>50</v>
      </c>
      <c r="R181" t="s">
        <v>49</v>
      </c>
      <c r="S181" t="s">
        <v>33</v>
      </c>
      <c r="T181" t="s">
        <v>0</v>
      </c>
      <c r="U181">
        <v>0</v>
      </c>
    </row>
    <row r="182" spans="3:21" x14ac:dyDescent="0.3">
      <c r="C182" t="s">
        <v>48</v>
      </c>
      <c r="D182" s="18">
        <v>45961</v>
      </c>
      <c r="E182" t="str">
        <f>IFERROR(VLOOKUP(A182,#REF!,5,TRUE),"not found")</f>
        <v>not found</v>
      </c>
      <c r="F182" t="str">
        <f>IFERROR(VLOOKUP(A182,#REF!,2,TRUE),"")</f>
        <v/>
      </c>
      <c r="G182">
        <v>7150</v>
      </c>
      <c r="H182" t="s">
        <v>2</v>
      </c>
      <c r="O182">
        <v>62</v>
      </c>
      <c r="P182" t="s">
        <v>37</v>
      </c>
      <c r="Q182">
        <v>50</v>
      </c>
      <c r="R182" t="s">
        <v>49</v>
      </c>
      <c r="S182" t="s">
        <v>33</v>
      </c>
      <c r="T182" t="s">
        <v>0</v>
      </c>
      <c r="U182">
        <v>0</v>
      </c>
    </row>
    <row r="183" spans="3:21" x14ac:dyDescent="0.3">
      <c r="C183" t="s">
        <v>48</v>
      </c>
      <c r="D183" s="18">
        <v>45961</v>
      </c>
      <c r="E183" t="str">
        <f>IFERROR(VLOOKUP(A183,#REF!,5,TRUE),"not found")</f>
        <v>not found</v>
      </c>
      <c r="F183" t="str">
        <f>IFERROR(VLOOKUP(A183,#REF!,2,TRUE),"")</f>
        <v/>
      </c>
      <c r="G183">
        <v>7150</v>
      </c>
      <c r="H183" t="s">
        <v>2</v>
      </c>
      <c r="O183">
        <v>62</v>
      </c>
      <c r="P183" t="s">
        <v>37</v>
      </c>
      <c r="Q183">
        <v>50</v>
      </c>
      <c r="R183" t="s">
        <v>49</v>
      </c>
      <c r="S183" t="s">
        <v>33</v>
      </c>
      <c r="T183" t="s">
        <v>0</v>
      </c>
      <c r="U183">
        <v>0</v>
      </c>
    </row>
    <row r="184" spans="3:21" x14ac:dyDescent="0.3">
      <c r="C184" t="s">
        <v>48</v>
      </c>
      <c r="D184" s="18">
        <v>45961</v>
      </c>
      <c r="E184" t="str">
        <f>IFERROR(VLOOKUP(A184,#REF!,5,TRUE),"not found")</f>
        <v>not found</v>
      </c>
      <c r="F184" t="str">
        <f>IFERROR(VLOOKUP(A184,#REF!,2,TRUE),"")</f>
        <v/>
      </c>
      <c r="G184">
        <v>7150</v>
      </c>
      <c r="H184" t="s">
        <v>2</v>
      </c>
      <c r="O184">
        <v>62</v>
      </c>
      <c r="P184" t="s">
        <v>37</v>
      </c>
      <c r="Q184">
        <v>50</v>
      </c>
      <c r="R184" t="s">
        <v>49</v>
      </c>
      <c r="S184" t="s">
        <v>33</v>
      </c>
      <c r="T184" t="s">
        <v>0</v>
      </c>
      <c r="U184">
        <v>0</v>
      </c>
    </row>
    <row r="185" spans="3:21" x14ac:dyDescent="0.3">
      <c r="C185" t="s">
        <v>48</v>
      </c>
      <c r="D185" s="18">
        <v>45961</v>
      </c>
      <c r="E185" t="str">
        <f>IFERROR(VLOOKUP(A185,#REF!,5,TRUE),"not found")</f>
        <v>not found</v>
      </c>
      <c r="F185" t="str">
        <f>IFERROR(VLOOKUP(A185,#REF!,2,TRUE),"")</f>
        <v/>
      </c>
      <c r="G185">
        <v>7150</v>
      </c>
      <c r="H185" t="s">
        <v>2</v>
      </c>
      <c r="O185">
        <v>62</v>
      </c>
      <c r="P185" t="s">
        <v>37</v>
      </c>
      <c r="Q185">
        <v>50</v>
      </c>
      <c r="R185" t="s">
        <v>49</v>
      </c>
      <c r="S185" t="s">
        <v>33</v>
      </c>
      <c r="T185" t="s">
        <v>0</v>
      </c>
      <c r="U185">
        <v>0</v>
      </c>
    </row>
    <row r="186" spans="3:21" x14ac:dyDescent="0.3">
      <c r="C186" t="s">
        <v>48</v>
      </c>
      <c r="D186" s="18">
        <v>45961</v>
      </c>
      <c r="E186" t="str">
        <f>IFERROR(VLOOKUP(A186,#REF!,5,TRUE),"not found")</f>
        <v>not found</v>
      </c>
      <c r="F186" t="str">
        <f>IFERROR(VLOOKUP(A186,#REF!,2,TRUE),"")</f>
        <v/>
      </c>
      <c r="G186">
        <v>7150</v>
      </c>
      <c r="H186" t="s">
        <v>2</v>
      </c>
      <c r="O186">
        <v>62</v>
      </c>
      <c r="P186" t="s">
        <v>37</v>
      </c>
      <c r="Q186">
        <v>50</v>
      </c>
      <c r="R186" t="s">
        <v>49</v>
      </c>
      <c r="S186" t="s">
        <v>33</v>
      </c>
      <c r="T186" t="s">
        <v>0</v>
      </c>
      <c r="U186">
        <v>0</v>
      </c>
    </row>
    <row r="187" spans="3:21" x14ac:dyDescent="0.3">
      <c r="C187" t="s">
        <v>48</v>
      </c>
      <c r="D187" s="18">
        <v>45961</v>
      </c>
      <c r="E187" t="str">
        <f>IFERROR(VLOOKUP(A187,#REF!,5,TRUE),"not found")</f>
        <v>not found</v>
      </c>
      <c r="F187" t="str">
        <f>IFERROR(VLOOKUP(A187,#REF!,2,TRUE),"")</f>
        <v/>
      </c>
      <c r="G187">
        <v>7150</v>
      </c>
      <c r="H187" t="s">
        <v>2</v>
      </c>
      <c r="O187">
        <v>62</v>
      </c>
      <c r="P187" t="s">
        <v>37</v>
      </c>
      <c r="Q187">
        <v>50</v>
      </c>
      <c r="R187" t="s">
        <v>49</v>
      </c>
      <c r="S187" t="s">
        <v>33</v>
      </c>
      <c r="T187" t="s">
        <v>0</v>
      </c>
      <c r="U187">
        <v>0</v>
      </c>
    </row>
    <row r="188" spans="3:21" x14ac:dyDescent="0.3">
      <c r="C188" t="s">
        <v>48</v>
      </c>
      <c r="D188" s="18">
        <v>45961</v>
      </c>
      <c r="E188" t="str">
        <f>IFERROR(VLOOKUP(A188,#REF!,5,TRUE),"not found")</f>
        <v>not found</v>
      </c>
      <c r="F188" t="str">
        <f>IFERROR(VLOOKUP(A188,#REF!,2,TRUE),"")</f>
        <v/>
      </c>
      <c r="G188">
        <v>7150</v>
      </c>
      <c r="H188" t="s">
        <v>2</v>
      </c>
      <c r="O188">
        <v>62</v>
      </c>
      <c r="P188" t="s">
        <v>37</v>
      </c>
      <c r="Q188">
        <v>50</v>
      </c>
      <c r="R188" t="s">
        <v>49</v>
      </c>
      <c r="S188" t="s">
        <v>33</v>
      </c>
      <c r="T188" t="s">
        <v>0</v>
      </c>
      <c r="U188">
        <v>0</v>
      </c>
    </row>
    <row r="189" spans="3:21" x14ac:dyDescent="0.3">
      <c r="C189" t="s">
        <v>48</v>
      </c>
      <c r="D189" s="18">
        <v>45961</v>
      </c>
      <c r="E189" t="str">
        <f>IFERROR(VLOOKUP(A189,#REF!,5,TRUE),"not found")</f>
        <v>not found</v>
      </c>
      <c r="F189" t="str">
        <f>IFERROR(VLOOKUP(A189,#REF!,2,TRUE),"")</f>
        <v/>
      </c>
      <c r="G189">
        <v>7150</v>
      </c>
      <c r="H189" t="s">
        <v>2</v>
      </c>
      <c r="O189">
        <v>62</v>
      </c>
      <c r="P189" t="s">
        <v>37</v>
      </c>
      <c r="Q189">
        <v>50</v>
      </c>
      <c r="R189" t="s">
        <v>49</v>
      </c>
      <c r="S189" t="s">
        <v>33</v>
      </c>
      <c r="T189" t="s">
        <v>0</v>
      </c>
      <c r="U189">
        <v>0</v>
      </c>
    </row>
    <row r="190" spans="3:21" x14ac:dyDescent="0.3">
      <c r="C190" t="s">
        <v>48</v>
      </c>
      <c r="D190" s="18">
        <v>45961</v>
      </c>
      <c r="E190" t="str">
        <f>IFERROR(VLOOKUP(A190,#REF!,5,TRUE),"not found")</f>
        <v>not found</v>
      </c>
      <c r="F190" t="str">
        <f>IFERROR(VLOOKUP(A190,#REF!,2,TRUE),"")</f>
        <v/>
      </c>
      <c r="G190">
        <v>7150</v>
      </c>
      <c r="H190" t="s">
        <v>2</v>
      </c>
      <c r="O190">
        <v>62</v>
      </c>
      <c r="P190" t="s">
        <v>37</v>
      </c>
      <c r="Q190">
        <v>50</v>
      </c>
      <c r="R190" t="s">
        <v>49</v>
      </c>
      <c r="S190" t="s">
        <v>33</v>
      </c>
      <c r="T190" t="s">
        <v>0</v>
      </c>
      <c r="U190">
        <v>0</v>
      </c>
    </row>
    <row r="191" spans="3:21" x14ac:dyDescent="0.3">
      <c r="C191" t="s">
        <v>48</v>
      </c>
      <c r="D191" s="18">
        <v>45961</v>
      </c>
      <c r="E191" t="str">
        <f>IFERROR(VLOOKUP(A191,#REF!,5,TRUE),"not found")</f>
        <v>not found</v>
      </c>
      <c r="F191" t="str">
        <f>IFERROR(VLOOKUP(A191,#REF!,2,TRUE),"")</f>
        <v/>
      </c>
      <c r="G191">
        <v>7150</v>
      </c>
      <c r="H191" t="s">
        <v>2</v>
      </c>
      <c r="O191">
        <v>62</v>
      </c>
      <c r="P191" t="s">
        <v>37</v>
      </c>
      <c r="Q191">
        <v>50</v>
      </c>
      <c r="R191" t="s">
        <v>49</v>
      </c>
      <c r="S191" t="s">
        <v>33</v>
      </c>
      <c r="T191" t="s">
        <v>0</v>
      </c>
      <c r="U191">
        <v>0</v>
      </c>
    </row>
    <row r="192" spans="3:21" x14ac:dyDescent="0.3">
      <c r="C192" t="s">
        <v>48</v>
      </c>
      <c r="D192" s="18">
        <v>45961</v>
      </c>
      <c r="E192" t="str">
        <f>IFERROR(VLOOKUP(A192,#REF!,5,TRUE),"not found")</f>
        <v>not found</v>
      </c>
      <c r="F192" t="str">
        <f>IFERROR(VLOOKUP(A192,#REF!,2,TRUE),"")</f>
        <v/>
      </c>
      <c r="G192">
        <v>7150</v>
      </c>
      <c r="H192" t="s">
        <v>2</v>
      </c>
      <c r="O192">
        <v>62</v>
      </c>
      <c r="P192" t="s">
        <v>37</v>
      </c>
      <c r="Q192">
        <v>50</v>
      </c>
      <c r="R192" t="s">
        <v>49</v>
      </c>
      <c r="S192" t="s">
        <v>33</v>
      </c>
      <c r="T192" t="s">
        <v>0</v>
      </c>
      <c r="U192">
        <v>0</v>
      </c>
    </row>
    <row r="193" spans="3:21" x14ac:dyDescent="0.3">
      <c r="C193" t="s">
        <v>48</v>
      </c>
      <c r="D193" s="18">
        <v>45961</v>
      </c>
      <c r="E193" t="str">
        <f>IFERROR(VLOOKUP(A193,#REF!,5,TRUE),"not found")</f>
        <v>not found</v>
      </c>
      <c r="F193" t="str">
        <f>IFERROR(VLOOKUP(A193,#REF!,2,TRUE),"")</f>
        <v/>
      </c>
      <c r="G193">
        <v>7150</v>
      </c>
      <c r="H193" t="s">
        <v>2</v>
      </c>
      <c r="O193">
        <v>62</v>
      </c>
      <c r="P193" t="s">
        <v>37</v>
      </c>
      <c r="Q193">
        <v>50</v>
      </c>
      <c r="R193" t="s">
        <v>49</v>
      </c>
      <c r="S193" t="s">
        <v>33</v>
      </c>
      <c r="T193" t="s">
        <v>0</v>
      </c>
      <c r="U193">
        <v>0</v>
      </c>
    </row>
    <row r="194" spans="3:21" x14ac:dyDescent="0.3">
      <c r="C194" t="s">
        <v>48</v>
      </c>
      <c r="D194" s="18">
        <v>45961</v>
      </c>
      <c r="E194" t="str">
        <f>IFERROR(VLOOKUP(A194,#REF!,5,TRUE),"not found")</f>
        <v>not found</v>
      </c>
      <c r="F194" t="str">
        <f>IFERROR(VLOOKUP(A194,#REF!,2,TRUE),"")</f>
        <v/>
      </c>
      <c r="G194">
        <v>7150</v>
      </c>
      <c r="H194" t="s">
        <v>2</v>
      </c>
      <c r="O194">
        <v>62</v>
      </c>
      <c r="P194" t="s">
        <v>37</v>
      </c>
      <c r="Q194">
        <v>50</v>
      </c>
      <c r="R194" t="s">
        <v>49</v>
      </c>
      <c r="S194" t="s">
        <v>33</v>
      </c>
      <c r="T194" t="s">
        <v>0</v>
      </c>
      <c r="U194">
        <v>0</v>
      </c>
    </row>
    <row r="195" spans="3:21" x14ac:dyDescent="0.3">
      <c r="C195" t="s">
        <v>48</v>
      </c>
      <c r="D195" s="18">
        <v>45961</v>
      </c>
      <c r="E195" t="str">
        <f>IFERROR(VLOOKUP(A195,#REF!,5,TRUE),"not found")</f>
        <v>not found</v>
      </c>
      <c r="F195" t="str">
        <f>IFERROR(VLOOKUP(A195,#REF!,2,TRUE),"")</f>
        <v/>
      </c>
      <c r="G195">
        <v>7150</v>
      </c>
      <c r="H195" t="s">
        <v>2</v>
      </c>
      <c r="O195">
        <v>62</v>
      </c>
      <c r="P195" t="s">
        <v>37</v>
      </c>
      <c r="Q195">
        <v>50</v>
      </c>
      <c r="R195" t="s">
        <v>49</v>
      </c>
      <c r="S195" t="s">
        <v>33</v>
      </c>
      <c r="T195" t="s">
        <v>0</v>
      </c>
      <c r="U195">
        <v>0</v>
      </c>
    </row>
    <row r="196" spans="3:21" x14ac:dyDescent="0.3">
      <c r="C196" t="s">
        <v>48</v>
      </c>
      <c r="D196" s="18">
        <v>45961</v>
      </c>
      <c r="E196" t="str">
        <f>IFERROR(VLOOKUP(A196,#REF!,5,TRUE),"not found")</f>
        <v>not found</v>
      </c>
      <c r="F196" t="str">
        <f>IFERROR(VLOOKUP(A196,#REF!,2,TRUE),"")</f>
        <v/>
      </c>
      <c r="G196">
        <v>7150</v>
      </c>
      <c r="H196" t="s">
        <v>2</v>
      </c>
      <c r="O196">
        <v>62</v>
      </c>
      <c r="P196" t="s">
        <v>37</v>
      </c>
      <c r="Q196">
        <v>50</v>
      </c>
      <c r="R196" t="s">
        <v>49</v>
      </c>
      <c r="S196" t="s">
        <v>33</v>
      </c>
      <c r="T196" t="s">
        <v>0</v>
      </c>
      <c r="U196">
        <v>0</v>
      </c>
    </row>
    <row r="197" spans="3:21" x14ac:dyDescent="0.3">
      <c r="C197" t="s">
        <v>48</v>
      </c>
      <c r="D197" s="18">
        <v>45961</v>
      </c>
      <c r="E197" t="str">
        <f>IFERROR(VLOOKUP(A197,#REF!,5,TRUE),"not found")</f>
        <v>not found</v>
      </c>
      <c r="F197" t="str">
        <f>IFERROR(VLOOKUP(A197,#REF!,2,TRUE),"")</f>
        <v/>
      </c>
      <c r="G197">
        <v>7150</v>
      </c>
      <c r="H197" t="s">
        <v>2</v>
      </c>
      <c r="O197">
        <v>62</v>
      </c>
      <c r="P197" t="s">
        <v>37</v>
      </c>
      <c r="Q197">
        <v>50</v>
      </c>
      <c r="R197" t="s">
        <v>49</v>
      </c>
      <c r="S197" t="s">
        <v>33</v>
      </c>
      <c r="T197" t="s">
        <v>0</v>
      </c>
      <c r="U197">
        <v>0</v>
      </c>
    </row>
    <row r="198" spans="3:21" x14ac:dyDescent="0.3">
      <c r="C198" t="s">
        <v>48</v>
      </c>
      <c r="D198" s="18">
        <v>45961</v>
      </c>
      <c r="E198" t="str">
        <f>IFERROR(VLOOKUP(A198,#REF!,5,TRUE),"not found")</f>
        <v>not found</v>
      </c>
      <c r="F198" t="str">
        <f>IFERROR(VLOOKUP(A198,#REF!,2,TRUE),"")</f>
        <v/>
      </c>
      <c r="G198">
        <v>7150</v>
      </c>
      <c r="H198" t="s">
        <v>2</v>
      </c>
      <c r="O198">
        <v>62</v>
      </c>
      <c r="P198" t="s">
        <v>37</v>
      </c>
      <c r="Q198">
        <v>50</v>
      </c>
      <c r="R198" t="s">
        <v>49</v>
      </c>
      <c r="S198" t="s">
        <v>33</v>
      </c>
      <c r="T198" t="s">
        <v>0</v>
      </c>
      <c r="U198">
        <v>0</v>
      </c>
    </row>
    <row r="199" spans="3:21" x14ac:dyDescent="0.3">
      <c r="C199" t="s">
        <v>48</v>
      </c>
      <c r="D199" s="18">
        <v>45961</v>
      </c>
      <c r="E199" t="str">
        <f>IFERROR(VLOOKUP(A199,#REF!,5,TRUE),"not found")</f>
        <v>not found</v>
      </c>
      <c r="F199" t="str">
        <f>IFERROR(VLOOKUP(A199,#REF!,2,TRUE),"")</f>
        <v/>
      </c>
      <c r="G199">
        <v>7150</v>
      </c>
      <c r="H199" t="s">
        <v>2</v>
      </c>
      <c r="O199">
        <v>62</v>
      </c>
      <c r="P199" t="s">
        <v>37</v>
      </c>
      <c r="Q199">
        <v>50</v>
      </c>
      <c r="R199" t="s">
        <v>49</v>
      </c>
      <c r="S199" t="s">
        <v>33</v>
      </c>
      <c r="T199" t="s">
        <v>0</v>
      </c>
      <c r="U199">
        <v>0</v>
      </c>
    </row>
    <row r="200" spans="3:21" x14ac:dyDescent="0.3">
      <c r="C200" t="s">
        <v>48</v>
      </c>
      <c r="D200" s="18">
        <v>45961</v>
      </c>
      <c r="E200" t="str">
        <f>IFERROR(VLOOKUP(A200,#REF!,5,TRUE),"not found")</f>
        <v>not found</v>
      </c>
      <c r="F200" t="str">
        <f>IFERROR(VLOOKUP(A200,#REF!,2,TRUE),"")</f>
        <v/>
      </c>
      <c r="G200">
        <v>7150</v>
      </c>
      <c r="H200" t="s">
        <v>2</v>
      </c>
      <c r="O200">
        <v>62</v>
      </c>
      <c r="P200" t="s">
        <v>37</v>
      </c>
      <c r="Q200">
        <v>50</v>
      </c>
      <c r="R200" t="s">
        <v>49</v>
      </c>
      <c r="S200" t="s">
        <v>33</v>
      </c>
      <c r="T200" t="s">
        <v>0</v>
      </c>
      <c r="U200">
        <v>0</v>
      </c>
    </row>
    <row r="201" spans="3:21" x14ac:dyDescent="0.3">
      <c r="C201" t="s">
        <v>48</v>
      </c>
      <c r="D201" s="18">
        <v>45961</v>
      </c>
      <c r="E201" t="str">
        <f>IFERROR(VLOOKUP(A201,#REF!,5,TRUE),"not found")</f>
        <v>not found</v>
      </c>
      <c r="F201" t="str">
        <f>IFERROR(VLOOKUP(A201,#REF!,2,TRUE),"")</f>
        <v/>
      </c>
      <c r="G201">
        <v>7150</v>
      </c>
      <c r="H201" t="s">
        <v>2</v>
      </c>
      <c r="O201">
        <v>62</v>
      </c>
      <c r="P201" t="s">
        <v>37</v>
      </c>
      <c r="Q201">
        <v>50</v>
      </c>
      <c r="R201" t="s">
        <v>49</v>
      </c>
      <c r="S201" t="s">
        <v>33</v>
      </c>
      <c r="T201" t="s">
        <v>0</v>
      </c>
      <c r="U201">
        <v>0</v>
      </c>
    </row>
    <row r="202" spans="3:21" x14ac:dyDescent="0.3">
      <c r="C202" t="s">
        <v>48</v>
      </c>
      <c r="D202" s="18">
        <v>45961</v>
      </c>
      <c r="E202" t="str">
        <f>IFERROR(VLOOKUP(A202,#REF!,5,TRUE),"not found")</f>
        <v>not found</v>
      </c>
      <c r="F202" t="str">
        <f>IFERROR(VLOOKUP(A202,#REF!,2,TRUE),"")</f>
        <v/>
      </c>
      <c r="G202">
        <v>7150</v>
      </c>
      <c r="H202" t="s">
        <v>2</v>
      </c>
      <c r="O202">
        <v>62</v>
      </c>
      <c r="P202" t="s">
        <v>37</v>
      </c>
      <c r="Q202">
        <v>50</v>
      </c>
      <c r="R202" t="s">
        <v>49</v>
      </c>
      <c r="S202" t="s">
        <v>33</v>
      </c>
      <c r="T202" t="s">
        <v>0</v>
      </c>
      <c r="U202">
        <v>0</v>
      </c>
    </row>
    <row r="203" spans="3:21" x14ac:dyDescent="0.3">
      <c r="C203" t="s">
        <v>48</v>
      </c>
      <c r="D203" s="18">
        <v>45961</v>
      </c>
      <c r="E203" t="str">
        <f>IFERROR(VLOOKUP(A203,#REF!,5,TRUE),"not found")</f>
        <v>not found</v>
      </c>
      <c r="F203" t="str">
        <f>IFERROR(VLOOKUP(A203,#REF!,2,TRUE),"")</f>
        <v/>
      </c>
      <c r="G203">
        <v>7150</v>
      </c>
      <c r="H203" t="s">
        <v>2</v>
      </c>
      <c r="O203">
        <v>62</v>
      </c>
      <c r="P203" t="s">
        <v>37</v>
      </c>
      <c r="Q203">
        <v>50</v>
      </c>
      <c r="R203" t="s">
        <v>49</v>
      </c>
      <c r="S203" t="s">
        <v>33</v>
      </c>
      <c r="T203" t="s">
        <v>0</v>
      </c>
      <c r="U203">
        <v>0</v>
      </c>
    </row>
    <row r="204" spans="3:21" x14ac:dyDescent="0.3">
      <c r="C204" t="s">
        <v>48</v>
      </c>
      <c r="D204" s="18">
        <v>45961</v>
      </c>
      <c r="E204" t="str">
        <f>IFERROR(VLOOKUP(A204,#REF!,5,TRUE),"not found")</f>
        <v>not found</v>
      </c>
      <c r="F204" t="str">
        <f>IFERROR(VLOOKUP(A204,#REF!,2,TRUE),"")</f>
        <v/>
      </c>
      <c r="G204">
        <v>7150</v>
      </c>
      <c r="H204" t="s">
        <v>2</v>
      </c>
      <c r="O204">
        <v>62</v>
      </c>
      <c r="P204" t="s">
        <v>37</v>
      </c>
      <c r="Q204">
        <v>50</v>
      </c>
      <c r="R204" t="s">
        <v>49</v>
      </c>
      <c r="S204" t="s">
        <v>33</v>
      </c>
      <c r="T204" t="s">
        <v>0</v>
      </c>
      <c r="U204">
        <v>0</v>
      </c>
    </row>
    <row r="205" spans="3:21" x14ac:dyDescent="0.3">
      <c r="C205" t="s">
        <v>48</v>
      </c>
      <c r="D205" s="18">
        <v>45961</v>
      </c>
      <c r="E205" t="str">
        <f>IFERROR(VLOOKUP(A205,#REF!,5,TRUE),"not found")</f>
        <v>not found</v>
      </c>
      <c r="F205" t="str">
        <f>IFERROR(VLOOKUP(A205,#REF!,2,TRUE),"")</f>
        <v/>
      </c>
      <c r="G205">
        <v>7150</v>
      </c>
      <c r="H205" t="s">
        <v>2</v>
      </c>
      <c r="O205">
        <v>62</v>
      </c>
      <c r="P205" t="s">
        <v>37</v>
      </c>
      <c r="Q205">
        <v>50</v>
      </c>
      <c r="R205" t="s">
        <v>49</v>
      </c>
      <c r="S205" t="s">
        <v>33</v>
      </c>
      <c r="T205" t="s">
        <v>0</v>
      </c>
      <c r="U205">
        <v>0</v>
      </c>
    </row>
    <row r="206" spans="3:21" x14ac:dyDescent="0.3">
      <c r="C206" t="s">
        <v>48</v>
      </c>
      <c r="D206" s="18">
        <v>45961</v>
      </c>
      <c r="E206" t="str">
        <f>IFERROR(VLOOKUP(A206,#REF!,5,TRUE),"not found")</f>
        <v>not found</v>
      </c>
      <c r="F206" t="str">
        <f>IFERROR(VLOOKUP(A206,#REF!,2,TRUE),"")</f>
        <v/>
      </c>
      <c r="G206">
        <v>7150</v>
      </c>
      <c r="H206" t="s">
        <v>2</v>
      </c>
      <c r="O206">
        <v>62</v>
      </c>
      <c r="P206" t="s">
        <v>37</v>
      </c>
      <c r="Q206">
        <v>50</v>
      </c>
      <c r="R206" t="s">
        <v>49</v>
      </c>
      <c r="S206" t="s">
        <v>33</v>
      </c>
      <c r="T206" t="s">
        <v>0</v>
      </c>
      <c r="U206">
        <v>0</v>
      </c>
    </row>
    <row r="207" spans="3:21" x14ac:dyDescent="0.3">
      <c r="C207" t="s">
        <v>48</v>
      </c>
      <c r="D207" s="18">
        <v>45961</v>
      </c>
      <c r="E207" t="str">
        <f>IFERROR(VLOOKUP(A207,#REF!,5,TRUE),"not found")</f>
        <v>not found</v>
      </c>
      <c r="F207" t="str">
        <f>IFERROR(VLOOKUP(A207,#REF!,2,TRUE),"")</f>
        <v/>
      </c>
      <c r="G207">
        <v>7150</v>
      </c>
      <c r="H207" t="s">
        <v>2</v>
      </c>
      <c r="O207">
        <v>62</v>
      </c>
      <c r="P207" t="s">
        <v>37</v>
      </c>
      <c r="Q207">
        <v>50</v>
      </c>
      <c r="R207" t="s">
        <v>49</v>
      </c>
      <c r="S207" t="s">
        <v>33</v>
      </c>
      <c r="T207" t="s">
        <v>0</v>
      </c>
      <c r="U207">
        <v>0</v>
      </c>
    </row>
    <row r="208" spans="3:21" x14ac:dyDescent="0.3">
      <c r="C208" t="s">
        <v>48</v>
      </c>
      <c r="D208" s="18">
        <v>45961</v>
      </c>
      <c r="E208" t="str">
        <f>IFERROR(VLOOKUP(A208,#REF!,5,TRUE),"not found")</f>
        <v>not found</v>
      </c>
      <c r="F208" t="str">
        <f>IFERROR(VLOOKUP(A208,#REF!,2,TRUE),"")</f>
        <v/>
      </c>
      <c r="G208">
        <v>7150</v>
      </c>
      <c r="H208" t="s">
        <v>2</v>
      </c>
      <c r="O208">
        <v>62</v>
      </c>
      <c r="P208" t="s">
        <v>37</v>
      </c>
      <c r="Q208">
        <v>50</v>
      </c>
      <c r="R208" t="s">
        <v>49</v>
      </c>
      <c r="S208" t="s">
        <v>33</v>
      </c>
      <c r="T208" t="s">
        <v>0</v>
      </c>
      <c r="U208">
        <v>0</v>
      </c>
    </row>
    <row r="209" spans="3:21" x14ac:dyDescent="0.3">
      <c r="C209" t="s">
        <v>48</v>
      </c>
      <c r="D209" s="18">
        <v>45961</v>
      </c>
      <c r="E209" t="str">
        <f>IFERROR(VLOOKUP(A209,#REF!,5,TRUE),"not found")</f>
        <v>not found</v>
      </c>
      <c r="F209" t="str">
        <f>IFERROR(VLOOKUP(A209,#REF!,2,TRUE),"")</f>
        <v/>
      </c>
      <c r="G209">
        <v>7150</v>
      </c>
      <c r="H209" t="s">
        <v>2</v>
      </c>
      <c r="O209">
        <v>62</v>
      </c>
      <c r="P209" t="s">
        <v>37</v>
      </c>
      <c r="Q209">
        <v>50</v>
      </c>
      <c r="R209" t="s">
        <v>49</v>
      </c>
      <c r="S209" t="s">
        <v>33</v>
      </c>
      <c r="T209" t="s">
        <v>0</v>
      </c>
      <c r="U209">
        <v>0</v>
      </c>
    </row>
    <row r="210" spans="3:21" x14ac:dyDescent="0.3">
      <c r="C210" t="s">
        <v>48</v>
      </c>
      <c r="D210" s="18">
        <v>45961</v>
      </c>
      <c r="E210" t="str">
        <f>IFERROR(VLOOKUP(A210,#REF!,5,TRUE),"not found")</f>
        <v>not found</v>
      </c>
      <c r="F210" t="str">
        <f>IFERROR(VLOOKUP(A210,#REF!,2,TRUE),"")</f>
        <v/>
      </c>
      <c r="G210">
        <v>7150</v>
      </c>
      <c r="H210" t="s">
        <v>2</v>
      </c>
      <c r="O210">
        <v>62</v>
      </c>
      <c r="P210" t="s">
        <v>37</v>
      </c>
      <c r="Q210">
        <v>50</v>
      </c>
      <c r="R210" t="s">
        <v>49</v>
      </c>
      <c r="S210" t="s">
        <v>33</v>
      </c>
      <c r="T210" t="s">
        <v>0</v>
      </c>
      <c r="U210">
        <v>0</v>
      </c>
    </row>
    <row r="211" spans="3:21" x14ac:dyDescent="0.3">
      <c r="C211" t="s">
        <v>48</v>
      </c>
      <c r="D211" s="18">
        <v>45961</v>
      </c>
      <c r="E211" t="str">
        <f>IFERROR(VLOOKUP(A211,#REF!,5,TRUE),"not found")</f>
        <v>not found</v>
      </c>
      <c r="F211" t="str">
        <f>IFERROR(VLOOKUP(A211,#REF!,2,TRUE),"")</f>
        <v/>
      </c>
      <c r="G211">
        <v>7150</v>
      </c>
      <c r="H211" t="s">
        <v>2</v>
      </c>
      <c r="O211">
        <v>62</v>
      </c>
      <c r="P211" t="s">
        <v>37</v>
      </c>
      <c r="Q211">
        <v>50</v>
      </c>
      <c r="R211" t="s">
        <v>49</v>
      </c>
      <c r="S211" t="s">
        <v>33</v>
      </c>
      <c r="T211" t="s">
        <v>0</v>
      </c>
      <c r="U211">
        <v>0</v>
      </c>
    </row>
    <row r="212" spans="3:21" x14ac:dyDescent="0.3">
      <c r="C212" t="s">
        <v>48</v>
      </c>
      <c r="D212" s="18">
        <v>45961</v>
      </c>
      <c r="E212" t="str">
        <f>IFERROR(VLOOKUP(A212,#REF!,5,TRUE),"not found")</f>
        <v>not found</v>
      </c>
      <c r="F212" t="str">
        <f>IFERROR(VLOOKUP(A212,#REF!,2,TRUE),"")</f>
        <v/>
      </c>
      <c r="G212">
        <v>7150</v>
      </c>
      <c r="H212" t="s">
        <v>2</v>
      </c>
      <c r="O212">
        <v>62</v>
      </c>
      <c r="P212" t="s">
        <v>37</v>
      </c>
      <c r="Q212">
        <v>50</v>
      </c>
      <c r="R212" t="s">
        <v>49</v>
      </c>
      <c r="S212" t="s">
        <v>33</v>
      </c>
      <c r="T212" t="s">
        <v>0</v>
      </c>
      <c r="U212">
        <v>0</v>
      </c>
    </row>
    <row r="213" spans="3:21" x14ac:dyDescent="0.3">
      <c r="C213" t="s">
        <v>48</v>
      </c>
      <c r="D213" s="18">
        <v>45961</v>
      </c>
      <c r="E213" t="str">
        <f>IFERROR(VLOOKUP(A213,#REF!,5,TRUE),"not found")</f>
        <v>not found</v>
      </c>
      <c r="F213" t="str">
        <f>IFERROR(VLOOKUP(A213,#REF!,2,TRUE),"")</f>
        <v/>
      </c>
      <c r="G213">
        <v>7150</v>
      </c>
      <c r="H213" t="s">
        <v>2</v>
      </c>
      <c r="O213">
        <v>62</v>
      </c>
      <c r="P213" t="s">
        <v>37</v>
      </c>
      <c r="Q213">
        <v>50</v>
      </c>
      <c r="R213" t="s">
        <v>49</v>
      </c>
      <c r="S213" t="s">
        <v>33</v>
      </c>
      <c r="T213" t="s">
        <v>0</v>
      </c>
      <c r="U213">
        <v>0</v>
      </c>
    </row>
    <row r="214" spans="3:21" x14ac:dyDescent="0.3">
      <c r="C214" t="s">
        <v>48</v>
      </c>
      <c r="D214" s="18">
        <v>45961</v>
      </c>
      <c r="E214" t="str">
        <f>IFERROR(VLOOKUP(A214,#REF!,5,TRUE),"not found")</f>
        <v>not found</v>
      </c>
      <c r="F214" t="str">
        <f>IFERROR(VLOOKUP(A214,#REF!,2,TRUE),"")</f>
        <v/>
      </c>
      <c r="G214">
        <v>7150</v>
      </c>
      <c r="H214" t="s">
        <v>2</v>
      </c>
      <c r="O214">
        <v>62</v>
      </c>
      <c r="P214" t="s">
        <v>37</v>
      </c>
      <c r="Q214">
        <v>50</v>
      </c>
      <c r="R214" t="s">
        <v>49</v>
      </c>
      <c r="S214" t="s">
        <v>33</v>
      </c>
      <c r="T214" t="s">
        <v>0</v>
      </c>
      <c r="U214">
        <v>0</v>
      </c>
    </row>
    <row r="215" spans="3:21" x14ac:dyDescent="0.3">
      <c r="C215" t="s">
        <v>48</v>
      </c>
      <c r="D215" s="18">
        <v>45961</v>
      </c>
      <c r="E215" t="str">
        <f>IFERROR(VLOOKUP(A215,#REF!,5,TRUE),"not found")</f>
        <v>not found</v>
      </c>
      <c r="F215" t="str">
        <f>IFERROR(VLOOKUP(A215,#REF!,2,TRUE),"")</f>
        <v/>
      </c>
      <c r="G215">
        <v>7150</v>
      </c>
      <c r="H215" t="s">
        <v>2</v>
      </c>
      <c r="O215">
        <v>62</v>
      </c>
      <c r="P215" t="s">
        <v>37</v>
      </c>
      <c r="Q215">
        <v>50</v>
      </c>
      <c r="R215" t="s">
        <v>49</v>
      </c>
      <c r="S215" t="s">
        <v>33</v>
      </c>
      <c r="T215" t="s">
        <v>0</v>
      </c>
      <c r="U215">
        <v>0</v>
      </c>
    </row>
    <row r="216" spans="3:21" x14ac:dyDescent="0.3">
      <c r="C216" t="s">
        <v>48</v>
      </c>
      <c r="D216" s="18">
        <v>45961</v>
      </c>
      <c r="E216" t="str">
        <f>IFERROR(VLOOKUP(A216,#REF!,5,TRUE),"not found")</f>
        <v>not found</v>
      </c>
      <c r="F216" t="str">
        <f>IFERROR(VLOOKUP(A216,#REF!,2,TRUE),"")</f>
        <v/>
      </c>
      <c r="G216">
        <v>7150</v>
      </c>
      <c r="H216" t="s">
        <v>2</v>
      </c>
      <c r="O216">
        <v>62</v>
      </c>
      <c r="P216" t="s">
        <v>37</v>
      </c>
      <c r="Q216">
        <v>50</v>
      </c>
      <c r="R216" t="s">
        <v>49</v>
      </c>
      <c r="S216" t="s">
        <v>33</v>
      </c>
      <c r="T216" t="s">
        <v>0</v>
      </c>
      <c r="U216">
        <v>0</v>
      </c>
    </row>
    <row r="217" spans="3:21" x14ac:dyDescent="0.3">
      <c r="C217" t="s">
        <v>48</v>
      </c>
      <c r="D217" s="18">
        <v>45961</v>
      </c>
      <c r="E217" t="str">
        <f>IFERROR(VLOOKUP(A217,#REF!,5,TRUE),"not found")</f>
        <v>not found</v>
      </c>
      <c r="F217" t="str">
        <f>IFERROR(VLOOKUP(A217,#REF!,2,TRUE),"")</f>
        <v/>
      </c>
      <c r="G217">
        <v>7150</v>
      </c>
      <c r="H217" t="s">
        <v>2</v>
      </c>
      <c r="O217">
        <v>62</v>
      </c>
      <c r="P217" t="s">
        <v>37</v>
      </c>
      <c r="Q217">
        <v>50</v>
      </c>
      <c r="R217" t="s">
        <v>49</v>
      </c>
      <c r="S217" t="s">
        <v>33</v>
      </c>
      <c r="T217" t="s">
        <v>0</v>
      </c>
      <c r="U217">
        <v>0</v>
      </c>
    </row>
    <row r="218" spans="3:21" x14ac:dyDescent="0.3">
      <c r="C218" t="s">
        <v>48</v>
      </c>
      <c r="D218" s="18">
        <v>45961</v>
      </c>
      <c r="E218" t="str">
        <f>IFERROR(VLOOKUP(A218,#REF!,5,TRUE),"not found")</f>
        <v>not found</v>
      </c>
      <c r="F218" t="str">
        <f>IFERROR(VLOOKUP(A218,#REF!,2,TRUE),"")</f>
        <v/>
      </c>
      <c r="G218">
        <v>7150</v>
      </c>
      <c r="H218" t="s">
        <v>2</v>
      </c>
      <c r="O218">
        <v>62</v>
      </c>
      <c r="P218" t="s">
        <v>37</v>
      </c>
      <c r="Q218">
        <v>50</v>
      </c>
      <c r="R218" t="s">
        <v>49</v>
      </c>
      <c r="S218" t="s">
        <v>33</v>
      </c>
      <c r="T218" t="s">
        <v>0</v>
      </c>
      <c r="U218">
        <v>0</v>
      </c>
    </row>
    <row r="219" spans="3:21" x14ac:dyDescent="0.3">
      <c r="C219" t="s">
        <v>48</v>
      </c>
      <c r="D219" s="18">
        <v>45961</v>
      </c>
      <c r="E219" t="str">
        <f>IFERROR(VLOOKUP(A219,#REF!,5,TRUE),"not found")</f>
        <v>not found</v>
      </c>
      <c r="F219" t="str">
        <f>IFERROR(VLOOKUP(A219,#REF!,2,TRUE),"")</f>
        <v/>
      </c>
      <c r="G219">
        <v>7150</v>
      </c>
      <c r="H219" t="s">
        <v>2</v>
      </c>
      <c r="O219">
        <v>62</v>
      </c>
      <c r="P219" t="s">
        <v>37</v>
      </c>
      <c r="Q219">
        <v>50</v>
      </c>
      <c r="R219" t="s">
        <v>49</v>
      </c>
      <c r="S219" t="s">
        <v>33</v>
      </c>
      <c r="T219" t="s">
        <v>0</v>
      </c>
      <c r="U219">
        <v>0</v>
      </c>
    </row>
    <row r="220" spans="3:21" x14ac:dyDescent="0.3">
      <c r="C220" t="s">
        <v>48</v>
      </c>
      <c r="D220" s="18">
        <v>45961</v>
      </c>
      <c r="E220" t="str">
        <f>IFERROR(VLOOKUP(A220,#REF!,5,TRUE),"not found")</f>
        <v>not found</v>
      </c>
      <c r="F220" t="str">
        <f>IFERROR(VLOOKUP(A220,#REF!,2,TRUE),"")</f>
        <v/>
      </c>
      <c r="G220">
        <v>7150</v>
      </c>
      <c r="H220" t="s">
        <v>2</v>
      </c>
      <c r="O220">
        <v>62</v>
      </c>
      <c r="P220" t="s">
        <v>37</v>
      </c>
      <c r="Q220">
        <v>50</v>
      </c>
      <c r="R220" t="s">
        <v>49</v>
      </c>
      <c r="S220" t="s">
        <v>33</v>
      </c>
      <c r="T220" t="s">
        <v>0</v>
      </c>
      <c r="U220">
        <v>0</v>
      </c>
    </row>
    <row r="221" spans="3:21" x14ac:dyDescent="0.3">
      <c r="C221" t="s">
        <v>48</v>
      </c>
      <c r="D221" s="18">
        <v>45961</v>
      </c>
      <c r="E221" t="str">
        <f>IFERROR(VLOOKUP(A221,#REF!,5,TRUE),"not found")</f>
        <v>not found</v>
      </c>
      <c r="F221" t="str">
        <f>IFERROR(VLOOKUP(A221,#REF!,2,TRUE),"")</f>
        <v/>
      </c>
      <c r="G221">
        <v>7150</v>
      </c>
      <c r="H221" t="s">
        <v>2</v>
      </c>
      <c r="O221">
        <v>62</v>
      </c>
      <c r="P221" t="s">
        <v>37</v>
      </c>
      <c r="Q221">
        <v>50</v>
      </c>
      <c r="R221" t="s">
        <v>49</v>
      </c>
      <c r="S221" t="s">
        <v>33</v>
      </c>
      <c r="T221" t="s">
        <v>0</v>
      </c>
      <c r="U221">
        <v>0</v>
      </c>
    </row>
    <row r="222" spans="3:21" x14ac:dyDescent="0.3">
      <c r="C222" t="s">
        <v>48</v>
      </c>
      <c r="D222" s="18">
        <v>45961</v>
      </c>
      <c r="E222" t="str">
        <f>IFERROR(VLOOKUP(A222,#REF!,5,TRUE),"not found")</f>
        <v>not found</v>
      </c>
      <c r="F222" t="str">
        <f>IFERROR(VLOOKUP(A222,#REF!,2,TRUE),"")</f>
        <v/>
      </c>
      <c r="G222">
        <v>7150</v>
      </c>
      <c r="H222" t="s">
        <v>2</v>
      </c>
      <c r="O222">
        <v>62</v>
      </c>
      <c r="P222" t="s">
        <v>37</v>
      </c>
      <c r="Q222">
        <v>50</v>
      </c>
      <c r="R222" t="s">
        <v>49</v>
      </c>
      <c r="S222" t="s">
        <v>33</v>
      </c>
      <c r="T222" t="s">
        <v>0</v>
      </c>
      <c r="U222">
        <v>0</v>
      </c>
    </row>
    <row r="223" spans="3:21" x14ac:dyDescent="0.3">
      <c r="C223" t="s">
        <v>48</v>
      </c>
      <c r="D223" s="18">
        <v>45961</v>
      </c>
      <c r="E223" t="str">
        <f>IFERROR(VLOOKUP(A223,#REF!,5,TRUE),"not found")</f>
        <v>not found</v>
      </c>
      <c r="F223" t="str">
        <f>IFERROR(VLOOKUP(A223,#REF!,2,TRUE),"")</f>
        <v/>
      </c>
      <c r="G223">
        <v>7150</v>
      </c>
      <c r="H223" t="s">
        <v>2</v>
      </c>
      <c r="O223">
        <v>62</v>
      </c>
      <c r="P223" t="s">
        <v>37</v>
      </c>
      <c r="Q223">
        <v>50</v>
      </c>
      <c r="R223" t="s">
        <v>49</v>
      </c>
      <c r="S223" t="s">
        <v>33</v>
      </c>
      <c r="T223" t="s">
        <v>0</v>
      </c>
      <c r="U223">
        <v>0</v>
      </c>
    </row>
    <row r="224" spans="3:21" x14ac:dyDescent="0.3">
      <c r="C224" t="s">
        <v>48</v>
      </c>
      <c r="D224" s="18">
        <v>45961</v>
      </c>
      <c r="E224" t="str">
        <f>IFERROR(VLOOKUP(A224,#REF!,5,TRUE),"not found")</f>
        <v>not found</v>
      </c>
      <c r="F224" t="str">
        <f>IFERROR(VLOOKUP(A224,#REF!,2,TRUE),"")</f>
        <v/>
      </c>
      <c r="G224">
        <v>7150</v>
      </c>
      <c r="H224" t="s">
        <v>2</v>
      </c>
      <c r="O224">
        <v>62</v>
      </c>
      <c r="P224" t="s">
        <v>37</v>
      </c>
      <c r="Q224">
        <v>50</v>
      </c>
      <c r="R224" t="s">
        <v>49</v>
      </c>
      <c r="S224" t="s">
        <v>33</v>
      </c>
      <c r="T224" t="s">
        <v>0</v>
      </c>
      <c r="U224">
        <v>0</v>
      </c>
    </row>
    <row r="225" spans="3:21" x14ac:dyDescent="0.3">
      <c r="C225" t="s">
        <v>48</v>
      </c>
      <c r="D225" s="18">
        <v>45961</v>
      </c>
      <c r="E225" t="str">
        <f>IFERROR(VLOOKUP(A225,#REF!,5,TRUE),"not found")</f>
        <v>not found</v>
      </c>
      <c r="F225" t="str">
        <f>IFERROR(VLOOKUP(A225,#REF!,2,TRUE),"")</f>
        <v/>
      </c>
      <c r="G225">
        <v>7150</v>
      </c>
      <c r="H225" t="s">
        <v>2</v>
      </c>
      <c r="O225">
        <v>62</v>
      </c>
      <c r="P225" t="s">
        <v>37</v>
      </c>
      <c r="Q225">
        <v>50</v>
      </c>
      <c r="R225" t="s">
        <v>49</v>
      </c>
      <c r="S225" t="s">
        <v>33</v>
      </c>
      <c r="T225" t="s">
        <v>0</v>
      </c>
      <c r="U225">
        <v>0</v>
      </c>
    </row>
    <row r="226" spans="3:21" x14ac:dyDescent="0.3">
      <c r="C226" t="s">
        <v>48</v>
      </c>
      <c r="D226" s="18">
        <v>45961</v>
      </c>
      <c r="E226" t="str">
        <f>IFERROR(VLOOKUP(A226,#REF!,5,TRUE),"not found")</f>
        <v>not found</v>
      </c>
      <c r="F226" t="str">
        <f>IFERROR(VLOOKUP(A226,#REF!,2,TRUE),"")</f>
        <v/>
      </c>
      <c r="G226">
        <v>7150</v>
      </c>
      <c r="H226" t="s">
        <v>2</v>
      </c>
      <c r="O226">
        <v>62</v>
      </c>
      <c r="P226" t="s">
        <v>37</v>
      </c>
      <c r="Q226">
        <v>50</v>
      </c>
      <c r="R226" t="s">
        <v>49</v>
      </c>
      <c r="S226" t="s">
        <v>33</v>
      </c>
      <c r="T226" t="s">
        <v>0</v>
      </c>
      <c r="U226">
        <v>0</v>
      </c>
    </row>
    <row r="227" spans="3:21" x14ac:dyDescent="0.3">
      <c r="C227" t="s">
        <v>48</v>
      </c>
      <c r="D227" s="18">
        <v>45961</v>
      </c>
      <c r="E227" t="str">
        <f>IFERROR(VLOOKUP(A227,#REF!,5,TRUE),"not found")</f>
        <v>not found</v>
      </c>
      <c r="F227" t="str">
        <f>IFERROR(VLOOKUP(A227,#REF!,2,TRUE),"")</f>
        <v/>
      </c>
      <c r="G227">
        <v>7150</v>
      </c>
      <c r="H227" t="s">
        <v>2</v>
      </c>
      <c r="O227">
        <v>62</v>
      </c>
      <c r="P227" t="s">
        <v>37</v>
      </c>
      <c r="Q227">
        <v>50</v>
      </c>
      <c r="R227" t="s">
        <v>49</v>
      </c>
      <c r="S227" t="s">
        <v>33</v>
      </c>
      <c r="T227" t="s">
        <v>0</v>
      </c>
      <c r="U227">
        <v>0</v>
      </c>
    </row>
    <row r="228" spans="3:21" x14ac:dyDescent="0.3">
      <c r="C228" t="s">
        <v>48</v>
      </c>
      <c r="D228" s="18">
        <v>45961</v>
      </c>
      <c r="E228" t="str">
        <f>IFERROR(VLOOKUP(A228,#REF!,5,TRUE),"not found")</f>
        <v>not found</v>
      </c>
      <c r="F228" t="str">
        <f>IFERROR(VLOOKUP(A228,#REF!,2,TRUE),"")</f>
        <v/>
      </c>
      <c r="G228">
        <v>7150</v>
      </c>
      <c r="H228" t="s">
        <v>2</v>
      </c>
      <c r="O228">
        <v>62</v>
      </c>
      <c r="P228" t="s">
        <v>37</v>
      </c>
      <c r="Q228">
        <v>50</v>
      </c>
      <c r="R228" t="s">
        <v>49</v>
      </c>
      <c r="S228" t="s">
        <v>33</v>
      </c>
      <c r="T228" t="s">
        <v>0</v>
      </c>
      <c r="U228">
        <v>0</v>
      </c>
    </row>
    <row r="229" spans="3:21" x14ac:dyDescent="0.3">
      <c r="C229" t="s">
        <v>48</v>
      </c>
      <c r="D229" s="18">
        <v>45961</v>
      </c>
      <c r="E229" t="str">
        <f>IFERROR(VLOOKUP(A229,#REF!,5,TRUE),"not found")</f>
        <v>not found</v>
      </c>
      <c r="F229" t="str">
        <f>IFERROR(VLOOKUP(A229,#REF!,2,TRUE),"")</f>
        <v/>
      </c>
      <c r="G229">
        <v>7150</v>
      </c>
      <c r="H229" t="s">
        <v>2</v>
      </c>
      <c r="O229">
        <v>62</v>
      </c>
      <c r="P229" t="s">
        <v>37</v>
      </c>
      <c r="Q229">
        <v>50</v>
      </c>
      <c r="R229" t="s">
        <v>49</v>
      </c>
      <c r="S229" t="s">
        <v>33</v>
      </c>
      <c r="T229" t="s">
        <v>0</v>
      </c>
      <c r="U229">
        <v>0</v>
      </c>
    </row>
    <row r="230" spans="3:21" x14ac:dyDescent="0.3">
      <c r="C230" t="s">
        <v>48</v>
      </c>
      <c r="D230" s="18">
        <v>45961</v>
      </c>
      <c r="E230" t="str">
        <f>IFERROR(VLOOKUP(A230,#REF!,5,TRUE),"not found")</f>
        <v>not found</v>
      </c>
      <c r="F230" t="str">
        <f>IFERROR(VLOOKUP(A230,#REF!,2,TRUE),"")</f>
        <v/>
      </c>
      <c r="G230">
        <v>7150</v>
      </c>
      <c r="H230" t="s">
        <v>2</v>
      </c>
      <c r="O230">
        <v>62</v>
      </c>
      <c r="P230" t="s">
        <v>37</v>
      </c>
      <c r="Q230">
        <v>50</v>
      </c>
      <c r="R230" t="s">
        <v>49</v>
      </c>
      <c r="S230" t="s">
        <v>33</v>
      </c>
      <c r="T230" t="s">
        <v>0</v>
      </c>
      <c r="U230">
        <v>0</v>
      </c>
    </row>
    <row r="231" spans="3:21" x14ac:dyDescent="0.3">
      <c r="C231" t="s">
        <v>48</v>
      </c>
      <c r="D231" s="18">
        <v>45961</v>
      </c>
      <c r="E231" t="str">
        <f>IFERROR(VLOOKUP(A231,#REF!,5,TRUE),"not found")</f>
        <v>not found</v>
      </c>
      <c r="F231" t="str">
        <f>IFERROR(VLOOKUP(A231,#REF!,2,TRUE),"")</f>
        <v/>
      </c>
      <c r="G231">
        <v>7150</v>
      </c>
      <c r="H231" t="s">
        <v>2</v>
      </c>
      <c r="O231">
        <v>62</v>
      </c>
      <c r="P231" t="s">
        <v>37</v>
      </c>
      <c r="Q231">
        <v>50</v>
      </c>
      <c r="R231" t="s">
        <v>49</v>
      </c>
      <c r="S231" t="s">
        <v>33</v>
      </c>
      <c r="T231" t="s">
        <v>0</v>
      </c>
      <c r="U231">
        <v>0</v>
      </c>
    </row>
    <row r="232" spans="3:21" x14ac:dyDescent="0.3">
      <c r="C232" t="s">
        <v>48</v>
      </c>
      <c r="D232" s="18">
        <v>45961</v>
      </c>
      <c r="E232" t="str">
        <f>IFERROR(VLOOKUP(A232,#REF!,5,TRUE),"not found")</f>
        <v>not found</v>
      </c>
      <c r="F232" t="str">
        <f>IFERROR(VLOOKUP(A232,#REF!,2,TRUE),"")</f>
        <v/>
      </c>
      <c r="G232">
        <v>7150</v>
      </c>
      <c r="H232" t="s">
        <v>2</v>
      </c>
      <c r="O232">
        <v>62</v>
      </c>
      <c r="P232" t="s">
        <v>37</v>
      </c>
      <c r="Q232">
        <v>50</v>
      </c>
      <c r="R232" t="s">
        <v>49</v>
      </c>
      <c r="S232" t="s">
        <v>33</v>
      </c>
      <c r="T232" t="s">
        <v>0</v>
      </c>
      <c r="U232">
        <v>0</v>
      </c>
    </row>
    <row r="233" spans="3:21" x14ac:dyDescent="0.3">
      <c r="C233" t="s">
        <v>48</v>
      </c>
      <c r="D233" s="18">
        <v>45961</v>
      </c>
      <c r="E233" t="str">
        <f>IFERROR(VLOOKUP(A233,#REF!,5,TRUE),"not found")</f>
        <v>not found</v>
      </c>
      <c r="F233" t="str">
        <f>IFERROR(VLOOKUP(A233,#REF!,2,TRUE),"")</f>
        <v/>
      </c>
      <c r="G233">
        <v>7150</v>
      </c>
      <c r="H233" t="s">
        <v>2</v>
      </c>
      <c r="O233">
        <v>62</v>
      </c>
      <c r="P233" t="s">
        <v>37</v>
      </c>
      <c r="Q233">
        <v>50</v>
      </c>
      <c r="R233" t="s">
        <v>49</v>
      </c>
      <c r="S233" t="s">
        <v>33</v>
      </c>
      <c r="T233" t="s">
        <v>0</v>
      </c>
      <c r="U233">
        <v>0</v>
      </c>
    </row>
    <row r="234" spans="3:21" x14ac:dyDescent="0.3">
      <c r="C234" t="s">
        <v>48</v>
      </c>
      <c r="D234" s="18">
        <v>45961</v>
      </c>
      <c r="E234" t="str">
        <f>IFERROR(VLOOKUP(A234,#REF!,5,TRUE),"not found")</f>
        <v>not found</v>
      </c>
      <c r="F234" t="str">
        <f>IFERROR(VLOOKUP(A234,#REF!,2,TRUE),"")</f>
        <v/>
      </c>
      <c r="G234">
        <v>7150</v>
      </c>
      <c r="H234" t="s">
        <v>2</v>
      </c>
      <c r="O234">
        <v>62</v>
      </c>
      <c r="P234" t="s">
        <v>37</v>
      </c>
      <c r="Q234">
        <v>50</v>
      </c>
      <c r="R234" t="s">
        <v>49</v>
      </c>
      <c r="S234" t="s">
        <v>33</v>
      </c>
      <c r="T234" t="s">
        <v>0</v>
      </c>
      <c r="U234">
        <v>0</v>
      </c>
    </row>
    <row r="235" spans="3:21" x14ac:dyDescent="0.3">
      <c r="C235" t="s">
        <v>48</v>
      </c>
      <c r="D235" s="18">
        <v>45961</v>
      </c>
      <c r="E235" t="str">
        <f>IFERROR(VLOOKUP(A235,#REF!,5,TRUE),"not found")</f>
        <v>not found</v>
      </c>
      <c r="F235" t="str">
        <f>IFERROR(VLOOKUP(A235,#REF!,2,TRUE),"")</f>
        <v/>
      </c>
      <c r="G235">
        <v>7150</v>
      </c>
      <c r="H235" t="s">
        <v>2</v>
      </c>
      <c r="O235">
        <v>62</v>
      </c>
      <c r="P235" t="s">
        <v>37</v>
      </c>
      <c r="Q235">
        <v>50</v>
      </c>
      <c r="R235" t="s">
        <v>49</v>
      </c>
      <c r="S235" t="s">
        <v>33</v>
      </c>
      <c r="T235" t="s">
        <v>0</v>
      </c>
      <c r="U235">
        <v>0</v>
      </c>
    </row>
    <row r="236" spans="3:21" x14ac:dyDescent="0.3">
      <c r="C236" t="s">
        <v>48</v>
      </c>
      <c r="D236" s="18">
        <v>45961</v>
      </c>
      <c r="E236" t="str">
        <f>IFERROR(VLOOKUP(A236,#REF!,5,TRUE),"not found")</f>
        <v>not found</v>
      </c>
      <c r="F236" t="str">
        <f>IFERROR(VLOOKUP(A236,#REF!,2,TRUE),"")</f>
        <v/>
      </c>
      <c r="G236">
        <v>7150</v>
      </c>
      <c r="H236" t="s">
        <v>2</v>
      </c>
      <c r="O236">
        <v>62</v>
      </c>
      <c r="P236" t="s">
        <v>37</v>
      </c>
      <c r="Q236">
        <v>50</v>
      </c>
      <c r="R236" t="s">
        <v>49</v>
      </c>
      <c r="S236" t="s">
        <v>33</v>
      </c>
      <c r="T236" t="s">
        <v>0</v>
      </c>
      <c r="U236">
        <v>0</v>
      </c>
    </row>
    <row r="237" spans="3:21" x14ac:dyDescent="0.3">
      <c r="C237" t="s">
        <v>48</v>
      </c>
      <c r="D237" s="18">
        <v>45961</v>
      </c>
      <c r="E237" t="str">
        <f>IFERROR(VLOOKUP(A237,#REF!,5,TRUE),"not found")</f>
        <v>not found</v>
      </c>
      <c r="F237" t="str">
        <f>IFERROR(VLOOKUP(A237,#REF!,2,TRUE),"")</f>
        <v/>
      </c>
      <c r="G237">
        <v>7150</v>
      </c>
      <c r="H237" t="s">
        <v>2</v>
      </c>
      <c r="O237">
        <v>62</v>
      </c>
      <c r="P237" t="s">
        <v>37</v>
      </c>
      <c r="Q237">
        <v>50</v>
      </c>
      <c r="R237" t="s">
        <v>49</v>
      </c>
      <c r="S237" t="s">
        <v>33</v>
      </c>
      <c r="T237" t="s">
        <v>0</v>
      </c>
      <c r="U237">
        <v>0</v>
      </c>
    </row>
    <row r="238" spans="3:21" x14ac:dyDescent="0.3">
      <c r="C238" t="s">
        <v>48</v>
      </c>
      <c r="D238" s="18">
        <v>45961</v>
      </c>
      <c r="E238" t="str">
        <f>IFERROR(VLOOKUP(A238,#REF!,5,TRUE),"not found")</f>
        <v>not found</v>
      </c>
      <c r="F238" t="str">
        <f>IFERROR(VLOOKUP(A238,#REF!,2,TRUE),"")</f>
        <v/>
      </c>
      <c r="G238">
        <v>7150</v>
      </c>
      <c r="H238" t="s">
        <v>2</v>
      </c>
      <c r="O238">
        <v>62</v>
      </c>
      <c r="P238" t="s">
        <v>37</v>
      </c>
      <c r="Q238">
        <v>50</v>
      </c>
      <c r="R238" t="s">
        <v>49</v>
      </c>
      <c r="S238" t="s">
        <v>33</v>
      </c>
      <c r="T238" t="s">
        <v>0</v>
      </c>
      <c r="U238">
        <v>0</v>
      </c>
    </row>
    <row r="239" spans="3:21" x14ac:dyDescent="0.3">
      <c r="C239" t="s">
        <v>48</v>
      </c>
      <c r="D239" s="18">
        <v>45961</v>
      </c>
      <c r="E239" t="str">
        <f>IFERROR(VLOOKUP(A239,#REF!,5,TRUE),"not found")</f>
        <v>not found</v>
      </c>
      <c r="F239" t="str">
        <f>IFERROR(VLOOKUP(A239,#REF!,2,TRUE),"")</f>
        <v/>
      </c>
      <c r="G239">
        <v>7150</v>
      </c>
      <c r="H239" t="s">
        <v>2</v>
      </c>
      <c r="O239">
        <v>62</v>
      </c>
      <c r="P239" t="s">
        <v>37</v>
      </c>
      <c r="Q239">
        <v>50</v>
      </c>
      <c r="R239" t="s">
        <v>49</v>
      </c>
      <c r="S239" t="s">
        <v>33</v>
      </c>
      <c r="T239" t="s">
        <v>0</v>
      </c>
      <c r="U239">
        <v>0</v>
      </c>
    </row>
    <row r="240" spans="3:21" x14ac:dyDescent="0.3">
      <c r="C240" t="s">
        <v>48</v>
      </c>
      <c r="D240" s="18">
        <v>45961</v>
      </c>
      <c r="E240" t="str">
        <f>IFERROR(VLOOKUP(A240,#REF!,5,TRUE),"not found")</f>
        <v>not found</v>
      </c>
      <c r="F240" t="str">
        <f>IFERROR(VLOOKUP(A240,#REF!,2,TRUE),"")</f>
        <v/>
      </c>
      <c r="G240">
        <v>7150</v>
      </c>
      <c r="H240" t="s">
        <v>2</v>
      </c>
      <c r="O240">
        <v>62</v>
      </c>
      <c r="P240" t="s">
        <v>37</v>
      </c>
      <c r="Q240">
        <v>50</v>
      </c>
      <c r="R240" t="s">
        <v>49</v>
      </c>
      <c r="S240" t="s">
        <v>33</v>
      </c>
      <c r="T240" t="s">
        <v>0</v>
      </c>
      <c r="U240">
        <v>0</v>
      </c>
    </row>
    <row r="241" spans="3:21" x14ac:dyDescent="0.3">
      <c r="C241" t="s">
        <v>48</v>
      </c>
      <c r="D241" s="18">
        <v>45961</v>
      </c>
      <c r="E241" t="str">
        <f>IFERROR(VLOOKUP(A241,#REF!,5,TRUE),"not found")</f>
        <v>not found</v>
      </c>
      <c r="F241" t="str">
        <f>IFERROR(VLOOKUP(A241,#REF!,2,TRUE),"")</f>
        <v/>
      </c>
      <c r="G241">
        <v>7150</v>
      </c>
      <c r="H241" t="s">
        <v>2</v>
      </c>
      <c r="O241">
        <v>62</v>
      </c>
      <c r="P241" t="s">
        <v>37</v>
      </c>
      <c r="Q241">
        <v>50</v>
      </c>
      <c r="R241" t="s">
        <v>49</v>
      </c>
      <c r="S241" t="s">
        <v>33</v>
      </c>
      <c r="T241" t="s">
        <v>0</v>
      </c>
      <c r="U241">
        <v>0</v>
      </c>
    </row>
    <row r="242" spans="3:21" x14ac:dyDescent="0.3">
      <c r="C242" t="s">
        <v>48</v>
      </c>
      <c r="D242" s="18">
        <v>45961</v>
      </c>
      <c r="E242" t="str">
        <f>IFERROR(VLOOKUP(A242,#REF!,5,TRUE),"not found")</f>
        <v>not found</v>
      </c>
      <c r="F242" t="str">
        <f>IFERROR(VLOOKUP(A242,#REF!,2,TRUE),"")</f>
        <v/>
      </c>
      <c r="G242">
        <v>7150</v>
      </c>
      <c r="H242" t="s">
        <v>2</v>
      </c>
      <c r="O242">
        <v>62</v>
      </c>
      <c r="P242" t="s">
        <v>37</v>
      </c>
      <c r="Q242">
        <v>50</v>
      </c>
      <c r="R242" t="s">
        <v>49</v>
      </c>
      <c r="S242" t="s">
        <v>33</v>
      </c>
      <c r="T242" t="s">
        <v>0</v>
      </c>
      <c r="U242">
        <v>0</v>
      </c>
    </row>
    <row r="243" spans="3:21" x14ac:dyDescent="0.3">
      <c r="C243" t="s">
        <v>48</v>
      </c>
      <c r="D243" s="18">
        <v>45961</v>
      </c>
      <c r="E243" t="str">
        <f>IFERROR(VLOOKUP(A243,#REF!,5,TRUE),"not found")</f>
        <v>not found</v>
      </c>
      <c r="F243" t="str">
        <f>IFERROR(VLOOKUP(A243,#REF!,2,TRUE),"")</f>
        <v/>
      </c>
      <c r="G243">
        <v>7150</v>
      </c>
      <c r="H243" t="s">
        <v>2</v>
      </c>
      <c r="O243">
        <v>62</v>
      </c>
      <c r="P243" t="s">
        <v>37</v>
      </c>
      <c r="Q243">
        <v>50</v>
      </c>
      <c r="R243" t="s">
        <v>49</v>
      </c>
      <c r="S243" t="s">
        <v>33</v>
      </c>
      <c r="T243" t="s">
        <v>0</v>
      </c>
      <c r="U243">
        <v>0</v>
      </c>
    </row>
    <row r="244" spans="3:21" x14ac:dyDescent="0.3">
      <c r="C244" t="s">
        <v>48</v>
      </c>
      <c r="D244" s="18">
        <v>45961</v>
      </c>
      <c r="E244" t="str">
        <f>IFERROR(VLOOKUP(A244,#REF!,5,TRUE),"not found")</f>
        <v>not found</v>
      </c>
      <c r="F244" t="str">
        <f>IFERROR(VLOOKUP(A244,#REF!,2,TRUE),"")</f>
        <v/>
      </c>
      <c r="G244">
        <v>7150</v>
      </c>
      <c r="H244" t="s">
        <v>2</v>
      </c>
      <c r="O244">
        <v>62</v>
      </c>
      <c r="P244" t="s">
        <v>37</v>
      </c>
      <c r="Q244">
        <v>50</v>
      </c>
      <c r="R244" t="s">
        <v>49</v>
      </c>
      <c r="S244" t="s">
        <v>33</v>
      </c>
      <c r="T244" t="s">
        <v>0</v>
      </c>
      <c r="U244">
        <v>0</v>
      </c>
    </row>
    <row r="245" spans="3:21" x14ac:dyDescent="0.3">
      <c r="C245" t="s">
        <v>48</v>
      </c>
      <c r="D245" s="18">
        <v>45961</v>
      </c>
      <c r="E245" t="str">
        <f>IFERROR(VLOOKUP(A245,#REF!,5,TRUE),"not found")</f>
        <v>not found</v>
      </c>
      <c r="F245" t="str">
        <f>IFERROR(VLOOKUP(A245,#REF!,2,TRUE),"")</f>
        <v/>
      </c>
      <c r="G245">
        <v>7150</v>
      </c>
      <c r="H245" t="s">
        <v>2</v>
      </c>
      <c r="O245">
        <v>62</v>
      </c>
      <c r="P245" t="s">
        <v>37</v>
      </c>
      <c r="Q245">
        <v>50</v>
      </c>
      <c r="R245" t="s">
        <v>49</v>
      </c>
      <c r="S245" t="s">
        <v>33</v>
      </c>
      <c r="T245" t="s">
        <v>0</v>
      </c>
      <c r="U245">
        <v>0</v>
      </c>
    </row>
    <row r="246" spans="3:21" x14ac:dyDescent="0.3">
      <c r="C246" t="s">
        <v>48</v>
      </c>
      <c r="D246" s="18">
        <v>45961</v>
      </c>
      <c r="E246" t="str">
        <f>IFERROR(VLOOKUP(A246,#REF!,5,TRUE),"not found")</f>
        <v>not found</v>
      </c>
      <c r="F246" t="str">
        <f>IFERROR(VLOOKUP(A246,#REF!,2,TRUE),"")</f>
        <v/>
      </c>
      <c r="G246">
        <v>7150</v>
      </c>
      <c r="H246" t="s">
        <v>2</v>
      </c>
      <c r="O246">
        <v>62</v>
      </c>
      <c r="P246" t="s">
        <v>37</v>
      </c>
      <c r="Q246">
        <v>50</v>
      </c>
      <c r="R246" t="s">
        <v>49</v>
      </c>
      <c r="S246" t="s">
        <v>33</v>
      </c>
      <c r="T246" t="s">
        <v>0</v>
      </c>
      <c r="U246">
        <v>0</v>
      </c>
    </row>
    <row r="247" spans="3:21" x14ac:dyDescent="0.3">
      <c r="C247" t="s">
        <v>48</v>
      </c>
      <c r="D247" s="18">
        <v>45961</v>
      </c>
      <c r="E247" t="str">
        <f>IFERROR(VLOOKUP(A247,#REF!,5,TRUE),"not found")</f>
        <v>not found</v>
      </c>
      <c r="F247" t="str">
        <f>IFERROR(VLOOKUP(A247,#REF!,2,TRUE),"")</f>
        <v/>
      </c>
      <c r="G247">
        <v>7150</v>
      </c>
      <c r="H247" t="s">
        <v>2</v>
      </c>
      <c r="O247">
        <v>62</v>
      </c>
      <c r="P247" t="s">
        <v>37</v>
      </c>
      <c r="Q247">
        <v>50</v>
      </c>
      <c r="R247" t="s">
        <v>49</v>
      </c>
      <c r="S247" t="s">
        <v>33</v>
      </c>
      <c r="T247" t="s">
        <v>0</v>
      </c>
      <c r="U247">
        <v>0</v>
      </c>
    </row>
    <row r="248" spans="3:21" x14ac:dyDescent="0.3">
      <c r="C248" t="s">
        <v>48</v>
      </c>
      <c r="D248" s="18">
        <v>45961</v>
      </c>
      <c r="E248" t="str">
        <f>IFERROR(VLOOKUP(A248,#REF!,5,TRUE),"not found")</f>
        <v>not found</v>
      </c>
      <c r="F248" t="str">
        <f>IFERROR(VLOOKUP(A248,#REF!,2,TRUE),"")</f>
        <v/>
      </c>
      <c r="G248">
        <v>7150</v>
      </c>
      <c r="H248" t="s">
        <v>2</v>
      </c>
      <c r="O248">
        <v>62</v>
      </c>
      <c r="P248" t="s">
        <v>37</v>
      </c>
      <c r="Q248">
        <v>50</v>
      </c>
      <c r="R248" t="s">
        <v>49</v>
      </c>
      <c r="S248" t="s">
        <v>33</v>
      </c>
      <c r="T248" t="s">
        <v>0</v>
      </c>
      <c r="U248">
        <v>0</v>
      </c>
    </row>
    <row r="249" spans="3:21" x14ac:dyDescent="0.3">
      <c r="C249" t="s">
        <v>48</v>
      </c>
      <c r="D249" s="18">
        <v>45961</v>
      </c>
      <c r="E249" t="str">
        <f>IFERROR(VLOOKUP(A249,#REF!,5,TRUE),"not found")</f>
        <v>not found</v>
      </c>
      <c r="F249" t="str">
        <f>IFERROR(VLOOKUP(A249,#REF!,2,TRUE),"")</f>
        <v/>
      </c>
      <c r="G249">
        <v>7150</v>
      </c>
      <c r="H249" t="s">
        <v>2</v>
      </c>
      <c r="O249">
        <v>62</v>
      </c>
      <c r="P249" t="s">
        <v>37</v>
      </c>
      <c r="Q249">
        <v>50</v>
      </c>
      <c r="R249" t="s">
        <v>49</v>
      </c>
      <c r="S249" t="s">
        <v>33</v>
      </c>
      <c r="T249" t="s">
        <v>0</v>
      </c>
      <c r="U249">
        <v>0</v>
      </c>
    </row>
    <row r="250" spans="3:21" x14ac:dyDescent="0.3">
      <c r="C250" t="s">
        <v>48</v>
      </c>
      <c r="D250" s="18">
        <v>45961</v>
      </c>
      <c r="E250" t="str">
        <f>IFERROR(VLOOKUP(A250,#REF!,5,TRUE),"not found")</f>
        <v>not found</v>
      </c>
      <c r="F250" t="str">
        <f>IFERROR(VLOOKUP(A250,#REF!,2,TRUE),"")</f>
        <v/>
      </c>
      <c r="G250">
        <v>7150</v>
      </c>
      <c r="H250" t="s">
        <v>2</v>
      </c>
      <c r="O250">
        <v>62</v>
      </c>
      <c r="P250" t="s">
        <v>37</v>
      </c>
      <c r="Q250">
        <v>50</v>
      </c>
      <c r="R250" t="s">
        <v>49</v>
      </c>
      <c r="S250" t="s">
        <v>33</v>
      </c>
      <c r="T250" t="s">
        <v>0</v>
      </c>
      <c r="U250">
        <v>0</v>
      </c>
    </row>
    <row r="251" spans="3:21" x14ac:dyDescent="0.3">
      <c r="C251" t="s">
        <v>48</v>
      </c>
      <c r="D251" s="18">
        <v>45961</v>
      </c>
      <c r="E251" t="str">
        <f>IFERROR(VLOOKUP(A251,#REF!,5,TRUE),"not found")</f>
        <v>not found</v>
      </c>
      <c r="F251" t="str">
        <f>IFERROR(VLOOKUP(A251,#REF!,2,TRUE),"")</f>
        <v/>
      </c>
      <c r="G251">
        <v>7150</v>
      </c>
      <c r="H251" t="s">
        <v>2</v>
      </c>
      <c r="O251">
        <v>62</v>
      </c>
      <c r="P251" t="s">
        <v>37</v>
      </c>
      <c r="Q251">
        <v>50</v>
      </c>
      <c r="R251" t="s">
        <v>49</v>
      </c>
      <c r="S251" t="s">
        <v>33</v>
      </c>
      <c r="T251" t="s">
        <v>0</v>
      </c>
      <c r="U251">
        <v>0</v>
      </c>
    </row>
    <row r="252" spans="3:21" x14ac:dyDescent="0.3">
      <c r="C252" t="s">
        <v>48</v>
      </c>
      <c r="D252" s="18">
        <v>45961</v>
      </c>
      <c r="E252" t="str">
        <f>IFERROR(VLOOKUP(A252,#REF!,5,TRUE),"not found")</f>
        <v>not found</v>
      </c>
      <c r="F252" t="str">
        <f>IFERROR(VLOOKUP(A252,#REF!,2,TRUE),"")</f>
        <v/>
      </c>
      <c r="G252">
        <v>7150</v>
      </c>
      <c r="H252" t="s">
        <v>2</v>
      </c>
      <c r="O252">
        <v>62</v>
      </c>
      <c r="P252" t="s">
        <v>37</v>
      </c>
      <c r="Q252">
        <v>50</v>
      </c>
      <c r="R252" t="s">
        <v>49</v>
      </c>
      <c r="S252" t="s">
        <v>33</v>
      </c>
      <c r="T252" t="s">
        <v>0</v>
      </c>
      <c r="U252">
        <v>0</v>
      </c>
    </row>
    <row r="253" spans="3:21" x14ac:dyDescent="0.3">
      <c r="C253" t="s">
        <v>48</v>
      </c>
      <c r="D253" s="18">
        <v>45961</v>
      </c>
      <c r="E253" t="str">
        <f>IFERROR(VLOOKUP(A253,#REF!,5,TRUE),"not found")</f>
        <v>not found</v>
      </c>
      <c r="F253" t="str">
        <f>IFERROR(VLOOKUP(A253,#REF!,2,TRUE),"")</f>
        <v/>
      </c>
      <c r="G253">
        <v>7150</v>
      </c>
      <c r="H253" t="s">
        <v>2</v>
      </c>
      <c r="O253">
        <v>62</v>
      </c>
      <c r="P253" t="s">
        <v>37</v>
      </c>
      <c r="Q253">
        <v>50</v>
      </c>
      <c r="R253" t="s">
        <v>49</v>
      </c>
      <c r="S253" t="s">
        <v>33</v>
      </c>
      <c r="T253" t="s">
        <v>0</v>
      </c>
      <c r="U253">
        <v>0</v>
      </c>
    </row>
    <row r="254" spans="3:21" x14ac:dyDescent="0.3">
      <c r="C254" t="s">
        <v>48</v>
      </c>
      <c r="D254" s="18">
        <v>45961</v>
      </c>
      <c r="E254" t="str">
        <f>IFERROR(VLOOKUP(A254,#REF!,5,TRUE),"not found")</f>
        <v>not found</v>
      </c>
      <c r="F254" t="str">
        <f>IFERROR(VLOOKUP(A254,#REF!,2,TRUE),"")</f>
        <v/>
      </c>
      <c r="G254">
        <v>7150</v>
      </c>
      <c r="H254" t="s">
        <v>2</v>
      </c>
      <c r="O254">
        <v>62</v>
      </c>
      <c r="P254" t="s">
        <v>37</v>
      </c>
      <c r="Q254">
        <v>50</v>
      </c>
      <c r="R254" t="s">
        <v>49</v>
      </c>
      <c r="S254" t="s">
        <v>33</v>
      </c>
      <c r="T254" t="s">
        <v>0</v>
      </c>
      <c r="U254">
        <v>0</v>
      </c>
    </row>
    <row r="255" spans="3:21" x14ac:dyDescent="0.3">
      <c r="C255" t="s">
        <v>48</v>
      </c>
      <c r="D255" s="18">
        <v>45961</v>
      </c>
      <c r="E255" t="str">
        <f>IFERROR(VLOOKUP(A255,#REF!,5,TRUE),"not found")</f>
        <v>not found</v>
      </c>
      <c r="F255" t="str">
        <f>IFERROR(VLOOKUP(A255,#REF!,2,TRUE),"")</f>
        <v/>
      </c>
      <c r="G255">
        <v>7150</v>
      </c>
      <c r="H255" t="s">
        <v>2</v>
      </c>
      <c r="O255">
        <v>62</v>
      </c>
      <c r="P255" t="s">
        <v>37</v>
      </c>
      <c r="Q255">
        <v>50</v>
      </c>
      <c r="R255" t="s">
        <v>49</v>
      </c>
      <c r="S255" t="s">
        <v>33</v>
      </c>
      <c r="T255" t="s">
        <v>0</v>
      </c>
      <c r="U255">
        <v>0</v>
      </c>
    </row>
    <row r="256" spans="3:21" x14ac:dyDescent="0.3">
      <c r="C256" t="s">
        <v>48</v>
      </c>
      <c r="D256" s="18">
        <v>45961</v>
      </c>
      <c r="E256" t="str">
        <f>IFERROR(VLOOKUP(A256,#REF!,5,TRUE),"not found")</f>
        <v>not found</v>
      </c>
      <c r="F256" t="str">
        <f>IFERROR(VLOOKUP(A256,#REF!,2,TRUE),"")</f>
        <v/>
      </c>
      <c r="G256">
        <v>7150</v>
      </c>
      <c r="H256" t="s">
        <v>2</v>
      </c>
      <c r="O256">
        <v>62</v>
      </c>
      <c r="P256" t="s">
        <v>37</v>
      </c>
      <c r="Q256">
        <v>50</v>
      </c>
      <c r="R256" t="s">
        <v>49</v>
      </c>
      <c r="S256" t="s">
        <v>33</v>
      </c>
      <c r="T256" t="s">
        <v>0</v>
      </c>
      <c r="U256">
        <v>0</v>
      </c>
    </row>
    <row r="257" spans="3:21" x14ac:dyDescent="0.3">
      <c r="C257" t="s">
        <v>48</v>
      </c>
      <c r="D257" s="18">
        <v>45961</v>
      </c>
      <c r="E257" t="str">
        <f>IFERROR(VLOOKUP(A257,#REF!,5,TRUE),"not found")</f>
        <v>not found</v>
      </c>
      <c r="F257" t="str">
        <f>IFERROR(VLOOKUP(A257,#REF!,2,TRUE),"")</f>
        <v/>
      </c>
      <c r="G257">
        <v>7150</v>
      </c>
      <c r="H257" t="s">
        <v>2</v>
      </c>
      <c r="O257">
        <v>62</v>
      </c>
      <c r="P257" t="s">
        <v>37</v>
      </c>
      <c r="Q257">
        <v>50</v>
      </c>
      <c r="R257" t="s">
        <v>49</v>
      </c>
      <c r="S257" t="s">
        <v>33</v>
      </c>
      <c r="T257" t="s">
        <v>0</v>
      </c>
      <c r="U257">
        <v>0</v>
      </c>
    </row>
    <row r="258" spans="3:21" x14ac:dyDescent="0.3">
      <c r="C258" t="s">
        <v>48</v>
      </c>
      <c r="D258" s="18">
        <v>45961</v>
      </c>
      <c r="E258" t="str">
        <f>IFERROR(VLOOKUP(A258,#REF!,5,TRUE),"not found")</f>
        <v>not found</v>
      </c>
      <c r="F258" t="str">
        <f>IFERROR(VLOOKUP(A258,#REF!,2,TRUE),"")</f>
        <v/>
      </c>
      <c r="G258">
        <v>7150</v>
      </c>
      <c r="H258" t="s">
        <v>2</v>
      </c>
      <c r="O258">
        <v>62</v>
      </c>
      <c r="P258" t="s">
        <v>37</v>
      </c>
      <c r="Q258">
        <v>50</v>
      </c>
      <c r="R258" t="s">
        <v>49</v>
      </c>
      <c r="S258" t="s">
        <v>33</v>
      </c>
      <c r="T258" t="s">
        <v>0</v>
      </c>
      <c r="U258">
        <v>0</v>
      </c>
    </row>
    <row r="259" spans="3:21" x14ac:dyDescent="0.3">
      <c r="C259" t="s">
        <v>48</v>
      </c>
      <c r="D259" s="18">
        <v>45961</v>
      </c>
      <c r="E259" t="str">
        <f>IFERROR(VLOOKUP(A259,#REF!,5,TRUE),"not found")</f>
        <v>not found</v>
      </c>
      <c r="F259" t="str">
        <f>IFERROR(VLOOKUP(A259,#REF!,2,TRUE),"")</f>
        <v/>
      </c>
      <c r="G259">
        <v>7150</v>
      </c>
      <c r="H259" t="s">
        <v>2</v>
      </c>
      <c r="O259">
        <v>62</v>
      </c>
      <c r="P259" t="s">
        <v>37</v>
      </c>
      <c r="Q259">
        <v>50</v>
      </c>
      <c r="R259" t="s">
        <v>49</v>
      </c>
      <c r="S259" t="s">
        <v>33</v>
      </c>
      <c r="T259" t="s">
        <v>0</v>
      </c>
      <c r="U259">
        <v>0</v>
      </c>
    </row>
    <row r="260" spans="3:21" x14ac:dyDescent="0.3">
      <c r="C260" t="s">
        <v>48</v>
      </c>
      <c r="D260" s="18">
        <v>45961</v>
      </c>
      <c r="E260" t="str">
        <f>IFERROR(VLOOKUP(A260,#REF!,5,TRUE),"not found")</f>
        <v>not found</v>
      </c>
      <c r="F260" t="str">
        <f>IFERROR(VLOOKUP(A260,#REF!,2,TRUE),"")</f>
        <v/>
      </c>
      <c r="G260">
        <v>7150</v>
      </c>
      <c r="H260" t="s">
        <v>2</v>
      </c>
      <c r="O260">
        <v>62</v>
      </c>
      <c r="P260" t="s">
        <v>37</v>
      </c>
      <c r="Q260">
        <v>50</v>
      </c>
      <c r="R260" t="s">
        <v>49</v>
      </c>
      <c r="S260" t="s">
        <v>33</v>
      </c>
      <c r="T260" t="s">
        <v>0</v>
      </c>
      <c r="U260">
        <v>0</v>
      </c>
    </row>
    <row r="261" spans="3:21" x14ac:dyDescent="0.3">
      <c r="C261" t="s">
        <v>48</v>
      </c>
      <c r="D261" s="18">
        <v>45961</v>
      </c>
      <c r="E261" t="str">
        <f>IFERROR(VLOOKUP(A261,#REF!,5,TRUE),"not found")</f>
        <v>not found</v>
      </c>
      <c r="F261" t="str">
        <f>IFERROR(VLOOKUP(A261,#REF!,2,TRUE),"")</f>
        <v/>
      </c>
      <c r="G261">
        <v>7150</v>
      </c>
      <c r="H261" t="s">
        <v>2</v>
      </c>
      <c r="O261">
        <v>62</v>
      </c>
      <c r="P261" t="s">
        <v>37</v>
      </c>
      <c r="Q261">
        <v>50</v>
      </c>
      <c r="R261" t="s">
        <v>49</v>
      </c>
      <c r="S261" t="s">
        <v>33</v>
      </c>
      <c r="T261" t="s">
        <v>0</v>
      </c>
      <c r="U261">
        <v>0</v>
      </c>
    </row>
    <row r="262" spans="3:21" x14ac:dyDescent="0.3">
      <c r="C262" t="s">
        <v>48</v>
      </c>
      <c r="D262" s="18">
        <v>45961</v>
      </c>
      <c r="E262" t="str">
        <f>IFERROR(VLOOKUP(A262,#REF!,5,TRUE),"not found")</f>
        <v>not found</v>
      </c>
      <c r="F262" t="str">
        <f>IFERROR(VLOOKUP(A262,#REF!,2,TRUE),"")</f>
        <v/>
      </c>
      <c r="G262">
        <v>7150</v>
      </c>
      <c r="H262" t="s">
        <v>2</v>
      </c>
      <c r="O262">
        <v>62</v>
      </c>
      <c r="P262" t="s">
        <v>37</v>
      </c>
      <c r="Q262">
        <v>50</v>
      </c>
      <c r="R262" t="s">
        <v>49</v>
      </c>
      <c r="S262" t="s">
        <v>33</v>
      </c>
      <c r="T262" t="s">
        <v>0</v>
      </c>
      <c r="U262">
        <v>0</v>
      </c>
    </row>
    <row r="263" spans="3:21" x14ac:dyDescent="0.3">
      <c r="C263" t="s">
        <v>48</v>
      </c>
      <c r="D263" s="18">
        <v>45961</v>
      </c>
      <c r="E263" t="str">
        <f>IFERROR(VLOOKUP(A263,#REF!,5,TRUE),"not found")</f>
        <v>not found</v>
      </c>
      <c r="F263" t="str">
        <f>IFERROR(VLOOKUP(A263,#REF!,2,TRUE),"")</f>
        <v/>
      </c>
      <c r="G263">
        <v>7150</v>
      </c>
      <c r="H263" t="s">
        <v>2</v>
      </c>
      <c r="O263">
        <v>62</v>
      </c>
      <c r="P263" t="s">
        <v>37</v>
      </c>
      <c r="Q263">
        <v>50</v>
      </c>
      <c r="R263" t="s">
        <v>49</v>
      </c>
      <c r="S263" t="s">
        <v>33</v>
      </c>
      <c r="T263" t="s">
        <v>0</v>
      </c>
      <c r="U263">
        <v>0</v>
      </c>
    </row>
    <row r="264" spans="3:21" x14ac:dyDescent="0.3">
      <c r="C264" t="s">
        <v>48</v>
      </c>
      <c r="D264" s="18">
        <v>45961</v>
      </c>
      <c r="E264" t="str">
        <f>IFERROR(VLOOKUP(A264,#REF!,5,TRUE),"not found")</f>
        <v>not found</v>
      </c>
      <c r="F264" t="str">
        <f>IFERROR(VLOOKUP(A264,#REF!,2,TRUE),"")</f>
        <v/>
      </c>
      <c r="G264">
        <v>7150</v>
      </c>
      <c r="H264" t="s">
        <v>2</v>
      </c>
      <c r="O264">
        <v>62</v>
      </c>
      <c r="P264" t="s">
        <v>37</v>
      </c>
      <c r="Q264">
        <v>50</v>
      </c>
      <c r="R264" t="s">
        <v>49</v>
      </c>
      <c r="S264" t="s">
        <v>33</v>
      </c>
      <c r="T264" t="s">
        <v>0</v>
      </c>
      <c r="U264">
        <v>0</v>
      </c>
    </row>
    <row r="265" spans="3:21" x14ac:dyDescent="0.3">
      <c r="C265" t="s">
        <v>48</v>
      </c>
      <c r="D265" s="18">
        <v>45961</v>
      </c>
      <c r="E265" t="str">
        <f>IFERROR(VLOOKUP(A265,#REF!,5,TRUE),"not found")</f>
        <v>not found</v>
      </c>
      <c r="F265" t="str">
        <f>IFERROR(VLOOKUP(A265,#REF!,2,TRUE),"")</f>
        <v/>
      </c>
      <c r="G265">
        <v>7150</v>
      </c>
      <c r="H265" t="s">
        <v>2</v>
      </c>
      <c r="O265">
        <v>62</v>
      </c>
      <c r="P265" t="s">
        <v>37</v>
      </c>
      <c r="Q265">
        <v>50</v>
      </c>
      <c r="R265" t="s">
        <v>49</v>
      </c>
      <c r="S265" t="s">
        <v>33</v>
      </c>
      <c r="T265" t="s">
        <v>0</v>
      </c>
      <c r="U265">
        <v>0</v>
      </c>
    </row>
    <row r="266" spans="3:21" x14ac:dyDescent="0.3">
      <c r="C266" t="s">
        <v>48</v>
      </c>
      <c r="D266" s="18">
        <v>45961</v>
      </c>
      <c r="E266" t="str">
        <f>IFERROR(VLOOKUP(A266,#REF!,5,TRUE),"not found")</f>
        <v>not found</v>
      </c>
      <c r="F266" t="str">
        <f>IFERROR(VLOOKUP(A266,#REF!,2,TRUE),"")</f>
        <v/>
      </c>
      <c r="G266">
        <v>7150</v>
      </c>
      <c r="H266" t="s">
        <v>2</v>
      </c>
      <c r="O266">
        <v>62</v>
      </c>
      <c r="P266" t="s">
        <v>37</v>
      </c>
      <c r="Q266">
        <v>50</v>
      </c>
      <c r="R266" t="s">
        <v>49</v>
      </c>
      <c r="S266" t="s">
        <v>33</v>
      </c>
      <c r="T266" t="s">
        <v>0</v>
      </c>
      <c r="U266">
        <v>0</v>
      </c>
    </row>
    <row r="267" spans="3:21" x14ac:dyDescent="0.3">
      <c r="C267" t="s">
        <v>48</v>
      </c>
      <c r="D267" s="18">
        <v>45961</v>
      </c>
      <c r="E267" t="str">
        <f>IFERROR(VLOOKUP(A267,#REF!,5,TRUE),"not found")</f>
        <v>not found</v>
      </c>
      <c r="F267" t="str">
        <f>IFERROR(VLOOKUP(A267,#REF!,2,TRUE),"")</f>
        <v/>
      </c>
      <c r="G267">
        <v>7150</v>
      </c>
      <c r="H267" t="s">
        <v>2</v>
      </c>
      <c r="O267">
        <v>62</v>
      </c>
      <c r="P267" t="s">
        <v>37</v>
      </c>
      <c r="Q267">
        <v>50</v>
      </c>
      <c r="R267" t="s">
        <v>49</v>
      </c>
      <c r="S267" t="s">
        <v>33</v>
      </c>
      <c r="T267" t="s">
        <v>0</v>
      </c>
      <c r="U267">
        <v>0</v>
      </c>
    </row>
    <row r="268" spans="3:21" x14ac:dyDescent="0.3">
      <c r="C268" t="s">
        <v>48</v>
      </c>
      <c r="D268" s="18">
        <v>45961</v>
      </c>
      <c r="E268" t="str">
        <f>IFERROR(VLOOKUP(A268,#REF!,5,TRUE),"not found")</f>
        <v>not found</v>
      </c>
      <c r="F268" t="str">
        <f>IFERROR(VLOOKUP(A268,#REF!,2,TRUE),"")</f>
        <v/>
      </c>
      <c r="G268">
        <v>7150</v>
      </c>
      <c r="H268" t="s">
        <v>2</v>
      </c>
      <c r="O268">
        <v>62</v>
      </c>
      <c r="P268" t="s">
        <v>37</v>
      </c>
      <c r="Q268">
        <v>50</v>
      </c>
      <c r="R268" t="s">
        <v>49</v>
      </c>
      <c r="S268" t="s">
        <v>33</v>
      </c>
      <c r="T268" t="s">
        <v>0</v>
      </c>
      <c r="U268">
        <v>0</v>
      </c>
    </row>
    <row r="269" spans="3:21" x14ac:dyDescent="0.3">
      <c r="C269" t="s">
        <v>48</v>
      </c>
      <c r="D269" s="18">
        <v>45961</v>
      </c>
      <c r="E269" t="str">
        <f>IFERROR(VLOOKUP(A269,#REF!,5,TRUE),"not found")</f>
        <v>not found</v>
      </c>
      <c r="F269" t="str">
        <f>IFERROR(VLOOKUP(A269,#REF!,2,TRUE),"")</f>
        <v/>
      </c>
      <c r="G269">
        <v>7150</v>
      </c>
      <c r="H269" t="s">
        <v>2</v>
      </c>
      <c r="O269">
        <v>62</v>
      </c>
      <c r="P269" t="s">
        <v>37</v>
      </c>
      <c r="Q269">
        <v>50</v>
      </c>
      <c r="R269" t="s">
        <v>49</v>
      </c>
      <c r="S269" t="s">
        <v>33</v>
      </c>
      <c r="T269" t="s">
        <v>0</v>
      </c>
      <c r="U269">
        <v>0</v>
      </c>
    </row>
    <row r="270" spans="3:21" x14ac:dyDescent="0.3">
      <c r="C270" t="s">
        <v>48</v>
      </c>
      <c r="D270" s="18">
        <v>45961</v>
      </c>
      <c r="E270" t="str">
        <f>IFERROR(VLOOKUP(A270,#REF!,5,TRUE),"not found")</f>
        <v>not found</v>
      </c>
      <c r="F270" t="str">
        <f>IFERROR(VLOOKUP(A270,#REF!,2,TRUE),"")</f>
        <v/>
      </c>
      <c r="G270">
        <v>7150</v>
      </c>
      <c r="H270" t="s">
        <v>2</v>
      </c>
      <c r="O270">
        <v>62</v>
      </c>
      <c r="P270" t="s">
        <v>37</v>
      </c>
      <c r="Q270">
        <v>50</v>
      </c>
      <c r="R270" t="s">
        <v>49</v>
      </c>
      <c r="S270" t="s">
        <v>33</v>
      </c>
      <c r="T270" t="s">
        <v>0</v>
      </c>
      <c r="U270">
        <v>0</v>
      </c>
    </row>
    <row r="271" spans="3:21" x14ac:dyDescent="0.3">
      <c r="C271" t="s">
        <v>48</v>
      </c>
      <c r="D271" s="18">
        <v>45961</v>
      </c>
      <c r="E271" t="str">
        <f>IFERROR(VLOOKUP(A271,#REF!,5,TRUE),"not found")</f>
        <v>not found</v>
      </c>
      <c r="F271" t="str">
        <f>IFERROR(VLOOKUP(A271,#REF!,2,TRUE),"")</f>
        <v/>
      </c>
      <c r="G271">
        <v>7150</v>
      </c>
      <c r="H271" t="s">
        <v>2</v>
      </c>
      <c r="O271">
        <v>62</v>
      </c>
      <c r="P271" t="s">
        <v>37</v>
      </c>
      <c r="Q271">
        <v>50</v>
      </c>
      <c r="R271" t="s">
        <v>49</v>
      </c>
      <c r="S271" t="s">
        <v>33</v>
      </c>
      <c r="T271" t="s">
        <v>0</v>
      </c>
      <c r="U271">
        <v>0</v>
      </c>
    </row>
    <row r="272" spans="3:21" x14ac:dyDescent="0.3">
      <c r="C272" t="s">
        <v>48</v>
      </c>
      <c r="D272" s="18">
        <v>45961</v>
      </c>
      <c r="E272" t="str">
        <f>IFERROR(VLOOKUP(A272,#REF!,5,TRUE),"not found")</f>
        <v>not found</v>
      </c>
      <c r="F272" t="str">
        <f>IFERROR(VLOOKUP(A272,#REF!,2,TRUE),"")</f>
        <v/>
      </c>
      <c r="G272">
        <v>7150</v>
      </c>
      <c r="H272" t="s">
        <v>2</v>
      </c>
      <c r="O272">
        <v>62</v>
      </c>
      <c r="P272" t="s">
        <v>37</v>
      </c>
      <c r="Q272">
        <v>50</v>
      </c>
      <c r="R272" t="s">
        <v>49</v>
      </c>
      <c r="S272" t="s">
        <v>33</v>
      </c>
      <c r="T272" t="s">
        <v>0</v>
      </c>
      <c r="U272">
        <v>0</v>
      </c>
    </row>
    <row r="273" spans="3:21" x14ac:dyDescent="0.3">
      <c r="C273" t="s">
        <v>48</v>
      </c>
      <c r="D273" s="18">
        <v>45961</v>
      </c>
      <c r="E273" t="str">
        <f>IFERROR(VLOOKUP(A273,#REF!,5,TRUE),"not found")</f>
        <v>not found</v>
      </c>
      <c r="F273" t="str">
        <f>IFERROR(VLOOKUP(A273,#REF!,2,TRUE),"")</f>
        <v/>
      </c>
      <c r="G273">
        <v>7150</v>
      </c>
      <c r="H273" t="s">
        <v>2</v>
      </c>
      <c r="O273">
        <v>62</v>
      </c>
      <c r="P273" t="s">
        <v>37</v>
      </c>
      <c r="Q273">
        <v>50</v>
      </c>
      <c r="R273" t="s">
        <v>49</v>
      </c>
      <c r="S273" t="s">
        <v>33</v>
      </c>
      <c r="T273" t="s">
        <v>0</v>
      </c>
      <c r="U273">
        <v>0</v>
      </c>
    </row>
    <row r="274" spans="3:21" x14ac:dyDescent="0.3">
      <c r="C274" t="s">
        <v>48</v>
      </c>
      <c r="D274" s="18">
        <v>45961</v>
      </c>
      <c r="E274" t="str">
        <f>IFERROR(VLOOKUP(A274,#REF!,5,TRUE),"not found")</f>
        <v>not found</v>
      </c>
      <c r="F274" t="str">
        <f>IFERROR(VLOOKUP(A274,#REF!,2,TRUE),"")</f>
        <v/>
      </c>
      <c r="G274">
        <v>7150</v>
      </c>
      <c r="H274" t="s">
        <v>2</v>
      </c>
      <c r="O274">
        <v>62</v>
      </c>
      <c r="P274" t="s">
        <v>37</v>
      </c>
      <c r="Q274">
        <v>50</v>
      </c>
      <c r="R274" t="s">
        <v>49</v>
      </c>
      <c r="S274" t="s">
        <v>33</v>
      </c>
      <c r="T274" t="s">
        <v>0</v>
      </c>
      <c r="U274">
        <v>0</v>
      </c>
    </row>
    <row r="275" spans="3:21" x14ac:dyDescent="0.3">
      <c r="C275" t="s">
        <v>48</v>
      </c>
      <c r="D275" s="18">
        <v>45961</v>
      </c>
      <c r="E275" t="str">
        <f>IFERROR(VLOOKUP(A275,#REF!,5,TRUE),"not found")</f>
        <v>not found</v>
      </c>
      <c r="F275" t="str">
        <f>IFERROR(VLOOKUP(A275,#REF!,2,TRUE),"")</f>
        <v/>
      </c>
      <c r="G275">
        <v>7150</v>
      </c>
      <c r="H275" t="s">
        <v>2</v>
      </c>
      <c r="O275">
        <v>62</v>
      </c>
      <c r="P275" t="s">
        <v>37</v>
      </c>
      <c r="Q275">
        <v>50</v>
      </c>
      <c r="R275" t="s">
        <v>49</v>
      </c>
      <c r="S275" t="s">
        <v>33</v>
      </c>
      <c r="T275" t="s">
        <v>0</v>
      </c>
      <c r="U275">
        <v>0</v>
      </c>
    </row>
    <row r="276" spans="3:21" x14ac:dyDescent="0.3">
      <c r="C276" t="s">
        <v>48</v>
      </c>
      <c r="D276" s="18">
        <v>45961</v>
      </c>
      <c r="E276" t="str">
        <f>IFERROR(VLOOKUP(A276,#REF!,5,TRUE),"not found")</f>
        <v>not found</v>
      </c>
      <c r="F276" t="str">
        <f>IFERROR(VLOOKUP(A276,#REF!,2,TRUE),"")</f>
        <v/>
      </c>
      <c r="G276">
        <v>7150</v>
      </c>
      <c r="H276" t="s">
        <v>2</v>
      </c>
      <c r="O276">
        <v>62</v>
      </c>
      <c r="P276" t="s">
        <v>37</v>
      </c>
      <c r="Q276">
        <v>50</v>
      </c>
      <c r="R276" t="s">
        <v>49</v>
      </c>
      <c r="S276" t="s">
        <v>33</v>
      </c>
      <c r="T276" t="s">
        <v>0</v>
      </c>
      <c r="U276">
        <v>0</v>
      </c>
    </row>
    <row r="277" spans="3:21" x14ac:dyDescent="0.3">
      <c r="C277" t="s">
        <v>48</v>
      </c>
      <c r="D277" s="18">
        <v>45961</v>
      </c>
      <c r="E277" t="str">
        <f>IFERROR(VLOOKUP(A277,#REF!,5,TRUE),"not found")</f>
        <v>not found</v>
      </c>
      <c r="F277" t="str">
        <f>IFERROR(VLOOKUP(A277,#REF!,2,TRUE),"")</f>
        <v/>
      </c>
      <c r="G277">
        <v>7150</v>
      </c>
      <c r="H277" t="s">
        <v>2</v>
      </c>
      <c r="O277">
        <v>62</v>
      </c>
      <c r="P277" t="s">
        <v>37</v>
      </c>
      <c r="Q277">
        <v>50</v>
      </c>
      <c r="R277" t="s">
        <v>49</v>
      </c>
      <c r="S277" t="s">
        <v>33</v>
      </c>
      <c r="T277" t="s">
        <v>0</v>
      </c>
      <c r="U277">
        <v>0</v>
      </c>
    </row>
    <row r="278" spans="3:21" x14ac:dyDescent="0.3">
      <c r="C278" t="s">
        <v>48</v>
      </c>
      <c r="D278" s="18">
        <v>45961</v>
      </c>
      <c r="E278" t="str">
        <f>IFERROR(VLOOKUP(A278,#REF!,5,TRUE),"not found")</f>
        <v>not found</v>
      </c>
      <c r="F278" t="str">
        <f>IFERROR(VLOOKUP(A278,#REF!,2,TRUE),"")</f>
        <v/>
      </c>
      <c r="G278">
        <v>7150</v>
      </c>
      <c r="H278" t="s">
        <v>2</v>
      </c>
      <c r="O278">
        <v>62</v>
      </c>
      <c r="P278" t="s">
        <v>37</v>
      </c>
      <c r="Q278">
        <v>50</v>
      </c>
      <c r="R278" t="s">
        <v>49</v>
      </c>
      <c r="S278" t="s">
        <v>33</v>
      </c>
      <c r="T278" t="s">
        <v>0</v>
      </c>
      <c r="U278">
        <v>0</v>
      </c>
    </row>
    <row r="279" spans="3:21" x14ac:dyDescent="0.3">
      <c r="C279" t="s">
        <v>48</v>
      </c>
      <c r="D279" s="18">
        <v>45961</v>
      </c>
      <c r="E279" t="str">
        <f>IFERROR(VLOOKUP(A279,#REF!,5,TRUE),"not found")</f>
        <v>not found</v>
      </c>
      <c r="F279" t="str">
        <f>IFERROR(VLOOKUP(A279,#REF!,2,TRUE),"")</f>
        <v/>
      </c>
      <c r="G279">
        <v>7150</v>
      </c>
      <c r="H279" t="s">
        <v>2</v>
      </c>
      <c r="O279">
        <v>62</v>
      </c>
      <c r="P279" t="s">
        <v>37</v>
      </c>
      <c r="Q279">
        <v>50</v>
      </c>
      <c r="R279" t="s">
        <v>49</v>
      </c>
      <c r="S279" t="s">
        <v>33</v>
      </c>
      <c r="T279" t="s">
        <v>0</v>
      </c>
      <c r="U279">
        <v>0</v>
      </c>
    </row>
    <row r="280" spans="3:21" x14ac:dyDescent="0.3">
      <c r="C280" t="s">
        <v>48</v>
      </c>
      <c r="D280" s="18">
        <v>45961</v>
      </c>
      <c r="E280" t="str">
        <f>IFERROR(VLOOKUP(A280,#REF!,5,TRUE),"not found")</f>
        <v>not found</v>
      </c>
      <c r="F280" t="str">
        <f>IFERROR(VLOOKUP(A280,#REF!,2,TRUE),"")</f>
        <v/>
      </c>
      <c r="G280">
        <v>7150</v>
      </c>
      <c r="H280" t="s">
        <v>2</v>
      </c>
      <c r="O280">
        <v>62</v>
      </c>
      <c r="P280" t="s">
        <v>37</v>
      </c>
      <c r="Q280">
        <v>50</v>
      </c>
      <c r="R280" t="s">
        <v>49</v>
      </c>
      <c r="S280" t="s">
        <v>33</v>
      </c>
      <c r="T280" t="s">
        <v>0</v>
      </c>
      <c r="U280">
        <v>0</v>
      </c>
    </row>
    <row r="281" spans="3:21" x14ac:dyDescent="0.3">
      <c r="C281" t="s">
        <v>48</v>
      </c>
      <c r="D281" s="18">
        <v>45961</v>
      </c>
      <c r="E281" t="str">
        <f>IFERROR(VLOOKUP(A281,#REF!,5,TRUE),"not found")</f>
        <v>not found</v>
      </c>
      <c r="F281" t="str">
        <f>IFERROR(VLOOKUP(A281,#REF!,2,TRUE),"")</f>
        <v/>
      </c>
      <c r="G281">
        <v>7150</v>
      </c>
      <c r="H281" t="s">
        <v>2</v>
      </c>
      <c r="O281">
        <v>62</v>
      </c>
      <c r="P281" t="s">
        <v>37</v>
      </c>
      <c r="Q281">
        <v>50</v>
      </c>
      <c r="R281" t="s">
        <v>49</v>
      </c>
      <c r="S281" t="s">
        <v>33</v>
      </c>
      <c r="T281" t="s">
        <v>0</v>
      </c>
      <c r="U281">
        <v>0</v>
      </c>
    </row>
    <row r="282" spans="3:21" x14ac:dyDescent="0.3">
      <c r="C282" t="s">
        <v>48</v>
      </c>
      <c r="D282" s="18">
        <v>45961</v>
      </c>
      <c r="E282" t="str">
        <f>IFERROR(VLOOKUP(A282,#REF!,5,TRUE),"not found")</f>
        <v>not found</v>
      </c>
      <c r="F282" t="str">
        <f>IFERROR(VLOOKUP(A282,#REF!,2,TRUE),"")</f>
        <v/>
      </c>
      <c r="G282">
        <v>7150</v>
      </c>
      <c r="H282" t="s">
        <v>2</v>
      </c>
      <c r="O282">
        <v>62</v>
      </c>
      <c r="P282" t="s">
        <v>37</v>
      </c>
      <c r="Q282">
        <v>50</v>
      </c>
      <c r="R282" t="s">
        <v>49</v>
      </c>
      <c r="S282" t="s">
        <v>33</v>
      </c>
      <c r="T282" t="s">
        <v>0</v>
      </c>
      <c r="U282">
        <v>0</v>
      </c>
    </row>
    <row r="283" spans="3:21" x14ac:dyDescent="0.3">
      <c r="C283" t="s">
        <v>48</v>
      </c>
      <c r="D283" s="18">
        <v>45961</v>
      </c>
      <c r="E283" t="str">
        <f>IFERROR(VLOOKUP(A283,#REF!,5,TRUE),"not found")</f>
        <v>not found</v>
      </c>
      <c r="F283" t="str">
        <f>IFERROR(VLOOKUP(A283,#REF!,2,TRUE),"")</f>
        <v/>
      </c>
      <c r="G283">
        <v>7150</v>
      </c>
      <c r="H283" t="s">
        <v>2</v>
      </c>
      <c r="O283">
        <v>62</v>
      </c>
      <c r="P283" t="s">
        <v>37</v>
      </c>
      <c r="Q283">
        <v>50</v>
      </c>
      <c r="R283" t="s">
        <v>49</v>
      </c>
      <c r="S283" t="s">
        <v>33</v>
      </c>
      <c r="T283" t="s">
        <v>0</v>
      </c>
      <c r="U283">
        <v>0</v>
      </c>
    </row>
    <row r="284" spans="3:21" x14ac:dyDescent="0.3">
      <c r="C284" t="s">
        <v>48</v>
      </c>
      <c r="D284" s="18">
        <v>45961</v>
      </c>
      <c r="E284" t="str">
        <f>IFERROR(VLOOKUP(A284,#REF!,5,TRUE),"not found")</f>
        <v>not found</v>
      </c>
      <c r="F284" t="str">
        <f>IFERROR(VLOOKUP(A284,#REF!,2,TRUE),"")</f>
        <v/>
      </c>
      <c r="G284">
        <v>7150</v>
      </c>
      <c r="H284" t="s">
        <v>2</v>
      </c>
      <c r="O284">
        <v>62</v>
      </c>
      <c r="P284" t="s">
        <v>37</v>
      </c>
      <c r="Q284">
        <v>50</v>
      </c>
      <c r="R284" t="s">
        <v>49</v>
      </c>
      <c r="S284" t="s">
        <v>33</v>
      </c>
      <c r="T284" t="s">
        <v>0</v>
      </c>
      <c r="U284">
        <v>0</v>
      </c>
    </row>
    <row r="285" spans="3:21" x14ac:dyDescent="0.3">
      <c r="C285" t="s">
        <v>48</v>
      </c>
      <c r="D285" s="18">
        <v>45961</v>
      </c>
      <c r="E285" t="str">
        <f>IFERROR(VLOOKUP(A285,#REF!,5,TRUE),"not found")</f>
        <v>not found</v>
      </c>
      <c r="F285" t="str">
        <f>IFERROR(VLOOKUP(A285,#REF!,2,TRUE),"")</f>
        <v/>
      </c>
      <c r="G285">
        <v>7150</v>
      </c>
      <c r="H285" t="s">
        <v>2</v>
      </c>
      <c r="O285">
        <v>62</v>
      </c>
      <c r="P285" t="s">
        <v>37</v>
      </c>
      <c r="Q285">
        <v>50</v>
      </c>
      <c r="R285" t="s">
        <v>49</v>
      </c>
      <c r="S285" t="s">
        <v>33</v>
      </c>
      <c r="T285" t="s">
        <v>0</v>
      </c>
      <c r="U285">
        <v>0</v>
      </c>
    </row>
    <row r="286" spans="3:21" x14ac:dyDescent="0.3">
      <c r="C286" t="s">
        <v>48</v>
      </c>
      <c r="D286" s="18">
        <v>45961</v>
      </c>
      <c r="E286" t="str">
        <f>IFERROR(VLOOKUP(A286,#REF!,5,TRUE),"not found")</f>
        <v>not found</v>
      </c>
      <c r="F286" t="str">
        <f>IFERROR(VLOOKUP(A286,#REF!,2,TRUE),"")</f>
        <v/>
      </c>
      <c r="G286">
        <v>7150</v>
      </c>
      <c r="H286" t="s">
        <v>2</v>
      </c>
      <c r="O286">
        <v>62</v>
      </c>
      <c r="P286" t="s">
        <v>37</v>
      </c>
      <c r="Q286">
        <v>50</v>
      </c>
      <c r="R286" t="s">
        <v>49</v>
      </c>
      <c r="S286" t="s">
        <v>33</v>
      </c>
      <c r="T286" t="s">
        <v>0</v>
      </c>
      <c r="U286">
        <v>0</v>
      </c>
    </row>
    <row r="287" spans="3:21" x14ac:dyDescent="0.3">
      <c r="C287" t="s">
        <v>48</v>
      </c>
      <c r="D287" s="18">
        <v>45961</v>
      </c>
      <c r="E287" t="str">
        <f>IFERROR(VLOOKUP(A287,#REF!,5,TRUE),"not found")</f>
        <v>not found</v>
      </c>
      <c r="F287" t="str">
        <f>IFERROR(VLOOKUP(A287,#REF!,2,TRUE),"")</f>
        <v/>
      </c>
      <c r="G287">
        <v>7150</v>
      </c>
      <c r="H287" t="s">
        <v>2</v>
      </c>
      <c r="O287">
        <v>62</v>
      </c>
      <c r="P287" t="s">
        <v>37</v>
      </c>
      <c r="Q287">
        <v>50</v>
      </c>
      <c r="R287" t="s">
        <v>49</v>
      </c>
      <c r="S287" t="s">
        <v>33</v>
      </c>
      <c r="T287" t="s">
        <v>0</v>
      </c>
      <c r="U287">
        <v>0</v>
      </c>
    </row>
    <row r="288" spans="3:21" x14ac:dyDescent="0.3">
      <c r="C288" t="s">
        <v>48</v>
      </c>
      <c r="D288" s="18">
        <v>45961</v>
      </c>
      <c r="E288" t="str">
        <f>IFERROR(VLOOKUP(A288,#REF!,5,TRUE),"not found")</f>
        <v>not found</v>
      </c>
      <c r="F288" t="str">
        <f>IFERROR(VLOOKUP(A288,#REF!,2,TRUE),"")</f>
        <v/>
      </c>
      <c r="G288">
        <v>7150</v>
      </c>
      <c r="H288" t="s">
        <v>2</v>
      </c>
      <c r="O288">
        <v>62</v>
      </c>
      <c r="P288" t="s">
        <v>37</v>
      </c>
      <c r="Q288">
        <v>50</v>
      </c>
      <c r="R288" t="s">
        <v>49</v>
      </c>
      <c r="S288" t="s">
        <v>33</v>
      </c>
      <c r="T288" t="s">
        <v>0</v>
      </c>
      <c r="U288">
        <v>0</v>
      </c>
    </row>
    <row r="289" spans="1:28" x14ac:dyDescent="0.3">
      <c r="C289" t="s">
        <v>48</v>
      </c>
      <c r="D289" s="18">
        <v>45961</v>
      </c>
      <c r="E289" t="str">
        <f>IFERROR(VLOOKUP(A289,#REF!,5,TRUE),"not found")</f>
        <v>not found</v>
      </c>
      <c r="F289" t="str">
        <f>IFERROR(VLOOKUP(A289,#REF!,2,TRUE),"")</f>
        <v/>
      </c>
      <c r="G289">
        <v>7150</v>
      </c>
      <c r="H289" t="s">
        <v>2</v>
      </c>
      <c r="O289">
        <v>62</v>
      </c>
      <c r="P289" t="s">
        <v>37</v>
      </c>
      <c r="Q289">
        <v>50</v>
      </c>
      <c r="R289" t="s">
        <v>49</v>
      </c>
      <c r="S289" t="s">
        <v>33</v>
      </c>
      <c r="T289" t="s">
        <v>0</v>
      </c>
      <c r="U289">
        <v>0</v>
      </c>
    </row>
    <row r="290" spans="1:28" x14ac:dyDescent="0.3">
      <c r="C290" t="s">
        <v>48</v>
      </c>
      <c r="D290" s="18">
        <v>45961</v>
      </c>
      <c r="E290" t="str">
        <f>IFERROR(VLOOKUP(A290,#REF!,5,TRUE),"not found")</f>
        <v>not found</v>
      </c>
      <c r="F290" t="str">
        <f>IFERROR(VLOOKUP(A290,#REF!,2,TRUE),"")</f>
        <v/>
      </c>
      <c r="G290">
        <v>7150</v>
      </c>
      <c r="H290" t="s">
        <v>2</v>
      </c>
      <c r="O290">
        <v>62</v>
      </c>
      <c r="P290" t="s">
        <v>37</v>
      </c>
      <c r="Q290">
        <v>50</v>
      </c>
      <c r="R290" t="s">
        <v>49</v>
      </c>
      <c r="S290" t="s">
        <v>33</v>
      </c>
      <c r="T290" t="s">
        <v>0</v>
      </c>
      <c r="U290">
        <v>0</v>
      </c>
    </row>
    <row r="291" spans="1:28" x14ac:dyDescent="0.3">
      <c r="C291" t="s">
        <v>48</v>
      </c>
      <c r="D291" s="18">
        <v>45961</v>
      </c>
      <c r="E291" t="str">
        <f>IFERROR(VLOOKUP(A291,#REF!,5,TRUE),"not found")</f>
        <v>not found</v>
      </c>
      <c r="F291" t="str">
        <f>IFERROR(VLOOKUP(A291,#REF!,2,TRUE),"")</f>
        <v/>
      </c>
      <c r="G291">
        <v>7150</v>
      </c>
      <c r="H291" t="s">
        <v>2</v>
      </c>
      <c r="O291">
        <v>62</v>
      </c>
      <c r="P291" t="s">
        <v>37</v>
      </c>
      <c r="Q291">
        <v>50</v>
      </c>
      <c r="R291" t="s">
        <v>49</v>
      </c>
      <c r="S291" t="s">
        <v>33</v>
      </c>
      <c r="T291" t="s">
        <v>0</v>
      </c>
      <c r="U291">
        <v>0</v>
      </c>
    </row>
    <row r="292" spans="1:28" x14ac:dyDescent="0.3">
      <c r="C292" t="s">
        <v>48</v>
      </c>
      <c r="D292" s="18">
        <v>45961</v>
      </c>
      <c r="E292" t="str">
        <f>IFERROR(VLOOKUP(A292,#REF!,5,TRUE),"not found")</f>
        <v>not found</v>
      </c>
      <c r="F292" t="str">
        <f>IFERROR(VLOOKUP(A292,#REF!,2,TRUE),"")</f>
        <v/>
      </c>
      <c r="G292">
        <v>7150</v>
      </c>
      <c r="H292" t="s">
        <v>2</v>
      </c>
      <c r="O292">
        <v>62</v>
      </c>
      <c r="P292" t="s">
        <v>37</v>
      </c>
      <c r="Q292">
        <v>50</v>
      </c>
      <c r="R292" t="s">
        <v>49</v>
      </c>
      <c r="S292" t="s">
        <v>33</v>
      </c>
      <c r="T292" t="s">
        <v>0</v>
      </c>
      <c r="U292">
        <v>0</v>
      </c>
    </row>
    <row r="293" spans="1:28" x14ac:dyDescent="0.3">
      <c r="C293" t="s">
        <v>48</v>
      </c>
      <c r="D293" s="18">
        <v>45961</v>
      </c>
      <c r="E293" t="str">
        <f>IFERROR(VLOOKUP(A293,#REF!,5,TRUE),"not found")</f>
        <v>not found</v>
      </c>
      <c r="F293" t="str">
        <f>IFERROR(VLOOKUP(A293,#REF!,2,TRUE),"")</f>
        <v/>
      </c>
      <c r="G293">
        <v>7150</v>
      </c>
      <c r="H293" t="s">
        <v>2</v>
      </c>
      <c r="O293">
        <v>62</v>
      </c>
      <c r="P293" t="s">
        <v>37</v>
      </c>
      <c r="Q293">
        <v>50</v>
      </c>
      <c r="R293" t="s">
        <v>49</v>
      </c>
      <c r="S293" t="s">
        <v>33</v>
      </c>
      <c r="T293" t="s">
        <v>0</v>
      </c>
      <c r="U293">
        <v>0</v>
      </c>
    </row>
    <row r="294" spans="1:28" x14ac:dyDescent="0.3">
      <c r="C294" t="s">
        <v>48</v>
      </c>
      <c r="D294" s="18">
        <v>45961</v>
      </c>
      <c r="E294" t="str">
        <f>IFERROR(VLOOKUP(A294,#REF!,5,TRUE),"not found")</f>
        <v>not found</v>
      </c>
      <c r="F294" t="str">
        <f>IFERROR(VLOOKUP(A294,#REF!,2,TRUE),"")</f>
        <v/>
      </c>
      <c r="G294">
        <v>7150</v>
      </c>
      <c r="H294" t="s">
        <v>2</v>
      </c>
      <c r="O294">
        <v>62</v>
      </c>
      <c r="P294" t="s">
        <v>37</v>
      </c>
      <c r="Q294">
        <v>50</v>
      </c>
      <c r="R294" t="s">
        <v>49</v>
      </c>
      <c r="S294" t="s">
        <v>33</v>
      </c>
      <c r="T294" t="s">
        <v>0</v>
      </c>
      <c r="U294">
        <v>0</v>
      </c>
    </row>
    <row r="295" spans="1:28" x14ac:dyDescent="0.3">
      <c r="C295" t="s">
        <v>48</v>
      </c>
      <c r="D295" s="18">
        <v>45961</v>
      </c>
      <c r="E295" t="str">
        <f>IFERROR(VLOOKUP(A295,#REF!,5,TRUE),"not found")</f>
        <v>not found</v>
      </c>
      <c r="F295" t="str">
        <f>IFERROR(VLOOKUP(A295,#REF!,2,TRUE),"")</f>
        <v/>
      </c>
      <c r="G295">
        <v>7150</v>
      </c>
      <c r="H295" t="s">
        <v>2</v>
      </c>
      <c r="O295">
        <v>62</v>
      </c>
      <c r="P295" t="s">
        <v>37</v>
      </c>
      <c r="Q295">
        <v>50</v>
      </c>
      <c r="R295" t="s">
        <v>49</v>
      </c>
      <c r="S295" t="s">
        <v>33</v>
      </c>
      <c r="T295" t="s">
        <v>0</v>
      </c>
      <c r="U295">
        <v>0</v>
      </c>
    </row>
    <row r="296" spans="1:28" x14ac:dyDescent="0.3">
      <c r="C296" t="s">
        <v>48</v>
      </c>
      <c r="D296" s="18">
        <v>45961</v>
      </c>
      <c r="E296" t="str">
        <f>IFERROR(VLOOKUP(A296,#REF!,5,TRUE),"not found")</f>
        <v>not found</v>
      </c>
      <c r="F296" t="str">
        <f>IFERROR(VLOOKUP(A296,#REF!,2,TRUE),"")</f>
        <v/>
      </c>
      <c r="G296">
        <v>7150</v>
      </c>
      <c r="H296" t="s">
        <v>2</v>
      </c>
      <c r="O296">
        <v>62</v>
      </c>
      <c r="P296" t="s">
        <v>37</v>
      </c>
      <c r="Q296">
        <v>50</v>
      </c>
      <c r="R296" t="s">
        <v>49</v>
      </c>
      <c r="S296" t="s">
        <v>33</v>
      </c>
      <c r="T296" t="s">
        <v>0</v>
      </c>
      <c r="U296">
        <v>0</v>
      </c>
    </row>
    <row r="297" spans="1:28" x14ac:dyDescent="0.3">
      <c r="C297" t="s">
        <v>48</v>
      </c>
      <c r="D297" s="18">
        <v>45961</v>
      </c>
      <c r="E297" t="str">
        <f>IFERROR(VLOOKUP(A297,#REF!,5,TRUE),"not found")</f>
        <v>not found</v>
      </c>
      <c r="F297" t="str">
        <f>IFERROR(VLOOKUP(A297,#REF!,2,TRUE),"")</f>
        <v/>
      </c>
      <c r="G297">
        <v>7150</v>
      </c>
      <c r="H297" t="s">
        <v>2</v>
      </c>
      <c r="O297">
        <v>62</v>
      </c>
      <c r="P297" t="s">
        <v>37</v>
      </c>
      <c r="Q297">
        <v>50</v>
      </c>
      <c r="R297" t="s">
        <v>49</v>
      </c>
      <c r="S297" t="s">
        <v>33</v>
      </c>
      <c r="T297" t="s">
        <v>0</v>
      </c>
      <c r="U297">
        <v>0</v>
      </c>
    </row>
    <row r="298" spans="1:28" x14ac:dyDescent="0.3">
      <c r="C298" t="s">
        <v>48</v>
      </c>
      <c r="D298" s="18">
        <v>45961</v>
      </c>
      <c r="E298" t="str">
        <f>IFERROR(VLOOKUP(A298,#REF!,5,TRUE),"not found")</f>
        <v>not found</v>
      </c>
      <c r="F298" t="str">
        <f>IFERROR(VLOOKUP(A298,#REF!,2,TRUE),"")</f>
        <v/>
      </c>
      <c r="G298">
        <v>7150</v>
      </c>
      <c r="H298" t="s">
        <v>2</v>
      </c>
      <c r="O298">
        <v>62</v>
      </c>
      <c r="P298" t="s">
        <v>37</v>
      </c>
      <c r="Q298">
        <v>50</v>
      </c>
      <c r="R298" t="s">
        <v>49</v>
      </c>
      <c r="S298" t="s">
        <v>33</v>
      </c>
      <c r="T298" t="s">
        <v>0</v>
      </c>
      <c r="U298">
        <v>0</v>
      </c>
    </row>
    <row r="299" spans="1:28" x14ac:dyDescent="0.3">
      <c r="C299" t="s">
        <v>48</v>
      </c>
      <c r="D299" s="18">
        <v>45961</v>
      </c>
      <c r="E299" t="str">
        <f>IFERROR(VLOOKUP(A299,#REF!,5,TRUE),"not found")</f>
        <v>not found</v>
      </c>
      <c r="F299" t="str">
        <f>IFERROR(VLOOKUP(A299,#REF!,2,TRUE),"")</f>
        <v/>
      </c>
      <c r="G299">
        <v>7150</v>
      </c>
      <c r="H299" t="s">
        <v>2</v>
      </c>
      <c r="O299">
        <v>62</v>
      </c>
      <c r="P299" t="s">
        <v>37</v>
      </c>
      <c r="Q299">
        <v>50</v>
      </c>
      <c r="R299" t="s">
        <v>49</v>
      </c>
      <c r="S299" t="s">
        <v>33</v>
      </c>
      <c r="T299" t="s">
        <v>0</v>
      </c>
      <c r="U299">
        <v>0</v>
      </c>
    </row>
    <row r="300" spans="1:28" x14ac:dyDescent="0.3">
      <c r="C300" t="s">
        <v>48</v>
      </c>
      <c r="D300" s="18">
        <v>45961</v>
      </c>
      <c r="E300" t="str">
        <f>IFERROR(VLOOKUP(A300,#REF!,5,TRUE),"not found")</f>
        <v>not found</v>
      </c>
      <c r="F300" t="str">
        <f>IFERROR(VLOOKUP(A300,#REF!,2,TRUE),"")</f>
        <v/>
      </c>
      <c r="G300">
        <v>7150</v>
      </c>
      <c r="H300" t="s">
        <v>2</v>
      </c>
      <c r="O300">
        <v>62</v>
      </c>
      <c r="P300" t="s">
        <v>37</v>
      </c>
      <c r="Q300">
        <v>50</v>
      </c>
      <c r="R300" t="s">
        <v>49</v>
      </c>
      <c r="S300" t="s">
        <v>33</v>
      </c>
      <c r="T300" t="s">
        <v>0</v>
      </c>
      <c r="U300">
        <v>0</v>
      </c>
    </row>
    <row r="301" spans="1:28" x14ac:dyDescent="0.3">
      <c r="C301" t="s">
        <v>48</v>
      </c>
      <c r="D301" s="18">
        <v>45961</v>
      </c>
      <c r="E301" t="str">
        <f>IFERROR(VLOOKUP(A301,#REF!,5,TRUE),"not found")</f>
        <v>not found</v>
      </c>
      <c r="F301" t="str">
        <f>IFERROR(VLOOKUP(A301,#REF!,2,TRUE),"")</f>
        <v/>
      </c>
      <c r="G301">
        <v>7150</v>
      </c>
      <c r="H301" t="s">
        <v>2</v>
      </c>
      <c r="O301">
        <v>62</v>
      </c>
      <c r="P301" t="s">
        <v>37</v>
      </c>
      <c r="Q301">
        <v>50</v>
      </c>
      <c r="R301" t="s">
        <v>49</v>
      </c>
      <c r="S301" t="s">
        <v>33</v>
      </c>
      <c r="T301" t="s">
        <v>0</v>
      </c>
      <c r="U301">
        <v>0</v>
      </c>
    </row>
    <row r="302" spans="1:28" x14ac:dyDescent="0.3">
      <c r="A302" s="18" t="str">
        <f>_xll.RHistory("1EW7175J25",".Timestamp;.Close","START:2025-08-01 END:2025-09-29 INTERVAL:1D")</f>
        <v>Not Signed In</v>
      </c>
      <c r="B302">
        <v>1.75</v>
      </c>
      <c r="C302" t="s">
        <v>50</v>
      </c>
      <c r="D302" s="18">
        <v>45961</v>
      </c>
      <c r="E302" t="str">
        <f>IFERROR(VLOOKUP(A302,#REF!,5,TRUE),"not found")</f>
        <v>not found</v>
      </c>
      <c r="F302" t="str">
        <f>IFERROR(VLOOKUP(A302,#REF!,2,TRUE),"")</f>
        <v/>
      </c>
      <c r="G302">
        <v>7175</v>
      </c>
      <c r="H302" t="s">
        <v>1</v>
      </c>
      <c r="I302" t="e">
        <f ca="1">IF(B302="","",GBlackScholesImpVolBisection(LOWER(H302),F302,G302,(D302-A302)/365,E302,0,B302))</f>
        <v>#NAME?</v>
      </c>
      <c r="J302" t="e">
        <f ca="1">IF(B302="","",GBlackScholesNGreeks("d",LOWER(H302),F302,G302,(D302-A302)/365,E302,0,I302))</f>
        <v>#NAME?</v>
      </c>
      <c r="K302" t="e">
        <f ca="1">IF(B302="","",GBlackScholesNGreeks("v",LOWER(H302),F302,G302,(D302-A302)/365,E302,0,I302))</f>
        <v>#NAME?</v>
      </c>
      <c r="L302" t="e">
        <f ca="1">IF(B302="","",GBlackScholesNGreeks("g",LOWER(H302),F302,G302,(D302-A302)/365,E302,0,I302))</f>
        <v>#NAME?</v>
      </c>
      <c r="M302" t="e">
        <f ca="1">IF(B302="","",GBlackScholesNGreeks("t",LOWER(H302),F302,G302,(D302-A302)/365,E302,0,I302))</f>
        <v>#NAME?</v>
      </c>
      <c r="N302" t="e">
        <f ca="1">IF(B302="","",GBlackScholesNGreeks("r",LOWER(H302),F302,G302,(D302-A302)/365,E302,0,I302))</f>
        <v>#NAME?</v>
      </c>
      <c r="O302">
        <v>63</v>
      </c>
      <c r="P302" t="s">
        <v>38</v>
      </c>
      <c r="Q302">
        <v>50</v>
      </c>
      <c r="R302" t="s">
        <v>51</v>
      </c>
      <c r="S302" t="s">
        <v>33</v>
      </c>
      <c r="T302" t="s">
        <v>0</v>
      </c>
      <c r="U302">
        <v>0</v>
      </c>
      <c r="V302" t="e">
        <f ca="1">IF(B302="","",CGBlackScholes("dddv",LOWER(H302),F302,G302,(D302-A302)/365,E302,0,I302,J302))</f>
        <v>#NAME?</v>
      </c>
      <c r="W302" t="e">
        <f ca="1">IF(B302="","",CGBlackScholes("dvv",LOWER(H302),F302,G302,(D302-A302)/365,E302,0,I302,J302))</f>
        <v>#NAME?</v>
      </c>
      <c r="X302" t="e">
        <f ca="1">IF(B302="","",CGBlackScholes("dt",LOWER(H302),F302,G302,(D302-A302)/365,E302,0,I302,J302))</f>
        <v>#NAME?</v>
      </c>
      <c r="Y302" t="e">
        <f ca="1">IF(B302="","",CGBlackScholes("gps",LOWER(H302),F302,G302,(D302-A302)/365,E302,0,I302,J302))</f>
        <v>#NAME?</v>
      </c>
      <c r="Z302" t="e">
        <f ca="1">IF(B302="","",CGBlackScholes("gpv",LOWER(H302),F302,G302,(D302-A302)/365,E302,0,I302,J302))</f>
        <v>#NAME?</v>
      </c>
      <c r="AA302" t="e">
        <f ca="1">IF(B302="","",CGBlackScholes("dvdv",LOWER(H302),F302,G302,(D302-A302)/365,E302,0,I302,J302))</f>
        <v>#NAME?</v>
      </c>
      <c r="AB302" t="e">
        <f ca="1">IF(B302="","",CGBlackScholes("vvv",LOWER(H302),F302,G302,(D302-A302)/365,E302,0,I302,J302))</f>
        <v>#NAME?</v>
      </c>
    </row>
    <row r="303" spans="1:28" x14ac:dyDescent="0.3">
      <c r="A303" s="18">
        <v>45926</v>
      </c>
      <c r="B303">
        <v>1.9</v>
      </c>
      <c r="C303" t="s">
        <v>50</v>
      </c>
      <c r="D303" s="18">
        <v>45961</v>
      </c>
      <c r="E303" t="str">
        <f>IFERROR(VLOOKUP(A303,#REF!,5,TRUE),"not found")</f>
        <v>not found</v>
      </c>
      <c r="F303" t="str">
        <f>IFERROR(VLOOKUP(A303,#REF!,2,TRUE),"")</f>
        <v/>
      </c>
      <c r="G303">
        <v>7175</v>
      </c>
      <c r="H303" t="s">
        <v>1</v>
      </c>
      <c r="I303" t="e">
        <f ca="1">IF(B303="","",GBlackScholesImpVolBisection(LOWER(H303),F303,G303,(D303-A303)/365,E303,0,B303))</f>
        <v>#NAME?</v>
      </c>
      <c r="J303" t="e">
        <f ca="1">IF(B303="","",GBlackScholesNGreeks("d",LOWER(H303),F303,G303,(D303-A303)/365,E303,0,I303))</f>
        <v>#NAME?</v>
      </c>
      <c r="K303" t="e">
        <f ca="1">IF(B303="","",GBlackScholesNGreeks("v",LOWER(H303),F303,G303,(D303-A303)/365,E303,0,I303))</f>
        <v>#NAME?</v>
      </c>
      <c r="L303" t="e">
        <f ca="1">IF(B303="","",GBlackScholesNGreeks("g",LOWER(H303),F303,G303,(D303-A303)/365,E303,0,I303))</f>
        <v>#NAME?</v>
      </c>
      <c r="M303" t="e">
        <f ca="1">IF(B303="","",GBlackScholesNGreeks("t",LOWER(H303),F303,G303,(D303-A303)/365,E303,0,I303))</f>
        <v>#NAME?</v>
      </c>
      <c r="N303" t="e">
        <f ca="1">IF(B303="","",GBlackScholesNGreeks("r",LOWER(H303),F303,G303,(D303-A303)/365,E303,0,I303))</f>
        <v>#NAME?</v>
      </c>
      <c r="O303">
        <v>63</v>
      </c>
      <c r="P303" t="s">
        <v>38</v>
      </c>
      <c r="Q303">
        <v>50</v>
      </c>
      <c r="R303" t="s">
        <v>51</v>
      </c>
      <c r="S303" t="s">
        <v>33</v>
      </c>
      <c r="T303" t="s">
        <v>0</v>
      </c>
      <c r="U303">
        <v>0</v>
      </c>
      <c r="V303" t="e">
        <f ca="1">IF(B303="","",CGBlackScholes("dddv",LOWER(H303),F303,G303,(D303-A303)/365,E303,0,I303,J303))</f>
        <v>#NAME?</v>
      </c>
      <c r="W303" t="e">
        <f ca="1">IF(B303="","",CGBlackScholes("dvv",LOWER(H303),F303,G303,(D303-A303)/365,E303,0,I303,J303))</f>
        <v>#NAME?</v>
      </c>
      <c r="X303" t="e">
        <f ca="1">IF(B303="","",CGBlackScholes("dt",LOWER(H303),F303,G303,(D303-A303)/365,E303,0,I303,J303))</f>
        <v>#NAME?</v>
      </c>
      <c r="Y303" t="e">
        <f ca="1">IF(B303="","",CGBlackScholes("gps",LOWER(H303),F303,G303,(D303-A303)/365,E303,0,I303,J303))</f>
        <v>#NAME?</v>
      </c>
      <c r="Z303" t="e">
        <f ca="1">IF(B303="","",CGBlackScholes("gpv",LOWER(H303),F303,G303,(D303-A303)/365,E303,0,I303,J303))</f>
        <v>#NAME?</v>
      </c>
      <c r="AA303" t="e">
        <f ca="1">IF(B303="","",CGBlackScholes("dvdv",LOWER(H303),F303,G303,(D303-A303)/365,E303,0,I303,J303))</f>
        <v>#NAME?</v>
      </c>
      <c r="AB303" t="e">
        <f ca="1">IF(B303="","",CGBlackScholes("vvv",LOWER(H303),F303,G303,(D303-A303)/365,E303,0,I303,J303))</f>
        <v>#NAME?</v>
      </c>
    </row>
    <row r="304" spans="1:28" x14ac:dyDescent="0.3">
      <c r="A304" s="18">
        <v>45925</v>
      </c>
      <c r="B304">
        <v>2.0499999999999998</v>
      </c>
      <c r="C304" t="s">
        <v>50</v>
      </c>
      <c r="D304" s="18">
        <v>45961</v>
      </c>
      <c r="E304" t="str">
        <f>IFERROR(VLOOKUP(A304,#REF!,5,TRUE),"not found")</f>
        <v>not found</v>
      </c>
      <c r="F304" t="str">
        <f>IFERROR(VLOOKUP(A304,#REF!,2,TRUE),"")</f>
        <v/>
      </c>
      <c r="G304">
        <v>7175</v>
      </c>
      <c r="H304" t="s">
        <v>1</v>
      </c>
      <c r="I304" t="e">
        <f ca="1">IF(B304="","",GBlackScholesImpVolBisection(LOWER(H304),F304,G304,(D304-A304)/365,E304,0,B304))</f>
        <v>#NAME?</v>
      </c>
      <c r="J304" t="e">
        <f ca="1">IF(B304="","",GBlackScholesNGreeks("d",LOWER(H304),F304,G304,(D304-A304)/365,E304,0,I304))</f>
        <v>#NAME?</v>
      </c>
      <c r="K304" t="e">
        <f ca="1">IF(B304="","",GBlackScholesNGreeks("v",LOWER(H304),F304,G304,(D304-A304)/365,E304,0,I304))</f>
        <v>#NAME?</v>
      </c>
      <c r="L304" t="e">
        <f ca="1">IF(B304="","",GBlackScholesNGreeks("g",LOWER(H304),F304,G304,(D304-A304)/365,E304,0,I304))</f>
        <v>#NAME?</v>
      </c>
      <c r="M304" t="e">
        <f ca="1">IF(B304="","",GBlackScholesNGreeks("t",LOWER(H304),F304,G304,(D304-A304)/365,E304,0,I304))</f>
        <v>#NAME?</v>
      </c>
      <c r="N304" t="e">
        <f ca="1">IF(B304="","",GBlackScholesNGreeks("r",LOWER(H304),F304,G304,(D304-A304)/365,E304,0,I304))</f>
        <v>#NAME?</v>
      </c>
      <c r="O304">
        <v>63</v>
      </c>
      <c r="P304" t="s">
        <v>38</v>
      </c>
      <c r="Q304">
        <v>50</v>
      </c>
      <c r="R304" t="s">
        <v>51</v>
      </c>
      <c r="S304" t="s">
        <v>33</v>
      </c>
      <c r="T304" t="s">
        <v>0</v>
      </c>
      <c r="U304">
        <v>0</v>
      </c>
      <c r="V304" t="e">
        <f ca="1">IF(B304="","",CGBlackScholes("dddv",LOWER(H304),F304,G304,(D304-A304)/365,E304,0,I304,J304))</f>
        <v>#NAME?</v>
      </c>
      <c r="W304" t="e">
        <f ca="1">IF(B304="","",CGBlackScholes("dvv",LOWER(H304),F304,G304,(D304-A304)/365,E304,0,I304,J304))</f>
        <v>#NAME?</v>
      </c>
      <c r="X304" t="e">
        <f ca="1">IF(B304="","",CGBlackScholes("dt",LOWER(H304),F304,G304,(D304-A304)/365,E304,0,I304,J304))</f>
        <v>#NAME?</v>
      </c>
      <c r="Y304" t="e">
        <f ca="1">IF(B304="","",CGBlackScholes("gps",LOWER(H304),F304,G304,(D304-A304)/365,E304,0,I304,J304))</f>
        <v>#NAME?</v>
      </c>
      <c r="Z304" t="e">
        <f ca="1">IF(B304="","",CGBlackScholes("gpv",LOWER(H304),F304,G304,(D304-A304)/365,E304,0,I304,J304))</f>
        <v>#NAME?</v>
      </c>
      <c r="AA304" t="e">
        <f ca="1">IF(B304="","",CGBlackScholes("dvdv",LOWER(H304),F304,G304,(D304-A304)/365,E304,0,I304,J304))</f>
        <v>#NAME?</v>
      </c>
      <c r="AB304" t="e">
        <f ca="1">IF(B304="","",CGBlackScholes("vvv",LOWER(H304),F304,G304,(D304-A304)/365,E304,0,I304,J304))</f>
        <v>#NAME?</v>
      </c>
    </row>
    <row r="305" spans="1:28" x14ac:dyDescent="0.3">
      <c r="A305" s="18">
        <v>45924</v>
      </c>
      <c r="B305">
        <v>3</v>
      </c>
      <c r="C305" t="s">
        <v>50</v>
      </c>
      <c r="D305" s="18">
        <v>45961</v>
      </c>
      <c r="E305" t="str">
        <f>IFERROR(VLOOKUP(A305,#REF!,5,TRUE),"not found")</f>
        <v>not found</v>
      </c>
      <c r="F305" t="str">
        <f>IFERROR(VLOOKUP(A305,#REF!,2,TRUE),"")</f>
        <v/>
      </c>
      <c r="G305">
        <v>7175</v>
      </c>
      <c r="H305" t="s">
        <v>1</v>
      </c>
      <c r="I305" t="e">
        <f ca="1">IF(B305="","",GBlackScholesImpVolBisection(LOWER(H305),F305,G305,(D305-A305)/365,E305,0,B305))</f>
        <v>#NAME?</v>
      </c>
      <c r="J305" t="e">
        <f ca="1">IF(B305="","",GBlackScholesNGreeks("d",LOWER(H305),F305,G305,(D305-A305)/365,E305,0,I305))</f>
        <v>#NAME?</v>
      </c>
      <c r="K305" t="e">
        <f ca="1">IF(B305="","",GBlackScholesNGreeks("v",LOWER(H305),F305,G305,(D305-A305)/365,E305,0,I305))</f>
        <v>#NAME?</v>
      </c>
      <c r="L305" t="e">
        <f ca="1">IF(B305="","",GBlackScholesNGreeks("g",LOWER(H305),F305,G305,(D305-A305)/365,E305,0,I305))</f>
        <v>#NAME?</v>
      </c>
      <c r="M305" t="e">
        <f ca="1">IF(B305="","",GBlackScholesNGreeks("t",LOWER(H305),F305,G305,(D305-A305)/365,E305,0,I305))</f>
        <v>#NAME?</v>
      </c>
      <c r="N305" t="e">
        <f ca="1">IF(B305="","",GBlackScholesNGreeks("r",LOWER(H305),F305,G305,(D305-A305)/365,E305,0,I305))</f>
        <v>#NAME?</v>
      </c>
      <c r="O305">
        <v>63</v>
      </c>
      <c r="P305" t="s">
        <v>38</v>
      </c>
      <c r="Q305">
        <v>50</v>
      </c>
      <c r="R305" t="s">
        <v>51</v>
      </c>
      <c r="S305" t="s">
        <v>33</v>
      </c>
      <c r="T305" t="s">
        <v>0</v>
      </c>
      <c r="U305">
        <v>0</v>
      </c>
      <c r="V305" t="e">
        <f ca="1">IF(B305="","",CGBlackScholes("dddv",LOWER(H305),F305,G305,(D305-A305)/365,E305,0,I305,J305))</f>
        <v>#NAME?</v>
      </c>
      <c r="W305" t="e">
        <f ca="1">IF(B305="","",CGBlackScholes("dvv",LOWER(H305),F305,G305,(D305-A305)/365,E305,0,I305,J305))</f>
        <v>#NAME?</v>
      </c>
      <c r="X305" t="e">
        <f ca="1">IF(B305="","",CGBlackScholes("dt",LOWER(H305),F305,G305,(D305-A305)/365,E305,0,I305,J305))</f>
        <v>#NAME?</v>
      </c>
      <c r="Y305" t="e">
        <f ca="1">IF(B305="","",CGBlackScholes("gps",LOWER(H305),F305,G305,(D305-A305)/365,E305,0,I305,J305))</f>
        <v>#NAME?</v>
      </c>
      <c r="Z305" t="e">
        <f ca="1">IF(B305="","",CGBlackScholes("gpv",LOWER(H305),F305,G305,(D305-A305)/365,E305,0,I305,J305))</f>
        <v>#NAME?</v>
      </c>
      <c r="AA305" t="e">
        <f ca="1">IF(B305="","",CGBlackScholes("dvdv",LOWER(H305),F305,G305,(D305-A305)/365,E305,0,I305,J305))</f>
        <v>#NAME?</v>
      </c>
      <c r="AB305" t="e">
        <f ca="1">IF(B305="","",CGBlackScholes("vvv",LOWER(H305),F305,G305,(D305-A305)/365,E305,0,I305,J305))</f>
        <v>#NAME?</v>
      </c>
    </row>
    <row r="306" spans="1:28" x14ac:dyDescent="0.3">
      <c r="A306" s="18">
        <v>45923</v>
      </c>
      <c r="B306">
        <v>4.25</v>
      </c>
      <c r="C306" t="s">
        <v>50</v>
      </c>
      <c r="D306" s="18">
        <v>45961</v>
      </c>
      <c r="E306" t="str">
        <f>IFERROR(VLOOKUP(A306,#REF!,5,TRUE),"not found")</f>
        <v>not found</v>
      </c>
      <c r="F306" t="str">
        <f>IFERROR(VLOOKUP(A306,#REF!,2,TRUE),"")</f>
        <v/>
      </c>
      <c r="G306">
        <v>7175</v>
      </c>
      <c r="H306" t="s">
        <v>1</v>
      </c>
      <c r="I306" t="e">
        <f ca="1">IF(B306="","",GBlackScholesImpVolBisection(LOWER(H306),F306,G306,(D306-A306)/365,E306,0,B306))</f>
        <v>#NAME?</v>
      </c>
      <c r="J306" t="e">
        <f ca="1">IF(B306="","",GBlackScholesNGreeks("d",LOWER(H306),F306,G306,(D306-A306)/365,E306,0,I306))</f>
        <v>#NAME?</v>
      </c>
      <c r="K306" t="e">
        <f ca="1">IF(B306="","",GBlackScholesNGreeks("v",LOWER(H306),F306,G306,(D306-A306)/365,E306,0,I306))</f>
        <v>#NAME?</v>
      </c>
      <c r="L306" t="e">
        <f ca="1">IF(B306="","",GBlackScholesNGreeks("g",LOWER(H306),F306,G306,(D306-A306)/365,E306,0,I306))</f>
        <v>#NAME?</v>
      </c>
      <c r="M306" t="e">
        <f ca="1">IF(B306="","",GBlackScholesNGreeks("t",LOWER(H306),F306,G306,(D306-A306)/365,E306,0,I306))</f>
        <v>#NAME?</v>
      </c>
      <c r="N306" t="e">
        <f ca="1">IF(B306="","",GBlackScholesNGreeks("r",LOWER(H306),F306,G306,(D306-A306)/365,E306,0,I306))</f>
        <v>#NAME?</v>
      </c>
      <c r="O306">
        <v>63</v>
      </c>
      <c r="P306" t="s">
        <v>38</v>
      </c>
      <c r="Q306">
        <v>50</v>
      </c>
      <c r="R306" t="s">
        <v>51</v>
      </c>
      <c r="S306" t="s">
        <v>33</v>
      </c>
      <c r="T306" t="s">
        <v>0</v>
      </c>
      <c r="U306">
        <v>0</v>
      </c>
      <c r="V306" t="e">
        <f ca="1">IF(B306="","",CGBlackScholes("dddv",LOWER(H306),F306,G306,(D306-A306)/365,E306,0,I306,J306))</f>
        <v>#NAME?</v>
      </c>
      <c r="W306" t="e">
        <f ca="1">IF(B306="","",CGBlackScholes("dvv",LOWER(H306),F306,G306,(D306-A306)/365,E306,0,I306,J306))</f>
        <v>#NAME?</v>
      </c>
      <c r="X306" t="e">
        <f ca="1">IF(B306="","",CGBlackScholes("dt",LOWER(H306),F306,G306,(D306-A306)/365,E306,0,I306,J306))</f>
        <v>#NAME?</v>
      </c>
      <c r="Y306" t="e">
        <f ca="1">IF(B306="","",CGBlackScholes("gps",LOWER(H306),F306,G306,(D306-A306)/365,E306,0,I306,J306))</f>
        <v>#NAME?</v>
      </c>
      <c r="Z306" t="e">
        <f ca="1">IF(B306="","",CGBlackScholes("gpv",LOWER(H306),F306,G306,(D306-A306)/365,E306,0,I306,J306))</f>
        <v>#NAME?</v>
      </c>
      <c r="AA306" t="e">
        <f ca="1">IF(B306="","",CGBlackScholes("dvdv",LOWER(H306),F306,G306,(D306-A306)/365,E306,0,I306,J306))</f>
        <v>#NAME?</v>
      </c>
      <c r="AB306" t="e">
        <f ca="1">IF(B306="","",CGBlackScholes("vvv",LOWER(H306),F306,G306,(D306-A306)/365,E306,0,I306,J306))</f>
        <v>#NAME?</v>
      </c>
    </row>
    <row r="307" spans="1:28" x14ac:dyDescent="0.3">
      <c r="A307" s="18">
        <v>45922</v>
      </c>
      <c r="B307">
        <v>5.8</v>
      </c>
      <c r="C307" t="s">
        <v>50</v>
      </c>
      <c r="D307" s="18">
        <v>45961</v>
      </c>
      <c r="E307" t="str">
        <f>IFERROR(VLOOKUP(A307,#REF!,5,TRUE),"not found")</f>
        <v>not found</v>
      </c>
      <c r="F307" t="str">
        <f>IFERROR(VLOOKUP(A307,#REF!,2,TRUE),"")</f>
        <v/>
      </c>
      <c r="G307">
        <v>7175</v>
      </c>
      <c r="H307" t="s">
        <v>1</v>
      </c>
      <c r="I307" t="e">
        <f ca="1">IF(B307="","",GBlackScholesImpVolBisection(LOWER(H307),F307,G307,(D307-A307)/365,E307,0,B307))</f>
        <v>#NAME?</v>
      </c>
      <c r="J307" t="e">
        <f ca="1">IF(B307="","",GBlackScholesNGreeks("d",LOWER(H307),F307,G307,(D307-A307)/365,E307,0,I307))</f>
        <v>#NAME?</v>
      </c>
      <c r="K307" t="e">
        <f ca="1">IF(B307="","",GBlackScholesNGreeks("v",LOWER(H307),F307,G307,(D307-A307)/365,E307,0,I307))</f>
        <v>#NAME?</v>
      </c>
      <c r="L307" t="e">
        <f ca="1">IF(B307="","",GBlackScholesNGreeks("g",LOWER(H307),F307,G307,(D307-A307)/365,E307,0,I307))</f>
        <v>#NAME?</v>
      </c>
      <c r="M307" t="e">
        <f ca="1">IF(B307="","",GBlackScholesNGreeks("t",LOWER(H307),F307,G307,(D307-A307)/365,E307,0,I307))</f>
        <v>#NAME?</v>
      </c>
      <c r="N307" t="e">
        <f ca="1">IF(B307="","",GBlackScholesNGreeks("r",LOWER(H307),F307,G307,(D307-A307)/365,E307,0,I307))</f>
        <v>#NAME?</v>
      </c>
      <c r="O307">
        <v>63</v>
      </c>
      <c r="P307" t="s">
        <v>38</v>
      </c>
      <c r="Q307">
        <v>50</v>
      </c>
      <c r="R307" t="s">
        <v>51</v>
      </c>
      <c r="S307" t="s">
        <v>33</v>
      </c>
      <c r="T307" t="s">
        <v>0</v>
      </c>
      <c r="U307">
        <v>0</v>
      </c>
      <c r="V307" t="e">
        <f ca="1">IF(B307="","",CGBlackScholes("dddv",LOWER(H307),F307,G307,(D307-A307)/365,E307,0,I307,J307))</f>
        <v>#NAME?</v>
      </c>
      <c r="W307" t="e">
        <f ca="1">IF(B307="","",CGBlackScholes("dvv",LOWER(H307),F307,G307,(D307-A307)/365,E307,0,I307,J307))</f>
        <v>#NAME?</v>
      </c>
      <c r="X307" t="e">
        <f ca="1">IF(B307="","",CGBlackScholes("dt",LOWER(H307),F307,G307,(D307-A307)/365,E307,0,I307,J307))</f>
        <v>#NAME?</v>
      </c>
      <c r="Y307" t="e">
        <f ca="1">IF(B307="","",CGBlackScholes("gps",LOWER(H307),F307,G307,(D307-A307)/365,E307,0,I307,J307))</f>
        <v>#NAME?</v>
      </c>
      <c r="Z307" t="e">
        <f ca="1">IF(B307="","",CGBlackScholes("gpv",LOWER(H307),F307,G307,(D307-A307)/365,E307,0,I307,J307))</f>
        <v>#NAME?</v>
      </c>
      <c r="AA307" t="e">
        <f ca="1">IF(B307="","",CGBlackScholes("dvdv",LOWER(H307),F307,G307,(D307-A307)/365,E307,0,I307,J307))</f>
        <v>#NAME?</v>
      </c>
      <c r="AB307" t="e">
        <f ca="1">IF(B307="","",CGBlackScholes("vvv",LOWER(H307),F307,G307,(D307-A307)/365,E307,0,I307,J307))</f>
        <v>#NAME?</v>
      </c>
    </row>
    <row r="308" spans="1:28" x14ac:dyDescent="0.3">
      <c r="A308" s="18">
        <v>45919</v>
      </c>
      <c r="B308">
        <v>4.4000000000000004</v>
      </c>
      <c r="C308" t="s">
        <v>50</v>
      </c>
      <c r="D308" s="18">
        <v>45961</v>
      </c>
      <c r="E308" t="str">
        <f>IFERROR(VLOOKUP(A308,#REF!,5,TRUE),"not found")</f>
        <v>not found</v>
      </c>
      <c r="F308" t="str">
        <f>IFERROR(VLOOKUP(A308,#REF!,2,TRUE),"")</f>
        <v/>
      </c>
      <c r="G308">
        <v>7175</v>
      </c>
      <c r="H308" t="s">
        <v>1</v>
      </c>
      <c r="I308" t="e">
        <f ca="1">IF(B308="","",GBlackScholesImpVolBisection(LOWER(H308),F308,G308,(D308-A308)/365,E308,0,B308))</f>
        <v>#NAME?</v>
      </c>
      <c r="J308" t="e">
        <f ca="1">IF(B308="","",GBlackScholesNGreeks("d",LOWER(H308),F308,G308,(D308-A308)/365,E308,0,I308))</f>
        <v>#NAME?</v>
      </c>
      <c r="K308" t="e">
        <f ca="1">IF(B308="","",GBlackScholesNGreeks("v",LOWER(H308),F308,G308,(D308-A308)/365,E308,0,I308))</f>
        <v>#NAME?</v>
      </c>
      <c r="L308" t="e">
        <f ca="1">IF(B308="","",GBlackScholesNGreeks("g",LOWER(H308),F308,G308,(D308-A308)/365,E308,0,I308))</f>
        <v>#NAME?</v>
      </c>
      <c r="M308" t="e">
        <f ca="1">IF(B308="","",GBlackScholesNGreeks("t",LOWER(H308),F308,G308,(D308-A308)/365,E308,0,I308))</f>
        <v>#NAME?</v>
      </c>
      <c r="N308" t="e">
        <f ca="1">IF(B308="","",GBlackScholesNGreeks("r",LOWER(H308),F308,G308,(D308-A308)/365,E308,0,I308))</f>
        <v>#NAME?</v>
      </c>
      <c r="O308">
        <v>63</v>
      </c>
      <c r="P308" t="s">
        <v>38</v>
      </c>
      <c r="Q308">
        <v>50</v>
      </c>
      <c r="R308" t="s">
        <v>51</v>
      </c>
      <c r="S308" t="s">
        <v>33</v>
      </c>
      <c r="T308" t="s">
        <v>0</v>
      </c>
      <c r="U308">
        <v>0</v>
      </c>
      <c r="V308" t="e">
        <f ca="1">IF(B308="","",CGBlackScholes("dddv",LOWER(H308),F308,G308,(D308-A308)/365,E308,0,I308,J308))</f>
        <v>#NAME?</v>
      </c>
      <c r="W308" t="e">
        <f ca="1">IF(B308="","",CGBlackScholes("dvv",LOWER(H308),F308,G308,(D308-A308)/365,E308,0,I308,J308))</f>
        <v>#NAME?</v>
      </c>
      <c r="X308" t="e">
        <f ca="1">IF(B308="","",CGBlackScholes("dt",LOWER(H308),F308,G308,(D308-A308)/365,E308,0,I308,J308))</f>
        <v>#NAME?</v>
      </c>
      <c r="Y308" t="e">
        <f ca="1">IF(B308="","",CGBlackScholes("gps",LOWER(H308),F308,G308,(D308-A308)/365,E308,0,I308,J308))</f>
        <v>#NAME?</v>
      </c>
      <c r="Z308" t="e">
        <f ca="1">IF(B308="","",CGBlackScholes("gpv",LOWER(H308),F308,G308,(D308-A308)/365,E308,0,I308,J308))</f>
        <v>#NAME?</v>
      </c>
      <c r="AA308" t="e">
        <f ca="1">IF(B308="","",CGBlackScholes("dvdv",LOWER(H308),F308,G308,(D308-A308)/365,E308,0,I308,J308))</f>
        <v>#NAME?</v>
      </c>
      <c r="AB308" t="e">
        <f ca="1">IF(B308="","",CGBlackScholes("vvv",LOWER(H308),F308,G308,(D308-A308)/365,E308,0,I308,J308))</f>
        <v>#NAME?</v>
      </c>
    </row>
    <row r="309" spans="1:28" x14ac:dyDescent="0.3">
      <c r="A309" s="18">
        <v>45918</v>
      </c>
      <c r="B309">
        <v>3.7</v>
      </c>
      <c r="C309" t="s">
        <v>50</v>
      </c>
      <c r="D309" s="18">
        <v>45961</v>
      </c>
      <c r="E309" t="str">
        <f>IFERROR(VLOOKUP(A309,#REF!,5,TRUE),"not found")</f>
        <v>not found</v>
      </c>
      <c r="F309" t="str">
        <f>IFERROR(VLOOKUP(A309,#REF!,2,TRUE),"")</f>
        <v/>
      </c>
      <c r="G309">
        <v>7175</v>
      </c>
      <c r="H309" t="s">
        <v>1</v>
      </c>
      <c r="I309" t="e">
        <f ca="1">IF(B309="","",GBlackScholesImpVolBisection(LOWER(H309),F309,G309,(D309-A309)/365,E309,0,B309))</f>
        <v>#NAME?</v>
      </c>
      <c r="J309" t="e">
        <f ca="1">IF(B309="","",GBlackScholesNGreeks("d",LOWER(H309),F309,G309,(D309-A309)/365,E309,0,I309))</f>
        <v>#NAME?</v>
      </c>
      <c r="K309" t="e">
        <f ca="1">IF(B309="","",GBlackScholesNGreeks("v",LOWER(H309),F309,G309,(D309-A309)/365,E309,0,I309))</f>
        <v>#NAME?</v>
      </c>
      <c r="L309" t="e">
        <f ca="1">IF(B309="","",GBlackScholesNGreeks("g",LOWER(H309),F309,G309,(D309-A309)/365,E309,0,I309))</f>
        <v>#NAME?</v>
      </c>
      <c r="M309" t="e">
        <f ca="1">IF(B309="","",GBlackScholesNGreeks("t",LOWER(H309),F309,G309,(D309-A309)/365,E309,0,I309))</f>
        <v>#NAME?</v>
      </c>
      <c r="N309" t="e">
        <f ca="1">IF(B309="","",GBlackScholesNGreeks("r",LOWER(H309),F309,G309,(D309-A309)/365,E309,0,I309))</f>
        <v>#NAME?</v>
      </c>
      <c r="O309">
        <v>63</v>
      </c>
      <c r="P309" t="s">
        <v>38</v>
      </c>
      <c r="Q309">
        <v>50</v>
      </c>
      <c r="R309" t="s">
        <v>51</v>
      </c>
      <c r="S309" t="s">
        <v>33</v>
      </c>
      <c r="T309" t="s">
        <v>0</v>
      </c>
      <c r="U309">
        <v>0</v>
      </c>
      <c r="V309" t="e">
        <f ca="1">IF(B309="","",CGBlackScholes("dddv",LOWER(H309),F309,G309,(D309-A309)/365,E309,0,I309,J309))</f>
        <v>#NAME?</v>
      </c>
      <c r="W309" t="e">
        <f ca="1">IF(B309="","",CGBlackScholes("dvv",LOWER(H309),F309,G309,(D309-A309)/365,E309,0,I309,J309))</f>
        <v>#NAME?</v>
      </c>
      <c r="X309" t="e">
        <f ca="1">IF(B309="","",CGBlackScholes("dt",LOWER(H309),F309,G309,(D309-A309)/365,E309,0,I309,J309))</f>
        <v>#NAME?</v>
      </c>
      <c r="Y309" t="e">
        <f ca="1">IF(B309="","",CGBlackScholes("gps",LOWER(H309),F309,G309,(D309-A309)/365,E309,0,I309,J309))</f>
        <v>#NAME?</v>
      </c>
      <c r="Z309" t="e">
        <f ca="1">IF(B309="","",CGBlackScholes("gpv",LOWER(H309),F309,G309,(D309-A309)/365,E309,0,I309,J309))</f>
        <v>#NAME?</v>
      </c>
      <c r="AA309" t="e">
        <f ca="1">IF(B309="","",CGBlackScholes("dvdv",LOWER(H309),F309,G309,(D309-A309)/365,E309,0,I309,J309))</f>
        <v>#NAME?</v>
      </c>
      <c r="AB309" t="e">
        <f ca="1">IF(B309="","",CGBlackScholes("vvv",LOWER(H309),F309,G309,(D309-A309)/365,E309,0,I309,J309))</f>
        <v>#NAME?</v>
      </c>
    </row>
    <row r="310" spans="1:28" x14ac:dyDescent="0.3">
      <c r="A310" s="18">
        <v>45917</v>
      </c>
      <c r="B310">
        <v>2.9</v>
      </c>
      <c r="C310" t="s">
        <v>50</v>
      </c>
      <c r="D310" s="18">
        <v>45961</v>
      </c>
      <c r="E310" t="str">
        <f>IFERROR(VLOOKUP(A310,#REF!,5,TRUE),"not found")</f>
        <v>not found</v>
      </c>
      <c r="F310" t="str">
        <f>IFERROR(VLOOKUP(A310,#REF!,2,TRUE),"")</f>
        <v/>
      </c>
      <c r="G310">
        <v>7175</v>
      </c>
      <c r="H310" t="s">
        <v>1</v>
      </c>
      <c r="I310" t="e">
        <f ca="1">IF(B310="","",GBlackScholesImpVolBisection(LOWER(H310),F310,G310,(D310-A310)/365,E310,0,B310))</f>
        <v>#NAME?</v>
      </c>
      <c r="J310" t="e">
        <f ca="1">IF(B310="","",GBlackScholesNGreeks("d",LOWER(H310),F310,G310,(D310-A310)/365,E310,0,I310))</f>
        <v>#NAME?</v>
      </c>
      <c r="K310" t="e">
        <f ca="1">IF(B310="","",GBlackScholesNGreeks("v",LOWER(H310),F310,G310,(D310-A310)/365,E310,0,I310))</f>
        <v>#NAME?</v>
      </c>
      <c r="L310" t="e">
        <f ca="1">IF(B310="","",GBlackScholesNGreeks("g",LOWER(H310),F310,G310,(D310-A310)/365,E310,0,I310))</f>
        <v>#NAME?</v>
      </c>
      <c r="M310" t="e">
        <f ca="1">IF(B310="","",GBlackScholesNGreeks("t",LOWER(H310),F310,G310,(D310-A310)/365,E310,0,I310))</f>
        <v>#NAME?</v>
      </c>
      <c r="N310" t="e">
        <f ca="1">IF(B310="","",GBlackScholesNGreeks("r",LOWER(H310),F310,G310,(D310-A310)/365,E310,0,I310))</f>
        <v>#NAME?</v>
      </c>
      <c r="O310">
        <v>63</v>
      </c>
      <c r="P310" t="s">
        <v>38</v>
      </c>
      <c r="Q310">
        <v>50</v>
      </c>
      <c r="R310" t="s">
        <v>51</v>
      </c>
      <c r="S310" t="s">
        <v>33</v>
      </c>
      <c r="T310" t="s">
        <v>0</v>
      </c>
      <c r="U310">
        <v>0</v>
      </c>
      <c r="V310" t="e">
        <f ca="1">IF(B310="","",CGBlackScholes("dddv",LOWER(H310),F310,G310,(D310-A310)/365,E310,0,I310,J310))</f>
        <v>#NAME?</v>
      </c>
      <c r="W310" t="e">
        <f ca="1">IF(B310="","",CGBlackScholes("dvv",LOWER(H310),F310,G310,(D310-A310)/365,E310,0,I310,J310))</f>
        <v>#NAME?</v>
      </c>
      <c r="X310" t="e">
        <f ca="1">IF(B310="","",CGBlackScholes("dt",LOWER(H310),F310,G310,(D310-A310)/365,E310,0,I310,J310))</f>
        <v>#NAME?</v>
      </c>
      <c r="Y310" t="e">
        <f ca="1">IF(B310="","",CGBlackScholes("gps",LOWER(H310),F310,G310,(D310-A310)/365,E310,0,I310,J310))</f>
        <v>#NAME?</v>
      </c>
      <c r="Z310" t="e">
        <f ca="1">IF(B310="","",CGBlackScholes("gpv",LOWER(H310),F310,G310,(D310-A310)/365,E310,0,I310,J310))</f>
        <v>#NAME?</v>
      </c>
      <c r="AA310" t="e">
        <f ca="1">IF(B310="","",CGBlackScholes("dvdv",LOWER(H310),F310,G310,(D310-A310)/365,E310,0,I310,J310))</f>
        <v>#NAME?</v>
      </c>
      <c r="AB310" t="e">
        <f ca="1">IF(B310="","",CGBlackScholes("vvv",LOWER(H310),F310,G310,(D310-A310)/365,E310,0,I310,J310))</f>
        <v>#NAME?</v>
      </c>
    </row>
    <row r="311" spans="1:28" x14ac:dyDescent="0.3">
      <c r="A311" s="18">
        <v>45916</v>
      </c>
      <c r="B311">
        <v>3.7</v>
      </c>
      <c r="C311" t="s">
        <v>50</v>
      </c>
      <c r="D311" s="18">
        <v>45961</v>
      </c>
      <c r="E311" t="str">
        <f>IFERROR(VLOOKUP(A311,#REF!,5,TRUE),"not found")</f>
        <v>not found</v>
      </c>
      <c r="F311" t="str">
        <f>IFERROR(VLOOKUP(A311,#REF!,2,TRUE),"")</f>
        <v/>
      </c>
      <c r="G311">
        <v>7175</v>
      </c>
      <c r="H311" t="s">
        <v>1</v>
      </c>
      <c r="I311" t="e">
        <f ca="1">IF(B311="","",GBlackScholesImpVolBisection(LOWER(H311),F311,G311,(D311-A311)/365,E311,0,B311))</f>
        <v>#NAME?</v>
      </c>
      <c r="J311" t="e">
        <f ca="1">IF(B311="","",GBlackScholesNGreeks("d",LOWER(H311),F311,G311,(D311-A311)/365,E311,0,I311))</f>
        <v>#NAME?</v>
      </c>
      <c r="K311" t="e">
        <f ca="1">IF(B311="","",GBlackScholesNGreeks("v",LOWER(H311),F311,G311,(D311-A311)/365,E311,0,I311))</f>
        <v>#NAME?</v>
      </c>
      <c r="L311" t="e">
        <f ca="1">IF(B311="","",GBlackScholesNGreeks("g",LOWER(H311),F311,G311,(D311-A311)/365,E311,0,I311))</f>
        <v>#NAME?</v>
      </c>
      <c r="M311" t="e">
        <f ca="1">IF(B311="","",GBlackScholesNGreeks("t",LOWER(H311),F311,G311,(D311-A311)/365,E311,0,I311))</f>
        <v>#NAME?</v>
      </c>
      <c r="N311" t="e">
        <f ca="1">IF(B311="","",GBlackScholesNGreeks("r",LOWER(H311),F311,G311,(D311-A311)/365,E311,0,I311))</f>
        <v>#NAME?</v>
      </c>
      <c r="O311">
        <v>63</v>
      </c>
      <c r="P311" t="s">
        <v>38</v>
      </c>
      <c r="Q311">
        <v>50</v>
      </c>
      <c r="R311" t="s">
        <v>51</v>
      </c>
      <c r="S311" t="s">
        <v>33</v>
      </c>
      <c r="T311" t="s">
        <v>0</v>
      </c>
      <c r="U311">
        <v>0</v>
      </c>
      <c r="V311" t="e">
        <f ca="1">IF(B311="","",CGBlackScholes("dddv",LOWER(H311),F311,G311,(D311-A311)/365,E311,0,I311,J311))</f>
        <v>#NAME?</v>
      </c>
      <c r="W311" t="e">
        <f ca="1">IF(B311="","",CGBlackScholes("dvv",LOWER(H311),F311,G311,(D311-A311)/365,E311,0,I311,J311))</f>
        <v>#NAME?</v>
      </c>
      <c r="X311" t="e">
        <f ca="1">IF(B311="","",CGBlackScholes("dt",LOWER(H311),F311,G311,(D311-A311)/365,E311,0,I311,J311))</f>
        <v>#NAME?</v>
      </c>
      <c r="Y311" t="e">
        <f ca="1">IF(B311="","",CGBlackScholes("gps",LOWER(H311),F311,G311,(D311-A311)/365,E311,0,I311,J311))</f>
        <v>#NAME?</v>
      </c>
      <c r="Z311" t="e">
        <f ca="1">IF(B311="","",CGBlackScholes("gpv",LOWER(H311),F311,G311,(D311-A311)/365,E311,0,I311,J311))</f>
        <v>#NAME?</v>
      </c>
      <c r="AA311" t="e">
        <f ca="1">IF(B311="","",CGBlackScholes("dvdv",LOWER(H311),F311,G311,(D311-A311)/365,E311,0,I311,J311))</f>
        <v>#NAME?</v>
      </c>
      <c r="AB311" t="e">
        <f ca="1">IF(B311="","",CGBlackScholes("vvv",LOWER(H311),F311,G311,(D311-A311)/365,E311,0,I311,J311))</f>
        <v>#NAME?</v>
      </c>
    </row>
    <row r="312" spans="1:28" x14ac:dyDescent="0.3">
      <c r="A312" s="18">
        <v>45915</v>
      </c>
      <c r="B312">
        <v>3.6</v>
      </c>
      <c r="C312" t="s">
        <v>50</v>
      </c>
      <c r="D312" s="18">
        <v>45961</v>
      </c>
      <c r="E312" t="str">
        <f>IFERROR(VLOOKUP(A312,#REF!,5,TRUE),"not found")</f>
        <v>not found</v>
      </c>
      <c r="F312" t="str">
        <f>IFERROR(VLOOKUP(A312,#REF!,2,TRUE),"")</f>
        <v/>
      </c>
      <c r="G312">
        <v>7175</v>
      </c>
      <c r="H312" t="s">
        <v>1</v>
      </c>
      <c r="I312" t="e">
        <f ca="1">IF(B312="","",GBlackScholesImpVolBisection(LOWER(H312),F312,G312,(D312-A312)/365,E312,0,B312))</f>
        <v>#NAME?</v>
      </c>
      <c r="J312" t="e">
        <f ca="1">IF(B312="","",GBlackScholesNGreeks("d",LOWER(H312),F312,G312,(D312-A312)/365,E312,0,I312))</f>
        <v>#NAME?</v>
      </c>
      <c r="K312" t="e">
        <f ca="1">IF(B312="","",GBlackScholesNGreeks("v",LOWER(H312),F312,G312,(D312-A312)/365,E312,0,I312))</f>
        <v>#NAME?</v>
      </c>
      <c r="L312" t="e">
        <f ca="1">IF(B312="","",GBlackScholesNGreeks("g",LOWER(H312),F312,G312,(D312-A312)/365,E312,0,I312))</f>
        <v>#NAME?</v>
      </c>
      <c r="M312" t="e">
        <f ca="1">IF(B312="","",GBlackScholesNGreeks("t",LOWER(H312),F312,G312,(D312-A312)/365,E312,0,I312))</f>
        <v>#NAME?</v>
      </c>
      <c r="N312" t="e">
        <f ca="1">IF(B312="","",GBlackScholesNGreeks("r",LOWER(H312),F312,G312,(D312-A312)/365,E312,0,I312))</f>
        <v>#NAME?</v>
      </c>
      <c r="O312">
        <v>63</v>
      </c>
      <c r="P312" t="s">
        <v>38</v>
      </c>
      <c r="Q312">
        <v>50</v>
      </c>
      <c r="R312" t="s">
        <v>51</v>
      </c>
      <c r="S312" t="s">
        <v>33</v>
      </c>
      <c r="T312" t="s">
        <v>0</v>
      </c>
      <c r="U312">
        <v>0</v>
      </c>
      <c r="V312" t="e">
        <f ca="1">IF(B312="","",CGBlackScholes("dddv",LOWER(H312),F312,G312,(D312-A312)/365,E312,0,I312,J312))</f>
        <v>#NAME?</v>
      </c>
      <c r="W312" t="e">
        <f ca="1">IF(B312="","",CGBlackScholes("dvv",LOWER(H312),F312,G312,(D312-A312)/365,E312,0,I312,J312))</f>
        <v>#NAME?</v>
      </c>
      <c r="X312" t="e">
        <f ca="1">IF(B312="","",CGBlackScholes("dt",LOWER(H312),F312,G312,(D312-A312)/365,E312,0,I312,J312))</f>
        <v>#NAME?</v>
      </c>
      <c r="Y312" t="e">
        <f ca="1">IF(B312="","",CGBlackScholes("gps",LOWER(H312),F312,G312,(D312-A312)/365,E312,0,I312,J312))</f>
        <v>#NAME?</v>
      </c>
      <c r="Z312" t="e">
        <f ca="1">IF(B312="","",CGBlackScholes("gpv",LOWER(H312),F312,G312,(D312-A312)/365,E312,0,I312,J312))</f>
        <v>#NAME?</v>
      </c>
      <c r="AA312" t="e">
        <f ca="1">IF(B312="","",CGBlackScholes("dvdv",LOWER(H312),F312,G312,(D312-A312)/365,E312,0,I312,J312))</f>
        <v>#NAME?</v>
      </c>
      <c r="AB312" t="e">
        <f ca="1">IF(B312="","",CGBlackScholes("vvv",LOWER(H312),F312,G312,(D312-A312)/365,E312,0,I312,J312))</f>
        <v>#NAME?</v>
      </c>
    </row>
    <row r="313" spans="1:28" x14ac:dyDescent="0.3">
      <c r="A313" s="18">
        <v>45912</v>
      </c>
      <c r="B313">
        <v>2.7</v>
      </c>
      <c r="C313" t="s">
        <v>50</v>
      </c>
      <c r="D313" s="18">
        <v>45961</v>
      </c>
      <c r="E313" t="str">
        <f>IFERROR(VLOOKUP(A313,#REF!,5,TRUE),"not found")</f>
        <v>not found</v>
      </c>
      <c r="F313" t="str">
        <f>IFERROR(VLOOKUP(A313,#REF!,2,TRUE),"")</f>
        <v/>
      </c>
      <c r="G313">
        <v>7175</v>
      </c>
      <c r="H313" t="s">
        <v>1</v>
      </c>
      <c r="I313" t="e">
        <f ca="1">IF(B313="","",GBlackScholesImpVolBisection(LOWER(H313),F313,G313,(D313-A313)/365,E313,0,B313))</f>
        <v>#NAME?</v>
      </c>
      <c r="J313" t="e">
        <f ca="1">IF(B313="","",GBlackScholesNGreeks("d",LOWER(H313),F313,G313,(D313-A313)/365,E313,0,I313))</f>
        <v>#NAME?</v>
      </c>
      <c r="K313" t="e">
        <f ca="1">IF(B313="","",GBlackScholesNGreeks("v",LOWER(H313),F313,G313,(D313-A313)/365,E313,0,I313))</f>
        <v>#NAME?</v>
      </c>
      <c r="L313" t="e">
        <f ca="1">IF(B313="","",GBlackScholesNGreeks("g",LOWER(H313),F313,G313,(D313-A313)/365,E313,0,I313))</f>
        <v>#NAME?</v>
      </c>
      <c r="M313" t="e">
        <f ca="1">IF(B313="","",GBlackScholesNGreeks("t",LOWER(H313),F313,G313,(D313-A313)/365,E313,0,I313))</f>
        <v>#NAME?</v>
      </c>
      <c r="N313" t="e">
        <f ca="1">IF(B313="","",GBlackScholesNGreeks("r",LOWER(H313),F313,G313,(D313-A313)/365,E313,0,I313))</f>
        <v>#NAME?</v>
      </c>
      <c r="O313">
        <v>63</v>
      </c>
      <c r="P313" t="s">
        <v>38</v>
      </c>
      <c r="Q313">
        <v>50</v>
      </c>
      <c r="R313" t="s">
        <v>51</v>
      </c>
      <c r="S313" t="s">
        <v>33</v>
      </c>
      <c r="T313" t="s">
        <v>0</v>
      </c>
      <c r="U313">
        <v>0</v>
      </c>
      <c r="V313" t="e">
        <f ca="1">IF(B313="","",CGBlackScholes("dddv",LOWER(H313),F313,G313,(D313-A313)/365,E313,0,I313,J313))</f>
        <v>#NAME?</v>
      </c>
      <c r="W313" t="e">
        <f ca="1">IF(B313="","",CGBlackScholes("dvv",LOWER(H313),F313,G313,(D313-A313)/365,E313,0,I313,J313))</f>
        <v>#NAME?</v>
      </c>
      <c r="X313" t="e">
        <f ca="1">IF(B313="","",CGBlackScholes("dt",LOWER(H313),F313,G313,(D313-A313)/365,E313,0,I313,J313))</f>
        <v>#NAME?</v>
      </c>
      <c r="Y313" t="e">
        <f ca="1">IF(B313="","",CGBlackScholes("gps",LOWER(H313),F313,G313,(D313-A313)/365,E313,0,I313,J313))</f>
        <v>#NAME?</v>
      </c>
      <c r="Z313" t="e">
        <f ca="1">IF(B313="","",CGBlackScholes("gpv",LOWER(H313),F313,G313,(D313-A313)/365,E313,0,I313,J313))</f>
        <v>#NAME?</v>
      </c>
      <c r="AA313" t="e">
        <f ca="1">IF(B313="","",CGBlackScholes("dvdv",LOWER(H313),F313,G313,(D313-A313)/365,E313,0,I313,J313))</f>
        <v>#NAME?</v>
      </c>
      <c r="AB313" t="e">
        <f ca="1">IF(B313="","",CGBlackScholes("vvv",LOWER(H313),F313,G313,(D313-A313)/365,E313,0,I313,J313))</f>
        <v>#NAME?</v>
      </c>
    </row>
    <row r="314" spans="1:28" x14ac:dyDescent="0.3">
      <c r="A314" s="18">
        <v>45911</v>
      </c>
      <c r="B314">
        <v>2.85</v>
      </c>
      <c r="C314" t="s">
        <v>50</v>
      </c>
      <c r="D314" s="18">
        <v>45961</v>
      </c>
      <c r="E314" t="str">
        <f>IFERROR(VLOOKUP(A314,#REF!,5,TRUE),"not found")</f>
        <v>not found</v>
      </c>
      <c r="F314" t="str">
        <f>IFERROR(VLOOKUP(A314,#REF!,2,TRUE),"")</f>
        <v/>
      </c>
      <c r="G314">
        <v>7175</v>
      </c>
      <c r="H314" t="s">
        <v>1</v>
      </c>
      <c r="I314" t="e">
        <f ca="1">IF(B314="","",GBlackScholesImpVolBisection(LOWER(H314),F314,G314,(D314-A314)/365,E314,0,B314))</f>
        <v>#NAME?</v>
      </c>
      <c r="J314" t="e">
        <f ca="1">IF(B314="","",GBlackScholesNGreeks("d",LOWER(H314),F314,G314,(D314-A314)/365,E314,0,I314))</f>
        <v>#NAME?</v>
      </c>
      <c r="K314" t="e">
        <f ca="1">IF(B314="","",GBlackScholesNGreeks("v",LOWER(H314),F314,G314,(D314-A314)/365,E314,0,I314))</f>
        <v>#NAME?</v>
      </c>
      <c r="L314" t="e">
        <f ca="1">IF(B314="","",GBlackScholesNGreeks("g",LOWER(H314),F314,G314,(D314-A314)/365,E314,0,I314))</f>
        <v>#NAME?</v>
      </c>
      <c r="M314" t="e">
        <f ca="1">IF(B314="","",GBlackScholesNGreeks("t",LOWER(H314),F314,G314,(D314-A314)/365,E314,0,I314))</f>
        <v>#NAME?</v>
      </c>
      <c r="N314" t="e">
        <f ca="1">IF(B314="","",GBlackScholesNGreeks("r",LOWER(H314),F314,G314,(D314-A314)/365,E314,0,I314))</f>
        <v>#NAME?</v>
      </c>
      <c r="O314">
        <v>63</v>
      </c>
      <c r="P314" t="s">
        <v>38</v>
      </c>
      <c r="Q314">
        <v>50</v>
      </c>
      <c r="R314" t="s">
        <v>51</v>
      </c>
      <c r="S314" t="s">
        <v>33</v>
      </c>
      <c r="T314" t="s">
        <v>0</v>
      </c>
      <c r="U314">
        <v>0</v>
      </c>
      <c r="V314" t="e">
        <f ca="1">IF(B314="","",CGBlackScholes("dddv",LOWER(H314),F314,G314,(D314-A314)/365,E314,0,I314,J314))</f>
        <v>#NAME?</v>
      </c>
      <c r="W314" t="e">
        <f ca="1">IF(B314="","",CGBlackScholes("dvv",LOWER(H314),F314,G314,(D314-A314)/365,E314,0,I314,J314))</f>
        <v>#NAME?</v>
      </c>
      <c r="X314" t="e">
        <f ca="1">IF(B314="","",CGBlackScholes("dt",LOWER(H314),F314,G314,(D314-A314)/365,E314,0,I314,J314))</f>
        <v>#NAME?</v>
      </c>
      <c r="Y314" t="e">
        <f ca="1">IF(B314="","",CGBlackScholes("gps",LOWER(H314),F314,G314,(D314-A314)/365,E314,0,I314,J314))</f>
        <v>#NAME?</v>
      </c>
      <c r="Z314" t="e">
        <f ca="1">IF(B314="","",CGBlackScholes("gpv",LOWER(H314),F314,G314,(D314-A314)/365,E314,0,I314,J314))</f>
        <v>#NAME?</v>
      </c>
      <c r="AA314" t="e">
        <f ca="1">IF(B314="","",CGBlackScholes("dvdv",LOWER(H314),F314,G314,(D314-A314)/365,E314,0,I314,J314))</f>
        <v>#NAME?</v>
      </c>
      <c r="AB314" t="e">
        <f ca="1">IF(B314="","",CGBlackScholes("vvv",LOWER(H314),F314,G314,(D314-A314)/365,E314,0,I314,J314))</f>
        <v>#NAME?</v>
      </c>
    </row>
    <row r="315" spans="1:28" x14ac:dyDescent="0.3">
      <c r="A315" s="18">
        <v>45910</v>
      </c>
      <c r="B315">
        <v>1.65</v>
      </c>
      <c r="C315" t="s">
        <v>50</v>
      </c>
      <c r="D315" s="18">
        <v>45961</v>
      </c>
      <c r="E315" t="str">
        <f>IFERROR(VLOOKUP(A315,#REF!,5,TRUE),"not found")</f>
        <v>not found</v>
      </c>
      <c r="F315" t="str">
        <f>IFERROR(VLOOKUP(A315,#REF!,2,TRUE),"")</f>
        <v/>
      </c>
      <c r="G315">
        <v>7175</v>
      </c>
      <c r="H315" t="s">
        <v>1</v>
      </c>
      <c r="I315" t="e">
        <f ca="1">IF(B315="","",GBlackScholesImpVolBisection(LOWER(H315),F315,G315,(D315-A315)/365,E315,0,B315))</f>
        <v>#NAME?</v>
      </c>
      <c r="J315" t="e">
        <f ca="1">IF(B315="","",GBlackScholesNGreeks("d",LOWER(H315),F315,G315,(D315-A315)/365,E315,0,I315))</f>
        <v>#NAME?</v>
      </c>
      <c r="K315" t="e">
        <f ca="1">IF(B315="","",GBlackScholesNGreeks("v",LOWER(H315),F315,G315,(D315-A315)/365,E315,0,I315))</f>
        <v>#NAME?</v>
      </c>
      <c r="L315" t="e">
        <f ca="1">IF(B315="","",GBlackScholesNGreeks("g",LOWER(H315),F315,G315,(D315-A315)/365,E315,0,I315))</f>
        <v>#NAME?</v>
      </c>
      <c r="M315" t="e">
        <f ca="1">IF(B315="","",GBlackScholesNGreeks("t",LOWER(H315),F315,G315,(D315-A315)/365,E315,0,I315))</f>
        <v>#NAME?</v>
      </c>
      <c r="N315" t="e">
        <f ca="1">IF(B315="","",GBlackScholesNGreeks("r",LOWER(H315),F315,G315,(D315-A315)/365,E315,0,I315))</f>
        <v>#NAME?</v>
      </c>
      <c r="O315">
        <v>63</v>
      </c>
      <c r="P315" t="s">
        <v>38</v>
      </c>
      <c r="Q315">
        <v>50</v>
      </c>
      <c r="R315" t="s">
        <v>51</v>
      </c>
      <c r="S315" t="s">
        <v>33</v>
      </c>
      <c r="T315" t="s">
        <v>0</v>
      </c>
      <c r="U315">
        <v>0</v>
      </c>
      <c r="V315" t="e">
        <f ca="1">IF(B315="","",CGBlackScholes("dddv",LOWER(H315),F315,G315,(D315-A315)/365,E315,0,I315,J315))</f>
        <v>#NAME?</v>
      </c>
      <c r="W315" t="e">
        <f ca="1">IF(B315="","",CGBlackScholes("dvv",LOWER(H315),F315,G315,(D315-A315)/365,E315,0,I315,J315))</f>
        <v>#NAME?</v>
      </c>
      <c r="X315" t="e">
        <f ca="1">IF(B315="","",CGBlackScholes("dt",LOWER(H315),F315,G315,(D315-A315)/365,E315,0,I315,J315))</f>
        <v>#NAME?</v>
      </c>
      <c r="Y315" t="e">
        <f ca="1">IF(B315="","",CGBlackScholes("gps",LOWER(H315),F315,G315,(D315-A315)/365,E315,0,I315,J315))</f>
        <v>#NAME?</v>
      </c>
      <c r="Z315" t="e">
        <f ca="1">IF(B315="","",CGBlackScholes("gpv",LOWER(H315),F315,G315,(D315-A315)/365,E315,0,I315,J315))</f>
        <v>#NAME?</v>
      </c>
      <c r="AA315" t="e">
        <f ca="1">IF(B315="","",CGBlackScholes("dvdv",LOWER(H315),F315,G315,(D315-A315)/365,E315,0,I315,J315))</f>
        <v>#NAME?</v>
      </c>
      <c r="AB315" t="e">
        <f ca="1">IF(B315="","",CGBlackScholes("vvv",LOWER(H315),F315,G315,(D315-A315)/365,E315,0,I315,J315))</f>
        <v>#NAME?</v>
      </c>
    </row>
    <row r="316" spans="1:28" x14ac:dyDescent="0.3">
      <c r="A316" s="18">
        <v>45909</v>
      </c>
      <c r="B316">
        <v>1.35</v>
      </c>
      <c r="C316" t="s">
        <v>50</v>
      </c>
      <c r="D316" s="18">
        <v>45961</v>
      </c>
      <c r="E316" t="str">
        <f>IFERROR(VLOOKUP(A316,#REF!,5,TRUE),"not found")</f>
        <v>not found</v>
      </c>
      <c r="F316" t="str">
        <f>IFERROR(VLOOKUP(A316,#REF!,2,TRUE),"")</f>
        <v/>
      </c>
      <c r="G316">
        <v>7175</v>
      </c>
      <c r="H316" t="s">
        <v>1</v>
      </c>
      <c r="I316" t="e">
        <f ca="1">IF(B316="","",GBlackScholesImpVolBisection(LOWER(H316),F316,G316,(D316-A316)/365,E316,0,B316))</f>
        <v>#NAME?</v>
      </c>
      <c r="J316" t="e">
        <f ca="1">IF(B316="","",GBlackScholesNGreeks("d",LOWER(H316),F316,G316,(D316-A316)/365,E316,0,I316))</f>
        <v>#NAME?</v>
      </c>
      <c r="K316" t="e">
        <f ca="1">IF(B316="","",GBlackScholesNGreeks("v",LOWER(H316),F316,G316,(D316-A316)/365,E316,0,I316))</f>
        <v>#NAME?</v>
      </c>
      <c r="L316" t="e">
        <f ca="1">IF(B316="","",GBlackScholesNGreeks("g",LOWER(H316),F316,G316,(D316-A316)/365,E316,0,I316))</f>
        <v>#NAME?</v>
      </c>
      <c r="M316" t="e">
        <f ca="1">IF(B316="","",GBlackScholesNGreeks("t",LOWER(H316),F316,G316,(D316-A316)/365,E316,0,I316))</f>
        <v>#NAME?</v>
      </c>
      <c r="N316" t="e">
        <f ca="1">IF(B316="","",GBlackScholesNGreeks("r",LOWER(H316),F316,G316,(D316-A316)/365,E316,0,I316))</f>
        <v>#NAME?</v>
      </c>
      <c r="O316">
        <v>63</v>
      </c>
      <c r="P316" t="s">
        <v>38</v>
      </c>
      <c r="Q316">
        <v>50</v>
      </c>
      <c r="R316" t="s">
        <v>51</v>
      </c>
      <c r="S316" t="s">
        <v>33</v>
      </c>
      <c r="T316" t="s">
        <v>0</v>
      </c>
      <c r="U316">
        <v>0</v>
      </c>
      <c r="V316" t="e">
        <f ca="1">IF(B316="","",CGBlackScholes("dddv",LOWER(H316),F316,G316,(D316-A316)/365,E316,0,I316,J316))</f>
        <v>#NAME?</v>
      </c>
      <c r="W316" t="e">
        <f ca="1">IF(B316="","",CGBlackScholes("dvv",LOWER(H316),F316,G316,(D316-A316)/365,E316,0,I316,J316))</f>
        <v>#NAME?</v>
      </c>
      <c r="X316" t="e">
        <f ca="1">IF(B316="","",CGBlackScholes("dt",LOWER(H316),F316,G316,(D316-A316)/365,E316,0,I316,J316))</f>
        <v>#NAME?</v>
      </c>
      <c r="Y316" t="e">
        <f ca="1">IF(B316="","",CGBlackScholes("gps",LOWER(H316),F316,G316,(D316-A316)/365,E316,0,I316,J316))</f>
        <v>#NAME?</v>
      </c>
      <c r="Z316" t="e">
        <f ca="1">IF(B316="","",CGBlackScholes("gpv",LOWER(H316),F316,G316,(D316-A316)/365,E316,0,I316,J316))</f>
        <v>#NAME?</v>
      </c>
      <c r="AA316" t="e">
        <f ca="1">IF(B316="","",CGBlackScholes("dvdv",LOWER(H316),F316,G316,(D316-A316)/365,E316,0,I316,J316))</f>
        <v>#NAME?</v>
      </c>
      <c r="AB316" t="e">
        <f ca="1">IF(B316="","",CGBlackScholes("vvv",LOWER(H316),F316,G316,(D316-A316)/365,E316,0,I316,J316))</f>
        <v>#NAME?</v>
      </c>
    </row>
    <row r="317" spans="1:28" x14ac:dyDescent="0.3">
      <c r="A317" s="18">
        <v>45908</v>
      </c>
      <c r="B317">
        <v>1.3</v>
      </c>
      <c r="C317" t="s">
        <v>50</v>
      </c>
      <c r="D317" s="18">
        <v>45961</v>
      </c>
      <c r="E317" t="str">
        <f>IFERROR(VLOOKUP(A317,#REF!,5,TRUE),"not found")</f>
        <v>not found</v>
      </c>
      <c r="F317" t="str">
        <f>IFERROR(VLOOKUP(A317,#REF!,2,TRUE),"")</f>
        <v/>
      </c>
      <c r="G317">
        <v>7175</v>
      </c>
      <c r="H317" t="s">
        <v>1</v>
      </c>
      <c r="I317" t="e">
        <f ca="1">IF(B317="","",GBlackScholesImpVolBisection(LOWER(H317),F317,G317,(D317-A317)/365,E317,0,B317))</f>
        <v>#NAME?</v>
      </c>
      <c r="J317" t="e">
        <f ca="1">IF(B317="","",GBlackScholesNGreeks("d",LOWER(H317),F317,G317,(D317-A317)/365,E317,0,I317))</f>
        <v>#NAME?</v>
      </c>
      <c r="K317" t="e">
        <f ca="1">IF(B317="","",GBlackScholesNGreeks("v",LOWER(H317),F317,G317,(D317-A317)/365,E317,0,I317))</f>
        <v>#NAME?</v>
      </c>
      <c r="L317" t="e">
        <f ca="1">IF(B317="","",GBlackScholesNGreeks("g",LOWER(H317),F317,G317,(D317-A317)/365,E317,0,I317))</f>
        <v>#NAME?</v>
      </c>
      <c r="M317" t="e">
        <f ca="1">IF(B317="","",GBlackScholesNGreeks("t",LOWER(H317),F317,G317,(D317-A317)/365,E317,0,I317))</f>
        <v>#NAME?</v>
      </c>
      <c r="N317" t="e">
        <f ca="1">IF(B317="","",GBlackScholesNGreeks("r",LOWER(H317),F317,G317,(D317-A317)/365,E317,0,I317))</f>
        <v>#NAME?</v>
      </c>
      <c r="O317">
        <v>63</v>
      </c>
      <c r="P317" t="s">
        <v>38</v>
      </c>
      <c r="Q317">
        <v>50</v>
      </c>
      <c r="R317" t="s">
        <v>51</v>
      </c>
      <c r="S317" t="s">
        <v>33</v>
      </c>
      <c r="T317" t="s">
        <v>0</v>
      </c>
      <c r="U317">
        <v>0</v>
      </c>
      <c r="V317" t="e">
        <f ca="1">IF(B317="","",CGBlackScholes("dddv",LOWER(H317),F317,G317,(D317-A317)/365,E317,0,I317,J317))</f>
        <v>#NAME?</v>
      </c>
      <c r="W317" t="e">
        <f ca="1">IF(B317="","",CGBlackScholes("dvv",LOWER(H317),F317,G317,(D317-A317)/365,E317,0,I317,J317))</f>
        <v>#NAME?</v>
      </c>
      <c r="X317" t="e">
        <f ca="1">IF(B317="","",CGBlackScholes("dt",LOWER(H317),F317,G317,(D317-A317)/365,E317,0,I317,J317))</f>
        <v>#NAME?</v>
      </c>
      <c r="Y317" t="e">
        <f ca="1">IF(B317="","",CGBlackScholes("gps",LOWER(H317),F317,G317,(D317-A317)/365,E317,0,I317,J317))</f>
        <v>#NAME?</v>
      </c>
      <c r="Z317" t="e">
        <f ca="1">IF(B317="","",CGBlackScholes("gpv",LOWER(H317),F317,G317,(D317-A317)/365,E317,0,I317,J317))</f>
        <v>#NAME?</v>
      </c>
      <c r="AA317" t="e">
        <f ca="1">IF(B317="","",CGBlackScholes("dvdv",LOWER(H317),F317,G317,(D317-A317)/365,E317,0,I317,J317))</f>
        <v>#NAME?</v>
      </c>
      <c r="AB317" t="e">
        <f ca="1">IF(B317="","",CGBlackScholes("vvv",LOWER(H317),F317,G317,(D317-A317)/365,E317,0,I317,J317))</f>
        <v>#NAME?</v>
      </c>
    </row>
    <row r="318" spans="1:28" x14ac:dyDescent="0.3">
      <c r="A318" s="18">
        <v>45905</v>
      </c>
      <c r="B318">
        <v>1.3</v>
      </c>
      <c r="C318" t="s">
        <v>50</v>
      </c>
      <c r="D318" s="18">
        <v>45961</v>
      </c>
      <c r="E318" t="str">
        <f>IFERROR(VLOOKUP(A318,#REF!,5,TRUE),"not found")</f>
        <v>not found</v>
      </c>
      <c r="F318" t="str">
        <f>IFERROR(VLOOKUP(A318,#REF!,2,TRUE),"")</f>
        <v/>
      </c>
      <c r="G318">
        <v>7175</v>
      </c>
      <c r="H318" t="s">
        <v>1</v>
      </c>
      <c r="I318" t="e">
        <f ca="1">IF(B318="","",GBlackScholesImpVolBisection(LOWER(H318),F318,G318,(D318-A318)/365,E318,0,B318))</f>
        <v>#NAME?</v>
      </c>
      <c r="J318" t="e">
        <f ca="1">IF(B318="","",GBlackScholesNGreeks("d",LOWER(H318),F318,G318,(D318-A318)/365,E318,0,I318))</f>
        <v>#NAME?</v>
      </c>
      <c r="K318" t="e">
        <f ca="1">IF(B318="","",GBlackScholesNGreeks("v",LOWER(H318),F318,G318,(D318-A318)/365,E318,0,I318))</f>
        <v>#NAME?</v>
      </c>
      <c r="L318" t="e">
        <f ca="1">IF(B318="","",GBlackScholesNGreeks("g",LOWER(H318),F318,G318,(D318-A318)/365,E318,0,I318))</f>
        <v>#NAME?</v>
      </c>
      <c r="M318" t="e">
        <f ca="1">IF(B318="","",GBlackScholesNGreeks("t",LOWER(H318),F318,G318,(D318-A318)/365,E318,0,I318))</f>
        <v>#NAME?</v>
      </c>
      <c r="N318" t="e">
        <f ca="1">IF(B318="","",GBlackScholesNGreeks("r",LOWER(H318),F318,G318,(D318-A318)/365,E318,0,I318))</f>
        <v>#NAME?</v>
      </c>
      <c r="O318">
        <v>63</v>
      </c>
      <c r="P318" t="s">
        <v>38</v>
      </c>
      <c r="Q318">
        <v>50</v>
      </c>
      <c r="R318" t="s">
        <v>51</v>
      </c>
      <c r="S318" t="s">
        <v>33</v>
      </c>
      <c r="T318" t="s">
        <v>0</v>
      </c>
      <c r="U318">
        <v>0</v>
      </c>
      <c r="V318" t="e">
        <f ca="1">IF(B318="","",CGBlackScholes("dddv",LOWER(H318),F318,G318,(D318-A318)/365,E318,0,I318,J318))</f>
        <v>#NAME?</v>
      </c>
      <c r="W318" t="e">
        <f ca="1">IF(B318="","",CGBlackScholes("dvv",LOWER(H318),F318,G318,(D318-A318)/365,E318,0,I318,J318))</f>
        <v>#NAME?</v>
      </c>
      <c r="X318" t="e">
        <f ca="1">IF(B318="","",CGBlackScholes("dt",LOWER(H318),F318,G318,(D318-A318)/365,E318,0,I318,J318))</f>
        <v>#NAME?</v>
      </c>
      <c r="Y318" t="e">
        <f ca="1">IF(B318="","",CGBlackScholes("gps",LOWER(H318),F318,G318,(D318-A318)/365,E318,0,I318,J318))</f>
        <v>#NAME?</v>
      </c>
      <c r="Z318" t="e">
        <f ca="1">IF(B318="","",CGBlackScholes("gpv",LOWER(H318),F318,G318,(D318-A318)/365,E318,0,I318,J318))</f>
        <v>#NAME?</v>
      </c>
      <c r="AA318" t="e">
        <f ca="1">IF(B318="","",CGBlackScholes("dvdv",LOWER(H318),F318,G318,(D318-A318)/365,E318,0,I318,J318))</f>
        <v>#NAME?</v>
      </c>
      <c r="AB318" t="e">
        <f ca="1">IF(B318="","",CGBlackScholes("vvv",LOWER(H318),F318,G318,(D318-A318)/365,E318,0,I318,J318))</f>
        <v>#NAME?</v>
      </c>
    </row>
    <row r="319" spans="1:28" x14ac:dyDescent="0.3">
      <c r="A319" s="18">
        <v>45904</v>
      </c>
      <c r="B319">
        <v>1.75</v>
      </c>
      <c r="C319" t="s">
        <v>50</v>
      </c>
      <c r="D319" s="18">
        <v>45961</v>
      </c>
      <c r="E319" t="str">
        <f>IFERROR(VLOOKUP(A319,#REF!,5,TRUE),"not found")</f>
        <v>not found</v>
      </c>
      <c r="F319" t="str">
        <f>IFERROR(VLOOKUP(A319,#REF!,2,TRUE),"")</f>
        <v/>
      </c>
      <c r="G319">
        <v>7175</v>
      </c>
      <c r="H319" t="s">
        <v>1</v>
      </c>
      <c r="I319" t="e">
        <f ca="1">IF(B319="","",GBlackScholesImpVolBisection(LOWER(H319),F319,G319,(D319-A319)/365,E319,0,B319))</f>
        <v>#NAME?</v>
      </c>
      <c r="J319" t="e">
        <f ca="1">IF(B319="","",GBlackScholesNGreeks("d",LOWER(H319),F319,G319,(D319-A319)/365,E319,0,I319))</f>
        <v>#NAME?</v>
      </c>
      <c r="K319" t="e">
        <f ca="1">IF(B319="","",GBlackScholesNGreeks("v",LOWER(H319),F319,G319,(D319-A319)/365,E319,0,I319))</f>
        <v>#NAME?</v>
      </c>
      <c r="L319" t="e">
        <f ca="1">IF(B319="","",GBlackScholesNGreeks("g",LOWER(H319),F319,G319,(D319-A319)/365,E319,0,I319))</f>
        <v>#NAME?</v>
      </c>
      <c r="M319" t="e">
        <f ca="1">IF(B319="","",GBlackScholesNGreeks("t",LOWER(H319),F319,G319,(D319-A319)/365,E319,0,I319))</f>
        <v>#NAME?</v>
      </c>
      <c r="N319" t="e">
        <f ca="1">IF(B319="","",GBlackScholesNGreeks("r",LOWER(H319),F319,G319,(D319-A319)/365,E319,0,I319))</f>
        <v>#NAME?</v>
      </c>
      <c r="O319">
        <v>63</v>
      </c>
      <c r="P319" t="s">
        <v>38</v>
      </c>
      <c r="Q319">
        <v>50</v>
      </c>
      <c r="R319" t="s">
        <v>51</v>
      </c>
      <c r="S319" t="s">
        <v>33</v>
      </c>
      <c r="T319" t="s">
        <v>0</v>
      </c>
      <c r="U319">
        <v>0</v>
      </c>
      <c r="V319" t="e">
        <f ca="1">IF(B319="","",CGBlackScholes("dddv",LOWER(H319),F319,G319,(D319-A319)/365,E319,0,I319,J319))</f>
        <v>#NAME?</v>
      </c>
      <c r="W319" t="e">
        <f ca="1">IF(B319="","",CGBlackScholes("dvv",LOWER(H319),F319,G319,(D319-A319)/365,E319,0,I319,J319))</f>
        <v>#NAME?</v>
      </c>
      <c r="X319" t="e">
        <f ca="1">IF(B319="","",CGBlackScholes("dt",LOWER(H319),F319,G319,(D319-A319)/365,E319,0,I319,J319))</f>
        <v>#NAME?</v>
      </c>
      <c r="Y319" t="e">
        <f ca="1">IF(B319="","",CGBlackScholes("gps",LOWER(H319),F319,G319,(D319-A319)/365,E319,0,I319,J319))</f>
        <v>#NAME?</v>
      </c>
      <c r="Z319" t="e">
        <f ca="1">IF(B319="","",CGBlackScholes("gpv",LOWER(H319),F319,G319,(D319-A319)/365,E319,0,I319,J319))</f>
        <v>#NAME?</v>
      </c>
      <c r="AA319" t="e">
        <f ca="1">IF(B319="","",CGBlackScholes("dvdv",LOWER(H319),F319,G319,(D319-A319)/365,E319,0,I319,J319))</f>
        <v>#NAME?</v>
      </c>
      <c r="AB319" t="e">
        <f ca="1">IF(B319="","",CGBlackScholes("vvv",LOWER(H319),F319,G319,(D319-A319)/365,E319,0,I319,J319))</f>
        <v>#NAME?</v>
      </c>
    </row>
    <row r="320" spans="1:28" x14ac:dyDescent="0.3">
      <c r="A320" s="18">
        <v>45903</v>
      </c>
      <c r="B320">
        <v>1.3</v>
      </c>
      <c r="C320" t="s">
        <v>50</v>
      </c>
      <c r="D320" s="18">
        <v>45961</v>
      </c>
      <c r="E320" t="str">
        <f>IFERROR(VLOOKUP(A320,#REF!,5,TRUE),"not found")</f>
        <v>not found</v>
      </c>
      <c r="F320" t="str">
        <f>IFERROR(VLOOKUP(A320,#REF!,2,TRUE),"")</f>
        <v/>
      </c>
      <c r="G320">
        <v>7175</v>
      </c>
      <c r="H320" t="s">
        <v>1</v>
      </c>
      <c r="I320" t="e">
        <f ca="1">IF(B320="","",GBlackScholesImpVolBisection(LOWER(H320),F320,G320,(D320-A320)/365,E320,0,B320))</f>
        <v>#NAME?</v>
      </c>
      <c r="J320" t="e">
        <f ca="1">IF(B320="","",GBlackScholesNGreeks("d",LOWER(H320),F320,G320,(D320-A320)/365,E320,0,I320))</f>
        <v>#NAME?</v>
      </c>
      <c r="K320" t="e">
        <f ca="1">IF(B320="","",GBlackScholesNGreeks("v",LOWER(H320),F320,G320,(D320-A320)/365,E320,0,I320))</f>
        <v>#NAME?</v>
      </c>
      <c r="L320" t="e">
        <f ca="1">IF(B320="","",GBlackScholesNGreeks("g",LOWER(H320),F320,G320,(D320-A320)/365,E320,0,I320))</f>
        <v>#NAME?</v>
      </c>
      <c r="M320" t="e">
        <f ca="1">IF(B320="","",GBlackScholesNGreeks("t",LOWER(H320),F320,G320,(D320-A320)/365,E320,0,I320))</f>
        <v>#NAME?</v>
      </c>
      <c r="N320" t="e">
        <f ca="1">IF(B320="","",GBlackScholesNGreeks("r",LOWER(H320),F320,G320,(D320-A320)/365,E320,0,I320))</f>
        <v>#NAME?</v>
      </c>
      <c r="O320">
        <v>63</v>
      </c>
      <c r="P320" t="s">
        <v>38</v>
      </c>
      <c r="Q320">
        <v>50</v>
      </c>
      <c r="R320" t="s">
        <v>51</v>
      </c>
      <c r="S320" t="s">
        <v>33</v>
      </c>
      <c r="T320" t="s">
        <v>0</v>
      </c>
      <c r="U320">
        <v>0</v>
      </c>
      <c r="V320" t="e">
        <f ca="1">IF(B320="","",CGBlackScholes("dddv",LOWER(H320),F320,G320,(D320-A320)/365,E320,0,I320,J320))</f>
        <v>#NAME?</v>
      </c>
      <c r="W320" t="e">
        <f ca="1">IF(B320="","",CGBlackScholes("dvv",LOWER(H320),F320,G320,(D320-A320)/365,E320,0,I320,J320))</f>
        <v>#NAME?</v>
      </c>
      <c r="X320" t="e">
        <f ca="1">IF(B320="","",CGBlackScholes("dt",LOWER(H320),F320,G320,(D320-A320)/365,E320,0,I320,J320))</f>
        <v>#NAME?</v>
      </c>
      <c r="Y320" t="e">
        <f ca="1">IF(B320="","",CGBlackScholes("gps",LOWER(H320),F320,G320,(D320-A320)/365,E320,0,I320,J320))</f>
        <v>#NAME?</v>
      </c>
      <c r="Z320" t="e">
        <f ca="1">IF(B320="","",CGBlackScholes("gpv",LOWER(H320),F320,G320,(D320-A320)/365,E320,0,I320,J320))</f>
        <v>#NAME?</v>
      </c>
      <c r="AA320" t="e">
        <f ca="1">IF(B320="","",CGBlackScholes("dvdv",LOWER(H320),F320,G320,(D320-A320)/365,E320,0,I320,J320))</f>
        <v>#NAME?</v>
      </c>
      <c r="AB320" t="e">
        <f ca="1">IF(B320="","",CGBlackScholes("vvv",LOWER(H320),F320,G320,(D320-A320)/365,E320,0,I320,J320))</f>
        <v>#NAME?</v>
      </c>
    </row>
    <row r="321" spans="1:28" x14ac:dyDescent="0.3">
      <c r="A321" s="18">
        <v>45902</v>
      </c>
      <c r="B321">
        <v>1.3</v>
      </c>
      <c r="C321" t="s">
        <v>50</v>
      </c>
      <c r="D321" s="18">
        <v>45961</v>
      </c>
      <c r="E321" t="str">
        <f>IFERROR(VLOOKUP(A321,#REF!,5,TRUE),"not found")</f>
        <v>not found</v>
      </c>
      <c r="F321" t="str">
        <f>IFERROR(VLOOKUP(A321,#REF!,2,TRUE),"")</f>
        <v/>
      </c>
      <c r="G321">
        <v>7175</v>
      </c>
      <c r="H321" t="s">
        <v>1</v>
      </c>
      <c r="I321" t="e">
        <f ca="1">IF(B321="","",GBlackScholesImpVolBisection(LOWER(H321),F321,G321,(D321-A321)/365,E321,0,B321))</f>
        <v>#NAME?</v>
      </c>
      <c r="J321" t="e">
        <f ca="1">IF(B321="","",GBlackScholesNGreeks("d",LOWER(H321),F321,G321,(D321-A321)/365,E321,0,I321))</f>
        <v>#NAME?</v>
      </c>
      <c r="K321" t="e">
        <f ca="1">IF(B321="","",GBlackScholesNGreeks("v",LOWER(H321),F321,G321,(D321-A321)/365,E321,0,I321))</f>
        <v>#NAME?</v>
      </c>
      <c r="L321" t="e">
        <f ca="1">IF(B321="","",GBlackScholesNGreeks("g",LOWER(H321),F321,G321,(D321-A321)/365,E321,0,I321))</f>
        <v>#NAME?</v>
      </c>
      <c r="M321" t="e">
        <f ca="1">IF(B321="","",GBlackScholesNGreeks("t",LOWER(H321),F321,G321,(D321-A321)/365,E321,0,I321))</f>
        <v>#NAME?</v>
      </c>
      <c r="N321" t="e">
        <f ca="1">IF(B321="","",GBlackScholesNGreeks("r",LOWER(H321),F321,G321,(D321-A321)/365,E321,0,I321))</f>
        <v>#NAME?</v>
      </c>
      <c r="O321">
        <v>63</v>
      </c>
      <c r="P321" t="s">
        <v>38</v>
      </c>
      <c r="Q321">
        <v>50</v>
      </c>
      <c r="R321" t="s">
        <v>51</v>
      </c>
      <c r="S321" t="s">
        <v>33</v>
      </c>
      <c r="T321" t="s">
        <v>0</v>
      </c>
      <c r="U321">
        <v>0</v>
      </c>
      <c r="V321" t="e">
        <f ca="1">IF(B321="","",CGBlackScholes("dddv",LOWER(H321),F321,G321,(D321-A321)/365,E321,0,I321,J321))</f>
        <v>#NAME?</v>
      </c>
      <c r="W321" t="e">
        <f ca="1">IF(B321="","",CGBlackScholes("dvv",LOWER(H321),F321,G321,(D321-A321)/365,E321,0,I321,J321))</f>
        <v>#NAME?</v>
      </c>
      <c r="X321" t="e">
        <f ca="1">IF(B321="","",CGBlackScholes("dt",LOWER(H321),F321,G321,(D321-A321)/365,E321,0,I321,J321))</f>
        <v>#NAME?</v>
      </c>
      <c r="Y321" t="e">
        <f ca="1">IF(B321="","",CGBlackScholes("gps",LOWER(H321),F321,G321,(D321-A321)/365,E321,0,I321,J321))</f>
        <v>#NAME?</v>
      </c>
      <c r="Z321" t="e">
        <f ca="1">IF(B321="","",CGBlackScholes("gpv",LOWER(H321),F321,G321,(D321-A321)/365,E321,0,I321,J321))</f>
        <v>#NAME?</v>
      </c>
      <c r="AA321" t="e">
        <f ca="1">IF(B321="","",CGBlackScholes("dvdv",LOWER(H321),F321,G321,(D321-A321)/365,E321,0,I321,J321))</f>
        <v>#NAME?</v>
      </c>
      <c r="AB321" t="e">
        <f ca="1">IF(B321="","",CGBlackScholes("vvv",LOWER(H321),F321,G321,(D321-A321)/365,E321,0,I321,J321))</f>
        <v>#NAME?</v>
      </c>
    </row>
    <row r="322" spans="1:28" x14ac:dyDescent="0.3">
      <c r="A322" s="18">
        <v>45898</v>
      </c>
      <c r="B322">
        <v>1.8</v>
      </c>
      <c r="C322" t="s">
        <v>50</v>
      </c>
      <c r="D322" s="18">
        <v>45961</v>
      </c>
      <c r="E322" t="str">
        <f>IFERROR(VLOOKUP(A322,#REF!,5,TRUE),"not found")</f>
        <v>not found</v>
      </c>
      <c r="F322" t="str">
        <f>IFERROR(VLOOKUP(A322,#REF!,2,TRUE),"")</f>
        <v/>
      </c>
      <c r="G322">
        <v>7175</v>
      </c>
      <c r="H322" t="s">
        <v>1</v>
      </c>
      <c r="I322" t="e">
        <f ca="1">IF(B322="","",GBlackScholesImpVolBisection(LOWER(H322),F322,G322,(D322-A322)/365,E322,0,B322))</f>
        <v>#NAME?</v>
      </c>
      <c r="J322" t="e">
        <f ca="1">IF(B322="","",GBlackScholesNGreeks("d",LOWER(H322),F322,G322,(D322-A322)/365,E322,0,I322))</f>
        <v>#NAME?</v>
      </c>
      <c r="K322" t="e">
        <f ca="1">IF(B322="","",GBlackScholesNGreeks("v",LOWER(H322),F322,G322,(D322-A322)/365,E322,0,I322))</f>
        <v>#NAME?</v>
      </c>
      <c r="L322" t="e">
        <f ca="1">IF(B322="","",GBlackScholesNGreeks("g",LOWER(H322),F322,G322,(D322-A322)/365,E322,0,I322))</f>
        <v>#NAME?</v>
      </c>
      <c r="M322" t="e">
        <f ca="1">IF(B322="","",GBlackScholesNGreeks("t",LOWER(H322),F322,G322,(D322-A322)/365,E322,0,I322))</f>
        <v>#NAME?</v>
      </c>
      <c r="N322" t="e">
        <f ca="1">IF(B322="","",GBlackScholesNGreeks("r",LOWER(H322),F322,G322,(D322-A322)/365,E322,0,I322))</f>
        <v>#NAME?</v>
      </c>
      <c r="O322">
        <v>63</v>
      </c>
      <c r="P322" t="s">
        <v>38</v>
      </c>
      <c r="Q322">
        <v>50</v>
      </c>
      <c r="R322" t="s">
        <v>51</v>
      </c>
      <c r="S322" t="s">
        <v>33</v>
      </c>
      <c r="T322" t="s">
        <v>0</v>
      </c>
      <c r="U322">
        <v>0</v>
      </c>
      <c r="V322" t="e">
        <f ca="1">IF(B322="","",CGBlackScholes("dddv",LOWER(H322),F322,G322,(D322-A322)/365,E322,0,I322,J322))</f>
        <v>#NAME?</v>
      </c>
      <c r="W322" t="e">
        <f ca="1">IF(B322="","",CGBlackScholes("dvv",LOWER(H322),F322,G322,(D322-A322)/365,E322,0,I322,J322))</f>
        <v>#NAME?</v>
      </c>
      <c r="X322" t="e">
        <f ca="1">IF(B322="","",CGBlackScholes("dt",LOWER(H322),F322,G322,(D322-A322)/365,E322,0,I322,J322))</f>
        <v>#NAME?</v>
      </c>
      <c r="Y322" t="e">
        <f ca="1">IF(B322="","",CGBlackScholes("gps",LOWER(H322),F322,G322,(D322-A322)/365,E322,0,I322,J322))</f>
        <v>#NAME?</v>
      </c>
      <c r="Z322" t="e">
        <f ca="1">IF(B322="","",CGBlackScholes("gpv",LOWER(H322),F322,G322,(D322-A322)/365,E322,0,I322,J322))</f>
        <v>#NAME?</v>
      </c>
      <c r="AA322" t="e">
        <f ca="1">IF(B322="","",CGBlackScholes("dvdv",LOWER(H322),F322,G322,(D322-A322)/365,E322,0,I322,J322))</f>
        <v>#NAME?</v>
      </c>
      <c r="AB322" t="e">
        <f ca="1">IF(B322="","",CGBlackScholes("vvv",LOWER(H322),F322,G322,(D322-A322)/365,E322,0,I322,J322))</f>
        <v>#NAME?</v>
      </c>
    </row>
    <row r="323" spans="1:28" x14ac:dyDescent="0.3">
      <c r="A323" s="18">
        <v>45897</v>
      </c>
      <c r="B323">
        <v>2.6</v>
      </c>
      <c r="C323" t="s">
        <v>50</v>
      </c>
      <c r="D323" s="18">
        <v>45961</v>
      </c>
      <c r="E323" t="str">
        <f>IFERROR(VLOOKUP(A323,#REF!,5,TRUE),"not found")</f>
        <v>not found</v>
      </c>
      <c r="F323" t="str">
        <f>IFERROR(VLOOKUP(A323,#REF!,2,TRUE),"")</f>
        <v/>
      </c>
      <c r="G323">
        <v>7175</v>
      </c>
      <c r="H323" t="s">
        <v>1</v>
      </c>
      <c r="I323" t="e">
        <f ca="1">IF(B323="","",GBlackScholesImpVolBisection(LOWER(H323),F323,G323,(D323-A323)/365,E323,0,B323))</f>
        <v>#NAME?</v>
      </c>
      <c r="J323" t="e">
        <f ca="1">IF(B323="","",GBlackScholesNGreeks("d",LOWER(H323),F323,G323,(D323-A323)/365,E323,0,I323))</f>
        <v>#NAME?</v>
      </c>
      <c r="K323" t="e">
        <f ca="1">IF(B323="","",GBlackScholesNGreeks("v",LOWER(H323),F323,G323,(D323-A323)/365,E323,0,I323))</f>
        <v>#NAME?</v>
      </c>
      <c r="L323" t="e">
        <f ca="1">IF(B323="","",GBlackScholesNGreeks("g",LOWER(H323),F323,G323,(D323-A323)/365,E323,0,I323))</f>
        <v>#NAME?</v>
      </c>
      <c r="M323" t="e">
        <f ca="1">IF(B323="","",GBlackScholesNGreeks("t",LOWER(H323),F323,G323,(D323-A323)/365,E323,0,I323))</f>
        <v>#NAME?</v>
      </c>
      <c r="N323" t="e">
        <f ca="1">IF(B323="","",GBlackScholesNGreeks("r",LOWER(H323),F323,G323,(D323-A323)/365,E323,0,I323))</f>
        <v>#NAME?</v>
      </c>
      <c r="O323">
        <v>63</v>
      </c>
      <c r="P323" t="s">
        <v>38</v>
      </c>
      <c r="Q323">
        <v>50</v>
      </c>
      <c r="R323" t="s">
        <v>51</v>
      </c>
      <c r="S323" t="s">
        <v>33</v>
      </c>
      <c r="T323" t="s">
        <v>0</v>
      </c>
      <c r="U323">
        <v>0</v>
      </c>
      <c r="V323" t="e">
        <f ca="1">IF(B323="","",CGBlackScholes("dddv",LOWER(H323),F323,G323,(D323-A323)/365,E323,0,I323,J323))</f>
        <v>#NAME?</v>
      </c>
      <c r="W323" t="e">
        <f ca="1">IF(B323="","",CGBlackScholes("dvv",LOWER(H323),F323,G323,(D323-A323)/365,E323,0,I323,J323))</f>
        <v>#NAME?</v>
      </c>
      <c r="X323" t="e">
        <f ca="1">IF(B323="","",CGBlackScholes("dt",LOWER(H323),F323,G323,(D323-A323)/365,E323,0,I323,J323))</f>
        <v>#NAME?</v>
      </c>
      <c r="Y323" t="e">
        <f ca="1">IF(B323="","",CGBlackScholes("gps",LOWER(H323),F323,G323,(D323-A323)/365,E323,0,I323,J323))</f>
        <v>#NAME?</v>
      </c>
      <c r="Z323" t="e">
        <f ca="1">IF(B323="","",CGBlackScholes("gpv",LOWER(H323),F323,G323,(D323-A323)/365,E323,0,I323,J323))</f>
        <v>#NAME?</v>
      </c>
      <c r="AA323" t="e">
        <f ca="1">IF(B323="","",CGBlackScholes("dvdv",LOWER(H323),F323,G323,(D323-A323)/365,E323,0,I323,J323))</f>
        <v>#NAME?</v>
      </c>
      <c r="AB323" t="e">
        <f ca="1">IF(B323="","",CGBlackScholes("vvv",LOWER(H323),F323,G323,(D323-A323)/365,E323,0,I323,J323))</f>
        <v>#NAME?</v>
      </c>
    </row>
    <row r="324" spans="1:28" x14ac:dyDescent="0.3">
      <c r="A324" s="18">
        <v>45896</v>
      </c>
      <c r="B324">
        <v>2.5499999999999998</v>
      </c>
      <c r="C324" t="s">
        <v>50</v>
      </c>
      <c r="D324" s="18">
        <v>45961</v>
      </c>
      <c r="E324" t="str">
        <f>IFERROR(VLOOKUP(A324,#REF!,5,TRUE),"not found")</f>
        <v>not found</v>
      </c>
      <c r="F324" t="str">
        <f>IFERROR(VLOOKUP(A324,#REF!,2,TRUE),"")</f>
        <v/>
      </c>
      <c r="G324">
        <v>7175</v>
      </c>
      <c r="H324" t="s">
        <v>1</v>
      </c>
      <c r="I324" t="e">
        <f ca="1">IF(B324="","",GBlackScholesImpVolBisection(LOWER(H324),F324,G324,(D324-A324)/365,E324,0,B324))</f>
        <v>#NAME?</v>
      </c>
      <c r="J324" t="e">
        <f ca="1">IF(B324="","",GBlackScholesNGreeks("d",LOWER(H324),F324,G324,(D324-A324)/365,E324,0,I324))</f>
        <v>#NAME?</v>
      </c>
      <c r="K324" t="e">
        <f ca="1">IF(B324="","",GBlackScholesNGreeks("v",LOWER(H324),F324,G324,(D324-A324)/365,E324,0,I324))</f>
        <v>#NAME?</v>
      </c>
      <c r="L324" t="e">
        <f ca="1">IF(B324="","",GBlackScholesNGreeks("g",LOWER(H324),F324,G324,(D324-A324)/365,E324,0,I324))</f>
        <v>#NAME?</v>
      </c>
      <c r="M324" t="e">
        <f ca="1">IF(B324="","",GBlackScholesNGreeks("t",LOWER(H324),F324,G324,(D324-A324)/365,E324,0,I324))</f>
        <v>#NAME?</v>
      </c>
      <c r="N324" t="e">
        <f ca="1">IF(B324="","",GBlackScholesNGreeks("r",LOWER(H324),F324,G324,(D324-A324)/365,E324,0,I324))</f>
        <v>#NAME?</v>
      </c>
      <c r="O324">
        <v>63</v>
      </c>
      <c r="P324" t="s">
        <v>38</v>
      </c>
      <c r="Q324">
        <v>50</v>
      </c>
      <c r="R324" t="s">
        <v>51</v>
      </c>
      <c r="S324" t="s">
        <v>33</v>
      </c>
      <c r="T324" t="s">
        <v>0</v>
      </c>
      <c r="U324">
        <v>0</v>
      </c>
      <c r="V324" t="e">
        <f ca="1">IF(B324="","",CGBlackScholes("dddv",LOWER(H324),F324,G324,(D324-A324)/365,E324,0,I324,J324))</f>
        <v>#NAME?</v>
      </c>
      <c r="W324" t="e">
        <f ca="1">IF(B324="","",CGBlackScholes("dvv",LOWER(H324),F324,G324,(D324-A324)/365,E324,0,I324,J324))</f>
        <v>#NAME?</v>
      </c>
      <c r="X324" t="e">
        <f ca="1">IF(B324="","",CGBlackScholes("dt",LOWER(H324),F324,G324,(D324-A324)/365,E324,0,I324,J324))</f>
        <v>#NAME?</v>
      </c>
      <c r="Y324" t="e">
        <f ca="1">IF(B324="","",CGBlackScholes("gps",LOWER(H324),F324,G324,(D324-A324)/365,E324,0,I324,J324))</f>
        <v>#NAME?</v>
      </c>
      <c r="Z324" t="e">
        <f ca="1">IF(B324="","",CGBlackScholes("gpv",LOWER(H324),F324,G324,(D324-A324)/365,E324,0,I324,J324))</f>
        <v>#NAME?</v>
      </c>
      <c r="AA324" t="e">
        <f ca="1">IF(B324="","",CGBlackScholes("dvdv",LOWER(H324),F324,G324,(D324-A324)/365,E324,0,I324,J324))</f>
        <v>#NAME?</v>
      </c>
      <c r="AB324" t="e">
        <f ca="1">IF(B324="","",CGBlackScholes("vvv",LOWER(H324),F324,G324,(D324-A324)/365,E324,0,I324,J324))</f>
        <v>#NAME?</v>
      </c>
    </row>
    <row r="325" spans="1:28" x14ac:dyDescent="0.3">
      <c r="A325" s="18">
        <v>45895</v>
      </c>
      <c r="B325">
        <v>2.2999999999999998</v>
      </c>
      <c r="C325" t="s">
        <v>50</v>
      </c>
      <c r="D325" s="18">
        <v>45961</v>
      </c>
      <c r="E325" t="str">
        <f>IFERROR(VLOOKUP(A325,#REF!,5,TRUE),"not found")</f>
        <v>not found</v>
      </c>
      <c r="F325" t="str">
        <f>IFERROR(VLOOKUP(A325,#REF!,2,TRUE),"")</f>
        <v/>
      </c>
      <c r="G325">
        <v>7175</v>
      </c>
      <c r="H325" t="s">
        <v>1</v>
      </c>
      <c r="I325" t="e">
        <f ca="1">IF(B325="","",GBlackScholesImpVolBisection(LOWER(H325),F325,G325,(D325-A325)/365,E325,0,B325))</f>
        <v>#NAME?</v>
      </c>
      <c r="J325" t="e">
        <f ca="1">IF(B325="","",GBlackScholesNGreeks("d",LOWER(H325),F325,G325,(D325-A325)/365,E325,0,I325))</f>
        <v>#NAME?</v>
      </c>
      <c r="K325" t="e">
        <f ca="1">IF(B325="","",GBlackScholesNGreeks("v",LOWER(H325),F325,G325,(D325-A325)/365,E325,0,I325))</f>
        <v>#NAME?</v>
      </c>
      <c r="L325" t="e">
        <f ca="1">IF(B325="","",GBlackScholesNGreeks("g",LOWER(H325),F325,G325,(D325-A325)/365,E325,0,I325))</f>
        <v>#NAME?</v>
      </c>
      <c r="M325" t="e">
        <f ca="1">IF(B325="","",GBlackScholesNGreeks("t",LOWER(H325),F325,G325,(D325-A325)/365,E325,0,I325))</f>
        <v>#NAME?</v>
      </c>
      <c r="N325" t="e">
        <f ca="1">IF(B325="","",GBlackScholesNGreeks("r",LOWER(H325),F325,G325,(D325-A325)/365,E325,0,I325))</f>
        <v>#NAME?</v>
      </c>
      <c r="O325">
        <v>63</v>
      </c>
      <c r="P325" t="s">
        <v>38</v>
      </c>
      <c r="Q325">
        <v>50</v>
      </c>
      <c r="R325" t="s">
        <v>51</v>
      </c>
      <c r="S325" t="s">
        <v>33</v>
      </c>
      <c r="T325" t="s">
        <v>0</v>
      </c>
      <c r="U325">
        <v>0</v>
      </c>
      <c r="V325" t="e">
        <f ca="1">IF(B325="","",CGBlackScholes("dddv",LOWER(H325),F325,G325,(D325-A325)/365,E325,0,I325,J325))</f>
        <v>#NAME?</v>
      </c>
      <c r="W325" t="e">
        <f ca="1">IF(B325="","",CGBlackScholes("dvv",LOWER(H325),F325,G325,(D325-A325)/365,E325,0,I325,J325))</f>
        <v>#NAME?</v>
      </c>
      <c r="X325" t="e">
        <f ca="1">IF(B325="","",CGBlackScholes("dt",LOWER(H325),F325,G325,(D325-A325)/365,E325,0,I325,J325))</f>
        <v>#NAME?</v>
      </c>
      <c r="Y325" t="e">
        <f ca="1">IF(B325="","",CGBlackScholes("gps",LOWER(H325),F325,G325,(D325-A325)/365,E325,0,I325,J325))</f>
        <v>#NAME?</v>
      </c>
      <c r="Z325" t="e">
        <f ca="1">IF(B325="","",CGBlackScholes("gpv",LOWER(H325),F325,G325,(D325-A325)/365,E325,0,I325,J325))</f>
        <v>#NAME?</v>
      </c>
      <c r="AA325" t="e">
        <f ca="1">IF(B325="","",CGBlackScholes("dvdv",LOWER(H325),F325,G325,(D325-A325)/365,E325,0,I325,J325))</f>
        <v>#NAME?</v>
      </c>
      <c r="AB325" t="e">
        <f ca="1">IF(B325="","",CGBlackScholes("vvv",LOWER(H325),F325,G325,(D325-A325)/365,E325,0,I325,J325))</f>
        <v>#NAME?</v>
      </c>
    </row>
    <row r="326" spans="1:28" x14ac:dyDescent="0.3">
      <c r="A326" s="18">
        <v>45894</v>
      </c>
      <c r="B326">
        <v>2.15</v>
      </c>
      <c r="C326" t="s">
        <v>50</v>
      </c>
      <c r="D326" s="18">
        <v>45961</v>
      </c>
      <c r="E326" t="str">
        <f>IFERROR(VLOOKUP(A326,#REF!,5,TRUE),"not found")</f>
        <v>not found</v>
      </c>
      <c r="F326" t="str">
        <f>IFERROR(VLOOKUP(A326,#REF!,2,TRUE),"")</f>
        <v/>
      </c>
      <c r="G326">
        <v>7175</v>
      </c>
      <c r="H326" t="s">
        <v>1</v>
      </c>
      <c r="I326" t="e">
        <f ca="1">IF(B326="","",GBlackScholesImpVolBisection(LOWER(H326),F326,G326,(D326-A326)/365,E326,0,B326))</f>
        <v>#NAME?</v>
      </c>
      <c r="J326" t="e">
        <f ca="1">IF(B326="","",GBlackScholesNGreeks("d",LOWER(H326),F326,G326,(D326-A326)/365,E326,0,I326))</f>
        <v>#NAME?</v>
      </c>
      <c r="K326" t="e">
        <f ca="1">IF(B326="","",GBlackScholesNGreeks("v",LOWER(H326),F326,G326,(D326-A326)/365,E326,0,I326))</f>
        <v>#NAME?</v>
      </c>
      <c r="L326" t="e">
        <f ca="1">IF(B326="","",GBlackScholesNGreeks("g",LOWER(H326),F326,G326,(D326-A326)/365,E326,0,I326))</f>
        <v>#NAME?</v>
      </c>
      <c r="M326" t="e">
        <f ca="1">IF(B326="","",GBlackScholesNGreeks("t",LOWER(H326),F326,G326,(D326-A326)/365,E326,0,I326))</f>
        <v>#NAME?</v>
      </c>
      <c r="N326" t="e">
        <f ca="1">IF(B326="","",GBlackScholesNGreeks("r",LOWER(H326),F326,G326,(D326-A326)/365,E326,0,I326))</f>
        <v>#NAME?</v>
      </c>
      <c r="O326">
        <v>63</v>
      </c>
      <c r="P326" t="s">
        <v>38</v>
      </c>
      <c r="Q326">
        <v>50</v>
      </c>
      <c r="R326" t="s">
        <v>51</v>
      </c>
      <c r="S326" t="s">
        <v>33</v>
      </c>
      <c r="T326" t="s">
        <v>0</v>
      </c>
      <c r="U326">
        <v>0</v>
      </c>
      <c r="V326" t="e">
        <f ca="1">IF(B326="","",CGBlackScholes("dddv",LOWER(H326),F326,G326,(D326-A326)/365,E326,0,I326,J326))</f>
        <v>#NAME?</v>
      </c>
      <c r="W326" t="e">
        <f ca="1">IF(B326="","",CGBlackScholes("dvv",LOWER(H326),F326,G326,(D326-A326)/365,E326,0,I326,J326))</f>
        <v>#NAME?</v>
      </c>
      <c r="X326" t="e">
        <f ca="1">IF(B326="","",CGBlackScholes("dt",LOWER(H326),F326,G326,(D326-A326)/365,E326,0,I326,J326))</f>
        <v>#NAME?</v>
      </c>
      <c r="Y326" t="e">
        <f ca="1">IF(B326="","",CGBlackScholes("gps",LOWER(H326),F326,G326,(D326-A326)/365,E326,0,I326,J326))</f>
        <v>#NAME?</v>
      </c>
      <c r="Z326" t="e">
        <f ca="1">IF(B326="","",CGBlackScholes("gpv",LOWER(H326),F326,G326,(D326-A326)/365,E326,0,I326,J326))</f>
        <v>#NAME?</v>
      </c>
      <c r="AA326" t="e">
        <f ca="1">IF(B326="","",CGBlackScholes("dvdv",LOWER(H326),F326,G326,(D326-A326)/365,E326,0,I326,J326))</f>
        <v>#NAME?</v>
      </c>
      <c r="AB326" t="e">
        <f ca="1">IF(B326="","",CGBlackScholes("vvv",LOWER(H326),F326,G326,(D326-A326)/365,E326,0,I326,J326))</f>
        <v>#NAME?</v>
      </c>
    </row>
    <row r="327" spans="1:28" x14ac:dyDescent="0.3">
      <c r="A327" s="18">
        <v>45891</v>
      </c>
      <c r="B327">
        <v>2.5</v>
      </c>
      <c r="C327" t="s">
        <v>50</v>
      </c>
      <c r="D327" s="18">
        <v>45961</v>
      </c>
      <c r="E327" t="str">
        <f>IFERROR(VLOOKUP(A327,#REF!,5,TRUE),"not found")</f>
        <v>not found</v>
      </c>
      <c r="F327" t="str">
        <f>IFERROR(VLOOKUP(A327,#REF!,2,TRUE),"")</f>
        <v/>
      </c>
      <c r="G327">
        <v>7175</v>
      </c>
      <c r="H327" t="s">
        <v>1</v>
      </c>
      <c r="I327" t="e">
        <f ca="1">IF(B327="","",GBlackScholesImpVolBisection(LOWER(H327),F327,G327,(D327-A327)/365,E327,0,B327))</f>
        <v>#NAME?</v>
      </c>
      <c r="J327" t="e">
        <f ca="1">IF(B327="","",GBlackScholesNGreeks("d",LOWER(H327),F327,G327,(D327-A327)/365,E327,0,I327))</f>
        <v>#NAME?</v>
      </c>
      <c r="K327" t="e">
        <f ca="1">IF(B327="","",GBlackScholesNGreeks("v",LOWER(H327),F327,G327,(D327-A327)/365,E327,0,I327))</f>
        <v>#NAME?</v>
      </c>
      <c r="L327" t="e">
        <f ca="1">IF(B327="","",GBlackScholesNGreeks("g",LOWER(H327),F327,G327,(D327-A327)/365,E327,0,I327))</f>
        <v>#NAME?</v>
      </c>
      <c r="M327" t="e">
        <f ca="1">IF(B327="","",GBlackScholesNGreeks("t",LOWER(H327),F327,G327,(D327-A327)/365,E327,0,I327))</f>
        <v>#NAME?</v>
      </c>
      <c r="N327" t="e">
        <f ca="1">IF(B327="","",GBlackScholesNGreeks("r",LOWER(H327),F327,G327,(D327-A327)/365,E327,0,I327))</f>
        <v>#NAME?</v>
      </c>
      <c r="O327">
        <v>63</v>
      </c>
      <c r="P327" t="s">
        <v>38</v>
      </c>
      <c r="Q327">
        <v>50</v>
      </c>
      <c r="R327" t="s">
        <v>51</v>
      </c>
      <c r="S327" t="s">
        <v>33</v>
      </c>
      <c r="T327" t="s">
        <v>0</v>
      </c>
      <c r="U327">
        <v>0</v>
      </c>
      <c r="V327" t="e">
        <f ca="1">IF(B327="","",CGBlackScholes("dddv",LOWER(H327),F327,G327,(D327-A327)/365,E327,0,I327,J327))</f>
        <v>#NAME?</v>
      </c>
      <c r="W327" t="e">
        <f ca="1">IF(B327="","",CGBlackScholes("dvv",LOWER(H327),F327,G327,(D327-A327)/365,E327,0,I327,J327))</f>
        <v>#NAME?</v>
      </c>
      <c r="X327" t="e">
        <f ca="1">IF(B327="","",CGBlackScholes("dt",LOWER(H327),F327,G327,(D327-A327)/365,E327,0,I327,J327))</f>
        <v>#NAME?</v>
      </c>
      <c r="Y327" t="e">
        <f ca="1">IF(B327="","",CGBlackScholes("gps",LOWER(H327),F327,G327,(D327-A327)/365,E327,0,I327,J327))</f>
        <v>#NAME?</v>
      </c>
      <c r="Z327" t="e">
        <f ca="1">IF(B327="","",CGBlackScholes("gpv",LOWER(H327),F327,G327,(D327-A327)/365,E327,0,I327,J327))</f>
        <v>#NAME?</v>
      </c>
      <c r="AA327" t="e">
        <f ca="1">IF(B327="","",CGBlackScholes("dvdv",LOWER(H327),F327,G327,(D327-A327)/365,E327,0,I327,J327))</f>
        <v>#NAME?</v>
      </c>
      <c r="AB327" t="e">
        <f ca="1">IF(B327="","",CGBlackScholes("vvv",LOWER(H327),F327,G327,(D327-A327)/365,E327,0,I327,J327))</f>
        <v>#NAME?</v>
      </c>
    </row>
    <row r="328" spans="1:28" x14ac:dyDescent="0.3">
      <c r="A328" s="18">
        <v>45890</v>
      </c>
      <c r="B328">
        <v>1.8</v>
      </c>
      <c r="C328" t="s">
        <v>50</v>
      </c>
      <c r="D328" s="18">
        <v>45961</v>
      </c>
      <c r="E328" t="str">
        <f>IFERROR(VLOOKUP(A328,#REF!,5,TRUE),"not found")</f>
        <v>not found</v>
      </c>
      <c r="F328" t="str">
        <f>IFERROR(VLOOKUP(A328,#REF!,2,TRUE),"")</f>
        <v/>
      </c>
      <c r="G328">
        <v>7175</v>
      </c>
      <c r="H328" t="s">
        <v>1</v>
      </c>
      <c r="I328" t="e">
        <f ca="1">IF(B328="","",GBlackScholesImpVolBisection(LOWER(H328),F328,G328,(D328-A328)/365,E328,0,B328))</f>
        <v>#NAME?</v>
      </c>
      <c r="J328" t="e">
        <f ca="1">IF(B328="","",GBlackScholesNGreeks("d",LOWER(H328),F328,G328,(D328-A328)/365,E328,0,I328))</f>
        <v>#NAME?</v>
      </c>
      <c r="K328" t="e">
        <f ca="1">IF(B328="","",GBlackScholesNGreeks("v",LOWER(H328),F328,G328,(D328-A328)/365,E328,0,I328))</f>
        <v>#NAME?</v>
      </c>
      <c r="L328" t="e">
        <f ca="1">IF(B328="","",GBlackScholesNGreeks("g",LOWER(H328),F328,G328,(D328-A328)/365,E328,0,I328))</f>
        <v>#NAME?</v>
      </c>
      <c r="M328" t="e">
        <f ca="1">IF(B328="","",GBlackScholesNGreeks("t",LOWER(H328),F328,G328,(D328-A328)/365,E328,0,I328))</f>
        <v>#NAME?</v>
      </c>
      <c r="N328" t="e">
        <f ca="1">IF(B328="","",GBlackScholesNGreeks("r",LOWER(H328),F328,G328,(D328-A328)/365,E328,0,I328))</f>
        <v>#NAME?</v>
      </c>
      <c r="O328">
        <v>63</v>
      </c>
      <c r="P328" t="s">
        <v>38</v>
      </c>
      <c r="Q328">
        <v>50</v>
      </c>
      <c r="R328" t="s">
        <v>51</v>
      </c>
      <c r="S328" t="s">
        <v>33</v>
      </c>
      <c r="T328" t="s">
        <v>0</v>
      </c>
      <c r="U328">
        <v>0</v>
      </c>
      <c r="V328" t="e">
        <f ca="1">IF(B328="","",CGBlackScholes("dddv",LOWER(H328),F328,G328,(D328-A328)/365,E328,0,I328,J328))</f>
        <v>#NAME?</v>
      </c>
      <c r="W328" t="e">
        <f ca="1">IF(B328="","",CGBlackScholes("dvv",LOWER(H328),F328,G328,(D328-A328)/365,E328,0,I328,J328))</f>
        <v>#NAME?</v>
      </c>
      <c r="X328" t="e">
        <f ca="1">IF(B328="","",CGBlackScholes("dt",LOWER(H328),F328,G328,(D328-A328)/365,E328,0,I328,J328))</f>
        <v>#NAME?</v>
      </c>
      <c r="Y328" t="e">
        <f ca="1">IF(B328="","",CGBlackScholes("gps",LOWER(H328),F328,G328,(D328-A328)/365,E328,0,I328,J328))</f>
        <v>#NAME?</v>
      </c>
      <c r="Z328" t="e">
        <f ca="1">IF(B328="","",CGBlackScholes("gpv",LOWER(H328),F328,G328,(D328-A328)/365,E328,0,I328,J328))</f>
        <v>#NAME?</v>
      </c>
      <c r="AA328" t="e">
        <f ca="1">IF(B328="","",CGBlackScholes("dvdv",LOWER(H328),F328,G328,(D328-A328)/365,E328,0,I328,J328))</f>
        <v>#NAME?</v>
      </c>
      <c r="AB328" t="e">
        <f ca="1">IF(B328="","",CGBlackScholes("vvv",LOWER(H328),F328,G328,(D328-A328)/365,E328,0,I328,J328))</f>
        <v>#NAME?</v>
      </c>
    </row>
    <row r="329" spans="1:28" x14ac:dyDescent="0.3">
      <c r="A329" s="18">
        <v>45889</v>
      </c>
      <c r="B329">
        <v>2.15</v>
      </c>
      <c r="C329" t="s">
        <v>50</v>
      </c>
      <c r="D329" s="18">
        <v>45961</v>
      </c>
      <c r="E329" t="str">
        <f>IFERROR(VLOOKUP(A329,#REF!,5,TRUE),"not found")</f>
        <v>not found</v>
      </c>
      <c r="F329" t="str">
        <f>IFERROR(VLOOKUP(A329,#REF!,2,TRUE),"")</f>
        <v/>
      </c>
      <c r="G329">
        <v>7175</v>
      </c>
      <c r="H329" t="s">
        <v>1</v>
      </c>
      <c r="I329" t="e">
        <f ca="1">IF(B329="","",GBlackScholesImpVolBisection(LOWER(H329),F329,G329,(D329-A329)/365,E329,0,B329))</f>
        <v>#NAME?</v>
      </c>
      <c r="J329" t="e">
        <f ca="1">IF(B329="","",GBlackScholesNGreeks("d",LOWER(H329),F329,G329,(D329-A329)/365,E329,0,I329))</f>
        <v>#NAME?</v>
      </c>
      <c r="K329" t="e">
        <f ca="1">IF(B329="","",GBlackScholesNGreeks("v",LOWER(H329),F329,G329,(D329-A329)/365,E329,0,I329))</f>
        <v>#NAME?</v>
      </c>
      <c r="L329" t="e">
        <f ca="1">IF(B329="","",GBlackScholesNGreeks("g",LOWER(H329),F329,G329,(D329-A329)/365,E329,0,I329))</f>
        <v>#NAME?</v>
      </c>
      <c r="M329" t="e">
        <f ca="1">IF(B329="","",GBlackScholesNGreeks("t",LOWER(H329),F329,G329,(D329-A329)/365,E329,0,I329))</f>
        <v>#NAME?</v>
      </c>
      <c r="N329" t="e">
        <f ca="1">IF(B329="","",GBlackScholesNGreeks("r",LOWER(H329),F329,G329,(D329-A329)/365,E329,0,I329))</f>
        <v>#NAME?</v>
      </c>
      <c r="O329">
        <v>63</v>
      </c>
      <c r="P329" t="s">
        <v>38</v>
      </c>
      <c r="Q329">
        <v>50</v>
      </c>
      <c r="R329" t="s">
        <v>51</v>
      </c>
      <c r="S329" t="s">
        <v>33</v>
      </c>
      <c r="T329" t="s">
        <v>0</v>
      </c>
      <c r="U329">
        <v>0</v>
      </c>
      <c r="V329" t="e">
        <f ca="1">IF(B329="","",CGBlackScholes("dddv",LOWER(H329),F329,G329,(D329-A329)/365,E329,0,I329,J329))</f>
        <v>#NAME?</v>
      </c>
      <c r="W329" t="e">
        <f ca="1">IF(B329="","",CGBlackScholes("dvv",LOWER(H329),F329,G329,(D329-A329)/365,E329,0,I329,J329))</f>
        <v>#NAME?</v>
      </c>
      <c r="X329" t="e">
        <f ca="1">IF(B329="","",CGBlackScholes("dt",LOWER(H329),F329,G329,(D329-A329)/365,E329,0,I329,J329))</f>
        <v>#NAME?</v>
      </c>
      <c r="Y329" t="e">
        <f ca="1">IF(B329="","",CGBlackScholes("gps",LOWER(H329),F329,G329,(D329-A329)/365,E329,0,I329,J329))</f>
        <v>#NAME?</v>
      </c>
      <c r="Z329" t="e">
        <f ca="1">IF(B329="","",CGBlackScholes("gpv",LOWER(H329),F329,G329,(D329-A329)/365,E329,0,I329,J329))</f>
        <v>#NAME?</v>
      </c>
      <c r="AA329" t="e">
        <f ca="1">IF(B329="","",CGBlackScholes("dvdv",LOWER(H329),F329,G329,(D329-A329)/365,E329,0,I329,J329))</f>
        <v>#NAME?</v>
      </c>
      <c r="AB329" t="e">
        <f ca="1">IF(B329="","",CGBlackScholes("vvv",LOWER(H329),F329,G329,(D329-A329)/365,E329,0,I329,J329))</f>
        <v>#NAME?</v>
      </c>
    </row>
    <row r="330" spans="1:28" x14ac:dyDescent="0.3">
      <c r="A330" s="18">
        <v>45888</v>
      </c>
      <c r="B330">
        <v>2.4500000000000002</v>
      </c>
      <c r="C330" t="s">
        <v>50</v>
      </c>
      <c r="D330" s="18">
        <v>45961</v>
      </c>
      <c r="E330" t="str">
        <f>IFERROR(VLOOKUP(A330,#REF!,5,TRUE),"not found")</f>
        <v>not found</v>
      </c>
      <c r="F330" t="str">
        <f>IFERROR(VLOOKUP(A330,#REF!,2,TRUE),"")</f>
        <v/>
      </c>
      <c r="G330">
        <v>7175</v>
      </c>
      <c r="H330" t="s">
        <v>1</v>
      </c>
      <c r="I330" t="e">
        <f ca="1">IF(B330="","",GBlackScholesImpVolBisection(LOWER(H330),F330,G330,(D330-A330)/365,E330,0,B330))</f>
        <v>#NAME?</v>
      </c>
      <c r="J330" t="e">
        <f ca="1">IF(B330="","",GBlackScholesNGreeks("d",LOWER(H330),F330,G330,(D330-A330)/365,E330,0,I330))</f>
        <v>#NAME?</v>
      </c>
      <c r="K330" t="e">
        <f ca="1">IF(B330="","",GBlackScholesNGreeks("v",LOWER(H330),F330,G330,(D330-A330)/365,E330,0,I330))</f>
        <v>#NAME?</v>
      </c>
      <c r="L330" t="e">
        <f ca="1">IF(B330="","",GBlackScholesNGreeks("g",LOWER(H330),F330,G330,(D330-A330)/365,E330,0,I330))</f>
        <v>#NAME?</v>
      </c>
      <c r="M330" t="e">
        <f ca="1">IF(B330="","",GBlackScholesNGreeks("t",LOWER(H330),F330,G330,(D330-A330)/365,E330,0,I330))</f>
        <v>#NAME?</v>
      </c>
      <c r="N330" t="e">
        <f ca="1">IF(B330="","",GBlackScholesNGreeks("r",LOWER(H330),F330,G330,(D330-A330)/365,E330,0,I330))</f>
        <v>#NAME?</v>
      </c>
      <c r="O330">
        <v>63</v>
      </c>
      <c r="P330" t="s">
        <v>38</v>
      </c>
      <c r="Q330">
        <v>50</v>
      </c>
      <c r="R330" t="s">
        <v>51</v>
      </c>
      <c r="S330" t="s">
        <v>33</v>
      </c>
      <c r="T330" t="s">
        <v>0</v>
      </c>
      <c r="U330">
        <v>0</v>
      </c>
      <c r="V330" t="e">
        <f ca="1">IF(B330="","",CGBlackScholes("dddv",LOWER(H330),F330,G330,(D330-A330)/365,E330,0,I330,J330))</f>
        <v>#NAME?</v>
      </c>
      <c r="W330" t="e">
        <f ca="1">IF(B330="","",CGBlackScholes("dvv",LOWER(H330),F330,G330,(D330-A330)/365,E330,0,I330,J330))</f>
        <v>#NAME?</v>
      </c>
      <c r="X330" t="e">
        <f ca="1">IF(B330="","",CGBlackScholes("dt",LOWER(H330),F330,G330,(D330-A330)/365,E330,0,I330,J330))</f>
        <v>#NAME?</v>
      </c>
      <c r="Y330" t="e">
        <f ca="1">IF(B330="","",CGBlackScholes("gps",LOWER(H330),F330,G330,(D330-A330)/365,E330,0,I330,J330))</f>
        <v>#NAME?</v>
      </c>
      <c r="Z330" t="e">
        <f ca="1">IF(B330="","",CGBlackScholes("gpv",LOWER(H330),F330,G330,(D330-A330)/365,E330,0,I330,J330))</f>
        <v>#NAME?</v>
      </c>
      <c r="AA330" t="e">
        <f ca="1">IF(B330="","",CGBlackScholes("dvdv",LOWER(H330),F330,G330,(D330-A330)/365,E330,0,I330,J330))</f>
        <v>#NAME?</v>
      </c>
      <c r="AB330" t="e">
        <f ca="1">IF(B330="","",CGBlackScholes("vvv",LOWER(H330),F330,G330,(D330-A330)/365,E330,0,I330,J330))</f>
        <v>#NAME?</v>
      </c>
    </row>
    <row r="331" spans="1:28" x14ac:dyDescent="0.3">
      <c r="A331" s="18">
        <v>45887</v>
      </c>
      <c r="B331">
        <v>3.25</v>
      </c>
      <c r="C331" t="s">
        <v>50</v>
      </c>
      <c r="D331" s="18">
        <v>45961</v>
      </c>
      <c r="E331" t="str">
        <f>IFERROR(VLOOKUP(A331,#REF!,5,TRUE),"not found")</f>
        <v>not found</v>
      </c>
      <c r="F331" t="str">
        <f>IFERROR(VLOOKUP(A331,#REF!,2,TRUE),"")</f>
        <v/>
      </c>
      <c r="G331">
        <v>7175</v>
      </c>
      <c r="H331" t="s">
        <v>1</v>
      </c>
      <c r="I331" t="e">
        <f ca="1">IF(B331="","",GBlackScholesImpVolBisection(LOWER(H331),F331,G331,(D331-A331)/365,E331,0,B331))</f>
        <v>#NAME?</v>
      </c>
      <c r="J331" t="e">
        <f ca="1">IF(B331="","",GBlackScholesNGreeks("d",LOWER(H331),F331,G331,(D331-A331)/365,E331,0,I331))</f>
        <v>#NAME?</v>
      </c>
      <c r="K331" t="e">
        <f ca="1">IF(B331="","",GBlackScholesNGreeks("v",LOWER(H331),F331,G331,(D331-A331)/365,E331,0,I331))</f>
        <v>#NAME?</v>
      </c>
      <c r="L331" t="e">
        <f ca="1">IF(B331="","",GBlackScholesNGreeks("g",LOWER(H331),F331,G331,(D331-A331)/365,E331,0,I331))</f>
        <v>#NAME?</v>
      </c>
      <c r="M331" t="e">
        <f ca="1">IF(B331="","",GBlackScholesNGreeks("t",LOWER(H331),F331,G331,(D331-A331)/365,E331,0,I331))</f>
        <v>#NAME?</v>
      </c>
      <c r="N331" t="e">
        <f ca="1">IF(B331="","",GBlackScholesNGreeks("r",LOWER(H331),F331,G331,(D331-A331)/365,E331,0,I331))</f>
        <v>#NAME?</v>
      </c>
      <c r="O331">
        <v>63</v>
      </c>
      <c r="P331" t="s">
        <v>38</v>
      </c>
      <c r="Q331">
        <v>50</v>
      </c>
      <c r="R331" t="s">
        <v>51</v>
      </c>
      <c r="S331" t="s">
        <v>33</v>
      </c>
      <c r="T331" t="s">
        <v>0</v>
      </c>
      <c r="U331">
        <v>0</v>
      </c>
      <c r="V331" t="e">
        <f ca="1">IF(B331="","",CGBlackScholes("dddv",LOWER(H331),F331,G331,(D331-A331)/365,E331,0,I331,J331))</f>
        <v>#NAME?</v>
      </c>
      <c r="W331" t="e">
        <f ca="1">IF(B331="","",CGBlackScholes("dvv",LOWER(H331),F331,G331,(D331-A331)/365,E331,0,I331,J331))</f>
        <v>#NAME?</v>
      </c>
      <c r="X331" t="e">
        <f ca="1">IF(B331="","",CGBlackScholes("dt",LOWER(H331),F331,G331,(D331-A331)/365,E331,0,I331,J331))</f>
        <v>#NAME?</v>
      </c>
      <c r="Y331" t="e">
        <f ca="1">IF(B331="","",CGBlackScholes("gps",LOWER(H331),F331,G331,(D331-A331)/365,E331,0,I331,J331))</f>
        <v>#NAME?</v>
      </c>
      <c r="Z331" t="e">
        <f ca="1">IF(B331="","",CGBlackScholes("gpv",LOWER(H331),F331,G331,(D331-A331)/365,E331,0,I331,J331))</f>
        <v>#NAME?</v>
      </c>
      <c r="AA331" t="e">
        <f ca="1">IF(B331="","",CGBlackScholes("dvdv",LOWER(H331),F331,G331,(D331-A331)/365,E331,0,I331,J331))</f>
        <v>#NAME?</v>
      </c>
      <c r="AB331" t="e">
        <f ca="1">IF(B331="","",CGBlackScholes("vvv",LOWER(H331),F331,G331,(D331-A331)/365,E331,0,I331,J331))</f>
        <v>#NAME?</v>
      </c>
    </row>
    <row r="332" spans="1:28" x14ac:dyDescent="0.3">
      <c r="A332" s="18">
        <v>45884</v>
      </c>
      <c r="B332">
        <v>4</v>
      </c>
      <c r="C332" t="s">
        <v>50</v>
      </c>
      <c r="D332" s="18">
        <v>45961</v>
      </c>
      <c r="E332" t="str">
        <f>IFERROR(VLOOKUP(A332,#REF!,5,TRUE),"not found")</f>
        <v>not found</v>
      </c>
      <c r="F332" t="str">
        <f>IFERROR(VLOOKUP(A332,#REF!,2,TRUE),"")</f>
        <v/>
      </c>
      <c r="G332">
        <v>7175</v>
      </c>
      <c r="H332" t="s">
        <v>1</v>
      </c>
      <c r="I332" t="e">
        <f ca="1">IF(B332="","",GBlackScholesImpVolBisection(LOWER(H332),F332,G332,(D332-A332)/365,E332,0,B332))</f>
        <v>#NAME?</v>
      </c>
      <c r="J332" t="e">
        <f ca="1">IF(B332="","",GBlackScholesNGreeks("d",LOWER(H332),F332,G332,(D332-A332)/365,E332,0,I332))</f>
        <v>#NAME?</v>
      </c>
      <c r="K332" t="e">
        <f ca="1">IF(B332="","",GBlackScholesNGreeks("v",LOWER(H332),F332,G332,(D332-A332)/365,E332,0,I332))</f>
        <v>#NAME?</v>
      </c>
      <c r="L332" t="e">
        <f ca="1">IF(B332="","",GBlackScholesNGreeks("g",LOWER(H332),F332,G332,(D332-A332)/365,E332,0,I332))</f>
        <v>#NAME?</v>
      </c>
      <c r="M332" t="e">
        <f ca="1">IF(B332="","",GBlackScholesNGreeks("t",LOWER(H332),F332,G332,(D332-A332)/365,E332,0,I332))</f>
        <v>#NAME?</v>
      </c>
      <c r="N332" t="e">
        <f ca="1">IF(B332="","",GBlackScholesNGreeks("r",LOWER(H332),F332,G332,(D332-A332)/365,E332,0,I332))</f>
        <v>#NAME?</v>
      </c>
      <c r="O332">
        <v>63</v>
      </c>
      <c r="P332" t="s">
        <v>38</v>
      </c>
      <c r="Q332">
        <v>50</v>
      </c>
      <c r="R332" t="s">
        <v>51</v>
      </c>
      <c r="S332" t="s">
        <v>33</v>
      </c>
      <c r="T332" t="s">
        <v>0</v>
      </c>
      <c r="U332">
        <v>0</v>
      </c>
      <c r="V332" t="e">
        <f ca="1">IF(B332="","",CGBlackScholes("dddv",LOWER(H332),F332,G332,(D332-A332)/365,E332,0,I332,J332))</f>
        <v>#NAME?</v>
      </c>
      <c r="W332" t="e">
        <f ca="1">IF(B332="","",CGBlackScholes("dvv",LOWER(H332),F332,G332,(D332-A332)/365,E332,0,I332,J332))</f>
        <v>#NAME?</v>
      </c>
      <c r="X332" t="e">
        <f ca="1">IF(B332="","",CGBlackScholes("dt",LOWER(H332),F332,G332,(D332-A332)/365,E332,0,I332,J332))</f>
        <v>#NAME?</v>
      </c>
      <c r="Y332" t="e">
        <f ca="1">IF(B332="","",CGBlackScholes("gps",LOWER(H332),F332,G332,(D332-A332)/365,E332,0,I332,J332))</f>
        <v>#NAME?</v>
      </c>
      <c r="Z332" t="e">
        <f ca="1">IF(B332="","",CGBlackScholes("gpv",LOWER(H332),F332,G332,(D332-A332)/365,E332,0,I332,J332))</f>
        <v>#NAME?</v>
      </c>
      <c r="AA332" t="e">
        <f ca="1">IF(B332="","",CGBlackScholes("dvdv",LOWER(H332),F332,G332,(D332-A332)/365,E332,0,I332,J332))</f>
        <v>#NAME?</v>
      </c>
      <c r="AB332" t="e">
        <f ca="1">IF(B332="","",CGBlackScholes("vvv",LOWER(H332),F332,G332,(D332-A332)/365,E332,0,I332,J332))</f>
        <v>#NAME?</v>
      </c>
    </row>
    <row r="333" spans="1:28" x14ac:dyDescent="0.3">
      <c r="A333" s="18">
        <v>45883</v>
      </c>
      <c r="B333">
        <v>4.45</v>
      </c>
      <c r="C333" t="s">
        <v>50</v>
      </c>
      <c r="D333" s="18">
        <v>45961</v>
      </c>
      <c r="E333" t="str">
        <f>IFERROR(VLOOKUP(A333,#REF!,5,TRUE),"not found")</f>
        <v>not found</v>
      </c>
      <c r="F333" t="str">
        <f>IFERROR(VLOOKUP(A333,#REF!,2,TRUE),"")</f>
        <v/>
      </c>
      <c r="G333">
        <v>7175</v>
      </c>
      <c r="H333" t="s">
        <v>1</v>
      </c>
      <c r="I333" t="e">
        <f ca="1">IF(B333="","",GBlackScholesImpVolBisection(LOWER(H333),F333,G333,(D333-A333)/365,E333,0,B333))</f>
        <v>#NAME?</v>
      </c>
      <c r="J333" t="e">
        <f ca="1">IF(B333="","",GBlackScholesNGreeks("d",LOWER(H333),F333,G333,(D333-A333)/365,E333,0,I333))</f>
        <v>#NAME?</v>
      </c>
      <c r="K333" t="e">
        <f ca="1">IF(B333="","",GBlackScholesNGreeks("v",LOWER(H333),F333,G333,(D333-A333)/365,E333,0,I333))</f>
        <v>#NAME?</v>
      </c>
      <c r="L333" t="e">
        <f ca="1">IF(B333="","",GBlackScholesNGreeks("g",LOWER(H333),F333,G333,(D333-A333)/365,E333,0,I333))</f>
        <v>#NAME?</v>
      </c>
      <c r="M333" t="e">
        <f ca="1">IF(B333="","",GBlackScholesNGreeks("t",LOWER(H333),F333,G333,(D333-A333)/365,E333,0,I333))</f>
        <v>#NAME?</v>
      </c>
      <c r="N333" t="e">
        <f ca="1">IF(B333="","",GBlackScholesNGreeks("r",LOWER(H333),F333,G333,(D333-A333)/365,E333,0,I333))</f>
        <v>#NAME?</v>
      </c>
      <c r="O333">
        <v>63</v>
      </c>
      <c r="P333" t="s">
        <v>38</v>
      </c>
      <c r="Q333">
        <v>50</v>
      </c>
      <c r="R333" t="s">
        <v>51</v>
      </c>
      <c r="S333" t="s">
        <v>33</v>
      </c>
      <c r="T333" t="s">
        <v>0</v>
      </c>
      <c r="U333">
        <v>0</v>
      </c>
      <c r="V333" t="e">
        <f ca="1">IF(B333="","",CGBlackScholes("dddv",LOWER(H333),F333,G333,(D333-A333)/365,E333,0,I333,J333))</f>
        <v>#NAME?</v>
      </c>
      <c r="W333" t="e">
        <f ca="1">IF(B333="","",CGBlackScholes("dvv",LOWER(H333),F333,G333,(D333-A333)/365,E333,0,I333,J333))</f>
        <v>#NAME?</v>
      </c>
      <c r="X333" t="e">
        <f ca="1">IF(B333="","",CGBlackScholes("dt",LOWER(H333),F333,G333,(D333-A333)/365,E333,0,I333,J333))</f>
        <v>#NAME?</v>
      </c>
      <c r="Y333" t="e">
        <f ca="1">IF(B333="","",CGBlackScholes("gps",LOWER(H333),F333,G333,(D333-A333)/365,E333,0,I333,J333))</f>
        <v>#NAME?</v>
      </c>
      <c r="Z333" t="e">
        <f ca="1">IF(B333="","",CGBlackScholes("gpv",LOWER(H333),F333,G333,(D333-A333)/365,E333,0,I333,J333))</f>
        <v>#NAME?</v>
      </c>
      <c r="AA333" t="e">
        <f ca="1">IF(B333="","",CGBlackScholes("dvdv",LOWER(H333),F333,G333,(D333-A333)/365,E333,0,I333,J333))</f>
        <v>#NAME?</v>
      </c>
      <c r="AB333" t="e">
        <f ca="1">IF(B333="","",CGBlackScholes("vvv",LOWER(H333),F333,G333,(D333-A333)/365,E333,0,I333,J333))</f>
        <v>#NAME?</v>
      </c>
    </row>
    <row r="334" spans="1:28" x14ac:dyDescent="0.3">
      <c r="A334" s="18">
        <v>45882</v>
      </c>
      <c r="B334">
        <v>4.55</v>
      </c>
      <c r="C334" t="s">
        <v>50</v>
      </c>
      <c r="D334" s="18">
        <v>45961</v>
      </c>
      <c r="E334" t="str">
        <f>IFERROR(VLOOKUP(A334,#REF!,5,TRUE),"not found")</f>
        <v>not found</v>
      </c>
      <c r="F334" t="str">
        <f>IFERROR(VLOOKUP(A334,#REF!,2,TRUE),"")</f>
        <v/>
      </c>
      <c r="G334">
        <v>7175</v>
      </c>
      <c r="H334" t="s">
        <v>1</v>
      </c>
      <c r="I334" t="e">
        <f ca="1">IF(B334="","",GBlackScholesImpVolBisection(LOWER(H334),F334,G334,(D334-A334)/365,E334,0,B334))</f>
        <v>#NAME?</v>
      </c>
      <c r="J334" t="e">
        <f ca="1">IF(B334="","",GBlackScholesNGreeks("d",LOWER(H334),F334,G334,(D334-A334)/365,E334,0,I334))</f>
        <v>#NAME?</v>
      </c>
      <c r="K334" t="e">
        <f ca="1">IF(B334="","",GBlackScholesNGreeks("v",LOWER(H334),F334,G334,(D334-A334)/365,E334,0,I334))</f>
        <v>#NAME?</v>
      </c>
      <c r="L334" t="e">
        <f ca="1">IF(B334="","",GBlackScholesNGreeks("g",LOWER(H334),F334,G334,(D334-A334)/365,E334,0,I334))</f>
        <v>#NAME?</v>
      </c>
      <c r="M334" t="e">
        <f ca="1">IF(B334="","",GBlackScholesNGreeks("t",LOWER(H334),F334,G334,(D334-A334)/365,E334,0,I334))</f>
        <v>#NAME?</v>
      </c>
      <c r="N334" t="e">
        <f ca="1">IF(B334="","",GBlackScholesNGreeks("r",LOWER(H334),F334,G334,(D334-A334)/365,E334,0,I334))</f>
        <v>#NAME?</v>
      </c>
      <c r="O334">
        <v>63</v>
      </c>
      <c r="P334" t="s">
        <v>38</v>
      </c>
      <c r="Q334">
        <v>50</v>
      </c>
      <c r="R334" t="s">
        <v>51</v>
      </c>
      <c r="S334" t="s">
        <v>33</v>
      </c>
      <c r="T334" t="s">
        <v>0</v>
      </c>
      <c r="U334">
        <v>0</v>
      </c>
      <c r="V334" t="e">
        <f ca="1">IF(B334="","",CGBlackScholes("dddv",LOWER(H334),F334,G334,(D334-A334)/365,E334,0,I334,J334))</f>
        <v>#NAME?</v>
      </c>
      <c r="W334" t="e">
        <f ca="1">IF(B334="","",CGBlackScholes("dvv",LOWER(H334),F334,G334,(D334-A334)/365,E334,0,I334,J334))</f>
        <v>#NAME?</v>
      </c>
      <c r="X334" t="e">
        <f ca="1">IF(B334="","",CGBlackScholes("dt",LOWER(H334),F334,G334,(D334-A334)/365,E334,0,I334,J334))</f>
        <v>#NAME?</v>
      </c>
      <c r="Y334" t="e">
        <f ca="1">IF(B334="","",CGBlackScholes("gps",LOWER(H334),F334,G334,(D334-A334)/365,E334,0,I334,J334))</f>
        <v>#NAME?</v>
      </c>
      <c r="Z334" t="e">
        <f ca="1">IF(B334="","",CGBlackScholes("gpv",LOWER(H334),F334,G334,(D334-A334)/365,E334,0,I334,J334))</f>
        <v>#NAME?</v>
      </c>
      <c r="AA334" t="e">
        <f ca="1">IF(B334="","",CGBlackScholes("dvdv",LOWER(H334),F334,G334,(D334-A334)/365,E334,0,I334,J334))</f>
        <v>#NAME?</v>
      </c>
      <c r="AB334" t="e">
        <f ca="1">IF(B334="","",CGBlackScholes("vvv",LOWER(H334),F334,G334,(D334-A334)/365,E334,0,I334,J334))</f>
        <v>#NAME?</v>
      </c>
    </row>
    <row r="335" spans="1:28" x14ac:dyDescent="0.3">
      <c r="C335" t="s">
        <v>50</v>
      </c>
      <c r="D335" s="18">
        <v>45961</v>
      </c>
      <c r="E335" t="str">
        <f>IFERROR(VLOOKUP(A335,#REF!,5,TRUE),"not found")</f>
        <v>not found</v>
      </c>
      <c r="F335" t="str">
        <f>IFERROR(VLOOKUP(A335,#REF!,2,TRUE),"")</f>
        <v/>
      </c>
      <c r="G335">
        <v>7175</v>
      </c>
      <c r="H335" t="s">
        <v>1</v>
      </c>
      <c r="O335">
        <v>63</v>
      </c>
      <c r="P335" t="s">
        <v>38</v>
      </c>
      <c r="Q335">
        <v>50</v>
      </c>
      <c r="R335" t="s">
        <v>51</v>
      </c>
      <c r="S335" t="s">
        <v>33</v>
      </c>
      <c r="T335" t="s">
        <v>0</v>
      </c>
      <c r="U335">
        <v>0</v>
      </c>
    </row>
    <row r="336" spans="1:28" x14ac:dyDescent="0.3">
      <c r="C336" t="s">
        <v>50</v>
      </c>
      <c r="D336" s="18">
        <v>45961</v>
      </c>
      <c r="E336" t="str">
        <f>IFERROR(VLOOKUP(A336,#REF!,5,TRUE),"not found")</f>
        <v>not found</v>
      </c>
      <c r="F336" t="str">
        <f>IFERROR(VLOOKUP(A336,#REF!,2,TRUE),"")</f>
        <v/>
      </c>
      <c r="G336">
        <v>7175</v>
      </c>
      <c r="H336" t="s">
        <v>1</v>
      </c>
      <c r="O336">
        <v>63</v>
      </c>
      <c r="P336" t="s">
        <v>38</v>
      </c>
      <c r="Q336">
        <v>50</v>
      </c>
      <c r="R336" t="s">
        <v>51</v>
      </c>
      <c r="S336" t="s">
        <v>33</v>
      </c>
      <c r="T336" t="s">
        <v>0</v>
      </c>
      <c r="U336">
        <v>0</v>
      </c>
    </row>
    <row r="337" spans="3:21" x14ac:dyDescent="0.3">
      <c r="C337" t="s">
        <v>50</v>
      </c>
      <c r="D337" s="18">
        <v>45961</v>
      </c>
      <c r="E337" t="str">
        <f>IFERROR(VLOOKUP(A337,#REF!,5,TRUE),"not found")</f>
        <v>not found</v>
      </c>
      <c r="F337" t="str">
        <f>IFERROR(VLOOKUP(A337,#REF!,2,TRUE),"")</f>
        <v/>
      </c>
      <c r="G337">
        <v>7175</v>
      </c>
      <c r="H337" t="s">
        <v>1</v>
      </c>
      <c r="O337">
        <v>63</v>
      </c>
      <c r="P337" t="s">
        <v>38</v>
      </c>
      <c r="Q337">
        <v>50</v>
      </c>
      <c r="R337" t="s">
        <v>51</v>
      </c>
      <c r="S337" t="s">
        <v>33</v>
      </c>
      <c r="T337" t="s">
        <v>0</v>
      </c>
      <c r="U337">
        <v>0</v>
      </c>
    </row>
    <row r="338" spans="3:21" x14ac:dyDescent="0.3">
      <c r="C338" t="s">
        <v>50</v>
      </c>
      <c r="D338" s="18">
        <v>45961</v>
      </c>
      <c r="E338" t="str">
        <f>IFERROR(VLOOKUP(A338,#REF!,5,TRUE),"not found")</f>
        <v>not found</v>
      </c>
      <c r="F338" t="str">
        <f>IFERROR(VLOOKUP(A338,#REF!,2,TRUE),"")</f>
        <v/>
      </c>
      <c r="G338">
        <v>7175</v>
      </c>
      <c r="H338" t="s">
        <v>1</v>
      </c>
      <c r="O338">
        <v>63</v>
      </c>
      <c r="P338" t="s">
        <v>38</v>
      </c>
      <c r="Q338">
        <v>50</v>
      </c>
      <c r="R338" t="s">
        <v>51</v>
      </c>
      <c r="S338" t="s">
        <v>33</v>
      </c>
      <c r="T338" t="s">
        <v>0</v>
      </c>
      <c r="U338">
        <v>0</v>
      </c>
    </row>
    <row r="339" spans="3:21" x14ac:dyDescent="0.3">
      <c r="C339" t="s">
        <v>50</v>
      </c>
      <c r="D339" s="18">
        <v>45961</v>
      </c>
      <c r="E339" t="str">
        <f>IFERROR(VLOOKUP(A339,#REF!,5,TRUE),"not found")</f>
        <v>not found</v>
      </c>
      <c r="F339" t="str">
        <f>IFERROR(VLOOKUP(A339,#REF!,2,TRUE),"")</f>
        <v/>
      </c>
      <c r="G339">
        <v>7175</v>
      </c>
      <c r="H339" t="s">
        <v>1</v>
      </c>
      <c r="O339">
        <v>63</v>
      </c>
      <c r="P339" t="s">
        <v>38</v>
      </c>
      <c r="Q339">
        <v>50</v>
      </c>
      <c r="R339" t="s">
        <v>51</v>
      </c>
      <c r="S339" t="s">
        <v>33</v>
      </c>
      <c r="T339" t="s">
        <v>0</v>
      </c>
      <c r="U339">
        <v>0</v>
      </c>
    </row>
    <row r="340" spans="3:21" x14ac:dyDescent="0.3">
      <c r="C340" t="s">
        <v>50</v>
      </c>
      <c r="D340" s="18">
        <v>45961</v>
      </c>
      <c r="E340" t="str">
        <f>IFERROR(VLOOKUP(A340,#REF!,5,TRUE),"not found")</f>
        <v>not found</v>
      </c>
      <c r="F340" t="str">
        <f>IFERROR(VLOOKUP(A340,#REF!,2,TRUE),"")</f>
        <v/>
      </c>
      <c r="G340">
        <v>7175</v>
      </c>
      <c r="H340" t="s">
        <v>1</v>
      </c>
      <c r="O340">
        <v>63</v>
      </c>
      <c r="P340" t="s">
        <v>38</v>
      </c>
      <c r="Q340">
        <v>50</v>
      </c>
      <c r="R340" t="s">
        <v>51</v>
      </c>
      <c r="S340" t="s">
        <v>33</v>
      </c>
      <c r="T340" t="s">
        <v>0</v>
      </c>
      <c r="U340">
        <v>0</v>
      </c>
    </row>
    <row r="341" spans="3:21" x14ac:dyDescent="0.3">
      <c r="C341" t="s">
        <v>50</v>
      </c>
      <c r="D341" s="18">
        <v>45961</v>
      </c>
      <c r="E341" t="str">
        <f>IFERROR(VLOOKUP(A341,#REF!,5,TRUE),"not found")</f>
        <v>not found</v>
      </c>
      <c r="F341" t="str">
        <f>IFERROR(VLOOKUP(A341,#REF!,2,TRUE),"")</f>
        <v/>
      </c>
      <c r="G341">
        <v>7175</v>
      </c>
      <c r="H341" t="s">
        <v>1</v>
      </c>
      <c r="O341">
        <v>63</v>
      </c>
      <c r="P341" t="s">
        <v>38</v>
      </c>
      <c r="Q341">
        <v>50</v>
      </c>
      <c r="R341" t="s">
        <v>51</v>
      </c>
      <c r="S341" t="s">
        <v>33</v>
      </c>
      <c r="T341" t="s">
        <v>0</v>
      </c>
      <c r="U341">
        <v>0</v>
      </c>
    </row>
    <row r="342" spans="3:21" x14ac:dyDescent="0.3">
      <c r="C342" t="s">
        <v>50</v>
      </c>
      <c r="D342" s="18">
        <v>45961</v>
      </c>
      <c r="E342" t="str">
        <f>IFERROR(VLOOKUP(A342,#REF!,5,TRUE),"not found")</f>
        <v>not found</v>
      </c>
      <c r="F342" t="str">
        <f>IFERROR(VLOOKUP(A342,#REF!,2,TRUE),"")</f>
        <v/>
      </c>
      <c r="G342">
        <v>7175</v>
      </c>
      <c r="H342" t="s">
        <v>1</v>
      </c>
      <c r="O342">
        <v>63</v>
      </c>
      <c r="P342" t="s">
        <v>38</v>
      </c>
      <c r="Q342">
        <v>50</v>
      </c>
      <c r="R342" t="s">
        <v>51</v>
      </c>
      <c r="S342" t="s">
        <v>33</v>
      </c>
      <c r="T342" t="s">
        <v>0</v>
      </c>
      <c r="U342">
        <v>0</v>
      </c>
    </row>
    <row r="343" spans="3:21" x14ac:dyDescent="0.3">
      <c r="C343" t="s">
        <v>50</v>
      </c>
      <c r="D343" s="18">
        <v>45961</v>
      </c>
      <c r="E343" t="str">
        <f>IFERROR(VLOOKUP(A343,#REF!,5,TRUE),"not found")</f>
        <v>not found</v>
      </c>
      <c r="F343" t="str">
        <f>IFERROR(VLOOKUP(A343,#REF!,2,TRUE),"")</f>
        <v/>
      </c>
      <c r="G343">
        <v>7175</v>
      </c>
      <c r="H343" t="s">
        <v>1</v>
      </c>
      <c r="O343">
        <v>63</v>
      </c>
      <c r="P343" t="s">
        <v>38</v>
      </c>
      <c r="Q343">
        <v>50</v>
      </c>
      <c r="R343" t="s">
        <v>51</v>
      </c>
      <c r="S343" t="s">
        <v>33</v>
      </c>
      <c r="T343" t="s">
        <v>0</v>
      </c>
      <c r="U343">
        <v>0</v>
      </c>
    </row>
    <row r="344" spans="3:21" x14ac:dyDescent="0.3">
      <c r="C344" t="s">
        <v>50</v>
      </c>
      <c r="D344" s="18">
        <v>45961</v>
      </c>
      <c r="E344" t="str">
        <f>IFERROR(VLOOKUP(A344,#REF!,5,TRUE),"not found")</f>
        <v>not found</v>
      </c>
      <c r="F344" t="str">
        <f>IFERROR(VLOOKUP(A344,#REF!,2,TRUE),"")</f>
        <v/>
      </c>
      <c r="G344">
        <v>7175</v>
      </c>
      <c r="H344" t="s">
        <v>1</v>
      </c>
      <c r="O344">
        <v>63</v>
      </c>
      <c r="P344" t="s">
        <v>38</v>
      </c>
      <c r="Q344">
        <v>50</v>
      </c>
      <c r="R344" t="s">
        <v>51</v>
      </c>
      <c r="S344" t="s">
        <v>33</v>
      </c>
      <c r="T344" t="s">
        <v>0</v>
      </c>
      <c r="U344">
        <v>0</v>
      </c>
    </row>
    <row r="345" spans="3:21" x14ac:dyDescent="0.3">
      <c r="C345" t="s">
        <v>50</v>
      </c>
      <c r="D345" s="18">
        <v>45961</v>
      </c>
      <c r="E345" t="str">
        <f>IFERROR(VLOOKUP(A345,#REF!,5,TRUE),"not found")</f>
        <v>not found</v>
      </c>
      <c r="F345" t="str">
        <f>IFERROR(VLOOKUP(A345,#REF!,2,TRUE),"")</f>
        <v/>
      </c>
      <c r="G345">
        <v>7175</v>
      </c>
      <c r="H345" t="s">
        <v>1</v>
      </c>
      <c r="O345">
        <v>63</v>
      </c>
      <c r="P345" t="s">
        <v>38</v>
      </c>
      <c r="Q345">
        <v>50</v>
      </c>
      <c r="R345" t="s">
        <v>51</v>
      </c>
      <c r="S345" t="s">
        <v>33</v>
      </c>
      <c r="T345" t="s">
        <v>0</v>
      </c>
      <c r="U345">
        <v>0</v>
      </c>
    </row>
    <row r="346" spans="3:21" x14ac:dyDescent="0.3">
      <c r="C346" t="s">
        <v>50</v>
      </c>
      <c r="D346" s="18">
        <v>45961</v>
      </c>
      <c r="E346" t="str">
        <f>IFERROR(VLOOKUP(A346,#REF!,5,TRUE),"not found")</f>
        <v>not found</v>
      </c>
      <c r="F346" t="str">
        <f>IFERROR(VLOOKUP(A346,#REF!,2,TRUE),"")</f>
        <v/>
      </c>
      <c r="G346">
        <v>7175</v>
      </c>
      <c r="H346" t="s">
        <v>1</v>
      </c>
      <c r="O346">
        <v>63</v>
      </c>
      <c r="P346" t="s">
        <v>38</v>
      </c>
      <c r="Q346">
        <v>50</v>
      </c>
      <c r="R346" t="s">
        <v>51</v>
      </c>
      <c r="S346" t="s">
        <v>33</v>
      </c>
      <c r="T346" t="s">
        <v>0</v>
      </c>
      <c r="U346">
        <v>0</v>
      </c>
    </row>
    <row r="347" spans="3:21" x14ac:dyDescent="0.3">
      <c r="C347" t="s">
        <v>50</v>
      </c>
      <c r="D347" s="18">
        <v>45961</v>
      </c>
      <c r="E347" t="str">
        <f>IFERROR(VLOOKUP(A347,#REF!,5,TRUE),"not found")</f>
        <v>not found</v>
      </c>
      <c r="F347" t="str">
        <f>IFERROR(VLOOKUP(A347,#REF!,2,TRUE),"")</f>
        <v/>
      </c>
      <c r="G347">
        <v>7175</v>
      </c>
      <c r="H347" t="s">
        <v>1</v>
      </c>
      <c r="O347">
        <v>63</v>
      </c>
      <c r="P347" t="s">
        <v>38</v>
      </c>
      <c r="Q347">
        <v>50</v>
      </c>
      <c r="R347" t="s">
        <v>51</v>
      </c>
      <c r="S347" t="s">
        <v>33</v>
      </c>
      <c r="T347" t="s">
        <v>0</v>
      </c>
      <c r="U347">
        <v>0</v>
      </c>
    </row>
    <row r="348" spans="3:21" x14ac:dyDescent="0.3">
      <c r="C348" t="s">
        <v>50</v>
      </c>
      <c r="D348" s="18">
        <v>45961</v>
      </c>
      <c r="E348" t="str">
        <f>IFERROR(VLOOKUP(A348,#REF!,5,TRUE),"not found")</f>
        <v>not found</v>
      </c>
      <c r="F348" t="str">
        <f>IFERROR(VLOOKUP(A348,#REF!,2,TRUE),"")</f>
        <v/>
      </c>
      <c r="G348">
        <v>7175</v>
      </c>
      <c r="H348" t="s">
        <v>1</v>
      </c>
      <c r="O348">
        <v>63</v>
      </c>
      <c r="P348" t="s">
        <v>38</v>
      </c>
      <c r="Q348">
        <v>50</v>
      </c>
      <c r="R348" t="s">
        <v>51</v>
      </c>
      <c r="S348" t="s">
        <v>33</v>
      </c>
      <c r="T348" t="s">
        <v>0</v>
      </c>
      <c r="U348">
        <v>0</v>
      </c>
    </row>
    <row r="349" spans="3:21" x14ac:dyDescent="0.3">
      <c r="C349" t="s">
        <v>50</v>
      </c>
      <c r="D349" s="18">
        <v>45961</v>
      </c>
      <c r="E349" t="str">
        <f>IFERROR(VLOOKUP(A349,#REF!,5,TRUE),"not found")</f>
        <v>not found</v>
      </c>
      <c r="F349" t="str">
        <f>IFERROR(VLOOKUP(A349,#REF!,2,TRUE),"")</f>
        <v/>
      </c>
      <c r="G349">
        <v>7175</v>
      </c>
      <c r="H349" t="s">
        <v>1</v>
      </c>
      <c r="O349">
        <v>63</v>
      </c>
      <c r="P349" t="s">
        <v>38</v>
      </c>
      <c r="Q349">
        <v>50</v>
      </c>
      <c r="R349" t="s">
        <v>51</v>
      </c>
      <c r="S349" t="s">
        <v>33</v>
      </c>
      <c r="T349" t="s">
        <v>0</v>
      </c>
      <c r="U349">
        <v>0</v>
      </c>
    </row>
    <row r="350" spans="3:21" x14ac:dyDescent="0.3">
      <c r="C350" t="s">
        <v>50</v>
      </c>
      <c r="D350" s="18">
        <v>45961</v>
      </c>
      <c r="E350" t="str">
        <f>IFERROR(VLOOKUP(A350,#REF!,5,TRUE),"not found")</f>
        <v>not found</v>
      </c>
      <c r="F350" t="str">
        <f>IFERROR(VLOOKUP(A350,#REF!,2,TRUE),"")</f>
        <v/>
      </c>
      <c r="G350">
        <v>7175</v>
      </c>
      <c r="H350" t="s">
        <v>1</v>
      </c>
      <c r="O350">
        <v>63</v>
      </c>
      <c r="P350" t="s">
        <v>38</v>
      </c>
      <c r="Q350">
        <v>50</v>
      </c>
      <c r="R350" t="s">
        <v>51</v>
      </c>
      <c r="S350" t="s">
        <v>33</v>
      </c>
      <c r="T350" t="s">
        <v>0</v>
      </c>
      <c r="U350">
        <v>0</v>
      </c>
    </row>
    <row r="351" spans="3:21" x14ac:dyDescent="0.3">
      <c r="C351" t="s">
        <v>50</v>
      </c>
      <c r="D351" s="18">
        <v>45961</v>
      </c>
      <c r="E351" t="str">
        <f>IFERROR(VLOOKUP(A351,#REF!,5,TRUE),"not found")</f>
        <v>not found</v>
      </c>
      <c r="F351" t="str">
        <f>IFERROR(VLOOKUP(A351,#REF!,2,TRUE),"")</f>
        <v/>
      </c>
      <c r="G351">
        <v>7175</v>
      </c>
      <c r="H351" t="s">
        <v>1</v>
      </c>
      <c r="O351">
        <v>63</v>
      </c>
      <c r="P351" t="s">
        <v>38</v>
      </c>
      <c r="Q351">
        <v>50</v>
      </c>
      <c r="R351" t="s">
        <v>51</v>
      </c>
      <c r="S351" t="s">
        <v>33</v>
      </c>
      <c r="T351" t="s">
        <v>0</v>
      </c>
      <c r="U351">
        <v>0</v>
      </c>
    </row>
    <row r="352" spans="3:21" x14ac:dyDescent="0.3">
      <c r="C352" t="s">
        <v>50</v>
      </c>
      <c r="D352" s="18">
        <v>45961</v>
      </c>
      <c r="E352" t="str">
        <f>IFERROR(VLOOKUP(A352,#REF!,5,TRUE),"not found")</f>
        <v>not found</v>
      </c>
      <c r="F352" t="str">
        <f>IFERROR(VLOOKUP(A352,#REF!,2,TRUE),"")</f>
        <v/>
      </c>
      <c r="G352">
        <v>7175</v>
      </c>
      <c r="H352" t="s">
        <v>1</v>
      </c>
      <c r="O352">
        <v>63</v>
      </c>
      <c r="P352" t="s">
        <v>38</v>
      </c>
      <c r="Q352">
        <v>50</v>
      </c>
      <c r="R352" t="s">
        <v>51</v>
      </c>
      <c r="S352" t="s">
        <v>33</v>
      </c>
      <c r="T352" t="s">
        <v>0</v>
      </c>
      <c r="U352">
        <v>0</v>
      </c>
    </row>
    <row r="353" spans="3:21" x14ac:dyDescent="0.3">
      <c r="C353" t="s">
        <v>50</v>
      </c>
      <c r="D353" s="18">
        <v>45961</v>
      </c>
      <c r="E353" t="str">
        <f>IFERROR(VLOOKUP(A353,#REF!,5,TRUE),"not found")</f>
        <v>not found</v>
      </c>
      <c r="F353" t="str">
        <f>IFERROR(VLOOKUP(A353,#REF!,2,TRUE),"")</f>
        <v/>
      </c>
      <c r="G353">
        <v>7175</v>
      </c>
      <c r="H353" t="s">
        <v>1</v>
      </c>
      <c r="O353">
        <v>63</v>
      </c>
      <c r="P353" t="s">
        <v>38</v>
      </c>
      <c r="Q353">
        <v>50</v>
      </c>
      <c r="R353" t="s">
        <v>51</v>
      </c>
      <c r="S353" t="s">
        <v>33</v>
      </c>
      <c r="T353" t="s">
        <v>0</v>
      </c>
      <c r="U353">
        <v>0</v>
      </c>
    </row>
    <row r="354" spans="3:21" x14ac:dyDescent="0.3">
      <c r="C354" t="s">
        <v>50</v>
      </c>
      <c r="D354" s="18">
        <v>45961</v>
      </c>
      <c r="E354" t="str">
        <f>IFERROR(VLOOKUP(A354,#REF!,5,TRUE),"not found")</f>
        <v>not found</v>
      </c>
      <c r="F354" t="str">
        <f>IFERROR(VLOOKUP(A354,#REF!,2,TRUE),"")</f>
        <v/>
      </c>
      <c r="G354">
        <v>7175</v>
      </c>
      <c r="H354" t="s">
        <v>1</v>
      </c>
      <c r="O354">
        <v>63</v>
      </c>
      <c r="P354" t="s">
        <v>38</v>
      </c>
      <c r="Q354">
        <v>50</v>
      </c>
      <c r="R354" t="s">
        <v>51</v>
      </c>
      <c r="S354" t="s">
        <v>33</v>
      </c>
      <c r="T354" t="s">
        <v>0</v>
      </c>
      <c r="U354">
        <v>0</v>
      </c>
    </row>
    <row r="355" spans="3:21" x14ac:dyDescent="0.3">
      <c r="C355" t="s">
        <v>50</v>
      </c>
      <c r="D355" s="18">
        <v>45961</v>
      </c>
      <c r="E355" t="str">
        <f>IFERROR(VLOOKUP(A355,#REF!,5,TRUE),"not found")</f>
        <v>not found</v>
      </c>
      <c r="F355" t="str">
        <f>IFERROR(VLOOKUP(A355,#REF!,2,TRUE),"")</f>
        <v/>
      </c>
      <c r="G355">
        <v>7175</v>
      </c>
      <c r="H355" t="s">
        <v>1</v>
      </c>
      <c r="O355">
        <v>63</v>
      </c>
      <c r="P355" t="s">
        <v>38</v>
      </c>
      <c r="Q355">
        <v>50</v>
      </c>
      <c r="R355" t="s">
        <v>51</v>
      </c>
      <c r="S355" t="s">
        <v>33</v>
      </c>
      <c r="T355" t="s">
        <v>0</v>
      </c>
      <c r="U355">
        <v>0</v>
      </c>
    </row>
    <row r="356" spans="3:21" x14ac:dyDescent="0.3">
      <c r="C356" t="s">
        <v>50</v>
      </c>
      <c r="D356" s="18">
        <v>45961</v>
      </c>
      <c r="E356" t="str">
        <f>IFERROR(VLOOKUP(A356,#REF!,5,TRUE),"not found")</f>
        <v>not found</v>
      </c>
      <c r="F356" t="str">
        <f>IFERROR(VLOOKUP(A356,#REF!,2,TRUE),"")</f>
        <v/>
      </c>
      <c r="G356">
        <v>7175</v>
      </c>
      <c r="H356" t="s">
        <v>1</v>
      </c>
      <c r="O356">
        <v>63</v>
      </c>
      <c r="P356" t="s">
        <v>38</v>
      </c>
      <c r="Q356">
        <v>50</v>
      </c>
      <c r="R356" t="s">
        <v>51</v>
      </c>
      <c r="S356" t="s">
        <v>33</v>
      </c>
      <c r="T356" t="s">
        <v>0</v>
      </c>
      <c r="U356">
        <v>0</v>
      </c>
    </row>
    <row r="357" spans="3:21" x14ac:dyDescent="0.3">
      <c r="C357" t="s">
        <v>50</v>
      </c>
      <c r="D357" s="18">
        <v>45961</v>
      </c>
      <c r="E357" t="str">
        <f>IFERROR(VLOOKUP(A357,#REF!,5,TRUE),"not found")</f>
        <v>not found</v>
      </c>
      <c r="F357" t="str">
        <f>IFERROR(VLOOKUP(A357,#REF!,2,TRUE),"")</f>
        <v/>
      </c>
      <c r="G357">
        <v>7175</v>
      </c>
      <c r="H357" t="s">
        <v>1</v>
      </c>
      <c r="O357">
        <v>63</v>
      </c>
      <c r="P357" t="s">
        <v>38</v>
      </c>
      <c r="Q357">
        <v>50</v>
      </c>
      <c r="R357" t="s">
        <v>51</v>
      </c>
      <c r="S357" t="s">
        <v>33</v>
      </c>
      <c r="T357" t="s">
        <v>0</v>
      </c>
      <c r="U357">
        <v>0</v>
      </c>
    </row>
    <row r="358" spans="3:21" x14ac:dyDescent="0.3">
      <c r="C358" t="s">
        <v>50</v>
      </c>
      <c r="D358" s="18">
        <v>45961</v>
      </c>
      <c r="E358" t="str">
        <f>IFERROR(VLOOKUP(A358,#REF!,5,TRUE),"not found")</f>
        <v>not found</v>
      </c>
      <c r="F358" t="str">
        <f>IFERROR(VLOOKUP(A358,#REF!,2,TRUE),"")</f>
        <v/>
      </c>
      <c r="G358">
        <v>7175</v>
      </c>
      <c r="H358" t="s">
        <v>1</v>
      </c>
      <c r="O358">
        <v>63</v>
      </c>
      <c r="P358" t="s">
        <v>38</v>
      </c>
      <c r="Q358">
        <v>50</v>
      </c>
      <c r="R358" t="s">
        <v>51</v>
      </c>
      <c r="S358" t="s">
        <v>33</v>
      </c>
      <c r="T358" t="s">
        <v>0</v>
      </c>
      <c r="U358">
        <v>0</v>
      </c>
    </row>
    <row r="359" spans="3:21" x14ac:dyDescent="0.3">
      <c r="C359" t="s">
        <v>50</v>
      </c>
      <c r="D359" s="18">
        <v>45961</v>
      </c>
      <c r="E359" t="str">
        <f>IFERROR(VLOOKUP(A359,#REF!,5,TRUE),"not found")</f>
        <v>not found</v>
      </c>
      <c r="F359" t="str">
        <f>IFERROR(VLOOKUP(A359,#REF!,2,TRUE),"")</f>
        <v/>
      </c>
      <c r="G359">
        <v>7175</v>
      </c>
      <c r="H359" t="s">
        <v>1</v>
      </c>
      <c r="O359">
        <v>63</v>
      </c>
      <c r="P359" t="s">
        <v>38</v>
      </c>
      <c r="Q359">
        <v>50</v>
      </c>
      <c r="R359" t="s">
        <v>51</v>
      </c>
      <c r="S359" t="s">
        <v>33</v>
      </c>
      <c r="T359" t="s">
        <v>0</v>
      </c>
      <c r="U359">
        <v>0</v>
      </c>
    </row>
    <row r="360" spans="3:21" x14ac:dyDescent="0.3">
      <c r="C360" t="s">
        <v>50</v>
      </c>
      <c r="D360" s="18">
        <v>45961</v>
      </c>
      <c r="E360" t="str">
        <f>IFERROR(VLOOKUP(A360,#REF!,5,TRUE),"not found")</f>
        <v>not found</v>
      </c>
      <c r="F360" t="str">
        <f>IFERROR(VLOOKUP(A360,#REF!,2,TRUE),"")</f>
        <v/>
      </c>
      <c r="G360">
        <v>7175</v>
      </c>
      <c r="H360" t="s">
        <v>1</v>
      </c>
      <c r="O360">
        <v>63</v>
      </c>
      <c r="P360" t="s">
        <v>38</v>
      </c>
      <c r="Q360">
        <v>50</v>
      </c>
      <c r="R360" t="s">
        <v>51</v>
      </c>
      <c r="S360" t="s">
        <v>33</v>
      </c>
      <c r="T360" t="s">
        <v>0</v>
      </c>
      <c r="U360">
        <v>0</v>
      </c>
    </row>
    <row r="361" spans="3:21" x14ac:dyDescent="0.3">
      <c r="C361" t="s">
        <v>50</v>
      </c>
      <c r="D361" s="18">
        <v>45961</v>
      </c>
      <c r="E361" t="str">
        <f>IFERROR(VLOOKUP(A361,#REF!,5,TRUE),"not found")</f>
        <v>not found</v>
      </c>
      <c r="F361" t="str">
        <f>IFERROR(VLOOKUP(A361,#REF!,2,TRUE),"")</f>
        <v/>
      </c>
      <c r="G361">
        <v>7175</v>
      </c>
      <c r="H361" t="s">
        <v>1</v>
      </c>
      <c r="O361">
        <v>63</v>
      </c>
      <c r="P361" t="s">
        <v>38</v>
      </c>
      <c r="Q361">
        <v>50</v>
      </c>
      <c r="R361" t="s">
        <v>51</v>
      </c>
      <c r="S361" t="s">
        <v>33</v>
      </c>
      <c r="T361" t="s">
        <v>0</v>
      </c>
      <c r="U361">
        <v>0</v>
      </c>
    </row>
    <row r="362" spans="3:21" x14ac:dyDescent="0.3">
      <c r="C362" t="s">
        <v>50</v>
      </c>
      <c r="D362" s="18">
        <v>45961</v>
      </c>
      <c r="E362" t="str">
        <f>IFERROR(VLOOKUP(A362,#REF!,5,TRUE),"not found")</f>
        <v>not found</v>
      </c>
      <c r="F362" t="str">
        <f>IFERROR(VLOOKUP(A362,#REF!,2,TRUE),"")</f>
        <v/>
      </c>
      <c r="G362">
        <v>7175</v>
      </c>
      <c r="H362" t="s">
        <v>1</v>
      </c>
      <c r="O362">
        <v>63</v>
      </c>
      <c r="P362" t="s">
        <v>38</v>
      </c>
      <c r="Q362">
        <v>50</v>
      </c>
      <c r="R362" t="s">
        <v>51</v>
      </c>
      <c r="S362" t="s">
        <v>33</v>
      </c>
      <c r="T362" t="s">
        <v>0</v>
      </c>
      <c r="U362">
        <v>0</v>
      </c>
    </row>
    <row r="363" spans="3:21" x14ac:dyDescent="0.3">
      <c r="C363" t="s">
        <v>50</v>
      </c>
      <c r="D363" s="18">
        <v>45961</v>
      </c>
      <c r="E363" t="str">
        <f>IFERROR(VLOOKUP(A363,#REF!,5,TRUE),"not found")</f>
        <v>not found</v>
      </c>
      <c r="F363" t="str">
        <f>IFERROR(VLOOKUP(A363,#REF!,2,TRUE),"")</f>
        <v/>
      </c>
      <c r="G363">
        <v>7175</v>
      </c>
      <c r="H363" t="s">
        <v>1</v>
      </c>
      <c r="O363">
        <v>63</v>
      </c>
      <c r="P363" t="s">
        <v>38</v>
      </c>
      <c r="Q363">
        <v>50</v>
      </c>
      <c r="R363" t="s">
        <v>51</v>
      </c>
      <c r="S363" t="s">
        <v>33</v>
      </c>
      <c r="T363" t="s">
        <v>0</v>
      </c>
      <c r="U363">
        <v>0</v>
      </c>
    </row>
    <row r="364" spans="3:21" x14ac:dyDescent="0.3">
      <c r="C364" t="s">
        <v>50</v>
      </c>
      <c r="D364" s="18">
        <v>45961</v>
      </c>
      <c r="E364" t="str">
        <f>IFERROR(VLOOKUP(A364,#REF!,5,TRUE),"not found")</f>
        <v>not found</v>
      </c>
      <c r="F364" t="str">
        <f>IFERROR(VLOOKUP(A364,#REF!,2,TRUE),"")</f>
        <v/>
      </c>
      <c r="G364">
        <v>7175</v>
      </c>
      <c r="H364" t="s">
        <v>1</v>
      </c>
      <c r="O364">
        <v>63</v>
      </c>
      <c r="P364" t="s">
        <v>38</v>
      </c>
      <c r="Q364">
        <v>50</v>
      </c>
      <c r="R364" t="s">
        <v>51</v>
      </c>
      <c r="S364" t="s">
        <v>33</v>
      </c>
      <c r="T364" t="s">
        <v>0</v>
      </c>
      <c r="U364">
        <v>0</v>
      </c>
    </row>
    <row r="365" spans="3:21" x14ac:dyDescent="0.3">
      <c r="C365" t="s">
        <v>50</v>
      </c>
      <c r="D365" s="18">
        <v>45961</v>
      </c>
      <c r="E365" t="str">
        <f>IFERROR(VLOOKUP(A365,#REF!,5,TRUE),"not found")</f>
        <v>not found</v>
      </c>
      <c r="F365" t="str">
        <f>IFERROR(VLOOKUP(A365,#REF!,2,TRUE),"")</f>
        <v/>
      </c>
      <c r="G365">
        <v>7175</v>
      </c>
      <c r="H365" t="s">
        <v>1</v>
      </c>
      <c r="O365">
        <v>63</v>
      </c>
      <c r="P365" t="s">
        <v>38</v>
      </c>
      <c r="Q365">
        <v>50</v>
      </c>
      <c r="R365" t="s">
        <v>51</v>
      </c>
      <c r="S365" t="s">
        <v>33</v>
      </c>
      <c r="T365" t="s">
        <v>0</v>
      </c>
      <c r="U365">
        <v>0</v>
      </c>
    </row>
    <row r="366" spans="3:21" x14ac:dyDescent="0.3">
      <c r="C366" t="s">
        <v>50</v>
      </c>
      <c r="D366" s="18">
        <v>45961</v>
      </c>
      <c r="E366" t="str">
        <f>IFERROR(VLOOKUP(A366,#REF!,5,TRUE),"not found")</f>
        <v>not found</v>
      </c>
      <c r="F366" t="str">
        <f>IFERROR(VLOOKUP(A366,#REF!,2,TRUE),"")</f>
        <v/>
      </c>
      <c r="G366">
        <v>7175</v>
      </c>
      <c r="H366" t="s">
        <v>1</v>
      </c>
      <c r="O366">
        <v>63</v>
      </c>
      <c r="P366" t="s">
        <v>38</v>
      </c>
      <c r="Q366">
        <v>50</v>
      </c>
      <c r="R366" t="s">
        <v>51</v>
      </c>
      <c r="S366" t="s">
        <v>33</v>
      </c>
      <c r="T366" t="s">
        <v>0</v>
      </c>
      <c r="U366">
        <v>0</v>
      </c>
    </row>
    <row r="367" spans="3:21" x14ac:dyDescent="0.3">
      <c r="C367" t="s">
        <v>50</v>
      </c>
      <c r="D367" s="18">
        <v>45961</v>
      </c>
      <c r="E367" t="str">
        <f>IFERROR(VLOOKUP(A367,#REF!,5,TRUE),"not found")</f>
        <v>not found</v>
      </c>
      <c r="F367" t="str">
        <f>IFERROR(VLOOKUP(A367,#REF!,2,TRUE),"")</f>
        <v/>
      </c>
      <c r="G367">
        <v>7175</v>
      </c>
      <c r="H367" t="s">
        <v>1</v>
      </c>
      <c r="O367">
        <v>63</v>
      </c>
      <c r="P367" t="s">
        <v>38</v>
      </c>
      <c r="Q367">
        <v>50</v>
      </c>
      <c r="R367" t="s">
        <v>51</v>
      </c>
      <c r="S367" t="s">
        <v>33</v>
      </c>
      <c r="T367" t="s">
        <v>0</v>
      </c>
      <c r="U367">
        <v>0</v>
      </c>
    </row>
    <row r="368" spans="3:21" x14ac:dyDescent="0.3">
      <c r="C368" t="s">
        <v>50</v>
      </c>
      <c r="D368" s="18">
        <v>45961</v>
      </c>
      <c r="E368" t="str">
        <f>IFERROR(VLOOKUP(A368,#REF!,5,TRUE),"not found")</f>
        <v>not found</v>
      </c>
      <c r="F368" t="str">
        <f>IFERROR(VLOOKUP(A368,#REF!,2,TRUE),"")</f>
        <v/>
      </c>
      <c r="G368">
        <v>7175</v>
      </c>
      <c r="H368" t="s">
        <v>1</v>
      </c>
      <c r="O368">
        <v>63</v>
      </c>
      <c r="P368" t="s">
        <v>38</v>
      </c>
      <c r="Q368">
        <v>50</v>
      </c>
      <c r="R368" t="s">
        <v>51</v>
      </c>
      <c r="S368" t="s">
        <v>33</v>
      </c>
      <c r="T368" t="s">
        <v>0</v>
      </c>
      <c r="U368">
        <v>0</v>
      </c>
    </row>
    <row r="369" spans="3:21" x14ac:dyDescent="0.3">
      <c r="C369" t="s">
        <v>50</v>
      </c>
      <c r="D369" s="18">
        <v>45961</v>
      </c>
      <c r="E369" t="str">
        <f>IFERROR(VLOOKUP(A369,#REF!,5,TRUE),"not found")</f>
        <v>not found</v>
      </c>
      <c r="F369" t="str">
        <f>IFERROR(VLOOKUP(A369,#REF!,2,TRUE),"")</f>
        <v/>
      </c>
      <c r="G369">
        <v>7175</v>
      </c>
      <c r="H369" t="s">
        <v>1</v>
      </c>
      <c r="O369">
        <v>63</v>
      </c>
      <c r="P369" t="s">
        <v>38</v>
      </c>
      <c r="Q369">
        <v>50</v>
      </c>
      <c r="R369" t="s">
        <v>51</v>
      </c>
      <c r="S369" t="s">
        <v>33</v>
      </c>
      <c r="T369" t="s">
        <v>0</v>
      </c>
      <c r="U369">
        <v>0</v>
      </c>
    </row>
    <row r="370" spans="3:21" x14ac:dyDescent="0.3">
      <c r="C370" t="s">
        <v>50</v>
      </c>
      <c r="D370" s="18">
        <v>45961</v>
      </c>
      <c r="E370" t="str">
        <f>IFERROR(VLOOKUP(A370,#REF!,5,TRUE),"not found")</f>
        <v>not found</v>
      </c>
      <c r="F370" t="str">
        <f>IFERROR(VLOOKUP(A370,#REF!,2,TRUE),"")</f>
        <v/>
      </c>
      <c r="G370">
        <v>7175</v>
      </c>
      <c r="H370" t="s">
        <v>1</v>
      </c>
      <c r="O370">
        <v>63</v>
      </c>
      <c r="P370" t="s">
        <v>38</v>
      </c>
      <c r="Q370">
        <v>50</v>
      </c>
      <c r="R370" t="s">
        <v>51</v>
      </c>
      <c r="S370" t="s">
        <v>33</v>
      </c>
      <c r="T370" t="s">
        <v>0</v>
      </c>
      <c r="U370">
        <v>0</v>
      </c>
    </row>
    <row r="371" spans="3:21" x14ac:dyDescent="0.3">
      <c r="C371" t="s">
        <v>50</v>
      </c>
      <c r="D371" s="18">
        <v>45961</v>
      </c>
      <c r="E371" t="str">
        <f>IFERROR(VLOOKUP(A371,#REF!,5,TRUE),"not found")</f>
        <v>not found</v>
      </c>
      <c r="F371" t="str">
        <f>IFERROR(VLOOKUP(A371,#REF!,2,TRUE),"")</f>
        <v/>
      </c>
      <c r="G371">
        <v>7175</v>
      </c>
      <c r="H371" t="s">
        <v>1</v>
      </c>
      <c r="O371">
        <v>63</v>
      </c>
      <c r="P371" t="s">
        <v>38</v>
      </c>
      <c r="Q371">
        <v>50</v>
      </c>
      <c r="R371" t="s">
        <v>51</v>
      </c>
      <c r="S371" t="s">
        <v>33</v>
      </c>
      <c r="T371" t="s">
        <v>0</v>
      </c>
      <c r="U371">
        <v>0</v>
      </c>
    </row>
    <row r="372" spans="3:21" x14ac:dyDescent="0.3">
      <c r="C372" t="s">
        <v>50</v>
      </c>
      <c r="D372" s="18">
        <v>45961</v>
      </c>
      <c r="E372" t="str">
        <f>IFERROR(VLOOKUP(A372,#REF!,5,TRUE),"not found")</f>
        <v>not found</v>
      </c>
      <c r="F372" t="str">
        <f>IFERROR(VLOOKUP(A372,#REF!,2,TRUE),"")</f>
        <v/>
      </c>
      <c r="G372">
        <v>7175</v>
      </c>
      <c r="H372" t="s">
        <v>1</v>
      </c>
      <c r="O372">
        <v>63</v>
      </c>
      <c r="P372" t="s">
        <v>38</v>
      </c>
      <c r="Q372">
        <v>50</v>
      </c>
      <c r="R372" t="s">
        <v>51</v>
      </c>
      <c r="S372" t="s">
        <v>33</v>
      </c>
      <c r="T372" t="s">
        <v>0</v>
      </c>
      <c r="U372">
        <v>0</v>
      </c>
    </row>
    <row r="373" spans="3:21" x14ac:dyDescent="0.3">
      <c r="C373" t="s">
        <v>50</v>
      </c>
      <c r="D373" s="18">
        <v>45961</v>
      </c>
      <c r="E373" t="str">
        <f>IFERROR(VLOOKUP(A373,#REF!,5,TRUE),"not found")</f>
        <v>not found</v>
      </c>
      <c r="F373" t="str">
        <f>IFERROR(VLOOKUP(A373,#REF!,2,TRUE),"")</f>
        <v/>
      </c>
      <c r="G373">
        <v>7175</v>
      </c>
      <c r="H373" t="s">
        <v>1</v>
      </c>
      <c r="O373">
        <v>63</v>
      </c>
      <c r="P373" t="s">
        <v>38</v>
      </c>
      <c r="Q373">
        <v>50</v>
      </c>
      <c r="R373" t="s">
        <v>51</v>
      </c>
      <c r="S373" t="s">
        <v>33</v>
      </c>
      <c r="T373" t="s">
        <v>0</v>
      </c>
      <c r="U373">
        <v>0</v>
      </c>
    </row>
    <row r="374" spans="3:21" x14ac:dyDescent="0.3">
      <c r="C374" t="s">
        <v>50</v>
      </c>
      <c r="D374" s="18">
        <v>45961</v>
      </c>
      <c r="E374" t="str">
        <f>IFERROR(VLOOKUP(A374,#REF!,5,TRUE),"not found")</f>
        <v>not found</v>
      </c>
      <c r="F374" t="str">
        <f>IFERROR(VLOOKUP(A374,#REF!,2,TRUE),"")</f>
        <v/>
      </c>
      <c r="G374">
        <v>7175</v>
      </c>
      <c r="H374" t="s">
        <v>1</v>
      </c>
      <c r="O374">
        <v>63</v>
      </c>
      <c r="P374" t="s">
        <v>38</v>
      </c>
      <c r="Q374">
        <v>50</v>
      </c>
      <c r="R374" t="s">
        <v>51</v>
      </c>
      <c r="S374" t="s">
        <v>33</v>
      </c>
      <c r="T374" t="s">
        <v>0</v>
      </c>
      <c r="U374">
        <v>0</v>
      </c>
    </row>
    <row r="375" spans="3:21" x14ac:dyDescent="0.3">
      <c r="C375" t="s">
        <v>50</v>
      </c>
      <c r="D375" s="18">
        <v>45961</v>
      </c>
      <c r="E375" t="str">
        <f>IFERROR(VLOOKUP(A375,#REF!,5,TRUE),"not found")</f>
        <v>not found</v>
      </c>
      <c r="F375" t="str">
        <f>IFERROR(VLOOKUP(A375,#REF!,2,TRUE),"")</f>
        <v/>
      </c>
      <c r="G375">
        <v>7175</v>
      </c>
      <c r="H375" t="s">
        <v>1</v>
      </c>
      <c r="O375">
        <v>63</v>
      </c>
      <c r="P375" t="s">
        <v>38</v>
      </c>
      <c r="Q375">
        <v>50</v>
      </c>
      <c r="R375" t="s">
        <v>51</v>
      </c>
      <c r="S375" t="s">
        <v>33</v>
      </c>
      <c r="T375" t="s">
        <v>0</v>
      </c>
      <c r="U375">
        <v>0</v>
      </c>
    </row>
    <row r="376" spans="3:21" x14ac:dyDescent="0.3">
      <c r="C376" t="s">
        <v>50</v>
      </c>
      <c r="D376" s="18">
        <v>45961</v>
      </c>
      <c r="E376" t="str">
        <f>IFERROR(VLOOKUP(A376,#REF!,5,TRUE),"not found")</f>
        <v>not found</v>
      </c>
      <c r="F376" t="str">
        <f>IFERROR(VLOOKUP(A376,#REF!,2,TRUE),"")</f>
        <v/>
      </c>
      <c r="G376">
        <v>7175</v>
      </c>
      <c r="H376" t="s">
        <v>1</v>
      </c>
      <c r="O376">
        <v>63</v>
      </c>
      <c r="P376" t="s">
        <v>38</v>
      </c>
      <c r="Q376">
        <v>50</v>
      </c>
      <c r="R376" t="s">
        <v>51</v>
      </c>
      <c r="S376" t="s">
        <v>33</v>
      </c>
      <c r="T376" t="s">
        <v>0</v>
      </c>
      <c r="U376">
        <v>0</v>
      </c>
    </row>
    <row r="377" spans="3:21" x14ac:dyDescent="0.3">
      <c r="C377" t="s">
        <v>50</v>
      </c>
      <c r="D377" s="18">
        <v>45961</v>
      </c>
      <c r="E377" t="str">
        <f>IFERROR(VLOOKUP(A377,#REF!,5,TRUE),"not found")</f>
        <v>not found</v>
      </c>
      <c r="F377" t="str">
        <f>IFERROR(VLOOKUP(A377,#REF!,2,TRUE),"")</f>
        <v/>
      </c>
      <c r="G377">
        <v>7175</v>
      </c>
      <c r="H377" t="s">
        <v>1</v>
      </c>
      <c r="O377">
        <v>63</v>
      </c>
      <c r="P377" t="s">
        <v>38</v>
      </c>
      <c r="Q377">
        <v>50</v>
      </c>
      <c r="R377" t="s">
        <v>51</v>
      </c>
      <c r="S377" t="s">
        <v>33</v>
      </c>
      <c r="T377" t="s">
        <v>0</v>
      </c>
      <c r="U377">
        <v>0</v>
      </c>
    </row>
    <row r="378" spans="3:21" x14ac:dyDescent="0.3">
      <c r="C378" t="s">
        <v>50</v>
      </c>
      <c r="D378" s="18">
        <v>45961</v>
      </c>
      <c r="E378" t="str">
        <f>IFERROR(VLOOKUP(A378,#REF!,5,TRUE),"not found")</f>
        <v>not found</v>
      </c>
      <c r="F378" t="str">
        <f>IFERROR(VLOOKUP(A378,#REF!,2,TRUE),"")</f>
        <v/>
      </c>
      <c r="G378">
        <v>7175</v>
      </c>
      <c r="H378" t="s">
        <v>1</v>
      </c>
      <c r="O378">
        <v>63</v>
      </c>
      <c r="P378" t="s">
        <v>38</v>
      </c>
      <c r="Q378">
        <v>50</v>
      </c>
      <c r="R378" t="s">
        <v>51</v>
      </c>
      <c r="S378" t="s">
        <v>33</v>
      </c>
      <c r="T378" t="s">
        <v>0</v>
      </c>
      <c r="U378">
        <v>0</v>
      </c>
    </row>
    <row r="379" spans="3:21" x14ac:dyDescent="0.3">
      <c r="C379" t="s">
        <v>50</v>
      </c>
      <c r="D379" s="18">
        <v>45961</v>
      </c>
      <c r="E379" t="str">
        <f>IFERROR(VLOOKUP(A379,#REF!,5,TRUE),"not found")</f>
        <v>not found</v>
      </c>
      <c r="F379" t="str">
        <f>IFERROR(VLOOKUP(A379,#REF!,2,TRUE),"")</f>
        <v/>
      </c>
      <c r="G379">
        <v>7175</v>
      </c>
      <c r="H379" t="s">
        <v>1</v>
      </c>
      <c r="O379">
        <v>63</v>
      </c>
      <c r="P379" t="s">
        <v>38</v>
      </c>
      <c r="Q379">
        <v>50</v>
      </c>
      <c r="R379" t="s">
        <v>51</v>
      </c>
      <c r="S379" t="s">
        <v>33</v>
      </c>
      <c r="T379" t="s">
        <v>0</v>
      </c>
      <c r="U379">
        <v>0</v>
      </c>
    </row>
    <row r="380" spans="3:21" x14ac:dyDescent="0.3">
      <c r="C380" t="s">
        <v>50</v>
      </c>
      <c r="D380" s="18">
        <v>45961</v>
      </c>
      <c r="E380" t="str">
        <f>IFERROR(VLOOKUP(A380,#REF!,5,TRUE),"not found")</f>
        <v>not found</v>
      </c>
      <c r="F380" t="str">
        <f>IFERROR(VLOOKUP(A380,#REF!,2,TRUE),"")</f>
        <v/>
      </c>
      <c r="G380">
        <v>7175</v>
      </c>
      <c r="H380" t="s">
        <v>1</v>
      </c>
      <c r="O380">
        <v>63</v>
      </c>
      <c r="P380" t="s">
        <v>38</v>
      </c>
      <c r="Q380">
        <v>50</v>
      </c>
      <c r="R380" t="s">
        <v>51</v>
      </c>
      <c r="S380" t="s">
        <v>33</v>
      </c>
      <c r="T380" t="s">
        <v>0</v>
      </c>
      <c r="U380">
        <v>0</v>
      </c>
    </row>
    <row r="381" spans="3:21" x14ac:dyDescent="0.3">
      <c r="C381" t="s">
        <v>50</v>
      </c>
      <c r="D381" s="18">
        <v>45961</v>
      </c>
      <c r="E381" t="str">
        <f>IFERROR(VLOOKUP(A381,#REF!,5,TRUE),"not found")</f>
        <v>not found</v>
      </c>
      <c r="F381" t="str">
        <f>IFERROR(VLOOKUP(A381,#REF!,2,TRUE),"")</f>
        <v/>
      </c>
      <c r="G381">
        <v>7175</v>
      </c>
      <c r="H381" t="s">
        <v>1</v>
      </c>
      <c r="O381">
        <v>63</v>
      </c>
      <c r="P381" t="s">
        <v>38</v>
      </c>
      <c r="Q381">
        <v>50</v>
      </c>
      <c r="R381" t="s">
        <v>51</v>
      </c>
      <c r="S381" t="s">
        <v>33</v>
      </c>
      <c r="T381" t="s">
        <v>0</v>
      </c>
      <c r="U381">
        <v>0</v>
      </c>
    </row>
    <row r="382" spans="3:21" x14ac:dyDescent="0.3">
      <c r="C382" t="s">
        <v>50</v>
      </c>
      <c r="D382" s="18">
        <v>45961</v>
      </c>
      <c r="E382" t="str">
        <f>IFERROR(VLOOKUP(A382,#REF!,5,TRUE),"not found")</f>
        <v>not found</v>
      </c>
      <c r="F382" t="str">
        <f>IFERROR(VLOOKUP(A382,#REF!,2,TRUE),"")</f>
        <v/>
      </c>
      <c r="G382">
        <v>7175</v>
      </c>
      <c r="H382" t="s">
        <v>1</v>
      </c>
      <c r="O382">
        <v>63</v>
      </c>
      <c r="P382" t="s">
        <v>38</v>
      </c>
      <c r="Q382">
        <v>50</v>
      </c>
      <c r="R382" t="s">
        <v>51</v>
      </c>
      <c r="S382" t="s">
        <v>33</v>
      </c>
      <c r="T382" t="s">
        <v>0</v>
      </c>
      <c r="U382">
        <v>0</v>
      </c>
    </row>
    <row r="383" spans="3:21" x14ac:dyDescent="0.3">
      <c r="C383" t="s">
        <v>50</v>
      </c>
      <c r="D383" s="18">
        <v>45961</v>
      </c>
      <c r="E383" t="str">
        <f>IFERROR(VLOOKUP(A383,#REF!,5,TRUE),"not found")</f>
        <v>not found</v>
      </c>
      <c r="F383" t="str">
        <f>IFERROR(VLOOKUP(A383,#REF!,2,TRUE),"")</f>
        <v/>
      </c>
      <c r="G383">
        <v>7175</v>
      </c>
      <c r="H383" t="s">
        <v>1</v>
      </c>
      <c r="O383">
        <v>63</v>
      </c>
      <c r="P383" t="s">
        <v>38</v>
      </c>
      <c r="Q383">
        <v>50</v>
      </c>
      <c r="R383" t="s">
        <v>51</v>
      </c>
      <c r="S383" t="s">
        <v>33</v>
      </c>
      <c r="T383" t="s">
        <v>0</v>
      </c>
      <c r="U383">
        <v>0</v>
      </c>
    </row>
    <row r="384" spans="3:21" x14ac:dyDescent="0.3">
      <c r="C384" t="s">
        <v>50</v>
      </c>
      <c r="D384" s="18">
        <v>45961</v>
      </c>
      <c r="E384" t="str">
        <f>IFERROR(VLOOKUP(A384,#REF!,5,TRUE),"not found")</f>
        <v>not found</v>
      </c>
      <c r="F384" t="str">
        <f>IFERROR(VLOOKUP(A384,#REF!,2,TRUE),"")</f>
        <v/>
      </c>
      <c r="G384">
        <v>7175</v>
      </c>
      <c r="H384" t="s">
        <v>1</v>
      </c>
      <c r="O384">
        <v>63</v>
      </c>
      <c r="P384" t="s">
        <v>38</v>
      </c>
      <c r="Q384">
        <v>50</v>
      </c>
      <c r="R384" t="s">
        <v>51</v>
      </c>
      <c r="S384" t="s">
        <v>33</v>
      </c>
      <c r="T384" t="s">
        <v>0</v>
      </c>
      <c r="U384">
        <v>0</v>
      </c>
    </row>
    <row r="385" spans="3:21" x14ac:dyDescent="0.3">
      <c r="C385" t="s">
        <v>50</v>
      </c>
      <c r="D385" s="18">
        <v>45961</v>
      </c>
      <c r="E385" t="str">
        <f>IFERROR(VLOOKUP(A385,#REF!,5,TRUE),"not found")</f>
        <v>not found</v>
      </c>
      <c r="F385" t="str">
        <f>IFERROR(VLOOKUP(A385,#REF!,2,TRUE),"")</f>
        <v/>
      </c>
      <c r="G385">
        <v>7175</v>
      </c>
      <c r="H385" t="s">
        <v>1</v>
      </c>
      <c r="O385">
        <v>63</v>
      </c>
      <c r="P385" t="s">
        <v>38</v>
      </c>
      <c r="Q385">
        <v>50</v>
      </c>
      <c r="R385" t="s">
        <v>51</v>
      </c>
      <c r="S385" t="s">
        <v>33</v>
      </c>
      <c r="T385" t="s">
        <v>0</v>
      </c>
      <c r="U385">
        <v>0</v>
      </c>
    </row>
    <row r="386" spans="3:21" x14ac:dyDescent="0.3">
      <c r="C386" t="s">
        <v>50</v>
      </c>
      <c r="D386" s="18">
        <v>45961</v>
      </c>
      <c r="E386" t="str">
        <f>IFERROR(VLOOKUP(A386,#REF!,5,TRUE),"not found")</f>
        <v>not found</v>
      </c>
      <c r="F386" t="str">
        <f>IFERROR(VLOOKUP(A386,#REF!,2,TRUE),"")</f>
        <v/>
      </c>
      <c r="G386">
        <v>7175</v>
      </c>
      <c r="H386" t="s">
        <v>1</v>
      </c>
      <c r="O386">
        <v>63</v>
      </c>
      <c r="P386" t="s">
        <v>38</v>
      </c>
      <c r="Q386">
        <v>50</v>
      </c>
      <c r="R386" t="s">
        <v>51</v>
      </c>
      <c r="S386" t="s">
        <v>33</v>
      </c>
      <c r="T386" t="s">
        <v>0</v>
      </c>
      <c r="U386">
        <v>0</v>
      </c>
    </row>
    <row r="387" spans="3:21" x14ac:dyDescent="0.3">
      <c r="C387" t="s">
        <v>50</v>
      </c>
      <c r="D387" s="18">
        <v>45961</v>
      </c>
      <c r="E387" t="str">
        <f>IFERROR(VLOOKUP(A387,#REF!,5,TRUE),"not found")</f>
        <v>not found</v>
      </c>
      <c r="F387" t="str">
        <f>IFERROR(VLOOKUP(A387,#REF!,2,TRUE),"")</f>
        <v/>
      </c>
      <c r="G387">
        <v>7175</v>
      </c>
      <c r="H387" t="s">
        <v>1</v>
      </c>
      <c r="O387">
        <v>63</v>
      </c>
      <c r="P387" t="s">
        <v>38</v>
      </c>
      <c r="Q387">
        <v>50</v>
      </c>
      <c r="R387" t="s">
        <v>51</v>
      </c>
      <c r="S387" t="s">
        <v>33</v>
      </c>
      <c r="T387" t="s">
        <v>0</v>
      </c>
      <c r="U387">
        <v>0</v>
      </c>
    </row>
    <row r="388" spans="3:21" x14ac:dyDescent="0.3">
      <c r="C388" t="s">
        <v>50</v>
      </c>
      <c r="D388" s="18">
        <v>45961</v>
      </c>
      <c r="E388" t="str">
        <f>IFERROR(VLOOKUP(A388,#REF!,5,TRUE),"not found")</f>
        <v>not found</v>
      </c>
      <c r="F388" t="str">
        <f>IFERROR(VLOOKUP(A388,#REF!,2,TRUE),"")</f>
        <v/>
      </c>
      <c r="G388">
        <v>7175</v>
      </c>
      <c r="H388" t="s">
        <v>1</v>
      </c>
      <c r="O388">
        <v>63</v>
      </c>
      <c r="P388" t="s">
        <v>38</v>
      </c>
      <c r="Q388">
        <v>50</v>
      </c>
      <c r="R388" t="s">
        <v>51</v>
      </c>
      <c r="S388" t="s">
        <v>33</v>
      </c>
      <c r="T388" t="s">
        <v>0</v>
      </c>
      <c r="U388">
        <v>0</v>
      </c>
    </row>
    <row r="389" spans="3:21" x14ac:dyDescent="0.3">
      <c r="C389" t="s">
        <v>50</v>
      </c>
      <c r="D389" s="18">
        <v>45961</v>
      </c>
      <c r="E389" t="str">
        <f>IFERROR(VLOOKUP(A389,#REF!,5,TRUE),"not found")</f>
        <v>not found</v>
      </c>
      <c r="F389" t="str">
        <f>IFERROR(VLOOKUP(A389,#REF!,2,TRUE),"")</f>
        <v/>
      </c>
      <c r="G389">
        <v>7175</v>
      </c>
      <c r="H389" t="s">
        <v>1</v>
      </c>
      <c r="O389">
        <v>63</v>
      </c>
      <c r="P389" t="s">
        <v>38</v>
      </c>
      <c r="Q389">
        <v>50</v>
      </c>
      <c r="R389" t="s">
        <v>51</v>
      </c>
      <c r="S389" t="s">
        <v>33</v>
      </c>
      <c r="T389" t="s">
        <v>0</v>
      </c>
      <c r="U389">
        <v>0</v>
      </c>
    </row>
    <row r="390" spans="3:21" x14ac:dyDescent="0.3">
      <c r="C390" t="s">
        <v>50</v>
      </c>
      <c r="D390" s="18">
        <v>45961</v>
      </c>
      <c r="E390" t="str">
        <f>IFERROR(VLOOKUP(A390,#REF!,5,TRUE),"not found")</f>
        <v>not found</v>
      </c>
      <c r="F390" t="str">
        <f>IFERROR(VLOOKUP(A390,#REF!,2,TRUE),"")</f>
        <v/>
      </c>
      <c r="G390">
        <v>7175</v>
      </c>
      <c r="H390" t="s">
        <v>1</v>
      </c>
      <c r="O390">
        <v>63</v>
      </c>
      <c r="P390" t="s">
        <v>38</v>
      </c>
      <c r="Q390">
        <v>50</v>
      </c>
      <c r="R390" t="s">
        <v>51</v>
      </c>
      <c r="S390" t="s">
        <v>33</v>
      </c>
      <c r="T390" t="s">
        <v>0</v>
      </c>
      <c r="U390">
        <v>0</v>
      </c>
    </row>
    <row r="391" spans="3:21" x14ac:dyDescent="0.3">
      <c r="C391" t="s">
        <v>50</v>
      </c>
      <c r="D391" s="18">
        <v>45961</v>
      </c>
      <c r="E391" t="str">
        <f>IFERROR(VLOOKUP(A391,#REF!,5,TRUE),"not found")</f>
        <v>not found</v>
      </c>
      <c r="F391" t="str">
        <f>IFERROR(VLOOKUP(A391,#REF!,2,TRUE),"")</f>
        <v/>
      </c>
      <c r="G391">
        <v>7175</v>
      </c>
      <c r="H391" t="s">
        <v>1</v>
      </c>
      <c r="O391">
        <v>63</v>
      </c>
      <c r="P391" t="s">
        <v>38</v>
      </c>
      <c r="Q391">
        <v>50</v>
      </c>
      <c r="R391" t="s">
        <v>51</v>
      </c>
      <c r="S391" t="s">
        <v>33</v>
      </c>
      <c r="T391" t="s">
        <v>0</v>
      </c>
      <c r="U391">
        <v>0</v>
      </c>
    </row>
    <row r="392" spans="3:21" x14ac:dyDescent="0.3">
      <c r="C392" t="s">
        <v>50</v>
      </c>
      <c r="D392" s="18">
        <v>45961</v>
      </c>
      <c r="E392" t="str">
        <f>IFERROR(VLOOKUP(A392,#REF!,5,TRUE),"not found")</f>
        <v>not found</v>
      </c>
      <c r="F392" t="str">
        <f>IFERROR(VLOOKUP(A392,#REF!,2,TRUE),"")</f>
        <v/>
      </c>
      <c r="G392">
        <v>7175</v>
      </c>
      <c r="H392" t="s">
        <v>1</v>
      </c>
      <c r="O392">
        <v>63</v>
      </c>
      <c r="P392" t="s">
        <v>38</v>
      </c>
      <c r="Q392">
        <v>50</v>
      </c>
      <c r="R392" t="s">
        <v>51</v>
      </c>
      <c r="S392" t="s">
        <v>33</v>
      </c>
      <c r="T392" t="s">
        <v>0</v>
      </c>
      <c r="U392">
        <v>0</v>
      </c>
    </row>
    <row r="393" spans="3:21" x14ac:dyDescent="0.3">
      <c r="C393" t="s">
        <v>50</v>
      </c>
      <c r="D393" s="18">
        <v>45961</v>
      </c>
      <c r="E393" t="str">
        <f>IFERROR(VLOOKUP(A393,#REF!,5,TRUE),"not found")</f>
        <v>not found</v>
      </c>
      <c r="F393" t="str">
        <f>IFERROR(VLOOKUP(A393,#REF!,2,TRUE),"")</f>
        <v/>
      </c>
      <c r="G393">
        <v>7175</v>
      </c>
      <c r="H393" t="s">
        <v>1</v>
      </c>
      <c r="O393">
        <v>63</v>
      </c>
      <c r="P393" t="s">
        <v>38</v>
      </c>
      <c r="Q393">
        <v>50</v>
      </c>
      <c r="R393" t="s">
        <v>51</v>
      </c>
      <c r="S393" t="s">
        <v>33</v>
      </c>
      <c r="T393" t="s">
        <v>0</v>
      </c>
      <c r="U393">
        <v>0</v>
      </c>
    </row>
    <row r="394" spans="3:21" x14ac:dyDescent="0.3">
      <c r="C394" t="s">
        <v>50</v>
      </c>
      <c r="D394" s="18">
        <v>45961</v>
      </c>
      <c r="E394" t="str">
        <f>IFERROR(VLOOKUP(A394,#REF!,5,TRUE),"not found")</f>
        <v>not found</v>
      </c>
      <c r="F394" t="str">
        <f>IFERROR(VLOOKUP(A394,#REF!,2,TRUE),"")</f>
        <v/>
      </c>
      <c r="G394">
        <v>7175</v>
      </c>
      <c r="H394" t="s">
        <v>1</v>
      </c>
      <c r="O394">
        <v>63</v>
      </c>
      <c r="P394" t="s">
        <v>38</v>
      </c>
      <c r="Q394">
        <v>50</v>
      </c>
      <c r="R394" t="s">
        <v>51</v>
      </c>
      <c r="S394" t="s">
        <v>33</v>
      </c>
      <c r="T394" t="s">
        <v>0</v>
      </c>
      <c r="U394">
        <v>0</v>
      </c>
    </row>
    <row r="395" spans="3:21" x14ac:dyDescent="0.3">
      <c r="C395" t="s">
        <v>50</v>
      </c>
      <c r="D395" s="18">
        <v>45961</v>
      </c>
      <c r="E395" t="str">
        <f>IFERROR(VLOOKUP(A395,#REF!,5,TRUE),"not found")</f>
        <v>not found</v>
      </c>
      <c r="F395" t="str">
        <f>IFERROR(VLOOKUP(A395,#REF!,2,TRUE),"")</f>
        <v/>
      </c>
      <c r="G395">
        <v>7175</v>
      </c>
      <c r="H395" t="s">
        <v>1</v>
      </c>
      <c r="O395">
        <v>63</v>
      </c>
      <c r="P395" t="s">
        <v>38</v>
      </c>
      <c r="Q395">
        <v>50</v>
      </c>
      <c r="R395" t="s">
        <v>51</v>
      </c>
      <c r="S395" t="s">
        <v>33</v>
      </c>
      <c r="T395" t="s">
        <v>0</v>
      </c>
      <c r="U395">
        <v>0</v>
      </c>
    </row>
    <row r="396" spans="3:21" x14ac:dyDescent="0.3">
      <c r="C396" t="s">
        <v>50</v>
      </c>
      <c r="D396" s="18">
        <v>45961</v>
      </c>
      <c r="E396" t="str">
        <f>IFERROR(VLOOKUP(A396,#REF!,5,TRUE),"not found")</f>
        <v>not found</v>
      </c>
      <c r="F396" t="str">
        <f>IFERROR(VLOOKUP(A396,#REF!,2,TRUE),"")</f>
        <v/>
      </c>
      <c r="G396">
        <v>7175</v>
      </c>
      <c r="H396" t="s">
        <v>1</v>
      </c>
      <c r="O396">
        <v>63</v>
      </c>
      <c r="P396" t="s">
        <v>38</v>
      </c>
      <c r="Q396">
        <v>50</v>
      </c>
      <c r="R396" t="s">
        <v>51</v>
      </c>
      <c r="S396" t="s">
        <v>33</v>
      </c>
      <c r="T396" t="s">
        <v>0</v>
      </c>
      <c r="U396">
        <v>0</v>
      </c>
    </row>
    <row r="397" spans="3:21" x14ac:dyDescent="0.3">
      <c r="C397" t="s">
        <v>50</v>
      </c>
      <c r="D397" s="18">
        <v>45961</v>
      </c>
      <c r="E397" t="str">
        <f>IFERROR(VLOOKUP(A397,#REF!,5,TRUE),"not found")</f>
        <v>not found</v>
      </c>
      <c r="F397" t="str">
        <f>IFERROR(VLOOKUP(A397,#REF!,2,TRUE),"")</f>
        <v/>
      </c>
      <c r="G397">
        <v>7175</v>
      </c>
      <c r="H397" t="s">
        <v>1</v>
      </c>
      <c r="O397">
        <v>63</v>
      </c>
      <c r="P397" t="s">
        <v>38</v>
      </c>
      <c r="Q397">
        <v>50</v>
      </c>
      <c r="R397" t="s">
        <v>51</v>
      </c>
      <c r="S397" t="s">
        <v>33</v>
      </c>
      <c r="T397" t="s">
        <v>0</v>
      </c>
      <c r="U397">
        <v>0</v>
      </c>
    </row>
    <row r="398" spans="3:21" x14ac:dyDescent="0.3">
      <c r="C398" t="s">
        <v>50</v>
      </c>
      <c r="D398" s="18">
        <v>45961</v>
      </c>
      <c r="E398" t="str">
        <f>IFERROR(VLOOKUP(A398,#REF!,5,TRUE),"not found")</f>
        <v>not found</v>
      </c>
      <c r="F398" t="str">
        <f>IFERROR(VLOOKUP(A398,#REF!,2,TRUE),"")</f>
        <v/>
      </c>
      <c r="G398">
        <v>7175</v>
      </c>
      <c r="H398" t="s">
        <v>1</v>
      </c>
      <c r="O398">
        <v>63</v>
      </c>
      <c r="P398" t="s">
        <v>38</v>
      </c>
      <c r="Q398">
        <v>50</v>
      </c>
      <c r="R398" t="s">
        <v>51</v>
      </c>
      <c r="S398" t="s">
        <v>33</v>
      </c>
      <c r="T398" t="s">
        <v>0</v>
      </c>
      <c r="U398">
        <v>0</v>
      </c>
    </row>
    <row r="399" spans="3:21" x14ac:dyDescent="0.3">
      <c r="C399" t="s">
        <v>50</v>
      </c>
      <c r="D399" s="18">
        <v>45961</v>
      </c>
      <c r="E399" t="str">
        <f>IFERROR(VLOOKUP(A399,#REF!,5,TRUE),"not found")</f>
        <v>not found</v>
      </c>
      <c r="F399" t="str">
        <f>IFERROR(VLOOKUP(A399,#REF!,2,TRUE),"")</f>
        <v/>
      </c>
      <c r="G399">
        <v>7175</v>
      </c>
      <c r="H399" t="s">
        <v>1</v>
      </c>
      <c r="O399">
        <v>63</v>
      </c>
      <c r="P399" t="s">
        <v>38</v>
      </c>
      <c r="Q399">
        <v>50</v>
      </c>
      <c r="R399" t="s">
        <v>51</v>
      </c>
      <c r="S399" t="s">
        <v>33</v>
      </c>
      <c r="T399" t="s">
        <v>0</v>
      </c>
      <c r="U399">
        <v>0</v>
      </c>
    </row>
    <row r="400" spans="3:21" x14ac:dyDescent="0.3">
      <c r="C400" t="s">
        <v>50</v>
      </c>
      <c r="D400" s="18">
        <v>45961</v>
      </c>
      <c r="E400" t="str">
        <f>IFERROR(VLOOKUP(A400,#REF!,5,TRUE),"not found")</f>
        <v>not found</v>
      </c>
      <c r="F400" t="str">
        <f>IFERROR(VLOOKUP(A400,#REF!,2,TRUE),"")</f>
        <v/>
      </c>
      <c r="G400">
        <v>7175</v>
      </c>
      <c r="H400" t="s">
        <v>1</v>
      </c>
      <c r="O400">
        <v>63</v>
      </c>
      <c r="P400" t="s">
        <v>38</v>
      </c>
      <c r="Q400">
        <v>50</v>
      </c>
      <c r="R400" t="s">
        <v>51</v>
      </c>
      <c r="S400" t="s">
        <v>33</v>
      </c>
      <c r="T400" t="s">
        <v>0</v>
      </c>
      <c r="U400">
        <v>0</v>
      </c>
    </row>
    <row r="401" spans="3:21" x14ac:dyDescent="0.3">
      <c r="C401" t="s">
        <v>50</v>
      </c>
      <c r="D401" s="18">
        <v>45961</v>
      </c>
      <c r="E401" t="str">
        <f>IFERROR(VLOOKUP(A401,#REF!,5,TRUE),"not found")</f>
        <v>not found</v>
      </c>
      <c r="F401" t="str">
        <f>IFERROR(VLOOKUP(A401,#REF!,2,TRUE),"")</f>
        <v/>
      </c>
      <c r="G401">
        <v>7175</v>
      </c>
      <c r="H401" t="s">
        <v>1</v>
      </c>
      <c r="O401">
        <v>63</v>
      </c>
      <c r="P401" t="s">
        <v>38</v>
      </c>
      <c r="Q401">
        <v>50</v>
      </c>
      <c r="R401" t="s">
        <v>51</v>
      </c>
      <c r="S401" t="s">
        <v>33</v>
      </c>
      <c r="T401" t="s">
        <v>0</v>
      </c>
      <c r="U401">
        <v>0</v>
      </c>
    </row>
    <row r="402" spans="3:21" x14ac:dyDescent="0.3">
      <c r="C402" t="s">
        <v>50</v>
      </c>
      <c r="D402" s="18">
        <v>45961</v>
      </c>
      <c r="E402" t="str">
        <f>IFERROR(VLOOKUP(A402,#REF!,5,TRUE),"not found")</f>
        <v>not found</v>
      </c>
      <c r="F402" t="str">
        <f>IFERROR(VLOOKUP(A402,#REF!,2,TRUE),"")</f>
        <v/>
      </c>
      <c r="G402">
        <v>7175</v>
      </c>
      <c r="H402" t="s">
        <v>1</v>
      </c>
      <c r="O402">
        <v>63</v>
      </c>
      <c r="P402" t="s">
        <v>38</v>
      </c>
      <c r="Q402">
        <v>50</v>
      </c>
      <c r="R402" t="s">
        <v>51</v>
      </c>
      <c r="S402" t="s">
        <v>33</v>
      </c>
      <c r="T402" t="s">
        <v>0</v>
      </c>
      <c r="U402">
        <v>0</v>
      </c>
    </row>
    <row r="403" spans="3:21" x14ac:dyDescent="0.3">
      <c r="C403" t="s">
        <v>50</v>
      </c>
      <c r="D403" s="18">
        <v>45961</v>
      </c>
      <c r="E403" t="str">
        <f>IFERROR(VLOOKUP(A403,#REF!,5,TRUE),"not found")</f>
        <v>not found</v>
      </c>
      <c r="F403" t="str">
        <f>IFERROR(VLOOKUP(A403,#REF!,2,TRUE),"")</f>
        <v/>
      </c>
      <c r="G403">
        <v>7175</v>
      </c>
      <c r="H403" t="s">
        <v>1</v>
      </c>
      <c r="O403">
        <v>63</v>
      </c>
      <c r="P403" t="s">
        <v>38</v>
      </c>
      <c r="Q403">
        <v>50</v>
      </c>
      <c r="R403" t="s">
        <v>51</v>
      </c>
      <c r="S403" t="s">
        <v>33</v>
      </c>
      <c r="T403" t="s">
        <v>0</v>
      </c>
      <c r="U403">
        <v>0</v>
      </c>
    </row>
    <row r="404" spans="3:21" x14ac:dyDescent="0.3">
      <c r="C404" t="s">
        <v>50</v>
      </c>
      <c r="D404" s="18">
        <v>45961</v>
      </c>
      <c r="E404" t="str">
        <f>IFERROR(VLOOKUP(A404,#REF!,5,TRUE),"not found")</f>
        <v>not found</v>
      </c>
      <c r="F404" t="str">
        <f>IFERROR(VLOOKUP(A404,#REF!,2,TRUE),"")</f>
        <v/>
      </c>
      <c r="G404">
        <v>7175</v>
      </c>
      <c r="H404" t="s">
        <v>1</v>
      </c>
      <c r="O404">
        <v>63</v>
      </c>
      <c r="P404" t="s">
        <v>38</v>
      </c>
      <c r="Q404">
        <v>50</v>
      </c>
      <c r="R404" t="s">
        <v>51</v>
      </c>
      <c r="S404" t="s">
        <v>33</v>
      </c>
      <c r="T404" t="s">
        <v>0</v>
      </c>
      <c r="U404">
        <v>0</v>
      </c>
    </row>
    <row r="405" spans="3:21" x14ac:dyDescent="0.3">
      <c r="C405" t="s">
        <v>50</v>
      </c>
      <c r="D405" s="18">
        <v>45961</v>
      </c>
      <c r="E405" t="str">
        <f>IFERROR(VLOOKUP(A405,#REF!,5,TRUE),"not found")</f>
        <v>not found</v>
      </c>
      <c r="F405" t="str">
        <f>IFERROR(VLOOKUP(A405,#REF!,2,TRUE),"")</f>
        <v/>
      </c>
      <c r="G405">
        <v>7175</v>
      </c>
      <c r="H405" t="s">
        <v>1</v>
      </c>
      <c r="O405">
        <v>63</v>
      </c>
      <c r="P405" t="s">
        <v>38</v>
      </c>
      <c r="Q405">
        <v>50</v>
      </c>
      <c r="R405" t="s">
        <v>51</v>
      </c>
      <c r="S405" t="s">
        <v>33</v>
      </c>
      <c r="T405" t="s">
        <v>0</v>
      </c>
      <c r="U405">
        <v>0</v>
      </c>
    </row>
    <row r="406" spans="3:21" x14ac:dyDescent="0.3">
      <c r="C406" t="s">
        <v>50</v>
      </c>
      <c r="D406" s="18">
        <v>45961</v>
      </c>
      <c r="E406" t="str">
        <f>IFERROR(VLOOKUP(A406,#REF!,5,TRUE),"not found")</f>
        <v>not found</v>
      </c>
      <c r="F406" t="str">
        <f>IFERROR(VLOOKUP(A406,#REF!,2,TRUE),"")</f>
        <v/>
      </c>
      <c r="G406">
        <v>7175</v>
      </c>
      <c r="H406" t="s">
        <v>1</v>
      </c>
      <c r="O406">
        <v>63</v>
      </c>
      <c r="P406" t="s">
        <v>38</v>
      </c>
      <c r="Q406">
        <v>50</v>
      </c>
      <c r="R406" t="s">
        <v>51</v>
      </c>
      <c r="S406" t="s">
        <v>33</v>
      </c>
      <c r="T406" t="s">
        <v>0</v>
      </c>
      <c r="U406">
        <v>0</v>
      </c>
    </row>
    <row r="407" spans="3:21" x14ac:dyDescent="0.3">
      <c r="C407" t="s">
        <v>50</v>
      </c>
      <c r="D407" s="18">
        <v>45961</v>
      </c>
      <c r="E407" t="str">
        <f>IFERROR(VLOOKUP(A407,#REF!,5,TRUE),"not found")</f>
        <v>not found</v>
      </c>
      <c r="F407" t="str">
        <f>IFERROR(VLOOKUP(A407,#REF!,2,TRUE),"")</f>
        <v/>
      </c>
      <c r="G407">
        <v>7175</v>
      </c>
      <c r="H407" t="s">
        <v>1</v>
      </c>
      <c r="O407">
        <v>63</v>
      </c>
      <c r="P407" t="s">
        <v>38</v>
      </c>
      <c r="Q407">
        <v>50</v>
      </c>
      <c r="R407" t="s">
        <v>51</v>
      </c>
      <c r="S407" t="s">
        <v>33</v>
      </c>
      <c r="T407" t="s">
        <v>0</v>
      </c>
      <c r="U407">
        <v>0</v>
      </c>
    </row>
    <row r="408" spans="3:21" x14ac:dyDescent="0.3">
      <c r="C408" t="s">
        <v>50</v>
      </c>
      <c r="D408" s="18">
        <v>45961</v>
      </c>
      <c r="E408" t="str">
        <f>IFERROR(VLOOKUP(A408,#REF!,5,TRUE),"not found")</f>
        <v>not found</v>
      </c>
      <c r="F408" t="str">
        <f>IFERROR(VLOOKUP(A408,#REF!,2,TRUE),"")</f>
        <v/>
      </c>
      <c r="G408">
        <v>7175</v>
      </c>
      <c r="H408" t="s">
        <v>1</v>
      </c>
      <c r="O408">
        <v>63</v>
      </c>
      <c r="P408" t="s">
        <v>38</v>
      </c>
      <c r="Q408">
        <v>50</v>
      </c>
      <c r="R408" t="s">
        <v>51</v>
      </c>
      <c r="S408" t="s">
        <v>33</v>
      </c>
      <c r="T408" t="s">
        <v>0</v>
      </c>
      <c r="U408">
        <v>0</v>
      </c>
    </row>
    <row r="409" spans="3:21" x14ac:dyDescent="0.3">
      <c r="C409" t="s">
        <v>50</v>
      </c>
      <c r="D409" s="18">
        <v>45961</v>
      </c>
      <c r="E409" t="str">
        <f>IFERROR(VLOOKUP(A409,#REF!,5,TRUE),"not found")</f>
        <v>not found</v>
      </c>
      <c r="F409" t="str">
        <f>IFERROR(VLOOKUP(A409,#REF!,2,TRUE),"")</f>
        <v/>
      </c>
      <c r="G409">
        <v>7175</v>
      </c>
      <c r="H409" t="s">
        <v>1</v>
      </c>
      <c r="O409">
        <v>63</v>
      </c>
      <c r="P409" t="s">
        <v>38</v>
      </c>
      <c r="Q409">
        <v>50</v>
      </c>
      <c r="R409" t="s">
        <v>51</v>
      </c>
      <c r="S409" t="s">
        <v>33</v>
      </c>
      <c r="T409" t="s">
        <v>0</v>
      </c>
      <c r="U409">
        <v>0</v>
      </c>
    </row>
    <row r="410" spans="3:21" x14ac:dyDescent="0.3">
      <c r="C410" t="s">
        <v>50</v>
      </c>
      <c r="D410" s="18">
        <v>45961</v>
      </c>
      <c r="E410" t="str">
        <f>IFERROR(VLOOKUP(A410,#REF!,5,TRUE),"not found")</f>
        <v>not found</v>
      </c>
      <c r="F410" t="str">
        <f>IFERROR(VLOOKUP(A410,#REF!,2,TRUE),"")</f>
        <v/>
      </c>
      <c r="G410">
        <v>7175</v>
      </c>
      <c r="H410" t="s">
        <v>1</v>
      </c>
      <c r="O410">
        <v>63</v>
      </c>
      <c r="P410" t="s">
        <v>38</v>
      </c>
      <c r="Q410">
        <v>50</v>
      </c>
      <c r="R410" t="s">
        <v>51</v>
      </c>
      <c r="S410" t="s">
        <v>33</v>
      </c>
      <c r="T410" t="s">
        <v>0</v>
      </c>
      <c r="U410">
        <v>0</v>
      </c>
    </row>
    <row r="411" spans="3:21" x14ac:dyDescent="0.3">
      <c r="C411" t="s">
        <v>50</v>
      </c>
      <c r="D411" s="18">
        <v>45961</v>
      </c>
      <c r="E411" t="str">
        <f>IFERROR(VLOOKUP(A411,#REF!,5,TRUE),"not found")</f>
        <v>not found</v>
      </c>
      <c r="F411" t="str">
        <f>IFERROR(VLOOKUP(A411,#REF!,2,TRUE),"")</f>
        <v/>
      </c>
      <c r="G411">
        <v>7175</v>
      </c>
      <c r="H411" t="s">
        <v>1</v>
      </c>
      <c r="O411">
        <v>63</v>
      </c>
      <c r="P411" t="s">
        <v>38</v>
      </c>
      <c r="Q411">
        <v>50</v>
      </c>
      <c r="R411" t="s">
        <v>51</v>
      </c>
      <c r="S411" t="s">
        <v>33</v>
      </c>
      <c r="T411" t="s">
        <v>0</v>
      </c>
      <c r="U411">
        <v>0</v>
      </c>
    </row>
    <row r="412" spans="3:21" x14ac:dyDescent="0.3">
      <c r="C412" t="s">
        <v>50</v>
      </c>
      <c r="D412" s="18">
        <v>45961</v>
      </c>
      <c r="E412" t="str">
        <f>IFERROR(VLOOKUP(A412,#REF!,5,TRUE),"not found")</f>
        <v>not found</v>
      </c>
      <c r="F412" t="str">
        <f>IFERROR(VLOOKUP(A412,#REF!,2,TRUE),"")</f>
        <v/>
      </c>
      <c r="G412">
        <v>7175</v>
      </c>
      <c r="H412" t="s">
        <v>1</v>
      </c>
      <c r="O412">
        <v>63</v>
      </c>
      <c r="P412" t="s">
        <v>38</v>
      </c>
      <c r="Q412">
        <v>50</v>
      </c>
      <c r="R412" t="s">
        <v>51</v>
      </c>
      <c r="S412" t="s">
        <v>33</v>
      </c>
      <c r="T412" t="s">
        <v>0</v>
      </c>
      <c r="U412">
        <v>0</v>
      </c>
    </row>
    <row r="413" spans="3:21" x14ac:dyDescent="0.3">
      <c r="C413" t="s">
        <v>50</v>
      </c>
      <c r="D413" s="18">
        <v>45961</v>
      </c>
      <c r="E413" t="str">
        <f>IFERROR(VLOOKUP(A413,#REF!,5,TRUE),"not found")</f>
        <v>not found</v>
      </c>
      <c r="F413" t="str">
        <f>IFERROR(VLOOKUP(A413,#REF!,2,TRUE),"")</f>
        <v/>
      </c>
      <c r="G413">
        <v>7175</v>
      </c>
      <c r="H413" t="s">
        <v>1</v>
      </c>
      <c r="O413">
        <v>63</v>
      </c>
      <c r="P413" t="s">
        <v>38</v>
      </c>
      <c r="Q413">
        <v>50</v>
      </c>
      <c r="R413" t="s">
        <v>51</v>
      </c>
      <c r="S413" t="s">
        <v>33</v>
      </c>
      <c r="T413" t="s">
        <v>0</v>
      </c>
      <c r="U413">
        <v>0</v>
      </c>
    </row>
    <row r="414" spans="3:21" x14ac:dyDescent="0.3">
      <c r="C414" t="s">
        <v>50</v>
      </c>
      <c r="D414" s="18">
        <v>45961</v>
      </c>
      <c r="E414" t="str">
        <f>IFERROR(VLOOKUP(A414,#REF!,5,TRUE),"not found")</f>
        <v>not found</v>
      </c>
      <c r="F414" t="str">
        <f>IFERROR(VLOOKUP(A414,#REF!,2,TRUE),"")</f>
        <v/>
      </c>
      <c r="G414">
        <v>7175</v>
      </c>
      <c r="H414" t="s">
        <v>1</v>
      </c>
      <c r="O414">
        <v>63</v>
      </c>
      <c r="P414" t="s">
        <v>38</v>
      </c>
      <c r="Q414">
        <v>50</v>
      </c>
      <c r="R414" t="s">
        <v>51</v>
      </c>
      <c r="S414" t="s">
        <v>33</v>
      </c>
      <c r="T414" t="s">
        <v>0</v>
      </c>
      <c r="U414">
        <v>0</v>
      </c>
    </row>
    <row r="415" spans="3:21" x14ac:dyDescent="0.3">
      <c r="C415" t="s">
        <v>50</v>
      </c>
      <c r="D415" s="18">
        <v>45961</v>
      </c>
      <c r="E415" t="str">
        <f>IFERROR(VLOOKUP(A415,#REF!,5,TRUE),"not found")</f>
        <v>not found</v>
      </c>
      <c r="F415" t="str">
        <f>IFERROR(VLOOKUP(A415,#REF!,2,TRUE),"")</f>
        <v/>
      </c>
      <c r="G415">
        <v>7175</v>
      </c>
      <c r="H415" t="s">
        <v>1</v>
      </c>
      <c r="O415">
        <v>63</v>
      </c>
      <c r="P415" t="s">
        <v>38</v>
      </c>
      <c r="Q415">
        <v>50</v>
      </c>
      <c r="R415" t="s">
        <v>51</v>
      </c>
      <c r="S415" t="s">
        <v>33</v>
      </c>
      <c r="T415" t="s">
        <v>0</v>
      </c>
      <c r="U415">
        <v>0</v>
      </c>
    </row>
    <row r="416" spans="3:21" x14ac:dyDescent="0.3">
      <c r="C416" t="s">
        <v>50</v>
      </c>
      <c r="D416" s="18">
        <v>45961</v>
      </c>
      <c r="E416" t="str">
        <f>IFERROR(VLOOKUP(A416,#REF!,5,TRUE),"not found")</f>
        <v>not found</v>
      </c>
      <c r="F416" t="str">
        <f>IFERROR(VLOOKUP(A416,#REF!,2,TRUE),"")</f>
        <v/>
      </c>
      <c r="G416">
        <v>7175</v>
      </c>
      <c r="H416" t="s">
        <v>1</v>
      </c>
      <c r="O416">
        <v>63</v>
      </c>
      <c r="P416" t="s">
        <v>38</v>
      </c>
      <c r="Q416">
        <v>50</v>
      </c>
      <c r="R416" t="s">
        <v>51</v>
      </c>
      <c r="S416" t="s">
        <v>33</v>
      </c>
      <c r="T416" t="s">
        <v>0</v>
      </c>
      <c r="U416">
        <v>0</v>
      </c>
    </row>
    <row r="417" spans="3:21" x14ac:dyDescent="0.3">
      <c r="C417" t="s">
        <v>50</v>
      </c>
      <c r="D417" s="18">
        <v>45961</v>
      </c>
      <c r="E417" t="str">
        <f>IFERROR(VLOOKUP(A417,#REF!,5,TRUE),"not found")</f>
        <v>not found</v>
      </c>
      <c r="F417" t="str">
        <f>IFERROR(VLOOKUP(A417,#REF!,2,TRUE),"")</f>
        <v/>
      </c>
      <c r="G417">
        <v>7175</v>
      </c>
      <c r="H417" t="s">
        <v>1</v>
      </c>
      <c r="O417">
        <v>63</v>
      </c>
      <c r="P417" t="s">
        <v>38</v>
      </c>
      <c r="Q417">
        <v>50</v>
      </c>
      <c r="R417" t="s">
        <v>51</v>
      </c>
      <c r="S417" t="s">
        <v>33</v>
      </c>
      <c r="T417" t="s">
        <v>0</v>
      </c>
      <c r="U417">
        <v>0</v>
      </c>
    </row>
    <row r="418" spans="3:21" x14ac:dyDescent="0.3">
      <c r="C418" t="s">
        <v>50</v>
      </c>
      <c r="D418" s="18">
        <v>45961</v>
      </c>
      <c r="E418" t="str">
        <f>IFERROR(VLOOKUP(A418,#REF!,5,TRUE),"not found")</f>
        <v>not found</v>
      </c>
      <c r="F418" t="str">
        <f>IFERROR(VLOOKUP(A418,#REF!,2,TRUE),"")</f>
        <v/>
      </c>
      <c r="G418">
        <v>7175</v>
      </c>
      <c r="H418" t="s">
        <v>1</v>
      </c>
      <c r="O418">
        <v>63</v>
      </c>
      <c r="P418" t="s">
        <v>38</v>
      </c>
      <c r="Q418">
        <v>50</v>
      </c>
      <c r="R418" t="s">
        <v>51</v>
      </c>
      <c r="S418" t="s">
        <v>33</v>
      </c>
      <c r="T418" t="s">
        <v>0</v>
      </c>
      <c r="U418">
        <v>0</v>
      </c>
    </row>
    <row r="419" spans="3:21" x14ac:dyDescent="0.3">
      <c r="C419" t="s">
        <v>50</v>
      </c>
      <c r="D419" s="18">
        <v>45961</v>
      </c>
      <c r="E419" t="str">
        <f>IFERROR(VLOOKUP(A419,#REF!,5,TRUE),"not found")</f>
        <v>not found</v>
      </c>
      <c r="F419" t="str">
        <f>IFERROR(VLOOKUP(A419,#REF!,2,TRUE),"")</f>
        <v/>
      </c>
      <c r="G419">
        <v>7175</v>
      </c>
      <c r="H419" t="s">
        <v>1</v>
      </c>
      <c r="O419">
        <v>63</v>
      </c>
      <c r="P419" t="s">
        <v>38</v>
      </c>
      <c r="Q419">
        <v>50</v>
      </c>
      <c r="R419" t="s">
        <v>51</v>
      </c>
      <c r="S419" t="s">
        <v>33</v>
      </c>
      <c r="T419" t="s">
        <v>0</v>
      </c>
      <c r="U419">
        <v>0</v>
      </c>
    </row>
    <row r="420" spans="3:21" x14ac:dyDescent="0.3">
      <c r="C420" t="s">
        <v>50</v>
      </c>
      <c r="D420" s="18">
        <v>45961</v>
      </c>
      <c r="E420" t="str">
        <f>IFERROR(VLOOKUP(A420,#REF!,5,TRUE),"not found")</f>
        <v>not found</v>
      </c>
      <c r="F420" t="str">
        <f>IFERROR(VLOOKUP(A420,#REF!,2,TRUE),"")</f>
        <v/>
      </c>
      <c r="G420">
        <v>7175</v>
      </c>
      <c r="H420" t="s">
        <v>1</v>
      </c>
      <c r="O420">
        <v>63</v>
      </c>
      <c r="P420" t="s">
        <v>38</v>
      </c>
      <c r="Q420">
        <v>50</v>
      </c>
      <c r="R420" t="s">
        <v>51</v>
      </c>
      <c r="S420" t="s">
        <v>33</v>
      </c>
      <c r="T420" t="s">
        <v>0</v>
      </c>
      <c r="U420">
        <v>0</v>
      </c>
    </row>
    <row r="421" spans="3:21" x14ac:dyDescent="0.3">
      <c r="C421" t="s">
        <v>50</v>
      </c>
      <c r="D421" s="18">
        <v>45961</v>
      </c>
      <c r="E421" t="str">
        <f>IFERROR(VLOOKUP(A421,#REF!,5,TRUE),"not found")</f>
        <v>not found</v>
      </c>
      <c r="F421" t="str">
        <f>IFERROR(VLOOKUP(A421,#REF!,2,TRUE),"")</f>
        <v/>
      </c>
      <c r="G421">
        <v>7175</v>
      </c>
      <c r="H421" t="s">
        <v>1</v>
      </c>
      <c r="O421">
        <v>63</v>
      </c>
      <c r="P421" t="s">
        <v>38</v>
      </c>
      <c r="Q421">
        <v>50</v>
      </c>
      <c r="R421" t="s">
        <v>51</v>
      </c>
      <c r="S421" t="s">
        <v>33</v>
      </c>
      <c r="T421" t="s">
        <v>0</v>
      </c>
      <c r="U421">
        <v>0</v>
      </c>
    </row>
    <row r="422" spans="3:21" x14ac:dyDescent="0.3">
      <c r="C422" t="s">
        <v>50</v>
      </c>
      <c r="D422" s="18">
        <v>45961</v>
      </c>
      <c r="E422" t="str">
        <f>IFERROR(VLOOKUP(A422,#REF!,5,TRUE),"not found")</f>
        <v>not found</v>
      </c>
      <c r="F422" t="str">
        <f>IFERROR(VLOOKUP(A422,#REF!,2,TRUE),"")</f>
        <v/>
      </c>
      <c r="G422">
        <v>7175</v>
      </c>
      <c r="H422" t="s">
        <v>1</v>
      </c>
      <c r="O422">
        <v>63</v>
      </c>
      <c r="P422" t="s">
        <v>38</v>
      </c>
      <c r="Q422">
        <v>50</v>
      </c>
      <c r="R422" t="s">
        <v>51</v>
      </c>
      <c r="S422" t="s">
        <v>33</v>
      </c>
      <c r="T422" t="s">
        <v>0</v>
      </c>
      <c r="U422">
        <v>0</v>
      </c>
    </row>
    <row r="423" spans="3:21" x14ac:dyDescent="0.3">
      <c r="C423" t="s">
        <v>50</v>
      </c>
      <c r="D423" s="18">
        <v>45961</v>
      </c>
      <c r="E423" t="str">
        <f>IFERROR(VLOOKUP(A423,#REF!,5,TRUE),"not found")</f>
        <v>not found</v>
      </c>
      <c r="F423" t="str">
        <f>IFERROR(VLOOKUP(A423,#REF!,2,TRUE),"")</f>
        <v/>
      </c>
      <c r="G423">
        <v>7175</v>
      </c>
      <c r="H423" t="s">
        <v>1</v>
      </c>
      <c r="O423">
        <v>63</v>
      </c>
      <c r="P423" t="s">
        <v>38</v>
      </c>
      <c r="Q423">
        <v>50</v>
      </c>
      <c r="R423" t="s">
        <v>51</v>
      </c>
      <c r="S423" t="s">
        <v>33</v>
      </c>
      <c r="T423" t="s">
        <v>0</v>
      </c>
      <c r="U423">
        <v>0</v>
      </c>
    </row>
    <row r="424" spans="3:21" x14ac:dyDescent="0.3">
      <c r="C424" t="s">
        <v>50</v>
      </c>
      <c r="D424" s="18">
        <v>45961</v>
      </c>
      <c r="E424" t="str">
        <f>IFERROR(VLOOKUP(A424,#REF!,5,TRUE),"not found")</f>
        <v>not found</v>
      </c>
      <c r="F424" t="str">
        <f>IFERROR(VLOOKUP(A424,#REF!,2,TRUE),"")</f>
        <v/>
      </c>
      <c r="G424">
        <v>7175</v>
      </c>
      <c r="H424" t="s">
        <v>1</v>
      </c>
      <c r="O424">
        <v>63</v>
      </c>
      <c r="P424" t="s">
        <v>38</v>
      </c>
      <c r="Q424">
        <v>50</v>
      </c>
      <c r="R424" t="s">
        <v>51</v>
      </c>
      <c r="S424" t="s">
        <v>33</v>
      </c>
      <c r="T424" t="s">
        <v>0</v>
      </c>
      <c r="U424">
        <v>0</v>
      </c>
    </row>
    <row r="425" spans="3:21" x14ac:dyDescent="0.3">
      <c r="C425" t="s">
        <v>50</v>
      </c>
      <c r="D425" s="18">
        <v>45961</v>
      </c>
      <c r="E425" t="str">
        <f>IFERROR(VLOOKUP(A425,#REF!,5,TRUE),"not found")</f>
        <v>not found</v>
      </c>
      <c r="F425" t="str">
        <f>IFERROR(VLOOKUP(A425,#REF!,2,TRUE),"")</f>
        <v/>
      </c>
      <c r="G425">
        <v>7175</v>
      </c>
      <c r="H425" t="s">
        <v>1</v>
      </c>
      <c r="O425">
        <v>63</v>
      </c>
      <c r="P425" t="s">
        <v>38</v>
      </c>
      <c r="Q425">
        <v>50</v>
      </c>
      <c r="R425" t="s">
        <v>51</v>
      </c>
      <c r="S425" t="s">
        <v>33</v>
      </c>
      <c r="T425" t="s">
        <v>0</v>
      </c>
      <c r="U425">
        <v>0</v>
      </c>
    </row>
    <row r="426" spans="3:21" x14ac:dyDescent="0.3">
      <c r="C426" t="s">
        <v>50</v>
      </c>
      <c r="D426" s="18">
        <v>45961</v>
      </c>
      <c r="E426" t="str">
        <f>IFERROR(VLOOKUP(A426,#REF!,5,TRUE),"not found")</f>
        <v>not found</v>
      </c>
      <c r="F426" t="str">
        <f>IFERROR(VLOOKUP(A426,#REF!,2,TRUE),"")</f>
        <v/>
      </c>
      <c r="G426">
        <v>7175</v>
      </c>
      <c r="H426" t="s">
        <v>1</v>
      </c>
      <c r="O426">
        <v>63</v>
      </c>
      <c r="P426" t="s">
        <v>38</v>
      </c>
      <c r="Q426">
        <v>50</v>
      </c>
      <c r="R426" t="s">
        <v>51</v>
      </c>
      <c r="S426" t="s">
        <v>33</v>
      </c>
      <c r="T426" t="s">
        <v>0</v>
      </c>
      <c r="U426">
        <v>0</v>
      </c>
    </row>
    <row r="427" spans="3:21" x14ac:dyDescent="0.3">
      <c r="C427" t="s">
        <v>50</v>
      </c>
      <c r="D427" s="18">
        <v>45961</v>
      </c>
      <c r="E427" t="str">
        <f>IFERROR(VLOOKUP(A427,#REF!,5,TRUE),"not found")</f>
        <v>not found</v>
      </c>
      <c r="F427" t="str">
        <f>IFERROR(VLOOKUP(A427,#REF!,2,TRUE),"")</f>
        <v/>
      </c>
      <c r="G427">
        <v>7175</v>
      </c>
      <c r="H427" t="s">
        <v>1</v>
      </c>
      <c r="O427">
        <v>63</v>
      </c>
      <c r="P427" t="s">
        <v>38</v>
      </c>
      <c r="Q427">
        <v>50</v>
      </c>
      <c r="R427" t="s">
        <v>51</v>
      </c>
      <c r="S427" t="s">
        <v>33</v>
      </c>
      <c r="T427" t="s">
        <v>0</v>
      </c>
      <c r="U427">
        <v>0</v>
      </c>
    </row>
    <row r="428" spans="3:21" x14ac:dyDescent="0.3">
      <c r="C428" t="s">
        <v>50</v>
      </c>
      <c r="D428" s="18">
        <v>45961</v>
      </c>
      <c r="E428" t="str">
        <f>IFERROR(VLOOKUP(A428,#REF!,5,TRUE),"not found")</f>
        <v>not found</v>
      </c>
      <c r="F428" t="str">
        <f>IFERROR(VLOOKUP(A428,#REF!,2,TRUE),"")</f>
        <v/>
      </c>
      <c r="G428">
        <v>7175</v>
      </c>
      <c r="H428" t="s">
        <v>1</v>
      </c>
      <c r="O428">
        <v>63</v>
      </c>
      <c r="P428" t="s">
        <v>38</v>
      </c>
      <c r="Q428">
        <v>50</v>
      </c>
      <c r="R428" t="s">
        <v>51</v>
      </c>
      <c r="S428" t="s">
        <v>33</v>
      </c>
      <c r="T428" t="s">
        <v>0</v>
      </c>
      <c r="U428">
        <v>0</v>
      </c>
    </row>
    <row r="429" spans="3:21" x14ac:dyDescent="0.3">
      <c r="C429" t="s">
        <v>50</v>
      </c>
      <c r="D429" s="18">
        <v>45961</v>
      </c>
      <c r="E429" t="str">
        <f>IFERROR(VLOOKUP(A429,#REF!,5,TRUE),"not found")</f>
        <v>not found</v>
      </c>
      <c r="F429" t="str">
        <f>IFERROR(VLOOKUP(A429,#REF!,2,TRUE),"")</f>
        <v/>
      </c>
      <c r="G429">
        <v>7175</v>
      </c>
      <c r="H429" t="s">
        <v>1</v>
      </c>
      <c r="O429">
        <v>63</v>
      </c>
      <c r="P429" t="s">
        <v>38</v>
      </c>
      <c r="Q429">
        <v>50</v>
      </c>
      <c r="R429" t="s">
        <v>51</v>
      </c>
      <c r="S429" t="s">
        <v>33</v>
      </c>
      <c r="T429" t="s">
        <v>0</v>
      </c>
      <c r="U429">
        <v>0</v>
      </c>
    </row>
    <row r="430" spans="3:21" x14ac:dyDescent="0.3">
      <c r="C430" t="s">
        <v>50</v>
      </c>
      <c r="D430" s="18">
        <v>45961</v>
      </c>
      <c r="E430" t="str">
        <f>IFERROR(VLOOKUP(A430,#REF!,5,TRUE),"not found")</f>
        <v>not found</v>
      </c>
      <c r="F430" t="str">
        <f>IFERROR(VLOOKUP(A430,#REF!,2,TRUE),"")</f>
        <v/>
      </c>
      <c r="G430">
        <v>7175</v>
      </c>
      <c r="H430" t="s">
        <v>1</v>
      </c>
      <c r="O430">
        <v>63</v>
      </c>
      <c r="P430" t="s">
        <v>38</v>
      </c>
      <c r="Q430">
        <v>50</v>
      </c>
      <c r="R430" t="s">
        <v>51</v>
      </c>
      <c r="S430" t="s">
        <v>33</v>
      </c>
      <c r="T430" t="s">
        <v>0</v>
      </c>
      <c r="U430">
        <v>0</v>
      </c>
    </row>
    <row r="431" spans="3:21" x14ac:dyDescent="0.3">
      <c r="C431" t="s">
        <v>50</v>
      </c>
      <c r="D431" s="18">
        <v>45961</v>
      </c>
      <c r="E431" t="str">
        <f>IFERROR(VLOOKUP(A431,#REF!,5,TRUE),"not found")</f>
        <v>not found</v>
      </c>
      <c r="F431" t="str">
        <f>IFERROR(VLOOKUP(A431,#REF!,2,TRUE),"")</f>
        <v/>
      </c>
      <c r="G431">
        <v>7175</v>
      </c>
      <c r="H431" t="s">
        <v>1</v>
      </c>
      <c r="O431">
        <v>63</v>
      </c>
      <c r="P431" t="s">
        <v>38</v>
      </c>
      <c r="Q431">
        <v>50</v>
      </c>
      <c r="R431" t="s">
        <v>51</v>
      </c>
      <c r="S431" t="s">
        <v>33</v>
      </c>
      <c r="T431" t="s">
        <v>0</v>
      </c>
      <c r="U431">
        <v>0</v>
      </c>
    </row>
    <row r="432" spans="3:21" x14ac:dyDescent="0.3">
      <c r="C432" t="s">
        <v>50</v>
      </c>
      <c r="D432" s="18">
        <v>45961</v>
      </c>
      <c r="E432" t="str">
        <f>IFERROR(VLOOKUP(A432,#REF!,5,TRUE),"not found")</f>
        <v>not found</v>
      </c>
      <c r="F432" t="str">
        <f>IFERROR(VLOOKUP(A432,#REF!,2,TRUE),"")</f>
        <v/>
      </c>
      <c r="G432">
        <v>7175</v>
      </c>
      <c r="H432" t="s">
        <v>1</v>
      </c>
      <c r="O432">
        <v>63</v>
      </c>
      <c r="P432" t="s">
        <v>38</v>
      </c>
      <c r="Q432">
        <v>50</v>
      </c>
      <c r="R432" t="s">
        <v>51</v>
      </c>
      <c r="S432" t="s">
        <v>33</v>
      </c>
      <c r="T432" t="s">
        <v>0</v>
      </c>
      <c r="U432">
        <v>0</v>
      </c>
    </row>
    <row r="433" spans="3:21" x14ac:dyDescent="0.3">
      <c r="C433" t="s">
        <v>50</v>
      </c>
      <c r="D433" s="18">
        <v>45961</v>
      </c>
      <c r="E433" t="str">
        <f>IFERROR(VLOOKUP(A433,#REF!,5,TRUE),"not found")</f>
        <v>not found</v>
      </c>
      <c r="F433" t="str">
        <f>IFERROR(VLOOKUP(A433,#REF!,2,TRUE),"")</f>
        <v/>
      </c>
      <c r="G433">
        <v>7175</v>
      </c>
      <c r="H433" t="s">
        <v>1</v>
      </c>
      <c r="O433">
        <v>63</v>
      </c>
      <c r="P433" t="s">
        <v>38</v>
      </c>
      <c r="Q433">
        <v>50</v>
      </c>
      <c r="R433" t="s">
        <v>51</v>
      </c>
      <c r="S433" t="s">
        <v>33</v>
      </c>
      <c r="T433" t="s">
        <v>0</v>
      </c>
      <c r="U433">
        <v>0</v>
      </c>
    </row>
    <row r="434" spans="3:21" x14ac:dyDescent="0.3">
      <c r="C434" t="s">
        <v>50</v>
      </c>
      <c r="D434" s="18">
        <v>45961</v>
      </c>
      <c r="E434" t="str">
        <f>IFERROR(VLOOKUP(A434,#REF!,5,TRUE),"not found")</f>
        <v>not found</v>
      </c>
      <c r="F434" t="str">
        <f>IFERROR(VLOOKUP(A434,#REF!,2,TRUE),"")</f>
        <v/>
      </c>
      <c r="G434">
        <v>7175</v>
      </c>
      <c r="H434" t="s">
        <v>1</v>
      </c>
      <c r="O434">
        <v>63</v>
      </c>
      <c r="P434" t="s">
        <v>38</v>
      </c>
      <c r="Q434">
        <v>50</v>
      </c>
      <c r="R434" t="s">
        <v>51</v>
      </c>
      <c r="S434" t="s">
        <v>33</v>
      </c>
      <c r="T434" t="s">
        <v>0</v>
      </c>
      <c r="U434">
        <v>0</v>
      </c>
    </row>
    <row r="435" spans="3:21" x14ac:dyDescent="0.3">
      <c r="C435" t="s">
        <v>50</v>
      </c>
      <c r="D435" s="18">
        <v>45961</v>
      </c>
      <c r="E435" t="str">
        <f>IFERROR(VLOOKUP(A435,#REF!,5,TRUE),"not found")</f>
        <v>not found</v>
      </c>
      <c r="F435" t="str">
        <f>IFERROR(VLOOKUP(A435,#REF!,2,TRUE),"")</f>
        <v/>
      </c>
      <c r="G435">
        <v>7175</v>
      </c>
      <c r="H435" t="s">
        <v>1</v>
      </c>
      <c r="O435">
        <v>63</v>
      </c>
      <c r="P435" t="s">
        <v>38</v>
      </c>
      <c r="Q435">
        <v>50</v>
      </c>
      <c r="R435" t="s">
        <v>51</v>
      </c>
      <c r="S435" t="s">
        <v>33</v>
      </c>
      <c r="T435" t="s">
        <v>0</v>
      </c>
      <c r="U435">
        <v>0</v>
      </c>
    </row>
    <row r="436" spans="3:21" x14ac:dyDescent="0.3">
      <c r="C436" t="s">
        <v>50</v>
      </c>
      <c r="D436" s="18">
        <v>45961</v>
      </c>
      <c r="E436" t="str">
        <f>IFERROR(VLOOKUP(A436,#REF!,5,TRUE),"not found")</f>
        <v>not found</v>
      </c>
      <c r="F436" t="str">
        <f>IFERROR(VLOOKUP(A436,#REF!,2,TRUE),"")</f>
        <v/>
      </c>
      <c r="G436">
        <v>7175</v>
      </c>
      <c r="H436" t="s">
        <v>1</v>
      </c>
      <c r="O436">
        <v>63</v>
      </c>
      <c r="P436" t="s">
        <v>38</v>
      </c>
      <c r="Q436">
        <v>50</v>
      </c>
      <c r="R436" t="s">
        <v>51</v>
      </c>
      <c r="S436" t="s">
        <v>33</v>
      </c>
      <c r="T436" t="s">
        <v>0</v>
      </c>
      <c r="U436">
        <v>0</v>
      </c>
    </row>
    <row r="437" spans="3:21" x14ac:dyDescent="0.3">
      <c r="C437" t="s">
        <v>50</v>
      </c>
      <c r="D437" s="18">
        <v>45961</v>
      </c>
      <c r="E437" t="str">
        <f>IFERROR(VLOOKUP(A437,#REF!,5,TRUE),"not found")</f>
        <v>not found</v>
      </c>
      <c r="F437" t="str">
        <f>IFERROR(VLOOKUP(A437,#REF!,2,TRUE),"")</f>
        <v/>
      </c>
      <c r="G437">
        <v>7175</v>
      </c>
      <c r="H437" t="s">
        <v>1</v>
      </c>
      <c r="O437">
        <v>63</v>
      </c>
      <c r="P437" t="s">
        <v>38</v>
      </c>
      <c r="Q437">
        <v>50</v>
      </c>
      <c r="R437" t="s">
        <v>51</v>
      </c>
      <c r="S437" t="s">
        <v>33</v>
      </c>
      <c r="T437" t="s">
        <v>0</v>
      </c>
      <c r="U437">
        <v>0</v>
      </c>
    </row>
    <row r="438" spans="3:21" x14ac:dyDescent="0.3">
      <c r="C438" t="s">
        <v>50</v>
      </c>
      <c r="D438" s="18">
        <v>45961</v>
      </c>
      <c r="E438" t="str">
        <f>IFERROR(VLOOKUP(A438,#REF!,5,TRUE),"not found")</f>
        <v>not found</v>
      </c>
      <c r="F438" t="str">
        <f>IFERROR(VLOOKUP(A438,#REF!,2,TRUE),"")</f>
        <v/>
      </c>
      <c r="G438">
        <v>7175</v>
      </c>
      <c r="H438" t="s">
        <v>1</v>
      </c>
      <c r="O438">
        <v>63</v>
      </c>
      <c r="P438" t="s">
        <v>38</v>
      </c>
      <c r="Q438">
        <v>50</v>
      </c>
      <c r="R438" t="s">
        <v>51</v>
      </c>
      <c r="S438" t="s">
        <v>33</v>
      </c>
      <c r="T438" t="s">
        <v>0</v>
      </c>
      <c r="U438">
        <v>0</v>
      </c>
    </row>
    <row r="439" spans="3:21" x14ac:dyDescent="0.3">
      <c r="C439" t="s">
        <v>50</v>
      </c>
      <c r="D439" s="18">
        <v>45961</v>
      </c>
      <c r="E439" t="str">
        <f>IFERROR(VLOOKUP(A439,#REF!,5,TRUE),"not found")</f>
        <v>not found</v>
      </c>
      <c r="F439" t="str">
        <f>IFERROR(VLOOKUP(A439,#REF!,2,TRUE),"")</f>
        <v/>
      </c>
      <c r="G439">
        <v>7175</v>
      </c>
      <c r="H439" t="s">
        <v>1</v>
      </c>
      <c r="O439">
        <v>63</v>
      </c>
      <c r="P439" t="s">
        <v>38</v>
      </c>
      <c r="Q439">
        <v>50</v>
      </c>
      <c r="R439" t="s">
        <v>51</v>
      </c>
      <c r="S439" t="s">
        <v>33</v>
      </c>
      <c r="T439" t="s">
        <v>0</v>
      </c>
      <c r="U439">
        <v>0</v>
      </c>
    </row>
    <row r="440" spans="3:21" x14ac:dyDescent="0.3">
      <c r="C440" t="s">
        <v>50</v>
      </c>
      <c r="D440" s="18">
        <v>45961</v>
      </c>
      <c r="E440" t="str">
        <f>IFERROR(VLOOKUP(A440,#REF!,5,TRUE),"not found")</f>
        <v>not found</v>
      </c>
      <c r="F440" t="str">
        <f>IFERROR(VLOOKUP(A440,#REF!,2,TRUE),"")</f>
        <v/>
      </c>
      <c r="G440">
        <v>7175</v>
      </c>
      <c r="H440" t="s">
        <v>1</v>
      </c>
      <c r="O440">
        <v>63</v>
      </c>
      <c r="P440" t="s">
        <v>38</v>
      </c>
      <c r="Q440">
        <v>50</v>
      </c>
      <c r="R440" t="s">
        <v>51</v>
      </c>
      <c r="S440" t="s">
        <v>33</v>
      </c>
      <c r="T440" t="s">
        <v>0</v>
      </c>
      <c r="U440">
        <v>0</v>
      </c>
    </row>
    <row r="441" spans="3:21" x14ac:dyDescent="0.3">
      <c r="C441" t="s">
        <v>50</v>
      </c>
      <c r="D441" s="18">
        <v>45961</v>
      </c>
      <c r="E441" t="str">
        <f>IFERROR(VLOOKUP(A441,#REF!,5,TRUE),"not found")</f>
        <v>not found</v>
      </c>
      <c r="F441" t="str">
        <f>IFERROR(VLOOKUP(A441,#REF!,2,TRUE),"")</f>
        <v/>
      </c>
      <c r="G441">
        <v>7175</v>
      </c>
      <c r="H441" t="s">
        <v>1</v>
      </c>
      <c r="O441">
        <v>63</v>
      </c>
      <c r="P441" t="s">
        <v>38</v>
      </c>
      <c r="Q441">
        <v>50</v>
      </c>
      <c r="R441" t="s">
        <v>51</v>
      </c>
      <c r="S441" t="s">
        <v>33</v>
      </c>
      <c r="T441" t="s">
        <v>0</v>
      </c>
      <c r="U441">
        <v>0</v>
      </c>
    </row>
    <row r="442" spans="3:21" x14ac:dyDescent="0.3">
      <c r="C442" t="s">
        <v>50</v>
      </c>
      <c r="D442" s="18">
        <v>45961</v>
      </c>
      <c r="E442" t="str">
        <f>IFERROR(VLOOKUP(A442,#REF!,5,TRUE),"not found")</f>
        <v>not found</v>
      </c>
      <c r="F442" t="str">
        <f>IFERROR(VLOOKUP(A442,#REF!,2,TRUE),"")</f>
        <v/>
      </c>
      <c r="G442">
        <v>7175</v>
      </c>
      <c r="H442" t="s">
        <v>1</v>
      </c>
      <c r="O442">
        <v>63</v>
      </c>
      <c r="P442" t="s">
        <v>38</v>
      </c>
      <c r="Q442">
        <v>50</v>
      </c>
      <c r="R442" t="s">
        <v>51</v>
      </c>
      <c r="S442" t="s">
        <v>33</v>
      </c>
      <c r="T442" t="s">
        <v>0</v>
      </c>
      <c r="U442">
        <v>0</v>
      </c>
    </row>
    <row r="443" spans="3:21" x14ac:dyDescent="0.3">
      <c r="C443" t="s">
        <v>50</v>
      </c>
      <c r="D443" s="18">
        <v>45961</v>
      </c>
      <c r="E443" t="str">
        <f>IFERROR(VLOOKUP(A443,#REF!,5,TRUE),"not found")</f>
        <v>not found</v>
      </c>
      <c r="F443" t="str">
        <f>IFERROR(VLOOKUP(A443,#REF!,2,TRUE),"")</f>
        <v/>
      </c>
      <c r="G443">
        <v>7175</v>
      </c>
      <c r="H443" t="s">
        <v>1</v>
      </c>
      <c r="O443">
        <v>63</v>
      </c>
      <c r="P443" t="s">
        <v>38</v>
      </c>
      <c r="Q443">
        <v>50</v>
      </c>
      <c r="R443" t="s">
        <v>51</v>
      </c>
      <c r="S443" t="s">
        <v>33</v>
      </c>
      <c r="T443" t="s">
        <v>0</v>
      </c>
      <c r="U443">
        <v>0</v>
      </c>
    </row>
    <row r="444" spans="3:21" x14ac:dyDescent="0.3">
      <c r="C444" t="s">
        <v>50</v>
      </c>
      <c r="D444" s="18">
        <v>45961</v>
      </c>
      <c r="E444" t="str">
        <f>IFERROR(VLOOKUP(A444,#REF!,5,TRUE),"not found")</f>
        <v>not found</v>
      </c>
      <c r="F444" t="str">
        <f>IFERROR(VLOOKUP(A444,#REF!,2,TRUE),"")</f>
        <v/>
      </c>
      <c r="G444">
        <v>7175</v>
      </c>
      <c r="H444" t="s">
        <v>1</v>
      </c>
      <c r="O444">
        <v>63</v>
      </c>
      <c r="P444" t="s">
        <v>38</v>
      </c>
      <c r="Q444">
        <v>50</v>
      </c>
      <c r="R444" t="s">
        <v>51</v>
      </c>
      <c r="S444" t="s">
        <v>33</v>
      </c>
      <c r="T444" t="s">
        <v>0</v>
      </c>
      <c r="U444">
        <v>0</v>
      </c>
    </row>
    <row r="445" spans="3:21" x14ac:dyDescent="0.3">
      <c r="C445" t="s">
        <v>50</v>
      </c>
      <c r="D445" s="18">
        <v>45961</v>
      </c>
      <c r="E445" t="str">
        <f>IFERROR(VLOOKUP(A445,#REF!,5,TRUE),"not found")</f>
        <v>not found</v>
      </c>
      <c r="F445" t="str">
        <f>IFERROR(VLOOKUP(A445,#REF!,2,TRUE),"")</f>
        <v/>
      </c>
      <c r="G445">
        <v>7175</v>
      </c>
      <c r="H445" t="s">
        <v>1</v>
      </c>
      <c r="O445">
        <v>63</v>
      </c>
      <c r="P445" t="s">
        <v>38</v>
      </c>
      <c r="Q445">
        <v>50</v>
      </c>
      <c r="R445" t="s">
        <v>51</v>
      </c>
      <c r="S445" t="s">
        <v>33</v>
      </c>
      <c r="T445" t="s">
        <v>0</v>
      </c>
      <c r="U445">
        <v>0</v>
      </c>
    </row>
    <row r="446" spans="3:21" x14ac:dyDescent="0.3">
      <c r="C446" t="s">
        <v>50</v>
      </c>
      <c r="D446" s="18">
        <v>45961</v>
      </c>
      <c r="E446" t="str">
        <f>IFERROR(VLOOKUP(A446,#REF!,5,TRUE),"not found")</f>
        <v>not found</v>
      </c>
      <c r="F446" t="str">
        <f>IFERROR(VLOOKUP(A446,#REF!,2,TRUE),"")</f>
        <v/>
      </c>
      <c r="G446">
        <v>7175</v>
      </c>
      <c r="H446" t="s">
        <v>1</v>
      </c>
      <c r="O446">
        <v>63</v>
      </c>
      <c r="P446" t="s">
        <v>38</v>
      </c>
      <c r="Q446">
        <v>50</v>
      </c>
      <c r="R446" t="s">
        <v>51</v>
      </c>
      <c r="S446" t="s">
        <v>33</v>
      </c>
      <c r="T446" t="s">
        <v>0</v>
      </c>
      <c r="U446">
        <v>0</v>
      </c>
    </row>
    <row r="447" spans="3:21" x14ac:dyDescent="0.3">
      <c r="C447" t="s">
        <v>50</v>
      </c>
      <c r="D447" s="18">
        <v>45961</v>
      </c>
      <c r="E447" t="str">
        <f>IFERROR(VLOOKUP(A447,#REF!,5,TRUE),"not found")</f>
        <v>not found</v>
      </c>
      <c r="F447" t="str">
        <f>IFERROR(VLOOKUP(A447,#REF!,2,TRUE),"")</f>
        <v/>
      </c>
      <c r="G447">
        <v>7175</v>
      </c>
      <c r="H447" t="s">
        <v>1</v>
      </c>
      <c r="O447">
        <v>63</v>
      </c>
      <c r="P447" t="s">
        <v>38</v>
      </c>
      <c r="Q447">
        <v>50</v>
      </c>
      <c r="R447" t="s">
        <v>51</v>
      </c>
      <c r="S447" t="s">
        <v>33</v>
      </c>
      <c r="T447" t="s">
        <v>0</v>
      </c>
      <c r="U447">
        <v>0</v>
      </c>
    </row>
    <row r="448" spans="3:21" x14ac:dyDescent="0.3">
      <c r="C448" t="s">
        <v>50</v>
      </c>
      <c r="D448" s="18">
        <v>45961</v>
      </c>
      <c r="E448" t="str">
        <f>IFERROR(VLOOKUP(A448,#REF!,5,TRUE),"not found")</f>
        <v>not found</v>
      </c>
      <c r="F448" t="str">
        <f>IFERROR(VLOOKUP(A448,#REF!,2,TRUE),"")</f>
        <v/>
      </c>
      <c r="G448">
        <v>7175</v>
      </c>
      <c r="H448" t="s">
        <v>1</v>
      </c>
      <c r="O448">
        <v>63</v>
      </c>
      <c r="P448" t="s">
        <v>38</v>
      </c>
      <c r="Q448">
        <v>50</v>
      </c>
      <c r="R448" t="s">
        <v>51</v>
      </c>
      <c r="S448" t="s">
        <v>33</v>
      </c>
      <c r="T448" t="s">
        <v>0</v>
      </c>
      <c r="U448">
        <v>0</v>
      </c>
    </row>
    <row r="449" spans="3:21" x14ac:dyDescent="0.3">
      <c r="C449" t="s">
        <v>50</v>
      </c>
      <c r="D449" s="18">
        <v>45961</v>
      </c>
      <c r="E449" t="str">
        <f>IFERROR(VLOOKUP(A449,#REF!,5,TRUE),"not found")</f>
        <v>not found</v>
      </c>
      <c r="F449" t="str">
        <f>IFERROR(VLOOKUP(A449,#REF!,2,TRUE),"")</f>
        <v/>
      </c>
      <c r="G449">
        <v>7175</v>
      </c>
      <c r="H449" t="s">
        <v>1</v>
      </c>
      <c r="O449">
        <v>63</v>
      </c>
      <c r="P449" t="s">
        <v>38</v>
      </c>
      <c r="Q449">
        <v>50</v>
      </c>
      <c r="R449" t="s">
        <v>51</v>
      </c>
      <c r="S449" t="s">
        <v>33</v>
      </c>
      <c r="T449" t="s">
        <v>0</v>
      </c>
      <c r="U449">
        <v>0</v>
      </c>
    </row>
    <row r="450" spans="3:21" x14ac:dyDescent="0.3">
      <c r="C450" t="s">
        <v>50</v>
      </c>
      <c r="D450" s="18">
        <v>45961</v>
      </c>
      <c r="E450" t="str">
        <f>IFERROR(VLOOKUP(A450,#REF!,5,TRUE),"not found")</f>
        <v>not found</v>
      </c>
      <c r="F450" t="str">
        <f>IFERROR(VLOOKUP(A450,#REF!,2,TRUE),"")</f>
        <v/>
      </c>
      <c r="G450">
        <v>7175</v>
      </c>
      <c r="H450" t="s">
        <v>1</v>
      </c>
      <c r="O450">
        <v>63</v>
      </c>
      <c r="P450" t="s">
        <v>38</v>
      </c>
      <c r="Q450">
        <v>50</v>
      </c>
      <c r="R450" t="s">
        <v>51</v>
      </c>
      <c r="S450" t="s">
        <v>33</v>
      </c>
      <c r="T450" t="s">
        <v>0</v>
      </c>
      <c r="U450">
        <v>0</v>
      </c>
    </row>
    <row r="451" spans="3:21" x14ac:dyDescent="0.3">
      <c r="C451" t="s">
        <v>50</v>
      </c>
      <c r="D451" s="18">
        <v>45961</v>
      </c>
      <c r="E451" t="str">
        <f>IFERROR(VLOOKUP(A451,#REF!,5,TRUE),"not found")</f>
        <v>not found</v>
      </c>
      <c r="F451" t="str">
        <f>IFERROR(VLOOKUP(A451,#REF!,2,TRUE),"")</f>
        <v/>
      </c>
      <c r="G451">
        <v>7175</v>
      </c>
      <c r="H451" t="s">
        <v>1</v>
      </c>
      <c r="O451">
        <v>63</v>
      </c>
      <c r="P451" t="s">
        <v>38</v>
      </c>
      <c r="Q451">
        <v>50</v>
      </c>
      <c r="R451" t="s">
        <v>51</v>
      </c>
      <c r="S451" t="s">
        <v>33</v>
      </c>
      <c r="T451" t="s">
        <v>0</v>
      </c>
      <c r="U451">
        <v>0</v>
      </c>
    </row>
    <row r="452" spans="3:21" x14ac:dyDescent="0.3">
      <c r="C452" t="s">
        <v>50</v>
      </c>
      <c r="D452" s="18">
        <v>45961</v>
      </c>
      <c r="E452" t="str">
        <f>IFERROR(VLOOKUP(A452,#REF!,5,TRUE),"not found")</f>
        <v>not found</v>
      </c>
      <c r="F452" t="str">
        <f>IFERROR(VLOOKUP(A452,#REF!,2,TRUE),"")</f>
        <v/>
      </c>
      <c r="G452">
        <v>7175</v>
      </c>
      <c r="H452" t="s">
        <v>1</v>
      </c>
      <c r="O452">
        <v>63</v>
      </c>
      <c r="P452" t="s">
        <v>38</v>
      </c>
      <c r="Q452">
        <v>50</v>
      </c>
      <c r="R452" t="s">
        <v>51</v>
      </c>
      <c r="S452" t="s">
        <v>33</v>
      </c>
      <c r="T452" t="s">
        <v>0</v>
      </c>
      <c r="U452">
        <v>0</v>
      </c>
    </row>
    <row r="453" spans="3:21" x14ac:dyDescent="0.3">
      <c r="C453" t="s">
        <v>50</v>
      </c>
      <c r="D453" s="18">
        <v>45961</v>
      </c>
      <c r="E453" t="str">
        <f>IFERROR(VLOOKUP(A453,#REF!,5,TRUE),"not found")</f>
        <v>not found</v>
      </c>
      <c r="F453" t="str">
        <f>IFERROR(VLOOKUP(A453,#REF!,2,TRUE),"")</f>
        <v/>
      </c>
      <c r="G453">
        <v>7175</v>
      </c>
      <c r="H453" t="s">
        <v>1</v>
      </c>
      <c r="O453">
        <v>63</v>
      </c>
      <c r="P453" t="s">
        <v>38</v>
      </c>
      <c r="Q453">
        <v>50</v>
      </c>
      <c r="R453" t="s">
        <v>51</v>
      </c>
      <c r="S453" t="s">
        <v>33</v>
      </c>
      <c r="T453" t="s">
        <v>0</v>
      </c>
      <c r="U453">
        <v>0</v>
      </c>
    </row>
    <row r="454" spans="3:21" x14ac:dyDescent="0.3">
      <c r="C454" t="s">
        <v>50</v>
      </c>
      <c r="D454" s="18">
        <v>45961</v>
      </c>
      <c r="E454" t="str">
        <f>IFERROR(VLOOKUP(A454,#REF!,5,TRUE),"not found")</f>
        <v>not found</v>
      </c>
      <c r="F454" t="str">
        <f>IFERROR(VLOOKUP(A454,#REF!,2,TRUE),"")</f>
        <v/>
      </c>
      <c r="G454">
        <v>7175</v>
      </c>
      <c r="H454" t="s">
        <v>1</v>
      </c>
      <c r="O454">
        <v>63</v>
      </c>
      <c r="P454" t="s">
        <v>38</v>
      </c>
      <c r="Q454">
        <v>50</v>
      </c>
      <c r="R454" t="s">
        <v>51</v>
      </c>
      <c r="S454" t="s">
        <v>33</v>
      </c>
      <c r="T454" t="s">
        <v>0</v>
      </c>
      <c r="U454">
        <v>0</v>
      </c>
    </row>
    <row r="455" spans="3:21" x14ac:dyDescent="0.3">
      <c r="C455" t="s">
        <v>50</v>
      </c>
      <c r="D455" s="18">
        <v>45961</v>
      </c>
      <c r="E455" t="str">
        <f>IFERROR(VLOOKUP(A455,#REF!,5,TRUE),"not found")</f>
        <v>not found</v>
      </c>
      <c r="F455" t="str">
        <f>IFERROR(VLOOKUP(A455,#REF!,2,TRUE),"")</f>
        <v/>
      </c>
      <c r="G455">
        <v>7175</v>
      </c>
      <c r="H455" t="s">
        <v>1</v>
      </c>
      <c r="O455">
        <v>63</v>
      </c>
      <c r="P455" t="s">
        <v>38</v>
      </c>
      <c r="Q455">
        <v>50</v>
      </c>
      <c r="R455" t="s">
        <v>51</v>
      </c>
      <c r="S455" t="s">
        <v>33</v>
      </c>
      <c r="T455" t="s">
        <v>0</v>
      </c>
      <c r="U455">
        <v>0</v>
      </c>
    </row>
    <row r="456" spans="3:21" x14ac:dyDescent="0.3">
      <c r="C456" t="s">
        <v>50</v>
      </c>
      <c r="D456" s="18">
        <v>45961</v>
      </c>
      <c r="E456" t="str">
        <f>IFERROR(VLOOKUP(A456,#REF!,5,TRUE),"not found")</f>
        <v>not found</v>
      </c>
      <c r="F456" t="str">
        <f>IFERROR(VLOOKUP(A456,#REF!,2,TRUE),"")</f>
        <v/>
      </c>
      <c r="G456">
        <v>7175</v>
      </c>
      <c r="H456" t="s">
        <v>1</v>
      </c>
      <c r="O456">
        <v>63</v>
      </c>
      <c r="P456" t="s">
        <v>38</v>
      </c>
      <c r="Q456">
        <v>50</v>
      </c>
      <c r="R456" t="s">
        <v>51</v>
      </c>
      <c r="S456" t="s">
        <v>33</v>
      </c>
      <c r="T456" t="s">
        <v>0</v>
      </c>
      <c r="U456">
        <v>0</v>
      </c>
    </row>
    <row r="457" spans="3:21" x14ac:dyDescent="0.3">
      <c r="C457" t="s">
        <v>50</v>
      </c>
      <c r="D457" s="18">
        <v>45961</v>
      </c>
      <c r="E457" t="str">
        <f>IFERROR(VLOOKUP(A457,#REF!,5,TRUE),"not found")</f>
        <v>not found</v>
      </c>
      <c r="F457" t="str">
        <f>IFERROR(VLOOKUP(A457,#REF!,2,TRUE),"")</f>
        <v/>
      </c>
      <c r="G457">
        <v>7175</v>
      </c>
      <c r="H457" t="s">
        <v>1</v>
      </c>
      <c r="O457">
        <v>63</v>
      </c>
      <c r="P457" t="s">
        <v>38</v>
      </c>
      <c r="Q457">
        <v>50</v>
      </c>
      <c r="R457" t="s">
        <v>51</v>
      </c>
      <c r="S457" t="s">
        <v>33</v>
      </c>
      <c r="T457" t="s">
        <v>0</v>
      </c>
      <c r="U457">
        <v>0</v>
      </c>
    </row>
    <row r="458" spans="3:21" x14ac:dyDescent="0.3">
      <c r="C458" t="s">
        <v>50</v>
      </c>
      <c r="D458" s="18">
        <v>45961</v>
      </c>
      <c r="E458" t="str">
        <f>IFERROR(VLOOKUP(A458,#REF!,5,TRUE),"not found")</f>
        <v>not found</v>
      </c>
      <c r="F458" t="str">
        <f>IFERROR(VLOOKUP(A458,#REF!,2,TRUE),"")</f>
        <v/>
      </c>
      <c r="G458">
        <v>7175</v>
      </c>
      <c r="H458" t="s">
        <v>1</v>
      </c>
      <c r="O458">
        <v>63</v>
      </c>
      <c r="P458" t="s">
        <v>38</v>
      </c>
      <c r="Q458">
        <v>50</v>
      </c>
      <c r="R458" t="s">
        <v>51</v>
      </c>
      <c r="S458" t="s">
        <v>33</v>
      </c>
      <c r="T458" t="s">
        <v>0</v>
      </c>
      <c r="U458">
        <v>0</v>
      </c>
    </row>
    <row r="459" spans="3:21" x14ac:dyDescent="0.3">
      <c r="C459" t="s">
        <v>50</v>
      </c>
      <c r="D459" s="18">
        <v>45961</v>
      </c>
      <c r="E459" t="str">
        <f>IFERROR(VLOOKUP(A459,#REF!,5,TRUE),"not found")</f>
        <v>not found</v>
      </c>
      <c r="F459" t="str">
        <f>IFERROR(VLOOKUP(A459,#REF!,2,TRUE),"")</f>
        <v/>
      </c>
      <c r="G459">
        <v>7175</v>
      </c>
      <c r="H459" t="s">
        <v>1</v>
      </c>
      <c r="O459">
        <v>63</v>
      </c>
      <c r="P459" t="s">
        <v>38</v>
      </c>
      <c r="Q459">
        <v>50</v>
      </c>
      <c r="R459" t="s">
        <v>51</v>
      </c>
      <c r="S459" t="s">
        <v>33</v>
      </c>
      <c r="T459" t="s">
        <v>0</v>
      </c>
      <c r="U459">
        <v>0</v>
      </c>
    </row>
    <row r="460" spans="3:21" x14ac:dyDescent="0.3">
      <c r="C460" t="s">
        <v>50</v>
      </c>
      <c r="D460" s="18">
        <v>45961</v>
      </c>
      <c r="E460" t="str">
        <f>IFERROR(VLOOKUP(A460,#REF!,5,TRUE),"not found")</f>
        <v>not found</v>
      </c>
      <c r="F460" t="str">
        <f>IFERROR(VLOOKUP(A460,#REF!,2,TRUE),"")</f>
        <v/>
      </c>
      <c r="G460">
        <v>7175</v>
      </c>
      <c r="H460" t="s">
        <v>1</v>
      </c>
      <c r="O460">
        <v>63</v>
      </c>
      <c r="P460" t="s">
        <v>38</v>
      </c>
      <c r="Q460">
        <v>50</v>
      </c>
      <c r="R460" t="s">
        <v>51</v>
      </c>
      <c r="S460" t="s">
        <v>33</v>
      </c>
      <c r="T460" t="s">
        <v>0</v>
      </c>
      <c r="U460">
        <v>0</v>
      </c>
    </row>
    <row r="461" spans="3:21" x14ac:dyDescent="0.3">
      <c r="C461" t="s">
        <v>50</v>
      </c>
      <c r="D461" s="18">
        <v>45961</v>
      </c>
      <c r="E461" t="str">
        <f>IFERROR(VLOOKUP(A461,#REF!,5,TRUE),"not found")</f>
        <v>not found</v>
      </c>
      <c r="F461" t="str">
        <f>IFERROR(VLOOKUP(A461,#REF!,2,TRUE),"")</f>
        <v/>
      </c>
      <c r="G461">
        <v>7175</v>
      </c>
      <c r="H461" t="s">
        <v>1</v>
      </c>
      <c r="O461">
        <v>63</v>
      </c>
      <c r="P461" t="s">
        <v>38</v>
      </c>
      <c r="Q461">
        <v>50</v>
      </c>
      <c r="R461" t="s">
        <v>51</v>
      </c>
      <c r="S461" t="s">
        <v>33</v>
      </c>
      <c r="T461" t="s">
        <v>0</v>
      </c>
      <c r="U461">
        <v>0</v>
      </c>
    </row>
    <row r="462" spans="3:21" x14ac:dyDescent="0.3">
      <c r="C462" t="s">
        <v>50</v>
      </c>
      <c r="D462" s="18">
        <v>45961</v>
      </c>
      <c r="E462" t="str">
        <f>IFERROR(VLOOKUP(A462,#REF!,5,TRUE),"not found")</f>
        <v>not found</v>
      </c>
      <c r="F462" t="str">
        <f>IFERROR(VLOOKUP(A462,#REF!,2,TRUE),"")</f>
        <v/>
      </c>
      <c r="G462">
        <v>7175</v>
      </c>
      <c r="H462" t="s">
        <v>1</v>
      </c>
      <c r="O462">
        <v>63</v>
      </c>
      <c r="P462" t="s">
        <v>38</v>
      </c>
      <c r="Q462">
        <v>50</v>
      </c>
      <c r="R462" t="s">
        <v>51</v>
      </c>
      <c r="S462" t="s">
        <v>33</v>
      </c>
      <c r="T462" t="s">
        <v>0</v>
      </c>
      <c r="U462">
        <v>0</v>
      </c>
    </row>
    <row r="463" spans="3:21" x14ac:dyDescent="0.3">
      <c r="C463" t="s">
        <v>50</v>
      </c>
      <c r="D463" s="18">
        <v>45961</v>
      </c>
      <c r="E463" t="str">
        <f>IFERROR(VLOOKUP(A463,#REF!,5,TRUE),"not found")</f>
        <v>not found</v>
      </c>
      <c r="F463" t="str">
        <f>IFERROR(VLOOKUP(A463,#REF!,2,TRUE),"")</f>
        <v/>
      </c>
      <c r="G463">
        <v>7175</v>
      </c>
      <c r="H463" t="s">
        <v>1</v>
      </c>
      <c r="O463">
        <v>63</v>
      </c>
      <c r="P463" t="s">
        <v>38</v>
      </c>
      <c r="Q463">
        <v>50</v>
      </c>
      <c r="R463" t="s">
        <v>51</v>
      </c>
      <c r="S463" t="s">
        <v>33</v>
      </c>
      <c r="T463" t="s">
        <v>0</v>
      </c>
      <c r="U463">
        <v>0</v>
      </c>
    </row>
    <row r="464" spans="3:21" x14ac:dyDescent="0.3">
      <c r="C464" t="s">
        <v>50</v>
      </c>
      <c r="D464" s="18">
        <v>45961</v>
      </c>
      <c r="E464" t="str">
        <f>IFERROR(VLOOKUP(A464,#REF!,5,TRUE),"not found")</f>
        <v>not found</v>
      </c>
      <c r="F464" t="str">
        <f>IFERROR(VLOOKUP(A464,#REF!,2,TRUE),"")</f>
        <v/>
      </c>
      <c r="G464">
        <v>7175</v>
      </c>
      <c r="H464" t="s">
        <v>1</v>
      </c>
      <c r="O464">
        <v>63</v>
      </c>
      <c r="P464" t="s">
        <v>38</v>
      </c>
      <c r="Q464">
        <v>50</v>
      </c>
      <c r="R464" t="s">
        <v>51</v>
      </c>
      <c r="S464" t="s">
        <v>33</v>
      </c>
      <c r="T464" t="s">
        <v>0</v>
      </c>
      <c r="U464">
        <v>0</v>
      </c>
    </row>
    <row r="465" spans="3:21" x14ac:dyDescent="0.3">
      <c r="C465" t="s">
        <v>50</v>
      </c>
      <c r="D465" s="18">
        <v>45961</v>
      </c>
      <c r="E465" t="str">
        <f>IFERROR(VLOOKUP(A465,#REF!,5,TRUE),"not found")</f>
        <v>not found</v>
      </c>
      <c r="F465" t="str">
        <f>IFERROR(VLOOKUP(A465,#REF!,2,TRUE),"")</f>
        <v/>
      </c>
      <c r="G465">
        <v>7175</v>
      </c>
      <c r="H465" t="s">
        <v>1</v>
      </c>
      <c r="O465">
        <v>63</v>
      </c>
      <c r="P465" t="s">
        <v>38</v>
      </c>
      <c r="Q465">
        <v>50</v>
      </c>
      <c r="R465" t="s">
        <v>51</v>
      </c>
      <c r="S465" t="s">
        <v>33</v>
      </c>
      <c r="T465" t="s">
        <v>0</v>
      </c>
      <c r="U465">
        <v>0</v>
      </c>
    </row>
    <row r="466" spans="3:21" x14ac:dyDescent="0.3">
      <c r="C466" t="s">
        <v>50</v>
      </c>
      <c r="D466" s="18">
        <v>45961</v>
      </c>
      <c r="E466" t="str">
        <f>IFERROR(VLOOKUP(A466,#REF!,5,TRUE),"not found")</f>
        <v>not found</v>
      </c>
      <c r="F466" t="str">
        <f>IFERROR(VLOOKUP(A466,#REF!,2,TRUE),"")</f>
        <v/>
      </c>
      <c r="G466">
        <v>7175</v>
      </c>
      <c r="H466" t="s">
        <v>1</v>
      </c>
      <c r="O466">
        <v>63</v>
      </c>
      <c r="P466" t="s">
        <v>38</v>
      </c>
      <c r="Q466">
        <v>50</v>
      </c>
      <c r="R466" t="s">
        <v>51</v>
      </c>
      <c r="S466" t="s">
        <v>33</v>
      </c>
      <c r="T466" t="s">
        <v>0</v>
      </c>
      <c r="U466">
        <v>0</v>
      </c>
    </row>
    <row r="467" spans="3:21" x14ac:dyDescent="0.3">
      <c r="C467" t="s">
        <v>50</v>
      </c>
      <c r="D467" s="18">
        <v>45961</v>
      </c>
      <c r="E467" t="str">
        <f>IFERROR(VLOOKUP(A467,#REF!,5,TRUE),"not found")</f>
        <v>not found</v>
      </c>
      <c r="F467" t="str">
        <f>IFERROR(VLOOKUP(A467,#REF!,2,TRUE),"")</f>
        <v/>
      </c>
      <c r="G467">
        <v>7175</v>
      </c>
      <c r="H467" t="s">
        <v>1</v>
      </c>
      <c r="O467">
        <v>63</v>
      </c>
      <c r="P467" t="s">
        <v>38</v>
      </c>
      <c r="Q467">
        <v>50</v>
      </c>
      <c r="R467" t="s">
        <v>51</v>
      </c>
      <c r="S467" t="s">
        <v>33</v>
      </c>
      <c r="T467" t="s">
        <v>0</v>
      </c>
      <c r="U467">
        <v>0</v>
      </c>
    </row>
    <row r="468" spans="3:21" x14ac:dyDescent="0.3">
      <c r="C468" t="s">
        <v>50</v>
      </c>
      <c r="D468" s="18">
        <v>45961</v>
      </c>
      <c r="E468" t="str">
        <f>IFERROR(VLOOKUP(A468,#REF!,5,TRUE),"not found")</f>
        <v>not found</v>
      </c>
      <c r="F468" t="str">
        <f>IFERROR(VLOOKUP(A468,#REF!,2,TRUE),"")</f>
        <v/>
      </c>
      <c r="G468">
        <v>7175</v>
      </c>
      <c r="H468" t="s">
        <v>1</v>
      </c>
      <c r="O468">
        <v>63</v>
      </c>
      <c r="P468" t="s">
        <v>38</v>
      </c>
      <c r="Q468">
        <v>50</v>
      </c>
      <c r="R468" t="s">
        <v>51</v>
      </c>
      <c r="S468" t="s">
        <v>33</v>
      </c>
      <c r="T468" t="s">
        <v>0</v>
      </c>
      <c r="U468">
        <v>0</v>
      </c>
    </row>
    <row r="469" spans="3:21" x14ac:dyDescent="0.3">
      <c r="C469" t="s">
        <v>50</v>
      </c>
      <c r="D469" s="18">
        <v>45961</v>
      </c>
      <c r="E469" t="str">
        <f>IFERROR(VLOOKUP(A469,#REF!,5,TRUE),"not found")</f>
        <v>not found</v>
      </c>
      <c r="F469" t="str">
        <f>IFERROR(VLOOKUP(A469,#REF!,2,TRUE),"")</f>
        <v/>
      </c>
      <c r="G469">
        <v>7175</v>
      </c>
      <c r="H469" t="s">
        <v>1</v>
      </c>
      <c r="O469">
        <v>63</v>
      </c>
      <c r="P469" t="s">
        <v>38</v>
      </c>
      <c r="Q469">
        <v>50</v>
      </c>
      <c r="R469" t="s">
        <v>51</v>
      </c>
      <c r="S469" t="s">
        <v>33</v>
      </c>
      <c r="T469" t="s">
        <v>0</v>
      </c>
      <c r="U469">
        <v>0</v>
      </c>
    </row>
    <row r="470" spans="3:21" x14ac:dyDescent="0.3">
      <c r="C470" t="s">
        <v>50</v>
      </c>
      <c r="D470" s="18">
        <v>45961</v>
      </c>
      <c r="E470" t="str">
        <f>IFERROR(VLOOKUP(A470,#REF!,5,TRUE),"not found")</f>
        <v>not found</v>
      </c>
      <c r="F470" t="str">
        <f>IFERROR(VLOOKUP(A470,#REF!,2,TRUE),"")</f>
        <v/>
      </c>
      <c r="G470">
        <v>7175</v>
      </c>
      <c r="H470" t="s">
        <v>1</v>
      </c>
      <c r="O470">
        <v>63</v>
      </c>
      <c r="P470" t="s">
        <v>38</v>
      </c>
      <c r="Q470">
        <v>50</v>
      </c>
      <c r="R470" t="s">
        <v>51</v>
      </c>
      <c r="S470" t="s">
        <v>33</v>
      </c>
      <c r="T470" t="s">
        <v>0</v>
      </c>
      <c r="U470">
        <v>0</v>
      </c>
    </row>
    <row r="471" spans="3:21" x14ac:dyDescent="0.3">
      <c r="C471" t="s">
        <v>50</v>
      </c>
      <c r="D471" s="18">
        <v>45961</v>
      </c>
      <c r="E471" t="str">
        <f>IFERROR(VLOOKUP(A471,#REF!,5,TRUE),"not found")</f>
        <v>not found</v>
      </c>
      <c r="F471" t="str">
        <f>IFERROR(VLOOKUP(A471,#REF!,2,TRUE),"")</f>
        <v/>
      </c>
      <c r="G471">
        <v>7175</v>
      </c>
      <c r="H471" t="s">
        <v>1</v>
      </c>
      <c r="O471">
        <v>63</v>
      </c>
      <c r="P471" t="s">
        <v>38</v>
      </c>
      <c r="Q471">
        <v>50</v>
      </c>
      <c r="R471" t="s">
        <v>51</v>
      </c>
      <c r="S471" t="s">
        <v>33</v>
      </c>
      <c r="T471" t="s">
        <v>0</v>
      </c>
      <c r="U471">
        <v>0</v>
      </c>
    </row>
    <row r="472" spans="3:21" x14ac:dyDescent="0.3">
      <c r="C472" t="s">
        <v>50</v>
      </c>
      <c r="D472" s="18">
        <v>45961</v>
      </c>
      <c r="E472" t="str">
        <f>IFERROR(VLOOKUP(A472,#REF!,5,TRUE),"not found")</f>
        <v>not found</v>
      </c>
      <c r="F472" t="str">
        <f>IFERROR(VLOOKUP(A472,#REF!,2,TRUE),"")</f>
        <v/>
      </c>
      <c r="G472">
        <v>7175</v>
      </c>
      <c r="H472" t="s">
        <v>1</v>
      </c>
      <c r="O472">
        <v>63</v>
      </c>
      <c r="P472" t="s">
        <v>38</v>
      </c>
      <c r="Q472">
        <v>50</v>
      </c>
      <c r="R472" t="s">
        <v>51</v>
      </c>
      <c r="S472" t="s">
        <v>33</v>
      </c>
      <c r="T472" t="s">
        <v>0</v>
      </c>
      <c r="U472">
        <v>0</v>
      </c>
    </row>
    <row r="473" spans="3:21" x14ac:dyDescent="0.3">
      <c r="C473" t="s">
        <v>50</v>
      </c>
      <c r="D473" s="18">
        <v>45961</v>
      </c>
      <c r="E473" t="str">
        <f>IFERROR(VLOOKUP(A473,#REF!,5,TRUE),"not found")</f>
        <v>not found</v>
      </c>
      <c r="F473" t="str">
        <f>IFERROR(VLOOKUP(A473,#REF!,2,TRUE),"")</f>
        <v/>
      </c>
      <c r="G473">
        <v>7175</v>
      </c>
      <c r="H473" t="s">
        <v>1</v>
      </c>
      <c r="O473">
        <v>63</v>
      </c>
      <c r="P473" t="s">
        <v>38</v>
      </c>
      <c r="Q473">
        <v>50</v>
      </c>
      <c r="R473" t="s">
        <v>51</v>
      </c>
      <c r="S473" t="s">
        <v>33</v>
      </c>
      <c r="T473" t="s">
        <v>0</v>
      </c>
      <c r="U473">
        <v>0</v>
      </c>
    </row>
    <row r="474" spans="3:21" x14ac:dyDescent="0.3">
      <c r="C474" t="s">
        <v>50</v>
      </c>
      <c r="D474" s="18">
        <v>45961</v>
      </c>
      <c r="E474" t="str">
        <f>IFERROR(VLOOKUP(A474,#REF!,5,TRUE),"not found")</f>
        <v>not found</v>
      </c>
      <c r="F474" t="str">
        <f>IFERROR(VLOOKUP(A474,#REF!,2,TRUE),"")</f>
        <v/>
      </c>
      <c r="G474">
        <v>7175</v>
      </c>
      <c r="H474" t="s">
        <v>1</v>
      </c>
      <c r="O474">
        <v>63</v>
      </c>
      <c r="P474" t="s">
        <v>38</v>
      </c>
      <c r="Q474">
        <v>50</v>
      </c>
      <c r="R474" t="s">
        <v>51</v>
      </c>
      <c r="S474" t="s">
        <v>33</v>
      </c>
      <c r="T474" t="s">
        <v>0</v>
      </c>
      <c r="U474">
        <v>0</v>
      </c>
    </row>
    <row r="475" spans="3:21" x14ac:dyDescent="0.3">
      <c r="C475" t="s">
        <v>50</v>
      </c>
      <c r="D475" s="18">
        <v>45961</v>
      </c>
      <c r="E475" t="str">
        <f>IFERROR(VLOOKUP(A475,#REF!,5,TRUE),"not found")</f>
        <v>not found</v>
      </c>
      <c r="F475" t="str">
        <f>IFERROR(VLOOKUP(A475,#REF!,2,TRUE),"")</f>
        <v/>
      </c>
      <c r="G475">
        <v>7175</v>
      </c>
      <c r="H475" t="s">
        <v>1</v>
      </c>
      <c r="O475">
        <v>63</v>
      </c>
      <c r="P475" t="s">
        <v>38</v>
      </c>
      <c r="Q475">
        <v>50</v>
      </c>
      <c r="R475" t="s">
        <v>51</v>
      </c>
      <c r="S475" t="s">
        <v>33</v>
      </c>
      <c r="T475" t="s">
        <v>0</v>
      </c>
      <c r="U475">
        <v>0</v>
      </c>
    </row>
    <row r="476" spans="3:21" x14ac:dyDescent="0.3">
      <c r="C476" t="s">
        <v>50</v>
      </c>
      <c r="D476" s="18">
        <v>45961</v>
      </c>
      <c r="E476" t="str">
        <f>IFERROR(VLOOKUP(A476,#REF!,5,TRUE),"not found")</f>
        <v>not found</v>
      </c>
      <c r="F476" t="str">
        <f>IFERROR(VLOOKUP(A476,#REF!,2,TRUE),"")</f>
        <v/>
      </c>
      <c r="G476">
        <v>7175</v>
      </c>
      <c r="H476" t="s">
        <v>1</v>
      </c>
      <c r="O476">
        <v>63</v>
      </c>
      <c r="P476" t="s">
        <v>38</v>
      </c>
      <c r="Q476">
        <v>50</v>
      </c>
      <c r="R476" t="s">
        <v>51</v>
      </c>
      <c r="S476" t="s">
        <v>33</v>
      </c>
      <c r="T476" t="s">
        <v>0</v>
      </c>
      <c r="U476">
        <v>0</v>
      </c>
    </row>
    <row r="477" spans="3:21" x14ac:dyDescent="0.3">
      <c r="C477" t="s">
        <v>50</v>
      </c>
      <c r="D477" s="18">
        <v>45961</v>
      </c>
      <c r="E477" t="str">
        <f>IFERROR(VLOOKUP(A477,#REF!,5,TRUE),"not found")</f>
        <v>not found</v>
      </c>
      <c r="F477" t="str">
        <f>IFERROR(VLOOKUP(A477,#REF!,2,TRUE),"")</f>
        <v/>
      </c>
      <c r="G477">
        <v>7175</v>
      </c>
      <c r="H477" t="s">
        <v>1</v>
      </c>
      <c r="O477">
        <v>63</v>
      </c>
      <c r="P477" t="s">
        <v>38</v>
      </c>
      <c r="Q477">
        <v>50</v>
      </c>
      <c r="R477" t="s">
        <v>51</v>
      </c>
      <c r="S477" t="s">
        <v>33</v>
      </c>
      <c r="T477" t="s">
        <v>0</v>
      </c>
      <c r="U477">
        <v>0</v>
      </c>
    </row>
    <row r="478" spans="3:21" x14ac:dyDescent="0.3">
      <c r="C478" t="s">
        <v>50</v>
      </c>
      <c r="D478" s="18">
        <v>45961</v>
      </c>
      <c r="E478" t="str">
        <f>IFERROR(VLOOKUP(A478,#REF!,5,TRUE),"not found")</f>
        <v>not found</v>
      </c>
      <c r="F478" t="str">
        <f>IFERROR(VLOOKUP(A478,#REF!,2,TRUE),"")</f>
        <v/>
      </c>
      <c r="G478">
        <v>7175</v>
      </c>
      <c r="H478" t="s">
        <v>1</v>
      </c>
      <c r="O478">
        <v>63</v>
      </c>
      <c r="P478" t="s">
        <v>38</v>
      </c>
      <c r="Q478">
        <v>50</v>
      </c>
      <c r="R478" t="s">
        <v>51</v>
      </c>
      <c r="S478" t="s">
        <v>33</v>
      </c>
      <c r="T478" t="s">
        <v>0</v>
      </c>
      <c r="U478">
        <v>0</v>
      </c>
    </row>
    <row r="479" spans="3:21" x14ac:dyDescent="0.3">
      <c r="C479" t="s">
        <v>50</v>
      </c>
      <c r="D479" s="18">
        <v>45961</v>
      </c>
      <c r="E479" t="str">
        <f>IFERROR(VLOOKUP(A479,#REF!,5,TRUE),"not found")</f>
        <v>not found</v>
      </c>
      <c r="F479" t="str">
        <f>IFERROR(VLOOKUP(A479,#REF!,2,TRUE),"")</f>
        <v/>
      </c>
      <c r="G479">
        <v>7175</v>
      </c>
      <c r="H479" t="s">
        <v>1</v>
      </c>
      <c r="O479">
        <v>63</v>
      </c>
      <c r="P479" t="s">
        <v>38</v>
      </c>
      <c r="Q479">
        <v>50</v>
      </c>
      <c r="R479" t="s">
        <v>51</v>
      </c>
      <c r="S479" t="s">
        <v>33</v>
      </c>
      <c r="T479" t="s">
        <v>0</v>
      </c>
      <c r="U479">
        <v>0</v>
      </c>
    </row>
    <row r="480" spans="3:21" x14ac:dyDescent="0.3">
      <c r="C480" t="s">
        <v>50</v>
      </c>
      <c r="D480" s="18">
        <v>45961</v>
      </c>
      <c r="E480" t="str">
        <f>IFERROR(VLOOKUP(A480,#REF!,5,TRUE),"not found")</f>
        <v>not found</v>
      </c>
      <c r="F480" t="str">
        <f>IFERROR(VLOOKUP(A480,#REF!,2,TRUE),"")</f>
        <v/>
      </c>
      <c r="G480">
        <v>7175</v>
      </c>
      <c r="H480" t="s">
        <v>1</v>
      </c>
      <c r="O480">
        <v>63</v>
      </c>
      <c r="P480" t="s">
        <v>38</v>
      </c>
      <c r="Q480">
        <v>50</v>
      </c>
      <c r="R480" t="s">
        <v>51</v>
      </c>
      <c r="S480" t="s">
        <v>33</v>
      </c>
      <c r="T480" t="s">
        <v>0</v>
      </c>
      <c r="U480">
        <v>0</v>
      </c>
    </row>
    <row r="481" spans="3:21" x14ac:dyDescent="0.3">
      <c r="C481" t="s">
        <v>50</v>
      </c>
      <c r="D481" s="18">
        <v>45961</v>
      </c>
      <c r="E481" t="str">
        <f>IFERROR(VLOOKUP(A481,#REF!,5,TRUE),"not found")</f>
        <v>not found</v>
      </c>
      <c r="F481" t="str">
        <f>IFERROR(VLOOKUP(A481,#REF!,2,TRUE),"")</f>
        <v/>
      </c>
      <c r="G481">
        <v>7175</v>
      </c>
      <c r="H481" t="s">
        <v>1</v>
      </c>
      <c r="O481">
        <v>63</v>
      </c>
      <c r="P481" t="s">
        <v>38</v>
      </c>
      <c r="Q481">
        <v>50</v>
      </c>
      <c r="R481" t="s">
        <v>51</v>
      </c>
      <c r="S481" t="s">
        <v>33</v>
      </c>
      <c r="T481" t="s">
        <v>0</v>
      </c>
      <c r="U481">
        <v>0</v>
      </c>
    </row>
    <row r="482" spans="3:21" x14ac:dyDescent="0.3">
      <c r="C482" t="s">
        <v>50</v>
      </c>
      <c r="D482" s="18">
        <v>45961</v>
      </c>
      <c r="E482" t="str">
        <f>IFERROR(VLOOKUP(A482,#REF!,5,TRUE),"not found")</f>
        <v>not found</v>
      </c>
      <c r="F482" t="str">
        <f>IFERROR(VLOOKUP(A482,#REF!,2,TRUE),"")</f>
        <v/>
      </c>
      <c r="G482">
        <v>7175</v>
      </c>
      <c r="H482" t="s">
        <v>1</v>
      </c>
      <c r="O482">
        <v>63</v>
      </c>
      <c r="P482" t="s">
        <v>38</v>
      </c>
      <c r="Q482">
        <v>50</v>
      </c>
      <c r="R482" t="s">
        <v>51</v>
      </c>
      <c r="S482" t="s">
        <v>33</v>
      </c>
      <c r="T482" t="s">
        <v>0</v>
      </c>
      <c r="U482">
        <v>0</v>
      </c>
    </row>
    <row r="483" spans="3:21" x14ac:dyDescent="0.3">
      <c r="C483" t="s">
        <v>50</v>
      </c>
      <c r="D483" s="18">
        <v>45961</v>
      </c>
      <c r="E483" t="str">
        <f>IFERROR(VLOOKUP(A483,#REF!,5,TRUE),"not found")</f>
        <v>not found</v>
      </c>
      <c r="F483" t="str">
        <f>IFERROR(VLOOKUP(A483,#REF!,2,TRUE),"")</f>
        <v/>
      </c>
      <c r="G483">
        <v>7175</v>
      </c>
      <c r="H483" t="s">
        <v>1</v>
      </c>
      <c r="O483">
        <v>63</v>
      </c>
      <c r="P483" t="s">
        <v>38</v>
      </c>
      <c r="Q483">
        <v>50</v>
      </c>
      <c r="R483" t="s">
        <v>51</v>
      </c>
      <c r="S483" t="s">
        <v>33</v>
      </c>
      <c r="T483" t="s">
        <v>0</v>
      </c>
      <c r="U483">
        <v>0</v>
      </c>
    </row>
    <row r="484" spans="3:21" x14ac:dyDescent="0.3">
      <c r="C484" t="s">
        <v>50</v>
      </c>
      <c r="D484" s="18">
        <v>45961</v>
      </c>
      <c r="E484" t="str">
        <f>IFERROR(VLOOKUP(A484,#REF!,5,TRUE),"not found")</f>
        <v>not found</v>
      </c>
      <c r="F484" t="str">
        <f>IFERROR(VLOOKUP(A484,#REF!,2,TRUE),"")</f>
        <v/>
      </c>
      <c r="G484">
        <v>7175</v>
      </c>
      <c r="H484" t="s">
        <v>1</v>
      </c>
      <c r="O484">
        <v>63</v>
      </c>
      <c r="P484" t="s">
        <v>38</v>
      </c>
      <c r="Q484">
        <v>50</v>
      </c>
      <c r="R484" t="s">
        <v>51</v>
      </c>
      <c r="S484" t="s">
        <v>33</v>
      </c>
      <c r="T484" t="s">
        <v>0</v>
      </c>
      <c r="U484">
        <v>0</v>
      </c>
    </row>
    <row r="485" spans="3:21" x14ac:dyDescent="0.3">
      <c r="C485" t="s">
        <v>50</v>
      </c>
      <c r="D485" s="18">
        <v>45961</v>
      </c>
      <c r="E485" t="str">
        <f>IFERROR(VLOOKUP(A485,#REF!,5,TRUE),"not found")</f>
        <v>not found</v>
      </c>
      <c r="F485" t="str">
        <f>IFERROR(VLOOKUP(A485,#REF!,2,TRUE),"")</f>
        <v/>
      </c>
      <c r="G485">
        <v>7175</v>
      </c>
      <c r="H485" t="s">
        <v>1</v>
      </c>
      <c r="O485">
        <v>63</v>
      </c>
      <c r="P485" t="s">
        <v>38</v>
      </c>
      <c r="Q485">
        <v>50</v>
      </c>
      <c r="R485" t="s">
        <v>51</v>
      </c>
      <c r="S485" t="s">
        <v>33</v>
      </c>
      <c r="T485" t="s">
        <v>0</v>
      </c>
      <c r="U485">
        <v>0</v>
      </c>
    </row>
    <row r="486" spans="3:21" x14ac:dyDescent="0.3">
      <c r="C486" t="s">
        <v>50</v>
      </c>
      <c r="D486" s="18">
        <v>45961</v>
      </c>
      <c r="E486" t="str">
        <f>IFERROR(VLOOKUP(A486,#REF!,5,TRUE),"not found")</f>
        <v>not found</v>
      </c>
      <c r="F486" t="str">
        <f>IFERROR(VLOOKUP(A486,#REF!,2,TRUE),"")</f>
        <v/>
      </c>
      <c r="G486">
        <v>7175</v>
      </c>
      <c r="H486" t="s">
        <v>1</v>
      </c>
      <c r="O486">
        <v>63</v>
      </c>
      <c r="P486" t="s">
        <v>38</v>
      </c>
      <c r="Q486">
        <v>50</v>
      </c>
      <c r="R486" t="s">
        <v>51</v>
      </c>
      <c r="S486" t="s">
        <v>33</v>
      </c>
      <c r="T486" t="s">
        <v>0</v>
      </c>
      <c r="U486">
        <v>0</v>
      </c>
    </row>
    <row r="487" spans="3:21" x14ac:dyDescent="0.3">
      <c r="C487" t="s">
        <v>50</v>
      </c>
      <c r="D487" s="18">
        <v>45961</v>
      </c>
      <c r="E487" t="str">
        <f>IFERROR(VLOOKUP(A487,#REF!,5,TRUE),"not found")</f>
        <v>not found</v>
      </c>
      <c r="F487" t="str">
        <f>IFERROR(VLOOKUP(A487,#REF!,2,TRUE),"")</f>
        <v/>
      </c>
      <c r="G487">
        <v>7175</v>
      </c>
      <c r="H487" t="s">
        <v>1</v>
      </c>
      <c r="O487">
        <v>63</v>
      </c>
      <c r="P487" t="s">
        <v>38</v>
      </c>
      <c r="Q487">
        <v>50</v>
      </c>
      <c r="R487" t="s">
        <v>51</v>
      </c>
      <c r="S487" t="s">
        <v>33</v>
      </c>
      <c r="T487" t="s">
        <v>0</v>
      </c>
      <c r="U487">
        <v>0</v>
      </c>
    </row>
    <row r="488" spans="3:21" x14ac:dyDescent="0.3">
      <c r="C488" t="s">
        <v>50</v>
      </c>
      <c r="D488" s="18">
        <v>45961</v>
      </c>
      <c r="E488" t="str">
        <f>IFERROR(VLOOKUP(A488,#REF!,5,TRUE),"not found")</f>
        <v>not found</v>
      </c>
      <c r="F488" t="str">
        <f>IFERROR(VLOOKUP(A488,#REF!,2,TRUE),"")</f>
        <v/>
      </c>
      <c r="G488">
        <v>7175</v>
      </c>
      <c r="H488" t="s">
        <v>1</v>
      </c>
      <c r="O488">
        <v>63</v>
      </c>
      <c r="P488" t="s">
        <v>38</v>
      </c>
      <c r="Q488">
        <v>50</v>
      </c>
      <c r="R488" t="s">
        <v>51</v>
      </c>
      <c r="S488" t="s">
        <v>33</v>
      </c>
      <c r="T488" t="s">
        <v>0</v>
      </c>
      <c r="U488">
        <v>0</v>
      </c>
    </row>
    <row r="489" spans="3:21" x14ac:dyDescent="0.3">
      <c r="C489" t="s">
        <v>50</v>
      </c>
      <c r="D489" s="18">
        <v>45961</v>
      </c>
      <c r="E489" t="str">
        <f>IFERROR(VLOOKUP(A489,#REF!,5,TRUE),"not found")</f>
        <v>not found</v>
      </c>
      <c r="F489" t="str">
        <f>IFERROR(VLOOKUP(A489,#REF!,2,TRUE),"")</f>
        <v/>
      </c>
      <c r="G489">
        <v>7175</v>
      </c>
      <c r="H489" t="s">
        <v>1</v>
      </c>
      <c r="O489">
        <v>63</v>
      </c>
      <c r="P489" t="s">
        <v>38</v>
      </c>
      <c r="Q489">
        <v>50</v>
      </c>
      <c r="R489" t="s">
        <v>51</v>
      </c>
      <c r="S489" t="s">
        <v>33</v>
      </c>
      <c r="T489" t="s">
        <v>0</v>
      </c>
      <c r="U489">
        <v>0</v>
      </c>
    </row>
    <row r="490" spans="3:21" x14ac:dyDescent="0.3">
      <c r="C490" t="s">
        <v>50</v>
      </c>
      <c r="D490" s="18">
        <v>45961</v>
      </c>
      <c r="E490" t="str">
        <f>IFERROR(VLOOKUP(A490,#REF!,5,TRUE),"not found")</f>
        <v>not found</v>
      </c>
      <c r="F490" t="str">
        <f>IFERROR(VLOOKUP(A490,#REF!,2,TRUE),"")</f>
        <v/>
      </c>
      <c r="G490">
        <v>7175</v>
      </c>
      <c r="H490" t="s">
        <v>1</v>
      </c>
      <c r="O490">
        <v>63</v>
      </c>
      <c r="P490" t="s">
        <v>38</v>
      </c>
      <c r="Q490">
        <v>50</v>
      </c>
      <c r="R490" t="s">
        <v>51</v>
      </c>
      <c r="S490" t="s">
        <v>33</v>
      </c>
      <c r="T490" t="s">
        <v>0</v>
      </c>
      <c r="U490">
        <v>0</v>
      </c>
    </row>
    <row r="491" spans="3:21" x14ac:dyDescent="0.3">
      <c r="C491" t="s">
        <v>50</v>
      </c>
      <c r="D491" s="18">
        <v>45961</v>
      </c>
      <c r="E491" t="str">
        <f>IFERROR(VLOOKUP(A491,#REF!,5,TRUE),"not found")</f>
        <v>not found</v>
      </c>
      <c r="F491" t="str">
        <f>IFERROR(VLOOKUP(A491,#REF!,2,TRUE),"")</f>
        <v/>
      </c>
      <c r="G491">
        <v>7175</v>
      </c>
      <c r="H491" t="s">
        <v>1</v>
      </c>
      <c r="O491">
        <v>63</v>
      </c>
      <c r="P491" t="s">
        <v>38</v>
      </c>
      <c r="Q491">
        <v>50</v>
      </c>
      <c r="R491" t="s">
        <v>51</v>
      </c>
      <c r="S491" t="s">
        <v>33</v>
      </c>
      <c r="T491" t="s">
        <v>0</v>
      </c>
      <c r="U491">
        <v>0</v>
      </c>
    </row>
    <row r="492" spans="3:21" x14ac:dyDescent="0.3">
      <c r="C492" t="s">
        <v>50</v>
      </c>
      <c r="D492" s="18">
        <v>45961</v>
      </c>
      <c r="E492" t="str">
        <f>IFERROR(VLOOKUP(A492,#REF!,5,TRUE),"not found")</f>
        <v>not found</v>
      </c>
      <c r="F492" t="str">
        <f>IFERROR(VLOOKUP(A492,#REF!,2,TRUE),"")</f>
        <v/>
      </c>
      <c r="G492">
        <v>7175</v>
      </c>
      <c r="H492" t="s">
        <v>1</v>
      </c>
      <c r="O492">
        <v>63</v>
      </c>
      <c r="P492" t="s">
        <v>38</v>
      </c>
      <c r="Q492">
        <v>50</v>
      </c>
      <c r="R492" t="s">
        <v>51</v>
      </c>
      <c r="S492" t="s">
        <v>33</v>
      </c>
      <c r="T492" t="s">
        <v>0</v>
      </c>
      <c r="U492">
        <v>0</v>
      </c>
    </row>
    <row r="493" spans="3:21" x14ac:dyDescent="0.3">
      <c r="C493" t="s">
        <v>50</v>
      </c>
      <c r="D493" s="18">
        <v>45961</v>
      </c>
      <c r="E493" t="str">
        <f>IFERROR(VLOOKUP(A493,#REF!,5,TRUE),"not found")</f>
        <v>not found</v>
      </c>
      <c r="F493" t="str">
        <f>IFERROR(VLOOKUP(A493,#REF!,2,TRUE),"")</f>
        <v/>
      </c>
      <c r="G493">
        <v>7175</v>
      </c>
      <c r="H493" t="s">
        <v>1</v>
      </c>
      <c r="O493">
        <v>63</v>
      </c>
      <c r="P493" t="s">
        <v>38</v>
      </c>
      <c r="Q493">
        <v>50</v>
      </c>
      <c r="R493" t="s">
        <v>51</v>
      </c>
      <c r="S493" t="s">
        <v>33</v>
      </c>
      <c r="T493" t="s">
        <v>0</v>
      </c>
      <c r="U493">
        <v>0</v>
      </c>
    </row>
    <row r="494" spans="3:21" x14ac:dyDescent="0.3">
      <c r="C494" t="s">
        <v>50</v>
      </c>
      <c r="D494" s="18">
        <v>45961</v>
      </c>
      <c r="E494" t="str">
        <f>IFERROR(VLOOKUP(A494,#REF!,5,TRUE),"not found")</f>
        <v>not found</v>
      </c>
      <c r="F494" t="str">
        <f>IFERROR(VLOOKUP(A494,#REF!,2,TRUE),"")</f>
        <v/>
      </c>
      <c r="G494">
        <v>7175</v>
      </c>
      <c r="H494" t="s">
        <v>1</v>
      </c>
      <c r="O494">
        <v>63</v>
      </c>
      <c r="P494" t="s">
        <v>38</v>
      </c>
      <c r="Q494">
        <v>50</v>
      </c>
      <c r="R494" t="s">
        <v>51</v>
      </c>
      <c r="S494" t="s">
        <v>33</v>
      </c>
      <c r="T494" t="s">
        <v>0</v>
      </c>
      <c r="U494">
        <v>0</v>
      </c>
    </row>
    <row r="495" spans="3:21" x14ac:dyDescent="0.3">
      <c r="C495" t="s">
        <v>50</v>
      </c>
      <c r="D495" s="18">
        <v>45961</v>
      </c>
      <c r="E495" t="str">
        <f>IFERROR(VLOOKUP(A495,#REF!,5,TRUE),"not found")</f>
        <v>not found</v>
      </c>
      <c r="F495" t="str">
        <f>IFERROR(VLOOKUP(A495,#REF!,2,TRUE),"")</f>
        <v/>
      </c>
      <c r="G495">
        <v>7175</v>
      </c>
      <c r="H495" t="s">
        <v>1</v>
      </c>
      <c r="O495">
        <v>63</v>
      </c>
      <c r="P495" t="s">
        <v>38</v>
      </c>
      <c r="Q495">
        <v>50</v>
      </c>
      <c r="R495" t="s">
        <v>51</v>
      </c>
      <c r="S495" t="s">
        <v>33</v>
      </c>
      <c r="T495" t="s">
        <v>0</v>
      </c>
      <c r="U495">
        <v>0</v>
      </c>
    </row>
    <row r="496" spans="3:21" x14ac:dyDescent="0.3">
      <c r="C496" t="s">
        <v>50</v>
      </c>
      <c r="D496" s="18">
        <v>45961</v>
      </c>
      <c r="E496" t="str">
        <f>IFERROR(VLOOKUP(A496,#REF!,5,TRUE),"not found")</f>
        <v>not found</v>
      </c>
      <c r="F496" t="str">
        <f>IFERROR(VLOOKUP(A496,#REF!,2,TRUE),"")</f>
        <v/>
      </c>
      <c r="G496">
        <v>7175</v>
      </c>
      <c r="H496" t="s">
        <v>1</v>
      </c>
      <c r="O496">
        <v>63</v>
      </c>
      <c r="P496" t="s">
        <v>38</v>
      </c>
      <c r="Q496">
        <v>50</v>
      </c>
      <c r="R496" t="s">
        <v>51</v>
      </c>
      <c r="S496" t="s">
        <v>33</v>
      </c>
      <c r="T496" t="s">
        <v>0</v>
      </c>
      <c r="U496">
        <v>0</v>
      </c>
    </row>
    <row r="497" spans="3:21" x14ac:dyDescent="0.3">
      <c r="C497" t="s">
        <v>50</v>
      </c>
      <c r="D497" s="18">
        <v>45961</v>
      </c>
      <c r="E497" t="str">
        <f>IFERROR(VLOOKUP(A497,#REF!,5,TRUE),"not found")</f>
        <v>not found</v>
      </c>
      <c r="F497" t="str">
        <f>IFERROR(VLOOKUP(A497,#REF!,2,TRUE),"")</f>
        <v/>
      </c>
      <c r="G497">
        <v>7175</v>
      </c>
      <c r="H497" t="s">
        <v>1</v>
      </c>
      <c r="O497">
        <v>63</v>
      </c>
      <c r="P497" t="s">
        <v>38</v>
      </c>
      <c r="Q497">
        <v>50</v>
      </c>
      <c r="R497" t="s">
        <v>51</v>
      </c>
      <c r="S497" t="s">
        <v>33</v>
      </c>
      <c r="T497" t="s">
        <v>0</v>
      </c>
      <c r="U497">
        <v>0</v>
      </c>
    </row>
    <row r="498" spans="3:21" x14ac:dyDescent="0.3">
      <c r="C498" t="s">
        <v>50</v>
      </c>
      <c r="D498" s="18">
        <v>45961</v>
      </c>
      <c r="E498" t="str">
        <f>IFERROR(VLOOKUP(A498,#REF!,5,TRUE),"not found")</f>
        <v>not found</v>
      </c>
      <c r="F498" t="str">
        <f>IFERROR(VLOOKUP(A498,#REF!,2,TRUE),"")</f>
        <v/>
      </c>
      <c r="G498">
        <v>7175</v>
      </c>
      <c r="H498" t="s">
        <v>1</v>
      </c>
      <c r="O498">
        <v>63</v>
      </c>
      <c r="P498" t="s">
        <v>38</v>
      </c>
      <c r="Q498">
        <v>50</v>
      </c>
      <c r="R498" t="s">
        <v>51</v>
      </c>
      <c r="S498" t="s">
        <v>33</v>
      </c>
      <c r="T498" t="s">
        <v>0</v>
      </c>
      <c r="U498">
        <v>0</v>
      </c>
    </row>
    <row r="499" spans="3:21" x14ac:dyDescent="0.3">
      <c r="C499" t="s">
        <v>50</v>
      </c>
      <c r="D499" s="18">
        <v>45961</v>
      </c>
      <c r="E499" t="str">
        <f>IFERROR(VLOOKUP(A499,#REF!,5,TRUE),"not found")</f>
        <v>not found</v>
      </c>
      <c r="F499" t="str">
        <f>IFERROR(VLOOKUP(A499,#REF!,2,TRUE),"")</f>
        <v/>
      </c>
      <c r="G499">
        <v>7175</v>
      </c>
      <c r="H499" t="s">
        <v>1</v>
      </c>
      <c r="O499">
        <v>63</v>
      </c>
      <c r="P499" t="s">
        <v>38</v>
      </c>
      <c r="Q499">
        <v>50</v>
      </c>
      <c r="R499" t="s">
        <v>51</v>
      </c>
      <c r="S499" t="s">
        <v>33</v>
      </c>
      <c r="T499" t="s">
        <v>0</v>
      </c>
      <c r="U499">
        <v>0</v>
      </c>
    </row>
    <row r="500" spans="3:21" x14ac:dyDescent="0.3">
      <c r="C500" t="s">
        <v>50</v>
      </c>
      <c r="D500" s="18">
        <v>45961</v>
      </c>
      <c r="E500" t="str">
        <f>IFERROR(VLOOKUP(A500,#REF!,5,TRUE),"not found")</f>
        <v>not found</v>
      </c>
      <c r="F500" t="str">
        <f>IFERROR(VLOOKUP(A500,#REF!,2,TRUE),"")</f>
        <v/>
      </c>
      <c r="G500">
        <v>7175</v>
      </c>
      <c r="H500" t="s">
        <v>1</v>
      </c>
      <c r="O500">
        <v>63</v>
      </c>
      <c r="P500" t="s">
        <v>38</v>
      </c>
      <c r="Q500">
        <v>50</v>
      </c>
      <c r="R500" t="s">
        <v>51</v>
      </c>
      <c r="S500" t="s">
        <v>33</v>
      </c>
      <c r="T500" t="s">
        <v>0</v>
      </c>
      <c r="U500">
        <v>0</v>
      </c>
    </row>
    <row r="501" spans="3:21" x14ac:dyDescent="0.3">
      <c r="C501" t="s">
        <v>50</v>
      </c>
      <c r="D501" s="18">
        <v>45961</v>
      </c>
      <c r="E501" t="str">
        <f>IFERROR(VLOOKUP(A501,#REF!,5,TRUE),"not found")</f>
        <v>not found</v>
      </c>
      <c r="F501" t="str">
        <f>IFERROR(VLOOKUP(A501,#REF!,2,TRUE),"")</f>
        <v/>
      </c>
      <c r="G501">
        <v>7175</v>
      </c>
      <c r="H501" t="s">
        <v>1</v>
      </c>
      <c r="O501">
        <v>63</v>
      </c>
      <c r="P501" t="s">
        <v>38</v>
      </c>
      <c r="Q501">
        <v>50</v>
      </c>
      <c r="R501" t="s">
        <v>51</v>
      </c>
      <c r="S501" t="s">
        <v>33</v>
      </c>
      <c r="T501" t="s">
        <v>0</v>
      </c>
      <c r="U501">
        <v>0</v>
      </c>
    </row>
    <row r="502" spans="3:21" x14ac:dyDescent="0.3">
      <c r="C502" t="s">
        <v>50</v>
      </c>
      <c r="D502" s="18">
        <v>45961</v>
      </c>
      <c r="E502" t="str">
        <f>IFERROR(VLOOKUP(A502,#REF!,5,TRUE),"not found")</f>
        <v>not found</v>
      </c>
      <c r="F502" t="str">
        <f>IFERROR(VLOOKUP(A502,#REF!,2,TRUE),"")</f>
        <v/>
      </c>
      <c r="G502">
        <v>7175</v>
      </c>
      <c r="H502" t="s">
        <v>1</v>
      </c>
      <c r="O502">
        <v>63</v>
      </c>
      <c r="P502" t="s">
        <v>38</v>
      </c>
      <c r="Q502">
        <v>50</v>
      </c>
      <c r="R502" t="s">
        <v>51</v>
      </c>
      <c r="S502" t="s">
        <v>33</v>
      </c>
      <c r="T502" t="s">
        <v>0</v>
      </c>
      <c r="U502">
        <v>0</v>
      </c>
    </row>
    <row r="503" spans="3:21" x14ac:dyDescent="0.3">
      <c r="C503" t="s">
        <v>50</v>
      </c>
      <c r="D503" s="18">
        <v>45961</v>
      </c>
      <c r="E503" t="str">
        <f>IFERROR(VLOOKUP(A503,#REF!,5,TRUE),"not found")</f>
        <v>not found</v>
      </c>
      <c r="F503" t="str">
        <f>IFERROR(VLOOKUP(A503,#REF!,2,TRUE),"")</f>
        <v/>
      </c>
      <c r="G503">
        <v>7175</v>
      </c>
      <c r="H503" t="s">
        <v>1</v>
      </c>
      <c r="O503">
        <v>63</v>
      </c>
      <c r="P503" t="s">
        <v>38</v>
      </c>
      <c r="Q503">
        <v>50</v>
      </c>
      <c r="R503" t="s">
        <v>51</v>
      </c>
      <c r="S503" t="s">
        <v>33</v>
      </c>
      <c r="T503" t="s">
        <v>0</v>
      </c>
      <c r="U503">
        <v>0</v>
      </c>
    </row>
    <row r="504" spans="3:21" x14ac:dyDescent="0.3">
      <c r="C504" t="s">
        <v>50</v>
      </c>
      <c r="D504" s="18">
        <v>45961</v>
      </c>
      <c r="E504" t="str">
        <f>IFERROR(VLOOKUP(A504,#REF!,5,TRUE),"not found")</f>
        <v>not found</v>
      </c>
      <c r="F504" t="str">
        <f>IFERROR(VLOOKUP(A504,#REF!,2,TRUE),"")</f>
        <v/>
      </c>
      <c r="G504">
        <v>7175</v>
      </c>
      <c r="H504" t="s">
        <v>1</v>
      </c>
      <c r="O504">
        <v>63</v>
      </c>
      <c r="P504" t="s">
        <v>38</v>
      </c>
      <c r="Q504">
        <v>50</v>
      </c>
      <c r="R504" t="s">
        <v>51</v>
      </c>
      <c r="S504" t="s">
        <v>33</v>
      </c>
      <c r="T504" t="s">
        <v>0</v>
      </c>
      <c r="U504">
        <v>0</v>
      </c>
    </row>
    <row r="505" spans="3:21" x14ac:dyDescent="0.3">
      <c r="C505" t="s">
        <v>50</v>
      </c>
      <c r="D505" s="18">
        <v>45961</v>
      </c>
      <c r="E505" t="str">
        <f>IFERROR(VLOOKUP(A505,#REF!,5,TRUE),"not found")</f>
        <v>not found</v>
      </c>
      <c r="F505" t="str">
        <f>IFERROR(VLOOKUP(A505,#REF!,2,TRUE),"")</f>
        <v/>
      </c>
      <c r="G505">
        <v>7175</v>
      </c>
      <c r="H505" t="s">
        <v>1</v>
      </c>
      <c r="O505">
        <v>63</v>
      </c>
      <c r="P505" t="s">
        <v>38</v>
      </c>
      <c r="Q505">
        <v>50</v>
      </c>
      <c r="R505" t="s">
        <v>51</v>
      </c>
      <c r="S505" t="s">
        <v>33</v>
      </c>
      <c r="T505" t="s">
        <v>0</v>
      </c>
      <c r="U505">
        <v>0</v>
      </c>
    </row>
    <row r="506" spans="3:21" x14ac:dyDescent="0.3">
      <c r="C506" t="s">
        <v>50</v>
      </c>
      <c r="D506" s="18">
        <v>45961</v>
      </c>
      <c r="E506" t="str">
        <f>IFERROR(VLOOKUP(A506,#REF!,5,TRUE),"not found")</f>
        <v>not found</v>
      </c>
      <c r="F506" t="str">
        <f>IFERROR(VLOOKUP(A506,#REF!,2,TRUE),"")</f>
        <v/>
      </c>
      <c r="G506">
        <v>7175</v>
      </c>
      <c r="H506" t="s">
        <v>1</v>
      </c>
      <c r="O506">
        <v>63</v>
      </c>
      <c r="P506" t="s">
        <v>38</v>
      </c>
      <c r="Q506">
        <v>50</v>
      </c>
      <c r="R506" t="s">
        <v>51</v>
      </c>
      <c r="S506" t="s">
        <v>33</v>
      </c>
      <c r="T506" t="s">
        <v>0</v>
      </c>
      <c r="U506">
        <v>0</v>
      </c>
    </row>
    <row r="507" spans="3:21" x14ac:dyDescent="0.3">
      <c r="C507" t="s">
        <v>50</v>
      </c>
      <c r="D507" s="18">
        <v>45961</v>
      </c>
      <c r="E507" t="str">
        <f>IFERROR(VLOOKUP(A507,#REF!,5,TRUE),"not found")</f>
        <v>not found</v>
      </c>
      <c r="F507" t="str">
        <f>IFERROR(VLOOKUP(A507,#REF!,2,TRUE),"")</f>
        <v/>
      </c>
      <c r="G507">
        <v>7175</v>
      </c>
      <c r="H507" t="s">
        <v>1</v>
      </c>
      <c r="O507">
        <v>63</v>
      </c>
      <c r="P507" t="s">
        <v>38</v>
      </c>
      <c r="Q507">
        <v>50</v>
      </c>
      <c r="R507" t="s">
        <v>51</v>
      </c>
      <c r="S507" t="s">
        <v>33</v>
      </c>
      <c r="T507" t="s">
        <v>0</v>
      </c>
      <c r="U507">
        <v>0</v>
      </c>
    </row>
    <row r="508" spans="3:21" x14ac:dyDescent="0.3">
      <c r="C508" t="s">
        <v>50</v>
      </c>
      <c r="D508" s="18">
        <v>45961</v>
      </c>
      <c r="E508" t="str">
        <f>IFERROR(VLOOKUP(A508,#REF!,5,TRUE),"not found")</f>
        <v>not found</v>
      </c>
      <c r="F508" t="str">
        <f>IFERROR(VLOOKUP(A508,#REF!,2,TRUE),"")</f>
        <v/>
      </c>
      <c r="G508">
        <v>7175</v>
      </c>
      <c r="H508" t="s">
        <v>1</v>
      </c>
      <c r="O508">
        <v>63</v>
      </c>
      <c r="P508" t="s">
        <v>38</v>
      </c>
      <c r="Q508">
        <v>50</v>
      </c>
      <c r="R508" t="s">
        <v>51</v>
      </c>
      <c r="S508" t="s">
        <v>33</v>
      </c>
      <c r="T508" t="s">
        <v>0</v>
      </c>
      <c r="U508">
        <v>0</v>
      </c>
    </row>
    <row r="509" spans="3:21" x14ac:dyDescent="0.3">
      <c r="C509" t="s">
        <v>50</v>
      </c>
      <c r="D509" s="18">
        <v>45961</v>
      </c>
      <c r="E509" t="str">
        <f>IFERROR(VLOOKUP(A509,#REF!,5,TRUE),"not found")</f>
        <v>not found</v>
      </c>
      <c r="F509" t="str">
        <f>IFERROR(VLOOKUP(A509,#REF!,2,TRUE),"")</f>
        <v/>
      </c>
      <c r="G509">
        <v>7175</v>
      </c>
      <c r="H509" t="s">
        <v>1</v>
      </c>
      <c r="O509">
        <v>63</v>
      </c>
      <c r="P509" t="s">
        <v>38</v>
      </c>
      <c r="Q509">
        <v>50</v>
      </c>
      <c r="R509" t="s">
        <v>51</v>
      </c>
      <c r="S509" t="s">
        <v>33</v>
      </c>
      <c r="T509" t="s">
        <v>0</v>
      </c>
      <c r="U509">
        <v>0</v>
      </c>
    </row>
    <row r="510" spans="3:21" x14ac:dyDescent="0.3">
      <c r="C510" t="s">
        <v>50</v>
      </c>
      <c r="D510" s="18">
        <v>45961</v>
      </c>
      <c r="E510" t="str">
        <f>IFERROR(VLOOKUP(A510,#REF!,5,TRUE),"not found")</f>
        <v>not found</v>
      </c>
      <c r="F510" t="str">
        <f>IFERROR(VLOOKUP(A510,#REF!,2,TRUE),"")</f>
        <v/>
      </c>
      <c r="G510">
        <v>7175</v>
      </c>
      <c r="H510" t="s">
        <v>1</v>
      </c>
      <c r="O510">
        <v>63</v>
      </c>
      <c r="P510" t="s">
        <v>38</v>
      </c>
      <c r="Q510">
        <v>50</v>
      </c>
      <c r="R510" t="s">
        <v>51</v>
      </c>
      <c r="S510" t="s">
        <v>33</v>
      </c>
      <c r="T510" t="s">
        <v>0</v>
      </c>
      <c r="U510">
        <v>0</v>
      </c>
    </row>
    <row r="511" spans="3:21" x14ac:dyDescent="0.3">
      <c r="C511" t="s">
        <v>50</v>
      </c>
      <c r="D511" s="18">
        <v>45961</v>
      </c>
      <c r="E511" t="str">
        <f>IFERROR(VLOOKUP(A511,#REF!,5,TRUE),"not found")</f>
        <v>not found</v>
      </c>
      <c r="F511" t="str">
        <f>IFERROR(VLOOKUP(A511,#REF!,2,TRUE),"")</f>
        <v/>
      </c>
      <c r="G511">
        <v>7175</v>
      </c>
      <c r="H511" t="s">
        <v>1</v>
      </c>
      <c r="O511">
        <v>63</v>
      </c>
      <c r="P511" t="s">
        <v>38</v>
      </c>
      <c r="Q511">
        <v>50</v>
      </c>
      <c r="R511" t="s">
        <v>51</v>
      </c>
      <c r="S511" t="s">
        <v>33</v>
      </c>
      <c r="T511" t="s">
        <v>0</v>
      </c>
      <c r="U511">
        <v>0</v>
      </c>
    </row>
    <row r="512" spans="3:21" x14ac:dyDescent="0.3">
      <c r="C512" t="s">
        <v>50</v>
      </c>
      <c r="D512" s="18">
        <v>45961</v>
      </c>
      <c r="E512" t="str">
        <f>IFERROR(VLOOKUP(A512,#REF!,5,TRUE),"not found")</f>
        <v>not found</v>
      </c>
      <c r="F512" t="str">
        <f>IFERROR(VLOOKUP(A512,#REF!,2,TRUE),"")</f>
        <v/>
      </c>
      <c r="G512">
        <v>7175</v>
      </c>
      <c r="H512" t="s">
        <v>1</v>
      </c>
      <c r="O512">
        <v>63</v>
      </c>
      <c r="P512" t="s">
        <v>38</v>
      </c>
      <c r="Q512">
        <v>50</v>
      </c>
      <c r="R512" t="s">
        <v>51</v>
      </c>
      <c r="S512" t="s">
        <v>33</v>
      </c>
      <c r="T512" t="s">
        <v>0</v>
      </c>
      <c r="U512">
        <v>0</v>
      </c>
    </row>
    <row r="513" spans="3:21" x14ac:dyDescent="0.3">
      <c r="C513" t="s">
        <v>50</v>
      </c>
      <c r="D513" s="18">
        <v>45961</v>
      </c>
      <c r="E513" t="str">
        <f>IFERROR(VLOOKUP(A513,#REF!,5,TRUE),"not found")</f>
        <v>not found</v>
      </c>
      <c r="F513" t="str">
        <f>IFERROR(VLOOKUP(A513,#REF!,2,TRUE),"")</f>
        <v/>
      </c>
      <c r="G513">
        <v>7175</v>
      </c>
      <c r="H513" t="s">
        <v>1</v>
      </c>
      <c r="O513">
        <v>63</v>
      </c>
      <c r="P513" t="s">
        <v>38</v>
      </c>
      <c r="Q513">
        <v>50</v>
      </c>
      <c r="R513" t="s">
        <v>51</v>
      </c>
      <c r="S513" t="s">
        <v>33</v>
      </c>
      <c r="T513" t="s">
        <v>0</v>
      </c>
      <c r="U513">
        <v>0</v>
      </c>
    </row>
    <row r="514" spans="3:21" x14ac:dyDescent="0.3">
      <c r="C514" t="s">
        <v>50</v>
      </c>
      <c r="D514" s="18">
        <v>45961</v>
      </c>
      <c r="E514" t="str">
        <f>IFERROR(VLOOKUP(A514,#REF!,5,TRUE),"not found")</f>
        <v>not found</v>
      </c>
      <c r="F514" t="str">
        <f>IFERROR(VLOOKUP(A514,#REF!,2,TRUE),"")</f>
        <v/>
      </c>
      <c r="G514">
        <v>7175</v>
      </c>
      <c r="H514" t="s">
        <v>1</v>
      </c>
      <c r="O514">
        <v>63</v>
      </c>
      <c r="P514" t="s">
        <v>38</v>
      </c>
      <c r="Q514">
        <v>50</v>
      </c>
      <c r="R514" t="s">
        <v>51</v>
      </c>
      <c r="S514" t="s">
        <v>33</v>
      </c>
      <c r="T514" t="s">
        <v>0</v>
      </c>
      <c r="U514">
        <v>0</v>
      </c>
    </row>
    <row r="515" spans="3:21" x14ac:dyDescent="0.3">
      <c r="C515" t="s">
        <v>50</v>
      </c>
      <c r="D515" s="18">
        <v>45961</v>
      </c>
      <c r="E515" t="str">
        <f>IFERROR(VLOOKUP(A515,#REF!,5,TRUE),"not found")</f>
        <v>not found</v>
      </c>
      <c r="F515" t="str">
        <f>IFERROR(VLOOKUP(A515,#REF!,2,TRUE),"")</f>
        <v/>
      </c>
      <c r="G515">
        <v>7175</v>
      </c>
      <c r="H515" t="s">
        <v>1</v>
      </c>
      <c r="O515">
        <v>63</v>
      </c>
      <c r="P515" t="s">
        <v>38</v>
      </c>
      <c r="Q515">
        <v>50</v>
      </c>
      <c r="R515" t="s">
        <v>51</v>
      </c>
      <c r="S515" t="s">
        <v>33</v>
      </c>
      <c r="T515" t="s">
        <v>0</v>
      </c>
      <c r="U515">
        <v>0</v>
      </c>
    </row>
    <row r="516" spans="3:21" x14ac:dyDescent="0.3">
      <c r="C516" t="s">
        <v>50</v>
      </c>
      <c r="D516" s="18">
        <v>45961</v>
      </c>
      <c r="E516" t="str">
        <f>IFERROR(VLOOKUP(A516,#REF!,5,TRUE),"not found")</f>
        <v>not found</v>
      </c>
      <c r="F516" t="str">
        <f>IFERROR(VLOOKUP(A516,#REF!,2,TRUE),"")</f>
        <v/>
      </c>
      <c r="G516">
        <v>7175</v>
      </c>
      <c r="H516" t="s">
        <v>1</v>
      </c>
      <c r="O516">
        <v>63</v>
      </c>
      <c r="P516" t="s">
        <v>38</v>
      </c>
      <c r="Q516">
        <v>50</v>
      </c>
      <c r="R516" t="s">
        <v>51</v>
      </c>
      <c r="S516" t="s">
        <v>33</v>
      </c>
      <c r="T516" t="s">
        <v>0</v>
      </c>
      <c r="U516">
        <v>0</v>
      </c>
    </row>
    <row r="517" spans="3:21" x14ac:dyDescent="0.3">
      <c r="C517" t="s">
        <v>50</v>
      </c>
      <c r="D517" s="18">
        <v>45961</v>
      </c>
      <c r="E517" t="str">
        <f>IFERROR(VLOOKUP(A517,#REF!,5,TRUE),"not found")</f>
        <v>not found</v>
      </c>
      <c r="F517" t="str">
        <f>IFERROR(VLOOKUP(A517,#REF!,2,TRUE),"")</f>
        <v/>
      </c>
      <c r="G517">
        <v>7175</v>
      </c>
      <c r="H517" t="s">
        <v>1</v>
      </c>
      <c r="O517">
        <v>63</v>
      </c>
      <c r="P517" t="s">
        <v>38</v>
      </c>
      <c r="Q517">
        <v>50</v>
      </c>
      <c r="R517" t="s">
        <v>51</v>
      </c>
      <c r="S517" t="s">
        <v>33</v>
      </c>
      <c r="T517" t="s">
        <v>0</v>
      </c>
      <c r="U517">
        <v>0</v>
      </c>
    </row>
    <row r="518" spans="3:21" x14ac:dyDescent="0.3">
      <c r="C518" t="s">
        <v>50</v>
      </c>
      <c r="D518" s="18">
        <v>45961</v>
      </c>
      <c r="E518" t="str">
        <f>IFERROR(VLOOKUP(A518,#REF!,5,TRUE),"not found")</f>
        <v>not found</v>
      </c>
      <c r="F518" t="str">
        <f>IFERROR(VLOOKUP(A518,#REF!,2,TRUE),"")</f>
        <v/>
      </c>
      <c r="G518">
        <v>7175</v>
      </c>
      <c r="H518" t="s">
        <v>1</v>
      </c>
      <c r="O518">
        <v>63</v>
      </c>
      <c r="P518" t="s">
        <v>38</v>
      </c>
      <c r="Q518">
        <v>50</v>
      </c>
      <c r="R518" t="s">
        <v>51</v>
      </c>
      <c r="S518" t="s">
        <v>33</v>
      </c>
      <c r="T518" t="s">
        <v>0</v>
      </c>
      <c r="U518">
        <v>0</v>
      </c>
    </row>
    <row r="519" spans="3:21" x14ac:dyDescent="0.3">
      <c r="C519" t="s">
        <v>50</v>
      </c>
      <c r="D519" s="18">
        <v>45961</v>
      </c>
      <c r="E519" t="str">
        <f>IFERROR(VLOOKUP(A519,#REF!,5,TRUE),"not found")</f>
        <v>not found</v>
      </c>
      <c r="F519" t="str">
        <f>IFERROR(VLOOKUP(A519,#REF!,2,TRUE),"")</f>
        <v/>
      </c>
      <c r="G519">
        <v>7175</v>
      </c>
      <c r="H519" t="s">
        <v>1</v>
      </c>
      <c r="O519">
        <v>63</v>
      </c>
      <c r="P519" t="s">
        <v>38</v>
      </c>
      <c r="Q519">
        <v>50</v>
      </c>
      <c r="R519" t="s">
        <v>51</v>
      </c>
      <c r="S519" t="s">
        <v>33</v>
      </c>
      <c r="T519" t="s">
        <v>0</v>
      </c>
      <c r="U519">
        <v>0</v>
      </c>
    </row>
    <row r="520" spans="3:21" x14ac:dyDescent="0.3">
      <c r="C520" t="s">
        <v>50</v>
      </c>
      <c r="D520" s="18">
        <v>45961</v>
      </c>
      <c r="E520" t="str">
        <f>IFERROR(VLOOKUP(A520,#REF!,5,TRUE),"not found")</f>
        <v>not found</v>
      </c>
      <c r="F520" t="str">
        <f>IFERROR(VLOOKUP(A520,#REF!,2,TRUE),"")</f>
        <v/>
      </c>
      <c r="G520">
        <v>7175</v>
      </c>
      <c r="H520" t="s">
        <v>1</v>
      </c>
      <c r="O520">
        <v>63</v>
      </c>
      <c r="P520" t="s">
        <v>38</v>
      </c>
      <c r="Q520">
        <v>50</v>
      </c>
      <c r="R520" t="s">
        <v>51</v>
      </c>
      <c r="S520" t="s">
        <v>33</v>
      </c>
      <c r="T520" t="s">
        <v>0</v>
      </c>
      <c r="U520">
        <v>0</v>
      </c>
    </row>
    <row r="521" spans="3:21" x14ac:dyDescent="0.3">
      <c r="C521" t="s">
        <v>50</v>
      </c>
      <c r="D521" s="18">
        <v>45961</v>
      </c>
      <c r="E521" t="str">
        <f>IFERROR(VLOOKUP(A521,#REF!,5,TRUE),"not found")</f>
        <v>not found</v>
      </c>
      <c r="F521" t="str">
        <f>IFERROR(VLOOKUP(A521,#REF!,2,TRUE),"")</f>
        <v/>
      </c>
      <c r="G521">
        <v>7175</v>
      </c>
      <c r="H521" t="s">
        <v>1</v>
      </c>
      <c r="O521">
        <v>63</v>
      </c>
      <c r="P521" t="s">
        <v>38</v>
      </c>
      <c r="Q521">
        <v>50</v>
      </c>
      <c r="R521" t="s">
        <v>51</v>
      </c>
      <c r="S521" t="s">
        <v>33</v>
      </c>
      <c r="T521" t="s">
        <v>0</v>
      </c>
      <c r="U521">
        <v>0</v>
      </c>
    </row>
    <row r="522" spans="3:21" x14ac:dyDescent="0.3">
      <c r="C522" t="s">
        <v>50</v>
      </c>
      <c r="D522" s="18">
        <v>45961</v>
      </c>
      <c r="E522" t="str">
        <f>IFERROR(VLOOKUP(A522,#REF!,5,TRUE),"not found")</f>
        <v>not found</v>
      </c>
      <c r="F522" t="str">
        <f>IFERROR(VLOOKUP(A522,#REF!,2,TRUE),"")</f>
        <v/>
      </c>
      <c r="G522">
        <v>7175</v>
      </c>
      <c r="H522" t="s">
        <v>1</v>
      </c>
      <c r="O522">
        <v>63</v>
      </c>
      <c r="P522" t="s">
        <v>38</v>
      </c>
      <c r="Q522">
        <v>50</v>
      </c>
      <c r="R522" t="s">
        <v>51</v>
      </c>
      <c r="S522" t="s">
        <v>33</v>
      </c>
      <c r="T522" t="s">
        <v>0</v>
      </c>
      <c r="U522">
        <v>0</v>
      </c>
    </row>
    <row r="523" spans="3:21" x14ac:dyDescent="0.3">
      <c r="C523" t="s">
        <v>50</v>
      </c>
      <c r="D523" s="18">
        <v>45961</v>
      </c>
      <c r="E523" t="str">
        <f>IFERROR(VLOOKUP(A523,#REF!,5,TRUE),"not found")</f>
        <v>not found</v>
      </c>
      <c r="F523" t="str">
        <f>IFERROR(VLOOKUP(A523,#REF!,2,TRUE),"")</f>
        <v/>
      </c>
      <c r="G523">
        <v>7175</v>
      </c>
      <c r="H523" t="s">
        <v>1</v>
      </c>
      <c r="O523">
        <v>63</v>
      </c>
      <c r="P523" t="s">
        <v>38</v>
      </c>
      <c r="Q523">
        <v>50</v>
      </c>
      <c r="R523" t="s">
        <v>51</v>
      </c>
      <c r="S523" t="s">
        <v>33</v>
      </c>
      <c r="T523" t="s">
        <v>0</v>
      </c>
      <c r="U523">
        <v>0</v>
      </c>
    </row>
    <row r="524" spans="3:21" x14ac:dyDescent="0.3">
      <c r="C524" t="s">
        <v>50</v>
      </c>
      <c r="D524" s="18">
        <v>45961</v>
      </c>
      <c r="E524" t="str">
        <f>IFERROR(VLOOKUP(A524,#REF!,5,TRUE),"not found")</f>
        <v>not found</v>
      </c>
      <c r="F524" t="str">
        <f>IFERROR(VLOOKUP(A524,#REF!,2,TRUE),"")</f>
        <v/>
      </c>
      <c r="G524">
        <v>7175</v>
      </c>
      <c r="H524" t="s">
        <v>1</v>
      </c>
      <c r="O524">
        <v>63</v>
      </c>
      <c r="P524" t="s">
        <v>38</v>
      </c>
      <c r="Q524">
        <v>50</v>
      </c>
      <c r="R524" t="s">
        <v>51</v>
      </c>
      <c r="S524" t="s">
        <v>33</v>
      </c>
      <c r="T524" t="s">
        <v>0</v>
      </c>
      <c r="U524">
        <v>0</v>
      </c>
    </row>
    <row r="525" spans="3:21" x14ac:dyDescent="0.3">
      <c r="C525" t="s">
        <v>50</v>
      </c>
      <c r="D525" s="18">
        <v>45961</v>
      </c>
      <c r="E525" t="str">
        <f>IFERROR(VLOOKUP(A525,#REF!,5,TRUE),"not found")</f>
        <v>not found</v>
      </c>
      <c r="F525" t="str">
        <f>IFERROR(VLOOKUP(A525,#REF!,2,TRUE),"")</f>
        <v/>
      </c>
      <c r="G525">
        <v>7175</v>
      </c>
      <c r="H525" t="s">
        <v>1</v>
      </c>
      <c r="O525">
        <v>63</v>
      </c>
      <c r="P525" t="s">
        <v>38</v>
      </c>
      <c r="Q525">
        <v>50</v>
      </c>
      <c r="R525" t="s">
        <v>51</v>
      </c>
      <c r="S525" t="s">
        <v>33</v>
      </c>
      <c r="T525" t="s">
        <v>0</v>
      </c>
      <c r="U525">
        <v>0</v>
      </c>
    </row>
    <row r="526" spans="3:21" x14ac:dyDescent="0.3">
      <c r="C526" t="s">
        <v>50</v>
      </c>
      <c r="D526" s="18">
        <v>45961</v>
      </c>
      <c r="E526" t="str">
        <f>IFERROR(VLOOKUP(A526,#REF!,5,TRUE),"not found")</f>
        <v>not found</v>
      </c>
      <c r="F526" t="str">
        <f>IFERROR(VLOOKUP(A526,#REF!,2,TRUE),"")</f>
        <v/>
      </c>
      <c r="G526">
        <v>7175</v>
      </c>
      <c r="H526" t="s">
        <v>1</v>
      </c>
      <c r="O526">
        <v>63</v>
      </c>
      <c r="P526" t="s">
        <v>38</v>
      </c>
      <c r="Q526">
        <v>50</v>
      </c>
      <c r="R526" t="s">
        <v>51</v>
      </c>
      <c r="S526" t="s">
        <v>33</v>
      </c>
      <c r="T526" t="s">
        <v>0</v>
      </c>
      <c r="U526">
        <v>0</v>
      </c>
    </row>
    <row r="527" spans="3:21" x14ac:dyDescent="0.3">
      <c r="C527" t="s">
        <v>50</v>
      </c>
      <c r="D527" s="18">
        <v>45961</v>
      </c>
      <c r="E527" t="str">
        <f>IFERROR(VLOOKUP(A527,#REF!,5,TRUE),"not found")</f>
        <v>not found</v>
      </c>
      <c r="F527" t="str">
        <f>IFERROR(VLOOKUP(A527,#REF!,2,TRUE),"")</f>
        <v/>
      </c>
      <c r="G527">
        <v>7175</v>
      </c>
      <c r="H527" t="s">
        <v>1</v>
      </c>
      <c r="O527">
        <v>63</v>
      </c>
      <c r="P527" t="s">
        <v>38</v>
      </c>
      <c r="Q527">
        <v>50</v>
      </c>
      <c r="R527" t="s">
        <v>51</v>
      </c>
      <c r="S527" t="s">
        <v>33</v>
      </c>
      <c r="T527" t="s">
        <v>0</v>
      </c>
      <c r="U527">
        <v>0</v>
      </c>
    </row>
    <row r="528" spans="3:21" x14ac:dyDescent="0.3">
      <c r="C528" t="s">
        <v>50</v>
      </c>
      <c r="D528" s="18">
        <v>45961</v>
      </c>
      <c r="E528" t="str">
        <f>IFERROR(VLOOKUP(A528,#REF!,5,TRUE),"not found")</f>
        <v>not found</v>
      </c>
      <c r="F528" t="str">
        <f>IFERROR(VLOOKUP(A528,#REF!,2,TRUE),"")</f>
        <v/>
      </c>
      <c r="G528">
        <v>7175</v>
      </c>
      <c r="H528" t="s">
        <v>1</v>
      </c>
      <c r="O528">
        <v>63</v>
      </c>
      <c r="P528" t="s">
        <v>38</v>
      </c>
      <c r="Q528">
        <v>50</v>
      </c>
      <c r="R528" t="s">
        <v>51</v>
      </c>
      <c r="S528" t="s">
        <v>33</v>
      </c>
      <c r="T528" t="s">
        <v>0</v>
      </c>
      <c r="U528">
        <v>0</v>
      </c>
    </row>
    <row r="529" spans="3:21" x14ac:dyDescent="0.3">
      <c r="C529" t="s">
        <v>50</v>
      </c>
      <c r="D529" s="18">
        <v>45961</v>
      </c>
      <c r="E529" t="str">
        <f>IFERROR(VLOOKUP(A529,#REF!,5,TRUE),"not found")</f>
        <v>not found</v>
      </c>
      <c r="F529" t="str">
        <f>IFERROR(VLOOKUP(A529,#REF!,2,TRUE),"")</f>
        <v/>
      </c>
      <c r="G529">
        <v>7175</v>
      </c>
      <c r="H529" t="s">
        <v>1</v>
      </c>
      <c r="O529">
        <v>63</v>
      </c>
      <c r="P529" t="s">
        <v>38</v>
      </c>
      <c r="Q529">
        <v>50</v>
      </c>
      <c r="R529" t="s">
        <v>51</v>
      </c>
      <c r="S529" t="s">
        <v>33</v>
      </c>
      <c r="T529" t="s">
        <v>0</v>
      </c>
      <c r="U529">
        <v>0</v>
      </c>
    </row>
    <row r="530" spans="3:21" x14ac:dyDescent="0.3">
      <c r="C530" t="s">
        <v>50</v>
      </c>
      <c r="D530" s="18">
        <v>45961</v>
      </c>
      <c r="E530" t="str">
        <f>IFERROR(VLOOKUP(A530,#REF!,5,TRUE),"not found")</f>
        <v>not found</v>
      </c>
      <c r="F530" t="str">
        <f>IFERROR(VLOOKUP(A530,#REF!,2,TRUE),"")</f>
        <v/>
      </c>
      <c r="G530">
        <v>7175</v>
      </c>
      <c r="H530" t="s">
        <v>1</v>
      </c>
      <c r="O530">
        <v>63</v>
      </c>
      <c r="P530" t="s">
        <v>38</v>
      </c>
      <c r="Q530">
        <v>50</v>
      </c>
      <c r="R530" t="s">
        <v>51</v>
      </c>
      <c r="S530" t="s">
        <v>33</v>
      </c>
      <c r="T530" t="s">
        <v>0</v>
      </c>
      <c r="U530">
        <v>0</v>
      </c>
    </row>
    <row r="531" spans="3:21" x14ac:dyDescent="0.3">
      <c r="C531" t="s">
        <v>50</v>
      </c>
      <c r="D531" s="18">
        <v>45961</v>
      </c>
      <c r="E531" t="str">
        <f>IFERROR(VLOOKUP(A531,#REF!,5,TRUE),"not found")</f>
        <v>not found</v>
      </c>
      <c r="F531" t="str">
        <f>IFERROR(VLOOKUP(A531,#REF!,2,TRUE),"")</f>
        <v/>
      </c>
      <c r="G531">
        <v>7175</v>
      </c>
      <c r="H531" t="s">
        <v>1</v>
      </c>
      <c r="O531">
        <v>63</v>
      </c>
      <c r="P531" t="s">
        <v>38</v>
      </c>
      <c r="Q531">
        <v>50</v>
      </c>
      <c r="R531" t="s">
        <v>51</v>
      </c>
      <c r="S531" t="s">
        <v>33</v>
      </c>
      <c r="T531" t="s">
        <v>0</v>
      </c>
      <c r="U531">
        <v>0</v>
      </c>
    </row>
    <row r="532" spans="3:21" x14ac:dyDescent="0.3">
      <c r="C532" t="s">
        <v>50</v>
      </c>
      <c r="D532" s="18">
        <v>45961</v>
      </c>
      <c r="E532" t="str">
        <f>IFERROR(VLOOKUP(A532,#REF!,5,TRUE),"not found")</f>
        <v>not found</v>
      </c>
      <c r="F532" t="str">
        <f>IFERROR(VLOOKUP(A532,#REF!,2,TRUE),"")</f>
        <v/>
      </c>
      <c r="G532">
        <v>7175</v>
      </c>
      <c r="H532" t="s">
        <v>1</v>
      </c>
      <c r="O532">
        <v>63</v>
      </c>
      <c r="P532" t="s">
        <v>38</v>
      </c>
      <c r="Q532">
        <v>50</v>
      </c>
      <c r="R532" t="s">
        <v>51</v>
      </c>
      <c r="S532" t="s">
        <v>33</v>
      </c>
      <c r="T532" t="s">
        <v>0</v>
      </c>
      <c r="U532">
        <v>0</v>
      </c>
    </row>
    <row r="533" spans="3:21" x14ac:dyDescent="0.3">
      <c r="C533" t="s">
        <v>50</v>
      </c>
      <c r="D533" s="18">
        <v>45961</v>
      </c>
      <c r="E533" t="str">
        <f>IFERROR(VLOOKUP(A533,#REF!,5,TRUE),"not found")</f>
        <v>not found</v>
      </c>
      <c r="F533" t="str">
        <f>IFERROR(VLOOKUP(A533,#REF!,2,TRUE),"")</f>
        <v/>
      </c>
      <c r="G533">
        <v>7175</v>
      </c>
      <c r="H533" t="s">
        <v>1</v>
      </c>
      <c r="O533">
        <v>63</v>
      </c>
      <c r="P533" t="s">
        <v>38</v>
      </c>
      <c r="Q533">
        <v>50</v>
      </c>
      <c r="R533" t="s">
        <v>51</v>
      </c>
      <c r="S533" t="s">
        <v>33</v>
      </c>
      <c r="T533" t="s">
        <v>0</v>
      </c>
      <c r="U533">
        <v>0</v>
      </c>
    </row>
    <row r="534" spans="3:21" x14ac:dyDescent="0.3">
      <c r="C534" t="s">
        <v>50</v>
      </c>
      <c r="D534" s="18">
        <v>45961</v>
      </c>
      <c r="E534" t="str">
        <f>IFERROR(VLOOKUP(A534,#REF!,5,TRUE),"not found")</f>
        <v>not found</v>
      </c>
      <c r="F534" t="str">
        <f>IFERROR(VLOOKUP(A534,#REF!,2,TRUE),"")</f>
        <v/>
      </c>
      <c r="G534">
        <v>7175</v>
      </c>
      <c r="H534" t="s">
        <v>1</v>
      </c>
      <c r="O534">
        <v>63</v>
      </c>
      <c r="P534" t="s">
        <v>38</v>
      </c>
      <c r="Q534">
        <v>50</v>
      </c>
      <c r="R534" t="s">
        <v>51</v>
      </c>
      <c r="S534" t="s">
        <v>33</v>
      </c>
      <c r="T534" t="s">
        <v>0</v>
      </c>
      <c r="U534">
        <v>0</v>
      </c>
    </row>
    <row r="535" spans="3:21" x14ac:dyDescent="0.3">
      <c r="C535" t="s">
        <v>50</v>
      </c>
      <c r="D535" s="18">
        <v>45961</v>
      </c>
      <c r="E535" t="str">
        <f>IFERROR(VLOOKUP(A535,#REF!,5,TRUE),"not found")</f>
        <v>not found</v>
      </c>
      <c r="F535" t="str">
        <f>IFERROR(VLOOKUP(A535,#REF!,2,TRUE),"")</f>
        <v/>
      </c>
      <c r="G535">
        <v>7175</v>
      </c>
      <c r="H535" t="s">
        <v>1</v>
      </c>
      <c r="O535">
        <v>63</v>
      </c>
      <c r="P535" t="s">
        <v>38</v>
      </c>
      <c r="Q535">
        <v>50</v>
      </c>
      <c r="R535" t="s">
        <v>51</v>
      </c>
      <c r="S535" t="s">
        <v>33</v>
      </c>
      <c r="T535" t="s">
        <v>0</v>
      </c>
      <c r="U535">
        <v>0</v>
      </c>
    </row>
    <row r="536" spans="3:21" x14ac:dyDescent="0.3">
      <c r="C536" t="s">
        <v>50</v>
      </c>
      <c r="D536" s="18">
        <v>45961</v>
      </c>
      <c r="E536" t="str">
        <f>IFERROR(VLOOKUP(A536,#REF!,5,TRUE),"not found")</f>
        <v>not found</v>
      </c>
      <c r="F536" t="str">
        <f>IFERROR(VLOOKUP(A536,#REF!,2,TRUE),"")</f>
        <v/>
      </c>
      <c r="G536">
        <v>7175</v>
      </c>
      <c r="H536" t="s">
        <v>1</v>
      </c>
      <c r="O536">
        <v>63</v>
      </c>
      <c r="P536" t="s">
        <v>38</v>
      </c>
      <c r="Q536">
        <v>50</v>
      </c>
      <c r="R536" t="s">
        <v>51</v>
      </c>
      <c r="S536" t="s">
        <v>33</v>
      </c>
      <c r="T536" t="s">
        <v>0</v>
      </c>
      <c r="U536">
        <v>0</v>
      </c>
    </row>
    <row r="537" spans="3:21" x14ac:dyDescent="0.3">
      <c r="C537" t="s">
        <v>50</v>
      </c>
      <c r="D537" s="18">
        <v>45961</v>
      </c>
      <c r="E537" t="str">
        <f>IFERROR(VLOOKUP(A537,#REF!,5,TRUE),"not found")</f>
        <v>not found</v>
      </c>
      <c r="F537" t="str">
        <f>IFERROR(VLOOKUP(A537,#REF!,2,TRUE),"")</f>
        <v/>
      </c>
      <c r="G537">
        <v>7175</v>
      </c>
      <c r="H537" t="s">
        <v>1</v>
      </c>
      <c r="O537">
        <v>63</v>
      </c>
      <c r="P537" t="s">
        <v>38</v>
      </c>
      <c r="Q537">
        <v>50</v>
      </c>
      <c r="R537" t="s">
        <v>51</v>
      </c>
      <c r="S537" t="s">
        <v>33</v>
      </c>
      <c r="T537" t="s">
        <v>0</v>
      </c>
      <c r="U537">
        <v>0</v>
      </c>
    </row>
    <row r="538" spans="3:21" x14ac:dyDescent="0.3">
      <c r="C538" t="s">
        <v>50</v>
      </c>
      <c r="D538" s="18">
        <v>45961</v>
      </c>
      <c r="E538" t="str">
        <f>IFERROR(VLOOKUP(A538,#REF!,5,TRUE),"not found")</f>
        <v>not found</v>
      </c>
      <c r="F538" t="str">
        <f>IFERROR(VLOOKUP(A538,#REF!,2,TRUE),"")</f>
        <v/>
      </c>
      <c r="G538">
        <v>7175</v>
      </c>
      <c r="H538" t="s">
        <v>1</v>
      </c>
      <c r="O538">
        <v>63</v>
      </c>
      <c r="P538" t="s">
        <v>38</v>
      </c>
      <c r="Q538">
        <v>50</v>
      </c>
      <c r="R538" t="s">
        <v>51</v>
      </c>
      <c r="S538" t="s">
        <v>33</v>
      </c>
      <c r="T538" t="s">
        <v>0</v>
      </c>
      <c r="U538">
        <v>0</v>
      </c>
    </row>
    <row r="539" spans="3:21" x14ac:dyDescent="0.3">
      <c r="C539" t="s">
        <v>50</v>
      </c>
      <c r="D539" s="18">
        <v>45961</v>
      </c>
      <c r="E539" t="str">
        <f>IFERROR(VLOOKUP(A539,#REF!,5,TRUE),"not found")</f>
        <v>not found</v>
      </c>
      <c r="F539" t="str">
        <f>IFERROR(VLOOKUP(A539,#REF!,2,TRUE),"")</f>
        <v/>
      </c>
      <c r="G539">
        <v>7175</v>
      </c>
      <c r="H539" t="s">
        <v>1</v>
      </c>
      <c r="O539">
        <v>63</v>
      </c>
      <c r="P539" t="s">
        <v>38</v>
      </c>
      <c r="Q539">
        <v>50</v>
      </c>
      <c r="R539" t="s">
        <v>51</v>
      </c>
      <c r="S539" t="s">
        <v>33</v>
      </c>
      <c r="T539" t="s">
        <v>0</v>
      </c>
      <c r="U539">
        <v>0</v>
      </c>
    </row>
    <row r="540" spans="3:21" x14ac:dyDescent="0.3">
      <c r="C540" t="s">
        <v>50</v>
      </c>
      <c r="D540" s="18">
        <v>45961</v>
      </c>
      <c r="E540" t="str">
        <f>IFERROR(VLOOKUP(A540,#REF!,5,TRUE),"not found")</f>
        <v>not found</v>
      </c>
      <c r="F540" t="str">
        <f>IFERROR(VLOOKUP(A540,#REF!,2,TRUE),"")</f>
        <v/>
      </c>
      <c r="G540">
        <v>7175</v>
      </c>
      <c r="H540" t="s">
        <v>1</v>
      </c>
      <c r="O540">
        <v>63</v>
      </c>
      <c r="P540" t="s">
        <v>38</v>
      </c>
      <c r="Q540">
        <v>50</v>
      </c>
      <c r="R540" t="s">
        <v>51</v>
      </c>
      <c r="S540" t="s">
        <v>33</v>
      </c>
      <c r="T540" t="s">
        <v>0</v>
      </c>
      <c r="U540">
        <v>0</v>
      </c>
    </row>
    <row r="541" spans="3:21" x14ac:dyDescent="0.3">
      <c r="C541" t="s">
        <v>50</v>
      </c>
      <c r="D541" s="18">
        <v>45961</v>
      </c>
      <c r="E541" t="str">
        <f>IFERROR(VLOOKUP(A541,#REF!,5,TRUE),"not found")</f>
        <v>not found</v>
      </c>
      <c r="F541" t="str">
        <f>IFERROR(VLOOKUP(A541,#REF!,2,TRUE),"")</f>
        <v/>
      </c>
      <c r="G541">
        <v>7175</v>
      </c>
      <c r="H541" t="s">
        <v>1</v>
      </c>
      <c r="O541">
        <v>63</v>
      </c>
      <c r="P541" t="s">
        <v>38</v>
      </c>
      <c r="Q541">
        <v>50</v>
      </c>
      <c r="R541" t="s">
        <v>51</v>
      </c>
      <c r="S541" t="s">
        <v>33</v>
      </c>
      <c r="T541" t="s">
        <v>0</v>
      </c>
      <c r="U541">
        <v>0</v>
      </c>
    </row>
    <row r="542" spans="3:21" x14ac:dyDescent="0.3">
      <c r="C542" t="s">
        <v>50</v>
      </c>
      <c r="D542" s="18">
        <v>45961</v>
      </c>
      <c r="E542" t="str">
        <f>IFERROR(VLOOKUP(A542,#REF!,5,TRUE),"not found")</f>
        <v>not found</v>
      </c>
      <c r="F542" t="str">
        <f>IFERROR(VLOOKUP(A542,#REF!,2,TRUE),"")</f>
        <v/>
      </c>
      <c r="G542">
        <v>7175</v>
      </c>
      <c r="H542" t="s">
        <v>1</v>
      </c>
      <c r="O542">
        <v>63</v>
      </c>
      <c r="P542" t="s">
        <v>38</v>
      </c>
      <c r="Q542">
        <v>50</v>
      </c>
      <c r="R542" t="s">
        <v>51</v>
      </c>
      <c r="S542" t="s">
        <v>33</v>
      </c>
      <c r="T542" t="s">
        <v>0</v>
      </c>
      <c r="U542">
        <v>0</v>
      </c>
    </row>
    <row r="543" spans="3:21" x14ac:dyDescent="0.3">
      <c r="C543" t="s">
        <v>50</v>
      </c>
      <c r="D543" s="18">
        <v>45961</v>
      </c>
      <c r="E543" t="str">
        <f>IFERROR(VLOOKUP(A543,#REF!,5,TRUE),"not found")</f>
        <v>not found</v>
      </c>
      <c r="F543" t="str">
        <f>IFERROR(VLOOKUP(A543,#REF!,2,TRUE),"")</f>
        <v/>
      </c>
      <c r="G543">
        <v>7175</v>
      </c>
      <c r="H543" t="s">
        <v>1</v>
      </c>
      <c r="O543">
        <v>63</v>
      </c>
      <c r="P543" t="s">
        <v>38</v>
      </c>
      <c r="Q543">
        <v>50</v>
      </c>
      <c r="R543" t="s">
        <v>51</v>
      </c>
      <c r="S543" t="s">
        <v>33</v>
      </c>
      <c r="T543" t="s">
        <v>0</v>
      </c>
      <c r="U543">
        <v>0</v>
      </c>
    </row>
    <row r="544" spans="3:21" x14ac:dyDescent="0.3">
      <c r="C544" t="s">
        <v>50</v>
      </c>
      <c r="D544" s="18">
        <v>45961</v>
      </c>
      <c r="E544" t="str">
        <f>IFERROR(VLOOKUP(A544,#REF!,5,TRUE),"not found")</f>
        <v>not found</v>
      </c>
      <c r="F544" t="str">
        <f>IFERROR(VLOOKUP(A544,#REF!,2,TRUE),"")</f>
        <v/>
      </c>
      <c r="G544">
        <v>7175</v>
      </c>
      <c r="H544" t="s">
        <v>1</v>
      </c>
      <c r="O544">
        <v>63</v>
      </c>
      <c r="P544" t="s">
        <v>38</v>
      </c>
      <c r="Q544">
        <v>50</v>
      </c>
      <c r="R544" t="s">
        <v>51</v>
      </c>
      <c r="S544" t="s">
        <v>33</v>
      </c>
      <c r="T544" t="s">
        <v>0</v>
      </c>
      <c r="U544">
        <v>0</v>
      </c>
    </row>
    <row r="545" spans="3:21" x14ac:dyDescent="0.3">
      <c r="C545" t="s">
        <v>50</v>
      </c>
      <c r="D545" s="18">
        <v>45961</v>
      </c>
      <c r="E545" t="str">
        <f>IFERROR(VLOOKUP(A545,#REF!,5,TRUE),"not found")</f>
        <v>not found</v>
      </c>
      <c r="F545" t="str">
        <f>IFERROR(VLOOKUP(A545,#REF!,2,TRUE),"")</f>
        <v/>
      </c>
      <c r="G545">
        <v>7175</v>
      </c>
      <c r="H545" t="s">
        <v>1</v>
      </c>
      <c r="O545">
        <v>63</v>
      </c>
      <c r="P545" t="s">
        <v>38</v>
      </c>
      <c r="Q545">
        <v>50</v>
      </c>
      <c r="R545" t="s">
        <v>51</v>
      </c>
      <c r="S545" t="s">
        <v>33</v>
      </c>
      <c r="T545" t="s">
        <v>0</v>
      </c>
      <c r="U545">
        <v>0</v>
      </c>
    </row>
    <row r="546" spans="3:21" x14ac:dyDescent="0.3">
      <c r="C546" t="s">
        <v>50</v>
      </c>
      <c r="D546" s="18">
        <v>45961</v>
      </c>
      <c r="E546" t="str">
        <f>IFERROR(VLOOKUP(A546,#REF!,5,TRUE),"not found")</f>
        <v>not found</v>
      </c>
      <c r="F546" t="str">
        <f>IFERROR(VLOOKUP(A546,#REF!,2,TRUE),"")</f>
        <v/>
      </c>
      <c r="G546">
        <v>7175</v>
      </c>
      <c r="H546" t="s">
        <v>1</v>
      </c>
      <c r="O546">
        <v>63</v>
      </c>
      <c r="P546" t="s">
        <v>38</v>
      </c>
      <c r="Q546">
        <v>50</v>
      </c>
      <c r="R546" t="s">
        <v>51</v>
      </c>
      <c r="S546" t="s">
        <v>33</v>
      </c>
      <c r="T546" t="s">
        <v>0</v>
      </c>
      <c r="U546">
        <v>0</v>
      </c>
    </row>
    <row r="547" spans="3:21" x14ac:dyDescent="0.3">
      <c r="C547" t="s">
        <v>50</v>
      </c>
      <c r="D547" s="18">
        <v>45961</v>
      </c>
      <c r="E547" t="str">
        <f>IFERROR(VLOOKUP(A547,#REF!,5,TRUE),"not found")</f>
        <v>not found</v>
      </c>
      <c r="F547" t="str">
        <f>IFERROR(VLOOKUP(A547,#REF!,2,TRUE),"")</f>
        <v/>
      </c>
      <c r="G547">
        <v>7175</v>
      </c>
      <c r="H547" t="s">
        <v>1</v>
      </c>
      <c r="O547">
        <v>63</v>
      </c>
      <c r="P547" t="s">
        <v>38</v>
      </c>
      <c r="Q547">
        <v>50</v>
      </c>
      <c r="R547" t="s">
        <v>51</v>
      </c>
      <c r="S547" t="s">
        <v>33</v>
      </c>
      <c r="T547" t="s">
        <v>0</v>
      </c>
      <c r="U547">
        <v>0</v>
      </c>
    </row>
    <row r="548" spans="3:21" x14ac:dyDescent="0.3">
      <c r="C548" t="s">
        <v>50</v>
      </c>
      <c r="D548" s="18">
        <v>45961</v>
      </c>
      <c r="E548" t="str">
        <f>IFERROR(VLOOKUP(A548,#REF!,5,TRUE),"not found")</f>
        <v>not found</v>
      </c>
      <c r="F548" t="str">
        <f>IFERROR(VLOOKUP(A548,#REF!,2,TRUE),"")</f>
        <v/>
      </c>
      <c r="G548">
        <v>7175</v>
      </c>
      <c r="H548" t="s">
        <v>1</v>
      </c>
      <c r="O548">
        <v>63</v>
      </c>
      <c r="P548" t="s">
        <v>38</v>
      </c>
      <c r="Q548">
        <v>50</v>
      </c>
      <c r="R548" t="s">
        <v>51</v>
      </c>
      <c r="S548" t="s">
        <v>33</v>
      </c>
      <c r="T548" t="s">
        <v>0</v>
      </c>
      <c r="U548">
        <v>0</v>
      </c>
    </row>
    <row r="549" spans="3:21" x14ac:dyDescent="0.3">
      <c r="C549" t="s">
        <v>50</v>
      </c>
      <c r="D549" s="18">
        <v>45961</v>
      </c>
      <c r="E549" t="str">
        <f>IFERROR(VLOOKUP(A549,#REF!,5,TRUE),"not found")</f>
        <v>not found</v>
      </c>
      <c r="F549" t="str">
        <f>IFERROR(VLOOKUP(A549,#REF!,2,TRUE),"")</f>
        <v/>
      </c>
      <c r="G549">
        <v>7175</v>
      </c>
      <c r="H549" t="s">
        <v>1</v>
      </c>
      <c r="O549">
        <v>63</v>
      </c>
      <c r="P549" t="s">
        <v>38</v>
      </c>
      <c r="Q549">
        <v>50</v>
      </c>
      <c r="R549" t="s">
        <v>51</v>
      </c>
      <c r="S549" t="s">
        <v>33</v>
      </c>
      <c r="T549" t="s">
        <v>0</v>
      </c>
      <c r="U549">
        <v>0</v>
      </c>
    </row>
    <row r="550" spans="3:21" x14ac:dyDescent="0.3">
      <c r="C550" t="s">
        <v>50</v>
      </c>
      <c r="D550" s="18">
        <v>45961</v>
      </c>
      <c r="E550" t="str">
        <f>IFERROR(VLOOKUP(A550,#REF!,5,TRUE),"not found")</f>
        <v>not found</v>
      </c>
      <c r="F550" t="str">
        <f>IFERROR(VLOOKUP(A550,#REF!,2,TRUE),"")</f>
        <v/>
      </c>
      <c r="G550">
        <v>7175</v>
      </c>
      <c r="H550" t="s">
        <v>1</v>
      </c>
      <c r="O550">
        <v>63</v>
      </c>
      <c r="P550" t="s">
        <v>38</v>
      </c>
      <c r="Q550">
        <v>50</v>
      </c>
      <c r="R550" t="s">
        <v>51</v>
      </c>
      <c r="S550" t="s">
        <v>33</v>
      </c>
      <c r="T550" t="s">
        <v>0</v>
      </c>
      <c r="U550">
        <v>0</v>
      </c>
    </row>
    <row r="551" spans="3:21" x14ac:dyDescent="0.3">
      <c r="C551" t="s">
        <v>50</v>
      </c>
      <c r="D551" s="18">
        <v>45961</v>
      </c>
      <c r="E551" t="str">
        <f>IFERROR(VLOOKUP(A551,#REF!,5,TRUE),"not found")</f>
        <v>not found</v>
      </c>
      <c r="F551" t="str">
        <f>IFERROR(VLOOKUP(A551,#REF!,2,TRUE),"")</f>
        <v/>
      </c>
      <c r="G551">
        <v>7175</v>
      </c>
      <c r="H551" t="s">
        <v>1</v>
      </c>
      <c r="O551">
        <v>63</v>
      </c>
      <c r="P551" t="s">
        <v>38</v>
      </c>
      <c r="Q551">
        <v>50</v>
      </c>
      <c r="R551" t="s">
        <v>51</v>
      </c>
      <c r="S551" t="s">
        <v>33</v>
      </c>
      <c r="T551" t="s">
        <v>0</v>
      </c>
      <c r="U551">
        <v>0</v>
      </c>
    </row>
    <row r="552" spans="3:21" x14ac:dyDescent="0.3">
      <c r="C552" t="s">
        <v>50</v>
      </c>
      <c r="D552" s="18">
        <v>45961</v>
      </c>
      <c r="E552" t="str">
        <f>IFERROR(VLOOKUP(A552,#REF!,5,TRUE),"not found")</f>
        <v>not found</v>
      </c>
      <c r="F552" t="str">
        <f>IFERROR(VLOOKUP(A552,#REF!,2,TRUE),"")</f>
        <v/>
      </c>
      <c r="G552">
        <v>7175</v>
      </c>
      <c r="H552" t="s">
        <v>1</v>
      </c>
      <c r="O552">
        <v>63</v>
      </c>
      <c r="P552" t="s">
        <v>38</v>
      </c>
      <c r="Q552">
        <v>50</v>
      </c>
      <c r="R552" t="s">
        <v>51</v>
      </c>
      <c r="S552" t="s">
        <v>33</v>
      </c>
      <c r="T552" t="s">
        <v>0</v>
      </c>
      <c r="U552">
        <v>0</v>
      </c>
    </row>
    <row r="553" spans="3:21" x14ac:dyDescent="0.3">
      <c r="C553" t="s">
        <v>50</v>
      </c>
      <c r="D553" s="18">
        <v>45961</v>
      </c>
      <c r="E553" t="str">
        <f>IFERROR(VLOOKUP(A553,#REF!,5,TRUE),"not found")</f>
        <v>not found</v>
      </c>
      <c r="F553" t="str">
        <f>IFERROR(VLOOKUP(A553,#REF!,2,TRUE),"")</f>
        <v/>
      </c>
      <c r="G553">
        <v>7175</v>
      </c>
      <c r="H553" t="s">
        <v>1</v>
      </c>
      <c r="O553">
        <v>63</v>
      </c>
      <c r="P553" t="s">
        <v>38</v>
      </c>
      <c r="Q553">
        <v>50</v>
      </c>
      <c r="R553" t="s">
        <v>51</v>
      </c>
      <c r="S553" t="s">
        <v>33</v>
      </c>
      <c r="T553" t="s">
        <v>0</v>
      </c>
      <c r="U553">
        <v>0</v>
      </c>
    </row>
    <row r="554" spans="3:21" x14ac:dyDescent="0.3">
      <c r="C554" t="s">
        <v>50</v>
      </c>
      <c r="D554" s="18">
        <v>45961</v>
      </c>
      <c r="E554" t="str">
        <f>IFERROR(VLOOKUP(A554,#REF!,5,TRUE),"not found")</f>
        <v>not found</v>
      </c>
      <c r="F554" t="str">
        <f>IFERROR(VLOOKUP(A554,#REF!,2,TRUE),"")</f>
        <v/>
      </c>
      <c r="G554">
        <v>7175</v>
      </c>
      <c r="H554" t="s">
        <v>1</v>
      </c>
      <c r="O554">
        <v>63</v>
      </c>
      <c r="P554" t="s">
        <v>38</v>
      </c>
      <c r="Q554">
        <v>50</v>
      </c>
      <c r="R554" t="s">
        <v>51</v>
      </c>
      <c r="S554" t="s">
        <v>33</v>
      </c>
      <c r="T554" t="s">
        <v>0</v>
      </c>
      <c r="U554">
        <v>0</v>
      </c>
    </row>
    <row r="555" spans="3:21" x14ac:dyDescent="0.3">
      <c r="C555" t="s">
        <v>50</v>
      </c>
      <c r="D555" s="18">
        <v>45961</v>
      </c>
      <c r="E555" t="str">
        <f>IFERROR(VLOOKUP(A555,#REF!,5,TRUE),"not found")</f>
        <v>not found</v>
      </c>
      <c r="F555" t="str">
        <f>IFERROR(VLOOKUP(A555,#REF!,2,TRUE),"")</f>
        <v/>
      </c>
      <c r="G555">
        <v>7175</v>
      </c>
      <c r="H555" t="s">
        <v>1</v>
      </c>
      <c r="O555">
        <v>63</v>
      </c>
      <c r="P555" t="s">
        <v>38</v>
      </c>
      <c r="Q555">
        <v>50</v>
      </c>
      <c r="R555" t="s">
        <v>51</v>
      </c>
      <c r="S555" t="s">
        <v>33</v>
      </c>
      <c r="T555" t="s">
        <v>0</v>
      </c>
      <c r="U555">
        <v>0</v>
      </c>
    </row>
    <row r="556" spans="3:21" x14ac:dyDescent="0.3">
      <c r="C556" t="s">
        <v>50</v>
      </c>
      <c r="D556" s="18">
        <v>45961</v>
      </c>
      <c r="E556" t="str">
        <f>IFERROR(VLOOKUP(A556,#REF!,5,TRUE),"not found")</f>
        <v>not found</v>
      </c>
      <c r="F556" t="str">
        <f>IFERROR(VLOOKUP(A556,#REF!,2,TRUE),"")</f>
        <v/>
      </c>
      <c r="G556">
        <v>7175</v>
      </c>
      <c r="H556" t="s">
        <v>1</v>
      </c>
      <c r="O556">
        <v>63</v>
      </c>
      <c r="P556" t="s">
        <v>38</v>
      </c>
      <c r="Q556">
        <v>50</v>
      </c>
      <c r="R556" t="s">
        <v>51</v>
      </c>
      <c r="S556" t="s">
        <v>33</v>
      </c>
      <c r="T556" t="s">
        <v>0</v>
      </c>
      <c r="U556">
        <v>0</v>
      </c>
    </row>
    <row r="557" spans="3:21" x14ac:dyDescent="0.3">
      <c r="C557" t="s">
        <v>50</v>
      </c>
      <c r="D557" s="18">
        <v>45961</v>
      </c>
      <c r="E557" t="str">
        <f>IFERROR(VLOOKUP(A557,#REF!,5,TRUE),"not found")</f>
        <v>not found</v>
      </c>
      <c r="F557" t="str">
        <f>IFERROR(VLOOKUP(A557,#REF!,2,TRUE),"")</f>
        <v/>
      </c>
      <c r="G557">
        <v>7175</v>
      </c>
      <c r="H557" t="s">
        <v>1</v>
      </c>
      <c r="O557">
        <v>63</v>
      </c>
      <c r="P557" t="s">
        <v>38</v>
      </c>
      <c r="Q557">
        <v>50</v>
      </c>
      <c r="R557" t="s">
        <v>51</v>
      </c>
      <c r="S557" t="s">
        <v>33</v>
      </c>
      <c r="T557" t="s">
        <v>0</v>
      </c>
      <c r="U557">
        <v>0</v>
      </c>
    </row>
    <row r="558" spans="3:21" x14ac:dyDescent="0.3">
      <c r="C558" t="s">
        <v>50</v>
      </c>
      <c r="D558" s="18">
        <v>45961</v>
      </c>
      <c r="E558" t="str">
        <f>IFERROR(VLOOKUP(A558,#REF!,5,TRUE),"not found")</f>
        <v>not found</v>
      </c>
      <c r="F558" t="str">
        <f>IFERROR(VLOOKUP(A558,#REF!,2,TRUE),"")</f>
        <v/>
      </c>
      <c r="G558">
        <v>7175</v>
      </c>
      <c r="H558" t="s">
        <v>1</v>
      </c>
      <c r="O558">
        <v>63</v>
      </c>
      <c r="P558" t="s">
        <v>38</v>
      </c>
      <c r="Q558">
        <v>50</v>
      </c>
      <c r="R558" t="s">
        <v>51</v>
      </c>
      <c r="S558" t="s">
        <v>33</v>
      </c>
      <c r="T558" t="s">
        <v>0</v>
      </c>
      <c r="U558">
        <v>0</v>
      </c>
    </row>
    <row r="559" spans="3:21" x14ac:dyDescent="0.3">
      <c r="C559" t="s">
        <v>50</v>
      </c>
      <c r="D559" s="18">
        <v>45961</v>
      </c>
      <c r="E559" t="str">
        <f>IFERROR(VLOOKUP(A559,#REF!,5,TRUE),"not found")</f>
        <v>not found</v>
      </c>
      <c r="F559" t="str">
        <f>IFERROR(VLOOKUP(A559,#REF!,2,TRUE),"")</f>
        <v/>
      </c>
      <c r="G559">
        <v>7175</v>
      </c>
      <c r="H559" t="s">
        <v>1</v>
      </c>
      <c r="O559">
        <v>63</v>
      </c>
      <c r="P559" t="s">
        <v>38</v>
      </c>
      <c r="Q559">
        <v>50</v>
      </c>
      <c r="R559" t="s">
        <v>51</v>
      </c>
      <c r="S559" t="s">
        <v>33</v>
      </c>
      <c r="T559" t="s">
        <v>0</v>
      </c>
      <c r="U559">
        <v>0</v>
      </c>
    </row>
    <row r="560" spans="3:21" x14ac:dyDescent="0.3">
      <c r="C560" t="s">
        <v>50</v>
      </c>
      <c r="D560" s="18">
        <v>45961</v>
      </c>
      <c r="E560" t="str">
        <f>IFERROR(VLOOKUP(A560,#REF!,5,TRUE),"not found")</f>
        <v>not found</v>
      </c>
      <c r="F560" t="str">
        <f>IFERROR(VLOOKUP(A560,#REF!,2,TRUE),"")</f>
        <v/>
      </c>
      <c r="G560">
        <v>7175</v>
      </c>
      <c r="H560" t="s">
        <v>1</v>
      </c>
      <c r="O560">
        <v>63</v>
      </c>
      <c r="P560" t="s">
        <v>38</v>
      </c>
      <c r="Q560">
        <v>50</v>
      </c>
      <c r="R560" t="s">
        <v>51</v>
      </c>
      <c r="S560" t="s">
        <v>33</v>
      </c>
      <c r="T560" t="s">
        <v>0</v>
      </c>
      <c r="U560">
        <v>0</v>
      </c>
    </row>
    <row r="561" spans="3:21" x14ac:dyDescent="0.3">
      <c r="C561" t="s">
        <v>50</v>
      </c>
      <c r="D561" s="18">
        <v>45961</v>
      </c>
      <c r="E561" t="str">
        <f>IFERROR(VLOOKUP(A561,#REF!,5,TRUE),"not found")</f>
        <v>not found</v>
      </c>
      <c r="F561" t="str">
        <f>IFERROR(VLOOKUP(A561,#REF!,2,TRUE),"")</f>
        <v/>
      </c>
      <c r="G561">
        <v>7175</v>
      </c>
      <c r="H561" t="s">
        <v>1</v>
      </c>
      <c r="O561">
        <v>63</v>
      </c>
      <c r="P561" t="s">
        <v>38</v>
      </c>
      <c r="Q561">
        <v>50</v>
      </c>
      <c r="R561" t="s">
        <v>51</v>
      </c>
      <c r="S561" t="s">
        <v>33</v>
      </c>
      <c r="T561" t="s">
        <v>0</v>
      </c>
      <c r="U561">
        <v>0</v>
      </c>
    </row>
    <row r="562" spans="3:21" x14ac:dyDescent="0.3">
      <c r="C562" t="s">
        <v>50</v>
      </c>
      <c r="D562" s="18">
        <v>45961</v>
      </c>
      <c r="E562" t="str">
        <f>IFERROR(VLOOKUP(A562,#REF!,5,TRUE),"not found")</f>
        <v>not found</v>
      </c>
      <c r="F562" t="str">
        <f>IFERROR(VLOOKUP(A562,#REF!,2,TRUE),"")</f>
        <v/>
      </c>
      <c r="G562">
        <v>7175</v>
      </c>
      <c r="H562" t="s">
        <v>1</v>
      </c>
      <c r="O562">
        <v>63</v>
      </c>
      <c r="P562" t="s">
        <v>38</v>
      </c>
      <c r="Q562">
        <v>50</v>
      </c>
      <c r="R562" t="s">
        <v>51</v>
      </c>
      <c r="S562" t="s">
        <v>33</v>
      </c>
      <c r="T562" t="s">
        <v>0</v>
      </c>
      <c r="U562">
        <v>0</v>
      </c>
    </row>
    <row r="563" spans="3:21" x14ac:dyDescent="0.3">
      <c r="C563" t="s">
        <v>50</v>
      </c>
      <c r="D563" s="18">
        <v>45961</v>
      </c>
      <c r="E563" t="str">
        <f>IFERROR(VLOOKUP(A563,#REF!,5,TRUE),"not found")</f>
        <v>not found</v>
      </c>
      <c r="F563" t="str">
        <f>IFERROR(VLOOKUP(A563,#REF!,2,TRUE),"")</f>
        <v/>
      </c>
      <c r="G563">
        <v>7175</v>
      </c>
      <c r="H563" t="s">
        <v>1</v>
      </c>
      <c r="O563">
        <v>63</v>
      </c>
      <c r="P563" t="s">
        <v>38</v>
      </c>
      <c r="Q563">
        <v>50</v>
      </c>
      <c r="R563" t="s">
        <v>51</v>
      </c>
      <c r="S563" t="s">
        <v>33</v>
      </c>
      <c r="T563" t="s">
        <v>0</v>
      </c>
      <c r="U563">
        <v>0</v>
      </c>
    </row>
    <row r="564" spans="3:21" x14ac:dyDescent="0.3">
      <c r="C564" t="s">
        <v>50</v>
      </c>
      <c r="D564" s="18">
        <v>45961</v>
      </c>
      <c r="E564" t="str">
        <f>IFERROR(VLOOKUP(A564,#REF!,5,TRUE),"not found")</f>
        <v>not found</v>
      </c>
      <c r="F564" t="str">
        <f>IFERROR(VLOOKUP(A564,#REF!,2,TRUE),"")</f>
        <v/>
      </c>
      <c r="G564">
        <v>7175</v>
      </c>
      <c r="H564" t="s">
        <v>1</v>
      </c>
      <c r="O564">
        <v>63</v>
      </c>
      <c r="P564" t="s">
        <v>38</v>
      </c>
      <c r="Q564">
        <v>50</v>
      </c>
      <c r="R564" t="s">
        <v>51</v>
      </c>
      <c r="S564" t="s">
        <v>33</v>
      </c>
      <c r="T564" t="s">
        <v>0</v>
      </c>
      <c r="U564">
        <v>0</v>
      </c>
    </row>
    <row r="565" spans="3:21" x14ac:dyDescent="0.3">
      <c r="C565" t="s">
        <v>50</v>
      </c>
      <c r="D565" s="18">
        <v>45961</v>
      </c>
      <c r="E565" t="str">
        <f>IFERROR(VLOOKUP(A565,#REF!,5,TRUE),"not found")</f>
        <v>not found</v>
      </c>
      <c r="F565" t="str">
        <f>IFERROR(VLOOKUP(A565,#REF!,2,TRUE),"")</f>
        <v/>
      </c>
      <c r="G565">
        <v>7175</v>
      </c>
      <c r="H565" t="s">
        <v>1</v>
      </c>
      <c r="O565">
        <v>63</v>
      </c>
      <c r="P565" t="s">
        <v>38</v>
      </c>
      <c r="Q565">
        <v>50</v>
      </c>
      <c r="R565" t="s">
        <v>51</v>
      </c>
      <c r="S565" t="s">
        <v>33</v>
      </c>
      <c r="T565" t="s">
        <v>0</v>
      </c>
      <c r="U565">
        <v>0</v>
      </c>
    </row>
    <row r="566" spans="3:21" x14ac:dyDescent="0.3">
      <c r="C566" t="s">
        <v>50</v>
      </c>
      <c r="D566" s="18">
        <v>45961</v>
      </c>
      <c r="E566" t="str">
        <f>IFERROR(VLOOKUP(A566,#REF!,5,TRUE),"not found")</f>
        <v>not found</v>
      </c>
      <c r="F566" t="str">
        <f>IFERROR(VLOOKUP(A566,#REF!,2,TRUE),"")</f>
        <v/>
      </c>
      <c r="G566">
        <v>7175</v>
      </c>
      <c r="H566" t="s">
        <v>1</v>
      </c>
      <c r="O566">
        <v>63</v>
      </c>
      <c r="P566" t="s">
        <v>38</v>
      </c>
      <c r="Q566">
        <v>50</v>
      </c>
      <c r="R566" t="s">
        <v>51</v>
      </c>
      <c r="S566" t="s">
        <v>33</v>
      </c>
      <c r="T566" t="s">
        <v>0</v>
      </c>
      <c r="U566">
        <v>0</v>
      </c>
    </row>
    <row r="567" spans="3:21" x14ac:dyDescent="0.3">
      <c r="C567" t="s">
        <v>50</v>
      </c>
      <c r="D567" s="18">
        <v>45961</v>
      </c>
      <c r="E567" t="str">
        <f>IFERROR(VLOOKUP(A567,#REF!,5,TRUE),"not found")</f>
        <v>not found</v>
      </c>
      <c r="F567" t="str">
        <f>IFERROR(VLOOKUP(A567,#REF!,2,TRUE),"")</f>
        <v/>
      </c>
      <c r="G567">
        <v>7175</v>
      </c>
      <c r="H567" t="s">
        <v>1</v>
      </c>
      <c r="O567">
        <v>63</v>
      </c>
      <c r="P567" t="s">
        <v>38</v>
      </c>
      <c r="Q567">
        <v>50</v>
      </c>
      <c r="R567" t="s">
        <v>51</v>
      </c>
      <c r="S567" t="s">
        <v>33</v>
      </c>
      <c r="T567" t="s">
        <v>0</v>
      </c>
      <c r="U567">
        <v>0</v>
      </c>
    </row>
    <row r="568" spans="3:21" x14ac:dyDescent="0.3">
      <c r="C568" t="s">
        <v>50</v>
      </c>
      <c r="D568" s="18">
        <v>45961</v>
      </c>
      <c r="E568" t="str">
        <f>IFERROR(VLOOKUP(A568,#REF!,5,TRUE),"not found")</f>
        <v>not found</v>
      </c>
      <c r="F568" t="str">
        <f>IFERROR(VLOOKUP(A568,#REF!,2,TRUE),"")</f>
        <v/>
      </c>
      <c r="G568">
        <v>7175</v>
      </c>
      <c r="H568" t="s">
        <v>1</v>
      </c>
      <c r="O568">
        <v>63</v>
      </c>
      <c r="P568" t="s">
        <v>38</v>
      </c>
      <c r="Q568">
        <v>50</v>
      </c>
      <c r="R568" t="s">
        <v>51</v>
      </c>
      <c r="S568" t="s">
        <v>33</v>
      </c>
      <c r="T568" t="s">
        <v>0</v>
      </c>
      <c r="U568">
        <v>0</v>
      </c>
    </row>
    <row r="569" spans="3:21" x14ac:dyDescent="0.3">
      <c r="C569" t="s">
        <v>50</v>
      </c>
      <c r="D569" s="18">
        <v>45961</v>
      </c>
      <c r="E569" t="str">
        <f>IFERROR(VLOOKUP(A569,#REF!,5,TRUE),"not found")</f>
        <v>not found</v>
      </c>
      <c r="F569" t="str">
        <f>IFERROR(VLOOKUP(A569,#REF!,2,TRUE),"")</f>
        <v/>
      </c>
      <c r="G569">
        <v>7175</v>
      </c>
      <c r="H569" t="s">
        <v>1</v>
      </c>
      <c r="O569">
        <v>63</v>
      </c>
      <c r="P569" t="s">
        <v>38</v>
      </c>
      <c r="Q569">
        <v>50</v>
      </c>
      <c r="R569" t="s">
        <v>51</v>
      </c>
      <c r="S569" t="s">
        <v>33</v>
      </c>
      <c r="T569" t="s">
        <v>0</v>
      </c>
      <c r="U569">
        <v>0</v>
      </c>
    </row>
    <row r="570" spans="3:21" x14ac:dyDescent="0.3">
      <c r="C570" t="s">
        <v>50</v>
      </c>
      <c r="D570" s="18">
        <v>45961</v>
      </c>
      <c r="E570" t="str">
        <f>IFERROR(VLOOKUP(A570,#REF!,5,TRUE),"not found")</f>
        <v>not found</v>
      </c>
      <c r="F570" t="str">
        <f>IFERROR(VLOOKUP(A570,#REF!,2,TRUE),"")</f>
        <v/>
      </c>
      <c r="G570">
        <v>7175</v>
      </c>
      <c r="H570" t="s">
        <v>1</v>
      </c>
      <c r="O570">
        <v>63</v>
      </c>
      <c r="P570" t="s">
        <v>38</v>
      </c>
      <c r="Q570">
        <v>50</v>
      </c>
      <c r="R570" t="s">
        <v>51</v>
      </c>
      <c r="S570" t="s">
        <v>33</v>
      </c>
      <c r="T570" t="s">
        <v>0</v>
      </c>
      <c r="U570">
        <v>0</v>
      </c>
    </row>
    <row r="571" spans="3:21" x14ac:dyDescent="0.3">
      <c r="C571" t="s">
        <v>50</v>
      </c>
      <c r="D571" s="18">
        <v>45961</v>
      </c>
      <c r="E571" t="str">
        <f>IFERROR(VLOOKUP(A571,#REF!,5,TRUE),"not found")</f>
        <v>not found</v>
      </c>
      <c r="F571" t="str">
        <f>IFERROR(VLOOKUP(A571,#REF!,2,TRUE),"")</f>
        <v/>
      </c>
      <c r="G571">
        <v>7175</v>
      </c>
      <c r="H571" t="s">
        <v>1</v>
      </c>
      <c r="O571">
        <v>63</v>
      </c>
      <c r="P571" t="s">
        <v>38</v>
      </c>
      <c r="Q571">
        <v>50</v>
      </c>
      <c r="R571" t="s">
        <v>51</v>
      </c>
      <c r="S571" t="s">
        <v>33</v>
      </c>
      <c r="T571" t="s">
        <v>0</v>
      </c>
      <c r="U571">
        <v>0</v>
      </c>
    </row>
    <row r="572" spans="3:21" x14ac:dyDescent="0.3">
      <c r="C572" t="s">
        <v>50</v>
      </c>
      <c r="D572" s="18">
        <v>45961</v>
      </c>
      <c r="E572" t="str">
        <f>IFERROR(VLOOKUP(A572,#REF!,5,TRUE),"not found")</f>
        <v>not found</v>
      </c>
      <c r="F572" t="str">
        <f>IFERROR(VLOOKUP(A572,#REF!,2,TRUE),"")</f>
        <v/>
      </c>
      <c r="G572">
        <v>7175</v>
      </c>
      <c r="H572" t="s">
        <v>1</v>
      </c>
      <c r="O572">
        <v>63</v>
      </c>
      <c r="P572" t="s">
        <v>38</v>
      </c>
      <c r="Q572">
        <v>50</v>
      </c>
      <c r="R572" t="s">
        <v>51</v>
      </c>
      <c r="S572" t="s">
        <v>33</v>
      </c>
      <c r="T572" t="s">
        <v>0</v>
      </c>
      <c r="U572">
        <v>0</v>
      </c>
    </row>
    <row r="573" spans="3:21" x14ac:dyDescent="0.3">
      <c r="C573" t="s">
        <v>50</v>
      </c>
      <c r="D573" s="18">
        <v>45961</v>
      </c>
      <c r="E573" t="str">
        <f>IFERROR(VLOOKUP(A573,#REF!,5,TRUE),"not found")</f>
        <v>not found</v>
      </c>
      <c r="F573" t="str">
        <f>IFERROR(VLOOKUP(A573,#REF!,2,TRUE),"")</f>
        <v/>
      </c>
      <c r="G573">
        <v>7175</v>
      </c>
      <c r="H573" t="s">
        <v>1</v>
      </c>
      <c r="O573">
        <v>63</v>
      </c>
      <c r="P573" t="s">
        <v>38</v>
      </c>
      <c r="Q573">
        <v>50</v>
      </c>
      <c r="R573" t="s">
        <v>51</v>
      </c>
      <c r="S573" t="s">
        <v>33</v>
      </c>
      <c r="T573" t="s">
        <v>0</v>
      </c>
      <c r="U573">
        <v>0</v>
      </c>
    </row>
    <row r="574" spans="3:21" x14ac:dyDescent="0.3">
      <c r="C574" t="s">
        <v>50</v>
      </c>
      <c r="D574" s="18">
        <v>45961</v>
      </c>
      <c r="E574" t="str">
        <f>IFERROR(VLOOKUP(A574,#REF!,5,TRUE),"not found")</f>
        <v>not found</v>
      </c>
      <c r="F574" t="str">
        <f>IFERROR(VLOOKUP(A574,#REF!,2,TRUE),"")</f>
        <v/>
      </c>
      <c r="G574">
        <v>7175</v>
      </c>
      <c r="H574" t="s">
        <v>1</v>
      </c>
      <c r="O574">
        <v>63</v>
      </c>
      <c r="P574" t="s">
        <v>38</v>
      </c>
      <c r="Q574">
        <v>50</v>
      </c>
      <c r="R574" t="s">
        <v>51</v>
      </c>
      <c r="S574" t="s">
        <v>33</v>
      </c>
      <c r="T574" t="s">
        <v>0</v>
      </c>
      <c r="U574">
        <v>0</v>
      </c>
    </row>
    <row r="575" spans="3:21" x14ac:dyDescent="0.3">
      <c r="C575" t="s">
        <v>50</v>
      </c>
      <c r="D575" s="18">
        <v>45961</v>
      </c>
      <c r="E575" t="str">
        <f>IFERROR(VLOOKUP(A575,#REF!,5,TRUE),"not found")</f>
        <v>not found</v>
      </c>
      <c r="F575" t="str">
        <f>IFERROR(VLOOKUP(A575,#REF!,2,TRUE),"")</f>
        <v/>
      </c>
      <c r="G575">
        <v>7175</v>
      </c>
      <c r="H575" t="s">
        <v>1</v>
      </c>
      <c r="O575">
        <v>63</v>
      </c>
      <c r="P575" t="s">
        <v>38</v>
      </c>
      <c r="Q575">
        <v>50</v>
      </c>
      <c r="R575" t="s">
        <v>51</v>
      </c>
      <c r="S575" t="s">
        <v>33</v>
      </c>
      <c r="T575" t="s">
        <v>0</v>
      </c>
      <c r="U575">
        <v>0</v>
      </c>
    </row>
    <row r="576" spans="3:21" x14ac:dyDescent="0.3">
      <c r="C576" t="s">
        <v>50</v>
      </c>
      <c r="D576" s="18">
        <v>45961</v>
      </c>
      <c r="E576" t="str">
        <f>IFERROR(VLOOKUP(A576,#REF!,5,TRUE),"not found")</f>
        <v>not found</v>
      </c>
      <c r="F576" t="str">
        <f>IFERROR(VLOOKUP(A576,#REF!,2,TRUE),"")</f>
        <v/>
      </c>
      <c r="G576">
        <v>7175</v>
      </c>
      <c r="H576" t="s">
        <v>1</v>
      </c>
      <c r="O576">
        <v>63</v>
      </c>
      <c r="P576" t="s">
        <v>38</v>
      </c>
      <c r="Q576">
        <v>50</v>
      </c>
      <c r="R576" t="s">
        <v>51</v>
      </c>
      <c r="S576" t="s">
        <v>33</v>
      </c>
      <c r="T576" t="s">
        <v>0</v>
      </c>
      <c r="U576">
        <v>0</v>
      </c>
    </row>
    <row r="577" spans="3:21" x14ac:dyDescent="0.3">
      <c r="C577" t="s">
        <v>50</v>
      </c>
      <c r="D577" s="18">
        <v>45961</v>
      </c>
      <c r="E577" t="str">
        <f>IFERROR(VLOOKUP(A577,#REF!,5,TRUE),"not found")</f>
        <v>not found</v>
      </c>
      <c r="F577" t="str">
        <f>IFERROR(VLOOKUP(A577,#REF!,2,TRUE),"")</f>
        <v/>
      </c>
      <c r="G577">
        <v>7175</v>
      </c>
      <c r="H577" t="s">
        <v>1</v>
      </c>
      <c r="O577">
        <v>63</v>
      </c>
      <c r="P577" t="s">
        <v>38</v>
      </c>
      <c r="Q577">
        <v>50</v>
      </c>
      <c r="R577" t="s">
        <v>51</v>
      </c>
      <c r="S577" t="s">
        <v>33</v>
      </c>
      <c r="T577" t="s">
        <v>0</v>
      </c>
      <c r="U577">
        <v>0</v>
      </c>
    </row>
    <row r="578" spans="3:21" x14ac:dyDescent="0.3">
      <c r="C578" t="s">
        <v>50</v>
      </c>
      <c r="D578" s="18">
        <v>45961</v>
      </c>
      <c r="E578" t="str">
        <f>IFERROR(VLOOKUP(A578,#REF!,5,TRUE),"not found")</f>
        <v>not found</v>
      </c>
      <c r="F578" t="str">
        <f>IFERROR(VLOOKUP(A578,#REF!,2,TRUE),"")</f>
        <v/>
      </c>
      <c r="G578">
        <v>7175</v>
      </c>
      <c r="H578" t="s">
        <v>1</v>
      </c>
      <c r="O578">
        <v>63</v>
      </c>
      <c r="P578" t="s">
        <v>38</v>
      </c>
      <c r="Q578">
        <v>50</v>
      </c>
      <c r="R578" t="s">
        <v>51</v>
      </c>
      <c r="S578" t="s">
        <v>33</v>
      </c>
      <c r="T578" t="s">
        <v>0</v>
      </c>
      <c r="U578">
        <v>0</v>
      </c>
    </row>
    <row r="579" spans="3:21" x14ac:dyDescent="0.3">
      <c r="C579" t="s">
        <v>50</v>
      </c>
      <c r="D579" s="18">
        <v>45961</v>
      </c>
      <c r="E579" t="str">
        <f>IFERROR(VLOOKUP(A579,#REF!,5,TRUE),"not found")</f>
        <v>not found</v>
      </c>
      <c r="F579" t="str">
        <f>IFERROR(VLOOKUP(A579,#REF!,2,TRUE),"")</f>
        <v/>
      </c>
      <c r="G579">
        <v>7175</v>
      </c>
      <c r="H579" t="s">
        <v>1</v>
      </c>
      <c r="O579">
        <v>63</v>
      </c>
      <c r="P579" t="s">
        <v>38</v>
      </c>
      <c r="Q579">
        <v>50</v>
      </c>
      <c r="R579" t="s">
        <v>51</v>
      </c>
      <c r="S579" t="s">
        <v>33</v>
      </c>
      <c r="T579" t="s">
        <v>0</v>
      </c>
      <c r="U579">
        <v>0</v>
      </c>
    </row>
    <row r="580" spans="3:21" x14ac:dyDescent="0.3">
      <c r="C580" t="s">
        <v>50</v>
      </c>
      <c r="D580" s="18">
        <v>45961</v>
      </c>
      <c r="E580" t="str">
        <f>IFERROR(VLOOKUP(A580,#REF!,5,TRUE),"not found")</f>
        <v>not found</v>
      </c>
      <c r="F580" t="str">
        <f>IFERROR(VLOOKUP(A580,#REF!,2,TRUE),"")</f>
        <v/>
      </c>
      <c r="G580">
        <v>7175</v>
      </c>
      <c r="H580" t="s">
        <v>1</v>
      </c>
      <c r="O580">
        <v>63</v>
      </c>
      <c r="P580" t="s">
        <v>38</v>
      </c>
      <c r="Q580">
        <v>50</v>
      </c>
      <c r="R580" t="s">
        <v>51</v>
      </c>
      <c r="S580" t="s">
        <v>33</v>
      </c>
      <c r="T580" t="s">
        <v>0</v>
      </c>
      <c r="U580">
        <v>0</v>
      </c>
    </row>
    <row r="581" spans="3:21" x14ac:dyDescent="0.3">
      <c r="C581" t="s">
        <v>50</v>
      </c>
      <c r="D581" s="18">
        <v>45961</v>
      </c>
      <c r="E581" t="str">
        <f>IFERROR(VLOOKUP(A581,#REF!,5,TRUE),"not found")</f>
        <v>not found</v>
      </c>
      <c r="F581" t="str">
        <f>IFERROR(VLOOKUP(A581,#REF!,2,TRUE),"")</f>
        <v/>
      </c>
      <c r="G581">
        <v>7175</v>
      </c>
      <c r="H581" t="s">
        <v>1</v>
      </c>
      <c r="O581">
        <v>63</v>
      </c>
      <c r="P581" t="s">
        <v>38</v>
      </c>
      <c r="Q581">
        <v>50</v>
      </c>
      <c r="R581" t="s">
        <v>51</v>
      </c>
      <c r="S581" t="s">
        <v>33</v>
      </c>
      <c r="T581" t="s">
        <v>0</v>
      </c>
      <c r="U581">
        <v>0</v>
      </c>
    </row>
    <row r="582" spans="3:21" x14ac:dyDescent="0.3">
      <c r="C582" t="s">
        <v>50</v>
      </c>
      <c r="D582" s="18">
        <v>45961</v>
      </c>
      <c r="E582" t="str">
        <f>IFERROR(VLOOKUP(A582,#REF!,5,TRUE),"not found")</f>
        <v>not found</v>
      </c>
      <c r="F582" t="str">
        <f>IFERROR(VLOOKUP(A582,#REF!,2,TRUE),"")</f>
        <v/>
      </c>
      <c r="G582">
        <v>7175</v>
      </c>
      <c r="H582" t="s">
        <v>1</v>
      </c>
      <c r="O582">
        <v>63</v>
      </c>
      <c r="P582" t="s">
        <v>38</v>
      </c>
      <c r="Q582">
        <v>50</v>
      </c>
      <c r="R582" t="s">
        <v>51</v>
      </c>
      <c r="S582" t="s">
        <v>33</v>
      </c>
      <c r="T582" t="s">
        <v>0</v>
      </c>
      <c r="U582">
        <v>0</v>
      </c>
    </row>
    <row r="583" spans="3:21" x14ac:dyDescent="0.3">
      <c r="C583" t="s">
        <v>50</v>
      </c>
      <c r="D583" s="18">
        <v>45961</v>
      </c>
      <c r="E583" t="str">
        <f>IFERROR(VLOOKUP(A583,#REF!,5,TRUE),"not found")</f>
        <v>not found</v>
      </c>
      <c r="F583" t="str">
        <f>IFERROR(VLOOKUP(A583,#REF!,2,TRUE),"")</f>
        <v/>
      </c>
      <c r="G583">
        <v>7175</v>
      </c>
      <c r="H583" t="s">
        <v>1</v>
      </c>
      <c r="O583">
        <v>63</v>
      </c>
      <c r="P583" t="s">
        <v>38</v>
      </c>
      <c r="Q583">
        <v>50</v>
      </c>
      <c r="R583" t="s">
        <v>51</v>
      </c>
      <c r="S583" t="s">
        <v>33</v>
      </c>
      <c r="T583" t="s">
        <v>0</v>
      </c>
      <c r="U583">
        <v>0</v>
      </c>
    </row>
    <row r="584" spans="3:21" x14ac:dyDescent="0.3">
      <c r="C584" t="s">
        <v>50</v>
      </c>
      <c r="D584" s="18">
        <v>45961</v>
      </c>
      <c r="E584" t="str">
        <f>IFERROR(VLOOKUP(A584,#REF!,5,TRUE),"not found")</f>
        <v>not found</v>
      </c>
      <c r="F584" t="str">
        <f>IFERROR(VLOOKUP(A584,#REF!,2,TRUE),"")</f>
        <v/>
      </c>
      <c r="G584">
        <v>7175</v>
      </c>
      <c r="H584" t="s">
        <v>1</v>
      </c>
      <c r="O584">
        <v>63</v>
      </c>
      <c r="P584" t="s">
        <v>38</v>
      </c>
      <c r="Q584">
        <v>50</v>
      </c>
      <c r="R584" t="s">
        <v>51</v>
      </c>
      <c r="S584" t="s">
        <v>33</v>
      </c>
      <c r="T584" t="s">
        <v>0</v>
      </c>
      <c r="U584">
        <v>0</v>
      </c>
    </row>
    <row r="585" spans="3:21" x14ac:dyDescent="0.3">
      <c r="C585" t="s">
        <v>50</v>
      </c>
      <c r="D585" s="18">
        <v>45961</v>
      </c>
      <c r="E585" t="str">
        <f>IFERROR(VLOOKUP(A585,#REF!,5,TRUE),"not found")</f>
        <v>not found</v>
      </c>
      <c r="F585" t="str">
        <f>IFERROR(VLOOKUP(A585,#REF!,2,TRUE),"")</f>
        <v/>
      </c>
      <c r="G585">
        <v>7175</v>
      </c>
      <c r="H585" t="s">
        <v>1</v>
      </c>
      <c r="O585">
        <v>63</v>
      </c>
      <c r="P585" t="s">
        <v>38</v>
      </c>
      <c r="Q585">
        <v>50</v>
      </c>
      <c r="R585" t="s">
        <v>51</v>
      </c>
      <c r="S585" t="s">
        <v>33</v>
      </c>
      <c r="T585" t="s">
        <v>0</v>
      </c>
      <c r="U585">
        <v>0</v>
      </c>
    </row>
    <row r="586" spans="3:21" x14ac:dyDescent="0.3">
      <c r="C586" t="s">
        <v>50</v>
      </c>
      <c r="D586" s="18">
        <v>45961</v>
      </c>
      <c r="E586" t="str">
        <f>IFERROR(VLOOKUP(A586,#REF!,5,TRUE),"not found")</f>
        <v>not found</v>
      </c>
      <c r="F586" t="str">
        <f>IFERROR(VLOOKUP(A586,#REF!,2,TRUE),"")</f>
        <v/>
      </c>
      <c r="G586">
        <v>7175</v>
      </c>
      <c r="H586" t="s">
        <v>1</v>
      </c>
      <c r="O586">
        <v>63</v>
      </c>
      <c r="P586" t="s">
        <v>38</v>
      </c>
      <c r="Q586">
        <v>50</v>
      </c>
      <c r="R586" t="s">
        <v>51</v>
      </c>
      <c r="S586" t="s">
        <v>33</v>
      </c>
      <c r="T586" t="s">
        <v>0</v>
      </c>
      <c r="U586">
        <v>0</v>
      </c>
    </row>
    <row r="587" spans="3:21" x14ac:dyDescent="0.3">
      <c r="C587" t="s">
        <v>50</v>
      </c>
      <c r="D587" s="18">
        <v>45961</v>
      </c>
      <c r="E587" t="str">
        <f>IFERROR(VLOOKUP(A587,#REF!,5,TRUE),"not found")</f>
        <v>not found</v>
      </c>
      <c r="F587" t="str">
        <f>IFERROR(VLOOKUP(A587,#REF!,2,TRUE),"")</f>
        <v/>
      </c>
      <c r="G587">
        <v>7175</v>
      </c>
      <c r="H587" t="s">
        <v>1</v>
      </c>
      <c r="O587">
        <v>63</v>
      </c>
      <c r="P587" t="s">
        <v>38</v>
      </c>
      <c r="Q587">
        <v>50</v>
      </c>
      <c r="R587" t="s">
        <v>51</v>
      </c>
      <c r="S587" t="s">
        <v>33</v>
      </c>
      <c r="T587" t="s">
        <v>0</v>
      </c>
      <c r="U587">
        <v>0</v>
      </c>
    </row>
    <row r="588" spans="3:21" x14ac:dyDescent="0.3">
      <c r="C588" t="s">
        <v>50</v>
      </c>
      <c r="D588" s="18">
        <v>45961</v>
      </c>
      <c r="E588" t="str">
        <f>IFERROR(VLOOKUP(A588,#REF!,5,TRUE),"not found")</f>
        <v>not found</v>
      </c>
      <c r="F588" t="str">
        <f>IFERROR(VLOOKUP(A588,#REF!,2,TRUE),"")</f>
        <v/>
      </c>
      <c r="G588">
        <v>7175</v>
      </c>
      <c r="H588" t="s">
        <v>1</v>
      </c>
      <c r="O588">
        <v>63</v>
      </c>
      <c r="P588" t="s">
        <v>38</v>
      </c>
      <c r="Q588">
        <v>50</v>
      </c>
      <c r="R588" t="s">
        <v>51</v>
      </c>
      <c r="S588" t="s">
        <v>33</v>
      </c>
      <c r="T588" t="s">
        <v>0</v>
      </c>
      <c r="U588">
        <v>0</v>
      </c>
    </row>
    <row r="589" spans="3:21" x14ac:dyDescent="0.3">
      <c r="C589" t="s">
        <v>50</v>
      </c>
      <c r="D589" s="18">
        <v>45961</v>
      </c>
      <c r="E589" t="str">
        <f>IFERROR(VLOOKUP(A589,#REF!,5,TRUE),"not found")</f>
        <v>not found</v>
      </c>
      <c r="F589" t="str">
        <f>IFERROR(VLOOKUP(A589,#REF!,2,TRUE),"")</f>
        <v/>
      </c>
      <c r="G589">
        <v>7175</v>
      </c>
      <c r="H589" t="s">
        <v>1</v>
      </c>
      <c r="O589">
        <v>63</v>
      </c>
      <c r="P589" t="s">
        <v>38</v>
      </c>
      <c r="Q589">
        <v>50</v>
      </c>
      <c r="R589" t="s">
        <v>51</v>
      </c>
      <c r="S589" t="s">
        <v>33</v>
      </c>
      <c r="T589" t="s">
        <v>0</v>
      </c>
      <c r="U589">
        <v>0</v>
      </c>
    </row>
    <row r="590" spans="3:21" x14ac:dyDescent="0.3">
      <c r="C590" t="s">
        <v>50</v>
      </c>
      <c r="D590" s="18">
        <v>45961</v>
      </c>
      <c r="E590" t="str">
        <f>IFERROR(VLOOKUP(A590,#REF!,5,TRUE),"not found")</f>
        <v>not found</v>
      </c>
      <c r="F590" t="str">
        <f>IFERROR(VLOOKUP(A590,#REF!,2,TRUE),"")</f>
        <v/>
      </c>
      <c r="G590">
        <v>7175</v>
      </c>
      <c r="H590" t="s">
        <v>1</v>
      </c>
      <c r="O590">
        <v>63</v>
      </c>
      <c r="P590" t="s">
        <v>38</v>
      </c>
      <c r="Q590">
        <v>50</v>
      </c>
      <c r="R590" t="s">
        <v>51</v>
      </c>
      <c r="S590" t="s">
        <v>33</v>
      </c>
      <c r="T590" t="s">
        <v>0</v>
      </c>
      <c r="U590">
        <v>0</v>
      </c>
    </row>
    <row r="591" spans="3:21" x14ac:dyDescent="0.3">
      <c r="C591" t="s">
        <v>50</v>
      </c>
      <c r="D591" s="18">
        <v>45961</v>
      </c>
      <c r="E591" t="str">
        <f>IFERROR(VLOOKUP(A591,#REF!,5,TRUE),"not found")</f>
        <v>not found</v>
      </c>
      <c r="F591" t="str">
        <f>IFERROR(VLOOKUP(A591,#REF!,2,TRUE),"")</f>
        <v/>
      </c>
      <c r="G591">
        <v>7175</v>
      </c>
      <c r="H591" t="s">
        <v>1</v>
      </c>
      <c r="O591">
        <v>63</v>
      </c>
      <c r="P591" t="s">
        <v>38</v>
      </c>
      <c r="Q591">
        <v>50</v>
      </c>
      <c r="R591" t="s">
        <v>51</v>
      </c>
      <c r="S591" t="s">
        <v>33</v>
      </c>
      <c r="T591" t="s">
        <v>0</v>
      </c>
      <c r="U591">
        <v>0</v>
      </c>
    </row>
    <row r="592" spans="3:21" x14ac:dyDescent="0.3">
      <c r="C592" t="s">
        <v>50</v>
      </c>
      <c r="D592" s="18">
        <v>45961</v>
      </c>
      <c r="E592" t="str">
        <f>IFERROR(VLOOKUP(A592,#REF!,5,TRUE),"not found")</f>
        <v>not found</v>
      </c>
      <c r="F592" t="str">
        <f>IFERROR(VLOOKUP(A592,#REF!,2,TRUE),"")</f>
        <v/>
      </c>
      <c r="G592">
        <v>7175</v>
      </c>
      <c r="H592" t="s">
        <v>1</v>
      </c>
      <c r="O592">
        <v>63</v>
      </c>
      <c r="P592" t="s">
        <v>38</v>
      </c>
      <c r="Q592">
        <v>50</v>
      </c>
      <c r="R592" t="s">
        <v>51</v>
      </c>
      <c r="S592" t="s">
        <v>33</v>
      </c>
      <c r="T592" t="s">
        <v>0</v>
      </c>
      <c r="U592">
        <v>0</v>
      </c>
    </row>
    <row r="593" spans="1:28" x14ac:dyDescent="0.3">
      <c r="C593" t="s">
        <v>50</v>
      </c>
      <c r="D593" s="18">
        <v>45961</v>
      </c>
      <c r="E593" t="str">
        <f>IFERROR(VLOOKUP(A593,#REF!,5,TRUE),"not found")</f>
        <v>not found</v>
      </c>
      <c r="F593" t="str">
        <f>IFERROR(VLOOKUP(A593,#REF!,2,TRUE),"")</f>
        <v/>
      </c>
      <c r="G593">
        <v>7175</v>
      </c>
      <c r="H593" t="s">
        <v>1</v>
      </c>
      <c r="O593">
        <v>63</v>
      </c>
      <c r="P593" t="s">
        <v>38</v>
      </c>
      <c r="Q593">
        <v>50</v>
      </c>
      <c r="R593" t="s">
        <v>51</v>
      </c>
      <c r="S593" t="s">
        <v>33</v>
      </c>
      <c r="T593" t="s">
        <v>0</v>
      </c>
      <c r="U593">
        <v>0</v>
      </c>
    </row>
    <row r="594" spans="1:28" x14ac:dyDescent="0.3">
      <c r="C594" t="s">
        <v>50</v>
      </c>
      <c r="D594" s="18">
        <v>45961</v>
      </c>
      <c r="E594" t="str">
        <f>IFERROR(VLOOKUP(A594,#REF!,5,TRUE),"not found")</f>
        <v>not found</v>
      </c>
      <c r="F594" t="str">
        <f>IFERROR(VLOOKUP(A594,#REF!,2,TRUE),"")</f>
        <v/>
      </c>
      <c r="G594">
        <v>7175</v>
      </c>
      <c r="H594" t="s">
        <v>1</v>
      </c>
      <c r="O594">
        <v>63</v>
      </c>
      <c r="P594" t="s">
        <v>38</v>
      </c>
      <c r="Q594">
        <v>50</v>
      </c>
      <c r="R594" t="s">
        <v>51</v>
      </c>
      <c r="S594" t="s">
        <v>33</v>
      </c>
      <c r="T594" t="s">
        <v>0</v>
      </c>
      <c r="U594">
        <v>0</v>
      </c>
    </row>
    <row r="595" spans="1:28" x14ac:dyDescent="0.3">
      <c r="C595" t="s">
        <v>50</v>
      </c>
      <c r="D595" s="18">
        <v>45961</v>
      </c>
      <c r="E595" t="str">
        <f>IFERROR(VLOOKUP(A595,#REF!,5,TRUE),"not found")</f>
        <v>not found</v>
      </c>
      <c r="F595" t="str">
        <f>IFERROR(VLOOKUP(A595,#REF!,2,TRUE),"")</f>
        <v/>
      </c>
      <c r="G595">
        <v>7175</v>
      </c>
      <c r="H595" t="s">
        <v>1</v>
      </c>
      <c r="O595">
        <v>63</v>
      </c>
      <c r="P595" t="s">
        <v>38</v>
      </c>
      <c r="Q595">
        <v>50</v>
      </c>
      <c r="R595" t="s">
        <v>51</v>
      </c>
      <c r="S595" t="s">
        <v>33</v>
      </c>
      <c r="T595" t="s">
        <v>0</v>
      </c>
      <c r="U595">
        <v>0</v>
      </c>
    </row>
    <row r="596" spans="1:28" x14ac:dyDescent="0.3">
      <c r="C596" t="s">
        <v>50</v>
      </c>
      <c r="D596" s="18">
        <v>45961</v>
      </c>
      <c r="E596" t="str">
        <f>IFERROR(VLOOKUP(A596,#REF!,5,TRUE),"not found")</f>
        <v>not found</v>
      </c>
      <c r="F596" t="str">
        <f>IFERROR(VLOOKUP(A596,#REF!,2,TRUE),"")</f>
        <v/>
      </c>
      <c r="G596">
        <v>7175</v>
      </c>
      <c r="H596" t="s">
        <v>1</v>
      </c>
      <c r="O596">
        <v>63</v>
      </c>
      <c r="P596" t="s">
        <v>38</v>
      </c>
      <c r="Q596">
        <v>50</v>
      </c>
      <c r="R596" t="s">
        <v>51</v>
      </c>
      <c r="S596" t="s">
        <v>33</v>
      </c>
      <c r="T596" t="s">
        <v>0</v>
      </c>
      <c r="U596">
        <v>0</v>
      </c>
    </row>
    <row r="597" spans="1:28" x14ac:dyDescent="0.3">
      <c r="C597" t="s">
        <v>50</v>
      </c>
      <c r="D597" s="18">
        <v>45961</v>
      </c>
      <c r="E597" t="str">
        <f>IFERROR(VLOOKUP(A597,#REF!,5,TRUE),"not found")</f>
        <v>not found</v>
      </c>
      <c r="F597" t="str">
        <f>IFERROR(VLOOKUP(A597,#REF!,2,TRUE),"")</f>
        <v/>
      </c>
      <c r="G597">
        <v>7175</v>
      </c>
      <c r="H597" t="s">
        <v>1</v>
      </c>
      <c r="O597">
        <v>63</v>
      </c>
      <c r="P597" t="s">
        <v>38</v>
      </c>
      <c r="Q597">
        <v>50</v>
      </c>
      <c r="R597" t="s">
        <v>51</v>
      </c>
      <c r="S597" t="s">
        <v>33</v>
      </c>
      <c r="T597" t="s">
        <v>0</v>
      </c>
      <c r="U597">
        <v>0</v>
      </c>
    </row>
    <row r="598" spans="1:28" x14ac:dyDescent="0.3">
      <c r="C598" t="s">
        <v>50</v>
      </c>
      <c r="D598" s="18">
        <v>45961</v>
      </c>
      <c r="E598" t="str">
        <f>IFERROR(VLOOKUP(A598,#REF!,5,TRUE),"not found")</f>
        <v>not found</v>
      </c>
      <c r="F598" t="str">
        <f>IFERROR(VLOOKUP(A598,#REF!,2,TRUE),"")</f>
        <v/>
      </c>
      <c r="G598">
        <v>7175</v>
      </c>
      <c r="H598" t="s">
        <v>1</v>
      </c>
      <c r="O598">
        <v>63</v>
      </c>
      <c r="P598" t="s">
        <v>38</v>
      </c>
      <c r="Q598">
        <v>50</v>
      </c>
      <c r="R598" t="s">
        <v>51</v>
      </c>
      <c r="S598" t="s">
        <v>33</v>
      </c>
      <c r="T598" t="s">
        <v>0</v>
      </c>
      <c r="U598">
        <v>0</v>
      </c>
    </row>
    <row r="599" spans="1:28" x14ac:dyDescent="0.3">
      <c r="C599" t="s">
        <v>50</v>
      </c>
      <c r="D599" s="18">
        <v>45961</v>
      </c>
      <c r="E599" t="str">
        <f>IFERROR(VLOOKUP(A599,#REF!,5,TRUE),"not found")</f>
        <v>not found</v>
      </c>
      <c r="F599" t="str">
        <f>IFERROR(VLOOKUP(A599,#REF!,2,TRUE),"")</f>
        <v/>
      </c>
      <c r="G599">
        <v>7175</v>
      </c>
      <c r="H599" t="s">
        <v>1</v>
      </c>
      <c r="O599">
        <v>63</v>
      </c>
      <c r="P599" t="s">
        <v>38</v>
      </c>
      <c r="Q599">
        <v>50</v>
      </c>
      <c r="R599" t="s">
        <v>51</v>
      </c>
      <c r="S599" t="s">
        <v>33</v>
      </c>
      <c r="T599" t="s">
        <v>0</v>
      </c>
      <c r="U599">
        <v>0</v>
      </c>
    </row>
    <row r="600" spans="1:28" x14ac:dyDescent="0.3">
      <c r="C600" t="s">
        <v>50</v>
      </c>
      <c r="D600" s="18">
        <v>45961</v>
      </c>
      <c r="E600" t="str">
        <f>IFERROR(VLOOKUP(A600,#REF!,5,TRUE),"not found")</f>
        <v>not found</v>
      </c>
      <c r="F600" t="str">
        <f>IFERROR(VLOOKUP(A600,#REF!,2,TRUE),"")</f>
        <v/>
      </c>
      <c r="G600">
        <v>7175</v>
      </c>
      <c r="H600" t="s">
        <v>1</v>
      </c>
      <c r="O600">
        <v>63</v>
      </c>
      <c r="P600" t="s">
        <v>38</v>
      </c>
      <c r="Q600">
        <v>50</v>
      </c>
      <c r="R600" t="s">
        <v>51</v>
      </c>
      <c r="S600" t="s">
        <v>33</v>
      </c>
      <c r="T600" t="s">
        <v>0</v>
      </c>
      <c r="U600">
        <v>0</v>
      </c>
    </row>
    <row r="601" spans="1:28" x14ac:dyDescent="0.3">
      <c r="C601" t="s">
        <v>50</v>
      </c>
      <c r="D601" s="18">
        <v>45961</v>
      </c>
      <c r="E601" t="str">
        <f>IFERROR(VLOOKUP(A601,#REF!,5,TRUE),"not found")</f>
        <v>not found</v>
      </c>
      <c r="F601" t="str">
        <f>IFERROR(VLOOKUP(A601,#REF!,2,TRUE),"")</f>
        <v/>
      </c>
      <c r="G601">
        <v>7175</v>
      </c>
      <c r="H601" t="s">
        <v>1</v>
      </c>
      <c r="O601">
        <v>63</v>
      </c>
      <c r="P601" t="s">
        <v>38</v>
      </c>
      <c r="Q601">
        <v>50</v>
      </c>
      <c r="R601" t="s">
        <v>51</v>
      </c>
      <c r="S601" t="s">
        <v>33</v>
      </c>
      <c r="T601" t="s">
        <v>0</v>
      </c>
      <c r="U601">
        <v>0</v>
      </c>
    </row>
    <row r="602" spans="1:28" x14ac:dyDescent="0.3">
      <c r="A602" s="18" t="str">
        <f>_xll.RHistory("1EW7175V25",".Timestamp;.Close","START:2025-08-01 END:2025-09-29 INTERVAL:1D")</f>
        <v>Not Signed In</v>
      </c>
      <c r="B602">
        <v>461.5</v>
      </c>
      <c r="C602" t="s">
        <v>52</v>
      </c>
      <c r="D602" s="18">
        <v>45961</v>
      </c>
      <c r="E602" t="str">
        <f>IFERROR(VLOOKUP(A602,#REF!,5,TRUE),"not found")</f>
        <v>not found</v>
      </c>
      <c r="F602" t="str">
        <f>IFERROR(VLOOKUP(A602,#REF!,2,TRUE),"")</f>
        <v/>
      </c>
      <c r="G602">
        <v>7175</v>
      </c>
      <c r="H602" t="s">
        <v>2</v>
      </c>
      <c r="I602" t="e">
        <f ca="1">IF(B602="","",GBlackScholesImpVolBisection(LOWER(H602),F602,G602,(D602-A602)/365,E602,0,B602))</f>
        <v>#NAME?</v>
      </c>
      <c r="J602" t="e">
        <f ca="1">IF(B602="","",GBlackScholesNGreeks("d",LOWER(H602),F602,G602,(D602-A602)/365,E602,0,I602))</f>
        <v>#NAME?</v>
      </c>
      <c r="K602" t="e">
        <f ca="1">IF(B602="","",GBlackScholesNGreeks("v",LOWER(H602),F602,G602,(D602-A602)/365,E602,0,I602))</f>
        <v>#NAME?</v>
      </c>
      <c r="L602" t="e">
        <f ca="1">IF(B602="","",GBlackScholesNGreeks("g",LOWER(H602),F602,G602,(D602-A602)/365,E602,0,I602))</f>
        <v>#NAME?</v>
      </c>
      <c r="M602" t="e">
        <f ca="1">IF(B602="","",GBlackScholesNGreeks("t",LOWER(H602),F602,G602,(D602-A602)/365,E602,0,I602))</f>
        <v>#NAME?</v>
      </c>
      <c r="N602" t="e">
        <f ca="1">IF(B602="","",GBlackScholesNGreeks("r",LOWER(H602),F602,G602,(D602-A602)/365,E602,0,I602))</f>
        <v>#NAME?</v>
      </c>
      <c r="O602">
        <v>64</v>
      </c>
      <c r="P602" t="s">
        <v>39</v>
      </c>
      <c r="Q602">
        <v>50</v>
      </c>
      <c r="R602" t="s">
        <v>53</v>
      </c>
      <c r="S602" t="s">
        <v>33</v>
      </c>
      <c r="T602" t="s">
        <v>0</v>
      </c>
      <c r="U602">
        <v>0</v>
      </c>
      <c r="V602" t="e">
        <f ca="1">IF(B602="","",CGBlackScholes("dddv",LOWER(H602),F602,G602,(D602-A602)/365,E602,0,I602,J602))</f>
        <v>#NAME?</v>
      </c>
      <c r="W602" t="e">
        <f ca="1">IF(B602="","",CGBlackScholes("dvv",LOWER(H602),F602,G602,(D602-A602)/365,E602,0,I602,J602))</f>
        <v>#NAME?</v>
      </c>
      <c r="X602" t="e">
        <f ca="1">IF(B602="","",CGBlackScholes("dt",LOWER(H602),F602,G602,(D602-A602)/365,E602,0,I602,J602))</f>
        <v>#NAME?</v>
      </c>
      <c r="Y602" t="e">
        <f ca="1">IF(B602="","",CGBlackScholes("gps",LOWER(H602),F602,G602,(D602-A602)/365,E602,0,I602,J602))</f>
        <v>#NAME?</v>
      </c>
      <c r="Z602" t="e">
        <f ca="1">IF(B602="","",CGBlackScholes("gpv",LOWER(H602),F602,G602,(D602-A602)/365,E602,0,I602,J602))</f>
        <v>#NAME?</v>
      </c>
      <c r="AA602" t="e">
        <f ca="1">IF(B602="","",CGBlackScholes("dvdv",LOWER(H602),F602,G602,(D602-A602)/365,E602,0,I602,J602))</f>
        <v>#NAME?</v>
      </c>
      <c r="AB602" t="e">
        <f ca="1">IF(B602="","",CGBlackScholes("vvv",LOWER(H602),F602,G602,(D602-A602)/365,E602,0,I602,J602))</f>
        <v>#NAME?</v>
      </c>
    </row>
    <row r="603" spans="1:28" x14ac:dyDescent="0.3">
      <c r="A603" s="18">
        <v>45926</v>
      </c>
      <c r="B603">
        <v>478.5</v>
      </c>
      <c r="C603" t="s">
        <v>52</v>
      </c>
      <c r="D603" s="18">
        <v>45961</v>
      </c>
      <c r="E603" t="str">
        <f>IFERROR(VLOOKUP(A603,#REF!,5,TRUE),"not found")</f>
        <v>not found</v>
      </c>
      <c r="F603" t="str">
        <f>IFERROR(VLOOKUP(A603,#REF!,2,TRUE),"")</f>
        <v/>
      </c>
      <c r="G603">
        <v>7175</v>
      </c>
      <c r="H603" t="s">
        <v>2</v>
      </c>
      <c r="I603" t="e">
        <f ca="1">IF(B603="","",GBlackScholesImpVolBisection(LOWER(H603),F603,G603,(D603-A603)/365,E603,0,B603))</f>
        <v>#NAME?</v>
      </c>
      <c r="J603" t="e">
        <f ca="1">IF(B603="","",GBlackScholesNGreeks("d",LOWER(H603),F603,G603,(D603-A603)/365,E603,0,I603))</f>
        <v>#NAME?</v>
      </c>
      <c r="K603" t="e">
        <f ca="1">IF(B603="","",GBlackScholesNGreeks("v",LOWER(H603),F603,G603,(D603-A603)/365,E603,0,I603))</f>
        <v>#NAME?</v>
      </c>
      <c r="L603" t="e">
        <f ca="1">IF(B603="","",GBlackScholesNGreeks("g",LOWER(H603),F603,G603,(D603-A603)/365,E603,0,I603))</f>
        <v>#NAME?</v>
      </c>
      <c r="M603" t="e">
        <f ca="1">IF(B603="","",GBlackScholesNGreeks("t",LOWER(H603),F603,G603,(D603-A603)/365,E603,0,I603))</f>
        <v>#NAME?</v>
      </c>
      <c r="N603" t="e">
        <f ca="1">IF(B603="","",GBlackScholesNGreeks("r",LOWER(H603),F603,G603,(D603-A603)/365,E603,0,I603))</f>
        <v>#NAME?</v>
      </c>
      <c r="O603">
        <v>64</v>
      </c>
      <c r="P603" t="s">
        <v>39</v>
      </c>
      <c r="Q603">
        <v>50</v>
      </c>
      <c r="R603" t="s">
        <v>53</v>
      </c>
      <c r="S603" t="s">
        <v>33</v>
      </c>
      <c r="T603" t="s">
        <v>0</v>
      </c>
      <c r="U603">
        <v>0</v>
      </c>
      <c r="V603" t="e">
        <f ca="1">IF(B603="","",CGBlackScholes("dddv",LOWER(H603),F603,G603,(D603-A603)/365,E603,0,I603,J603))</f>
        <v>#NAME?</v>
      </c>
      <c r="W603" t="e">
        <f ca="1">IF(B603="","",CGBlackScholes("dvv",LOWER(H603),F603,G603,(D603-A603)/365,E603,0,I603,J603))</f>
        <v>#NAME?</v>
      </c>
      <c r="X603" t="e">
        <f ca="1">IF(B603="","",CGBlackScholes("dt",LOWER(H603),F603,G603,(D603-A603)/365,E603,0,I603,J603))</f>
        <v>#NAME?</v>
      </c>
      <c r="Y603" t="e">
        <f ca="1">IF(B603="","",CGBlackScholes("gps",LOWER(H603),F603,G603,(D603-A603)/365,E603,0,I603,J603))</f>
        <v>#NAME?</v>
      </c>
      <c r="Z603" t="e">
        <f ca="1">IF(B603="","",CGBlackScholes("gpv",LOWER(H603),F603,G603,(D603-A603)/365,E603,0,I603,J603))</f>
        <v>#NAME?</v>
      </c>
      <c r="AA603" t="e">
        <f ca="1">IF(B603="","",CGBlackScholes("dvdv",LOWER(H603),F603,G603,(D603-A603)/365,E603,0,I603,J603))</f>
        <v>#NAME?</v>
      </c>
      <c r="AB603" t="e">
        <f ca="1">IF(B603="","",CGBlackScholes("vvv",LOWER(H603),F603,G603,(D603-A603)/365,E603,0,I603,J603))</f>
        <v>#NAME?</v>
      </c>
    </row>
    <row r="604" spans="1:28" x14ac:dyDescent="0.3">
      <c r="A604" s="18">
        <v>45925</v>
      </c>
      <c r="B604">
        <v>515.25</v>
      </c>
      <c r="C604" t="s">
        <v>52</v>
      </c>
      <c r="D604" s="18">
        <v>45961</v>
      </c>
      <c r="E604" t="str">
        <f>IFERROR(VLOOKUP(A604,#REF!,5,TRUE),"not found")</f>
        <v>not found</v>
      </c>
      <c r="F604" t="str">
        <f>IFERROR(VLOOKUP(A604,#REF!,2,TRUE),"")</f>
        <v/>
      </c>
      <c r="G604">
        <v>7175</v>
      </c>
      <c r="H604" t="s">
        <v>2</v>
      </c>
      <c r="I604" t="e">
        <f ca="1">IF(B604="","",GBlackScholesImpVolBisection(LOWER(H604),F604,G604,(D604-A604)/365,E604,0,B604))</f>
        <v>#NAME?</v>
      </c>
      <c r="J604" t="e">
        <f ca="1">IF(B604="","",GBlackScholesNGreeks("d",LOWER(H604),F604,G604,(D604-A604)/365,E604,0,I604))</f>
        <v>#NAME?</v>
      </c>
      <c r="K604" t="e">
        <f ca="1">IF(B604="","",GBlackScholesNGreeks("v",LOWER(H604),F604,G604,(D604-A604)/365,E604,0,I604))</f>
        <v>#NAME?</v>
      </c>
      <c r="L604" t="e">
        <f ca="1">IF(B604="","",GBlackScholesNGreeks("g",LOWER(H604),F604,G604,(D604-A604)/365,E604,0,I604))</f>
        <v>#NAME?</v>
      </c>
      <c r="M604" t="e">
        <f ca="1">IF(B604="","",GBlackScholesNGreeks("t",LOWER(H604),F604,G604,(D604-A604)/365,E604,0,I604))</f>
        <v>#NAME?</v>
      </c>
      <c r="N604" t="e">
        <f ca="1">IF(B604="","",GBlackScholesNGreeks("r",LOWER(H604),F604,G604,(D604-A604)/365,E604,0,I604))</f>
        <v>#NAME?</v>
      </c>
      <c r="O604">
        <v>64</v>
      </c>
      <c r="P604" t="s">
        <v>39</v>
      </c>
      <c r="Q604">
        <v>50</v>
      </c>
      <c r="R604" t="s">
        <v>53</v>
      </c>
      <c r="S604" t="s">
        <v>33</v>
      </c>
      <c r="T604" t="s">
        <v>0</v>
      </c>
      <c r="U604">
        <v>0</v>
      </c>
      <c r="V604" t="e">
        <f ca="1">IF(B604="","",CGBlackScholes("dddv",LOWER(H604),F604,G604,(D604-A604)/365,E604,0,I604,J604))</f>
        <v>#NAME?</v>
      </c>
      <c r="W604" t="e">
        <f ca="1">IF(B604="","",CGBlackScholes("dvv",LOWER(H604),F604,G604,(D604-A604)/365,E604,0,I604,J604))</f>
        <v>#NAME?</v>
      </c>
      <c r="X604" t="e">
        <f ca="1">IF(B604="","",CGBlackScholes("dt",LOWER(H604),F604,G604,(D604-A604)/365,E604,0,I604,J604))</f>
        <v>#NAME?</v>
      </c>
      <c r="Y604" t="e">
        <f ca="1">IF(B604="","",CGBlackScholes("gps",LOWER(H604),F604,G604,(D604-A604)/365,E604,0,I604,J604))</f>
        <v>#NAME?</v>
      </c>
      <c r="Z604" t="e">
        <f ca="1">IF(B604="","",CGBlackScholes("gpv",LOWER(H604),F604,G604,(D604-A604)/365,E604,0,I604,J604))</f>
        <v>#NAME?</v>
      </c>
      <c r="AA604" t="e">
        <f ca="1">IF(B604="","",CGBlackScholes("dvdv",LOWER(H604),F604,G604,(D604-A604)/365,E604,0,I604,J604))</f>
        <v>#NAME?</v>
      </c>
      <c r="AB604" t="e">
        <f ca="1">IF(B604="","",CGBlackScholes("vvv",LOWER(H604),F604,G604,(D604-A604)/365,E604,0,I604,J604))</f>
        <v>#NAME?</v>
      </c>
    </row>
    <row r="605" spans="1:28" x14ac:dyDescent="0.3">
      <c r="A605" s="18">
        <v>45924</v>
      </c>
      <c r="B605">
        <v>483.75</v>
      </c>
      <c r="C605" t="s">
        <v>52</v>
      </c>
      <c r="D605" s="18">
        <v>45961</v>
      </c>
      <c r="E605" t="str">
        <f>IFERROR(VLOOKUP(A605,#REF!,5,TRUE),"not found")</f>
        <v>not found</v>
      </c>
      <c r="F605" t="str">
        <f>IFERROR(VLOOKUP(A605,#REF!,2,TRUE),"")</f>
        <v/>
      </c>
      <c r="G605">
        <v>7175</v>
      </c>
      <c r="H605" t="s">
        <v>2</v>
      </c>
      <c r="I605" t="e">
        <f ca="1">IF(B605="","",GBlackScholesImpVolBisection(LOWER(H605),F605,G605,(D605-A605)/365,E605,0,B605))</f>
        <v>#NAME?</v>
      </c>
      <c r="J605" t="e">
        <f ca="1">IF(B605="","",GBlackScholesNGreeks("d",LOWER(H605),F605,G605,(D605-A605)/365,E605,0,I605))</f>
        <v>#NAME?</v>
      </c>
      <c r="K605" t="e">
        <f ca="1">IF(B605="","",GBlackScholesNGreeks("v",LOWER(H605),F605,G605,(D605-A605)/365,E605,0,I605))</f>
        <v>#NAME?</v>
      </c>
      <c r="L605" t="e">
        <f ca="1">IF(B605="","",GBlackScholesNGreeks("g",LOWER(H605),F605,G605,(D605-A605)/365,E605,0,I605))</f>
        <v>#NAME?</v>
      </c>
      <c r="M605" t="e">
        <f ca="1">IF(B605="","",GBlackScholesNGreeks("t",LOWER(H605),F605,G605,(D605-A605)/365,E605,0,I605))</f>
        <v>#NAME?</v>
      </c>
      <c r="N605" t="e">
        <f ca="1">IF(B605="","",GBlackScholesNGreeks("r",LOWER(H605),F605,G605,(D605-A605)/365,E605,0,I605))</f>
        <v>#NAME?</v>
      </c>
      <c r="O605">
        <v>64</v>
      </c>
      <c r="P605" t="s">
        <v>39</v>
      </c>
      <c r="Q605">
        <v>50</v>
      </c>
      <c r="R605" t="s">
        <v>53</v>
      </c>
      <c r="S605" t="s">
        <v>33</v>
      </c>
      <c r="T605" t="s">
        <v>0</v>
      </c>
      <c r="U605">
        <v>0</v>
      </c>
      <c r="V605" t="e">
        <f ca="1">IF(B605="","",CGBlackScholes("dddv",LOWER(H605),F605,G605,(D605-A605)/365,E605,0,I605,J605))</f>
        <v>#NAME?</v>
      </c>
      <c r="W605" t="e">
        <f ca="1">IF(B605="","",CGBlackScholes("dvv",LOWER(H605),F605,G605,(D605-A605)/365,E605,0,I605,J605))</f>
        <v>#NAME?</v>
      </c>
      <c r="X605" t="e">
        <f ca="1">IF(B605="","",CGBlackScholes("dt",LOWER(H605),F605,G605,(D605-A605)/365,E605,0,I605,J605))</f>
        <v>#NAME?</v>
      </c>
      <c r="Y605" t="e">
        <f ca="1">IF(B605="","",CGBlackScholes("gps",LOWER(H605),F605,G605,(D605-A605)/365,E605,0,I605,J605))</f>
        <v>#NAME?</v>
      </c>
      <c r="Z605" t="e">
        <f ca="1">IF(B605="","",CGBlackScholes("gpv",LOWER(H605),F605,G605,(D605-A605)/365,E605,0,I605,J605))</f>
        <v>#NAME?</v>
      </c>
      <c r="AA605" t="e">
        <f ca="1">IF(B605="","",CGBlackScholes("dvdv",LOWER(H605),F605,G605,(D605-A605)/365,E605,0,I605,J605))</f>
        <v>#NAME?</v>
      </c>
      <c r="AB605" t="e">
        <f ca="1">IF(B605="","",CGBlackScholes("vvv",LOWER(H605),F605,G605,(D605-A605)/365,E605,0,I605,J605))</f>
        <v>#NAME?</v>
      </c>
    </row>
    <row r="606" spans="1:28" x14ac:dyDescent="0.3">
      <c r="A606" s="18">
        <v>45923</v>
      </c>
      <c r="B606">
        <v>461.75</v>
      </c>
      <c r="C606" t="s">
        <v>52</v>
      </c>
      <c r="D606" s="18">
        <v>45961</v>
      </c>
      <c r="E606" t="str">
        <f>IFERROR(VLOOKUP(A606,#REF!,5,TRUE),"not found")</f>
        <v>not found</v>
      </c>
      <c r="F606" t="str">
        <f>IFERROR(VLOOKUP(A606,#REF!,2,TRUE),"")</f>
        <v/>
      </c>
      <c r="G606">
        <v>7175</v>
      </c>
      <c r="H606" t="s">
        <v>2</v>
      </c>
      <c r="I606" t="e">
        <f ca="1">IF(B606="","",GBlackScholesImpVolBisection(LOWER(H606),F606,G606,(D606-A606)/365,E606,0,B606))</f>
        <v>#NAME?</v>
      </c>
      <c r="J606" t="e">
        <f ca="1">IF(B606="","",GBlackScholesNGreeks("d",LOWER(H606),F606,G606,(D606-A606)/365,E606,0,I606))</f>
        <v>#NAME?</v>
      </c>
      <c r="K606" t="e">
        <f ca="1">IF(B606="","",GBlackScholesNGreeks("v",LOWER(H606),F606,G606,(D606-A606)/365,E606,0,I606))</f>
        <v>#NAME?</v>
      </c>
      <c r="L606" t="e">
        <f ca="1">IF(B606="","",GBlackScholesNGreeks("g",LOWER(H606),F606,G606,(D606-A606)/365,E606,0,I606))</f>
        <v>#NAME?</v>
      </c>
      <c r="M606" t="e">
        <f ca="1">IF(B606="","",GBlackScholesNGreeks("t",LOWER(H606),F606,G606,(D606-A606)/365,E606,0,I606))</f>
        <v>#NAME?</v>
      </c>
      <c r="N606" t="e">
        <f ca="1">IF(B606="","",GBlackScholesNGreeks("r",LOWER(H606),F606,G606,(D606-A606)/365,E606,0,I606))</f>
        <v>#NAME?</v>
      </c>
      <c r="O606">
        <v>64</v>
      </c>
      <c r="P606" t="s">
        <v>39</v>
      </c>
      <c r="Q606">
        <v>50</v>
      </c>
      <c r="R606" t="s">
        <v>53</v>
      </c>
      <c r="S606" t="s">
        <v>33</v>
      </c>
      <c r="T606" t="s">
        <v>0</v>
      </c>
      <c r="U606">
        <v>0</v>
      </c>
      <c r="V606" t="e">
        <f ca="1">IF(B606="","",CGBlackScholes("dddv",LOWER(H606),F606,G606,(D606-A606)/365,E606,0,I606,J606))</f>
        <v>#NAME?</v>
      </c>
      <c r="W606" t="e">
        <f ca="1">IF(B606="","",CGBlackScholes("dvv",LOWER(H606),F606,G606,(D606-A606)/365,E606,0,I606,J606))</f>
        <v>#NAME?</v>
      </c>
      <c r="X606" t="e">
        <f ca="1">IF(B606="","",CGBlackScholes("dt",LOWER(H606),F606,G606,(D606-A606)/365,E606,0,I606,J606))</f>
        <v>#NAME?</v>
      </c>
      <c r="Y606" t="e">
        <f ca="1">IF(B606="","",CGBlackScholes("gps",LOWER(H606),F606,G606,(D606-A606)/365,E606,0,I606,J606))</f>
        <v>#NAME?</v>
      </c>
      <c r="Z606" t="e">
        <f ca="1">IF(B606="","",CGBlackScholes("gpv",LOWER(H606),F606,G606,(D606-A606)/365,E606,0,I606,J606))</f>
        <v>#NAME?</v>
      </c>
      <c r="AA606" t="e">
        <f ca="1">IF(B606="","",CGBlackScholes("dvdv",LOWER(H606),F606,G606,(D606-A606)/365,E606,0,I606,J606))</f>
        <v>#NAME?</v>
      </c>
      <c r="AB606" t="e">
        <f ca="1">IF(B606="","",CGBlackScholes("vvv",LOWER(H606),F606,G606,(D606-A606)/365,E606,0,I606,J606))</f>
        <v>#NAME?</v>
      </c>
    </row>
    <row r="607" spans="1:28" x14ac:dyDescent="0.3">
      <c r="A607" s="18">
        <v>45922</v>
      </c>
      <c r="B607">
        <v>426.25</v>
      </c>
      <c r="C607" t="s">
        <v>52</v>
      </c>
      <c r="D607" s="18">
        <v>45961</v>
      </c>
      <c r="E607" t="str">
        <f>IFERROR(VLOOKUP(A607,#REF!,5,TRUE),"not found")</f>
        <v>not found</v>
      </c>
      <c r="F607" t="str">
        <f>IFERROR(VLOOKUP(A607,#REF!,2,TRUE),"")</f>
        <v/>
      </c>
      <c r="G607">
        <v>7175</v>
      </c>
      <c r="H607" t="s">
        <v>2</v>
      </c>
      <c r="I607" t="e">
        <f ca="1">IF(B607="","",GBlackScholesImpVolBisection(LOWER(H607),F607,G607,(D607-A607)/365,E607,0,B607))</f>
        <v>#NAME?</v>
      </c>
      <c r="J607" t="e">
        <f ca="1">IF(B607="","",GBlackScholesNGreeks("d",LOWER(H607),F607,G607,(D607-A607)/365,E607,0,I607))</f>
        <v>#NAME?</v>
      </c>
      <c r="K607" t="e">
        <f ca="1">IF(B607="","",GBlackScholesNGreeks("v",LOWER(H607),F607,G607,(D607-A607)/365,E607,0,I607))</f>
        <v>#NAME?</v>
      </c>
      <c r="L607" t="e">
        <f ca="1">IF(B607="","",GBlackScholesNGreeks("g",LOWER(H607),F607,G607,(D607-A607)/365,E607,0,I607))</f>
        <v>#NAME?</v>
      </c>
      <c r="M607" t="e">
        <f ca="1">IF(B607="","",GBlackScholesNGreeks("t",LOWER(H607),F607,G607,(D607-A607)/365,E607,0,I607))</f>
        <v>#NAME?</v>
      </c>
      <c r="N607" t="e">
        <f ca="1">IF(B607="","",GBlackScholesNGreeks("r",LOWER(H607),F607,G607,(D607-A607)/365,E607,0,I607))</f>
        <v>#NAME?</v>
      </c>
      <c r="O607">
        <v>64</v>
      </c>
      <c r="P607" t="s">
        <v>39</v>
      </c>
      <c r="Q607">
        <v>50</v>
      </c>
      <c r="R607" t="s">
        <v>53</v>
      </c>
      <c r="S607" t="s">
        <v>33</v>
      </c>
      <c r="T607" t="s">
        <v>0</v>
      </c>
      <c r="U607">
        <v>0</v>
      </c>
      <c r="V607" t="e">
        <f ca="1">IF(B607="","",CGBlackScholes("dddv",LOWER(H607),F607,G607,(D607-A607)/365,E607,0,I607,J607))</f>
        <v>#NAME?</v>
      </c>
      <c r="W607" t="e">
        <f ca="1">IF(B607="","",CGBlackScholes("dvv",LOWER(H607),F607,G607,(D607-A607)/365,E607,0,I607,J607))</f>
        <v>#NAME?</v>
      </c>
      <c r="X607" t="e">
        <f ca="1">IF(B607="","",CGBlackScholes("dt",LOWER(H607),F607,G607,(D607-A607)/365,E607,0,I607,J607))</f>
        <v>#NAME?</v>
      </c>
      <c r="Y607" t="e">
        <f ca="1">IF(B607="","",CGBlackScholes("gps",LOWER(H607),F607,G607,(D607-A607)/365,E607,0,I607,J607))</f>
        <v>#NAME?</v>
      </c>
      <c r="Z607" t="e">
        <f ca="1">IF(B607="","",CGBlackScholes("gpv",LOWER(H607),F607,G607,(D607-A607)/365,E607,0,I607,J607))</f>
        <v>#NAME?</v>
      </c>
      <c r="AA607" t="e">
        <f ca="1">IF(B607="","",CGBlackScholes("dvdv",LOWER(H607),F607,G607,(D607-A607)/365,E607,0,I607,J607))</f>
        <v>#NAME?</v>
      </c>
      <c r="AB607" t="e">
        <f ca="1">IF(B607="","",CGBlackScholes("vvv",LOWER(H607),F607,G607,(D607-A607)/365,E607,0,I607,J607))</f>
        <v>#NAME?</v>
      </c>
    </row>
    <row r="608" spans="1:28" x14ac:dyDescent="0.3">
      <c r="A608" s="18">
        <v>45919</v>
      </c>
      <c r="B608">
        <v>454.75</v>
      </c>
      <c r="C608" t="s">
        <v>52</v>
      </c>
      <c r="D608" s="18">
        <v>45961</v>
      </c>
      <c r="E608" t="str">
        <f>IFERROR(VLOOKUP(A608,#REF!,5,TRUE),"not found")</f>
        <v>not found</v>
      </c>
      <c r="F608" t="str">
        <f>IFERROR(VLOOKUP(A608,#REF!,2,TRUE),"")</f>
        <v/>
      </c>
      <c r="G608">
        <v>7175</v>
      </c>
      <c r="H608" t="s">
        <v>2</v>
      </c>
      <c r="I608" t="e">
        <f ca="1">IF(B608="","",GBlackScholesImpVolBisection(LOWER(H608),F608,G608,(D608-A608)/365,E608,0,B608))</f>
        <v>#NAME?</v>
      </c>
      <c r="J608" t="e">
        <f ca="1">IF(B608="","",GBlackScholesNGreeks("d",LOWER(H608),F608,G608,(D608-A608)/365,E608,0,I608))</f>
        <v>#NAME?</v>
      </c>
      <c r="K608" t="e">
        <f ca="1">IF(B608="","",GBlackScholesNGreeks("v",LOWER(H608),F608,G608,(D608-A608)/365,E608,0,I608))</f>
        <v>#NAME?</v>
      </c>
      <c r="L608" t="e">
        <f ca="1">IF(B608="","",GBlackScholesNGreeks("g",LOWER(H608),F608,G608,(D608-A608)/365,E608,0,I608))</f>
        <v>#NAME?</v>
      </c>
      <c r="M608" t="e">
        <f ca="1">IF(B608="","",GBlackScholesNGreeks("t",LOWER(H608),F608,G608,(D608-A608)/365,E608,0,I608))</f>
        <v>#NAME?</v>
      </c>
      <c r="N608" t="e">
        <f ca="1">IF(B608="","",GBlackScholesNGreeks("r",LOWER(H608),F608,G608,(D608-A608)/365,E608,0,I608))</f>
        <v>#NAME?</v>
      </c>
      <c r="O608">
        <v>64</v>
      </c>
      <c r="P608" t="s">
        <v>39</v>
      </c>
      <c r="Q608">
        <v>50</v>
      </c>
      <c r="R608" t="s">
        <v>53</v>
      </c>
      <c r="S608" t="s">
        <v>33</v>
      </c>
      <c r="T608" t="s">
        <v>0</v>
      </c>
      <c r="U608">
        <v>0</v>
      </c>
      <c r="V608" t="e">
        <f ca="1">IF(B608="","",CGBlackScholes("dddv",LOWER(H608),F608,G608,(D608-A608)/365,E608,0,I608,J608))</f>
        <v>#NAME?</v>
      </c>
      <c r="W608" t="e">
        <f ca="1">IF(B608="","",CGBlackScholes("dvv",LOWER(H608),F608,G608,(D608-A608)/365,E608,0,I608,J608))</f>
        <v>#NAME?</v>
      </c>
      <c r="X608" t="e">
        <f ca="1">IF(B608="","",CGBlackScholes("dt",LOWER(H608),F608,G608,(D608-A608)/365,E608,0,I608,J608))</f>
        <v>#NAME?</v>
      </c>
      <c r="Y608" t="e">
        <f ca="1">IF(B608="","",CGBlackScholes("gps",LOWER(H608),F608,G608,(D608-A608)/365,E608,0,I608,J608))</f>
        <v>#NAME?</v>
      </c>
      <c r="Z608" t="e">
        <f ca="1">IF(B608="","",CGBlackScholes("gpv",LOWER(H608),F608,G608,(D608-A608)/365,E608,0,I608,J608))</f>
        <v>#NAME?</v>
      </c>
      <c r="AA608" t="e">
        <f ca="1">IF(B608="","",CGBlackScholes("dvdv",LOWER(H608),F608,G608,(D608-A608)/365,E608,0,I608,J608))</f>
        <v>#NAME?</v>
      </c>
      <c r="AB608" t="e">
        <f ca="1">IF(B608="","",CGBlackScholes("vvv",LOWER(H608),F608,G608,(D608-A608)/365,E608,0,I608,J608))</f>
        <v>#NAME?</v>
      </c>
    </row>
    <row r="609" spans="1:28" x14ac:dyDescent="0.3">
      <c r="A609" s="18">
        <v>45918</v>
      </c>
      <c r="B609">
        <v>482.5</v>
      </c>
      <c r="C609" t="s">
        <v>52</v>
      </c>
      <c r="D609" s="18">
        <v>45961</v>
      </c>
      <c r="E609" t="str">
        <f>IFERROR(VLOOKUP(A609,#REF!,5,TRUE),"not found")</f>
        <v>not found</v>
      </c>
      <c r="F609" t="str">
        <f>IFERROR(VLOOKUP(A609,#REF!,2,TRUE),"")</f>
        <v/>
      </c>
      <c r="G609">
        <v>7175</v>
      </c>
      <c r="H609" t="s">
        <v>2</v>
      </c>
      <c r="I609" t="e">
        <f ca="1">IF(B609="","",GBlackScholesImpVolBisection(LOWER(H609),F609,G609,(D609-A609)/365,E609,0,B609))</f>
        <v>#NAME?</v>
      </c>
      <c r="J609" t="e">
        <f ca="1">IF(B609="","",GBlackScholesNGreeks("d",LOWER(H609),F609,G609,(D609-A609)/365,E609,0,I609))</f>
        <v>#NAME?</v>
      </c>
      <c r="K609" t="e">
        <f ca="1">IF(B609="","",GBlackScholesNGreeks("v",LOWER(H609),F609,G609,(D609-A609)/365,E609,0,I609))</f>
        <v>#NAME?</v>
      </c>
      <c r="L609" t="e">
        <f ca="1">IF(B609="","",GBlackScholesNGreeks("g",LOWER(H609),F609,G609,(D609-A609)/365,E609,0,I609))</f>
        <v>#NAME?</v>
      </c>
      <c r="M609" t="e">
        <f ca="1">IF(B609="","",GBlackScholesNGreeks("t",LOWER(H609),F609,G609,(D609-A609)/365,E609,0,I609))</f>
        <v>#NAME?</v>
      </c>
      <c r="N609" t="e">
        <f ca="1">IF(B609="","",GBlackScholesNGreeks("r",LOWER(H609),F609,G609,(D609-A609)/365,E609,0,I609))</f>
        <v>#NAME?</v>
      </c>
      <c r="O609">
        <v>64</v>
      </c>
      <c r="P609" t="s">
        <v>39</v>
      </c>
      <c r="Q609">
        <v>50</v>
      </c>
      <c r="R609" t="s">
        <v>53</v>
      </c>
      <c r="S609" t="s">
        <v>33</v>
      </c>
      <c r="T609" t="s">
        <v>0</v>
      </c>
      <c r="U609">
        <v>0</v>
      </c>
      <c r="V609" t="e">
        <f ca="1">IF(B609="","",CGBlackScholes("dddv",LOWER(H609),F609,G609,(D609-A609)/365,E609,0,I609,J609))</f>
        <v>#NAME?</v>
      </c>
      <c r="W609" t="e">
        <f ca="1">IF(B609="","",CGBlackScholes("dvv",LOWER(H609),F609,G609,(D609-A609)/365,E609,0,I609,J609))</f>
        <v>#NAME?</v>
      </c>
      <c r="X609" t="e">
        <f ca="1">IF(B609="","",CGBlackScholes("dt",LOWER(H609),F609,G609,(D609-A609)/365,E609,0,I609,J609))</f>
        <v>#NAME?</v>
      </c>
      <c r="Y609" t="e">
        <f ca="1">IF(B609="","",CGBlackScholes("gps",LOWER(H609),F609,G609,(D609-A609)/365,E609,0,I609,J609))</f>
        <v>#NAME?</v>
      </c>
      <c r="Z609" t="e">
        <f ca="1">IF(B609="","",CGBlackScholes("gpv",LOWER(H609),F609,G609,(D609-A609)/365,E609,0,I609,J609))</f>
        <v>#NAME?</v>
      </c>
      <c r="AA609" t="e">
        <f ca="1">IF(B609="","",CGBlackScholes("dvdv",LOWER(H609),F609,G609,(D609-A609)/365,E609,0,I609,J609))</f>
        <v>#NAME?</v>
      </c>
      <c r="AB609" t="e">
        <f ca="1">IF(B609="","",CGBlackScholes("vvv",LOWER(H609),F609,G609,(D609-A609)/365,E609,0,I609,J609))</f>
        <v>#NAME?</v>
      </c>
    </row>
    <row r="610" spans="1:28" x14ac:dyDescent="0.3">
      <c r="A610" s="18">
        <v>45917</v>
      </c>
      <c r="B610">
        <v>516.25</v>
      </c>
      <c r="C610" t="s">
        <v>52</v>
      </c>
      <c r="D610" s="18">
        <v>45961</v>
      </c>
      <c r="E610" t="str">
        <f>IFERROR(VLOOKUP(A610,#REF!,5,TRUE),"not found")</f>
        <v>not found</v>
      </c>
      <c r="F610" t="str">
        <f>IFERROR(VLOOKUP(A610,#REF!,2,TRUE),"")</f>
        <v/>
      </c>
      <c r="G610">
        <v>7175</v>
      </c>
      <c r="H610" t="s">
        <v>2</v>
      </c>
      <c r="I610" t="e">
        <f ca="1">IF(B610="","",GBlackScholesImpVolBisection(LOWER(H610),F610,G610,(D610-A610)/365,E610,0,B610))</f>
        <v>#NAME?</v>
      </c>
      <c r="J610" t="e">
        <f ca="1">IF(B610="","",GBlackScholesNGreeks("d",LOWER(H610),F610,G610,(D610-A610)/365,E610,0,I610))</f>
        <v>#NAME?</v>
      </c>
      <c r="K610" t="e">
        <f ca="1">IF(B610="","",GBlackScholesNGreeks("v",LOWER(H610),F610,G610,(D610-A610)/365,E610,0,I610))</f>
        <v>#NAME?</v>
      </c>
      <c r="L610" t="e">
        <f ca="1">IF(B610="","",GBlackScholesNGreeks("g",LOWER(H610),F610,G610,(D610-A610)/365,E610,0,I610))</f>
        <v>#NAME?</v>
      </c>
      <c r="M610" t="e">
        <f ca="1">IF(B610="","",GBlackScholesNGreeks("t",LOWER(H610),F610,G610,(D610-A610)/365,E610,0,I610))</f>
        <v>#NAME?</v>
      </c>
      <c r="N610" t="e">
        <f ca="1">IF(B610="","",GBlackScholesNGreeks("r",LOWER(H610),F610,G610,(D610-A610)/365,E610,0,I610))</f>
        <v>#NAME?</v>
      </c>
      <c r="O610">
        <v>64</v>
      </c>
      <c r="P610" t="s">
        <v>39</v>
      </c>
      <c r="Q610">
        <v>50</v>
      </c>
      <c r="R610" t="s">
        <v>53</v>
      </c>
      <c r="S610" t="s">
        <v>33</v>
      </c>
      <c r="T610" t="s">
        <v>0</v>
      </c>
      <c r="U610">
        <v>0</v>
      </c>
      <c r="V610" t="e">
        <f ca="1">IF(B610="","",CGBlackScholes("dddv",LOWER(H610),F610,G610,(D610-A610)/365,E610,0,I610,J610))</f>
        <v>#NAME?</v>
      </c>
      <c r="W610" t="e">
        <f ca="1">IF(B610="","",CGBlackScholes("dvv",LOWER(H610),F610,G610,(D610-A610)/365,E610,0,I610,J610))</f>
        <v>#NAME?</v>
      </c>
      <c r="X610" t="e">
        <f ca="1">IF(B610="","",CGBlackScholes("dt",LOWER(H610),F610,G610,(D610-A610)/365,E610,0,I610,J610))</f>
        <v>#NAME?</v>
      </c>
      <c r="Y610" t="e">
        <f ca="1">IF(B610="","",CGBlackScholes("gps",LOWER(H610),F610,G610,(D610-A610)/365,E610,0,I610,J610))</f>
        <v>#NAME?</v>
      </c>
      <c r="Z610" t="e">
        <f ca="1">IF(B610="","",CGBlackScholes("gpv",LOWER(H610),F610,G610,(D610-A610)/365,E610,0,I610,J610))</f>
        <v>#NAME?</v>
      </c>
      <c r="AA610" t="e">
        <f ca="1">IF(B610="","",CGBlackScholes("dvdv",LOWER(H610),F610,G610,(D610-A610)/365,E610,0,I610,J610))</f>
        <v>#NAME?</v>
      </c>
      <c r="AB610" t="e">
        <f ca="1">IF(B610="","",CGBlackScholes("vvv",LOWER(H610),F610,G610,(D610-A610)/365,E610,0,I610,J610))</f>
        <v>#NAME?</v>
      </c>
    </row>
    <row r="611" spans="1:28" x14ac:dyDescent="0.3">
      <c r="A611" s="18">
        <v>45916</v>
      </c>
      <c r="B611">
        <v>507.75</v>
      </c>
      <c r="C611" t="s">
        <v>52</v>
      </c>
      <c r="D611" s="18">
        <v>45961</v>
      </c>
      <c r="E611" t="str">
        <f>IFERROR(VLOOKUP(A611,#REF!,5,TRUE),"not found")</f>
        <v>not found</v>
      </c>
      <c r="F611" t="str">
        <f>IFERROR(VLOOKUP(A611,#REF!,2,TRUE),"")</f>
        <v/>
      </c>
      <c r="G611">
        <v>7175</v>
      </c>
      <c r="H611" t="s">
        <v>2</v>
      </c>
      <c r="I611" t="e">
        <f ca="1">IF(B611="","",GBlackScholesImpVolBisection(LOWER(H611),F611,G611,(D611-A611)/365,E611,0,B611))</f>
        <v>#NAME?</v>
      </c>
      <c r="J611" t="e">
        <f ca="1">IF(B611="","",GBlackScholesNGreeks("d",LOWER(H611),F611,G611,(D611-A611)/365,E611,0,I611))</f>
        <v>#NAME?</v>
      </c>
      <c r="K611" t="e">
        <f ca="1">IF(B611="","",GBlackScholesNGreeks("v",LOWER(H611),F611,G611,(D611-A611)/365,E611,0,I611))</f>
        <v>#NAME?</v>
      </c>
      <c r="L611" t="e">
        <f ca="1">IF(B611="","",GBlackScholesNGreeks("g",LOWER(H611),F611,G611,(D611-A611)/365,E611,0,I611))</f>
        <v>#NAME?</v>
      </c>
      <c r="M611" t="e">
        <f ca="1">IF(B611="","",GBlackScholesNGreeks("t",LOWER(H611),F611,G611,(D611-A611)/365,E611,0,I611))</f>
        <v>#NAME?</v>
      </c>
      <c r="N611" t="e">
        <f ca="1">IF(B611="","",GBlackScholesNGreeks("r",LOWER(H611),F611,G611,(D611-A611)/365,E611,0,I611))</f>
        <v>#NAME?</v>
      </c>
      <c r="O611">
        <v>64</v>
      </c>
      <c r="P611" t="s">
        <v>39</v>
      </c>
      <c r="Q611">
        <v>50</v>
      </c>
      <c r="R611" t="s">
        <v>53</v>
      </c>
      <c r="S611" t="s">
        <v>33</v>
      </c>
      <c r="T611" t="s">
        <v>0</v>
      </c>
      <c r="U611">
        <v>0</v>
      </c>
      <c r="V611" t="e">
        <f ca="1">IF(B611="","",CGBlackScholes("dddv",LOWER(H611),F611,G611,(D611-A611)/365,E611,0,I611,J611))</f>
        <v>#NAME?</v>
      </c>
      <c r="W611" t="e">
        <f ca="1">IF(B611="","",CGBlackScholes("dvv",LOWER(H611),F611,G611,(D611-A611)/365,E611,0,I611,J611))</f>
        <v>#NAME?</v>
      </c>
      <c r="X611" t="e">
        <f ca="1">IF(B611="","",CGBlackScholes("dt",LOWER(H611),F611,G611,(D611-A611)/365,E611,0,I611,J611))</f>
        <v>#NAME?</v>
      </c>
      <c r="Y611" t="e">
        <f ca="1">IF(B611="","",CGBlackScholes("gps",LOWER(H611),F611,G611,(D611-A611)/365,E611,0,I611,J611))</f>
        <v>#NAME?</v>
      </c>
      <c r="Z611" t="e">
        <f ca="1">IF(B611="","",CGBlackScholes("gpv",LOWER(H611),F611,G611,(D611-A611)/365,E611,0,I611,J611))</f>
        <v>#NAME?</v>
      </c>
      <c r="AA611" t="e">
        <f ca="1">IF(B611="","",CGBlackScholes("dvdv",LOWER(H611),F611,G611,(D611-A611)/365,E611,0,I611,J611))</f>
        <v>#NAME?</v>
      </c>
      <c r="AB611" t="e">
        <f ca="1">IF(B611="","",CGBlackScholes("vvv",LOWER(H611),F611,G611,(D611-A611)/365,E611,0,I611,J611))</f>
        <v>#NAME?</v>
      </c>
    </row>
    <row r="612" spans="1:28" x14ac:dyDescent="0.3">
      <c r="A612" s="18">
        <v>45915</v>
      </c>
      <c r="B612">
        <v>496.5</v>
      </c>
      <c r="C612" t="s">
        <v>52</v>
      </c>
      <c r="D612" s="18">
        <v>45961</v>
      </c>
      <c r="E612" t="str">
        <f>IFERROR(VLOOKUP(A612,#REF!,5,TRUE),"not found")</f>
        <v>not found</v>
      </c>
      <c r="F612" t="str">
        <f>IFERROR(VLOOKUP(A612,#REF!,2,TRUE),"")</f>
        <v/>
      </c>
      <c r="G612">
        <v>7175</v>
      </c>
      <c r="H612" t="s">
        <v>2</v>
      </c>
      <c r="I612" t="e">
        <f ca="1">IF(B612="","",GBlackScholesImpVolBisection(LOWER(H612),F612,G612,(D612-A612)/365,E612,0,B612))</f>
        <v>#NAME?</v>
      </c>
      <c r="J612" t="e">
        <f ca="1">IF(B612="","",GBlackScholesNGreeks("d",LOWER(H612),F612,G612,(D612-A612)/365,E612,0,I612))</f>
        <v>#NAME?</v>
      </c>
      <c r="K612" t="e">
        <f ca="1">IF(B612="","",GBlackScholesNGreeks("v",LOWER(H612),F612,G612,(D612-A612)/365,E612,0,I612))</f>
        <v>#NAME?</v>
      </c>
      <c r="L612" t="e">
        <f ca="1">IF(B612="","",GBlackScholesNGreeks("g",LOWER(H612),F612,G612,(D612-A612)/365,E612,0,I612))</f>
        <v>#NAME?</v>
      </c>
      <c r="M612" t="e">
        <f ca="1">IF(B612="","",GBlackScholesNGreeks("t",LOWER(H612),F612,G612,(D612-A612)/365,E612,0,I612))</f>
        <v>#NAME?</v>
      </c>
      <c r="N612" t="e">
        <f ca="1">IF(B612="","",GBlackScholesNGreeks("r",LOWER(H612),F612,G612,(D612-A612)/365,E612,0,I612))</f>
        <v>#NAME?</v>
      </c>
      <c r="O612">
        <v>64</v>
      </c>
      <c r="P612" t="s">
        <v>39</v>
      </c>
      <c r="Q612">
        <v>50</v>
      </c>
      <c r="R612" t="s">
        <v>53</v>
      </c>
      <c r="S612" t="s">
        <v>33</v>
      </c>
      <c r="T612" t="s">
        <v>0</v>
      </c>
      <c r="U612">
        <v>0</v>
      </c>
      <c r="V612" t="e">
        <f ca="1">IF(B612="","",CGBlackScholes("dddv",LOWER(H612),F612,G612,(D612-A612)/365,E612,0,I612,J612))</f>
        <v>#NAME?</v>
      </c>
      <c r="W612" t="e">
        <f ca="1">IF(B612="","",CGBlackScholes("dvv",LOWER(H612),F612,G612,(D612-A612)/365,E612,0,I612,J612))</f>
        <v>#NAME?</v>
      </c>
      <c r="X612" t="e">
        <f ca="1">IF(B612="","",CGBlackScholes("dt",LOWER(H612),F612,G612,(D612-A612)/365,E612,0,I612,J612))</f>
        <v>#NAME?</v>
      </c>
      <c r="Y612" t="e">
        <f ca="1">IF(B612="","",CGBlackScholes("gps",LOWER(H612),F612,G612,(D612-A612)/365,E612,0,I612,J612))</f>
        <v>#NAME?</v>
      </c>
      <c r="Z612" t="e">
        <f ca="1">IF(B612="","",CGBlackScholes("gpv",LOWER(H612),F612,G612,(D612-A612)/365,E612,0,I612,J612))</f>
        <v>#NAME?</v>
      </c>
      <c r="AA612" t="e">
        <f ca="1">IF(B612="","",CGBlackScholes("dvdv",LOWER(H612),F612,G612,(D612-A612)/365,E612,0,I612,J612))</f>
        <v>#NAME?</v>
      </c>
      <c r="AB612" t="e">
        <f ca="1">IF(B612="","",CGBlackScholes("vvv",LOWER(H612),F612,G612,(D612-A612)/365,E612,0,I612,J612))</f>
        <v>#NAME?</v>
      </c>
    </row>
    <row r="613" spans="1:28" x14ac:dyDescent="0.3">
      <c r="A613" s="18">
        <v>45912</v>
      </c>
      <c r="B613">
        <v>529.5</v>
      </c>
      <c r="C613" t="s">
        <v>52</v>
      </c>
      <c r="D613" s="18">
        <v>45961</v>
      </c>
      <c r="E613" t="str">
        <f>IFERROR(VLOOKUP(A613,#REF!,5,TRUE),"not found")</f>
        <v>not found</v>
      </c>
      <c r="F613" t="str">
        <f>IFERROR(VLOOKUP(A613,#REF!,2,TRUE),"")</f>
        <v/>
      </c>
      <c r="G613">
        <v>7175</v>
      </c>
      <c r="H613" t="s">
        <v>2</v>
      </c>
      <c r="I613" t="e">
        <f ca="1">IF(B613="","",GBlackScholesImpVolBisection(LOWER(H613),F613,G613,(D613-A613)/365,E613,0,B613))</f>
        <v>#NAME?</v>
      </c>
      <c r="J613" t="e">
        <f ca="1">IF(B613="","",GBlackScholesNGreeks("d",LOWER(H613),F613,G613,(D613-A613)/365,E613,0,I613))</f>
        <v>#NAME?</v>
      </c>
      <c r="K613" t="e">
        <f ca="1">IF(B613="","",GBlackScholesNGreeks("v",LOWER(H613),F613,G613,(D613-A613)/365,E613,0,I613))</f>
        <v>#NAME?</v>
      </c>
      <c r="L613" t="e">
        <f ca="1">IF(B613="","",GBlackScholesNGreeks("g",LOWER(H613),F613,G613,(D613-A613)/365,E613,0,I613))</f>
        <v>#NAME?</v>
      </c>
      <c r="M613" t="e">
        <f ca="1">IF(B613="","",GBlackScholesNGreeks("t",LOWER(H613),F613,G613,(D613-A613)/365,E613,0,I613))</f>
        <v>#NAME?</v>
      </c>
      <c r="N613" t="e">
        <f ca="1">IF(B613="","",GBlackScholesNGreeks("r",LOWER(H613),F613,G613,(D613-A613)/365,E613,0,I613))</f>
        <v>#NAME?</v>
      </c>
      <c r="O613">
        <v>64</v>
      </c>
      <c r="P613" t="s">
        <v>39</v>
      </c>
      <c r="Q613">
        <v>50</v>
      </c>
      <c r="R613" t="s">
        <v>53</v>
      </c>
      <c r="S613" t="s">
        <v>33</v>
      </c>
      <c r="T613" t="s">
        <v>0</v>
      </c>
      <c r="U613">
        <v>0</v>
      </c>
      <c r="V613" t="e">
        <f ca="1">IF(B613="","",CGBlackScholes("dddv",LOWER(H613),F613,G613,(D613-A613)/365,E613,0,I613,J613))</f>
        <v>#NAME?</v>
      </c>
      <c r="W613" t="e">
        <f ca="1">IF(B613="","",CGBlackScholes("dvv",LOWER(H613),F613,G613,(D613-A613)/365,E613,0,I613,J613))</f>
        <v>#NAME?</v>
      </c>
      <c r="X613" t="e">
        <f ca="1">IF(B613="","",CGBlackScholes("dt",LOWER(H613),F613,G613,(D613-A613)/365,E613,0,I613,J613))</f>
        <v>#NAME?</v>
      </c>
      <c r="Y613" t="e">
        <f ca="1">IF(B613="","",CGBlackScholes("gps",LOWER(H613),F613,G613,(D613-A613)/365,E613,0,I613,J613))</f>
        <v>#NAME?</v>
      </c>
      <c r="Z613" t="e">
        <f ca="1">IF(B613="","",CGBlackScholes("gpv",LOWER(H613),F613,G613,(D613-A613)/365,E613,0,I613,J613))</f>
        <v>#NAME?</v>
      </c>
      <c r="AA613" t="e">
        <f ca="1">IF(B613="","",CGBlackScholes("dvdv",LOWER(H613),F613,G613,(D613-A613)/365,E613,0,I613,J613))</f>
        <v>#NAME?</v>
      </c>
      <c r="AB613" t="e">
        <f ca="1">IF(B613="","",CGBlackScholes("vvv",LOWER(H613),F613,G613,(D613-A613)/365,E613,0,I613,J613))</f>
        <v>#NAME?</v>
      </c>
    </row>
    <row r="614" spans="1:28" x14ac:dyDescent="0.3">
      <c r="A614" s="18">
        <v>45911</v>
      </c>
      <c r="B614">
        <v>527</v>
      </c>
      <c r="C614" t="s">
        <v>52</v>
      </c>
      <c r="D614" s="18">
        <v>45961</v>
      </c>
      <c r="E614" t="str">
        <f>IFERROR(VLOOKUP(A614,#REF!,5,TRUE),"not found")</f>
        <v>not found</v>
      </c>
      <c r="F614" t="str">
        <f>IFERROR(VLOOKUP(A614,#REF!,2,TRUE),"")</f>
        <v/>
      </c>
      <c r="G614">
        <v>7175</v>
      </c>
      <c r="H614" t="s">
        <v>2</v>
      </c>
      <c r="I614" t="e">
        <f ca="1">IF(B614="","",GBlackScholesImpVolBisection(LOWER(H614),F614,G614,(D614-A614)/365,E614,0,B614))</f>
        <v>#NAME?</v>
      </c>
      <c r="J614" t="e">
        <f ca="1">IF(B614="","",GBlackScholesNGreeks("d",LOWER(H614),F614,G614,(D614-A614)/365,E614,0,I614))</f>
        <v>#NAME?</v>
      </c>
      <c r="K614" t="e">
        <f ca="1">IF(B614="","",GBlackScholesNGreeks("v",LOWER(H614),F614,G614,(D614-A614)/365,E614,0,I614))</f>
        <v>#NAME?</v>
      </c>
      <c r="L614" t="e">
        <f ca="1">IF(B614="","",GBlackScholesNGreeks("g",LOWER(H614),F614,G614,(D614-A614)/365,E614,0,I614))</f>
        <v>#NAME?</v>
      </c>
      <c r="M614" t="e">
        <f ca="1">IF(B614="","",GBlackScholesNGreeks("t",LOWER(H614),F614,G614,(D614-A614)/365,E614,0,I614))</f>
        <v>#NAME?</v>
      </c>
      <c r="N614" t="e">
        <f ca="1">IF(B614="","",GBlackScholesNGreeks("r",LOWER(H614),F614,G614,(D614-A614)/365,E614,0,I614))</f>
        <v>#NAME?</v>
      </c>
      <c r="O614">
        <v>64</v>
      </c>
      <c r="P614" t="s">
        <v>39</v>
      </c>
      <c r="Q614">
        <v>50</v>
      </c>
      <c r="R614" t="s">
        <v>53</v>
      </c>
      <c r="S614" t="s">
        <v>33</v>
      </c>
      <c r="T614" t="s">
        <v>0</v>
      </c>
      <c r="U614">
        <v>0</v>
      </c>
      <c r="V614" t="e">
        <f ca="1">IF(B614="","",CGBlackScholes("dddv",LOWER(H614),F614,G614,(D614-A614)/365,E614,0,I614,J614))</f>
        <v>#NAME?</v>
      </c>
      <c r="W614" t="e">
        <f ca="1">IF(B614="","",CGBlackScholes("dvv",LOWER(H614),F614,G614,(D614-A614)/365,E614,0,I614,J614))</f>
        <v>#NAME?</v>
      </c>
      <c r="X614" t="e">
        <f ca="1">IF(B614="","",CGBlackScholes("dt",LOWER(H614),F614,G614,(D614-A614)/365,E614,0,I614,J614))</f>
        <v>#NAME?</v>
      </c>
      <c r="Y614" t="e">
        <f ca="1">IF(B614="","",CGBlackScholes("gps",LOWER(H614),F614,G614,(D614-A614)/365,E614,0,I614,J614))</f>
        <v>#NAME?</v>
      </c>
      <c r="Z614" t="e">
        <f ca="1">IF(B614="","",CGBlackScholes("gpv",LOWER(H614),F614,G614,(D614-A614)/365,E614,0,I614,J614))</f>
        <v>#NAME?</v>
      </c>
      <c r="AA614" t="e">
        <f ca="1">IF(B614="","",CGBlackScholes("dvdv",LOWER(H614),F614,G614,(D614-A614)/365,E614,0,I614,J614))</f>
        <v>#NAME?</v>
      </c>
      <c r="AB614" t="e">
        <f ca="1">IF(B614="","",CGBlackScholes("vvv",LOWER(H614),F614,G614,(D614-A614)/365,E614,0,I614,J614))</f>
        <v>#NAME?</v>
      </c>
    </row>
    <row r="615" spans="1:28" x14ac:dyDescent="0.3">
      <c r="A615" s="18">
        <v>45910</v>
      </c>
      <c r="B615">
        <v>578.5</v>
      </c>
      <c r="C615" t="s">
        <v>52</v>
      </c>
      <c r="D615" s="18">
        <v>45961</v>
      </c>
      <c r="E615" t="str">
        <f>IFERROR(VLOOKUP(A615,#REF!,5,TRUE),"not found")</f>
        <v>not found</v>
      </c>
      <c r="F615" t="str">
        <f>IFERROR(VLOOKUP(A615,#REF!,2,TRUE),"")</f>
        <v/>
      </c>
      <c r="G615">
        <v>7175</v>
      </c>
      <c r="H615" t="s">
        <v>2</v>
      </c>
      <c r="I615" t="e">
        <f ca="1">IF(B615="","",GBlackScholesImpVolBisection(LOWER(H615),F615,G615,(D615-A615)/365,E615,0,B615))</f>
        <v>#NAME?</v>
      </c>
      <c r="J615" t="e">
        <f ca="1">IF(B615="","",GBlackScholesNGreeks("d",LOWER(H615),F615,G615,(D615-A615)/365,E615,0,I615))</f>
        <v>#NAME?</v>
      </c>
      <c r="K615" t="e">
        <f ca="1">IF(B615="","",GBlackScholesNGreeks("v",LOWER(H615),F615,G615,(D615-A615)/365,E615,0,I615))</f>
        <v>#NAME?</v>
      </c>
      <c r="L615" t="e">
        <f ca="1">IF(B615="","",GBlackScholesNGreeks("g",LOWER(H615),F615,G615,(D615-A615)/365,E615,0,I615))</f>
        <v>#NAME?</v>
      </c>
      <c r="M615" t="e">
        <f ca="1">IF(B615="","",GBlackScholesNGreeks("t",LOWER(H615),F615,G615,(D615-A615)/365,E615,0,I615))</f>
        <v>#NAME?</v>
      </c>
      <c r="N615" t="e">
        <f ca="1">IF(B615="","",GBlackScholesNGreeks("r",LOWER(H615),F615,G615,(D615-A615)/365,E615,0,I615))</f>
        <v>#NAME?</v>
      </c>
      <c r="O615">
        <v>64</v>
      </c>
      <c r="P615" t="s">
        <v>39</v>
      </c>
      <c r="Q615">
        <v>50</v>
      </c>
      <c r="R615" t="s">
        <v>53</v>
      </c>
      <c r="S615" t="s">
        <v>33</v>
      </c>
      <c r="T615" t="s">
        <v>0</v>
      </c>
      <c r="U615">
        <v>0</v>
      </c>
      <c r="V615" t="e">
        <f ca="1">IF(B615="","",CGBlackScholes("dddv",LOWER(H615),F615,G615,(D615-A615)/365,E615,0,I615,J615))</f>
        <v>#NAME?</v>
      </c>
      <c r="W615" t="e">
        <f ca="1">IF(B615="","",CGBlackScholes("dvv",LOWER(H615),F615,G615,(D615-A615)/365,E615,0,I615,J615))</f>
        <v>#NAME?</v>
      </c>
      <c r="X615" t="e">
        <f ca="1">IF(B615="","",CGBlackScholes("dt",LOWER(H615),F615,G615,(D615-A615)/365,E615,0,I615,J615))</f>
        <v>#NAME?</v>
      </c>
      <c r="Y615" t="e">
        <f ca="1">IF(B615="","",CGBlackScholes("gps",LOWER(H615),F615,G615,(D615-A615)/365,E615,0,I615,J615))</f>
        <v>#NAME?</v>
      </c>
      <c r="Z615" t="e">
        <f ca="1">IF(B615="","",CGBlackScholes("gpv",LOWER(H615),F615,G615,(D615-A615)/365,E615,0,I615,J615))</f>
        <v>#NAME?</v>
      </c>
      <c r="AA615" t="e">
        <f ca="1">IF(B615="","",CGBlackScholes("dvdv",LOWER(H615),F615,G615,(D615-A615)/365,E615,0,I615,J615))</f>
        <v>#NAME?</v>
      </c>
      <c r="AB615" t="e">
        <f ca="1">IF(B615="","",CGBlackScholes("vvv",LOWER(H615),F615,G615,(D615-A615)/365,E615,0,I615,J615))</f>
        <v>#NAME?</v>
      </c>
    </row>
    <row r="616" spans="1:28" x14ac:dyDescent="0.3">
      <c r="A616" s="18">
        <v>45909</v>
      </c>
      <c r="B616">
        <v>596</v>
      </c>
      <c r="C616" t="s">
        <v>52</v>
      </c>
      <c r="D616" s="18">
        <v>45961</v>
      </c>
      <c r="E616" t="str">
        <f>IFERROR(VLOOKUP(A616,#REF!,5,TRUE),"not found")</f>
        <v>not found</v>
      </c>
      <c r="F616" t="str">
        <f>IFERROR(VLOOKUP(A616,#REF!,2,TRUE),"")</f>
        <v/>
      </c>
      <c r="G616">
        <v>7175</v>
      </c>
      <c r="H616" t="s">
        <v>2</v>
      </c>
      <c r="I616" t="e">
        <f ca="1">IF(B616="","",GBlackScholesImpVolBisection(LOWER(H616),F616,G616,(D616-A616)/365,E616,0,B616))</f>
        <v>#NAME?</v>
      </c>
      <c r="J616" t="e">
        <f ca="1">IF(B616="","",GBlackScholesNGreeks("d",LOWER(H616),F616,G616,(D616-A616)/365,E616,0,I616))</f>
        <v>#NAME?</v>
      </c>
      <c r="K616" t="e">
        <f ca="1">IF(B616="","",GBlackScholesNGreeks("v",LOWER(H616),F616,G616,(D616-A616)/365,E616,0,I616))</f>
        <v>#NAME?</v>
      </c>
      <c r="L616" t="e">
        <f ca="1">IF(B616="","",GBlackScholesNGreeks("g",LOWER(H616),F616,G616,(D616-A616)/365,E616,0,I616))</f>
        <v>#NAME?</v>
      </c>
      <c r="M616" t="e">
        <f ca="1">IF(B616="","",GBlackScholesNGreeks("t",LOWER(H616),F616,G616,(D616-A616)/365,E616,0,I616))</f>
        <v>#NAME?</v>
      </c>
      <c r="N616" t="e">
        <f ca="1">IF(B616="","",GBlackScholesNGreeks("r",LOWER(H616),F616,G616,(D616-A616)/365,E616,0,I616))</f>
        <v>#NAME?</v>
      </c>
      <c r="O616">
        <v>64</v>
      </c>
      <c r="P616" t="s">
        <v>39</v>
      </c>
      <c r="Q616">
        <v>50</v>
      </c>
      <c r="R616" t="s">
        <v>53</v>
      </c>
      <c r="S616" t="s">
        <v>33</v>
      </c>
      <c r="T616" t="s">
        <v>0</v>
      </c>
      <c r="U616">
        <v>0</v>
      </c>
      <c r="V616" t="e">
        <f ca="1">IF(B616="","",CGBlackScholes("dddv",LOWER(H616),F616,G616,(D616-A616)/365,E616,0,I616,J616))</f>
        <v>#NAME?</v>
      </c>
      <c r="W616" t="e">
        <f ca="1">IF(B616="","",CGBlackScholes("dvv",LOWER(H616),F616,G616,(D616-A616)/365,E616,0,I616,J616))</f>
        <v>#NAME?</v>
      </c>
      <c r="X616" t="e">
        <f ca="1">IF(B616="","",CGBlackScholes("dt",LOWER(H616),F616,G616,(D616-A616)/365,E616,0,I616,J616))</f>
        <v>#NAME?</v>
      </c>
      <c r="Y616" t="e">
        <f ca="1">IF(B616="","",CGBlackScholes("gps",LOWER(H616),F616,G616,(D616-A616)/365,E616,0,I616,J616))</f>
        <v>#NAME?</v>
      </c>
      <c r="Z616" t="e">
        <f ca="1">IF(B616="","",CGBlackScholes("gpv",LOWER(H616),F616,G616,(D616-A616)/365,E616,0,I616,J616))</f>
        <v>#NAME?</v>
      </c>
      <c r="AA616" t="e">
        <f ca="1">IF(B616="","",CGBlackScholes("dvdv",LOWER(H616),F616,G616,(D616-A616)/365,E616,0,I616,J616))</f>
        <v>#NAME?</v>
      </c>
      <c r="AB616" t="e">
        <f ca="1">IF(B616="","",CGBlackScholes("vvv",LOWER(H616),F616,G616,(D616-A616)/365,E616,0,I616,J616))</f>
        <v>#NAME?</v>
      </c>
    </row>
    <row r="617" spans="1:28" x14ac:dyDescent="0.3">
      <c r="A617" s="18">
        <v>45908</v>
      </c>
      <c r="B617">
        <v>611.75</v>
      </c>
      <c r="C617" t="s">
        <v>52</v>
      </c>
      <c r="D617" s="18">
        <v>45961</v>
      </c>
      <c r="E617" t="str">
        <f>IFERROR(VLOOKUP(A617,#REF!,5,TRUE),"not found")</f>
        <v>not found</v>
      </c>
      <c r="F617" t="str">
        <f>IFERROR(VLOOKUP(A617,#REF!,2,TRUE),"")</f>
        <v/>
      </c>
      <c r="G617">
        <v>7175</v>
      </c>
      <c r="H617" t="s">
        <v>2</v>
      </c>
      <c r="I617" t="e">
        <f ca="1">IF(B617="","",GBlackScholesImpVolBisection(LOWER(H617),F617,G617,(D617-A617)/365,E617,0,B617))</f>
        <v>#NAME?</v>
      </c>
      <c r="J617" t="e">
        <f ca="1">IF(B617="","",GBlackScholesNGreeks("d",LOWER(H617),F617,G617,(D617-A617)/365,E617,0,I617))</f>
        <v>#NAME?</v>
      </c>
      <c r="K617" t="e">
        <f ca="1">IF(B617="","",GBlackScholesNGreeks("v",LOWER(H617),F617,G617,(D617-A617)/365,E617,0,I617))</f>
        <v>#NAME?</v>
      </c>
      <c r="L617" t="e">
        <f ca="1">IF(B617="","",GBlackScholesNGreeks("g",LOWER(H617),F617,G617,(D617-A617)/365,E617,0,I617))</f>
        <v>#NAME?</v>
      </c>
      <c r="M617" t="e">
        <f ca="1">IF(B617="","",GBlackScholesNGreeks("t",LOWER(H617),F617,G617,(D617-A617)/365,E617,0,I617))</f>
        <v>#NAME?</v>
      </c>
      <c r="N617" t="e">
        <f ca="1">IF(B617="","",GBlackScholesNGreeks("r",LOWER(H617),F617,G617,(D617-A617)/365,E617,0,I617))</f>
        <v>#NAME?</v>
      </c>
      <c r="O617">
        <v>64</v>
      </c>
      <c r="P617" t="s">
        <v>39</v>
      </c>
      <c r="Q617">
        <v>50</v>
      </c>
      <c r="R617" t="s">
        <v>53</v>
      </c>
      <c r="S617" t="s">
        <v>33</v>
      </c>
      <c r="T617" t="s">
        <v>0</v>
      </c>
      <c r="U617">
        <v>0</v>
      </c>
      <c r="V617" t="e">
        <f ca="1">IF(B617="","",CGBlackScholes("dddv",LOWER(H617),F617,G617,(D617-A617)/365,E617,0,I617,J617))</f>
        <v>#NAME?</v>
      </c>
      <c r="W617" t="e">
        <f ca="1">IF(B617="","",CGBlackScholes("dvv",LOWER(H617),F617,G617,(D617-A617)/365,E617,0,I617,J617))</f>
        <v>#NAME?</v>
      </c>
      <c r="X617" t="e">
        <f ca="1">IF(B617="","",CGBlackScholes("dt",LOWER(H617),F617,G617,(D617-A617)/365,E617,0,I617,J617))</f>
        <v>#NAME?</v>
      </c>
      <c r="Y617" t="e">
        <f ca="1">IF(B617="","",CGBlackScholes("gps",LOWER(H617),F617,G617,(D617-A617)/365,E617,0,I617,J617))</f>
        <v>#NAME?</v>
      </c>
      <c r="Z617" t="e">
        <f ca="1">IF(B617="","",CGBlackScholes("gpv",LOWER(H617),F617,G617,(D617-A617)/365,E617,0,I617,J617))</f>
        <v>#NAME?</v>
      </c>
      <c r="AA617" t="e">
        <f ca="1">IF(B617="","",CGBlackScholes("dvdv",LOWER(H617),F617,G617,(D617-A617)/365,E617,0,I617,J617))</f>
        <v>#NAME?</v>
      </c>
      <c r="AB617" t="e">
        <f ca="1">IF(B617="","",CGBlackScholes("vvv",LOWER(H617),F617,G617,(D617-A617)/365,E617,0,I617,J617))</f>
        <v>#NAME?</v>
      </c>
    </row>
    <row r="618" spans="1:28" x14ac:dyDescent="0.3">
      <c r="A618" s="18">
        <v>45905</v>
      </c>
      <c r="B618">
        <v>627.5</v>
      </c>
      <c r="C618" t="s">
        <v>52</v>
      </c>
      <c r="D618" s="18">
        <v>45961</v>
      </c>
      <c r="E618" t="str">
        <f>IFERROR(VLOOKUP(A618,#REF!,5,TRUE),"not found")</f>
        <v>not found</v>
      </c>
      <c r="F618" t="str">
        <f>IFERROR(VLOOKUP(A618,#REF!,2,TRUE),"")</f>
        <v/>
      </c>
      <c r="G618">
        <v>7175</v>
      </c>
      <c r="H618" t="s">
        <v>2</v>
      </c>
      <c r="I618" t="e">
        <f ca="1">IF(B618="","",GBlackScholesImpVolBisection(LOWER(H618),F618,G618,(D618-A618)/365,E618,0,B618))</f>
        <v>#NAME?</v>
      </c>
      <c r="J618" t="e">
        <f ca="1">IF(B618="","",GBlackScholesNGreeks("d",LOWER(H618),F618,G618,(D618-A618)/365,E618,0,I618))</f>
        <v>#NAME?</v>
      </c>
      <c r="K618" t="e">
        <f ca="1">IF(B618="","",GBlackScholesNGreeks("v",LOWER(H618),F618,G618,(D618-A618)/365,E618,0,I618))</f>
        <v>#NAME?</v>
      </c>
      <c r="L618" t="e">
        <f ca="1">IF(B618="","",GBlackScholesNGreeks("g",LOWER(H618),F618,G618,(D618-A618)/365,E618,0,I618))</f>
        <v>#NAME?</v>
      </c>
      <c r="M618" t="e">
        <f ca="1">IF(B618="","",GBlackScholesNGreeks("t",LOWER(H618),F618,G618,(D618-A618)/365,E618,0,I618))</f>
        <v>#NAME?</v>
      </c>
      <c r="N618" t="e">
        <f ca="1">IF(B618="","",GBlackScholesNGreeks("r",LOWER(H618),F618,G618,(D618-A618)/365,E618,0,I618))</f>
        <v>#NAME?</v>
      </c>
      <c r="O618">
        <v>64</v>
      </c>
      <c r="P618" t="s">
        <v>39</v>
      </c>
      <c r="Q618">
        <v>50</v>
      </c>
      <c r="R618" t="s">
        <v>53</v>
      </c>
      <c r="S618" t="s">
        <v>33</v>
      </c>
      <c r="T618" t="s">
        <v>0</v>
      </c>
      <c r="U618">
        <v>0</v>
      </c>
      <c r="V618" t="e">
        <f ca="1">IF(B618="","",CGBlackScholes("dddv",LOWER(H618),F618,G618,(D618-A618)/365,E618,0,I618,J618))</f>
        <v>#NAME?</v>
      </c>
      <c r="W618" t="e">
        <f ca="1">IF(B618="","",CGBlackScholes("dvv",LOWER(H618),F618,G618,(D618-A618)/365,E618,0,I618,J618))</f>
        <v>#NAME?</v>
      </c>
      <c r="X618" t="e">
        <f ca="1">IF(B618="","",CGBlackScholes("dt",LOWER(H618),F618,G618,(D618-A618)/365,E618,0,I618,J618))</f>
        <v>#NAME?</v>
      </c>
      <c r="Y618" t="e">
        <f ca="1">IF(B618="","",CGBlackScholes("gps",LOWER(H618),F618,G618,(D618-A618)/365,E618,0,I618,J618))</f>
        <v>#NAME?</v>
      </c>
      <c r="Z618" t="e">
        <f ca="1">IF(B618="","",CGBlackScholes("gpv",LOWER(H618),F618,G618,(D618-A618)/365,E618,0,I618,J618))</f>
        <v>#NAME?</v>
      </c>
      <c r="AA618" t="e">
        <f ca="1">IF(B618="","",CGBlackScholes("dvdv",LOWER(H618),F618,G618,(D618-A618)/365,E618,0,I618,J618))</f>
        <v>#NAME?</v>
      </c>
      <c r="AB618" t="e">
        <f ca="1">IF(B618="","",CGBlackScholes("vvv",LOWER(H618),F618,G618,(D618-A618)/365,E618,0,I618,J618))</f>
        <v>#NAME?</v>
      </c>
    </row>
    <row r="619" spans="1:28" x14ac:dyDescent="0.3">
      <c r="A619" s="18">
        <v>45904</v>
      </c>
      <c r="B619">
        <v>605.5</v>
      </c>
      <c r="C619" t="s">
        <v>52</v>
      </c>
      <c r="D619" s="18">
        <v>45961</v>
      </c>
      <c r="E619" t="str">
        <f>IFERROR(VLOOKUP(A619,#REF!,5,TRUE),"not found")</f>
        <v>not found</v>
      </c>
      <c r="F619" t="str">
        <f>IFERROR(VLOOKUP(A619,#REF!,2,TRUE),"")</f>
        <v/>
      </c>
      <c r="G619">
        <v>7175</v>
      </c>
      <c r="H619" t="s">
        <v>2</v>
      </c>
      <c r="I619" t="e">
        <f ca="1">IF(B619="","",GBlackScholesImpVolBisection(LOWER(H619),F619,G619,(D619-A619)/365,E619,0,B619))</f>
        <v>#NAME?</v>
      </c>
      <c r="J619" t="e">
        <f ca="1">IF(B619="","",GBlackScholesNGreeks("d",LOWER(H619),F619,G619,(D619-A619)/365,E619,0,I619))</f>
        <v>#NAME?</v>
      </c>
      <c r="K619" t="e">
        <f ca="1">IF(B619="","",GBlackScholesNGreeks("v",LOWER(H619),F619,G619,(D619-A619)/365,E619,0,I619))</f>
        <v>#NAME?</v>
      </c>
      <c r="L619" t="e">
        <f ca="1">IF(B619="","",GBlackScholesNGreeks("g",LOWER(H619),F619,G619,(D619-A619)/365,E619,0,I619))</f>
        <v>#NAME?</v>
      </c>
      <c r="M619" t="e">
        <f ca="1">IF(B619="","",GBlackScholesNGreeks("t",LOWER(H619),F619,G619,(D619-A619)/365,E619,0,I619))</f>
        <v>#NAME?</v>
      </c>
      <c r="N619" t="e">
        <f ca="1">IF(B619="","",GBlackScholesNGreeks("r",LOWER(H619),F619,G619,(D619-A619)/365,E619,0,I619))</f>
        <v>#NAME?</v>
      </c>
      <c r="O619">
        <v>64</v>
      </c>
      <c r="P619" t="s">
        <v>39</v>
      </c>
      <c r="Q619">
        <v>50</v>
      </c>
      <c r="R619" t="s">
        <v>53</v>
      </c>
      <c r="S619" t="s">
        <v>33</v>
      </c>
      <c r="T619" t="s">
        <v>0</v>
      </c>
      <c r="U619">
        <v>0</v>
      </c>
      <c r="V619" t="e">
        <f ca="1">IF(B619="","",CGBlackScholes("dddv",LOWER(H619),F619,G619,(D619-A619)/365,E619,0,I619,J619))</f>
        <v>#NAME?</v>
      </c>
      <c r="W619" t="e">
        <f ca="1">IF(B619="","",CGBlackScholes("dvv",LOWER(H619),F619,G619,(D619-A619)/365,E619,0,I619,J619))</f>
        <v>#NAME?</v>
      </c>
      <c r="X619" t="e">
        <f ca="1">IF(B619="","",CGBlackScholes("dt",LOWER(H619),F619,G619,(D619-A619)/365,E619,0,I619,J619))</f>
        <v>#NAME?</v>
      </c>
      <c r="Y619" t="e">
        <f ca="1">IF(B619="","",CGBlackScholes("gps",LOWER(H619),F619,G619,(D619-A619)/365,E619,0,I619,J619))</f>
        <v>#NAME?</v>
      </c>
      <c r="Z619" t="e">
        <f ca="1">IF(B619="","",CGBlackScholes("gpv",LOWER(H619),F619,G619,(D619-A619)/365,E619,0,I619,J619))</f>
        <v>#NAME?</v>
      </c>
      <c r="AA619" t="e">
        <f ca="1">IF(B619="","",CGBlackScholes("dvdv",LOWER(H619),F619,G619,(D619-A619)/365,E619,0,I619,J619))</f>
        <v>#NAME?</v>
      </c>
      <c r="AB619" t="e">
        <f ca="1">IF(B619="","",CGBlackScholes("vvv",LOWER(H619),F619,G619,(D619-A619)/365,E619,0,I619,J619))</f>
        <v>#NAME?</v>
      </c>
    </row>
    <row r="620" spans="1:28" x14ac:dyDescent="0.3">
      <c r="A620" s="18">
        <v>45903</v>
      </c>
      <c r="B620">
        <v>658.75</v>
      </c>
      <c r="C620" t="s">
        <v>52</v>
      </c>
      <c r="D620" s="18">
        <v>45961</v>
      </c>
      <c r="E620" t="str">
        <f>IFERROR(VLOOKUP(A620,#REF!,5,TRUE),"not found")</f>
        <v>not found</v>
      </c>
      <c r="F620" t="str">
        <f>IFERROR(VLOOKUP(A620,#REF!,2,TRUE),"")</f>
        <v/>
      </c>
      <c r="G620">
        <v>7175</v>
      </c>
      <c r="H620" t="s">
        <v>2</v>
      </c>
      <c r="I620" t="e">
        <f ca="1">IF(B620="","",GBlackScholesImpVolBisection(LOWER(H620),F620,G620,(D620-A620)/365,E620,0,B620))</f>
        <v>#NAME?</v>
      </c>
      <c r="J620" t="e">
        <f ca="1">IF(B620="","",GBlackScholesNGreeks("d",LOWER(H620),F620,G620,(D620-A620)/365,E620,0,I620))</f>
        <v>#NAME?</v>
      </c>
      <c r="K620" t="e">
        <f ca="1">IF(B620="","",GBlackScholesNGreeks("v",LOWER(H620),F620,G620,(D620-A620)/365,E620,0,I620))</f>
        <v>#NAME?</v>
      </c>
      <c r="L620" t="e">
        <f ca="1">IF(B620="","",GBlackScholesNGreeks("g",LOWER(H620),F620,G620,(D620-A620)/365,E620,0,I620))</f>
        <v>#NAME?</v>
      </c>
      <c r="M620" t="e">
        <f ca="1">IF(B620="","",GBlackScholesNGreeks("t",LOWER(H620),F620,G620,(D620-A620)/365,E620,0,I620))</f>
        <v>#NAME?</v>
      </c>
      <c r="N620" t="e">
        <f ca="1">IF(B620="","",GBlackScholesNGreeks("r",LOWER(H620),F620,G620,(D620-A620)/365,E620,0,I620))</f>
        <v>#NAME?</v>
      </c>
      <c r="O620">
        <v>64</v>
      </c>
      <c r="P620" t="s">
        <v>39</v>
      </c>
      <c r="Q620">
        <v>50</v>
      </c>
      <c r="R620" t="s">
        <v>53</v>
      </c>
      <c r="S620" t="s">
        <v>33</v>
      </c>
      <c r="T620" t="s">
        <v>0</v>
      </c>
      <c r="U620">
        <v>0</v>
      </c>
      <c r="V620" t="e">
        <f ca="1">IF(B620="","",CGBlackScholes("dddv",LOWER(H620),F620,G620,(D620-A620)/365,E620,0,I620,J620))</f>
        <v>#NAME?</v>
      </c>
      <c r="W620" t="e">
        <f ca="1">IF(B620="","",CGBlackScholes("dvv",LOWER(H620),F620,G620,(D620-A620)/365,E620,0,I620,J620))</f>
        <v>#NAME?</v>
      </c>
      <c r="X620" t="e">
        <f ca="1">IF(B620="","",CGBlackScholes("dt",LOWER(H620),F620,G620,(D620-A620)/365,E620,0,I620,J620))</f>
        <v>#NAME?</v>
      </c>
      <c r="Y620" t="e">
        <f ca="1">IF(B620="","",CGBlackScholes("gps",LOWER(H620),F620,G620,(D620-A620)/365,E620,0,I620,J620))</f>
        <v>#NAME?</v>
      </c>
      <c r="Z620" t="e">
        <f ca="1">IF(B620="","",CGBlackScholes("gpv",LOWER(H620),F620,G620,(D620-A620)/365,E620,0,I620,J620))</f>
        <v>#NAME?</v>
      </c>
      <c r="AA620" t="e">
        <f ca="1">IF(B620="","",CGBlackScholes("dvdv",LOWER(H620),F620,G620,(D620-A620)/365,E620,0,I620,J620))</f>
        <v>#NAME?</v>
      </c>
      <c r="AB620" t="e">
        <f ca="1">IF(B620="","",CGBlackScholes("vvv",LOWER(H620),F620,G620,(D620-A620)/365,E620,0,I620,J620))</f>
        <v>#NAME?</v>
      </c>
    </row>
    <row r="621" spans="1:28" x14ac:dyDescent="0.3">
      <c r="A621" s="18">
        <v>45902</v>
      </c>
      <c r="B621">
        <v>690.5</v>
      </c>
      <c r="C621" t="s">
        <v>52</v>
      </c>
      <c r="D621" s="18">
        <v>45961</v>
      </c>
      <c r="E621" t="str">
        <f>IFERROR(VLOOKUP(A621,#REF!,5,TRUE),"not found")</f>
        <v>not found</v>
      </c>
      <c r="F621" t="str">
        <f>IFERROR(VLOOKUP(A621,#REF!,2,TRUE),"")</f>
        <v/>
      </c>
      <c r="G621">
        <v>7175</v>
      </c>
      <c r="H621" t="s">
        <v>2</v>
      </c>
      <c r="I621" t="e">
        <f ca="1">IF(B621="","",GBlackScholesImpVolBisection(LOWER(H621),F621,G621,(D621-A621)/365,E621,0,B621))</f>
        <v>#NAME?</v>
      </c>
      <c r="J621" t="e">
        <f ca="1">IF(B621="","",GBlackScholesNGreeks("d",LOWER(H621),F621,G621,(D621-A621)/365,E621,0,I621))</f>
        <v>#NAME?</v>
      </c>
      <c r="K621" t="e">
        <f ca="1">IF(B621="","",GBlackScholesNGreeks("v",LOWER(H621),F621,G621,(D621-A621)/365,E621,0,I621))</f>
        <v>#NAME?</v>
      </c>
      <c r="L621" t="e">
        <f ca="1">IF(B621="","",GBlackScholesNGreeks("g",LOWER(H621),F621,G621,(D621-A621)/365,E621,0,I621))</f>
        <v>#NAME?</v>
      </c>
      <c r="M621" t="e">
        <f ca="1">IF(B621="","",GBlackScholesNGreeks("t",LOWER(H621),F621,G621,(D621-A621)/365,E621,0,I621))</f>
        <v>#NAME?</v>
      </c>
      <c r="N621" t="e">
        <f ca="1">IF(B621="","",GBlackScholesNGreeks("r",LOWER(H621),F621,G621,(D621-A621)/365,E621,0,I621))</f>
        <v>#NAME?</v>
      </c>
      <c r="O621">
        <v>64</v>
      </c>
      <c r="P621" t="s">
        <v>39</v>
      </c>
      <c r="Q621">
        <v>50</v>
      </c>
      <c r="R621" t="s">
        <v>53</v>
      </c>
      <c r="S621" t="s">
        <v>33</v>
      </c>
      <c r="T621" t="s">
        <v>0</v>
      </c>
      <c r="U621">
        <v>0</v>
      </c>
      <c r="V621" t="e">
        <f ca="1">IF(B621="","",CGBlackScholes("dddv",LOWER(H621),F621,G621,(D621-A621)/365,E621,0,I621,J621))</f>
        <v>#NAME?</v>
      </c>
      <c r="W621" t="e">
        <f ca="1">IF(B621="","",CGBlackScholes("dvv",LOWER(H621),F621,G621,(D621-A621)/365,E621,0,I621,J621))</f>
        <v>#NAME?</v>
      </c>
      <c r="X621" t="e">
        <f ca="1">IF(B621="","",CGBlackScholes("dt",LOWER(H621),F621,G621,(D621-A621)/365,E621,0,I621,J621))</f>
        <v>#NAME?</v>
      </c>
      <c r="Y621" t="e">
        <f ca="1">IF(B621="","",CGBlackScholes("gps",LOWER(H621),F621,G621,(D621-A621)/365,E621,0,I621,J621))</f>
        <v>#NAME?</v>
      </c>
      <c r="Z621" t="e">
        <f ca="1">IF(B621="","",CGBlackScholes("gpv",LOWER(H621),F621,G621,(D621-A621)/365,E621,0,I621,J621))</f>
        <v>#NAME?</v>
      </c>
      <c r="AA621" t="e">
        <f ca="1">IF(B621="","",CGBlackScholes("dvdv",LOWER(H621),F621,G621,(D621-A621)/365,E621,0,I621,J621))</f>
        <v>#NAME?</v>
      </c>
      <c r="AB621" t="e">
        <f ca="1">IF(B621="","",CGBlackScholes("vvv",LOWER(H621),F621,G621,(D621-A621)/365,E621,0,I621,J621))</f>
        <v>#NAME?</v>
      </c>
    </row>
    <row r="622" spans="1:28" x14ac:dyDescent="0.3">
      <c r="A622" s="18">
        <v>45898</v>
      </c>
      <c r="B622">
        <v>643.25</v>
      </c>
      <c r="C622" t="s">
        <v>52</v>
      </c>
      <c r="D622" s="18">
        <v>45961</v>
      </c>
      <c r="E622" t="str">
        <f>IFERROR(VLOOKUP(A622,#REF!,5,TRUE),"not found")</f>
        <v>not found</v>
      </c>
      <c r="F622" t="str">
        <f>IFERROR(VLOOKUP(A622,#REF!,2,TRUE),"")</f>
        <v/>
      </c>
      <c r="G622">
        <v>7175</v>
      </c>
      <c r="H622" t="s">
        <v>2</v>
      </c>
      <c r="I622" t="e">
        <f ca="1">IF(B622="","",GBlackScholesImpVolBisection(LOWER(H622),F622,G622,(D622-A622)/365,E622,0,B622))</f>
        <v>#NAME?</v>
      </c>
      <c r="J622" t="e">
        <f ca="1">IF(B622="","",GBlackScholesNGreeks("d",LOWER(H622),F622,G622,(D622-A622)/365,E622,0,I622))</f>
        <v>#NAME?</v>
      </c>
      <c r="K622" t="e">
        <f ca="1">IF(B622="","",GBlackScholesNGreeks("v",LOWER(H622),F622,G622,(D622-A622)/365,E622,0,I622))</f>
        <v>#NAME?</v>
      </c>
      <c r="L622" t="e">
        <f ca="1">IF(B622="","",GBlackScholesNGreeks("g",LOWER(H622),F622,G622,(D622-A622)/365,E622,0,I622))</f>
        <v>#NAME?</v>
      </c>
      <c r="M622" t="e">
        <f ca="1">IF(B622="","",GBlackScholesNGreeks("t",LOWER(H622),F622,G622,(D622-A622)/365,E622,0,I622))</f>
        <v>#NAME?</v>
      </c>
      <c r="N622" t="e">
        <f ca="1">IF(B622="","",GBlackScholesNGreeks("r",LOWER(H622),F622,G622,(D622-A622)/365,E622,0,I622))</f>
        <v>#NAME?</v>
      </c>
      <c r="O622">
        <v>64</v>
      </c>
      <c r="P622" t="s">
        <v>39</v>
      </c>
      <c r="Q622">
        <v>50</v>
      </c>
      <c r="R622" t="s">
        <v>53</v>
      </c>
      <c r="S622" t="s">
        <v>33</v>
      </c>
      <c r="T622" t="s">
        <v>0</v>
      </c>
      <c r="U622">
        <v>0</v>
      </c>
      <c r="V622" t="e">
        <f ca="1">IF(B622="","",CGBlackScholes("dddv",LOWER(H622),F622,G622,(D622-A622)/365,E622,0,I622,J622))</f>
        <v>#NAME?</v>
      </c>
      <c r="W622" t="e">
        <f ca="1">IF(B622="","",CGBlackScholes("dvv",LOWER(H622),F622,G622,(D622-A622)/365,E622,0,I622,J622))</f>
        <v>#NAME?</v>
      </c>
      <c r="X622" t="e">
        <f ca="1">IF(B622="","",CGBlackScholes("dt",LOWER(H622),F622,G622,(D622-A622)/365,E622,0,I622,J622))</f>
        <v>#NAME?</v>
      </c>
      <c r="Y622" t="e">
        <f ca="1">IF(B622="","",CGBlackScholes("gps",LOWER(H622),F622,G622,(D622-A622)/365,E622,0,I622,J622))</f>
        <v>#NAME?</v>
      </c>
      <c r="Z622" t="e">
        <f ca="1">IF(B622="","",CGBlackScholes("gpv",LOWER(H622),F622,G622,(D622-A622)/365,E622,0,I622,J622))</f>
        <v>#NAME?</v>
      </c>
      <c r="AA622" t="e">
        <f ca="1">IF(B622="","",CGBlackScholes("dvdv",LOWER(H622),F622,G622,(D622-A622)/365,E622,0,I622,J622))</f>
        <v>#NAME?</v>
      </c>
      <c r="AB622" t="e">
        <f ca="1">IF(B622="","",CGBlackScholes("vvv",LOWER(H622),F622,G622,(D622-A622)/365,E622,0,I622,J622))</f>
        <v>#NAME?</v>
      </c>
    </row>
    <row r="623" spans="1:28" x14ac:dyDescent="0.3">
      <c r="A623" s="18">
        <v>45897</v>
      </c>
      <c r="B623">
        <v>598.5</v>
      </c>
      <c r="C623" t="s">
        <v>52</v>
      </c>
      <c r="D623" s="18">
        <v>45961</v>
      </c>
      <c r="E623" t="str">
        <f>IFERROR(VLOOKUP(A623,#REF!,5,TRUE),"not found")</f>
        <v>not found</v>
      </c>
      <c r="F623" t="str">
        <f>IFERROR(VLOOKUP(A623,#REF!,2,TRUE),"")</f>
        <v/>
      </c>
      <c r="G623">
        <v>7175</v>
      </c>
      <c r="H623" t="s">
        <v>2</v>
      </c>
      <c r="I623" t="e">
        <f ca="1">IF(B623="","",GBlackScholesImpVolBisection(LOWER(H623),F623,G623,(D623-A623)/365,E623,0,B623))</f>
        <v>#NAME?</v>
      </c>
      <c r="J623" t="e">
        <f ca="1">IF(B623="","",GBlackScholesNGreeks("d",LOWER(H623),F623,G623,(D623-A623)/365,E623,0,I623))</f>
        <v>#NAME?</v>
      </c>
      <c r="K623" t="e">
        <f ca="1">IF(B623="","",GBlackScholesNGreeks("v",LOWER(H623),F623,G623,(D623-A623)/365,E623,0,I623))</f>
        <v>#NAME?</v>
      </c>
      <c r="L623" t="e">
        <f ca="1">IF(B623="","",GBlackScholesNGreeks("g",LOWER(H623),F623,G623,(D623-A623)/365,E623,0,I623))</f>
        <v>#NAME?</v>
      </c>
      <c r="M623" t="e">
        <f ca="1">IF(B623="","",GBlackScholesNGreeks("t",LOWER(H623),F623,G623,(D623-A623)/365,E623,0,I623))</f>
        <v>#NAME?</v>
      </c>
      <c r="N623" t="e">
        <f ca="1">IF(B623="","",GBlackScholesNGreeks("r",LOWER(H623),F623,G623,(D623-A623)/365,E623,0,I623))</f>
        <v>#NAME?</v>
      </c>
      <c r="O623">
        <v>64</v>
      </c>
      <c r="P623" t="s">
        <v>39</v>
      </c>
      <c r="Q623">
        <v>50</v>
      </c>
      <c r="R623" t="s">
        <v>53</v>
      </c>
      <c r="S623" t="s">
        <v>33</v>
      </c>
      <c r="T623" t="s">
        <v>0</v>
      </c>
      <c r="U623">
        <v>0</v>
      </c>
      <c r="V623" t="e">
        <f ca="1">IF(B623="","",CGBlackScholes("dddv",LOWER(H623),F623,G623,(D623-A623)/365,E623,0,I623,J623))</f>
        <v>#NAME?</v>
      </c>
      <c r="W623" t="e">
        <f ca="1">IF(B623="","",CGBlackScholes("dvv",LOWER(H623),F623,G623,(D623-A623)/365,E623,0,I623,J623))</f>
        <v>#NAME?</v>
      </c>
      <c r="X623" t="e">
        <f ca="1">IF(B623="","",CGBlackScholes("dt",LOWER(H623),F623,G623,(D623-A623)/365,E623,0,I623,J623))</f>
        <v>#NAME?</v>
      </c>
      <c r="Y623" t="e">
        <f ca="1">IF(B623="","",CGBlackScholes("gps",LOWER(H623),F623,G623,(D623-A623)/365,E623,0,I623,J623))</f>
        <v>#NAME?</v>
      </c>
      <c r="Z623" t="e">
        <f ca="1">IF(B623="","",CGBlackScholes("gpv",LOWER(H623),F623,G623,(D623-A623)/365,E623,0,I623,J623))</f>
        <v>#NAME?</v>
      </c>
      <c r="AA623" t="e">
        <f ca="1">IF(B623="","",CGBlackScholes("dvdv",LOWER(H623),F623,G623,(D623-A623)/365,E623,0,I623,J623))</f>
        <v>#NAME?</v>
      </c>
      <c r="AB623" t="e">
        <f ca="1">IF(B623="","",CGBlackScholes("vvv",LOWER(H623),F623,G623,(D623-A623)/365,E623,0,I623,J623))</f>
        <v>#NAME?</v>
      </c>
    </row>
    <row r="624" spans="1:28" x14ac:dyDescent="0.3">
      <c r="A624" s="18">
        <v>45896</v>
      </c>
      <c r="B624">
        <v>620.25</v>
      </c>
      <c r="C624" t="s">
        <v>52</v>
      </c>
      <c r="D624" s="18">
        <v>45961</v>
      </c>
      <c r="E624" t="str">
        <f>IFERROR(VLOOKUP(A624,#REF!,5,TRUE),"not found")</f>
        <v>not found</v>
      </c>
      <c r="F624" t="str">
        <f>IFERROR(VLOOKUP(A624,#REF!,2,TRUE),"")</f>
        <v/>
      </c>
      <c r="G624">
        <v>7175</v>
      </c>
      <c r="H624" t="s">
        <v>2</v>
      </c>
      <c r="I624" t="e">
        <f ca="1">IF(B624="","",GBlackScholesImpVolBisection(LOWER(H624),F624,G624,(D624-A624)/365,E624,0,B624))</f>
        <v>#NAME?</v>
      </c>
      <c r="J624" t="e">
        <f ca="1">IF(B624="","",GBlackScholesNGreeks("d",LOWER(H624),F624,G624,(D624-A624)/365,E624,0,I624))</f>
        <v>#NAME?</v>
      </c>
      <c r="K624" t="e">
        <f ca="1">IF(B624="","",GBlackScholesNGreeks("v",LOWER(H624),F624,G624,(D624-A624)/365,E624,0,I624))</f>
        <v>#NAME?</v>
      </c>
      <c r="L624" t="e">
        <f ca="1">IF(B624="","",GBlackScholesNGreeks("g",LOWER(H624),F624,G624,(D624-A624)/365,E624,0,I624))</f>
        <v>#NAME?</v>
      </c>
      <c r="M624" t="e">
        <f ca="1">IF(B624="","",GBlackScholesNGreeks("t",LOWER(H624),F624,G624,(D624-A624)/365,E624,0,I624))</f>
        <v>#NAME?</v>
      </c>
      <c r="N624" t="e">
        <f ca="1">IF(B624="","",GBlackScholesNGreeks("r",LOWER(H624),F624,G624,(D624-A624)/365,E624,0,I624))</f>
        <v>#NAME?</v>
      </c>
      <c r="O624">
        <v>64</v>
      </c>
      <c r="P624" t="s">
        <v>39</v>
      </c>
      <c r="Q624">
        <v>50</v>
      </c>
      <c r="R624" t="s">
        <v>53</v>
      </c>
      <c r="S624" t="s">
        <v>33</v>
      </c>
      <c r="T624" t="s">
        <v>0</v>
      </c>
      <c r="U624">
        <v>0</v>
      </c>
      <c r="V624" t="e">
        <f ca="1">IF(B624="","",CGBlackScholes("dddv",LOWER(H624),F624,G624,(D624-A624)/365,E624,0,I624,J624))</f>
        <v>#NAME?</v>
      </c>
      <c r="W624" t="e">
        <f ca="1">IF(B624="","",CGBlackScholes("dvv",LOWER(H624),F624,G624,(D624-A624)/365,E624,0,I624,J624))</f>
        <v>#NAME?</v>
      </c>
      <c r="X624" t="e">
        <f ca="1">IF(B624="","",CGBlackScholes("dt",LOWER(H624),F624,G624,(D624-A624)/365,E624,0,I624,J624))</f>
        <v>#NAME?</v>
      </c>
      <c r="Y624" t="e">
        <f ca="1">IF(B624="","",CGBlackScholes("gps",LOWER(H624),F624,G624,(D624-A624)/365,E624,0,I624,J624))</f>
        <v>#NAME?</v>
      </c>
      <c r="Z624" t="e">
        <f ca="1">IF(B624="","",CGBlackScholes("gpv",LOWER(H624),F624,G624,(D624-A624)/365,E624,0,I624,J624))</f>
        <v>#NAME?</v>
      </c>
      <c r="AA624" t="e">
        <f ca="1">IF(B624="","",CGBlackScholes("dvdv",LOWER(H624),F624,G624,(D624-A624)/365,E624,0,I624,J624))</f>
        <v>#NAME?</v>
      </c>
      <c r="AB624" t="e">
        <f ca="1">IF(B624="","",CGBlackScholes("vvv",LOWER(H624),F624,G624,(D624-A624)/365,E624,0,I624,J624))</f>
        <v>#NAME?</v>
      </c>
    </row>
    <row r="625" spans="1:28" x14ac:dyDescent="0.3">
      <c r="A625" s="18">
        <v>45895</v>
      </c>
      <c r="B625">
        <v>633.5</v>
      </c>
      <c r="C625" t="s">
        <v>52</v>
      </c>
      <c r="D625" s="18">
        <v>45961</v>
      </c>
      <c r="E625" t="str">
        <f>IFERROR(VLOOKUP(A625,#REF!,5,TRUE),"not found")</f>
        <v>not found</v>
      </c>
      <c r="F625" t="str">
        <f>IFERROR(VLOOKUP(A625,#REF!,2,TRUE),"")</f>
        <v/>
      </c>
      <c r="G625">
        <v>7175</v>
      </c>
      <c r="H625" t="s">
        <v>2</v>
      </c>
      <c r="I625" t="e">
        <f ca="1">IF(B625="","",GBlackScholesImpVolBisection(LOWER(H625),F625,G625,(D625-A625)/365,E625,0,B625))</f>
        <v>#NAME?</v>
      </c>
      <c r="J625" t="e">
        <f ca="1">IF(B625="","",GBlackScholesNGreeks("d",LOWER(H625),F625,G625,(D625-A625)/365,E625,0,I625))</f>
        <v>#NAME?</v>
      </c>
      <c r="K625" t="e">
        <f ca="1">IF(B625="","",GBlackScholesNGreeks("v",LOWER(H625),F625,G625,(D625-A625)/365,E625,0,I625))</f>
        <v>#NAME?</v>
      </c>
      <c r="L625" t="e">
        <f ca="1">IF(B625="","",GBlackScholesNGreeks("g",LOWER(H625),F625,G625,(D625-A625)/365,E625,0,I625))</f>
        <v>#NAME?</v>
      </c>
      <c r="M625" t="e">
        <f ca="1">IF(B625="","",GBlackScholesNGreeks("t",LOWER(H625),F625,G625,(D625-A625)/365,E625,0,I625))</f>
        <v>#NAME?</v>
      </c>
      <c r="N625" t="e">
        <f ca="1">IF(B625="","",GBlackScholesNGreeks("r",LOWER(H625),F625,G625,(D625-A625)/365,E625,0,I625))</f>
        <v>#NAME?</v>
      </c>
      <c r="O625">
        <v>64</v>
      </c>
      <c r="P625" t="s">
        <v>39</v>
      </c>
      <c r="Q625">
        <v>50</v>
      </c>
      <c r="R625" t="s">
        <v>53</v>
      </c>
      <c r="S625" t="s">
        <v>33</v>
      </c>
      <c r="T625" t="s">
        <v>0</v>
      </c>
      <c r="U625">
        <v>0</v>
      </c>
      <c r="V625" t="e">
        <f ca="1">IF(B625="","",CGBlackScholes("dddv",LOWER(H625),F625,G625,(D625-A625)/365,E625,0,I625,J625))</f>
        <v>#NAME?</v>
      </c>
      <c r="W625" t="e">
        <f ca="1">IF(B625="","",CGBlackScholes("dvv",LOWER(H625),F625,G625,(D625-A625)/365,E625,0,I625,J625))</f>
        <v>#NAME?</v>
      </c>
      <c r="X625" t="e">
        <f ca="1">IF(B625="","",CGBlackScholes("dt",LOWER(H625),F625,G625,(D625-A625)/365,E625,0,I625,J625))</f>
        <v>#NAME?</v>
      </c>
      <c r="Y625" t="e">
        <f ca="1">IF(B625="","",CGBlackScholes("gps",LOWER(H625),F625,G625,(D625-A625)/365,E625,0,I625,J625))</f>
        <v>#NAME?</v>
      </c>
      <c r="Z625" t="e">
        <f ca="1">IF(B625="","",CGBlackScholes("gpv",LOWER(H625),F625,G625,(D625-A625)/365,E625,0,I625,J625))</f>
        <v>#NAME?</v>
      </c>
      <c r="AA625" t="e">
        <f ca="1">IF(B625="","",CGBlackScholes("dvdv",LOWER(H625),F625,G625,(D625-A625)/365,E625,0,I625,J625))</f>
        <v>#NAME?</v>
      </c>
      <c r="AB625" t="e">
        <f ca="1">IF(B625="","",CGBlackScholes("vvv",LOWER(H625),F625,G625,(D625-A625)/365,E625,0,I625,J625))</f>
        <v>#NAME?</v>
      </c>
    </row>
    <row r="626" spans="1:28" x14ac:dyDescent="0.3">
      <c r="A626" s="18">
        <v>45894</v>
      </c>
      <c r="B626">
        <v>660.25</v>
      </c>
      <c r="C626" t="s">
        <v>52</v>
      </c>
      <c r="D626" s="18">
        <v>45961</v>
      </c>
      <c r="E626" t="str">
        <f>IFERROR(VLOOKUP(A626,#REF!,5,TRUE),"not found")</f>
        <v>not found</v>
      </c>
      <c r="F626" t="str">
        <f>IFERROR(VLOOKUP(A626,#REF!,2,TRUE),"")</f>
        <v/>
      </c>
      <c r="G626">
        <v>7175</v>
      </c>
      <c r="H626" t="s">
        <v>2</v>
      </c>
      <c r="I626" t="e">
        <f ca="1">IF(B626="","",GBlackScholesImpVolBisection(LOWER(H626),F626,G626,(D626-A626)/365,E626,0,B626))</f>
        <v>#NAME?</v>
      </c>
      <c r="J626" t="e">
        <f ca="1">IF(B626="","",GBlackScholesNGreeks("d",LOWER(H626),F626,G626,(D626-A626)/365,E626,0,I626))</f>
        <v>#NAME?</v>
      </c>
      <c r="K626" t="e">
        <f ca="1">IF(B626="","",GBlackScholesNGreeks("v",LOWER(H626),F626,G626,(D626-A626)/365,E626,0,I626))</f>
        <v>#NAME?</v>
      </c>
      <c r="L626" t="e">
        <f ca="1">IF(B626="","",GBlackScholesNGreeks("g",LOWER(H626),F626,G626,(D626-A626)/365,E626,0,I626))</f>
        <v>#NAME?</v>
      </c>
      <c r="M626" t="e">
        <f ca="1">IF(B626="","",GBlackScholesNGreeks("t",LOWER(H626),F626,G626,(D626-A626)/365,E626,0,I626))</f>
        <v>#NAME?</v>
      </c>
      <c r="N626" t="e">
        <f ca="1">IF(B626="","",GBlackScholesNGreeks("r",LOWER(H626),F626,G626,(D626-A626)/365,E626,0,I626))</f>
        <v>#NAME?</v>
      </c>
      <c r="O626">
        <v>64</v>
      </c>
      <c r="P626" t="s">
        <v>39</v>
      </c>
      <c r="Q626">
        <v>50</v>
      </c>
      <c r="R626" t="s">
        <v>53</v>
      </c>
      <c r="S626" t="s">
        <v>33</v>
      </c>
      <c r="T626" t="s">
        <v>0</v>
      </c>
      <c r="U626">
        <v>0</v>
      </c>
      <c r="V626" t="e">
        <f ca="1">IF(B626="","",CGBlackScholes("dddv",LOWER(H626),F626,G626,(D626-A626)/365,E626,0,I626,J626))</f>
        <v>#NAME?</v>
      </c>
      <c r="W626" t="e">
        <f ca="1">IF(B626="","",CGBlackScholes("dvv",LOWER(H626),F626,G626,(D626-A626)/365,E626,0,I626,J626))</f>
        <v>#NAME?</v>
      </c>
      <c r="X626" t="e">
        <f ca="1">IF(B626="","",CGBlackScholes("dt",LOWER(H626),F626,G626,(D626-A626)/365,E626,0,I626,J626))</f>
        <v>#NAME?</v>
      </c>
      <c r="Y626" t="e">
        <f ca="1">IF(B626="","",CGBlackScholes("gps",LOWER(H626),F626,G626,(D626-A626)/365,E626,0,I626,J626))</f>
        <v>#NAME?</v>
      </c>
      <c r="Z626" t="e">
        <f ca="1">IF(B626="","",CGBlackScholes("gpv",LOWER(H626),F626,G626,(D626-A626)/365,E626,0,I626,J626))</f>
        <v>#NAME?</v>
      </c>
      <c r="AA626" t="e">
        <f ca="1">IF(B626="","",CGBlackScholes("dvdv",LOWER(H626),F626,G626,(D626-A626)/365,E626,0,I626,J626))</f>
        <v>#NAME?</v>
      </c>
      <c r="AB626" t="e">
        <f ca="1">IF(B626="","",CGBlackScholes("vvv",LOWER(H626),F626,G626,(D626-A626)/365,E626,0,I626,J626))</f>
        <v>#NAME?</v>
      </c>
    </row>
    <row r="627" spans="1:28" x14ac:dyDescent="0.3">
      <c r="A627" s="18">
        <v>45891</v>
      </c>
      <c r="B627">
        <v>633.25</v>
      </c>
      <c r="C627" t="s">
        <v>52</v>
      </c>
      <c r="D627" s="18">
        <v>45961</v>
      </c>
      <c r="E627" t="str">
        <f>IFERROR(VLOOKUP(A627,#REF!,5,TRUE),"not found")</f>
        <v>not found</v>
      </c>
      <c r="F627" t="str">
        <f>IFERROR(VLOOKUP(A627,#REF!,2,TRUE),"")</f>
        <v/>
      </c>
      <c r="G627">
        <v>7175</v>
      </c>
      <c r="H627" t="s">
        <v>2</v>
      </c>
      <c r="I627" t="e">
        <f ca="1">IF(B627="","",GBlackScholesImpVolBisection(LOWER(H627),F627,G627,(D627-A627)/365,E627,0,B627))</f>
        <v>#NAME?</v>
      </c>
      <c r="J627" t="e">
        <f ca="1">IF(B627="","",GBlackScholesNGreeks("d",LOWER(H627),F627,G627,(D627-A627)/365,E627,0,I627))</f>
        <v>#NAME?</v>
      </c>
      <c r="K627" t="e">
        <f ca="1">IF(B627="","",GBlackScholesNGreeks("v",LOWER(H627),F627,G627,(D627-A627)/365,E627,0,I627))</f>
        <v>#NAME?</v>
      </c>
      <c r="L627" t="e">
        <f ca="1">IF(B627="","",GBlackScholesNGreeks("g",LOWER(H627),F627,G627,(D627-A627)/365,E627,0,I627))</f>
        <v>#NAME?</v>
      </c>
      <c r="M627" t="e">
        <f ca="1">IF(B627="","",GBlackScholesNGreeks("t",LOWER(H627),F627,G627,(D627-A627)/365,E627,0,I627))</f>
        <v>#NAME?</v>
      </c>
      <c r="N627" t="e">
        <f ca="1">IF(B627="","",GBlackScholesNGreeks("r",LOWER(H627),F627,G627,(D627-A627)/365,E627,0,I627))</f>
        <v>#NAME?</v>
      </c>
      <c r="O627">
        <v>64</v>
      </c>
      <c r="P627" t="s">
        <v>39</v>
      </c>
      <c r="Q627">
        <v>50</v>
      </c>
      <c r="R627" t="s">
        <v>53</v>
      </c>
      <c r="S627" t="s">
        <v>33</v>
      </c>
      <c r="T627" t="s">
        <v>0</v>
      </c>
      <c r="U627">
        <v>0</v>
      </c>
      <c r="V627" t="e">
        <f ca="1">IF(B627="","",CGBlackScholes("dddv",LOWER(H627),F627,G627,(D627-A627)/365,E627,0,I627,J627))</f>
        <v>#NAME?</v>
      </c>
      <c r="W627" t="e">
        <f ca="1">IF(B627="","",CGBlackScholes("dvv",LOWER(H627),F627,G627,(D627-A627)/365,E627,0,I627,J627))</f>
        <v>#NAME?</v>
      </c>
      <c r="X627" t="e">
        <f ca="1">IF(B627="","",CGBlackScholes("dt",LOWER(H627),F627,G627,(D627-A627)/365,E627,0,I627,J627))</f>
        <v>#NAME?</v>
      </c>
      <c r="Y627" t="e">
        <f ca="1">IF(B627="","",CGBlackScholes("gps",LOWER(H627),F627,G627,(D627-A627)/365,E627,0,I627,J627))</f>
        <v>#NAME?</v>
      </c>
      <c r="Z627" t="e">
        <f ca="1">IF(B627="","",CGBlackScholes("gpv",LOWER(H627),F627,G627,(D627-A627)/365,E627,0,I627,J627))</f>
        <v>#NAME?</v>
      </c>
      <c r="AA627" t="e">
        <f ca="1">IF(B627="","",CGBlackScholes("dvdv",LOWER(H627),F627,G627,(D627-A627)/365,E627,0,I627,J627))</f>
        <v>#NAME?</v>
      </c>
      <c r="AB627" t="e">
        <f ca="1">IF(B627="","",CGBlackScholes("vvv",LOWER(H627),F627,G627,(D627-A627)/365,E627,0,I627,J627))</f>
        <v>#NAME?</v>
      </c>
    </row>
    <row r="628" spans="1:28" x14ac:dyDescent="0.3">
      <c r="A628" s="18">
        <v>45890</v>
      </c>
      <c r="B628">
        <v>726.75</v>
      </c>
      <c r="C628" t="s">
        <v>52</v>
      </c>
      <c r="D628" s="18">
        <v>45961</v>
      </c>
      <c r="E628" t="str">
        <f>IFERROR(VLOOKUP(A628,#REF!,5,TRUE),"not found")</f>
        <v>not found</v>
      </c>
      <c r="F628" t="str">
        <f>IFERROR(VLOOKUP(A628,#REF!,2,TRUE),"")</f>
        <v/>
      </c>
      <c r="G628">
        <v>7175</v>
      </c>
      <c r="H628" t="s">
        <v>2</v>
      </c>
      <c r="I628" t="e">
        <f ca="1">IF(B628="","",GBlackScholesImpVolBisection(LOWER(H628),F628,G628,(D628-A628)/365,E628,0,B628))</f>
        <v>#NAME?</v>
      </c>
      <c r="J628" t="e">
        <f ca="1">IF(B628="","",GBlackScholesNGreeks("d",LOWER(H628),F628,G628,(D628-A628)/365,E628,0,I628))</f>
        <v>#NAME?</v>
      </c>
      <c r="K628" t="e">
        <f ca="1">IF(B628="","",GBlackScholesNGreeks("v",LOWER(H628),F628,G628,(D628-A628)/365,E628,0,I628))</f>
        <v>#NAME?</v>
      </c>
      <c r="L628" t="e">
        <f ca="1">IF(B628="","",GBlackScholesNGreeks("g",LOWER(H628),F628,G628,(D628-A628)/365,E628,0,I628))</f>
        <v>#NAME?</v>
      </c>
      <c r="M628" t="e">
        <f ca="1">IF(B628="","",GBlackScholesNGreeks("t",LOWER(H628),F628,G628,(D628-A628)/365,E628,0,I628))</f>
        <v>#NAME?</v>
      </c>
      <c r="N628" t="e">
        <f ca="1">IF(B628="","",GBlackScholesNGreeks("r",LOWER(H628),F628,G628,(D628-A628)/365,E628,0,I628))</f>
        <v>#NAME?</v>
      </c>
      <c r="O628">
        <v>64</v>
      </c>
      <c r="P628" t="s">
        <v>39</v>
      </c>
      <c r="Q628">
        <v>50</v>
      </c>
      <c r="R628" t="s">
        <v>53</v>
      </c>
      <c r="S628" t="s">
        <v>33</v>
      </c>
      <c r="T628" t="s">
        <v>0</v>
      </c>
      <c r="U628">
        <v>0</v>
      </c>
      <c r="V628" t="e">
        <f ca="1">IF(B628="","",CGBlackScholes("dddv",LOWER(H628),F628,G628,(D628-A628)/365,E628,0,I628,J628))</f>
        <v>#NAME?</v>
      </c>
      <c r="W628" t="e">
        <f ca="1">IF(B628="","",CGBlackScholes("dvv",LOWER(H628),F628,G628,(D628-A628)/365,E628,0,I628,J628))</f>
        <v>#NAME?</v>
      </c>
      <c r="X628" t="e">
        <f ca="1">IF(B628="","",CGBlackScholes("dt",LOWER(H628),F628,G628,(D628-A628)/365,E628,0,I628,J628))</f>
        <v>#NAME?</v>
      </c>
      <c r="Y628" t="e">
        <f ca="1">IF(B628="","",CGBlackScholes("gps",LOWER(H628),F628,G628,(D628-A628)/365,E628,0,I628,J628))</f>
        <v>#NAME?</v>
      </c>
      <c r="Z628" t="e">
        <f ca="1">IF(B628="","",CGBlackScholes("gpv",LOWER(H628),F628,G628,(D628-A628)/365,E628,0,I628,J628))</f>
        <v>#NAME?</v>
      </c>
      <c r="AA628" t="e">
        <f ca="1">IF(B628="","",CGBlackScholes("dvdv",LOWER(H628),F628,G628,(D628-A628)/365,E628,0,I628,J628))</f>
        <v>#NAME?</v>
      </c>
      <c r="AB628" t="e">
        <f ca="1">IF(B628="","",CGBlackScholes("vvv",LOWER(H628),F628,G628,(D628-A628)/365,E628,0,I628,J628))</f>
        <v>#NAME?</v>
      </c>
    </row>
    <row r="629" spans="1:28" x14ac:dyDescent="0.3">
      <c r="A629" s="18">
        <v>45889</v>
      </c>
      <c r="B629">
        <v>702.75</v>
      </c>
      <c r="C629" t="s">
        <v>52</v>
      </c>
      <c r="D629" s="18">
        <v>45961</v>
      </c>
      <c r="E629" t="str">
        <f>IFERROR(VLOOKUP(A629,#REF!,5,TRUE),"not found")</f>
        <v>not found</v>
      </c>
      <c r="F629" t="str">
        <f>IFERROR(VLOOKUP(A629,#REF!,2,TRUE),"")</f>
        <v/>
      </c>
      <c r="G629">
        <v>7175</v>
      </c>
      <c r="H629" t="s">
        <v>2</v>
      </c>
      <c r="I629" t="e">
        <f ca="1">IF(B629="","",GBlackScholesImpVolBisection(LOWER(H629),F629,G629,(D629-A629)/365,E629,0,B629))</f>
        <v>#NAME?</v>
      </c>
      <c r="J629" t="e">
        <f ca="1">IF(B629="","",GBlackScholesNGreeks("d",LOWER(H629),F629,G629,(D629-A629)/365,E629,0,I629))</f>
        <v>#NAME?</v>
      </c>
      <c r="K629" t="e">
        <f ca="1">IF(B629="","",GBlackScholesNGreeks("v",LOWER(H629),F629,G629,(D629-A629)/365,E629,0,I629))</f>
        <v>#NAME?</v>
      </c>
      <c r="L629" t="e">
        <f ca="1">IF(B629="","",GBlackScholesNGreeks("g",LOWER(H629),F629,G629,(D629-A629)/365,E629,0,I629))</f>
        <v>#NAME?</v>
      </c>
      <c r="M629" t="e">
        <f ca="1">IF(B629="","",GBlackScholesNGreeks("t",LOWER(H629),F629,G629,(D629-A629)/365,E629,0,I629))</f>
        <v>#NAME?</v>
      </c>
      <c r="N629" t="e">
        <f ca="1">IF(B629="","",GBlackScholesNGreeks("r",LOWER(H629),F629,G629,(D629-A629)/365,E629,0,I629))</f>
        <v>#NAME?</v>
      </c>
      <c r="O629">
        <v>64</v>
      </c>
      <c r="P629" t="s">
        <v>39</v>
      </c>
      <c r="Q629">
        <v>50</v>
      </c>
      <c r="R629" t="s">
        <v>53</v>
      </c>
      <c r="S629" t="s">
        <v>33</v>
      </c>
      <c r="T629" t="s">
        <v>0</v>
      </c>
      <c r="U629">
        <v>0</v>
      </c>
      <c r="V629" t="e">
        <f ca="1">IF(B629="","",CGBlackScholes("dddv",LOWER(H629),F629,G629,(D629-A629)/365,E629,0,I629,J629))</f>
        <v>#NAME?</v>
      </c>
      <c r="W629" t="e">
        <f ca="1">IF(B629="","",CGBlackScholes("dvv",LOWER(H629),F629,G629,(D629-A629)/365,E629,0,I629,J629))</f>
        <v>#NAME?</v>
      </c>
      <c r="X629" t="e">
        <f ca="1">IF(B629="","",CGBlackScholes("dt",LOWER(H629),F629,G629,(D629-A629)/365,E629,0,I629,J629))</f>
        <v>#NAME?</v>
      </c>
      <c r="Y629" t="e">
        <f ca="1">IF(B629="","",CGBlackScholes("gps",LOWER(H629),F629,G629,(D629-A629)/365,E629,0,I629,J629))</f>
        <v>#NAME?</v>
      </c>
      <c r="Z629" t="e">
        <f ca="1">IF(B629="","",CGBlackScholes("gpv",LOWER(H629),F629,G629,(D629-A629)/365,E629,0,I629,J629))</f>
        <v>#NAME?</v>
      </c>
      <c r="AA629" t="e">
        <f ca="1">IF(B629="","",CGBlackScholes("dvdv",LOWER(H629),F629,G629,(D629-A629)/365,E629,0,I629,J629))</f>
        <v>#NAME?</v>
      </c>
      <c r="AB629" t="e">
        <f ca="1">IF(B629="","",CGBlackScholes("vvv",LOWER(H629),F629,G629,(D629-A629)/365,E629,0,I629,J629))</f>
        <v>#NAME?</v>
      </c>
    </row>
    <row r="630" spans="1:28" x14ac:dyDescent="0.3">
      <c r="A630" s="18">
        <v>45888</v>
      </c>
      <c r="B630">
        <v>683.75</v>
      </c>
      <c r="C630" t="s">
        <v>52</v>
      </c>
      <c r="D630" s="18">
        <v>45961</v>
      </c>
      <c r="E630" t="str">
        <f>IFERROR(VLOOKUP(A630,#REF!,5,TRUE),"not found")</f>
        <v>not found</v>
      </c>
      <c r="F630" t="str">
        <f>IFERROR(VLOOKUP(A630,#REF!,2,TRUE),"")</f>
        <v/>
      </c>
      <c r="G630">
        <v>7175</v>
      </c>
      <c r="H630" t="s">
        <v>2</v>
      </c>
      <c r="I630" t="e">
        <f ca="1">IF(B630="","",GBlackScholesImpVolBisection(LOWER(H630),F630,G630,(D630-A630)/365,E630,0,B630))</f>
        <v>#NAME?</v>
      </c>
      <c r="J630" t="e">
        <f ca="1">IF(B630="","",GBlackScholesNGreeks("d",LOWER(H630),F630,G630,(D630-A630)/365,E630,0,I630))</f>
        <v>#NAME?</v>
      </c>
      <c r="K630" t="e">
        <f ca="1">IF(B630="","",GBlackScholesNGreeks("v",LOWER(H630),F630,G630,(D630-A630)/365,E630,0,I630))</f>
        <v>#NAME?</v>
      </c>
      <c r="L630" t="e">
        <f ca="1">IF(B630="","",GBlackScholesNGreeks("g",LOWER(H630),F630,G630,(D630-A630)/365,E630,0,I630))</f>
        <v>#NAME?</v>
      </c>
      <c r="M630" t="e">
        <f ca="1">IF(B630="","",GBlackScholesNGreeks("t",LOWER(H630),F630,G630,(D630-A630)/365,E630,0,I630))</f>
        <v>#NAME?</v>
      </c>
      <c r="N630" t="e">
        <f ca="1">IF(B630="","",GBlackScholesNGreeks("r",LOWER(H630),F630,G630,(D630-A630)/365,E630,0,I630))</f>
        <v>#NAME?</v>
      </c>
      <c r="O630">
        <v>64</v>
      </c>
      <c r="P630" t="s">
        <v>39</v>
      </c>
      <c r="Q630">
        <v>50</v>
      </c>
      <c r="R630" t="s">
        <v>53</v>
      </c>
      <c r="S630" t="s">
        <v>33</v>
      </c>
      <c r="T630" t="s">
        <v>0</v>
      </c>
      <c r="U630">
        <v>0</v>
      </c>
      <c r="V630" t="e">
        <f ca="1">IF(B630="","",CGBlackScholes("dddv",LOWER(H630),F630,G630,(D630-A630)/365,E630,0,I630,J630))</f>
        <v>#NAME?</v>
      </c>
      <c r="W630" t="e">
        <f ca="1">IF(B630="","",CGBlackScholes("dvv",LOWER(H630),F630,G630,(D630-A630)/365,E630,0,I630,J630))</f>
        <v>#NAME?</v>
      </c>
      <c r="X630" t="e">
        <f ca="1">IF(B630="","",CGBlackScholes("dt",LOWER(H630),F630,G630,(D630-A630)/365,E630,0,I630,J630))</f>
        <v>#NAME?</v>
      </c>
      <c r="Y630" t="e">
        <f ca="1">IF(B630="","",CGBlackScholes("gps",LOWER(H630),F630,G630,(D630-A630)/365,E630,0,I630,J630))</f>
        <v>#NAME?</v>
      </c>
      <c r="Z630" t="e">
        <f ca="1">IF(B630="","",CGBlackScholes("gpv",LOWER(H630),F630,G630,(D630-A630)/365,E630,0,I630,J630))</f>
        <v>#NAME?</v>
      </c>
      <c r="AA630" t="e">
        <f ca="1">IF(B630="","",CGBlackScholes("dvdv",LOWER(H630),F630,G630,(D630-A630)/365,E630,0,I630,J630))</f>
        <v>#NAME?</v>
      </c>
      <c r="AB630" t="e">
        <f ca="1">IF(B630="","",CGBlackScholes("vvv",LOWER(H630),F630,G630,(D630-A630)/365,E630,0,I630,J630))</f>
        <v>#NAME?</v>
      </c>
    </row>
    <row r="631" spans="1:28" x14ac:dyDescent="0.3">
      <c r="A631" s="18">
        <v>45887</v>
      </c>
      <c r="B631">
        <v>647.75</v>
      </c>
      <c r="C631" t="s">
        <v>52</v>
      </c>
      <c r="D631" s="18">
        <v>45961</v>
      </c>
      <c r="E631" t="str">
        <f>IFERROR(VLOOKUP(A631,#REF!,5,TRUE),"not found")</f>
        <v>not found</v>
      </c>
      <c r="F631" t="str">
        <f>IFERROR(VLOOKUP(A631,#REF!,2,TRUE),"")</f>
        <v/>
      </c>
      <c r="G631">
        <v>7175</v>
      </c>
      <c r="H631" t="s">
        <v>2</v>
      </c>
      <c r="I631" t="e">
        <f ca="1">IF(B631="","",GBlackScholesImpVolBisection(LOWER(H631),F631,G631,(D631-A631)/365,E631,0,B631))</f>
        <v>#NAME?</v>
      </c>
      <c r="J631" t="e">
        <f ca="1">IF(B631="","",GBlackScholesNGreeks("d",LOWER(H631),F631,G631,(D631-A631)/365,E631,0,I631))</f>
        <v>#NAME?</v>
      </c>
      <c r="K631" t="e">
        <f ca="1">IF(B631="","",GBlackScholesNGreeks("v",LOWER(H631),F631,G631,(D631-A631)/365,E631,0,I631))</f>
        <v>#NAME?</v>
      </c>
      <c r="L631" t="e">
        <f ca="1">IF(B631="","",GBlackScholesNGreeks("g",LOWER(H631),F631,G631,(D631-A631)/365,E631,0,I631))</f>
        <v>#NAME?</v>
      </c>
      <c r="M631" t="e">
        <f ca="1">IF(B631="","",GBlackScholesNGreeks("t",LOWER(H631),F631,G631,(D631-A631)/365,E631,0,I631))</f>
        <v>#NAME?</v>
      </c>
      <c r="N631" t="e">
        <f ca="1">IF(B631="","",GBlackScholesNGreeks("r",LOWER(H631),F631,G631,(D631-A631)/365,E631,0,I631))</f>
        <v>#NAME?</v>
      </c>
      <c r="O631">
        <v>64</v>
      </c>
      <c r="P631" t="s">
        <v>39</v>
      </c>
      <c r="Q631">
        <v>50</v>
      </c>
      <c r="R631" t="s">
        <v>53</v>
      </c>
      <c r="S631" t="s">
        <v>33</v>
      </c>
      <c r="T631" t="s">
        <v>0</v>
      </c>
      <c r="U631">
        <v>0</v>
      </c>
      <c r="V631" t="e">
        <f ca="1">IF(B631="","",CGBlackScholes("dddv",LOWER(H631),F631,G631,(D631-A631)/365,E631,0,I631,J631))</f>
        <v>#NAME?</v>
      </c>
      <c r="W631" t="e">
        <f ca="1">IF(B631="","",CGBlackScholes("dvv",LOWER(H631),F631,G631,(D631-A631)/365,E631,0,I631,J631))</f>
        <v>#NAME?</v>
      </c>
      <c r="X631" t="e">
        <f ca="1">IF(B631="","",CGBlackScholes("dt",LOWER(H631),F631,G631,(D631-A631)/365,E631,0,I631,J631))</f>
        <v>#NAME?</v>
      </c>
      <c r="Y631" t="e">
        <f ca="1">IF(B631="","",CGBlackScholes("gps",LOWER(H631),F631,G631,(D631-A631)/365,E631,0,I631,J631))</f>
        <v>#NAME?</v>
      </c>
      <c r="Z631" t="e">
        <f ca="1">IF(B631="","",CGBlackScholes("gpv",LOWER(H631),F631,G631,(D631-A631)/365,E631,0,I631,J631))</f>
        <v>#NAME?</v>
      </c>
      <c r="AA631" t="e">
        <f ca="1">IF(B631="","",CGBlackScholes("dvdv",LOWER(H631),F631,G631,(D631-A631)/365,E631,0,I631,J631))</f>
        <v>#NAME?</v>
      </c>
      <c r="AB631" t="e">
        <f ca="1">IF(B631="","",CGBlackScholes("vvv",LOWER(H631),F631,G631,(D631-A631)/365,E631,0,I631,J631))</f>
        <v>#NAME?</v>
      </c>
    </row>
    <row r="632" spans="1:28" x14ac:dyDescent="0.3">
      <c r="A632" s="18">
        <v>45884</v>
      </c>
      <c r="B632">
        <v>646.5</v>
      </c>
      <c r="C632" t="s">
        <v>52</v>
      </c>
      <c r="D632" s="18">
        <v>45961</v>
      </c>
      <c r="E632" t="str">
        <f>IFERROR(VLOOKUP(A632,#REF!,5,TRUE),"not found")</f>
        <v>not found</v>
      </c>
      <c r="F632" t="str">
        <f>IFERROR(VLOOKUP(A632,#REF!,2,TRUE),"")</f>
        <v/>
      </c>
      <c r="G632">
        <v>7175</v>
      </c>
      <c r="H632" t="s">
        <v>2</v>
      </c>
      <c r="I632" t="e">
        <f ca="1">IF(B632="","",GBlackScholesImpVolBisection(LOWER(H632),F632,G632,(D632-A632)/365,E632,0,B632))</f>
        <v>#NAME?</v>
      </c>
      <c r="J632" t="e">
        <f ca="1">IF(B632="","",GBlackScholesNGreeks("d",LOWER(H632),F632,G632,(D632-A632)/365,E632,0,I632))</f>
        <v>#NAME?</v>
      </c>
      <c r="K632" t="e">
        <f ca="1">IF(B632="","",GBlackScholesNGreeks("v",LOWER(H632),F632,G632,(D632-A632)/365,E632,0,I632))</f>
        <v>#NAME?</v>
      </c>
      <c r="L632" t="e">
        <f ca="1">IF(B632="","",GBlackScholesNGreeks("g",LOWER(H632),F632,G632,(D632-A632)/365,E632,0,I632))</f>
        <v>#NAME?</v>
      </c>
      <c r="M632" t="e">
        <f ca="1">IF(B632="","",GBlackScholesNGreeks("t",LOWER(H632),F632,G632,(D632-A632)/365,E632,0,I632))</f>
        <v>#NAME?</v>
      </c>
      <c r="N632" t="e">
        <f ca="1">IF(B632="","",GBlackScholesNGreeks("r",LOWER(H632),F632,G632,(D632-A632)/365,E632,0,I632))</f>
        <v>#NAME?</v>
      </c>
      <c r="O632">
        <v>64</v>
      </c>
      <c r="P632" t="s">
        <v>39</v>
      </c>
      <c r="Q632">
        <v>50</v>
      </c>
      <c r="R632" t="s">
        <v>53</v>
      </c>
      <c r="S632" t="s">
        <v>33</v>
      </c>
      <c r="T632" t="s">
        <v>0</v>
      </c>
      <c r="U632">
        <v>0</v>
      </c>
      <c r="V632" t="e">
        <f ca="1">IF(B632="","",CGBlackScholes("dddv",LOWER(H632),F632,G632,(D632-A632)/365,E632,0,I632,J632))</f>
        <v>#NAME?</v>
      </c>
      <c r="W632" t="e">
        <f ca="1">IF(B632="","",CGBlackScholes("dvv",LOWER(H632),F632,G632,(D632-A632)/365,E632,0,I632,J632))</f>
        <v>#NAME?</v>
      </c>
      <c r="X632" t="e">
        <f ca="1">IF(B632="","",CGBlackScholes("dt",LOWER(H632),F632,G632,(D632-A632)/365,E632,0,I632,J632))</f>
        <v>#NAME?</v>
      </c>
      <c r="Y632" t="e">
        <f ca="1">IF(B632="","",CGBlackScholes("gps",LOWER(H632),F632,G632,(D632-A632)/365,E632,0,I632,J632))</f>
        <v>#NAME?</v>
      </c>
      <c r="Z632" t="e">
        <f ca="1">IF(B632="","",CGBlackScholes("gpv",LOWER(H632),F632,G632,(D632-A632)/365,E632,0,I632,J632))</f>
        <v>#NAME?</v>
      </c>
      <c r="AA632" t="e">
        <f ca="1">IF(B632="","",CGBlackScholes("dvdv",LOWER(H632),F632,G632,(D632-A632)/365,E632,0,I632,J632))</f>
        <v>#NAME?</v>
      </c>
      <c r="AB632" t="e">
        <f ca="1">IF(B632="","",CGBlackScholes("vvv",LOWER(H632),F632,G632,(D632-A632)/365,E632,0,I632,J632))</f>
        <v>#NAME?</v>
      </c>
    </row>
    <row r="633" spans="1:28" x14ac:dyDescent="0.3">
      <c r="A633" s="18">
        <v>45883</v>
      </c>
      <c r="B633">
        <v>627.75</v>
      </c>
      <c r="C633" t="s">
        <v>52</v>
      </c>
      <c r="D633" s="18">
        <v>45961</v>
      </c>
      <c r="E633" t="str">
        <f>IFERROR(VLOOKUP(A633,#REF!,5,TRUE),"not found")</f>
        <v>not found</v>
      </c>
      <c r="F633" t="str">
        <f>IFERROR(VLOOKUP(A633,#REF!,2,TRUE),"")</f>
        <v/>
      </c>
      <c r="G633">
        <v>7175</v>
      </c>
      <c r="H633" t="s">
        <v>2</v>
      </c>
      <c r="I633" t="e">
        <f ca="1">IF(B633="","",GBlackScholesImpVolBisection(LOWER(H633),F633,G633,(D633-A633)/365,E633,0,B633))</f>
        <v>#NAME?</v>
      </c>
      <c r="J633" t="e">
        <f ca="1">IF(B633="","",GBlackScholesNGreeks("d",LOWER(H633),F633,G633,(D633-A633)/365,E633,0,I633))</f>
        <v>#NAME?</v>
      </c>
      <c r="K633" t="e">
        <f ca="1">IF(B633="","",GBlackScholesNGreeks("v",LOWER(H633),F633,G633,(D633-A633)/365,E633,0,I633))</f>
        <v>#NAME?</v>
      </c>
      <c r="L633" t="e">
        <f ca="1">IF(B633="","",GBlackScholesNGreeks("g",LOWER(H633),F633,G633,(D633-A633)/365,E633,0,I633))</f>
        <v>#NAME?</v>
      </c>
      <c r="M633" t="e">
        <f ca="1">IF(B633="","",GBlackScholesNGreeks("t",LOWER(H633),F633,G633,(D633-A633)/365,E633,0,I633))</f>
        <v>#NAME?</v>
      </c>
      <c r="N633" t="e">
        <f ca="1">IF(B633="","",GBlackScholesNGreeks("r",LOWER(H633),F633,G633,(D633-A633)/365,E633,0,I633))</f>
        <v>#NAME?</v>
      </c>
      <c r="O633">
        <v>64</v>
      </c>
      <c r="P633" t="s">
        <v>39</v>
      </c>
      <c r="Q633">
        <v>50</v>
      </c>
      <c r="R633" t="s">
        <v>53</v>
      </c>
      <c r="S633" t="s">
        <v>33</v>
      </c>
      <c r="T633" t="s">
        <v>0</v>
      </c>
      <c r="U633">
        <v>0</v>
      </c>
      <c r="V633" t="e">
        <f ca="1">IF(B633="","",CGBlackScholes("dddv",LOWER(H633),F633,G633,(D633-A633)/365,E633,0,I633,J633))</f>
        <v>#NAME?</v>
      </c>
      <c r="W633" t="e">
        <f ca="1">IF(B633="","",CGBlackScholes("dvv",LOWER(H633),F633,G633,(D633-A633)/365,E633,0,I633,J633))</f>
        <v>#NAME?</v>
      </c>
      <c r="X633" t="e">
        <f ca="1">IF(B633="","",CGBlackScholes("dt",LOWER(H633),F633,G633,(D633-A633)/365,E633,0,I633,J633))</f>
        <v>#NAME?</v>
      </c>
      <c r="Y633" t="e">
        <f ca="1">IF(B633="","",CGBlackScholes("gps",LOWER(H633),F633,G633,(D633-A633)/365,E633,0,I633,J633))</f>
        <v>#NAME?</v>
      </c>
      <c r="Z633" t="e">
        <f ca="1">IF(B633="","",CGBlackScholes("gpv",LOWER(H633),F633,G633,(D633-A633)/365,E633,0,I633,J633))</f>
        <v>#NAME?</v>
      </c>
      <c r="AA633" t="e">
        <f ca="1">IF(B633="","",CGBlackScholes("dvdv",LOWER(H633),F633,G633,(D633-A633)/365,E633,0,I633,J633))</f>
        <v>#NAME?</v>
      </c>
      <c r="AB633" t="e">
        <f ca="1">IF(B633="","",CGBlackScholes("vvv",LOWER(H633),F633,G633,(D633-A633)/365,E633,0,I633,J633))</f>
        <v>#NAME?</v>
      </c>
    </row>
    <row r="634" spans="1:28" x14ac:dyDescent="0.3">
      <c r="A634" s="18">
        <v>45882</v>
      </c>
      <c r="B634">
        <v>630.25</v>
      </c>
      <c r="C634" t="s">
        <v>52</v>
      </c>
      <c r="D634" s="18">
        <v>45961</v>
      </c>
      <c r="E634" t="str">
        <f>IFERROR(VLOOKUP(A634,#REF!,5,TRUE),"not found")</f>
        <v>not found</v>
      </c>
      <c r="F634" t="str">
        <f>IFERROR(VLOOKUP(A634,#REF!,2,TRUE),"")</f>
        <v/>
      </c>
      <c r="G634">
        <v>7175</v>
      </c>
      <c r="H634" t="s">
        <v>2</v>
      </c>
      <c r="I634" t="e">
        <f ca="1">IF(B634="","",GBlackScholesImpVolBisection(LOWER(H634),F634,G634,(D634-A634)/365,E634,0,B634))</f>
        <v>#NAME?</v>
      </c>
      <c r="J634" t="e">
        <f ca="1">IF(B634="","",GBlackScholesNGreeks("d",LOWER(H634),F634,G634,(D634-A634)/365,E634,0,I634))</f>
        <v>#NAME?</v>
      </c>
      <c r="K634" t="e">
        <f ca="1">IF(B634="","",GBlackScholesNGreeks("v",LOWER(H634),F634,G634,(D634-A634)/365,E634,0,I634))</f>
        <v>#NAME?</v>
      </c>
      <c r="L634" t="e">
        <f ca="1">IF(B634="","",GBlackScholesNGreeks("g",LOWER(H634),F634,G634,(D634-A634)/365,E634,0,I634))</f>
        <v>#NAME?</v>
      </c>
      <c r="M634" t="e">
        <f ca="1">IF(B634="","",GBlackScholesNGreeks("t",LOWER(H634),F634,G634,(D634-A634)/365,E634,0,I634))</f>
        <v>#NAME?</v>
      </c>
      <c r="N634" t="e">
        <f ca="1">IF(B634="","",GBlackScholesNGreeks("r",LOWER(H634),F634,G634,(D634-A634)/365,E634,0,I634))</f>
        <v>#NAME?</v>
      </c>
      <c r="O634">
        <v>64</v>
      </c>
      <c r="P634" t="s">
        <v>39</v>
      </c>
      <c r="Q634">
        <v>50</v>
      </c>
      <c r="R634" t="s">
        <v>53</v>
      </c>
      <c r="S634" t="s">
        <v>33</v>
      </c>
      <c r="T634" t="s">
        <v>0</v>
      </c>
      <c r="U634">
        <v>0</v>
      </c>
      <c r="V634" t="e">
        <f ca="1">IF(B634="","",CGBlackScholes("dddv",LOWER(H634),F634,G634,(D634-A634)/365,E634,0,I634,J634))</f>
        <v>#NAME?</v>
      </c>
      <c r="W634" t="e">
        <f ca="1">IF(B634="","",CGBlackScholes("dvv",LOWER(H634),F634,G634,(D634-A634)/365,E634,0,I634,J634))</f>
        <v>#NAME?</v>
      </c>
      <c r="X634" t="e">
        <f ca="1">IF(B634="","",CGBlackScholes("dt",LOWER(H634),F634,G634,(D634-A634)/365,E634,0,I634,J634))</f>
        <v>#NAME?</v>
      </c>
      <c r="Y634" t="e">
        <f ca="1">IF(B634="","",CGBlackScholes("gps",LOWER(H634),F634,G634,(D634-A634)/365,E634,0,I634,J634))</f>
        <v>#NAME?</v>
      </c>
      <c r="Z634" t="e">
        <f ca="1">IF(B634="","",CGBlackScholes("gpv",LOWER(H634),F634,G634,(D634-A634)/365,E634,0,I634,J634))</f>
        <v>#NAME?</v>
      </c>
      <c r="AA634" t="e">
        <f ca="1">IF(B634="","",CGBlackScholes("dvdv",LOWER(H634),F634,G634,(D634-A634)/365,E634,0,I634,J634))</f>
        <v>#NAME?</v>
      </c>
      <c r="AB634" t="e">
        <f ca="1">IF(B634="","",CGBlackScholes("vvv",LOWER(H634),F634,G634,(D634-A634)/365,E634,0,I634,J634))</f>
        <v>#NAME?</v>
      </c>
    </row>
    <row r="635" spans="1:28" x14ac:dyDescent="0.3">
      <c r="C635" t="s">
        <v>52</v>
      </c>
      <c r="D635" s="18">
        <v>45961</v>
      </c>
      <c r="E635" t="str">
        <f>IFERROR(VLOOKUP(A635,#REF!,5,TRUE),"not found")</f>
        <v>not found</v>
      </c>
      <c r="F635" t="str">
        <f>IFERROR(VLOOKUP(A635,#REF!,2,TRUE),"")</f>
        <v/>
      </c>
      <c r="G635">
        <v>7175</v>
      </c>
      <c r="H635" t="s">
        <v>2</v>
      </c>
      <c r="O635">
        <v>64</v>
      </c>
      <c r="P635" t="s">
        <v>39</v>
      </c>
      <c r="Q635">
        <v>50</v>
      </c>
      <c r="R635" t="s">
        <v>53</v>
      </c>
      <c r="S635" t="s">
        <v>33</v>
      </c>
      <c r="T635" t="s">
        <v>0</v>
      </c>
      <c r="U635">
        <v>0</v>
      </c>
    </row>
    <row r="636" spans="1:28" x14ac:dyDescent="0.3">
      <c r="C636" t="s">
        <v>52</v>
      </c>
      <c r="D636" s="18">
        <v>45961</v>
      </c>
      <c r="E636" t="str">
        <f>IFERROR(VLOOKUP(A636,#REF!,5,TRUE),"not found")</f>
        <v>not found</v>
      </c>
      <c r="F636" t="str">
        <f>IFERROR(VLOOKUP(A636,#REF!,2,TRUE),"")</f>
        <v/>
      </c>
      <c r="G636">
        <v>7175</v>
      </c>
      <c r="H636" t="s">
        <v>2</v>
      </c>
      <c r="O636">
        <v>64</v>
      </c>
      <c r="P636" t="s">
        <v>39</v>
      </c>
      <c r="Q636">
        <v>50</v>
      </c>
      <c r="R636" t="s">
        <v>53</v>
      </c>
      <c r="S636" t="s">
        <v>33</v>
      </c>
      <c r="T636" t="s">
        <v>0</v>
      </c>
      <c r="U636">
        <v>0</v>
      </c>
    </row>
    <row r="637" spans="1:28" x14ac:dyDescent="0.3">
      <c r="C637" t="s">
        <v>52</v>
      </c>
      <c r="D637" s="18">
        <v>45961</v>
      </c>
      <c r="E637" t="str">
        <f>IFERROR(VLOOKUP(A637,#REF!,5,TRUE),"not found")</f>
        <v>not found</v>
      </c>
      <c r="F637" t="str">
        <f>IFERROR(VLOOKUP(A637,#REF!,2,TRUE),"")</f>
        <v/>
      </c>
      <c r="G637">
        <v>7175</v>
      </c>
      <c r="H637" t="s">
        <v>2</v>
      </c>
      <c r="O637">
        <v>64</v>
      </c>
      <c r="P637" t="s">
        <v>39</v>
      </c>
      <c r="Q637">
        <v>50</v>
      </c>
      <c r="R637" t="s">
        <v>53</v>
      </c>
      <c r="S637" t="s">
        <v>33</v>
      </c>
      <c r="T637" t="s">
        <v>0</v>
      </c>
      <c r="U637">
        <v>0</v>
      </c>
    </row>
    <row r="638" spans="1:28" x14ac:dyDescent="0.3">
      <c r="C638" t="s">
        <v>52</v>
      </c>
      <c r="D638" s="18">
        <v>45961</v>
      </c>
      <c r="E638" t="str">
        <f>IFERROR(VLOOKUP(A638,#REF!,5,TRUE),"not found")</f>
        <v>not found</v>
      </c>
      <c r="F638" t="str">
        <f>IFERROR(VLOOKUP(A638,#REF!,2,TRUE),"")</f>
        <v/>
      </c>
      <c r="G638">
        <v>7175</v>
      </c>
      <c r="H638" t="s">
        <v>2</v>
      </c>
      <c r="O638">
        <v>64</v>
      </c>
      <c r="P638" t="s">
        <v>39</v>
      </c>
      <c r="Q638">
        <v>50</v>
      </c>
      <c r="R638" t="s">
        <v>53</v>
      </c>
      <c r="S638" t="s">
        <v>33</v>
      </c>
      <c r="T638" t="s">
        <v>0</v>
      </c>
      <c r="U638">
        <v>0</v>
      </c>
    </row>
    <row r="639" spans="1:28" x14ac:dyDescent="0.3">
      <c r="C639" t="s">
        <v>52</v>
      </c>
      <c r="D639" s="18">
        <v>45961</v>
      </c>
      <c r="E639" t="str">
        <f>IFERROR(VLOOKUP(A639,#REF!,5,TRUE),"not found")</f>
        <v>not found</v>
      </c>
      <c r="F639" t="str">
        <f>IFERROR(VLOOKUP(A639,#REF!,2,TRUE),"")</f>
        <v/>
      </c>
      <c r="G639">
        <v>7175</v>
      </c>
      <c r="H639" t="s">
        <v>2</v>
      </c>
      <c r="O639">
        <v>64</v>
      </c>
      <c r="P639" t="s">
        <v>39</v>
      </c>
      <c r="Q639">
        <v>50</v>
      </c>
      <c r="R639" t="s">
        <v>53</v>
      </c>
      <c r="S639" t="s">
        <v>33</v>
      </c>
      <c r="T639" t="s">
        <v>0</v>
      </c>
      <c r="U639">
        <v>0</v>
      </c>
    </row>
    <row r="640" spans="1:28" x14ac:dyDescent="0.3">
      <c r="C640" t="s">
        <v>52</v>
      </c>
      <c r="D640" s="18">
        <v>45961</v>
      </c>
      <c r="E640" t="str">
        <f>IFERROR(VLOOKUP(A640,#REF!,5,TRUE),"not found")</f>
        <v>not found</v>
      </c>
      <c r="F640" t="str">
        <f>IFERROR(VLOOKUP(A640,#REF!,2,TRUE),"")</f>
        <v/>
      </c>
      <c r="G640">
        <v>7175</v>
      </c>
      <c r="H640" t="s">
        <v>2</v>
      </c>
      <c r="O640">
        <v>64</v>
      </c>
      <c r="P640" t="s">
        <v>39</v>
      </c>
      <c r="Q640">
        <v>50</v>
      </c>
      <c r="R640" t="s">
        <v>53</v>
      </c>
      <c r="S640" t="s">
        <v>33</v>
      </c>
      <c r="T640" t="s">
        <v>0</v>
      </c>
      <c r="U640">
        <v>0</v>
      </c>
    </row>
    <row r="641" spans="3:21" x14ac:dyDescent="0.3">
      <c r="C641" t="s">
        <v>52</v>
      </c>
      <c r="D641" s="18">
        <v>45961</v>
      </c>
      <c r="E641" t="str">
        <f>IFERROR(VLOOKUP(A641,#REF!,5,TRUE),"not found")</f>
        <v>not found</v>
      </c>
      <c r="F641" t="str">
        <f>IFERROR(VLOOKUP(A641,#REF!,2,TRUE),"")</f>
        <v/>
      </c>
      <c r="G641">
        <v>7175</v>
      </c>
      <c r="H641" t="s">
        <v>2</v>
      </c>
      <c r="O641">
        <v>64</v>
      </c>
      <c r="P641" t="s">
        <v>39</v>
      </c>
      <c r="Q641">
        <v>50</v>
      </c>
      <c r="R641" t="s">
        <v>53</v>
      </c>
      <c r="S641" t="s">
        <v>33</v>
      </c>
      <c r="T641" t="s">
        <v>0</v>
      </c>
      <c r="U641">
        <v>0</v>
      </c>
    </row>
    <row r="642" spans="3:21" x14ac:dyDescent="0.3">
      <c r="C642" t="s">
        <v>52</v>
      </c>
      <c r="D642" s="18">
        <v>45961</v>
      </c>
      <c r="E642" t="str">
        <f>IFERROR(VLOOKUP(A642,#REF!,5,TRUE),"not found")</f>
        <v>not found</v>
      </c>
      <c r="F642" t="str">
        <f>IFERROR(VLOOKUP(A642,#REF!,2,TRUE),"")</f>
        <v/>
      </c>
      <c r="G642">
        <v>7175</v>
      </c>
      <c r="H642" t="s">
        <v>2</v>
      </c>
      <c r="O642">
        <v>64</v>
      </c>
      <c r="P642" t="s">
        <v>39</v>
      </c>
      <c r="Q642">
        <v>50</v>
      </c>
      <c r="R642" t="s">
        <v>53</v>
      </c>
      <c r="S642" t="s">
        <v>33</v>
      </c>
      <c r="T642" t="s">
        <v>0</v>
      </c>
      <c r="U642">
        <v>0</v>
      </c>
    </row>
    <row r="643" spans="3:21" x14ac:dyDescent="0.3">
      <c r="C643" t="s">
        <v>52</v>
      </c>
      <c r="D643" s="18">
        <v>45961</v>
      </c>
      <c r="E643" t="str">
        <f>IFERROR(VLOOKUP(A643,#REF!,5,TRUE),"not found")</f>
        <v>not found</v>
      </c>
      <c r="F643" t="str">
        <f>IFERROR(VLOOKUP(A643,#REF!,2,TRUE),"")</f>
        <v/>
      </c>
      <c r="G643">
        <v>7175</v>
      </c>
      <c r="H643" t="s">
        <v>2</v>
      </c>
      <c r="O643">
        <v>64</v>
      </c>
      <c r="P643" t="s">
        <v>39</v>
      </c>
      <c r="Q643">
        <v>50</v>
      </c>
      <c r="R643" t="s">
        <v>53</v>
      </c>
      <c r="S643" t="s">
        <v>33</v>
      </c>
      <c r="T643" t="s">
        <v>0</v>
      </c>
      <c r="U643">
        <v>0</v>
      </c>
    </row>
    <row r="644" spans="3:21" x14ac:dyDescent="0.3">
      <c r="C644" t="s">
        <v>52</v>
      </c>
      <c r="D644" s="18">
        <v>45961</v>
      </c>
      <c r="E644" t="str">
        <f>IFERROR(VLOOKUP(A644,#REF!,5,TRUE),"not found")</f>
        <v>not found</v>
      </c>
      <c r="F644" t="str">
        <f>IFERROR(VLOOKUP(A644,#REF!,2,TRUE),"")</f>
        <v/>
      </c>
      <c r="G644">
        <v>7175</v>
      </c>
      <c r="H644" t="s">
        <v>2</v>
      </c>
      <c r="O644">
        <v>64</v>
      </c>
      <c r="P644" t="s">
        <v>39</v>
      </c>
      <c r="Q644">
        <v>50</v>
      </c>
      <c r="R644" t="s">
        <v>53</v>
      </c>
      <c r="S644" t="s">
        <v>33</v>
      </c>
      <c r="T644" t="s">
        <v>0</v>
      </c>
      <c r="U644">
        <v>0</v>
      </c>
    </row>
    <row r="645" spans="3:21" x14ac:dyDescent="0.3">
      <c r="C645" t="s">
        <v>52</v>
      </c>
      <c r="D645" s="18">
        <v>45961</v>
      </c>
      <c r="E645" t="str">
        <f>IFERROR(VLOOKUP(A645,#REF!,5,TRUE),"not found")</f>
        <v>not found</v>
      </c>
      <c r="F645" t="str">
        <f>IFERROR(VLOOKUP(A645,#REF!,2,TRUE),"")</f>
        <v/>
      </c>
      <c r="G645">
        <v>7175</v>
      </c>
      <c r="H645" t="s">
        <v>2</v>
      </c>
      <c r="O645">
        <v>64</v>
      </c>
      <c r="P645" t="s">
        <v>39</v>
      </c>
      <c r="Q645">
        <v>50</v>
      </c>
      <c r="R645" t="s">
        <v>53</v>
      </c>
      <c r="S645" t="s">
        <v>33</v>
      </c>
      <c r="T645" t="s">
        <v>0</v>
      </c>
      <c r="U645">
        <v>0</v>
      </c>
    </row>
    <row r="646" spans="3:21" x14ac:dyDescent="0.3">
      <c r="C646" t="s">
        <v>52</v>
      </c>
      <c r="D646" s="18">
        <v>45961</v>
      </c>
      <c r="E646" t="str">
        <f>IFERROR(VLOOKUP(A646,#REF!,5,TRUE),"not found")</f>
        <v>not found</v>
      </c>
      <c r="F646" t="str">
        <f>IFERROR(VLOOKUP(A646,#REF!,2,TRUE),"")</f>
        <v/>
      </c>
      <c r="G646">
        <v>7175</v>
      </c>
      <c r="H646" t="s">
        <v>2</v>
      </c>
      <c r="O646">
        <v>64</v>
      </c>
      <c r="P646" t="s">
        <v>39</v>
      </c>
      <c r="Q646">
        <v>50</v>
      </c>
      <c r="R646" t="s">
        <v>53</v>
      </c>
      <c r="S646" t="s">
        <v>33</v>
      </c>
      <c r="T646" t="s">
        <v>0</v>
      </c>
      <c r="U646">
        <v>0</v>
      </c>
    </row>
    <row r="647" spans="3:21" x14ac:dyDescent="0.3">
      <c r="C647" t="s">
        <v>52</v>
      </c>
      <c r="D647" s="18">
        <v>45961</v>
      </c>
      <c r="E647" t="str">
        <f>IFERROR(VLOOKUP(A647,#REF!,5,TRUE),"not found")</f>
        <v>not found</v>
      </c>
      <c r="F647" t="str">
        <f>IFERROR(VLOOKUP(A647,#REF!,2,TRUE),"")</f>
        <v/>
      </c>
      <c r="G647">
        <v>7175</v>
      </c>
      <c r="H647" t="s">
        <v>2</v>
      </c>
      <c r="O647">
        <v>64</v>
      </c>
      <c r="P647" t="s">
        <v>39</v>
      </c>
      <c r="Q647">
        <v>50</v>
      </c>
      <c r="R647" t="s">
        <v>53</v>
      </c>
      <c r="S647" t="s">
        <v>33</v>
      </c>
      <c r="T647" t="s">
        <v>0</v>
      </c>
      <c r="U647">
        <v>0</v>
      </c>
    </row>
    <row r="648" spans="3:21" x14ac:dyDescent="0.3">
      <c r="C648" t="s">
        <v>52</v>
      </c>
      <c r="D648" s="18">
        <v>45961</v>
      </c>
      <c r="E648" t="str">
        <f>IFERROR(VLOOKUP(A648,#REF!,5,TRUE),"not found")</f>
        <v>not found</v>
      </c>
      <c r="F648" t="str">
        <f>IFERROR(VLOOKUP(A648,#REF!,2,TRUE),"")</f>
        <v/>
      </c>
      <c r="G648">
        <v>7175</v>
      </c>
      <c r="H648" t="s">
        <v>2</v>
      </c>
      <c r="O648">
        <v>64</v>
      </c>
      <c r="P648" t="s">
        <v>39</v>
      </c>
      <c r="Q648">
        <v>50</v>
      </c>
      <c r="R648" t="s">
        <v>53</v>
      </c>
      <c r="S648" t="s">
        <v>33</v>
      </c>
      <c r="T648" t="s">
        <v>0</v>
      </c>
      <c r="U648">
        <v>0</v>
      </c>
    </row>
    <row r="649" spans="3:21" x14ac:dyDescent="0.3">
      <c r="C649" t="s">
        <v>52</v>
      </c>
      <c r="D649" s="18">
        <v>45961</v>
      </c>
      <c r="E649" t="str">
        <f>IFERROR(VLOOKUP(A649,#REF!,5,TRUE),"not found")</f>
        <v>not found</v>
      </c>
      <c r="F649" t="str">
        <f>IFERROR(VLOOKUP(A649,#REF!,2,TRUE),"")</f>
        <v/>
      </c>
      <c r="G649">
        <v>7175</v>
      </c>
      <c r="H649" t="s">
        <v>2</v>
      </c>
      <c r="O649">
        <v>64</v>
      </c>
      <c r="P649" t="s">
        <v>39</v>
      </c>
      <c r="Q649">
        <v>50</v>
      </c>
      <c r="R649" t="s">
        <v>53</v>
      </c>
      <c r="S649" t="s">
        <v>33</v>
      </c>
      <c r="T649" t="s">
        <v>0</v>
      </c>
      <c r="U649">
        <v>0</v>
      </c>
    </row>
    <row r="650" spans="3:21" x14ac:dyDescent="0.3">
      <c r="C650" t="s">
        <v>52</v>
      </c>
      <c r="D650" s="18">
        <v>45961</v>
      </c>
      <c r="E650" t="str">
        <f>IFERROR(VLOOKUP(A650,#REF!,5,TRUE),"not found")</f>
        <v>not found</v>
      </c>
      <c r="F650" t="str">
        <f>IFERROR(VLOOKUP(A650,#REF!,2,TRUE),"")</f>
        <v/>
      </c>
      <c r="G650">
        <v>7175</v>
      </c>
      <c r="H650" t="s">
        <v>2</v>
      </c>
      <c r="O650">
        <v>64</v>
      </c>
      <c r="P650" t="s">
        <v>39</v>
      </c>
      <c r="Q650">
        <v>50</v>
      </c>
      <c r="R650" t="s">
        <v>53</v>
      </c>
      <c r="S650" t="s">
        <v>33</v>
      </c>
      <c r="T650" t="s">
        <v>0</v>
      </c>
      <c r="U650">
        <v>0</v>
      </c>
    </row>
    <row r="651" spans="3:21" x14ac:dyDescent="0.3">
      <c r="C651" t="s">
        <v>52</v>
      </c>
      <c r="D651" s="18">
        <v>45961</v>
      </c>
      <c r="E651" t="str">
        <f>IFERROR(VLOOKUP(A651,#REF!,5,TRUE),"not found")</f>
        <v>not found</v>
      </c>
      <c r="F651" t="str">
        <f>IFERROR(VLOOKUP(A651,#REF!,2,TRUE),"")</f>
        <v/>
      </c>
      <c r="G651">
        <v>7175</v>
      </c>
      <c r="H651" t="s">
        <v>2</v>
      </c>
      <c r="O651">
        <v>64</v>
      </c>
      <c r="P651" t="s">
        <v>39</v>
      </c>
      <c r="Q651">
        <v>50</v>
      </c>
      <c r="R651" t="s">
        <v>53</v>
      </c>
      <c r="S651" t="s">
        <v>33</v>
      </c>
      <c r="T651" t="s">
        <v>0</v>
      </c>
      <c r="U651">
        <v>0</v>
      </c>
    </row>
    <row r="652" spans="3:21" x14ac:dyDescent="0.3">
      <c r="C652" t="s">
        <v>52</v>
      </c>
      <c r="D652" s="18">
        <v>45961</v>
      </c>
      <c r="E652" t="str">
        <f>IFERROR(VLOOKUP(A652,#REF!,5,TRUE),"not found")</f>
        <v>not found</v>
      </c>
      <c r="F652" t="str">
        <f>IFERROR(VLOOKUP(A652,#REF!,2,TRUE),"")</f>
        <v/>
      </c>
      <c r="G652">
        <v>7175</v>
      </c>
      <c r="H652" t="s">
        <v>2</v>
      </c>
      <c r="O652">
        <v>64</v>
      </c>
      <c r="P652" t="s">
        <v>39</v>
      </c>
      <c r="Q652">
        <v>50</v>
      </c>
      <c r="R652" t="s">
        <v>53</v>
      </c>
      <c r="S652" t="s">
        <v>33</v>
      </c>
      <c r="T652" t="s">
        <v>0</v>
      </c>
      <c r="U652">
        <v>0</v>
      </c>
    </row>
    <row r="653" spans="3:21" x14ac:dyDescent="0.3">
      <c r="C653" t="s">
        <v>52</v>
      </c>
      <c r="D653" s="18">
        <v>45961</v>
      </c>
      <c r="E653" t="str">
        <f>IFERROR(VLOOKUP(A653,#REF!,5,TRUE),"not found")</f>
        <v>not found</v>
      </c>
      <c r="F653" t="str">
        <f>IFERROR(VLOOKUP(A653,#REF!,2,TRUE),"")</f>
        <v/>
      </c>
      <c r="G653">
        <v>7175</v>
      </c>
      <c r="H653" t="s">
        <v>2</v>
      </c>
      <c r="O653">
        <v>64</v>
      </c>
      <c r="P653" t="s">
        <v>39</v>
      </c>
      <c r="Q653">
        <v>50</v>
      </c>
      <c r="R653" t="s">
        <v>53</v>
      </c>
      <c r="S653" t="s">
        <v>33</v>
      </c>
      <c r="T653" t="s">
        <v>0</v>
      </c>
      <c r="U653">
        <v>0</v>
      </c>
    </row>
    <row r="654" spans="3:21" x14ac:dyDescent="0.3">
      <c r="C654" t="s">
        <v>52</v>
      </c>
      <c r="D654" s="18">
        <v>45961</v>
      </c>
      <c r="E654" t="str">
        <f>IFERROR(VLOOKUP(A654,#REF!,5,TRUE),"not found")</f>
        <v>not found</v>
      </c>
      <c r="F654" t="str">
        <f>IFERROR(VLOOKUP(A654,#REF!,2,TRUE),"")</f>
        <v/>
      </c>
      <c r="G654">
        <v>7175</v>
      </c>
      <c r="H654" t="s">
        <v>2</v>
      </c>
      <c r="O654">
        <v>64</v>
      </c>
      <c r="P654" t="s">
        <v>39</v>
      </c>
      <c r="Q654">
        <v>50</v>
      </c>
      <c r="R654" t="s">
        <v>53</v>
      </c>
      <c r="S654" t="s">
        <v>33</v>
      </c>
      <c r="T654" t="s">
        <v>0</v>
      </c>
      <c r="U654">
        <v>0</v>
      </c>
    </row>
    <row r="655" spans="3:21" x14ac:dyDescent="0.3">
      <c r="C655" t="s">
        <v>52</v>
      </c>
      <c r="D655" s="18">
        <v>45961</v>
      </c>
      <c r="E655" t="str">
        <f>IFERROR(VLOOKUP(A655,#REF!,5,TRUE),"not found")</f>
        <v>not found</v>
      </c>
      <c r="F655" t="str">
        <f>IFERROR(VLOOKUP(A655,#REF!,2,TRUE),"")</f>
        <v/>
      </c>
      <c r="G655">
        <v>7175</v>
      </c>
      <c r="H655" t="s">
        <v>2</v>
      </c>
      <c r="O655">
        <v>64</v>
      </c>
      <c r="P655" t="s">
        <v>39</v>
      </c>
      <c r="Q655">
        <v>50</v>
      </c>
      <c r="R655" t="s">
        <v>53</v>
      </c>
      <c r="S655" t="s">
        <v>33</v>
      </c>
      <c r="T655" t="s">
        <v>0</v>
      </c>
      <c r="U655">
        <v>0</v>
      </c>
    </row>
    <row r="656" spans="3:21" x14ac:dyDescent="0.3">
      <c r="C656" t="s">
        <v>52</v>
      </c>
      <c r="D656" s="18">
        <v>45961</v>
      </c>
      <c r="E656" t="str">
        <f>IFERROR(VLOOKUP(A656,#REF!,5,TRUE),"not found")</f>
        <v>not found</v>
      </c>
      <c r="F656" t="str">
        <f>IFERROR(VLOOKUP(A656,#REF!,2,TRUE),"")</f>
        <v/>
      </c>
      <c r="G656">
        <v>7175</v>
      </c>
      <c r="H656" t="s">
        <v>2</v>
      </c>
      <c r="O656">
        <v>64</v>
      </c>
      <c r="P656" t="s">
        <v>39</v>
      </c>
      <c r="Q656">
        <v>50</v>
      </c>
      <c r="R656" t="s">
        <v>53</v>
      </c>
      <c r="S656" t="s">
        <v>33</v>
      </c>
      <c r="T656" t="s">
        <v>0</v>
      </c>
      <c r="U656">
        <v>0</v>
      </c>
    </row>
    <row r="657" spans="3:21" x14ac:dyDescent="0.3">
      <c r="C657" t="s">
        <v>52</v>
      </c>
      <c r="D657" s="18">
        <v>45961</v>
      </c>
      <c r="E657" t="str">
        <f>IFERROR(VLOOKUP(A657,#REF!,5,TRUE),"not found")</f>
        <v>not found</v>
      </c>
      <c r="F657" t="str">
        <f>IFERROR(VLOOKUP(A657,#REF!,2,TRUE),"")</f>
        <v/>
      </c>
      <c r="G657">
        <v>7175</v>
      </c>
      <c r="H657" t="s">
        <v>2</v>
      </c>
      <c r="O657">
        <v>64</v>
      </c>
      <c r="P657" t="s">
        <v>39</v>
      </c>
      <c r="Q657">
        <v>50</v>
      </c>
      <c r="R657" t="s">
        <v>53</v>
      </c>
      <c r="S657" t="s">
        <v>33</v>
      </c>
      <c r="T657" t="s">
        <v>0</v>
      </c>
      <c r="U657">
        <v>0</v>
      </c>
    </row>
    <row r="658" spans="3:21" x14ac:dyDescent="0.3">
      <c r="C658" t="s">
        <v>52</v>
      </c>
      <c r="D658" s="18">
        <v>45961</v>
      </c>
      <c r="E658" t="str">
        <f>IFERROR(VLOOKUP(A658,#REF!,5,TRUE),"not found")</f>
        <v>not found</v>
      </c>
      <c r="F658" t="str">
        <f>IFERROR(VLOOKUP(A658,#REF!,2,TRUE),"")</f>
        <v/>
      </c>
      <c r="G658">
        <v>7175</v>
      </c>
      <c r="H658" t="s">
        <v>2</v>
      </c>
      <c r="O658">
        <v>64</v>
      </c>
      <c r="P658" t="s">
        <v>39</v>
      </c>
      <c r="Q658">
        <v>50</v>
      </c>
      <c r="R658" t="s">
        <v>53</v>
      </c>
      <c r="S658" t="s">
        <v>33</v>
      </c>
      <c r="T658" t="s">
        <v>0</v>
      </c>
      <c r="U658">
        <v>0</v>
      </c>
    </row>
    <row r="659" spans="3:21" x14ac:dyDescent="0.3">
      <c r="C659" t="s">
        <v>52</v>
      </c>
      <c r="D659" s="18">
        <v>45961</v>
      </c>
      <c r="E659" t="str">
        <f>IFERROR(VLOOKUP(A659,#REF!,5,TRUE),"not found")</f>
        <v>not found</v>
      </c>
      <c r="F659" t="str">
        <f>IFERROR(VLOOKUP(A659,#REF!,2,TRUE),"")</f>
        <v/>
      </c>
      <c r="G659">
        <v>7175</v>
      </c>
      <c r="H659" t="s">
        <v>2</v>
      </c>
      <c r="O659">
        <v>64</v>
      </c>
      <c r="P659" t="s">
        <v>39</v>
      </c>
      <c r="Q659">
        <v>50</v>
      </c>
      <c r="R659" t="s">
        <v>53</v>
      </c>
      <c r="S659" t="s">
        <v>33</v>
      </c>
      <c r="T659" t="s">
        <v>0</v>
      </c>
      <c r="U659">
        <v>0</v>
      </c>
    </row>
    <row r="660" spans="3:21" x14ac:dyDescent="0.3">
      <c r="C660" t="s">
        <v>52</v>
      </c>
      <c r="D660" s="18">
        <v>45961</v>
      </c>
      <c r="E660" t="str">
        <f>IFERROR(VLOOKUP(A660,#REF!,5,TRUE),"not found")</f>
        <v>not found</v>
      </c>
      <c r="F660" t="str">
        <f>IFERROR(VLOOKUP(A660,#REF!,2,TRUE),"")</f>
        <v/>
      </c>
      <c r="G660">
        <v>7175</v>
      </c>
      <c r="H660" t="s">
        <v>2</v>
      </c>
      <c r="O660">
        <v>64</v>
      </c>
      <c r="P660" t="s">
        <v>39</v>
      </c>
      <c r="Q660">
        <v>50</v>
      </c>
      <c r="R660" t="s">
        <v>53</v>
      </c>
      <c r="S660" t="s">
        <v>33</v>
      </c>
      <c r="T660" t="s">
        <v>0</v>
      </c>
      <c r="U660">
        <v>0</v>
      </c>
    </row>
    <row r="661" spans="3:21" x14ac:dyDescent="0.3">
      <c r="C661" t="s">
        <v>52</v>
      </c>
      <c r="D661" s="18">
        <v>45961</v>
      </c>
      <c r="E661" t="str">
        <f>IFERROR(VLOOKUP(A661,#REF!,5,TRUE),"not found")</f>
        <v>not found</v>
      </c>
      <c r="F661" t="str">
        <f>IFERROR(VLOOKUP(A661,#REF!,2,TRUE),"")</f>
        <v/>
      </c>
      <c r="G661">
        <v>7175</v>
      </c>
      <c r="H661" t="s">
        <v>2</v>
      </c>
      <c r="O661">
        <v>64</v>
      </c>
      <c r="P661" t="s">
        <v>39</v>
      </c>
      <c r="Q661">
        <v>50</v>
      </c>
      <c r="R661" t="s">
        <v>53</v>
      </c>
      <c r="S661" t="s">
        <v>33</v>
      </c>
      <c r="T661" t="s">
        <v>0</v>
      </c>
      <c r="U661">
        <v>0</v>
      </c>
    </row>
    <row r="662" spans="3:21" x14ac:dyDescent="0.3">
      <c r="C662" t="s">
        <v>52</v>
      </c>
      <c r="D662" s="18">
        <v>45961</v>
      </c>
      <c r="E662" t="str">
        <f>IFERROR(VLOOKUP(A662,#REF!,5,TRUE),"not found")</f>
        <v>not found</v>
      </c>
      <c r="F662" t="str">
        <f>IFERROR(VLOOKUP(A662,#REF!,2,TRUE),"")</f>
        <v/>
      </c>
      <c r="G662">
        <v>7175</v>
      </c>
      <c r="H662" t="s">
        <v>2</v>
      </c>
      <c r="O662">
        <v>64</v>
      </c>
      <c r="P662" t="s">
        <v>39</v>
      </c>
      <c r="Q662">
        <v>50</v>
      </c>
      <c r="R662" t="s">
        <v>53</v>
      </c>
      <c r="S662" t="s">
        <v>33</v>
      </c>
      <c r="T662" t="s">
        <v>0</v>
      </c>
      <c r="U662">
        <v>0</v>
      </c>
    </row>
    <row r="663" spans="3:21" x14ac:dyDescent="0.3">
      <c r="C663" t="s">
        <v>52</v>
      </c>
      <c r="D663" s="18">
        <v>45961</v>
      </c>
      <c r="E663" t="str">
        <f>IFERROR(VLOOKUP(A663,#REF!,5,TRUE),"not found")</f>
        <v>not found</v>
      </c>
      <c r="F663" t="str">
        <f>IFERROR(VLOOKUP(A663,#REF!,2,TRUE),"")</f>
        <v/>
      </c>
      <c r="G663">
        <v>7175</v>
      </c>
      <c r="H663" t="s">
        <v>2</v>
      </c>
      <c r="O663">
        <v>64</v>
      </c>
      <c r="P663" t="s">
        <v>39</v>
      </c>
      <c r="Q663">
        <v>50</v>
      </c>
      <c r="R663" t="s">
        <v>53</v>
      </c>
      <c r="S663" t="s">
        <v>33</v>
      </c>
      <c r="T663" t="s">
        <v>0</v>
      </c>
      <c r="U663">
        <v>0</v>
      </c>
    </row>
    <row r="664" spans="3:21" x14ac:dyDescent="0.3">
      <c r="C664" t="s">
        <v>52</v>
      </c>
      <c r="D664" s="18">
        <v>45961</v>
      </c>
      <c r="E664" t="str">
        <f>IFERROR(VLOOKUP(A664,#REF!,5,TRUE),"not found")</f>
        <v>not found</v>
      </c>
      <c r="F664" t="str">
        <f>IFERROR(VLOOKUP(A664,#REF!,2,TRUE),"")</f>
        <v/>
      </c>
      <c r="G664">
        <v>7175</v>
      </c>
      <c r="H664" t="s">
        <v>2</v>
      </c>
      <c r="O664">
        <v>64</v>
      </c>
      <c r="P664" t="s">
        <v>39</v>
      </c>
      <c r="Q664">
        <v>50</v>
      </c>
      <c r="R664" t="s">
        <v>53</v>
      </c>
      <c r="S664" t="s">
        <v>33</v>
      </c>
      <c r="T664" t="s">
        <v>0</v>
      </c>
      <c r="U664">
        <v>0</v>
      </c>
    </row>
    <row r="665" spans="3:21" x14ac:dyDescent="0.3">
      <c r="C665" t="s">
        <v>52</v>
      </c>
      <c r="D665" s="18">
        <v>45961</v>
      </c>
      <c r="E665" t="str">
        <f>IFERROR(VLOOKUP(A665,#REF!,5,TRUE),"not found")</f>
        <v>not found</v>
      </c>
      <c r="F665" t="str">
        <f>IFERROR(VLOOKUP(A665,#REF!,2,TRUE),"")</f>
        <v/>
      </c>
      <c r="G665">
        <v>7175</v>
      </c>
      <c r="H665" t="s">
        <v>2</v>
      </c>
      <c r="O665">
        <v>64</v>
      </c>
      <c r="P665" t="s">
        <v>39</v>
      </c>
      <c r="Q665">
        <v>50</v>
      </c>
      <c r="R665" t="s">
        <v>53</v>
      </c>
      <c r="S665" t="s">
        <v>33</v>
      </c>
      <c r="T665" t="s">
        <v>0</v>
      </c>
      <c r="U665">
        <v>0</v>
      </c>
    </row>
    <row r="666" spans="3:21" x14ac:dyDescent="0.3">
      <c r="C666" t="s">
        <v>52</v>
      </c>
      <c r="D666" s="18">
        <v>45961</v>
      </c>
      <c r="E666" t="str">
        <f>IFERROR(VLOOKUP(A666,#REF!,5,TRUE),"not found")</f>
        <v>not found</v>
      </c>
      <c r="F666" t="str">
        <f>IFERROR(VLOOKUP(A666,#REF!,2,TRUE),"")</f>
        <v/>
      </c>
      <c r="G666">
        <v>7175</v>
      </c>
      <c r="H666" t="s">
        <v>2</v>
      </c>
      <c r="O666">
        <v>64</v>
      </c>
      <c r="P666" t="s">
        <v>39</v>
      </c>
      <c r="Q666">
        <v>50</v>
      </c>
      <c r="R666" t="s">
        <v>53</v>
      </c>
      <c r="S666" t="s">
        <v>33</v>
      </c>
      <c r="T666" t="s">
        <v>0</v>
      </c>
      <c r="U666">
        <v>0</v>
      </c>
    </row>
    <row r="667" spans="3:21" x14ac:dyDescent="0.3">
      <c r="C667" t="s">
        <v>52</v>
      </c>
      <c r="D667" s="18">
        <v>45961</v>
      </c>
      <c r="E667" t="str">
        <f>IFERROR(VLOOKUP(A667,#REF!,5,TRUE),"not found")</f>
        <v>not found</v>
      </c>
      <c r="F667" t="str">
        <f>IFERROR(VLOOKUP(A667,#REF!,2,TRUE),"")</f>
        <v/>
      </c>
      <c r="G667">
        <v>7175</v>
      </c>
      <c r="H667" t="s">
        <v>2</v>
      </c>
      <c r="O667">
        <v>64</v>
      </c>
      <c r="P667" t="s">
        <v>39</v>
      </c>
      <c r="Q667">
        <v>50</v>
      </c>
      <c r="R667" t="s">
        <v>53</v>
      </c>
      <c r="S667" t="s">
        <v>33</v>
      </c>
      <c r="T667" t="s">
        <v>0</v>
      </c>
      <c r="U667">
        <v>0</v>
      </c>
    </row>
    <row r="668" spans="3:21" x14ac:dyDescent="0.3">
      <c r="C668" t="s">
        <v>52</v>
      </c>
      <c r="D668" s="18">
        <v>45961</v>
      </c>
      <c r="E668" t="str">
        <f>IFERROR(VLOOKUP(A668,#REF!,5,TRUE),"not found")</f>
        <v>not found</v>
      </c>
      <c r="F668" t="str">
        <f>IFERROR(VLOOKUP(A668,#REF!,2,TRUE),"")</f>
        <v/>
      </c>
      <c r="G668">
        <v>7175</v>
      </c>
      <c r="H668" t="s">
        <v>2</v>
      </c>
      <c r="O668">
        <v>64</v>
      </c>
      <c r="P668" t="s">
        <v>39</v>
      </c>
      <c r="Q668">
        <v>50</v>
      </c>
      <c r="R668" t="s">
        <v>53</v>
      </c>
      <c r="S668" t="s">
        <v>33</v>
      </c>
      <c r="T668" t="s">
        <v>0</v>
      </c>
      <c r="U668">
        <v>0</v>
      </c>
    </row>
    <row r="669" spans="3:21" x14ac:dyDescent="0.3">
      <c r="C669" t="s">
        <v>52</v>
      </c>
      <c r="D669" s="18">
        <v>45961</v>
      </c>
      <c r="E669" t="str">
        <f>IFERROR(VLOOKUP(A669,#REF!,5,TRUE),"not found")</f>
        <v>not found</v>
      </c>
      <c r="F669" t="str">
        <f>IFERROR(VLOOKUP(A669,#REF!,2,TRUE),"")</f>
        <v/>
      </c>
      <c r="G669">
        <v>7175</v>
      </c>
      <c r="H669" t="s">
        <v>2</v>
      </c>
      <c r="O669">
        <v>64</v>
      </c>
      <c r="P669" t="s">
        <v>39</v>
      </c>
      <c r="Q669">
        <v>50</v>
      </c>
      <c r="R669" t="s">
        <v>53</v>
      </c>
      <c r="S669" t="s">
        <v>33</v>
      </c>
      <c r="T669" t="s">
        <v>0</v>
      </c>
      <c r="U669">
        <v>0</v>
      </c>
    </row>
    <row r="670" spans="3:21" x14ac:dyDescent="0.3">
      <c r="C670" t="s">
        <v>52</v>
      </c>
      <c r="D670" s="18">
        <v>45961</v>
      </c>
      <c r="E670" t="str">
        <f>IFERROR(VLOOKUP(A670,#REF!,5,TRUE),"not found")</f>
        <v>not found</v>
      </c>
      <c r="F670" t="str">
        <f>IFERROR(VLOOKUP(A670,#REF!,2,TRUE),"")</f>
        <v/>
      </c>
      <c r="G670">
        <v>7175</v>
      </c>
      <c r="H670" t="s">
        <v>2</v>
      </c>
      <c r="O670">
        <v>64</v>
      </c>
      <c r="P670" t="s">
        <v>39</v>
      </c>
      <c r="Q670">
        <v>50</v>
      </c>
      <c r="R670" t="s">
        <v>53</v>
      </c>
      <c r="S670" t="s">
        <v>33</v>
      </c>
      <c r="T670" t="s">
        <v>0</v>
      </c>
      <c r="U670">
        <v>0</v>
      </c>
    </row>
    <row r="671" spans="3:21" x14ac:dyDescent="0.3">
      <c r="C671" t="s">
        <v>52</v>
      </c>
      <c r="D671" s="18">
        <v>45961</v>
      </c>
      <c r="E671" t="str">
        <f>IFERROR(VLOOKUP(A671,#REF!,5,TRUE),"not found")</f>
        <v>not found</v>
      </c>
      <c r="F671" t="str">
        <f>IFERROR(VLOOKUP(A671,#REF!,2,TRUE),"")</f>
        <v/>
      </c>
      <c r="G671">
        <v>7175</v>
      </c>
      <c r="H671" t="s">
        <v>2</v>
      </c>
      <c r="O671">
        <v>64</v>
      </c>
      <c r="P671" t="s">
        <v>39</v>
      </c>
      <c r="Q671">
        <v>50</v>
      </c>
      <c r="R671" t="s">
        <v>53</v>
      </c>
      <c r="S671" t="s">
        <v>33</v>
      </c>
      <c r="T671" t="s">
        <v>0</v>
      </c>
      <c r="U671">
        <v>0</v>
      </c>
    </row>
    <row r="672" spans="3:21" x14ac:dyDescent="0.3">
      <c r="C672" t="s">
        <v>52</v>
      </c>
      <c r="D672" s="18">
        <v>45961</v>
      </c>
      <c r="E672" t="str">
        <f>IFERROR(VLOOKUP(A672,#REF!,5,TRUE),"not found")</f>
        <v>not found</v>
      </c>
      <c r="F672" t="str">
        <f>IFERROR(VLOOKUP(A672,#REF!,2,TRUE),"")</f>
        <v/>
      </c>
      <c r="G672">
        <v>7175</v>
      </c>
      <c r="H672" t="s">
        <v>2</v>
      </c>
      <c r="O672">
        <v>64</v>
      </c>
      <c r="P672" t="s">
        <v>39</v>
      </c>
      <c r="Q672">
        <v>50</v>
      </c>
      <c r="R672" t="s">
        <v>53</v>
      </c>
      <c r="S672" t="s">
        <v>33</v>
      </c>
      <c r="T672" t="s">
        <v>0</v>
      </c>
      <c r="U672">
        <v>0</v>
      </c>
    </row>
    <row r="673" spans="3:21" x14ac:dyDescent="0.3">
      <c r="C673" t="s">
        <v>52</v>
      </c>
      <c r="D673" s="18">
        <v>45961</v>
      </c>
      <c r="E673" t="str">
        <f>IFERROR(VLOOKUP(A673,#REF!,5,TRUE),"not found")</f>
        <v>not found</v>
      </c>
      <c r="F673" t="str">
        <f>IFERROR(VLOOKUP(A673,#REF!,2,TRUE),"")</f>
        <v/>
      </c>
      <c r="G673">
        <v>7175</v>
      </c>
      <c r="H673" t="s">
        <v>2</v>
      </c>
      <c r="O673">
        <v>64</v>
      </c>
      <c r="P673" t="s">
        <v>39</v>
      </c>
      <c r="Q673">
        <v>50</v>
      </c>
      <c r="R673" t="s">
        <v>53</v>
      </c>
      <c r="S673" t="s">
        <v>33</v>
      </c>
      <c r="T673" t="s">
        <v>0</v>
      </c>
      <c r="U673">
        <v>0</v>
      </c>
    </row>
    <row r="674" spans="3:21" x14ac:dyDescent="0.3">
      <c r="C674" t="s">
        <v>52</v>
      </c>
      <c r="D674" s="18">
        <v>45961</v>
      </c>
      <c r="E674" t="str">
        <f>IFERROR(VLOOKUP(A674,#REF!,5,TRUE),"not found")</f>
        <v>not found</v>
      </c>
      <c r="F674" t="str">
        <f>IFERROR(VLOOKUP(A674,#REF!,2,TRUE),"")</f>
        <v/>
      </c>
      <c r="G674">
        <v>7175</v>
      </c>
      <c r="H674" t="s">
        <v>2</v>
      </c>
      <c r="O674">
        <v>64</v>
      </c>
      <c r="P674" t="s">
        <v>39</v>
      </c>
      <c r="Q674">
        <v>50</v>
      </c>
      <c r="R674" t="s">
        <v>53</v>
      </c>
      <c r="S674" t="s">
        <v>33</v>
      </c>
      <c r="T674" t="s">
        <v>0</v>
      </c>
      <c r="U674">
        <v>0</v>
      </c>
    </row>
    <row r="675" spans="3:21" x14ac:dyDescent="0.3">
      <c r="C675" t="s">
        <v>52</v>
      </c>
      <c r="D675" s="18">
        <v>45961</v>
      </c>
      <c r="E675" t="str">
        <f>IFERROR(VLOOKUP(A675,#REF!,5,TRUE),"not found")</f>
        <v>not found</v>
      </c>
      <c r="F675" t="str">
        <f>IFERROR(VLOOKUP(A675,#REF!,2,TRUE),"")</f>
        <v/>
      </c>
      <c r="G675">
        <v>7175</v>
      </c>
      <c r="H675" t="s">
        <v>2</v>
      </c>
      <c r="O675">
        <v>64</v>
      </c>
      <c r="P675" t="s">
        <v>39</v>
      </c>
      <c r="Q675">
        <v>50</v>
      </c>
      <c r="R675" t="s">
        <v>53</v>
      </c>
      <c r="S675" t="s">
        <v>33</v>
      </c>
      <c r="T675" t="s">
        <v>0</v>
      </c>
      <c r="U675">
        <v>0</v>
      </c>
    </row>
    <row r="676" spans="3:21" x14ac:dyDescent="0.3">
      <c r="C676" t="s">
        <v>52</v>
      </c>
      <c r="D676" s="18">
        <v>45961</v>
      </c>
      <c r="E676" t="str">
        <f>IFERROR(VLOOKUP(A676,#REF!,5,TRUE),"not found")</f>
        <v>not found</v>
      </c>
      <c r="F676" t="str">
        <f>IFERROR(VLOOKUP(A676,#REF!,2,TRUE),"")</f>
        <v/>
      </c>
      <c r="G676">
        <v>7175</v>
      </c>
      <c r="H676" t="s">
        <v>2</v>
      </c>
      <c r="O676">
        <v>64</v>
      </c>
      <c r="P676" t="s">
        <v>39</v>
      </c>
      <c r="Q676">
        <v>50</v>
      </c>
      <c r="R676" t="s">
        <v>53</v>
      </c>
      <c r="S676" t="s">
        <v>33</v>
      </c>
      <c r="T676" t="s">
        <v>0</v>
      </c>
      <c r="U676">
        <v>0</v>
      </c>
    </row>
    <row r="677" spans="3:21" x14ac:dyDescent="0.3">
      <c r="C677" t="s">
        <v>52</v>
      </c>
      <c r="D677" s="18">
        <v>45961</v>
      </c>
      <c r="E677" t="str">
        <f>IFERROR(VLOOKUP(A677,#REF!,5,TRUE),"not found")</f>
        <v>not found</v>
      </c>
      <c r="F677" t="str">
        <f>IFERROR(VLOOKUP(A677,#REF!,2,TRUE),"")</f>
        <v/>
      </c>
      <c r="G677">
        <v>7175</v>
      </c>
      <c r="H677" t="s">
        <v>2</v>
      </c>
      <c r="O677">
        <v>64</v>
      </c>
      <c r="P677" t="s">
        <v>39</v>
      </c>
      <c r="Q677">
        <v>50</v>
      </c>
      <c r="R677" t="s">
        <v>53</v>
      </c>
      <c r="S677" t="s">
        <v>33</v>
      </c>
      <c r="T677" t="s">
        <v>0</v>
      </c>
      <c r="U677">
        <v>0</v>
      </c>
    </row>
    <row r="678" spans="3:21" x14ac:dyDescent="0.3">
      <c r="C678" t="s">
        <v>52</v>
      </c>
      <c r="D678" s="18">
        <v>45961</v>
      </c>
      <c r="E678" t="str">
        <f>IFERROR(VLOOKUP(A678,#REF!,5,TRUE),"not found")</f>
        <v>not found</v>
      </c>
      <c r="F678" t="str">
        <f>IFERROR(VLOOKUP(A678,#REF!,2,TRUE),"")</f>
        <v/>
      </c>
      <c r="G678">
        <v>7175</v>
      </c>
      <c r="H678" t="s">
        <v>2</v>
      </c>
      <c r="O678">
        <v>64</v>
      </c>
      <c r="P678" t="s">
        <v>39</v>
      </c>
      <c r="Q678">
        <v>50</v>
      </c>
      <c r="R678" t="s">
        <v>53</v>
      </c>
      <c r="S678" t="s">
        <v>33</v>
      </c>
      <c r="T678" t="s">
        <v>0</v>
      </c>
      <c r="U678">
        <v>0</v>
      </c>
    </row>
    <row r="679" spans="3:21" x14ac:dyDescent="0.3">
      <c r="C679" t="s">
        <v>52</v>
      </c>
      <c r="D679" s="18">
        <v>45961</v>
      </c>
      <c r="E679" t="str">
        <f>IFERROR(VLOOKUP(A679,#REF!,5,TRUE),"not found")</f>
        <v>not found</v>
      </c>
      <c r="F679" t="str">
        <f>IFERROR(VLOOKUP(A679,#REF!,2,TRUE),"")</f>
        <v/>
      </c>
      <c r="G679">
        <v>7175</v>
      </c>
      <c r="H679" t="s">
        <v>2</v>
      </c>
      <c r="O679">
        <v>64</v>
      </c>
      <c r="P679" t="s">
        <v>39</v>
      </c>
      <c r="Q679">
        <v>50</v>
      </c>
      <c r="R679" t="s">
        <v>53</v>
      </c>
      <c r="S679" t="s">
        <v>33</v>
      </c>
      <c r="T679" t="s">
        <v>0</v>
      </c>
      <c r="U679">
        <v>0</v>
      </c>
    </row>
    <row r="680" spans="3:21" x14ac:dyDescent="0.3">
      <c r="C680" t="s">
        <v>52</v>
      </c>
      <c r="D680" s="18">
        <v>45961</v>
      </c>
      <c r="E680" t="str">
        <f>IFERROR(VLOOKUP(A680,#REF!,5,TRUE),"not found")</f>
        <v>not found</v>
      </c>
      <c r="F680" t="str">
        <f>IFERROR(VLOOKUP(A680,#REF!,2,TRUE),"")</f>
        <v/>
      </c>
      <c r="G680">
        <v>7175</v>
      </c>
      <c r="H680" t="s">
        <v>2</v>
      </c>
      <c r="O680">
        <v>64</v>
      </c>
      <c r="P680" t="s">
        <v>39</v>
      </c>
      <c r="Q680">
        <v>50</v>
      </c>
      <c r="R680" t="s">
        <v>53</v>
      </c>
      <c r="S680" t="s">
        <v>33</v>
      </c>
      <c r="T680" t="s">
        <v>0</v>
      </c>
      <c r="U680">
        <v>0</v>
      </c>
    </row>
    <row r="681" spans="3:21" x14ac:dyDescent="0.3">
      <c r="C681" t="s">
        <v>52</v>
      </c>
      <c r="D681" s="18">
        <v>45961</v>
      </c>
      <c r="E681" t="str">
        <f>IFERROR(VLOOKUP(A681,#REF!,5,TRUE),"not found")</f>
        <v>not found</v>
      </c>
      <c r="F681" t="str">
        <f>IFERROR(VLOOKUP(A681,#REF!,2,TRUE),"")</f>
        <v/>
      </c>
      <c r="G681">
        <v>7175</v>
      </c>
      <c r="H681" t="s">
        <v>2</v>
      </c>
      <c r="O681">
        <v>64</v>
      </c>
      <c r="P681" t="s">
        <v>39</v>
      </c>
      <c r="Q681">
        <v>50</v>
      </c>
      <c r="R681" t="s">
        <v>53</v>
      </c>
      <c r="S681" t="s">
        <v>33</v>
      </c>
      <c r="T681" t="s">
        <v>0</v>
      </c>
      <c r="U681">
        <v>0</v>
      </c>
    </row>
    <row r="682" spans="3:21" x14ac:dyDescent="0.3">
      <c r="C682" t="s">
        <v>52</v>
      </c>
      <c r="D682" s="18">
        <v>45961</v>
      </c>
      <c r="E682" t="str">
        <f>IFERROR(VLOOKUP(A682,#REF!,5,TRUE),"not found")</f>
        <v>not found</v>
      </c>
      <c r="F682" t="str">
        <f>IFERROR(VLOOKUP(A682,#REF!,2,TRUE),"")</f>
        <v/>
      </c>
      <c r="G682">
        <v>7175</v>
      </c>
      <c r="H682" t="s">
        <v>2</v>
      </c>
      <c r="O682">
        <v>64</v>
      </c>
      <c r="P682" t="s">
        <v>39</v>
      </c>
      <c r="Q682">
        <v>50</v>
      </c>
      <c r="R682" t="s">
        <v>53</v>
      </c>
      <c r="S682" t="s">
        <v>33</v>
      </c>
      <c r="T682" t="s">
        <v>0</v>
      </c>
      <c r="U682">
        <v>0</v>
      </c>
    </row>
    <row r="683" spans="3:21" x14ac:dyDescent="0.3">
      <c r="C683" t="s">
        <v>52</v>
      </c>
      <c r="D683" s="18">
        <v>45961</v>
      </c>
      <c r="E683" t="str">
        <f>IFERROR(VLOOKUP(A683,#REF!,5,TRUE),"not found")</f>
        <v>not found</v>
      </c>
      <c r="F683" t="str">
        <f>IFERROR(VLOOKUP(A683,#REF!,2,TRUE),"")</f>
        <v/>
      </c>
      <c r="G683">
        <v>7175</v>
      </c>
      <c r="H683" t="s">
        <v>2</v>
      </c>
      <c r="O683">
        <v>64</v>
      </c>
      <c r="P683" t="s">
        <v>39</v>
      </c>
      <c r="Q683">
        <v>50</v>
      </c>
      <c r="R683" t="s">
        <v>53</v>
      </c>
      <c r="S683" t="s">
        <v>33</v>
      </c>
      <c r="T683" t="s">
        <v>0</v>
      </c>
      <c r="U683">
        <v>0</v>
      </c>
    </row>
    <row r="684" spans="3:21" x14ac:dyDescent="0.3">
      <c r="C684" t="s">
        <v>52</v>
      </c>
      <c r="D684" s="18">
        <v>45961</v>
      </c>
      <c r="E684" t="str">
        <f>IFERROR(VLOOKUP(A684,#REF!,5,TRUE),"not found")</f>
        <v>not found</v>
      </c>
      <c r="F684" t="str">
        <f>IFERROR(VLOOKUP(A684,#REF!,2,TRUE),"")</f>
        <v/>
      </c>
      <c r="G684">
        <v>7175</v>
      </c>
      <c r="H684" t="s">
        <v>2</v>
      </c>
      <c r="O684">
        <v>64</v>
      </c>
      <c r="P684" t="s">
        <v>39</v>
      </c>
      <c r="Q684">
        <v>50</v>
      </c>
      <c r="R684" t="s">
        <v>53</v>
      </c>
      <c r="S684" t="s">
        <v>33</v>
      </c>
      <c r="T684" t="s">
        <v>0</v>
      </c>
      <c r="U684">
        <v>0</v>
      </c>
    </row>
    <row r="685" spans="3:21" x14ac:dyDescent="0.3">
      <c r="C685" t="s">
        <v>52</v>
      </c>
      <c r="D685" s="18">
        <v>45961</v>
      </c>
      <c r="E685" t="str">
        <f>IFERROR(VLOOKUP(A685,#REF!,5,TRUE),"not found")</f>
        <v>not found</v>
      </c>
      <c r="F685" t="str">
        <f>IFERROR(VLOOKUP(A685,#REF!,2,TRUE),"")</f>
        <v/>
      </c>
      <c r="G685">
        <v>7175</v>
      </c>
      <c r="H685" t="s">
        <v>2</v>
      </c>
      <c r="O685">
        <v>64</v>
      </c>
      <c r="P685" t="s">
        <v>39</v>
      </c>
      <c r="Q685">
        <v>50</v>
      </c>
      <c r="R685" t="s">
        <v>53</v>
      </c>
      <c r="S685" t="s">
        <v>33</v>
      </c>
      <c r="T685" t="s">
        <v>0</v>
      </c>
      <c r="U685">
        <v>0</v>
      </c>
    </row>
    <row r="686" spans="3:21" x14ac:dyDescent="0.3">
      <c r="C686" t="s">
        <v>52</v>
      </c>
      <c r="D686" s="18">
        <v>45961</v>
      </c>
      <c r="E686" t="str">
        <f>IFERROR(VLOOKUP(A686,#REF!,5,TRUE),"not found")</f>
        <v>not found</v>
      </c>
      <c r="F686" t="str">
        <f>IFERROR(VLOOKUP(A686,#REF!,2,TRUE),"")</f>
        <v/>
      </c>
      <c r="G686">
        <v>7175</v>
      </c>
      <c r="H686" t="s">
        <v>2</v>
      </c>
      <c r="O686">
        <v>64</v>
      </c>
      <c r="P686" t="s">
        <v>39</v>
      </c>
      <c r="Q686">
        <v>50</v>
      </c>
      <c r="R686" t="s">
        <v>53</v>
      </c>
      <c r="S686" t="s">
        <v>33</v>
      </c>
      <c r="T686" t="s">
        <v>0</v>
      </c>
      <c r="U686">
        <v>0</v>
      </c>
    </row>
    <row r="687" spans="3:21" x14ac:dyDescent="0.3">
      <c r="C687" t="s">
        <v>52</v>
      </c>
      <c r="D687" s="18">
        <v>45961</v>
      </c>
      <c r="E687" t="str">
        <f>IFERROR(VLOOKUP(A687,#REF!,5,TRUE),"not found")</f>
        <v>not found</v>
      </c>
      <c r="F687" t="str">
        <f>IFERROR(VLOOKUP(A687,#REF!,2,TRUE),"")</f>
        <v/>
      </c>
      <c r="G687">
        <v>7175</v>
      </c>
      <c r="H687" t="s">
        <v>2</v>
      </c>
      <c r="O687">
        <v>64</v>
      </c>
      <c r="P687" t="s">
        <v>39</v>
      </c>
      <c r="Q687">
        <v>50</v>
      </c>
      <c r="R687" t="s">
        <v>53</v>
      </c>
      <c r="S687" t="s">
        <v>33</v>
      </c>
      <c r="T687" t="s">
        <v>0</v>
      </c>
      <c r="U687">
        <v>0</v>
      </c>
    </row>
    <row r="688" spans="3:21" x14ac:dyDescent="0.3">
      <c r="C688" t="s">
        <v>52</v>
      </c>
      <c r="D688" s="18">
        <v>45961</v>
      </c>
      <c r="E688" t="str">
        <f>IFERROR(VLOOKUP(A688,#REF!,5,TRUE),"not found")</f>
        <v>not found</v>
      </c>
      <c r="F688" t="str">
        <f>IFERROR(VLOOKUP(A688,#REF!,2,TRUE),"")</f>
        <v/>
      </c>
      <c r="G688">
        <v>7175</v>
      </c>
      <c r="H688" t="s">
        <v>2</v>
      </c>
      <c r="O688">
        <v>64</v>
      </c>
      <c r="P688" t="s">
        <v>39</v>
      </c>
      <c r="Q688">
        <v>50</v>
      </c>
      <c r="R688" t="s">
        <v>53</v>
      </c>
      <c r="S688" t="s">
        <v>33</v>
      </c>
      <c r="T688" t="s">
        <v>0</v>
      </c>
      <c r="U688">
        <v>0</v>
      </c>
    </row>
    <row r="689" spans="3:21" x14ac:dyDescent="0.3">
      <c r="C689" t="s">
        <v>52</v>
      </c>
      <c r="D689" s="18">
        <v>45961</v>
      </c>
      <c r="E689" t="str">
        <f>IFERROR(VLOOKUP(A689,#REF!,5,TRUE),"not found")</f>
        <v>not found</v>
      </c>
      <c r="F689" t="str">
        <f>IFERROR(VLOOKUP(A689,#REF!,2,TRUE),"")</f>
        <v/>
      </c>
      <c r="G689">
        <v>7175</v>
      </c>
      <c r="H689" t="s">
        <v>2</v>
      </c>
      <c r="O689">
        <v>64</v>
      </c>
      <c r="P689" t="s">
        <v>39</v>
      </c>
      <c r="Q689">
        <v>50</v>
      </c>
      <c r="R689" t="s">
        <v>53</v>
      </c>
      <c r="S689" t="s">
        <v>33</v>
      </c>
      <c r="T689" t="s">
        <v>0</v>
      </c>
      <c r="U689">
        <v>0</v>
      </c>
    </row>
    <row r="690" spans="3:21" x14ac:dyDescent="0.3">
      <c r="C690" t="s">
        <v>52</v>
      </c>
      <c r="D690" s="18">
        <v>45961</v>
      </c>
      <c r="E690" t="str">
        <f>IFERROR(VLOOKUP(A690,#REF!,5,TRUE),"not found")</f>
        <v>not found</v>
      </c>
      <c r="F690" t="str">
        <f>IFERROR(VLOOKUP(A690,#REF!,2,TRUE),"")</f>
        <v/>
      </c>
      <c r="G690">
        <v>7175</v>
      </c>
      <c r="H690" t="s">
        <v>2</v>
      </c>
      <c r="O690">
        <v>64</v>
      </c>
      <c r="P690" t="s">
        <v>39</v>
      </c>
      <c r="Q690">
        <v>50</v>
      </c>
      <c r="R690" t="s">
        <v>53</v>
      </c>
      <c r="S690" t="s">
        <v>33</v>
      </c>
      <c r="T690" t="s">
        <v>0</v>
      </c>
      <c r="U690">
        <v>0</v>
      </c>
    </row>
    <row r="691" spans="3:21" x14ac:dyDescent="0.3">
      <c r="C691" t="s">
        <v>52</v>
      </c>
      <c r="D691" s="18">
        <v>45961</v>
      </c>
      <c r="E691" t="str">
        <f>IFERROR(VLOOKUP(A691,#REF!,5,TRUE),"not found")</f>
        <v>not found</v>
      </c>
      <c r="F691" t="str">
        <f>IFERROR(VLOOKUP(A691,#REF!,2,TRUE),"")</f>
        <v/>
      </c>
      <c r="G691">
        <v>7175</v>
      </c>
      <c r="H691" t="s">
        <v>2</v>
      </c>
      <c r="O691">
        <v>64</v>
      </c>
      <c r="P691" t="s">
        <v>39</v>
      </c>
      <c r="Q691">
        <v>50</v>
      </c>
      <c r="R691" t="s">
        <v>53</v>
      </c>
      <c r="S691" t="s">
        <v>33</v>
      </c>
      <c r="T691" t="s">
        <v>0</v>
      </c>
      <c r="U691">
        <v>0</v>
      </c>
    </row>
    <row r="692" spans="3:21" x14ac:dyDescent="0.3">
      <c r="C692" t="s">
        <v>52</v>
      </c>
      <c r="D692" s="18">
        <v>45961</v>
      </c>
      <c r="E692" t="str">
        <f>IFERROR(VLOOKUP(A692,#REF!,5,TRUE),"not found")</f>
        <v>not found</v>
      </c>
      <c r="F692" t="str">
        <f>IFERROR(VLOOKUP(A692,#REF!,2,TRUE),"")</f>
        <v/>
      </c>
      <c r="G692">
        <v>7175</v>
      </c>
      <c r="H692" t="s">
        <v>2</v>
      </c>
      <c r="O692">
        <v>64</v>
      </c>
      <c r="P692" t="s">
        <v>39</v>
      </c>
      <c r="Q692">
        <v>50</v>
      </c>
      <c r="R692" t="s">
        <v>53</v>
      </c>
      <c r="S692" t="s">
        <v>33</v>
      </c>
      <c r="T692" t="s">
        <v>0</v>
      </c>
      <c r="U692">
        <v>0</v>
      </c>
    </row>
    <row r="693" spans="3:21" x14ac:dyDescent="0.3">
      <c r="C693" t="s">
        <v>52</v>
      </c>
      <c r="D693" s="18">
        <v>45961</v>
      </c>
      <c r="E693" t="str">
        <f>IFERROR(VLOOKUP(A693,#REF!,5,TRUE),"not found")</f>
        <v>not found</v>
      </c>
      <c r="F693" t="str">
        <f>IFERROR(VLOOKUP(A693,#REF!,2,TRUE),"")</f>
        <v/>
      </c>
      <c r="G693">
        <v>7175</v>
      </c>
      <c r="H693" t="s">
        <v>2</v>
      </c>
      <c r="O693">
        <v>64</v>
      </c>
      <c r="P693" t="s">
        <v>39</v>
      </c>
      <c r="Q693">
        <v>50</v>
      </c>
      <c r="R693" t="s">
        <v>53</v>
      </c>
      <c r="S693" t="s">
        <v>33</v>
      </c>
      <c r="T693" t="s">
        <v>0</v>
      </c>
      <c r="U693">
        <v>0</v>
      </c>
    </row>
    <row r="694" spans="3:21" x14ac:dyDescent="0.3">
      <c r="C694" t="s">
        <v>52</v>
      </c>
      <c r="D694" s="18">
        <v>45961</v>
      </c>
      <c r="E694" t="str">
        <f>IFERROR(VLOOKUP(A694,#REF!,5,TRUE),"not found")</f>
        <v>not found</v>
      </c>
      <c r="F694" t="str">
        <f>IFERROR(VLOOKUP(A694,#REF!,2,TRUE),"")</f>
        <v/>
      </c>
      <c r="G694">
        <v>7175</v>
      </c>
      <c r="H694" t="s">
        <v>2</v>
      </c>
      <c r="O694">
        <v>64</v>
      </c>
      <c r="P694" t="s">
        <v>39</v>
      </c>
      <c r="Q694">
        <v>50</v>
      </c>
      <c r="R694" t="s">
        <v>53</v>
      </c>
      <c r="S694" t="s">
        <v>33</v>
      </c>
      <c r="T694" t="s">
        <v>0</v>
      </c>
      <c r="U694">
        <v>0</v>
      </c>
    </row>
    <row r="695" spans="3:21" x14ac:dyDescent="0.3">
      <c r="C695" t="s">
        <v>52</v>
      </c>
      <c r="D695" s="18">
        <v>45961</v>
      </c>
      <c r="E695" t="str">
        <f>IFERROR(VLOOKUP(A695,#REF!,5,TRUE),"not found")</f>
        <v>not found</v>
      </c>
      <c r="F695" t="str">
        <f>IFERROR(VLOOKUP(A695,#REF!,2,TRUE),"")</f>
        <v/>
      </c>
      <c r="G695">
        <v>7175</v>
      </c>
      <c r="H695" t="s">
        <v>2</v>
      </c>
      <c r="O695">
        <v>64</v>
      </c>
      <c r="P695" t="s">
        <v>39</v>
      </c>
      <c r="Q695">
        <v>50</v>
      </c>
      <c r="R695" t="s">
        <v>53</v>
      </c>
      <c r="S695" t="s">
        <v>33</v>
      </c>
      <c r="T695" t="s">
        <v>0</v>
      </c>
      <c r="U695">
        <v>0</v>
      </c>
    </row>
    <row r="696" spans="3:21" x14ac:dyDescent="0.3">
      <c r="C696" t="s">
        <v>52</v>
      </c>
      <c r="D696" s="18">
        <v>45961</v>
      </c>
      <c r="E696" t="str">
        <f>IFERROR(VLOOKUP(A696,#REF!,5,TRUE),"not found")</f>
        <v>not found</v>
      </c>
      <c r="F696" t="str">
        <f>IFERROR(VLOOKUP(A696,#REF!,2,TRUE),"")</f>
        <v/>
      </c>
      <c r="G696">
        <v>7175</v>
      </c>
      <c r="H696" t="s">
        <v>2</v>
      </c>
      <c r="O696">
        <v>64</v>
      </c>
      <c r="P696" t="s">
        <v>39</v>
      </c>
      <c r="Q696">
        <v>50</v>
      </c>
      <c r="R696" t="s">
        <v>53</v>
      </c>
      <c r="S696" t="s">
        <v>33</v>
      </c>
      <c r="T696" t="s">
        <v>0</v>
      </c>
      <c r="U696">
        <v>0</v>
      </c>
    </row>
    <row r="697" spans="3:21" x14ac:dyDescent="0.3">
      <c r="C697" t="s">
        <v>52</v>
      </c>
      <c r="D697" s="18">
        <v>45961</v>
      </c>
      <c r="E697" t="str">
        <f>IFERROR(VLOOKUP(A697,#REF!,5,TRUE),"not found")</f>
        <v>not found</v>
      </c>
      <c r="F697" t="str">
        <f>IFERROR(VLOOKUP(A697,#REF!,2,TRUE),"")</f>
        <v/>
      </c>
      <c r="G697">
        <v>7175</v>
      </c>
      <c r="H697" t="s">
        <v>2</v>
      </c>
      <c r="O697">
        <v>64</v>
      </c>
      <c r="P697" t="s">
        <v>39</v>
      </c>
      <c r="Q697">
        <v>50</v>
      </c>
      <c r="R697" t="s">
        <v>53</v>
      </c>
      <c r="S697" t="s">
        <v>33</v>
      </c>
      <c r="T697" t="s">
        <v>0</v>
      </c>
      <c r="U697">
        <v>0</v>
      </c>
    </row>
    <row r="698" spans="3:21" x14ac:dyDescent="0.3">
      <c r="C698" t="s">
        <v>52</v>
      </c>
      <c r="D698" s="18">
        <v>45961</v>
      </c>
      <c r="E698" t="str">
        <f>IFERROR(VLOOKUP(A698,#REF!,5,TRUE),"not found")</f>
        <v>not found</v>
      </c>
      <c r="F698" t="str">
        <f>IFERROR(VLOOKUP(A698,#REF!,2,TRUE),"")</f>
        <v/>
      </c>
      <c r="G698">
        <v>7175</v>
      </c>
      <c r="H698" t="s">
        <v>2</v>
      </c>
      <c r="O698">
        <v>64</v>
      </c>
      <c r="P698" t="s">
        <v>39</v>
      </c>
      <c r="Q698">
        <v>50</v>
      </c>
      <c r="R698" t="s">
        <v>53</v>
      </c>
      <c r="S698" t="s">
        <v>33</v>
      </c>
      <c r="T698" t="s">
        <v>0</v>
      </c>
      <c r="U698">
        <v>0</v>
      </c>
    </row>
    <row r="699" spans="3:21" x14ac:dyDescent="0.3">
      <c r="C699" t="s">
        <v>52</v>
      </c>
      <c r="D699" s="18">
        <v>45961</v>
      </c>
      <c r="E699" t="str">
        <f>IFERROR(VLOOKUP(A699,#REF!,5,TRUE),"not found")</f>
        <v>not found</v>
      </c>
      <c r="F699" t="str">
        <f>IFERROR(VLOOKUP(A699,#REF!,2,TRUE),"")</f>
        <v/>
      </c>
      <c r="G699">
        <v>7175</v>
      </c>
      <c r="H699" t="s">
        <v>2</v>
      </c>
      <c r="O699">
        <v>64</v>
      </c>
      <c r="P699" t="s">
        <v>39</v>
      </c>
      <c r="Q699">
        <v>50</v>
      </c>
      <c r="R699" t="s">
        <v>53</v>
      </c>
      <c r="S699" t="s">
        <v>33</v>
      </c>
      <c r="T699" t="s">
        <v>0</v>
      </c>
      <c r="U699">
        <v>0</v>
      </c>
    </row>
    <row r="700" spans="3:21" x14ac:dyDescent="0.3">
      <c r="C700" t="s">
        <v>52</v>
      </c>
      <c r="D700" s="18">
        <v>45961</v>
      </c>
      <c r="E700" t="str">
        <f>IFERROR(VLOOKUP(A700,#REF!,5,TRUE),"not found")</f>
        <v>not found</v>
      </c>
      <c r="F700" t="str">
        <f>IFERROR(VLOOKUP(A700,#REF!,2,TRUE),"")</f>
        <v/>
      </c>
      <c r="G700">
        <v>7175</v>
      </c>
      <c r="H700" t="s">
        <v>2</v>
      </c>
      <c r="O700">
        <v>64</v>
      </c>
      <c r="P700" t="s">
        <v>39</v>
      </c>
      <c r="Q700">
        <v>50</v>
      </c>
      <c r="R700" t="s">
        <v>53</v>
      </c>
      <c r="S700" t="s">
        <v>33</v>
      </c>
      <c r="T700" t="s">
        <v>0</v>
      </c>
      <c r="U700">
        <v>0</v>
      </c>
    </row>
    <row r="701" spans="3:21" x14ac:dyDescent="0.3">
      <c r="C701" t="s">
        <v>52</v>
      </c>
      <c r="D701" s="18">
        <v>45961</v>
      </c>
      <c r="E701" t="str">
        <f>IFERROR(VLOOKUP(A701,#REF!,5,TRUE),"not found")</f>
        <v>not found</v>
      </c>
      <c r="F701" t="str">
        <f>IFERROR(VLOOKUP(A701,#REF!,2,TRUE),"")</f>
        <v/>
      </c>
      <c r="G701">
        <v>7175</v>
      </c>
      <c r="H701" t="s">
        <v>2</v>
      </c>
      <c r="O701">
        <v>64</v>
      </c>
      <c r="P701" t="s">
        <v>39</v>
      </c>
      <c r="Q701">
        <v>50</v>
      </c>
      <c r="R701" t="s">
        <v>53</v>
      </c>
      <c r="S701" t="s">
        <v>33</v>
      </c>
      <c r="T701" t="s">
        <v>0</v>
      </c>
      <c r="U701">
        <v>0</v>
      </c>
    </row>
    <row r="702" spans="3:21" x14ac:dyDescent="0.3">
      <c r="C702" t="s">
        <v>52</v>
      </c>
      <c r="D702" s="18">
        <v>45961</v>
      </c>
      <c r="E702" t="str">
        <f>IFERROR(VLOOKUP(A702,#REF!,5,TRUE),"not found")</f>
        <v>not found</v>
      </c>
      <c r="F702" t="str">
        <f>IFERROR(VLOOKUP(A702,#REF!,2,TRUE),"")</f>
        <v/>
      </c>
      <c r="G702">
        <v>7175</v>
      </c>
      <c r="H702" t="s">
        <v>2</v>
      </c>
      <c r="O702">
        <v>64</v>
      </c>
      <c r="P702" t="s">
        <v>39</v>
      </c>
      <c r="Q702">
        <v>50</v>
      </c>
      <c r="R702" t="s">
        <v>53</v>
      </c>
      <c r="S702" t="s">
        <v>33</v>
      </c>
      <c r="T702" t="s">
        <v>0</v>
      </c>
      <c r="U702">
        <v>0</v>
      </c>
    </row>
    <row r="703" spans="3:21" x14ac:dyDescent="0.3">
      <c r="C703" t="s">
        <v>52</v>
      </c>
      <c r="D703" s="18">
        <v>45961</v>
      </c>
      <c r="E703" t="str">
        <f>IFERROR(VLOOKUP(A703,#REF!,5,TRUE),"not found")</f>
        <v>not found</v>
      </c>
      <c r="F703" t="str">
        <f>IFERROR(VLOOKUP(A703,#REF!,2,TRUE),"")</f>
        <v/>
      </c>
      <c r="G703">
        <v>7175</v>
      </c>
      <c r="H703" t="s">
        <v>2</v>
      </c>
      <c r="O703">
        <v>64</v>
      </c>
      <c r="P703" t="s">
        <v>39</v>
      </c>
      <c r="Q703">
        <v>50</v>
      </c>
      <c r="R703" t="s">
        <v>53</v>
      </c>
      <c r="S703" t="s">
        <v>33</v>
      </c>
      <c r="T703" t="s">
        <v>0</v>
      </c>
      <c r="U703">
        <v>0</v>
      </c>
    </row>
    <row r="704" spans="3:21" x14ac:dyDescent="0.3">
      <c r="C704" t="s">
        <v>52</v>
      </c>
      <c r="D704" s="18">
        <v>45961</v>
      </c>
      <c r="E704" t="str">
        <f>IFERROR(VLOOKUP(A704,#REF!,5,TRUE),"not found")</f>
        <v>not found</v>
      </c>
      <c r="F704" t="str">
        <f>IFERROR(VLOOKUP(A704,#REF!,2,TRUE),"")</f>
        <v/>
      </c>
      <c r="G704">
        <v>7175</v>
      </c>
      <c r="H704" t="s">
        <v>2</v>
      </c>
      <c r="O704">
        <v>64</v>
      </c>
      <c r="P704" t="s">
        <v>39</v>
      </c>
      <c r="Q704">
        <v>50</v>
      </c>
      <c r="R704" t="s">
        <v>53</v>
      </c>
      <c r="S704" t="s">
        <v>33</v>
      </c>
      <c r="T704" t="s">
        <v>0</v>
      </c>
      <c r="U704">
        <v>0</v>
      </c>
    </row>
    <row r="705" spans="3:21" x14ac:dyDescent="0.3">
      <c r="C705" t="s">
        <v>52</v>
      </c>
      <c r="D705" s="18">
        <v>45961</v>
      </c>
      <c r="E705" t="str">
        <f>IFERROR(VLOOKUP(A705,#REF!,5,TRUE),"not found")</f>
        <v>not found</v>
      </c>
      <c r="F705" t="str">
        <f>IFERROR(VLOOKUP(A705,#REF!,2,TRUE),"")</f>
        <v/>
      </c>
      <c r="G705">
        <v>7175</v>
      </c>
      <c r="H705" t="s">
        <v>2</v>
      </c>
      <c r="O705">
        <v>64</v>
      </c>
      <c r="P705" t="s">
        <v>39</v>
      </c>
      <c r="Q705">
        <v>50</v>
      </c>
      <c r="R705" t="s">
        <v>53</v>
      </c>
      <c r="S705" t="s">
        <v>33</v>
      </c>
      <c r="T705" t="s">
        <v>0</v>
      </c>
      <c r="U705">
        <v>0</v>
      </c>
    </row>
    <row r="706" spans="3:21" x14ac:dyDescent="0.3">
      <c r="C706" t="s">
        <v>52</v>
      </c>
      <c r="D706" s="18">
        <v>45961</v>
      </c>
      <c r="E706" t="str">
        <f>IFERROR(VLOOKUP(A706,#REF!,5,TRUE),"not found")</f>
        <v>not found</v>
      </c>
      <c r="F706" t="str">
        <f>IFERROR(VLOOKUP(A706,#REF!,2,TRUE),"")</f>
        <v/>
      </c>
      <c r="G706">
        <v>7175</v>
      </c>
      <c r="H706" t="s">
        <v>2</v>
      </c>
      <c r="O706">
        <v>64</v>
      </c>
      <c r="P706" t="s">
        <v>39</v>
      </c>
      <c r="Q706">
        <v>50</v>
      </c>
      <c r="R706" t="s">
        <v>53</v>
      </c>
      <c r="S706" t="s">
        <v>33</v>
      </c>
      <c r="T706" t="s">
        <v>0</v>
      </c>
      <c r="U706">
        <v>0</v>
      </c>
    </row>
    <row r="707" spans="3:21" x14ac:dyDescent="0.3">
      <c r="C707" t="s">
        <v>52</v>
      </c>
      <c r="D707" s="18">
        <v>45961</v>
      </c>
      <c r="E707" t="str">
        <f>IFERROR(VLOOKUP(A707,#REF!,5,TRUE),"not found")</f>
        <v>not found</v>
      </c>
      <c r="F707" t="str">
        <f>IFERROR(VLOOKUP(A707,#REF!,2,TRUE),"")</f>
        <v/>
      </c>
      <c r="G707">
        <v>7175</v>
      </c>
      <c r="H707" t="s">
        <v>2</v>
      </c>
      <c r="O707">
        <v>64</v>
      </c>
      <c r="P707" t="s">
        <v>39</v>
      </c>
      <c r="Q707">
        <v>50</v>
      </c>
      <c r="R707" t="s">
        <v>53</v>
      </c>
      <c r="S707" t="s">
        <v>33</v>
      </c>
      <c r="T707" t="s">
        <v>0</v>
      </c>
      <c r="U707">
        <v>0</v>
      </c>
    </row>
    <row r="708" spans="3:21" x14ac:dyDescent="0.3">
      <c r="C708" t="s">
        <v>52</v>
      </c>
      <c r="D708" s="18">
        <v>45961</v>
      </c>
      <c r="E708" t="str">
        <f>IFERROR(VLOOKUP(A708,#REF!,5,TRUE),"not found")</f>
        <v>not found</v>
      </c>
      <c r="F708" t="str">
        <f>IFERROR(VLOOKUP(A708,#REF!,2,TRUE),"")</f>
        <v/>
      </c>
      <c r="G708">
        <v>7175</v>
      </c>
      <c r="H708" t="s">
        <v>2</v>
      </c>
      <c r="O708">
        <v>64</v>
      </c>
      <c r="P708" t="s">
        <v>39</v>
      </c>
      <c r="Q708">
        <v>50</v>
      </c>
      <c r="R708" t="s">
        <v>53</v>
      </c>
      <c r="S708" t="s">
        <v>33</v>
      </c>
      <c r="T708" t="s">
        <v>0</v>
      </c>
      <c r="U708">
        <v>0</v>
      </c>
    </row>
    <row r="709" spans="3:21" x14ac:dyDescent="0.3">
      <c r="C709" t="s">
        <v>52</v>
      </c>
      <c r="D709" s="18">
        <v>45961</v>
      </c>
      <c r="E709" t="str">
        <f>IFERROR(VLOOKUP(A709,#REF!,5,TRUE),"not found")</f>
        <v>not found</v>
      </c>
      <c r="F709" t="str">
        <f>IFERROR(VLOOKUP(A709,#REF!,2,TRUE),"")</f>
        <v/>
      </c>
      <c r="G709">
        <v>7175</v>
      </c>
      <c r="H709" t="s">
        <v>2</v>
      </c>
      <c r="O709">
        <v>64</v>
      </c>
      <c r="P709" t="s">
        <v>39</v>
      </c>
      <c r="Q709">
        <v>50</v>
      </c>
      <c r="R709" t="s">
        <v>53</v>
      </c>
      <c r="S709" t="s">
        <v>33</v>
      </c>
      <c r="T709" t="s">
        <v>0</v>
      </c>
      <c r="U709">
        <v>0</v>
      </c>
    </row>
    <row r="710" spans="3:21" x14ac:dyDescent="0.3">
      <c r="C710" t="s">
        <v>52</v>
      </c>
      <c r="D710" s="18">
        <v>45961</v>
      </c>
      <c r="E710" t="str">
        <f>IFERROR(VLOOKUP(A710,#REF!,5,TRUE),"not found")</f>
        <v>not found</v>
      </c>
      <c r="F710" t="str">
        <f>IFERROR(VLOOKUP(A710,#REF!,2,TRUE),"")</f>
        <v/>
      </c>
      <c r="G710">
        <v>7175</v>
      </c>
      <c r="H710" t="s">
        <v>2</v>
      </c>
      <c r="O710">
        <v>64</v>
      </c>
      <c r="P710" t="s">
        <v>39</v>
      </c>
      <c r="Q710">
        <v>50</v>
      </c>
      <c r="R710" t="s">
        <v>53</v>
      </c>
      <c r="S710" t="s">
        <v>33</v>
      </c>
      <c r="T710" t="s">
        <v>0</v>
      </c>
      <c r="U710">
        <v>0</v>
      </c>
    </row>
    <row r="711" spans="3:21" x14ac:dyDescent="0.3">
      <c r="C711" t="s">
        <v>52</v>
      </c>
      <c r="D711" s="18">
        <v>45961</v>
      </c>
      <c r="E711" t="str">
        <f>IFERROR(VLOOKUP(A711,#REF!,5,TRUE),"not found")</f>
        <v>not found</v>
      </c>
      <c r="F711" t="str">
        <f>IFERROR(VLOOKUP(A711,#REF!,2,TRUE),"")</f>
        <v/>
      </c>
      <c r="G711">
        <v>7175</v>
      </c>
      <c r="H711" t="s">
        <v>2</v>
      </c>
      <c r="O711">
        <v>64</v>
      </c>
      <c r="P711" t="s">
        <v>39</v>
      </c>
      <c r="Q711">
        <v>50</v>
      </c>
      <c r="R711" t="s">
        <v>53</v>
      </c>
      <c r="S711" t="s">
        <v>33</v>
      </c>
      <c r="T711" t="s">
        <v>0</v>
      </c>
      <c r="U711">
        <v>0</v>
      </c>
    </row>
    <row r="712" spans="3:21" x14ac:dyDescent="0.3">
      <c r="C712" t="s">
        <v>52</v>
      </c>
      <c r="D712" s="18">
        <v>45961</v>
      </c>
      <c r="E712" t="str">
        <f>IFERROR(VLOOKUP(A712,#REF!,5,TRUE),"not found")</f>
        <v>not found</v>
      </c>
      <c r="F712" t="str">
        <f>IFERROR(VLOOKUP(A712,#REF!,2,TRUE),"")</f>
        <v/>
      </c>
      <c r="G712">
        <v>7175</v>
      </c>
      <c r="H712" t="s">
        <v>2</v>
      </c>
      <c r="O712">
        <v>64</v>
      </c>
      <c r="P712" t="s">
        <v>39</v>
      </c>
      <c r="Q712">
        <v>50</v>
      </c>
      <c r="R712" t="s">
        <v>53</v>
      </c>
      <c r="S712" t="s">
        <v>33</v>
      </c>
      <c r="T712" t="s">
        <v>0</v>
      </c>
      <c r="U712">
        <v>0</v>
      </c>
    </row>
    <row r="713" spans="3:21" x14ac:dyDescent="0.3">
      <c r="C713" t="s">
        <v>52</v>
      </c>
      <c r="D713" s="18">
        <v>45961</v>
      </c>
      <c r="E713" t="str">
        <f>IFERROR(VLOOKUP(A713,#REF!,5,TRUE),"not found")</f>
        <v>not found</v>
      </c>
      <c r="F713" t="str">
        <f>IFERROR(VLOOKUP(A713,#REF!,2,TRUE),"")</f>
        <v/>
      </c>
      <c r="G713">
        <v>7175</v>
      </c>
      <c r="H713" t="s">
        <v>2</v>
      </c>
      <c r="O713">
        <v>64</v>
      </c>
      <c r="P713" t="s">
        <v>39</v>
      </c>
      <c r="Q713">
        <v>50</v>
      </c>
      <c r="R713" t="s">
        <v>53</v>
      </c>
      <c r="S713" t="s">
        <v>33</v>
      </c>
      <c r="T713" t="s">
        <v>0</v>
      </c>
      <c r="U713">
        <v>0</v>
      </c>
    </row>
    <row r="714" spans="3:21" x14ac:dyDescent="0.3">
      <c r="C714" t="s">
        <v>52</v>
      </c>
      <c r="D714" s="18">
        <v>45961</v>
      </c>
      <c r="E714" t="str">
        <f>IFERROR(VLOOKUP(A714,#REF!,5,TRUE),"not found")</f>
        <v>not found</v>
      </c>
      <c r="F714" t="str">
        <f>IFERROR(VLOOKUP(A714,#REF!,2,TRUE),"")</f>
        <v/>
      </c>
      <c r="G714">
        <v>7175</v>
      </c>
      <c r="H714" t="s">
        <v>2</v>
      </c>
      <c r="O714">
        <v>64</v>
      </c>
      <c r="P714" t="s">
        <v>39</v>
      </c>
      <c r="Q714">
        <v>50</v>
      </c>
      <c r="R714" t="s">
        <v>53</v>
      </c>
      <c r="S714" t="s">
        <v>33</v>
      </c>
      <c r="T714" t="s">
        <v>0</v>
      </c>
      <c r="U714">
        <v>0</v>
      </c>
    </row>
    <row r="715" spans="3:21" x14ac:dyDescent="0.3">
      <c r="C715" t="s">
        <v>52</v>
      </c>
      <c r="D715" s="18">
        <v>45961</v>
      </c>
      <c r="E715" t="str">
        <f>IFERROR(VLOOKUP(A715,#REF!,5,TRUE),"not found")</f>
        <v>not found</v>
      </c>
      <c r="F715" t="str">
        <f>IFERROR(VLOOKUP(A715,#REF!,2,TRUE),"")</f>
        <v/>
      </c>
      <c r="G715">
        <v>7175</v>
      </c>
      <c r="H715" t="s">
        <v>2</v>
      </c>
      <c r="O715">
        <v>64</v>
      </c>
      <c r="P715" t="s">
        <v>39</v>
      </c>
      <c r="Q715">
        <v>50</v>
      </c>
      <c r="R715" t="s">
        <v>53</v>
      </c>
      <c r="S715" t="s">
        <v>33</v>
      </c>
      <c r="T715" t="s">
        <v>0</v>
      </c>
      <c r="U715">
        <v>0</v>
      </c>
    </row>
    <row r="716" spans="3:21" x14ac:dyDescent="0.3">
      <c r="C716" t="s">
        <v>52</v>
      </c>
      <c r="D716" s="18">
        <v>45961</v>
      </c>
      <c r="E716" t="str">
        <f>IFERROR(VLOOKUP(A716,#REF!,5,TRUE),"not found")</f>
        <v>not found</v>
      </c>
      <c r="F716" t="str">
        <f>IFERROR(VLOOKUP(A716,#REF!,2,TRUE),"")</f>
        <v/>
      </c>
      <c r="G716">
        <v>7175</v>
      </c>
      <c r="H716" t="s">
        <v>2</v>
      </c>
      <c r="O716">
        <v>64</v>
      </c>
      <c r="P716" t="s">
        <v>39</v>
      </c>
      <c r="Q716">
        <v>50</v>
      </c>
      <c r="R716" t="s">
        <v>53</v>
      </c>
      <c r="S716" t="s">
        <v>33</v>
      </c>
      <c r="T716" t="s">
        <v>0</v>
      </c>
      <c r="U716">
        <v>0</v>
      </c>
    </row>
    <row r="717" spans="3:21" x14ac:dyDescent="0.3">
      <c r="C717" t="s">
        <v>52</v>
      </c>
      <c r="D717" s="18">
        <v>45961</v>
      </c>
      <c r="E717" t="str">
        <f>IFERROR(VLOOKUP(A717,#REF!,5,TRUE),"not found")</f>
        <v>not found</v>
      </c>
      <c r="F717" t="str">
        <f>IFERROR(VLOOKUP(A717,#REF!,2,TRUE),"")</f>
        <v/>
      </c>
      <c r="G717">
        <v>7175</v>
      </c>
      <c r="H717" t="s">
        <v>2</v>
      </c>
      <c r="O717">
        <v>64</v>
      </c>
      <c r="P717" t="s">
        <v>39</v>
      </c>
      <c r="Q717">
        <v>50</v>
      </c>
      <c r="R717" t="s">
        <v>53</v>
      </c>
      <c r="S717" t="s">
        <v>33</v>
      </c>
      <c r="T717" t="s">
        <v>0</v>
      </c>
      <c r="U717">
        <v>0</v>
      </c>
    </row>
    <row r="718" spans="3:21" x14ac:dyDescent="0.3">
      <c r="C718" t="s">
        <v>52</v>
      </c>
      <c r="D718" s="18">
        <v>45961</v>
      </c>
      <c r="E718" t="str">
        <f>IFERROR(VLOOKUP(A718,#REF!,5,TRUE),"not found")</f>
        <v>not found</v>
      </c>
      <c r="F718" t="str">
        <f>IFERROR(VLOOKUP(A718,#REF!,2,TRUE),"")</f>
        <v/>
      </c>
      <c r="G718">
        <v>7175</v>
      </c>
      <c r="H718" t="s">
        <v>2</v>
      </c>
      <c r="O718">
        <v>64</v>
      </c>
      <c r="P718" t="s">
        <v>39</v>
      </c>
      <c r="Q718">
        <v>50</v>
      </c>
      <c r="R718" t="s">
        <v>53</v>
      </c>
      <c r="S718" t="s">
        <v>33</v>
      </c>
      <c r="T718" t="s">
        <v>0</v>
      </c>
      <c r="U718">
        <v>0</v>
      </c>
    </row>
    <row r="719" spans="3:21" x14ac:dyDescent="0.3">
      <c r="C719" t="s">
        <v>52</v>
      </c>
      <c r="D719" s="18">
        <v>45961</v>
      </c>
      <c r="E719" t="str">
        <f>IFERROR(VLOOKUP(A719,#REF!,5,TRUE),"not found")</f>
        <v>not found</v>
      </c>
      <c r="F719" t="str">
        <f>IFERROR(VLOOKUP(A719,#REF!,2,TRUE),"")</f>
        <v/>
      </c>
      <c r="G719">
        <v>7175</v>
      </c>
      <c r="H719" t="s">
        <v>2</v>
      </c>
      <c r="O719">
        <v>64</v>
      </c>
      <c r="P719" t="s">
        <v>39</v>
      </c>
      <c r="Q719">
        <v>50</v>
      </c>
      <c r="R719" t="s">
        <v>53</v>
      </c>
      <c r="S719" t="s">
        <v>33</v>
      </c>
      <c r="T719" t="s">
        <v>0</v>
      </c>
      <c r="U719">
        <v>0</v>
      </c>
    </row>
    <row r="720" spans="3:21" x14ac:dyDescent="0.3">
      <c r="C720" t="s">
        <v>52</v>
      </c>
      <c r="D720" s="18">
        <v>45961</v>
      </c>
      <c r="E720" t="str">
        <f>IFERROR(VLOOKUP(A720,#REF!,5,TRUE),"not found")</f>
        <v>not found</v>
      </c>
      <c r="F720" t="str">
        <f>IFERROR(VLOOKUP(A720,#REF!,2,TRUE),"")</f>
        <v/>
      </c>
      <c r="G720">
        <v>7175</v>
      </c>
      <c r="H720" t="s">
        <v>2</v>
      </c>
      <c r="O720">
        <v>64</v>
      </c>
      <c r="P720" t="s">
        <v>39</v>
      </c>
      <c r="Q720">
        <v>50</v>
      </c>
      <c r="R720" t="s">
        <v>53</v>
      </c>
      <c r="S720" t="s">
        <v>33</v>
      </c>
      <c r="T720" t="s">
        <v>0</v>
      </c>
      <c r="U720">
        <v>0</v>
      </c>
    </row>
    <row r="721" spans="3:21" x14ac:dyDescent="0.3">
      <c r="C721" t="s">
        <v>52</v>
      </c>
      <c r="D721" s="18">
        <v>45961</v>
      </c>
      <c r="E721" t="str">
        <f>IFERROR(VLOOKUP(A721,#REF!,5,TRUE),"not found")</f>
        <v>not found</v>
      </c>
      <c r="F721" t="str">
        <f>IFERROR(VLOOKUP(A721,#REF!,2,TRUE),"")</f>
        <v/>
      </c>
      <c r="G721">
        <v>7175</v>
      </c>
      <c r="H721" t="s">
        <v>2</v>
      </c>
      <c r="O721">
        <v>64</v>
      </c>
      <c r="P721" t="s">
        <v>39</v>
      </c>
      <c r="Q721">
        <v>50</v>
      </c>
      <c r="R721" t="s">
        <v>53</v>
      </c>
      <c r="S721" t="s">
        <v>33</v>
      </c>
      <c r="T721" t="s">
        <v>0</v>
      </c>
      <c r="U721">
        <v>0</v>
      </c>
    </row>
    <row r="722" spans="3:21" x14ac:dyDescent="0.3">
      <c r="C722" t="s">
        <v>52</v>
      </c>
      <c r="D722" s="18">
        <v>45961</v>
      </c>
      <c r="E722" t="str">
        <f>IFERROR(VLOOKUP(A722,#REF!,5,TRUE),"not found")</f>
        <v>not found</v>
      </c>
      <c r="F722" t="str">
        <f>IFERROR(VLOOKUP(A722,#REF!,2,TRUE),"")</f>
        <v/>
      </c>
      <c r="G722">
        <v>7175</v>
      </c>
      <c r="H722" t="s">
        <v>2</v>
      </c>
      <c r="O722">
        <v>64</v>
      </c>
      <c r="P722" t="s">
        <v>39</v>
      </c>
      <c r="Q722">
        <v>50</v>
      </c>
      <c r="R722" t="s">
        <v>53</v>
      </c>
      <c r="S722" t="s">
        <v>33</v>
      </c>
      <c r="T722" t="s">
        <v>0</v>
      </c>
      <c r="U722">
        <v>0</v>
      </c>
    </row>
    <row r="723" spans="3:21" x14ac:dyDescent="0.3">
      <c r="C723" t="s">
        <v>52</v>
      </c>
      <c r="D723" s="18">
        <v>45961</v>
      </c>
      <c r="E723" t="str">
        <f>IFERROR(VLOOKUP(A723,#REF!,5,TRUE),"not found")</f>
        <v>not found</v>
      </c>
      <c r="F723" t="str">
        <f>IFERROR(VLOOKUP(A723,#REF!,2,TRUE),"")</f>
        <v/>
      </c>
      <c r="G723">
        <v>7175</v>
      </c>
      <c r="H723" t="s">
        <v>2</v>
      </c>
      <c r="O723">
        <v>64</v>
      </c>
      <c r="P723" t="s">
        <v>39</v>
      </c>
      <c r="Q723">
        <v>50</v>
      </c>
      <c r="R723" t="s">
        <v>53</v>
      </c>
      <c r="S723" t="s">
        <v>33</v>
      </c>
      <c r="T723" t="s">
        <v>0</v>
      </c>
      <c r="U723">
        <v>0</v>
      </c>
    </row>
    <row r="724" spans="3:21" x14ac:dyDescent="0.3">
      <c r="C724" t="s">
        <v>52</v>
      </c>
      <c r="D724" s="18">
        <v>45961</v>
      </c>
      <c r="E724" t="str">
        <f>IFERROR(VLOOKUP(A724,#REF!,5,TRUE),"not found")</f>
        <v>not found</v>
      </c>
      <c r="F724" t="str">
        <f>IFERROR(VLOOKUP(A724,#REF!,2,TRUE),"")</f>
        <v/>
      </c>
      <c r="G724">
        <v>7175</v>
      </c>
      <c r="H724" t="s">
        <v>2</v>
      </c>
      <c r="O724">
        <v>64</v>
      </c>
      <c r="P724" t="s">
        <v>39</v>
      </c>
      <c r="Q724">
        <v>50</v>
      </c>
      <c r="R724" t="s">
        <v>53</v>
      </c>
      <c r="S724" t="s">
        <v>33</v>
      </c>
      <c r="T724" t="s">
        <v>0</v>
      </c>
      <c r="U724">
        <v>0</v>
      </c>
    </row>
    <row r="725" spans="3:21" x14ac:dyDescent="0.3">
      <c r="C725" t="s">
        <v>52</v>
      </c>
      <c r="D725" s="18">
        <v>45961</v>
      </c>
      <c r="E725" t="str">
        <f>IFERROR(VLOOKUP(A725,#REF!,5,TRUE),"not found")</f>
        <v>not found</v>
      </c>
      <c r="F725" t="str">
        <f>IFERROR(VLOOKUP(A725,#REF!,2,TRUE),"")</f>
        <v/>
      </c>
      <c r="G725">
        <v>7175</v>
      </c>
      <c r="H725" t="s">
        <v>2</v>
      </c>
      <c r="O725">
        <v>64</v>
      </c>
      <c r="P725" t="s">
        <v>39</v>
      </c>
      <c r="Q725">
        <v>50</v>
      </c>
      <c r="R725" t="s">
        <v>53</v>
      </c>
      <c r="S725" t="s">
        <v>33</v>
      </c>
      <c r="T725" t="s">
        <v>0</v>
      </c>
      <c r="U725">
        <v>0</v>
      </c>
    </row>
    <row r="726" spans="3:21" x14ac:dyDescent="0.3">
      <c r="C726" t="s">
        <v>52</v>
      </c>
      <c r="D726" s="18">
        <v>45961</v>
      </c>
      <c r="E726" t="str">
        <f>IFERROR(VLOOKUP(A726,#REF!,5,TRUE),"not found")</f>
        <v>not found</v>
      </c>
      <c r="F726" t="str">
        <f>IFERROR(VLOOKUP(A726,#REF!,2,TRUE),"")</f>
        <v/>
      </c>
      <c r="G726">
        <v>7175</v>
      </c>
      <c r="H726" t="s">
        <v>2</v>
      </c>
      <c r="O726">
        <v>64</v>
      </c>
      <c r="P726" t="s">
        <v>39</v>
      </c>
      <c r="Q726">
        <v>50</v>
      </c>
      <c r="R726" t="s">
        <v>53</v>
      </c>
      <c r="S726" t="s">
        <v>33</v>
      </c>
      <c r="T726" t="s">
        <v>0</v>
      </c>
      <c r="U726">
        <v>0</v>
      </c>
    </row>
    <row r="727" spans="3:21" x14ac:dyDescent="0.3">
      <c r="C727" t="s">
        <v>52</v>
      </c>
      <c r="D727" s="18">
        <v>45961</v>
      </c>
      <c r="E727" t="str">
        <f>IFERROR(VLOOKUP(A727,#REF!,5,TRUE),"not found")</f>
        <v>not found</v>
      </c>
      <c r="F727" t="str">
        <f>IFERROR(VLOOKUP(A727,#REF!,2,TRUE),"")</f>
        <v/>
      </c>
      <c r="G727">
        <v>7175</v>
      </c>
      <c r="H727" t="s">
        <v>2</v>
      </c>
      <c r="O727">
        <v>64</v>
      </c>
      <c r="P727" t="s">
        <v>39</v>
      </c>
      <c r="Q727">
        <v>50</v>
      </c>
      <c r="R727" t="s">
        <v>53</v>
      </c>
      <c r="S727" t="s">
        <v>33</v>
      </c>
      <c r="T727" t="s">
        <v>0</v>
      </c>
      <c r="U727">
        <v>0</v>
      </c>
    </row>
    <row r="728" spans="3:21" x14ac:dyDescent="0.3">
      <c r="C728" t="s">
        <v>52</v>
      </c>
      <c r="D728" s="18">
        <v>45961</v>
      </c>
      <c r="E728" t="str">
        <f>IFERROR(VLOOKUP(A728,#REF!,5,TRUE),"not found")</f>
        <v>not found</v>
      </c>
      <c r="F728" t="str">
        <f>IFERROR(VLOOKUP(A728,#REF!,2,TRUE),"")</f>
        <v/>
      </c>
      <c r="G728">
        <v>7175</v>
      </c>
      <c r="H728" t="s">
        <v>2</v>
      </c>
      <c r="O728">
        <v>64</v>
      </c>
      <c r="P728" t="s">
        <v>39</v>
      </c>
      <c r="Q728">
        <v>50</v>
      </c>
      <c r="R728" t="s">
        <v>53</v>
      </c>
      <c r="S728" t="s">
        <v>33</v>
      </c>
      <c r="T728" t="s">
        <v>0</v>
      </c>
      <c r="U728">
        <v>0</v>
      </c>
    </row>
    <row r="729" spans="3:21" x14ac:dyDescent="0.3">
      <c r="C729" t="s">
        <v>52</v>
      </c>
      <c r="D729" s="18">
        <v>45961</v>
      </c>
      <c r="E729" t="str">
        <f>IFERROR(VLOOKUP(A729,#REF!,5,TRUE),"not found")</f>
        <v>not found</v>
      </c>
      <c r="F729" t="str">
        <f>IFERROR(VLOOKUP(A729,#REF!,2,TRUE),"")</f>
        <v/>
      </c>
      <c r="G729">
        <v>7175</v>
      </c>
      <c r="H729" t="s">
        <v>2</v>
      </c>
      <c r="O729">
        <v>64</v>
      </c>
      <c r="P729" t="s">
        <v>39</v>
      </c>
      <c r="Q729">
        <v>50</v>
      </c>
      <c r="R729" t="s">
        <v>53</v>
      </c>
      <c r="S729" t="s">
        <v>33</v>
      </c>
      <c r="T729" t="s">
        <v>0</v>
      </c>
      <c r="U729">
        <v>0</v>
      </c>
    </row>
    <row r="730" spans="3:21" x14ac:dyDescent="0.3">
      <c r="C730" t="s">
        <v>52</v>
      </c>
      <c r="D730" s="18">
        <v>45961</v>
      </c>
      <c r="E730" t="str">
        <f>IFERROR(VLOOKUP(A730,#REF!,5,TRUE),"not found")</f>
        <v>not found</v>
      </c>
      <c r="F730" t="str">
        <f>IFERROR(VLOOKUP(A730,#REF!,2,TRUE),"")</f>
        <v/>
      </c>
      <c r="G730">
        <v>7175</v>
      </c>
      <c r="H730" t="s">
        <v>2</v>
      </c>
      <c r="O730">
        <v>64</v>
      </c>
      <c r="P730" t="s">
        <v>39</v>
      </c>
      <c r="Q730">
        <v>50</v>
      </c>
      <c r="R730" t="s">
        <v>53</v>
      </c>
      <c r="S730" t="s">
        <v>33</v>
      </c>
      <c r="T730" t="s">
        <v>0</v>
      </c>
      <c r="U730">
        <v>0</v>
      </c>
    </row>
    <row r="731" spans="3:21" x14ac:dyDescent="0.3">
      <c r="C731" t="s">
        <v>52</v>
      </c>
      <c r="D731" s="18">
        <v>45961</v>
      </c>
      <c r="E731" t="str">
        <f>IFERROR(VLOOKUP(A731,#REF!,5,TRUE),"not found")</f>
        <v>not found</v>
      </c>
      <c r="F731" t="str">
        <f>IFERROR(VLOOKUP(A731,#REF!,2,TRUE),"")</f>
        <v/>
      </c>
      <c r="G731">
        <v>7175</v>
      </c>
      <c r="H731" t="s">
        <v>2</v>
      </c>
      <c r="O731">
        <v>64</v>
      </c>
      <c r="P731" t="s">
        <v>39</v>
      </c>
      <c r="Q731">
        <v>50</v>
      </c>
      <c r="R731" t="s">
        <v>53</v>
      </c>
      <c r="S731" t="s">
        <v>33</v>
      </c>
      <c r="T731" t="s">
        <v>0</v>
      </c>
      <c r="U731">
        <v>0</v>
      </c>
    </row>
    <row r="732" spans="3:21" x14ac:dyDescent="0.3">
      <c r="C732" t="s">
        <v>52</v>
      </c>
      <c r="D732" s="18">
        <v>45961</v>
      </c>
      <c r="E732" t="str">
        <f>IFERROR(VLOOKUP(A732,#REF!,5,TRUE),"not found")</f>
        <v>not found</v>
      </c>
      <c r="F732" t="str">
        <f>IFERROR(VLOOKUP(A732,#REF!,2,TRUE),"")</f>
        <v/>
      </c>
      <c r="G732">
        <v>7175</v>
      </c>
      <c r="H732" t="s">
        <v>2</v>
      </c>
      <c r="O732">
        <v>64</v>
      </c>
      <c r="P732" t="s">
        <v>39</v>
      </c>
      <c r="Q732">
        <v>50</v>
      </c>
      <c r="R732" t="s">
        <v>53</v>
      </c>
      <c r="S732" t="s">
        <v>33</v>
      </c>
      <c r="T732" t="s">
        <v>0</v>
      </c>
      <c r="U732">
        <v>0</v>
      </c>
    </row>
    <row r="733" spans="3:21" x14ac:dyDescent="0.3">
      <c r="C733" t="s">
        <v>52</v>
      </c>
      <c r="D733" s="18">
        <v>45961</v>
      </c>
      <c r="E733" t="str">
        <f>IFERROR(VLOOKUP(A733,#REF!,5,TRUE),"not found")</f>
        <v>not found</v>
      </c>
      <c r="F733" t="str">
        <f>IFERROR(VLOOKUP(A733,#REF!,2,TRUE),"")</f>
        <v/>
      </c>
      <c r="G733">
        <v>7175</v>
      </c>
      <c r="H733" t="s">
        <v>2</v>
      </c>
      <c r="O733">
        <v>64</v>
      </c>
      <c r="P733" t="s">
        <v>39</v>
      </c>
      <c r="Q733">
        <v>50</v>
      </c>
      <c r="R733" t="s">
        <v>53</v>
      </c>
      <c r="S733" t="s">
        <v>33</v>
      </c>
      <c r="T733" t="s">
        <v>0</v>
      </c>
      <c r="U733">
        <v>0</v>
      </c>
    </row>
    <row r="734" spans="3:21" x14ac:dyDescent="0.3">
      <c r="C734" t="s">
        <v>52</v>
      </c>
      <c r="D734" s="18">
        <v>45961</v>
      </c>
      <c r="E734" t="str">
        <f>IFERROR(VLOOKUP(A734,#REF!,5,TRUE),"not found")</f>
        <v>not found</v>
      </c>
      <c r="F734" t="str">
        <f>IFERROR(VLOOKUP(A734,#REF!,2,TRUE),"")</f>
        <v/>
      </c>
      <c r="G734">
        <v>7175</v>
      </c>
      <c r="H734" t="s">
        <v>2</v>
      </c>
      <c r="O734">
        <v>64</v>
      </c>
      <c r="P734" t="s">
        <v>39</v>
      </c>
      <c r="Q734">
        <v>50</v>
      </c>
      <c r="R734" t="s">
        <v>53</v>
      </c>
      <c r="S734" t="s">
        <v>33</v>
      </c>
      <c r="T734" t="s">
        <v>0</v>
      </c>
      <c r="U734">
        <v>0</v>
      </c>
    </row>
    <row r="735" spans="3:21" x14ac:dyDescent="0.3">
      <c r="C735" t="s">
        <v>52</v>
      </c>
      <c r="D735" s="18">
        <v>45961</v>
      </c>
      <c r="E735" t="str">
        <f>IFERROR(VLOOKUP(A735,#REF!,5,TRUE),"not found")</f>
        <v>not found</v>
      </c>
      <c r="F735" t="str">
        <f>IFERROR(VLOOKUP(A735,#REF!,2,TRUE),"")</f>
        <v/>
      </c>
      <c r="G735">
        <v>7175</v>
      </c>
      <c r="H735" t="s">
        <v>2</v>
      </c>
      <c r="O735">
        <v>64</v>
      </c>
      <c r="P735" t="s">
        <v>39</v>
      </c>
      <c r="Q735">
        <v>50</v>
      </c>
      <c r="R735" t="s">
        <v>53</v>
      </c>
      <c r="S735" t="s">
        <v>33</v>
      </c>
      <c r="T735" t="s">
        <v>0</v>
      </c>
      <c r="U735">
        <v>0</v>
      </c>
    </row>
    <row r="736" spans="3:21" x14ac:dyDescent="0.3">
      <c r="C736" t="s">
        <v>52</v>
      </c>
      <c r="D736" s="18">
        <v>45961</v>
      </c>
      <c r="E736" t="str">
        <f>IFERROR(VLOOKUP(A736,#REF!,5,TRUE),"not found")</f>
        <v>not found</v>
      </c>
      <c r="F736" t="str">
        <f>IFERROR(VLOOKUP(A736,#REF!,2,TRUE),"")</f>
        <v/>
      </c>
      <c r="G736">
        <v>7175</v>
      </c>
      <c r="H736" t="s">
        <v>2</v>
      </c>
      <c r="O736">
        <v>64</v>
      </c>
      <c r="P736" t="s">
        <v>39</v>
      </c>
      <c r="Q736">
        <v>50</v>
      </c>
      <c r="R736" t="s">
        <v>53</v>
      </c>
      <c r="S736" t="s">
        <v>33</v>
      </c>
      <c r="T736" t="s">
        <v>0</v>
      </c>
      <c r="U736">
        <v>0</v>
      </c>
    </row>
    <row r="737" spans="3:21" x14ac:dyDescent="0.3">
      <c r="C737" t="s">
        <v>52</v>
      </c>
      <c r="D737" s="18">
        <v>45961</v>
      </c>
      <c r="E737" t="str">
        <f>IFERROR(VLOOKUP(A737,#REF!,5,TRUE),"not found")</f>
        <v>not found</v>
      </c>
      <c r="F737" t="str">
        <f>IFERROR(VLOOKUP(A737,#REF!,2,TRUE),"")</f>
        <v/>
      </c>
      <c r="G737">
        <v>7175</v>
      </c>
      <c r="H737" t="s">
        <v>2</v>
      </c>
      <c r="O737">
        <v>64</v>
      </c>
      <c r="P737" t="s">
        <v>39</v>
      </c>
      <c r="Q737">
        <v>50</v>
      </c>
      <c r="R737" t="s">
        <v>53</v>
      </c>
      <c r="S737" t="s">
        <v>33</v>
      </c>
      <c r="T737" t="s">
        <v>0</v>
      </c>
      <c r="U737">
        <v>0</v>
      </c>
    </row>
    <row r="738" spans="3:21" x14ac:dyDescent="0.3">
      <c r="C738" t="s">
        <v>52</v>
      </c>
      <c r="D738" s="18">
        <v>45961</v>
      </c>
      <c r="E738" t="str">
        <f>IFERROR(VLOOKUP(A738,#REF!,5,TRUE),"not found")</f>
        <v>not found</v>
      </c>
      <c r="F738" t="str">
        <f>IFERROR(VLOOKUP(A738,#REF!,2,TRUE),"")</f>
        <v/>
      </c>
      <c r="G738">
        <v>7175</v>
      </c>
      <c r="H738" t="s">
        <v>2</v>
      </c>
      <c r="O738">
        <v>64</v>
      </c>
      <c r="P738" t="s">
        <v>39</v>
      </c>
      <c r="Q738">
        <v>50</v>
      </c>
      <c r="R738" t="s">
        <v>53</v>
      </c>
      <c r="S738" t="s">
        <v>33</v>
      </c>
      <c r="T738" t="s">
        <v>0</v>
      </c>
      <c r="U738">
        <v>0</v>
      </c>
    </row>
    <row r="739" spans="3:21" x14ac:dyDescent="0.3">
      <c r="C739" t="s">
        <v>52</v>
      </c>
      <c r="D739" s="18">
        <v>45961</v>
      </c>
      <c r="E739" t="str">
        <f>IFERROR(VLOOKUP(A739,#REF!,5,TRUE),"not found")</f>
        <v>not found</v>
      </c>
      <c r="F739" t="str">
        <f>IFERROR(VLOOKUP(A739,#REF!,2,TRUE),"")</f>
        <v/>
      </c>
      <c r="G739">
        <v>7175</v>
      </c>
      <c r="H739" t="s">
        <v>2</v>
      </c>
      <c r="O739">
        <v>64</v>
      </c>
      <c r="P739" t="s">
        <v>39</v>
      </c>
      <c r="Q739">
        <v>50</v>
      </c>
      <c r="R739" t="s">
        <v>53</v>
      </c>
      <c r="S739" t="s">
        <v>33</v>
      </c>
      <c r="T739" t="s">
        <v>0</v>
      </c>
      <c r="U739">
        <v>0</v>
      </c>
    </row>
    <row r="740" spans="3:21" x14ac:dyDescent="0.3">
      <c r="C740" t="s">
        <v>52</v>
      </c>
      <c r="D740" s="18">
        <v>45961</v>
      </c>
      <c r="E740" t="str">
        <f>IFERROR(VLOOKUP(A740,#REF!,5,TRUE),"not found")</f>
        <v>not found</v>
      </c>
      <c r="F740" t="str">
        <f>IFERROR(VLOOKUP(A740,#REF!,2,TRUE),"")</f>
        <v/>
      </c>
      <c r="G740">
        <v>7175</v>
      </c>
      <c r="H740" t="s">
        <v>2</v>
      </c>
      <c r="O740">
        <v>64</v>
      </c>
      <c r="P740" t="s">
        <v>39</v>
      </c>
      <c r="Q740">
        <v>50</v>
      </c>
      <c r="R740" t="s">
        <v>53</v>
      </c>
      <c r="S740" t="s">
        <v>33</v>
      </c>
      <c r="T740" t="s">
        <v>0</v>
      </c>
      <c r="U740">
        <v>0</v>
      </c>
    </row>
    <row r="741" spans="3:21" x14ac:dyDescent="0.3">
      <c r="C741" t="s">
        <v>52</v>
      </c>
      <c r="D741" s="18">
        <v>45961</v>
      </c>
      <c r="E741" t="str">
        <f>IFERROR(VLOOKUP(A741,#REF!,5,TRUE),"not found")</f>
        <v>not found</v>
      </c>
      <c r="F741" t="str">
        <f>IFERROR(VLOOKUP(A741,#REF!,2,TRUE),"")</f>
        <v/>
      </c>
      <c r="G741">
        <v>7175</v>
      </c>
      <c r="H741" t="s">
        <v>2</v>
      </c>
      <c r="O741">
        <v>64</v>
      </c>
      <c r="P741" t="s">
        <v>39</v>
      </c>
      <c r="Q741">
        <v>50</v>
      </c>
      <c r="R741" t="s">
        <v>53</v>
      </c>
      <c r="S741" t="s">
        <v>33</v>
      </c>
      <c r="T741" t="s">
        <v>0</v>
      </c>
      <c r="U741">
        <v>0</v>
      </c>
    </row>
    <row r="742" spans="3:21" x14ac:dyDescent="0.3">
      <c r="C742" t="s">
        <v>52</v>
      </c>
      <c r="D742" s="18">
        <v>45961</v>
      </c>
      <c r="E742" t="str">
        <f>IFERROR(VLOOKUP(A742,#REF!,5,TRUE),"not found")</f>
        <v>not found</v>
      </c>
      <c r="F742" t="str">
        <f>IFERROR(VLOOKUP(A742,#REF!,2,TRUE),"")</f>
        <v/>
      </c>
      <c r="G742">
        <v>7175</v>
      </c>
      <c r="H742" t="s">
        <v>2</v>
      </c>
      <c r="O742">
        <v>64</v>
      </c>
      <c r="P742" t="s">
        <v>39</v>
      </c>
      <c r="Q742">
        <v>50</v>
      </c>
      <c r="R742" t="s">
        <v>53</v>
      </c>
      <c r="S742" t="s">
        <v>33</v>
      </c>
      <c r="T742" t="s">
        <v>0</v>
      </c>
      <c r="U742">
        <v>0</v>
      </c>
    </row>
    <row r="743" spans="3:21" x14ac:dyDescent="0.3">
      <c r="C743" t="s">
        <v>52</v>
      </c>
      <c r="D743" s="18">
        <v>45961</v>
      </c>
      <c r="E743" t="str">
        <f>IFERROR(VLOOKUP(A743,#REF!,5,TRUE),"not found")</f>
        <v>not found</v>
      </c>
      <c r="F743" t="str">
        <f>IFERROR(VLOOKUP(A743,#REF!,2,TRUE),"")</f>
        <v/>
      </c>
      <c r="G743">
        <v>7175</v>
      </c>
      <c r="H743" t="s">
        <v>2</v>
      </c>
      <c r="O743">
        <v>64</v>
      </c>
      <c r="P743" t="s">
        <v>39</v>
      </c>
      <c r="Q743">
        <v>50</v>
      </c>
      <c r="R743" t="s">
        <v>53</v>
      </c>
      <c r="S743" t="s">
        <v>33</v>
      </c>
      <c r="T743" t="s">
        <v>0</v>
      </c>
      <c r="U743">
        <v>0</v>
      </c>
    </row>
    <row r="744" spans="3:21" x14ac:dyDescent="0.3">
      <c r="C744" t="s">
        <v>52</v>
      </c>
      <c r="D744" s="18">
        <v>45961</v>
      </c>
      <c r="E744" t="str">
        <f>IFERROR(VLOOKUP(A744,#REF!,5,TRUE),"not found")</f>
        <v>not found</v>
      </c>
      <c r="F744" t="str">
        <f>IFERROR(VLOOKUP(A744,#REF!,2,TRUE),"")</f>
        <v/>
      </c>
      <c r="G744">
        <v>7175</v>
      </c>
      <c r="H744" t="s">
        <v>2</v>
      </c>
      <c r="O744">
        <v>64</v>
      </c>
      <c r="P744" t="s">
        <v>39</v>
      </c>
      <c r="Q744">
        <v>50</v>
      </c>
      <c r="R744" t="s">
        <v>53</v>
      </c>
      <c r="S744" t="s">
        <v>33</v>
      </c>
      <c r="T744" t="s">
        <v>0</v>
      </c>
      <c r="U744">
        <v>0</v>
      </c>
    </row>
    <row r="745" spans="3:21" x14ac:dyDescent="0.3">
      <c r="C745" t="s">
        <v>52</v>
      </c>
      <c r="D745" s="18">
        <v>45961</v>
      </c>
      <c r="E745" t="str">
        <f>IFERROR(VLOOKUP(A745,#REF!,5,TRUE),"not found")</f>
        <v>not found</v>
      </c>
      <c r="F745" t="str">
        <f>IFERROR(VLOOKUP(A745,#REF!,2,TRUE),"")</f>
        <v/>
      </c>
      <c r="G745">
        <v>7175</v>
      </c>
      <c r="H745" t="s">
        <v>2</v>
      </c>
      <c r="O745">
        <v>64</v>
      </c>
      <c r="P745" t="s">
        <v>39</v>
      </c>
      <c r="Q745">
        <v>50</v>
      </c>
      <c r="R745" t="s">
        <v>53</v>
      </c>
      <c r="S745" t="s">
        <v>33</v>
      </c>
      <c r="T745" t="s">
        <v>0</v>
      </c>
      <c r="U745">
        <v>0</v>
      </c>
    </row>
    <row r="746" spans="3:21" x14ac:dyDescent="0.3">
      <c r="C746" t="s">
        <v>52</v>
      </c>
      <c r="D746" s="18">
        <v>45961</v>
      </c>
      <c r="E746" t="str">
        <f>IFERROR(VLOOKUP(A746,#REF!,5,TRUE),"not found")</f>
        <v>not found</v>
      </c>
      <c r="F746" t="str">
        <f>IFERROR(VLOOKUP(A746,#REF!,2,TRUE),"")</f>
        <v/>
      </c>
      <c r="G746">
        <v>7175</v>
      </c>
      <c r="H746" t="s">
        <v>2</v>
      </c>
      <c r="O746">
        <v>64</v>
      </c>
      <c r="P746" t="s">
        <v>39</v>
      </c>
      <c r="Q746">
        <v>50</v>
      </c>
      <c r="R746" t="s">
        <v>53</v>
      </c>
      <c r="S746" t="s">
        <v>33</v>
      </c>
      <c r="T746" t="s">
        <v>0</v>
      </c>
      <c r="U746">
        <v>0</v>
      </c>
    </row>
    <row r="747" spans="3:21" x14ac:dyDescent="0.3">
      <c r="C747" t="s">
        <v>52</v>
      </c>
      <c r="D747" s="18">
        <v>45961</v>
      </c>
      <c r="E747" t="str">
        <f>IFERROR(VLOOKUP(A747,#REF!,5,TRUE),"not found")</f>
        <v>not found</v>
      </c>
      <c r="F747" t="str">
        <f>IFERROR(VLOOKUP(A747,#REF!,2,TRUE),"")</f>
        <v/>
      </c>
      <c r="G747">
        <v>7175</v>
      </c>
      <c r="H747" t="s">
        <v>2</v>
      </c>
      <c r="O747">
        <v>64</v>
      </c>
      <c r="P747" t="s">
        <v>39</v>
      </c>
      <c r="Q747">
        <v>50</v>
      </c>
      <c r="R747" t="s">
        <v>53</v>
      </c>
      <c r="S747" t="s">
        <v>33</v>
      </c>
      <c r="T747" t="s">
        <v>0</v>
      </c>
      <c r="U747">
        <v>0</v>
      </c>
    </row>
    <row r="748" spans="3:21" x14ac:dyDescent="0.3">
      <c r="C748" t="s">
        <v>52</v>
      </c>
      <c r="D748" s="18">
        <v>45961</v>
      </c>
      <c r="E748" t="str">
        <f>IFERROR(VLOOKUP(A748,#REF!,5,TRUE),"not found")</f>
        <v>not found</v>
      </c>
      <c r="F748" t="str">
        <f>IFERROR(VLOOKUP(A748,#REF!,2,TRUE),"")</f>
        <v/>
      </c>
      <c r="G748">
        <v>7175</v>
      </c>
      <c r="H748" t="s">
        <v>2</v>
      </c>
      <c r="O748">
        <v>64</v>
      </c>
      <c r="P748" t="s">
        <v>39</v>
      </c>
      <c r="Q748">
        <v>50</v>
      </c>
      <c r="R748" t="s">
        <v>53</v>
      </c>
      <c r="S748" t="s">
        <v>33</v>
      </c>
      <c r="T748" t="s">
        <v>0</v>
      </c>
      <c r="U748">
        <v>0</v>
      </c>
    </row>
    <row r="749" spans="3:21" x14ac:dyDescent="0.3">
      <c r="C749" t="s">
        <v>52</v>
      </c>
      <c r="D749" s="18">
        <v>45961</v>
      </c>
      <c r="E749" t="str">
        <f>IFERROR(VLOOKUP(A749,#REF!,5,TRUE),"not found")</f>
        <v>not found</v>
      </c>
      <c r="F749" t="str">
        <f>IFERROR(VLOOKUP(A749,#REF!,2,TRUE),"")</f>
        <v/>
      </c>
      <c r="G749">
        <v>7175</v>
      </c>
      <c r="H749" t="s">
        <v>2</v>
      </c>
      <c r="O749">
        <v>64</v>
      </c>
      <c r="P749" t="s">
        <v>39</v>
      </c>
      <c r="Q749">
        <v>50</v>
      </c>
      <c r="R749" t="s">
        <v>53</v>
      </c>
      <c r="S749" t="s">
        <v>33</v>
      </c>
      <c r="T749" t="s">
        <v>0</v>
      </c>
      <c r="U749">
        <v>0</v>
      </c>
    </row>
    <row r="750" spans="3:21" x14ac:dyDescent="0.3">
      <c r="C750" t="s">
        <v>52</v>
      </c>
      <c r="D750" s="18">
        <v>45961</v>
      </c>
      <c r="E750" t="str">
        <f>IFERROR(VLOOKUP(A750,#REF!,5,TRUE),"not found")</f>
        <v>not found</v>
      </c>
      <c r="F750" t="str">
        <f>IFERROR(VLOOKUP(A750,#REF!,2,TRUE),"")</f>
        <v/>
      </c>
      <c r="G750">
        <v>7175</v>
      </c>
      <c r="H750" t="s">
        <v>2</v>
      </c>
      <c r="O750">
        <v>64</v>
      </c>
      <c r="P750" t="s">
        <v>39</v>
      </c>
      <c r="Q750">
        <v>50</v>
      </c>
      <c r="R750" t="s">
        <v>53</v>
      </c>
      <c r="S750" t="s">
        <v>33</v>
      </c>
      <c r="T750" t="s">
        <v>0</v>
      </c>
      <c r="U750">
        <v>0</v>
      </c>
    </row>
    <row r="751" spans="3:21" x14ac:dyDescent="0.3">
      <c r="C751" t="s">
        <v>52</v>
      </c>
      <c r="D751" s="18">
        <v>45961</v>
      </c>
      <c r="E751" t="str">
        <f>IFERROR(VLOOKUP(A751,#REF!,5,TRUE),"not found")</f>
        <v>not found</v>
      </c>
      <c r="F751" t="str">
        <f>IFERROR(VLOOKUP(A751,#REF!,2,TRUE),"")</f>
        <v/>
      </c>
      <c r="G751">
        <v>7175</v>
      </c>
      <c r="H751" t="s">
        <v>2</v>
      </c>
      <c r="O751">
        <v>64</v>
      </c>
      <c r="P751" t="s">
        <v>39</v>
      </c>
      <c r="Q751">
        <v>50</v>
      </c>
      <c r="R751" t="s">
        <v>53</v>
      </c>
      <c r="S751" t="s">
        <v>33</v>
      </c>
      <c r="T751" t="s">
        <v>0</v>
      </c>
      <c r="U751">
        <v>0</v>
      </c>
    </row>
    <row r="752" spans="3:21" x14ac:dyDescent="0.3">
      <c r="C752" t="s">
        <v>52</v>
      </c>
      <c r="D752" s="18">
        <v>45961</v>
      </c>
      <c r="E752" t="str">
        <f>IFERROR(VLOOKUP(A752,#REF!,5,TRUE),"not found")</f>
        <v>not found</v>
      </c>
      <c r="F752" t="str">
        <f>IFERROR(VLOOKUP(A752,#REF!,2,TRUE),"")</f>
        <v/>
      </c>
      <c r="G752">
        <v>7175</v>
      </c>
      <c r="H752" t="s">
        <v>2</v>
      </c>
      <c r="O752">
        <v>64</v>
      </c>
      <c r="P752" t="s">
        <v>39</v>
      </c>
      <c r="Q752">
        <v>50</v>
      </c>
      <c r="R752" t="s">
        <v>53</v>
      </c>
      <c r="S752" t="s">
        <v>33</v>
      </c>
      <c r="T752" t="s">
        <v>0</v>
      </c>
      <c r="U752">
        <v>0</v>
      </c>
    </row>
    <row r="753" spans="3:21" x14ac:dyDescent="0.3">
      <c r="C753" t="s">
        <v>52</v>
      </c>
      <c r="D753" s="18">
        <v>45961</v>
      </c>
      <c r="E753" t="str">
        <f>IFERROR(VLOOKUP(A753,#REF!,5,TRUE),"not found")</f>
        <v>not found</v>
      </c>
      <c r="F753" t="str">
        <f>IFERROR(VLOOKUP(A753,#REF!,2,TRUE),"")</f>
        <v/>
      </c>
      <c r="G753">
        <v>7175</v>
      </c>
      <c r="H753" t="s">
        <v>2</v>
      </c>
      <c r="O753">
        <v>64</v>
      </c>
      <c r="P753" t="s">
        <v>39</v>
      </c>
      <c r="Q753">
        <v>50</v>
      </c>
      <c r="R753" t="s">
        <v>53</v>
      </c>
      <c r="S753" t="s">
        <v>33</v>
      </c>
      <c r="T753" t="s">
        <v>0</v>
      </c>
      <c r="U753">
        <v>0</v>
      </c>
    </row>
    <row r="754" spans="3:21" x14ac:dyDescent="0.3">
      <c r="C754" t="s">
        <v>52</v>
      </c>
      <c r="D754" s="18">
        <v>45961</v>
      </c>
      <c r="E754" t="str">
        <f>IFERROR(VLOOKUP(A754,#REF!,5,TRUE),"not found")</f>
        <v>not found</v>
      </c>
      <c r="F754" t="str">
        <f>IFERROR(VLOOKUP(A754,#REF!,2,TRUE),"")</f>
        <v/>
      </c>
      <c r="G754">
        <v>7175</v>
      </c>
      <c r="H754" t="s">
        <v>2</v>
      </c>
      <c r="O754">
        <v>64</v>
      </c>
      <c r="P754" t="s">
        <v>39</v>
      </c>
      <c r="Q754">
        <v>50</v>
      </c>
      <c r="R754" t="s">
        <v>53</v>
      </c>
      <c r="S754" t="s">
        <v>33</v>
      </c>
      <c r="T754" t="s">
        <v>0</v>
      </c>
      <c r="U754">
        <v>0</v>
      </c>
    </row>
    <row r="755" spans="3:21" x14ac:dyDescent="0.3">
      <c r="C755" t="s">
        <v>52</v>
      </c>
      <c r="D755" s="18">
        <v>45961</v>
      </c>
      <c r="E755" t="str">
        <f>IFERROR(VLOOKUP(A755,#REF!,5,TRUE),"not found")</f>
        <v>not found</v>
      </c>
      <c r="F755" t="str">
        <f>IFERROR(VLOOKUP(A755,#REF!,2,TRUE),"")</f>
        <v/>
      </c>
      <c r="G755">
        <v>7175</v>
      </c>
      <c r="H755" t="s">
        <v>2</v>
      </c>
      <c r="O755">
        <v>64</v>
      </c>
      <c r="P755" t="s">
        <v>39</v>
      </c>
      <c r="Q755">
        <v>50</v>
      </c>
      <c r="R755" t="s">
        <v>53</v>
      </c>
      <c r="S755" t="s">
        <v>33</v>
      </c>
      <c r="T755" t="s">
        <v>0</v>
      </c>
      <c r="U755">
        <v>0</v>
      </c>
    </row>
    <row r="756" spans="3:21" x14ac:dyDescent="0.3">
      <c r="C756" t="s">
        <v>52</v>
      </c>
      <c r="D756" s="18">
        <v>45961</v>
      </c>
      <c r="E756" t="str">
        <f>IFERROR(VLOOKUP(A756,#REF!,5,TRUE),"not found")</f>
        <v>not found</v>
      </c>
      <c r="F756" t="str">
        <f>IFERROR(VLOOKUP(A756,#REF!,2,TRUE),"")</f>
        <v/>
      </c>
      <c r="G756">
        <v>7175</v>
      </c>
      <c r="H756" t="s">
        <v>2</v>
      </c>
      <c r="O756">
        <v>64</v>
      </c>
      <c r="P756" t="s">
        <v>39</v>
      </c>
      <c r="Q756">
        <v>50</v>
      </c>
      <c r="R756" t="s">
        <v>53</v>
      </c>
      <c r="S756" t="s">
        <v>33</v>
      </c>
      <c r="T756" t="s">
        <v>0</v>
      </c>
      <c r="U756">
        <v>0</v>
      </c>
    </row>
    <row r="757" spans="3:21" x14ac:dyDescent="0.3">
      <c r="C757" t="s">
        <v>52</v>
      </c>
      <c r="D757" s="18">
        <v>45961</v>
      </c>
      <c r="E757" t="str">
        <f>IFERROR(VLOOKUP(A757,#REF!,5,TRUE),"not found")</f>
        <v>not found</v>
      </c>
      <c r="F757" t="str">
        <f>IFERROR(VLOOKUP(A757,#REF!,2,TRUE),"")</f>
        <v/>
      </c>
      <c r="G757">
        <v>7175</v>
      </c>
      <c r="H757" t="s">
        <v>2</v>
      </c>
      <c r="O757">
        <v>64</v>
      </c>
      <c r="P757" t="s">
        <v>39</v>
      </c>
      <c r="Q757">
        <v>50</v>
      </c>
      <c r="R757" t="s">
        <v>53</v>
      </c>
      <c r="S757" t="s">
        <v>33</v>
      </c>
      <c r="T757" t="s">
        <v>0</v>
      </c>
      <c r="U757">
        <v>0</v>
      </c>
    </row>
    <row r="758" spans="3:21" x14ac:dyDescent="0.3">
      <c r="C758" t="s">
        <v>52</v>
      </c>
      <c r="D758" s="18">
        <v>45961</v>
      </c>
      <c r="E758" t="str">
        <f>IFERROR(VLOOKUP(A758,#REF!,5,TRUE),"not found")</f>
        <v>not found</v>
      </c>
      <c r="F758" t="str">
        <f>IFERROR(VLOOKUP(A758,#REF!,2,TRUE),"")</f>
        <v/>
      </c>
      <c r="G758">
        <v>7175</v>
      </c>
      <c r="H758" t="s">
        <v>2</v>
      </c>
      <c r="O758">
        <v>64</v>
      </c>
      <c r="P758" t="s">
        <v>39</v>
      </c>
      <c r="Q758">
        <v>50</v>
      </c>
      <c r="R758" t="s">
        <v>53</v>
      </c>
      <c r="S758" t="s">
        <v>33</v>
      </c>
      <c r="T758" t="s">
        <v>0</v>
      </c>
      <c r="U758">
        <v>0</v>
      </c>
    </row>
    <row r="759" spans="3:21" x14ac:dyDescent="0.3">
      <c r="C759" t="s">
        <v>52</v>
      </c>
      <c r="D759" s="18">
        <v>45961</v>
      </c>
      <c r="E759" t="str">
        <f>IFERROR(VLOOKUP(A759,#REF!,5,TRUE),"not found")</f>
        <v>not found</v>
      </c>
      <c r="F759" t="str">
        <f>IFERROR(VLOOKUP(A759,#REF!,2,TRUE),"")</f>
        <v/>
      </c>
      <c r="G759">
        <v>7175</v>
      </c>
      <c r="H759" t="s">
        <v>2</v>
      </c>
      <c r="O759">
        <v>64</v>
      </c>
      <c r="P759" t="s">
        <v>39</v>
      </c>
      <c r="Q759">
        <v>50</v>
      </c>
      <c r="R759" t="s">
        <v>53</v>
      </c>
      <c r="S759" t="s">
        <v>33</v>
      </c>
      <c r="T759" t="s">
        <v>0</v>
      </c>
      <c r="U759">
        <v>0</v>
      </c>
    </row>
    <row r="760" spans="3:21" x14ac:dyDescent="0.3">
      <c r="C760" t="s">
        <v>52</v>
      </c>
      <c r="D760" s="18">
        <v>45961</v>
      </c>
      <c r="E760" t="str">
        <f>IFERROR(VLOOKUP(A760,#REF!,5,TRUE),"not found")</f>
        <v>not found</v>
      </c>
      <c r="F760" t="str">
        <f>IFERROR(VLOOKUP(A760,#REF!,2,TRUE),"")</f>
        <v/>
      </c>
      <c r="G760">
        <v>7175</v>
      </c>
      <c r="H760" t="s">
        <v>2</v>
      </c>
      <c r="O760">
        <v>64</v>
      </c>
      <c r="P760" t="s">
        <v>39</v>
      </c>
      <c r="Q760">
        <v>50</v>
      </c>
      <c r="R760" t="s">
        <v>53</v>
      </c>
      <c r="S760" t="s">
        <v>33</v>
      </c>
      <c r="T760" t="s">
        <v>0</v>
      </c>
      <c r="U760">
        <v>0</v>
      </c>
    </row>
    <row r="761" spans="3:21" x14ac:dyDescent="0.3">
      <c r="C761" t="s">
        <v>52</v>
      </c>
      <c r="D761" s="18">
        <v>45961</v>
      </c>
      <c r="E761" t="str">
        <f>IFERROR(VLOOKUP(A761,#REF!,5,TRUE),"not found")</f>
        <v>not found</v>
      </c>
      <c r="F761" t="str">
        <f>IFERROR(VLOOKUP(A761,#REF!,2,TRUE),"")</f>
        <v/>
      </c>
      <c r="G761">
        <v>7175</v>
      </c>
      <c r="H761" t="s">
        <v>2</v>
      </c>
      <c r="O761">
        <v>64</v>
      </c>
      <c r="P761" t="s">
        <v>39</v>
      </c>
      <c r="Q761">
        <v>50</v>
      </c>
      <c r="R761" t="s">
        <v>53</v>
      </c>
      <c r="S761" t="s">
        <v>33</v>
      </c>
      <c r="T761" t="s">
        <v>0</v>
      </c>
      <c r="U761">
        <v>0</v>
      </c>
    </row>
    <row r="762" spans="3:21" x14ac:dyDescent="0.3">
      <c r="C762" t="s">
        <v>52</v>
      </c>
      <c r="D762" s="18">
        <v>45961</v>
      </c>
      <c r="E762" t="str">
        <f>IFERROR(VLOOKUP(A762,#REF!,5,TRUE),"not found")</f>
        <v>not found</v>
      </c>
      <c r="F762" t="str">
        <f>IFERROR(VLOOKUP(A762,#REF!,2,TRUE),"")</f>
        <v/>
      </c>
      <c r="G762">
        <v>7175</v>
      </c>
      <c r="H762" t="s">
        <v>2</v>
      </c>
      <c r="O762">
        <v>64</v>
      </c>
      <c r="P762" t="s">
        <v>39</v>
      </c>
      <c r="Q762">
        <v>50</v>
      </c>
      <c r="R762" t="s">
        <v>53</v>
      </c>
      <c r="S762" t="s">
        <v>33</v>
      </c>
      <c r="T762" t="s">
        <v>0</v>
      </c>
      <c r="U762">
        <v>0</v>
      </c>
    </row>
    <row r="763" spans="3:21" x14ac:dyDescent="0.3">
      <c r="C763" t="s">
        <v>52</v>
      </c>
      <c r="D763" s="18">
        <v>45961</v>
      </c>
      <c r="E763" t="str">
        <f>IFERROR(VLOOKUP(A763,#REF!,5,TRUE),"not found")</f>
        <v>not found</v>
      </c>
      <c r="F763" t="str">
        <f>IFERROR(VLOOKUP(A763,#REF!,2,TRUE),"")</f>
        <v/>
      </c>
      <c r="G763">
        <v>7175</v>
      </c>
      <c r="H763" t="s">
        <v>2</v>
      </c>
      <c r="O763">
        <v>64</v>
      </c>
      <c r="P763" t="s">
        <v>39</v>
      </c>
      <c r="Q763">
        <v>50</v>
      </c>
      <c r="R763" t="s">
        <v>53</v>
      </c>
      <c r="S763" t="s">
        <v>33</v>
      </c>
      <c r="T763" t="s">
        <v>0</v>
      </c>
      <c r="U763">
        <v>0</v>
      </c>
    </row>
    <row r="764" spans="3:21" x14ac:dyDescent="0.3">
      <c r="C764" t="s">
        <v>52</v>
      </c>
      <c r="D764" s="18">
        <v>45961</v>
      </c>
      <c r="E764" t="str">
        <f>IFERROR(VLOOKUP(A764,#REF!,5,TRUE),"not found")</f>
        <v>not found</v>
      </c>
      <c r="F764" t="str">
        <f>IFERROR(VLOOKUP(A764,#REF!,2,TRUE),"")</f>
        <v/>
      </c>
      <c r="G764">
        <v>7175</v>
      </c>
      <c r="H764" t="s">
        <v>2</v>
      </c>
      <c r="O764">
        <v>64</v>
      </c>
      <c r="P764" t="s">
        <v>39</v>
      </c>
      <c r="Q764">
        <v>50</v>
      </c>
      <c r="R764" t="s">
        <v>53</v>
      </c>
      <c r="S764" t="s">
        <v>33</v>
      </c>
      <c r="T764" t="s">
        <v>0</v>
      </c>
      <c r="U764">
        <v>0</v>
      </c>
    </row>
    <row r="765" spans="3:21" x14ac:dyDescent="0.3">
      <c r="C765" t="s">
        <v>52</v>
      </c>
      <c r="D765" s="18">
        <v>45961</v>
      </c>
      <c r="E765" t="str">
        <f>IFERROR(VLOOKUP(A765,#REF!,5,TRUE),"not found")</f>
        <v>not found</v>
      </c>
      <c r="F765" t="str">
        <f>IFERROR(VLOOKUP(A765,#REF!,2,TRUE),"")</f>
        <v/>
      </c>
      <c r="G765">
        <v>7175</v>
      </c>
      <c r="H765" t="s">
        <v>2</v>
      </c>
      <c r="O765">
        <v>64</v>
      </c>
      <c r="P765" t="s">
        <v>39</v>
      </c>
      <c r="Q765">
        <v>50</v>
      </c>
      <c r="R765" t="s">
        <v>53</v>
      </c>
      <c r="S765" t="s">
        <v>33</v>
      </c>
      <c r="T765" t="s">
        <v>0</v>
      </c>
      <c r="U765">
        <v>0</v>
      </c>
    </row>
    <row r="766" spans="3:21" x14ac:dyDescent="0.3">
      <c r="C766" t="s">
        <v>52</v>
      </c>
      <c r="D766" s="18">
        <v>45961</v>
      </c>
      <c r="E766" t="str">
        <f>IFERROR(VLOOKUP(A766,#REF!,5,TRUE),"not found")</f>
        <v>not found</v>
      </c>
      <c r="F766" t="str">
        <f>IFERROR(VLOOKUP(A766,#REF!,2,TRUE),"")</f>
        <v/>
      </c>
      <c r="G766">
        <v>7175</v>
      </c>
      <c r="H766" t="s">
        <v>2</v>
      </c>
      <c r="O766">
        <v>64</v>
      </c>
      <c r="P766" t="s">
        <v>39</v>
      </c>
      <c r="Q766">
        <v>50</v>
      </c>
      <c r="R766" t="s">
        <v>53</v>
      </c>
      <c r="S766" t="s">
        <v>33</v>
      </c>
      <c r="T766" t="s">
        <v>0</v>
      </c>
      <c r="U766">
        <v>0</v>
      </c>
    </row>
    <row r="767" spans="3:21" x14ac:dyDescent="0.3">
      <c r="C767" t="s">
        <v>52</v>
      </c>
      <c r="D767" s="18">
        <v>45961</v>
      </c>
      <c r="E767" t="str">
        <f>IFERROR(VLOOKUP(A767,#REF!,5,TRUE),"not found")</f>
        <v>not found</v>
      </c>
      <c r="F767" t="str">
        <f>IFERROR(VLOOKUP(A767,#REF!,2,TRUE),"")</f>
        <v/>
      </c>
      <c r="G767">
        <v>7175</v>
      </c>
      <c r="H767" t="s">
        <v>2</v>
      </c>
      <c r="O767">
        <v>64</v>
      </c>
      <c r="P767" t="s">
        <v>39</v>
      </c>
      <c r="Q767">
        <v>50</v>
      </c>
      <c r="R767" t="s">
        <v>53</v>
      </c>
      <c r="S767" t="s">
        <v>33</v>
      </c>
      <c r="T767" t="s">
        <v>0</v>
      </c>
      <c r="U767">
        <v>0</v>
      </c>
    </row>
    <row r="768" spans="3:21" x14ac:dyDescent="0.3">
      <c r="C768" t="s">
        <v>52</v>
      </c>
      <c r="D768" s="18">
        <v>45961</v>
      </c>
      <c r="E768" t="str">
        <f>IFERROR(VLOOKUP(A768,#REF!,5,TRUE),"not found")</f>
        <v>not found</v>
      </c>
      <c r="F768" t="str">
        <f>IFERROR(VLOOKUP(A768,#REF!,2,TRUE),"")</f>
        <v/>
      </c>
      <c r="G768">
        <v>7175</v>
      </c>
      <c r="H768" t="s">
        <v>2</v>
      </c>
      <c r="O768">
        <v>64</v>
      </c>
      <c r="P768" t="s">
        <v>39</v>
      </c>
      <c r="Q768">
        <v>50</v>
      </c>
      <c r="R768" t="s">
        <v>53</v>
      </c>
      <c r="S768" t="s">
        <v>33</v>
      </c>
      <c r="T768" t="s">
        <v>0</v>
      </c>
      <c r="U768">
        <v>0</v>
      </c>
    </row>
    <row r="769" spans="3:21" x14ac:dyDescent="0.3">
      <c r="C769" t="s">
        <v>52</v>
      </c>
      <c r="D769" s="18">
        <v>45961</v>
      </c>
      <c r="E769" t="str">
        <f>IFERROR(VLOOKUP(A769,#REF!,5,TRUE),"not found")</f>
        <v>not found</v>
      </c>
      <c r="F769" t="str">
        <f>IFERROR(VLOOKUP(A769,#REF!,2,TRUE),"")</f>
        <v/>
      </c>
      <c r="G769">
        <v>7175</v>
      </c>
      <c r="H769" t="s">
        <v>2</v>
      </c>
      <c r="O769">
        <v>64</v>
      </c>
      <c r="P769" t="s">
        <v>39</v>
      </c>
      <c r="Q769">
        <v>50</v>
      </c>
      <c r="R769" t="s">
        <v>53</v>
      </c>
      <c r="S769" t="s">
        <v>33</v>
      </c>
      <c r="T769" t="s">
        <v>0</v>
      </c>
      <c r="U769">
        <v>0</v>
      </c>
    </row>
    <row r="770" spans="3:21" x14ac:dyDescent="0.3">
      <c r="C770" t="s">
        <v>52</v>
      </c>
      <c r="D770" s="18">
        <v>45961</v>
      </c>
      <c r="E770" t="str">
        <f>IFERROR(VLOOKUP(A770,#REF!,5,TRUE),"not found")</f>
        <v>not found</v>
      </c>
      <c r="F770" t="str">
        <f>IFERROR(VLOOKUP(A770,#REF!,2,TRUE),"")</f>
        <v/>
      </c>
      <c r="G770">
        <v>7175</v>
      </c>
      <c r="H770" t="s">
        <v>2</v>
      </c>
      <c r="O770">
        <v>64</v>
      </c>
      <c r="P770" t="s">
        <v>39</v>
      </c>
      <c r="Q770">
        <v>50</v>
      </c>
      <c r="R770" t="s">
        <v>53</v>
      </c>
      <c r="S770" t="s">
        <v>33</v>
      </c>
      <c r="T770" t="s">
        <v>0</v>
      </c>
      <c r="U770">
        <v>0</v>
      </c>
    </row>
    <row r="771" spans="3:21" x14ac:dyDescent="0.3">
      <c r="C771" t="s">
        <v>52</v>
      </c>
      <c r="D771" s="18">
        <v>45961</v>
      </c>
      <c r="E771" t="str">
        <f>IFERROR(VLOOKUP(A771,#REF!,5,TRUE),"not found")</f>
        <v>not found</v>
      </c>
      <c r="F771" t="str">
        <f>IFERROR(VLOOKUP(A771,#REF!,2,TRUE),"")</f>
        <v/>
      </c>
      <c r="G771">
        <v>7175</v>
      </c>
      <c r="H771" t="s">
        <v>2</v>
      </c>
      <c r="O771">
        <v>64</v>
      </c>
      <c r="P771" t="s">
        <v>39</v>
      </c>
      <c r="Q771">
        <v>50</v>
      </c>
      <c r="R771" t="s">
        <v>53</v>
      </c>
      <c r="S771" t="s">
        <v>33</v>
      </c>
      <c r="T771" t="s">
        <v>0</v>
      </c>
      <c r="U771">
        <v>0</v>
      </c>
    </row>
    <row r="772" spans="3:21" x14ac:dyDescent="0.3">
      <c r="C772" t="s">
        <v>52</v>
      </c>
      <c r="D772" s="18">
        <v>45961</v>
      </c>
      <c r="E772" t="str">
        <f>IFERROR(VLOOKUP(A772,#REF!,5,TRUE),"not found")</f>
        <v>not found</v>
      </c>
      <c r="F772" t="str">
        <f>IFERROR(VLOOKUP(A772,#REF!,2,TRUE),"")</f>
        <v/>
      </c>
      <c r="G772">
        <v>7175</v>
      </c>
      <c r="H772" t="s">
        <v>2</v>
      </c>
      <c r="O772">
        <v>64</v>
      </c>
      <c r="P772" t="s">
        <v>39</v>
      </c>
      <c r="Q772">
        <v>50</v>
      </c>
      <c r="R772" t="s">
        <v>53</v>
      </c>
      <c r="S772" t="s">
        <v>33</v>
      </c>
      <c r="T772" t="s">
        <v>0</v>
      </c>
      <c r="U772">
        <v>0</v>
      </c>
    </row>
    <row r="773" spans="3:21" x14ac:dyDescent="0.3">
      <c r="C773" t="s">
        <v>52</v>
      </c>
      <c r="D773" s="18">
        <v>45961</v>
      </c>
      <c r="E773" t="str">
        <f>IFERROR(VLOOKUP(A773,#REF!,5,TRUE),"not found")</f>
        <v>not found</v>
      </c>
      <c r="F773" t="str">
        <f>IFERROR(VLOOKUP(A773,#REF!,2,TRUE),"")</f>
        <v/>
      </c>
      <c r="G773">
        <v>7175</v>
      </c>
      <c r="H773" t="s">
        <v>2</v>
      </c>
      <c r="O773">
        <v>64</v>
      </c>
      <c r="P773" t="s">
        <v>39</v>
      </c>
      <c r="Q773">
        <v>50</v>
      </c>
      <c r="R773" t="s">
        <v>53</v>
      </c>
      <c r="S773" t="s">
        <v>33</v>
      </c>
      <c r="T773" t="s">
        <v>0</v>
      </c>
      <c r="U773">
        <v>0</v>
      </c>
    </row>
    <row r="774" spans="3:21" x14ac:dyDescent="0.3">
      <c r="C774" t="s">
        <v>52</v>
      </c>
      <c r="D774" s="18">
        <v>45961</v>
      </c>
      <c r="E774" t="str">
        <f>IFERROR(VLOOKUP(A774,#REF!,5,TRUE),"not found")</f>
        <v>not found</v>
      </c>
      <c r="F774" t="str">
        <f>IFERROR(VLOOKUP(A774,#REF!,2,TRUE),"")</f>
        <v/>
      </c>
      <c r="G774">
        <v>7175</v>
      </c>
      <c r="H774" t="s">
        <v>2</v>
      </c>
      <c r="O774">
        <v>64</v>
      </c>
      <c r="P774" t="s">
        <v>39</v>
      </c>
      <c r="Q774">
        <v>50</v>
      </c>
      <c r="R774" t="s">
        <v>53</v>
      </c>
      <c r="S774" t="s">
        <v>33</v>
      </c>
      <c r="T774" t="s">
        <v>0</v>
      </c>
      <c r="U774">
        <v>0</v>
      </c>
    </row>
    <row r="775" spans="3:21" x14ac:dyDescent="0.3">
      <c r="C775" t="s">
        <v>52</v>
      </c>
      <c r="D775" s="18">
        <v>45961</v>
      </c>
      <c r="E775" t="str">
        <f>IFERROR(VLOOKUP(A775,#REF!,5,TRUE),"not found")</f>
        <v>not found</v>
      </c>
      <c r="F775" t="str">
        <f>IFERROR(VLOOKUP(A775,#REF!,2,TRUE),"")</f>
        <v/>
      </c>
      <c r="G775">
        <v>7175</v>
      </c>
      <c r="H775" t="s">
        <v>2</v>
      </c>
      <c r="O775">
        <v>64</v>
      </c>
      <c r="P775" t="s">
        <v>39</v>
      </c>
      <c r="Q775">
        <v>50</v>
      </c>
      <c r="R775" t="s">
        <v>53</v>
      </c>
      <c r="S775" t="s">
        <v>33</v>
      </c>
      <c r="T775" t="s">
        <v>0</v>
      </c>
      <c r="U775">
        <v>0</v>
      </c>
    </row>
    <row r="776" spans="3:21" x14ac:dyDescent="0.3">
      <c r="C776" t="s">
        <v>52</v>
      </c>
      <c r="D776" s="18">
        <v>45961</v>
      </c>
      <c r="E776" t="str">
        <f>IFERROR(VLOOKUP(A776,#REF!,5,TRUE),"not found")</f>
        <v>not found</v>
      </c>
      <c r="F776" t="str">
        <f>IFERROR(VLOOKUP(A776,#REF!,2,TRUE),"")</f>
        <v/>
      </c>
      <c r="G776">
        <v>7175</v>
      </c>
      <c r="H776" t="s">
        <v>2</v>
      </c>
      <c r="O776">
        <v>64</v>
      </c>
      <c r="P776" t="s">
        <v>39</v>
      </c>
      <c r="Q776">
        <v>50</v>
      </c>
      <c r="R776" t="s">
        <v>53</v>
      </c>
      <c r="S776" t="s">
        <v>33</v>
      </c>
      <c r="T776" t="s">
        <v>0</v>
      </c>
      <c r="U776">
        <v>0</v>
      </c>
    </row>
    <row r="777" spans="3:21" x14ac:dyDescent="0.3">
      <c r="C777" t="s">
        <v>52</v>
      </c>
      <c r="D777" s="18">
        <v>45961</v>
      </c>
      <c r="E777" t="str">
        <f>IFERROR(VLOOKUP(A777,#REF!,5,TRUE),"not found")</f>
        <v>not found</v>
      </c>
      <c r="F777" t="str">
        <f>IFERROR(VLOOKUP(A777,#REF!,2,TRUE),"")</f>
        <v/>
      </c>
      <c r="G777">
        <v>7175</v>
      </c>
      <c r="H777" t="s">
        <v>2</v>
      </c>
      <c r="O777">
        <v>64</v>
      </c>
      <c r="P777" t="s">
        <v>39</v>
      </c>
      <c r="Q777">
        <v>50</v>
      </c>
      <c r="R777" t="s">
        <v>53</v>
      </c>
      <c r="S777" t="s">
        <v>33</v>
      </c>
      <c r="T777" t="s">
        <v>0</v>
      </c>
      <c r="U777">
        <v>0</v>
      </c>
    </row>
    <row r="778" spans="3:21" x14ac:dyDescent="0.3">
      <c r="C778" t="s">
        <v>52</v>
      </c>
      <c r="D778" s="18">
        <v>45961</v>
      </c>
      <c r="E778" t="str">
        <f>IFERROR(VLOOKUP(A778,#REF!,5,TRUE),"not found")</f>
        <v>not found</v>
      </c>
      <c r="F778" t="str">
        <f>IFERROR(VLOOKUP(A778,#REF!,2,TRUE),"")</f>
        <v/>
      </c>
      <c r="G778">
        <v>7175</v>
      </c>
      <c r="H778" t="s">
        <v>2</v>
      </c>
      <c r="O778">
        <v>64</v>
      </c>
      <c r="P778" t="s">
        <v>39</v>
      </c>
      <c r="Q778">
        <v>50</v>
      </c>
      <c r="R778" t="s">
        <v>53</v>
      </c>
      <c r="S778" t="s">
        <v>33</v>
      </c>
      <c r="T778" t="s">
        <v>0</v>
      </c>
      <c r="U778">
        <v>0</v>
      </c>
    </row>
    <row r="779" spans="3:21" x14ac:dyDescent="0.3">
      <c r="C779" t="s">
        <v>52</v>
      </c>
      <c r="D779" s="18">
        <v>45961</v>
      </c>
      <c r="E779" t="str">
        <f>IFERROR(VLOOKUP(A779,#REF!,5,TRUE),"not found")</f>
        <v>not found</v>
      </c>
      <c r="F779" t="str">
        <f>IFERROR(VLOOKUP(A779,#REF!,2,TRUE),"")</f>
        <v/>
      </c>
      <c r="G779">
        <v>7175</v>
      </c>
      <c r="H779" t="s">
        <v>2</v>
      </c>
      <c r="O779">
        <v>64</v>
      </c>
      <c r="P779" t="s">
        <v>39</v>
      </c>
      <c r="Q779">
        <v>50</v>
      </c>
      <c r="R779" t="s">
        <v>53</v>
      </c>
      <c r="S779" t="s">
        <v>33</v>
      </c>
      <c r="T779" t="s">
        <v>0</v>
      </c>
      <c r="U779">
        <v>0</v>
      </c>
    </row>
    <row r="780" spans="3:21" x14ac:dyDescent="0.3">
      <c r="C780" t="s">
        <v>52</v>
      </c>
      <c r="D780" s="18">
        <v>45961</v>
      </c>
      <c r="E780" t="str">
        <f>IFERROR(VLOOKUP(A780,#REF!,5,TRUE),"not found")</f>
        <v>not found</v>
      </c>
      <c r="F780" t="str">
        <f>IFERROR(VLOOKUP(A780,#REF!,2,TRUE),"")</f>
        <v/>
      </c>
      <c r="G780">
        <v>7175</v>
      </c>
      <c r="H780" t="s">
        <v>2</v>
      </c>
      <c r="O780">
        <v>64</v>
      </c>
      <c r="P780" t="s">
        <v>39</v>
      </c>
      <c r="Q780">
        <v>50</v>
      </c>
      <c r="R780" t="s">
        <v>53</v>
      </c>
      <c r="S780" t="s">
        <v>33</v>
      </c>
      <c r="T780" t="s">
        <v>0</v>
      </c>
      <c r="U780">
        <v>0</v>
      </c>
    </row>
    <row r="781" spans="3:21" x14ac:dyDescent="0.3">
      <c r="C781" t="s">
        <v>52</v>
      </c>
      <c r="D781" s="18">
        <v>45961</v>
      </c>
      <c r="E781" t="str">
        <f>IFERROR(VLOOKUP(A781,#REF!,5,TRUE),"not found")</f>
        <v>not found</v>
      </c>
      <c r="F781" t="str">
        <f>IFERROR(VLOOKUP(A781,#REF!,2,TRUE),"")</f>
        <v/>
      </c>
      <c r="G781">
        <v>7175</v>
      </c>
      <c r="H781" t="s">
        <v>2</v>
      </c>
      <c r="O781">
        <v>64</v>
      </c>
      <c r="P781" t="s">
        <v>39</v>
      </c>
      <c r="Q781">
        <v>50</v>
      </c>
      <c r="R781" t="s">
        <v>53</v>
      </c>
      <c r="S781" t="s">
        <v>33</v>
      </c>
      <c r="T781" t="s">
        <v>0</v>
      </c>
      <c r="U781">
        <v>0</v>
      </c>
    </row>
    <row r="782" spans="3:21" x14ac:dyDescent="0.3">
      <c r="C782" t="s">
        <v>52</v>
      </c>
      <c r="D782" s="18">
        <v>45961</v>
      </c>
      <c r="E782" t="str">
        <f>IFERROR(VLOOKUP(A782,#REF!,5,TRUE),"not found")</f>
        <v>not found</v>
      </c>
      <c r="F782" t="str">
        <f>IFERROR(VLOOKUP(A782,#REF!,2,TRUE),"")</f>
        <v/>
      </c>
      <c r="G782">
        <v>7175</v>
      </c>
      <c r="H782" t="s">
        <v>2</v>
      </c>
      <c r="O782">
        <v>64</v>
      </c>
      <c r="P782" t="s">
        <v>39</v>
      </c>
      <c r="Q782">
        <v>50</v>
      </c>
      <c r="R782" t="s">
        <v>53</v>
      </c>
      <c r="S782" t="s">
        <v>33</v>
      </c>
      <c r="T782" t="s">
        <v>0</v>
      </c>
      <c r="U782">
        <v>0</v>
      </c>
    </row>
    <row r="783" spans="3:21" x14ac:dyDescent="0.3">
      <c r="C783" t="s">
        <v>52</v>
      </c>
      <c r="D783" s="18">
        <v>45961</v>
      </c>
      <c r="E783" t="str">
        <f>IFERROR(VLOOKUP(A783,#REF!,5,TRUE),"not found")</f>
        <v>not found</v>
      </c>
      <c r="F783" t="str">
        <f>IFERROR(VLOOKUP(A783,#REF!,2,TRUE),"")</f>
        <v/>
      </c>
      <c r="G783">
        <v>7175</v>
      </c>
      <c r="H783" t="s">
        <v>2</v>
      </c>
      <c r="O783">
        <v>64</v>
      </c>
      <c r="P783" t="s">
        <v>39</v>
      </c>
      <c r="Q783">
        <v>50</v>
      </c>
      <c r="R783" t="s">
        <v>53</v>
      </c>
      <c r="S783" t="s">
        <v>33</v>
      </c>
      <c r="T783" t="s">
        <v>0</v>
      </c>
      <c r="U783">
        <v>0</v>
      </c>
    </row>
    <row r="784" spans="3:21" x14ac:dyDescent="0.3">
      <c r="C784" t="s">
        <v>52</v>
      </c>
      <c r="D784" s="18">
        <v>45961</v>
      </c>
      <c r="E784" t="str">
        <f>IFERROR(VLOOKUP(A784,#REF!,5,TRUE),"not found")</f>
        <v>not found</v>
      </c>
      <c r="F784" t="str">
        <f>IFERROR(VLOOKUP(A784,#REF!,2,TRUE),"")</f>
        <v/>
      </c>
      <c r="G784">
        <v>7175</v>
      </c>
      <c r="H784" t="s">
        <v>2</v>
      </c>
      <c r="O784">
        <v>64</v>
      </c>
      <c r="P784" t="s">
        <v>39</v>
      </c>
      <c r="Q784">
        <v>50</v>
      </c>
      <c r="R784" t="s">
        <v>53</v>
      </c>
      <c r="S784" t="s">
        <v>33</v>
      </c>
      <c r="T784" t="s">
        <v>0</v>
      </c>
      <c r="U784">
        <v>0</v>
      </c>
    </row>
    <row r="785" spans="3:21" x14ac:dyDescent="0.3">
      <c r="C785" t="s">
        <v>52</v>
      </c>
      <c r="D785" s="18">
        <v>45961</v>
      </c>
      <c r="E785" t="str">
        <f>IFERROR(VLOOKUP(A785,#REF!,5,TRUE),"not found")</f>
        <v>not found</v>
      </c>
      <c r="F785" t="str">
        <f>IFERROR(VLOOKUP(A785,#REF!,2,TRUE),"")</f>
        <v/>
      </c>
      <c r="G785">
        <v>7175</v>
      </c>
      <c r="H785" t="s">
        <v>2</v>
      </c>
      <c r="O785">
        <v>64</v>
      </c>
      <c r="P785" t="s">
        <v>39</v>
      </c>
      <c r="Q785">
        <v>50</v>
      </c>
      <c r="R785" t="s">
        <v>53</v>
      </c>
      <c r="S785" t="s">
        <v>33</v>
      </c>
      <c r="T785" t="s">
        <v>0</v>
      </c>
      <c r="U785">
        <v>0</v>
      </c>
    </row>
    <row r="786" spans="3:21" x14ac:dyDescent="0.3">
      <c r="C786" t="s">
        <v>52</v>
      </c>
      <c r="D786" s="18">
        <v>45961</v>
      </c>
      <c r="E786" t="str">
        <f>IFERROR(VLOOKUP(A786,#REF!,5,TRUE),"not found")</f>
        <v>not found</v>
      </c>
      <c r="F786" t="str">
        <f>IFERROR(VLOOKUP(A786,#REF!,2,TRUE),"")</f>
        <v/>
      </c>
      <c r="G786">
        <v>7175</v>
      </c>
      <c r="H786" t="s">
        <v>2</v>
      </c>
      <c r="O786">
        <v>64</v>
      </c>
      <c r="P786" t="s">
        <v>39</v>
      </c>
      <c r="Q786">
        <v>50</v>
      </c>
      <c r="R786" t="s">
        <v>53</v>
      </c>
      <c r="S786" t="s">
        <v>33</v>
      </c>
      <c r="T786" t="s">
        <v>0</v>
      </c>
      <c r="U786">
        <v>0</v>
      </c>
    </row>
    <row r="787" spans="3:21" x14ac:dyDescent="0.3">
      <c r="C787" t="s">
        <v>52</v>
      </c>
      <c r="D787" s="18">
        <v>45961</v>
      </c>
      <c r="E787" t="str">
        <f>IFERROR(VLOOKUP(A787,#REF!,5,TRUE),"not found")</f>
        <v>not found</v>
      </c>
      <c r="F787" t="str">
        <f>IFERROR(VLOOKUP(A787,#REF!,2,TRUE),"")</f>
        <v/>
      </c>
      <c r="G787">
        <v>7175</v>
      </c>
      <c r="H787" t="s">
        <v>2</v>
      </c>
      <c r="O787">
        <v>64</v>
      </c>
      <c r="P787" t="s">
        <v>39</v>
      </c>
      <c r="Q787">
        <v>50</v>
      </c>
      <c r="R787" t="s">
        <v>53</v>
      </c>
      <c r="S787" t="s">
        <v>33</v>
      </c>
      <c r="T787" t="s">
        <v>0</v>
      </c>
      <c r="U787">
        <v>0</v>
      </c>
    </row>
    <row r="788" spans="3:21" x14ac:dyDescent="0.3">
      <c r="C788" t="s">
        <v>52</v>
      </c>
      <c r="D788" s="18">
        <v>45961</v>
      </c>
      <c r="E788" t="str">
        <f>IFERROR(VLOOKUP(A788,#REF!,5,TRUE),"not found")</f>
        <v>not found</v>
      </c>
      <c r="F788" t="str">
        <f>IFERROR(VLOOKUP(A788,#REF!,2,TRUE),"")</f>
        <v/>
      </c>
      <c r="G788">
        <v>7175</v>
      </c>
      <c r="H788" t="s">
        <v>2</v>
      </c>
      <c r="O788">
        <v>64</v>
      </c>
      <c r="P788" t="s">
        <v>39</v>
      </c>
      <c r="Q788">
        <v>50</v>
      </c>
      <c r="R788" t="s">
        <v>53</v>
      </c>
      <c r="S788" t="s">
        <v>33</v>
      </c>
      <c r="T788" t="s">
        <v>0</v>
      </c>
      <c r="U788">
        <v>0</v>
      </c>
    </row>
    <row r="789" spans="3:21" x14ac:dyDescent="0.3">
      <c r="C789" t="s">
        <v>52</v>
      </c>
      <c r="D789" s="18">
        <v>45961</v>
      </c>
      <c r="E789" t="str">
        <f>IFERROR(VLOOKUP(A789,#REF!,5,TRUE),"not found")</f>
        <v>not found</v>
      </c>
      <c r="F789" t="str">
        <f>IFERROR(VLOOKUP(A789,#REF!,2,TRUE),"")</f>
        <v/>
      </c>
      <c r="G789">
        <v>7175</v>
      </c>
      <c r="H789" t="s">
        <v>2</v>
      </c>
      <c r="O789">
        <v>64</v>
      </c>
      <c r="P789" t="s">
        <v>39</v>
      </c>
      <c r="Q789">
        <v>50</v>
      </c>
      <c r="R789" t="s">
        <v>53</v>
      </c>
      <c r="S789" t="s">
        <v>33</v>
      </c>
      <c r="T789" t="s">
        <v>0</v>
      </c>
      <c r="U789">
        <v>0</v>
      </c>
    </row>
    <row r="790" spans="3:21" x14ac:dyDescent="0.3">
      <c r="C790" t="s">
        <v>52</v>
      </c>
      <c r="D790" s="18">
        <v>45961</v>
      </c>
      <c r="E790" t="str">
        <f>IFERROR(VLOOKUP(A790,#REF!,5,TRUE),"not found")</f>
        <v>not found</v>
      </c>
      <c r="F790" t="str">
        <f>IFERROR(VLOOKUP(A790,#REF!,2,TRUE),"")</f>
        <v/>
      </c>
      <c r="G790">
        <v>7175</v>
      </c>
      <c r="H790" t="s">
        <v>2</v>
      </c>
      <c r="O790">
        <v>64</v>
      </c>
      <c r="P790" t="s">
        <v>39</v>
      </c>
      <c r="Q790">
        <v>50</v>
      </c>
      <c r="R790" t="s">
        <v>53</v>
      </c>
      <c r="S790" t="s">
        <v>33</v>
      </c>
      <c r="T790" t="s">
        <v>0</v>
      </c>
      <c r="U790">
        <v>0</v>
      </c>
    </row>
    <row r="791" spans="3:21" x14ac:dyDescent="0.3">
      <c r="C791" t="s">
        <v>52</v>
      </c>
      <c r="D791" s="18">
        <v>45961</v>
      </c>
      <c r="E791" t="str">
        <f>IFERROR(VLOOKUP(A791,#REF!,5,TRUE),"not found")</f>
        <v>not found</v>
      </c>
      <c r="F791" t="str">
        <f>IFERROR(VLOOKUP(A791,#REF!,2,TRUE),"")</f>
        <v/>
      </c>
      <c r="G791">
        <v>7175</v>
      </c>
      <c r="H791" t="s">
        <v>2</v>
      </c>
      <c r="O791">
        <v>64</v>
      </c>
      <c r="P791" t="s">
        <v>39</v>
      </c>
      <c r="Q791">
        <v>50</v>
      </c>
      <c r="R791" t="s">
        <v>53</v>
      </c>
      <c r="S791" t="s">
        <v>33</v>
      </c>
      <c r="T791" t="s">
        <v>0</v>
      </c>
      <c r="U791">
        <v>0</v>
      </c>
    </row>
    <row r="792" spans="3:21" x14ac:dyDescent="0.3">
      <c r="C792" t="s">
        <v>52</v>
      </c>
      <c r="D792" s="18">
        <v>45961</v>
      </c>
      <c r="E792" t="str">
        <f>IFERROR(VLOOKUP(A792,#REF!,5,TRUE),"not found")</f>
        <v>not found</v>
      </c>
      <c r="F792" t="str">
        <f>IFERROR(VLOOKUP(A792,#REF!,2,TRUE),"")</f>
        <v/>
      </c>
      <c r="G792">
        <v>7175</v>
      </c>
      <c r="H792" t="s">
        <v>2</v>
      </c>
      <c r="O792">
        <v>64</v>
      </c>
      <c r="P792" t="s">
        <v>39</v>
      </c>
      <c r="Q792">
        <v>50</v>
      </c>
      <c r="R792" t="s">
        <v>53</v>
      </c>
      <c r="S792" t="s">
        <v>33</v>
      </c>
      <c r="T792" t="s">
        <v>0</v>
      </c>
      <c r="U792">
        <v>0</v>
      </c>
    </row>
    <row r="793" spans="3:21" x14ac:dyDescent="0.3">
      <c r="C793" t="s">
        <v>52</v>
      </c>
      <c r="D793" s="18">
        <v>45961</v>
      </c>
      <c r="E793" t="str">
        <f>IFERROR(VLOOKUP(A793,#REF!,5,TRUE),"not found")</f>
        <v>not found</v>
      </c>
      <c r="F793" t="str">
        <f>IFERROR(VLOOKUP(A793,#REF!,2,TRUE),"")</f>
        <v/>
      </c>
      <c r="G793">
        <v>7175</v>
      </c>
      <c r="H793" t="s">
        <v>2</v>
      </c>
      <c r="O793">
        <v>64</v>
      </c>
      <c r="P793" t="s">
        <v>39</v>
      </c>
      <c r="Q793">
        <v>50</v>
      </c>
      <c r="R793" t="s">
        <v>53</v>
      </c>
      <c r="S793" t="s">
        <v>33</v>
      </c>
      <c r="T793" t="s">
        <v>0</v>
      </c>
      <c r="U793">
        <v>0</v>
      </c>
    </row>
    <row r="794" spans="3:21" x14ac:dyDescent="0.3">
      <c r="C794" t="s">
        <v>52</v>
      </c>
      <c r="D794" s="18">
        <v>45961</v>
      </c>
      <c r="E794" t="str">
        <f>IFERROR(VLOOKUP(A794,#REF!,5,TRUE),"not found")</f>
        <v>not found</v>
      </c>
      <c r="F794" t="str">
        <f>IFERROR(VLOOKUP(A794,#REF!,2,TRUE),"")</f>
        <v/>
      </c>
      <c r="G794">
        <v>7175</v>
      </c>
      <c r="H794" t="s">
        <v>2</v>
      </c>
      <c r="O794">
        <v>64</v>
      </c>
      <c r="P794" t="s">
        <v>39</v>
      </c>
      <c r="Q794">
        <v>50</v>
      </c>
      <c r="R794" t="s">
        <v>53</v>
      </c>
      <c r="S794" t="s">
        <v>33</v>
      </c>
      <c r="T794" t="s">
        <v>0</v>
      </c>
      <c r="U794">
        <v>0</v>
      </c>
    </row>
    <row r="795" spans="3:21" x14ac:dyDescent="0.3">
      <c r="C795" t="s">
        <v>52</v>
      </c>
      <c r="D795" s="18">
        <v>45961</v>
      </c>
      <c r="E795" t="str">
        <f>IFERROR(VLOOKUP(A795,#REF!,5,TRUE),"not found")</f>
        <v>not found</v>
      </c>
      <c r="F795" t="str">
        <f>IFERROR(VLOOKUP(A795,#REF!,2,TRUE),"")</f>
        <v/>
      </c>
      <c r="G795">
        <v>7175</v>
      </c>
      <c r="H795" t="s">
        <v>2</v>
      </c>
      <c r="O795">
        <v>64</v>
      </c>
      <c r="P795" t="s">
        <v>39</v>
      </c>
      <c r="Q795">
        <v>50</v>
      </c>
      <c r="R795" t="s">
        <v>53</v>
      </c>
      <c r="S795" t="s">
        <v>33</v>
      </c>
      <c r="T795" t="s">
        <v>0</v>
      </c>
      <c r="U795">
        <v>0</v>
      </c>
    </row>
    <row r="796" spans="3:21" x14ac:dyDescent="0.3">
      <c r="C796" t="s">
        <v>52</v>
      </c>
      <c r="D796" s="18">
        <v>45961</v>
      </c>
      <c r="E796" t="str">
        <f>IFERROR(VLOOKUP(A796,#REF!,5,TRUE),"not found")</f>
        <v>not found</v>
      </c>
      <c r="F796" t="str">
        <f>IFERROR(VLOOKUP(A796,#REF!,2,TRUE),"")</f>
        <v/>
      </c>
      <c r="G796">
        <v>7175</v>
      </c>
      <c r="H796" t="s">
        <v>2</v>
      </c>
      <c r="O796">
        <v>64</v>
      </c>
      <c r="P796" t="s">
        <v>39</v>
      </c>
      <c r="Q796">
        <v>50</v>
      </c>
      <c r="R796" t="s">
        <v>53</v>
      </c>
      <c r="S796" t="s">
        <v>33</v>
      </c>
      <c r="T796" t="s">
        <v>0</v>
      </c>
      <c r="U796">
        <v>0</v>
      </c>
    </row>
    <row r="797" spans="3:21" x14ac:dyDescent="0.3">
      <c r="C797" t="s">
        <v>52</v>
      </c>
      <c r="D797" s="18">
        <v>45961</v>
      </c>
      <c r="E797" t="str">
        <f>IFERROR(VLOOKUP(A797,#REF!,5,TRUE),"not found")</f>
        <v>not found</v>
      </c>
      <c r="F797" t="str">
        <f>IFERROR(VLOOKUP(A797,#REF!,2,TRUE),"")</f>
        <v/>
      </c>
      <c r="G797">
        <v>7175</v>
      </c>
      <c r="H797" t="s">
        <v>2</v>
      </c>
      <c r="O797">
        <v>64</v>
      </c>
      <c r="P797" t="s">
        <v>39</v>
      </c>
      <c r="Q797">
        <v>50</v>
      </c>
      <c r="R797" t="s">
        <v>53</v>
      </c>
      <c r="S797" t="s">
        <v>33</v>
      </c>
      <c r="T797" t="s">
        <v>0</v>
      </c>
      <c r="U797">
        <v>0</v>
      </c>
    </row>
    <row r="798" spans="3:21" x14ac:dyDescent="0.3">
      <c r="C798" t="s">
        <v>52</v>
      </c>
      <c r="D798" s="18">
        <v>45961</v>
      </c>
      <c r="E798" t="str">
        <f>IFERROR(VLOOKUP(A798,#REF!,5,TRUE),"not found")</f>
        <v>not found</v>
      </c>
      <c r="F798" t="str">
        <f>IFERROR(VLOOKUP(A798,#REF!,2,TRUE),"")</f>
        <v/>
      </c>
      <c r="G798">
        <v>7175</v>
      </c>
      <c r="H798" t="s">
        <v>2</v>
      </c>
      <c r="O798">
        <v>64</v>
      </c>
      <c r="P798" t="s">
        <v>39</v>
      </c>
      <c r="Q798">
        <v>50</v>
      </c>
      <c r="R798" t="s">
        <v>53</v>
      </c>
      <c r="S798" t="s">
        <v>33</v>
      </c>
      <c r="T798" t="s">
        <v>0</v>
      </c>
      <c r="U798">
        <v>0</v>
      </c>
    </row>
    <row r="799" spans="3:21" x14ac:dyDescent="0.3">
      <c r="C799" t="s">
        <v>52</v>
      </c>
      <c r="D799" s="18">
        <v>45961</v>
      </c>
      <c r="E799" t="str">
        <f>IFERROR(VLOOKUP(A799,#REF!,5,TRUE),"not found")</f>
        <v>not found</v>
      </c>
      <c r="F799" t="str">
        <f>IFERROR(VLOOKUP(A799,#REF!,2,TRUE),"")</f>
        <v/>
      </c>
      <c r="G799">
        <v>7175</v>
      </c>
      <c r="H799" t="s">
        <v>2</v>
      </c>
      <c r="O799">
        <v>64</v>
      </c>
      <c r="P799" t="s">
        <v>39</v>
      </c>
      <c r="Q799">
        <v>50</v>
      </c>
      <c r="R799" t="s">
        <v>53</v>
      </c>
      <c r="S799" t="s">
        <v>33</v>
      </c>
      <c r="T799" t="s">
        <v>0</v>
      </c>
      <c r="U799">
        <v>0</v>
      </c>
    </row>
    <row r="800" spans="3:21" x14ac:dyDescent="0.3">
      <c r="C800" t="s">
        <v>52</v>
      </c>
      <c r="D800" s="18">
        <v>45961</v>
      </c>
      <c r="E800" t="str">
        <f>IFERROR(VLOOKUP(A800,#REF!,5,TRUE),"not found")</f>
        <v>not found</v>
      </c>
      <c r="F800" t="str">
        <f>IFERROR(VLOOKUP(A800,#REF!,2,TRUE),"")</f>
        <v/>
      </c>
      <c r="G800">
        <v>7175</v>
      </c>
      <c r="H800" t="s">
        <v>2</v>
      </c>
      <c r="O800">
        <v>64</v>
      </c>
      <c r="P800" t="s">
        <v>39</v>
      </c>
      <c r="Q800">
        <v>50</v>
      </c>
      <c r="R800" t="s">
        <v>53</v>
      </c>
      <c r="S800" t="s">
        <v>33</v>
      </c>
      <c r="T800" t="s">
        <v>0</v>
      </c>
      <c r="U800">
        <v>0</v>
      </c>
    </row>
    <row r="801" spans="3:21" x14ac:dyDescent="0.3">
      <c r="C801" t="s">
        <v>52</v>
      </c>
      <c r="D801" s="18">
        <v>45961</v>
      </c>
      <c r="E801" t="str">
        <f>IFERROR(VLOOKUP(A801,#REF!,5,TRUE),"not found")</f>
        <v>not found</v>
      </c>
      <c r="F801" t="str">
        <f>IFERROR(VLOOKUP(A801,#REF!,2,TRUE),"")</f>
        <v/>
      </c>
      <c r="G801">
        <v>7175</v>
      </c>
      <c r="H801" t="s">
        <v>2</v>
      </c>
      <c r="O801">
        <v>64</v>
      </c>
      <c r="P801" t="s">
        <v>39</v>
      </c>
      <c r="Q801">
        <v>50</v>
      </c>
      <c r="R801" t="s">
        <v>53</v>
      </c>
      <c r="S801" t="s">
        <v>33</v>
      </c>
      <c r="T801" t="s">
        <v>0</v>
      </c>
      <c r="U801">
        <v>0</v>
      </c>
    </row>
    <row r="802" spans="3:21" x14ac:dyDescent="0.3">
      <c r="C802" t="s">
        <v>52</v>
      </c>
      <c r="D802" s="18">
        <v>45961</v>
      </c>
      <c r="E802" t="str">
        <f>IFERROR(VLOOKUP(A802,#REF!,5,TRUE),"not found")</f>
        <v>not found</v>
      </c>
      <c r="F802" t="str">
        <f>IFERROR(VLOOKUP(A802,#REF!,2,TRUE),"")</f>
        <v/>
      </c>
      <c r="G802">
        <v>7175</v>
      </c>
      <c r="H802" t="s">
        <v>2</v>
      </c>
      <c r="O802">
        <v>64</v>
      </c>
      <c r="P802" t="s">
        <v>39</v>
      </c>
      <c r="Q802">
        <v>50</v>
      </c>
      <c r="R802" t="s">
        <v>53</v>
      </c>
      <c r="S802" t="s">
        <v>33</v>
      </c>
      <c r="T802" t="s">
        <v>0</v>
      </c>
      <c r="U802">
        <v>0</v>
      </c>
    </row>
    <row r="803" spans="3:21" x14ac:dyDescent="0.3">
      <c r="C803" t="s">
        <v>52</v>
      </c>
      <c r="D803" s="18">
        <v>45961</v>
      </c>
      <c r="E803" t="str">
        <f>IFERROR(VLOOKUP(A803,#REF!,5,TRUE),"not found")</f>
        <v>not found</v>
      </c>
      <c r="F803" t="str">
        <f>IFERROR(VLOOKUP(A803,#REF!,2,TRUE),"")</f>
        <v/>
      </c>
      <c r="G803">
        <v>7175</v>
      </c>
      <c r="H803" t="s">
        <v>2</v>
      </c>
      <c r="O803">
        <v>64</v>
      </c>
      <c r="P803" t="s">
        <v>39</v>
      </c>
      <c r="Q803">
        <v>50</v>
      </c>
      <c r="R803" t="s">
        <v>53</v>
      </c>
      <c r="S803" t="s">
        <v>33</v>
      </c>
      <c r="T803" t="s">
        <v>0</v>
      </c>
      <c r="U803">
        <v>0</v>
      </c>
    </row>
    <row r="804" spans="3:21" x14ac:dyDescent="0.3">
      <c r="C804" t="s">
        <v>52</v>
      </c>
      <c r="D804" s="18">
        <v>45961</v>
      </c>
      <c r="E804" t="str">
        <f>IFERROR(VLOOKUP(A804,#REF!,5,TRUE),"not found")</f>
        <v>not found</v>
      </c>
      <c r="F804" t="str">
        <f>IFERROR(VLOOKUP(A804,#REF!,2,TRUE),"")</f>
        <v/>
      </c>
      <c r="G804">
        <v>7175</v>
      </c>
      <c r="H804" t="s">
        <v>2</v>
      </c>
      <c r="O804">
        <v>64</v>
      </c>
      <c r="P804" t="s">
        <v>39</v>
      </c>
      <c r="Q804">
        <v>50</v>
      </c>
      <c r="R804" t="s">
        <v>53</v>
      </c>
      <c r="S804" t="s">
        <v>33</v>
      </c>
      <c r="T804" t="s">
        <v>0</v>
      </c>
      <c r="U804">
        <v>0</v>
      </c>
    </row>
    <row r="805" spans="3:21" x14ac:dyDescent="0.3">
      <c r="C805" t="s">
        <v>52</v>
      </c>
      <c r="D805" s="18">
        <v>45961</v>
      </c>
      <c r="E805" t="str">
        <f>IFERROR(VLOOKUP(A805,#REF!,5,TRUE),"not found")</f>
        <v>not found</v>
      </c>
      <c r="F805" t="str">
        <f>IFERROR(VLOOKUP(A805,#REF!,2,TRUE),"")</f>
        <v/>
      </c>
      <c r="G805">
        <v>7175</v>
      </c>
      <c r="H805" t="s">
        <v>2</v>
      </c>
      <c r="O805">
        <v>64</v>
      </c>
      <c r="P805" t="s">
        <v>39</v>
      </c>
      <c r="Q805">
        <v>50</v>
      </c>
      <c r="R805" t="s">
        <v>53</v>
      </c>
      <c r="S805" t="s">
        <v>33</v>
      </c>
      <c r="T805" t="s">
        <v>0</v>
      </c>
      <c r="U805">
        <v>0</v>
      </c>
    </row>
    <row r="806" spans="3:21" x14ac:dyDescent="0.3">
      <c r="C806" t="s">
        <v>52</v>
      </c>
      <c r="D806" s="18">
        <v>45961</v>
      </c>
      <c r="E806" t="str">
        <f>IFERROR(VLOOKUP(A806,#REF!,5,TRUE),"not found")</f>
        <v>not found</v>
      </c>
      <c r="F806" t="str">
        <f>IFERROR(VLOOKUP(A806,#REF!,2,TRUE),"")</f>
        <v/>
      </c>
      <c r="G806">
        <v>7175</v>
      </c>
      <c r="H806" t="s">
        <v>2</v>
      </c>
      <c r="O806">
        <v>64</v>
      </c>
      <c r="P806" t="s">
        <v>39</v>
      </c>
      <c r="Q806">
        <v>50</v>
      </c>
      <c r="R806" t="s">
        <v>53</v>
      </c>
      <c r="S806" t="s">
        <v>33</v>
      </c>
      <c r="T806" t="s">
        <v>0</v>
      </c>
      <c r="U806">
        <v>0</v>
      </c>
    </row>
    <row r="807" spans="3:21" x14ac:dyDescent="0.3">
      <c r="C807" t="s">
        <v>52</v>
      </c>
      <c r="D807" s="18">
        <v>45961</v>
      </c>
      <c r="E807" t="str">
        <f>IFERROR(VLOOKUP(A807,#REF!,5,TRUE),"not found")</f>
        <v>not found</v>
      </c>
      <c r="F807" t="str">
        <f>IFERROR(VLOOKUP(A807,#REF!,2,TRUE),"")</f>
        <v/>
      </c>
      <c r="G807">
        <v>7175</v>
      </c>
      <c r="H807" t="s">
        <v>2</v>
      </c>
      <c r="O807">
        <v>64</v>
      </c>
      <c r="P807" t="s">
        <v>39</v>
      </c>
      <c r="Q807">
        <v>50</v>
      </c>
      <c r="R807" t="s">
        <v>53</v>
      </c>
      <c r="S807" t="s">
        <v>33</v>
      </c>
      <c r="T807" t="s">
        <v>0</v>
      </c>
      <c r="U807">
        <v>0</v>
      </c>
    </row>
    <row r="808" spans="3:21" x14ac:dyDescent="0.3">
      <c r="C808" t="s">
        <v>52</v>
      </c>
      <c r="D808" s="18">
        <v>45961</v>
      </c>
      <c r="E808" t="str">
        <f>IFERROR(VLOOKUP(A808,#REF!,5,TRUE),"not found")</f>
        <v>not found</v>
      </c>
      <c r="F808" t="str">
        <f>IFERROR(VLOOKUP(A808,#REF!,2,TRUE),"")</f>
        <v/>
      </c>
      <c r="G808">
        <v>7175</v>
      </c>
      <c r="H808" t="s">
        <v>2</v>
      </c>
      <c r="O808">
        <v>64</v>
      </c>
      <c r="P808" t="s">
        <v>39</v>
      </c>
      <c r="Q808">
        <v>50</v>
      </c>
      <c r="R808" t="s">
        <v>53</v>
      </c>
      <c r="S808" t="s">
        <v>33</v>
      </c>
      <c r="T808" t="s">
        <v>0</v>
      </c>
      <c r="U808">
        <v>0</v>
      </c>
    </row>
    <row r="809" spans="3:21" x14ac:dyDescent="0.3">
      <c r="C809" t="s">
        <v>52</v>
      </c>
      <c r="D809" s="18">
        <v>45961</v>
      </c>
      <c r="E809" t="str">
        <f>IFERROR(VLOOKUP(A809,#REF!,5,TRUE),"not found")</f>
        <v>not found</v>
      </c>
      <c r="F809" t="str">
        <f>IFERROR(VLOOKUP(A809,#REF!,2,TRUE),"")</f>
        <v/>
      </c>
      <c r="G809">
        <v>7175</v>
      </c>
      <c r="H809" t="s">
        <v>2</v>
      </c>
      <c r="O809">
        <v>64</v>
      </c>
      <c r="P809" t="s">
        <v>39</v>
      </c>
      <c r="Q809">
        <v>50</v>
      </c>
      <c r="R809" t="s">
        <v>53</v>
      </c>
      <c r="S809" t="s">
        <v>33</v>
      </c>
      <c r="T809" t="s">
        <v>0</v>
      </c>
      <c r="U809">
        <v>0</v>
      </c>
    </row>
    <row r="810" spans="3:21" x14ac:dyDescent="0.3">
      <c r="C810" t="s">
        <v>52</v>
      </c>
      <c r="D810" s="18">
        <v>45961</v>
      </c>
      <c r="E810" t="str">
        <f>IFERROR(VLOOKUP(A810,#REF!,5,TRUE),"not found")</f>
        <v>not found</v>
      </c>
      <c r="F810" t="str">
        <f>IFERROR(VLOOKUP(A810,#REF!,2,TRUE),"")</f>
        <v/>
      </c>
      <c r="G810">
        <v>7175</v>
      </c>
      <c r="H810" t="s">
        <v>2</v>
      </c>
      <c r="O810">
        <v>64</v>
      </c>
      <c r="P810" t="s">
        <v>39</v>
      </c>
      <c r="Q810">
        <v>50</v>
      </c>
      <c r="R810" t="s">
        <v>53</v>
      </c>
      <c r="S810" t="s">
        <v>33</v>
      </c>
      <c r="T810" t="s">
        <v>0</v>
      </c>
      <c r="U810">
        <v>0</v>
      </c>
    </row>
    <row r="811" spans="3:21" x14ac:dyDescent="0.3">
      <c r="C811" t="s">
        <v>52</v>
      </c>
      <c r="D811" s="18">
        <v>45961</v>
      </c>
      <c r="E811" t="str">
        <f>IFERROR(VLOOKUP(A811,#REF!,5,TRUE),"not found")</f>
        <v>not found</v>
      </c>
      <c r="F811" t="str">
        <f>IFERROR(VLOOKUP(A811,#REF!,2,TRUE),"")</f>
        <v/>
      </c>
      <c r="G811">
        <v>7175</v>
      </c>
      <c r="H811" t="s">
        <v>2</v>
      </c>
      <c r="O811">
        <v>64</v>
      </c>
      <c r="P811" t="s">
        <v>39</v>
      </c>
      <c r="Q811">
        <v>50</v>
      </c>
      <c r="R811" t="s">
        <v>53</v>
      </c>
      <c r="S811" t="s">
        <v>33</v>
      </c>
      <c r="T811" t="s">
        <v>0</v>
      </c>
      <c r="U811">
        <v>0</v>
      </c>
    </row>
    <row r="812" spans="3:21" x14ac:dyDescent="0.3">
      <c r="C812" t="s">
        <v>52</v>
      </c>
      <c r="D812" s="18">
        <v>45961</v>
      </c>
      <c r="E812" t="str">
        <f>IFERROR(VLOOKUP(A812,#REF!,5,TRUE),"not found")</f>
        <v>not found</v>
      </c>
      <c r="F812" t="str">
        <f>IFERROR(VLOOKUP(A812,#REF!,2,TRUE),"")</f>
        <v/>
      </c>
      <c r="G812">
        <v>7175</v>
      </c>
      <c r="H812" t="s">
        <v>2</v>
      </c>
      <c r="O812">
        <v>64</v>
      </c>
      <c r="P812" t="s">
        <v>39</v>
      </c>
      <c r="Q812">
        <v>50</v>
      </c>
      <c r="R812" t="s">
        <v>53</v>
      </c>
      <c r="S812" t="s">
        <v>33</v>
      </c>
      <c r="T812" t="s">
        <v>0</v>
      </c>
      <c r="U812">
        <v>0</v>
      </c>
    </row>
    <row r="813" spans="3:21" x14ac:dyDescent="0.3">
      <c r="C813" t="s">
        <v>52</v>
      </c>
      <c r="D813" s="18">
        <v>45961</v>
      </c>
      <c r="E813" t="str">
        <f>IFERROR(VLOOKUP(A813,#REF!,5,TRUE),"not found")</f>
        <v>not found</v>
      </c>
      <c r="F813" t="str">
        <f>IFERROR(VLOOKUP(A813,#REF!,2,TRUE),"")</f>
        <v/>
      </c>
      <c r="G813">
        <v>7175</v>
      </c>
      <c r="H813" t="s">
        <v>2</v>
      </c>
      <c r="O813">
        <v>64</v>
      </c>
      <c r="P813" t="s">
        <v>39</v>
      </c>
      <c r="Q813">
        <v>50</v>
      </c>
      <c r="R813" t="s">
        <v>53</v>
      </c>
      <c r="S813" t="s">
        <v>33</v>
      </c>
      <c r="T813" t="s">
        <v>0</v>
      </c>
      <c r="U813">
        <v>0</v>
      </c>
    </row>
    <row r="814" spans="3:21" x14ac:dyDescent="0.3">
      <c r="C814" t="s">
        <v>52</v>
      </c>
      <c r="D814" s="18">
        <v>45961</v>
      </c>
      <c r="E814" t="str">
        <f>IFERROR(VLOOKUP(A814,#REF!,5,TRUE),"not found")</f>
        <v>not found</v>
      </c>
      <c r="F814" t="str">
        <f>IFERROR(VLOOKUP(A814,#REF!,2,TRUE),"")</f>
        <v/>
      </c>
      <c r="G814">
        <v>7175</v>
      </c>
      <c r="H814" t="s">
        <v>2</v>
      </c>
      <c r="O814">
        <v>64</v>
      </c>
      <c r="P814" t="s">
        <v>39</v>
      </c>
      <c r="Q814">
        <v>50</v>
      </c>
      <c r="R814" t="s">
        <v>53</v>
      </c>
      <c r="S814" t="s">
        <v>33</v>
      </c>
      <c r="T814" t="s">
        <v>0</v>
      </c>
      <c r="U814">
        <v>0</v>
      </c>
    </row>
    <row r="815" spans="3:21" x14ac:dyDescent="0.3">
      <c r="C815" t="s">
        <v>52</v>
      </c>
      <c r="D815" s="18">
        <v>45961</v>
      </c>
      <c r="E815" t="str">
        <f>IFERROR(VLOOKUP(A815,#REF!,5,TRUE),"not found")</f>
        <v>not found</v>
      </c>
      <c r="F815" t="str">
        <f>IFERROR(VLOOKUP(A815,#REF!,2,TRUE),"")</f>
        <v/>
      </c>
      <c r="G815">
        <v>7175</v>
      </c>
      <c r="H815" t="s">
        <v>2</v>
      </c>
      <c r="O815">
        <v>64</v>
      </c>
      <c r="P815" t="s">
        <v>39</v>
      </c>
      <c r="Q815">
        <v>50</v>
      </c>
      <c r="R815" t="s">
        <v>53</v>
      </c>
      <c r="S815" t="s">
        <v>33</v>
      </c>
      <c r="T815" t="s">
        <v>0</v>
      </c>
      <c r="U815">
        <v>0</v>
      </c>
    </row>
    <row r="816" spans="3:21" x14ac:dyDescent="0.3">
      <c r="C816" t="s">
        <v>52</v>
      </c>
      <c r="D816" s="18">
        <v>45961</v>
      </c>
      <c r="E816" t="str">
        <f>IFERROR(VLOOKUP(A816,#REF!,5,TRUE),"not found")</f>
        <v>not found</v>
      </c>
      <c r="F816" t="str">
        <f>IFERROR(VLOOKUP(A816,#REF!,2,TRUE),"")</f>
        <v/>
      </c>
      <c r="G816">
        <v>7175</v>
      </c>
      <c r="H816" t="s">
        <v>2</v>
      </c>
      <c r="O816">
        <v>64</v>
      </c>
      <c r="P816" t="s">
        <v>39</v>
      </c>
      <c r="Q816">
        <v>50</v>
      </c>
      <c r="R816" t="s">
        <v>53</v>
      </c>
      <c r="S816" t="s">
        <v>33</v>
      </c>
      <c r="T816" t="s">
        <v>0</v>
      </c>
      <c r="U816">
        <v>0</v>
      </c>
    </row>
    <row r="817" spans="3:21" x14ac:dyDescent="0.3">
      <c r="C817" t="s">
        <v>52</v>
      </c>
      <c r="D817" s="18">
        <v>45961</v>
      </c>
      <c r="E817" t="str">
        <f>IFERROR(VLOOKUP(A817,#REF!,5,TRUE),"not found")</f>
        <v>not found</v>
      </c>
      <c r="F817" t="str">
        <f>IFERROR(VLOOKUP(A817,#REF!,2,TRUE),"")</f>
        <v/>
      </c>
      <c r="G817">
        <v>7175</v>
      </c>
      <c r="H817" t="s">
        <v>2</v>
      </c>
      <c r="O817">
        <v>64</v>
      </c>
      <c r="P817" t="s">
        <v>39</v>
      </c>
      <c r="Q817">
        <v>50</v>
      </c>
      <c r="R817" t="s">
        <v>53</v>
      </c>
      <c r="S817" t="s">
        <v>33</v>
      </c>
      <c r="T817" t="s">
        <v>0</v>
      </c>
      <c r="U817">
        <v>0</v>
      </c>
    </row>
    <row r="818" spans="3:21" x14ac:dyDescent="0.3">
      <c r="C818" t="s">
        <v>52</v>
      </c>
      <c r="D818" s="18">
        <v>45961</v>
      </c>
      <c r="E818" t="str">
        <f>IFERROR(VLOOKUP(A818,#REF!,5,TRUE),"not found")</f>
        <v>not found</v>
      </c>
      <c r="F818" t="str">
        <f>IFERROR(VLOOKUP(A818,#REF!,2,TRUE),"")</f>
        <v/>
      </c>
      <c r="G818">
        <v>7175</v>
      </c>
      <c r="H818" t="s">
        <v>2</v>
      </c>
      <c r="O818">
        <v>64</v>
      </c>
      <c r="P818" t="s">
        <v>39</v>
      </c>
      <c r="Q818">
        <v>50</v>
      </c>
      <c r="R818" t="s">
        <v>53</v>
      </c>
      <c r="S818" t="s">
        <v>33</v>
      </c>
      <c r="T818" t="s">
        <v>0</v>
      </c>
      <c r="U818">
        <v>0</v>
      </c>
    </row>
    <row r="819" spans="3:21" x14ac:dyDescent="0.3">
      <c r="C819" t="s">
        <v>52</v>
      </c>
      <c r="D819" s="18">
        <v>45961</v>
      </c>
      <c r="E819" t="str">
        <f>IFERROR(VLOOKUP(A819,#REF!,5,TRUE),"not found")</f>
        <v>not found</v>
      </c>
      <c r="F819" t="str">
        <f>IFERROR(VLOOKUP(A819,#REF!,2,TRUE),"")</f>
        <v/>
      </c>
      <c r="G819">
        <v>7175</v>
      </c>
      <c r="H819" t="s">
        <v>2</v>
      </c>
      <c r="O819">
        <v>64</v>
      </c>
      <c r="P819" t="s">
        <v>39</v>
      </c>
      <c r="Q819">
        <v>50</v>
      </c>
      <c r="R819" t="s">
        <v>53</v>
      </c>
      <c r="S819" t="s">
        <v>33</v>
      </c>
      <c r="T819" t="s">
        <v>0</v>
      </c>
      <c r="U819">
        <v>0</v>
      </c>
    </row>
    <row r="820" spans="3:21" x14ac:dyDescent="0.3">
      <c r="C820" t="s">
        <v>52</v>
      </c>
      <c r="D820" s="18">
        <v>45961</v>
      </c>
      <c r="E820" t="str">
        <f>IFERROR(VLOOKUP(A820,#REF!,5,TRUE),"not found")</f>
        <v>not found</v>
      </c>
      <c r="F820" t="str">
        <f>IFERROR(VLOOKUP(A820,#REF!,2,TRUE),"")</f>
        <v/>
      </c>
      <c r="G820">
        <v>7175</v>
      </c>
      <c r="H820" t="s">
        <v>2</v>
      </c>
      <c r="O820">
        <v>64</v>
      </c>
      <c r="P820" t="s">
        <v>39</v>
      </c>
      <c r="Q820">
        <v>50</v>
      </c>
      <c r="R820" t="s">
        <v>53</v>
      </c>
      <c r="S820" t="s">
        <v>33</v>
      </c>
      <c r="T820" t="s">
        <v>0</v>
      </c>
      <c r="U820">
        <v>0</v>
      </c>
    </row>
    <row r="821" spans="3:21" x14ac:dyDescent="0.3">
      <c r="C821" t="s">
        <v>52</v>
      </c>
      <c r="D821" s="18">
        <v>45961</v>
      </c>
      <c r="E821" t="str">
        <f>IFERROR(VLOOKUP(A821,#REF!,5,TRUE),"not found")</f>
        <v>not found</v>
      </c>
      <c r="F821" t="str">
        <f>IFERROR(VLOOKUP(A821,#REF!,2,TRUE),"")</f>
        <v/>
      </c>
      <c r="G821">
        <v>7175</v>
      </c>
      <c r="H821" t="s">
        <v>2</v>
      </c>
      <c r="O821">
        <v>64</v>
      </c>
      <c r="P821" t="s">
        <v>39</v>
      </c>
      <c r="Q821">
        <v>50</v>
      </c>
      <c r="R821" t="s">
        <v>53</v>
      </c>
      <c r="S821" t="s">
        <v>33</v>
      </c>
      <c r="T821" t="s">
        <v>0</v>
      </c>
      <c r="U821">
        <v>0</v>
      </c>
    </row>
    <row r="822" spans="3:21" x14ac:dyDescent="0.3">
      <c r="C822" t="s">
        <v>52</v>
      </c>
      <c r="D822" s="18">
        <v>45961</v>
      </c>
      <c r="E822" t="str">
        <f>IFERROR(VLOOKUP(A822,#REF!,5,TRUE),"not found")</f>
        <v>not found</v>
      </c>
      <c r="F822" t="str">
        <f>IFERROR(VLOOKUP(A822,#REF!,2,TRUE),"")</f>
        <v/>
      </c>
      <c r="G822">
        <v>7175</v>
      </c>
      <c r="H822" t="s">
        <v>2</v>
      </c>
      <c r="O822">
        <v>64</v>
      </c>
      <c r="P822" t="s">
        <v>39</v>
      </c>
      <c r="Q822">
        <v>50</v>
      </c>
      <c r="R822" t="s">
        <v>53</v>
      </c>
      <c r="S822" t="s">
        <v>33</v>
      </c>
      <c r="T822" t="s">
        <v>0</v>
      </c>
      <c r="U822">
        <v>0</v>
      </c>
    </row>
    <row r="823" spans="3:21" x14ac:dyDescent="0.3">
      <c r="C823" t="s">
        <v>52</v>
      </c>
      <c r="D823" s="18">
        <v>45961</v>
      </c>
      <c r="E823" t="str">
        <f>IFERROR(VLOOKUP(A823,#REF!,5,TRUE),"not found")</f>
        <v>not found</v>
      </c>
      <c r="F823" t="str">
        <f>IFERROR(VLOOKUP(A823,#REF!,2,TRUE),"")</f>
        <v/>
      </c>
      <c r="G823">
        <v>7175</v>
      </c>
      <c r="H823" t="s">
        <v>2</v>
      </c>
      <c r="O823">
        <v>64</v>
      </c>
      <c r="P823" t="s">
        <v>39</v>
      </c>
      <c r="Q823">
        <v>50</v>
      </c>
      <c r="R823" t="s">
        <v>53</v>
      </c>
      <c r="S823" t="s">
        <v>33</v>
      </c>
      <c r="T823" t="s">
        <v>0</v>
      </c>
      <c r="U823">
        <v>0</v>
      </c>
    </row>
    <row r="824" spans="3:21" x14ac:dyDescent="0.3">
      <c r="C824" t="s">
        <v>52</v>
      </c>
      <c r="D824" s="18">
        <v>45961</v>
      </c>
      <c r="E824" t="str">
        <f>IFERROR(VLOOKUP(A824,#REF!,5,TRUE),"not found")</f>
        <v>not found</v>
      </c>
      <c r="F824" t="str">
        <f>IFERROR(VLOOKUP(A824,#REF!,2,TRUE),"")</f>
        <v/>
      </c>
      <c r="G824">
        <v>7175</v>
      </c>
      <c r="H824" t="s">
        <v>2</v>
      </c>
      <c r="O824">
        <v>64</v>
      </c>
      <c r="P824" t="s">
        <v>39</v>
      </c>
      <c r="Q824">
        <v>50</v>
      </c>
      <c r="R824" t="s">
        <v>53</v>
      </c>
      <c r="S824" t="s">
        <v>33</v>
      </c>
      <c r="T824" t="s">
        <v>0</v>
      </c>
      <c r="U824">
        <v>0</v>
      </c>
    </row>
    <row r="825" spans="3:21" x14ac:dyDescent="0.3">
      <c r="C825" t="s">
        <v>52</v>
      </c>
      <c r="D825" s="18">
        <v>45961</v>
      </c>
      <c r="E825" t="str">
        <f>IFERROR(VLOOKUP(A825,#REF!,5,TRUE),"not found")</f>
        <v>not found</v>
      </c>
      <c r="F825" t="str">
        <f>IFERROR(VLOOKUP(A825,#REF!,2,TRUE),"")</f>
        <v/>
      </c>
      <c r="G825">
        <v>7175</v>
      </c>
      <c r="H825" t="s">
        <v>2</v>
      </c>
      <c r="O825">
        <v>64</v>
      </c>
      <c r="P825" t="s">
        <v>39</v>
      </c>
      <c r="Q825">
        <v>50</v>
      </c>
      <c r="R825" t="s">
        <v>53</v>
      </c>
      <c r="S825" t="s">
        <v>33</v>
      </c>
      <c r="T825" t="s">
        <v>0</v>
      </c>
      <c r="U825">
        <v>0</v>
      </c>
    </row>
    <row r="826" spans="3:21" x14ac:dyDescent="0.3">
      <c r="C826" t="s">
        <v>52</v>
      </c>
      <c r="D826" s="18">
        <v>45961</v>
      </c>
      <c r="E826" t="str">
        <f>IFERROR(VLOOKUP(A826,#REF!,5,TRUE),"not found")</f>
        <v>not found</v>
      </c>
      <c r="F826" t="str">
        <f>IFERROR(VLOOKUP(A826,#REF!,2,TRUE),"")</f>
        <v/>
      </c>
      <c r="G826">
        <v>7175</v>
      </c>
      <c r="H826" t="s">
        <v>2</v>
      </c>
      <c r="O826">
        <v>64</v>
      </c>
      <c r="P826" t="s">
        <v>39</v>
      </c>
      <c r="Q826">
        <v>50</v>
      </c>
      <c r="R826" t="s">
        <v>53</v>
      </c>
      <c r="S826" t="s">
        <v>33</v>
      </c>
      <c r="T826" t="s">
        <v>0</v>
      </c>
      <c r="U826">
        <v>0</v>
      </c>
    </row>
    <row r="827" spans="3:21" x14ac:dyDescent="0.3">
      <c r="C827" t="s">
        <v>52</v>
      </c>
      <c r="D827" s="18">
        <v>45961</v>
      </c>
      <c r="E827" t="str">
        <f>IFERROR(VLOOKUP(A827,#REF!,5,TRUE),"not found")</f>
        <v>not found</v>
      </c>
      <c r="F827" t="str">
        <f>IFERROR(VLOOKUP(A827,#REF!,2,TRUE),"")</f>
        <v/>
      </c>
      <c r="G827">
        <v>7175</v>
      </c>
      <c r="H827" t="s">
        <v>2</v>
      </c>
      <c r="O827">
        <v>64</v>
      </c>
      <c r="P827" t="s">
        <v>39</v>
      </c>
      <c r="Q827">
        <v>50</v>
      </c>
      <c r="R827" t="s">
        <v>53</v>
      </c>
      <c r="S827" t="s">
        <v>33</v>
      </c>
      <c r="T827" t="s">
        <v>0</v>
      </c>
      <c r="U827">
        <v>0</v>
      </c>
    </row>
    <row r="828" spans="3:21" x14ac:dyDescent="0.3">
      <c r="C828" t="s">
        <v>52</v>
      </c>
      <c r="D828" s="18">
        <v>45961</v>
      </c>
      <c r="E828" t="str">
        <f>IFERROR(VLOOKUP(A828,#REF!,5,TRUE),"not found")</f>
        <v>not found</v>
      </c>
      <c r="F828" t="str">
        <f>IFERROR(VLOOKUP(A828,#REF!,2,TRUE),"")</f>
        <v/>
      </c>
      <c r="G828">
        <v>7175</v>
      </c>
      <c r="H828" t="s">
        <v>2</v>
      </c>
      <c r="O828">
        <v>64</v>
      </c>
      <c r="P828" t="s">
        <v>39</v>
      </c>
      <c r="Q828">
        <v>50</v>
      </c>
      <c r="R828" t="s">
        <v>53</v>
      </c>
      <c r="S828" t="s">
        <v>33</v>
      </c>
      <c r="T828" t="s">
        <v>0</v>
      </c>
      <c r="U828">
        <v>0</v>
      </c>
    </row>
    <row r="829" spans="3:21" x14ac:dyDescent="0.3">
      <c r="C829" t="s">
        <v>52</v>
      </c>
      <c r="D829" s="18">
        <v>45961</v>
      </c>
      <c r="E829" t="str">
        <f>IFERROR(VLOOKUP(A829,#REF!,5,TRUE),"not found")</f>
        <v>not found</v>
      </c>
      <c r="F829" t="str">
        <f>IFERROR(VLOOKUP(A829,#REF!,2,TRUE),"")</f>
        <v/>
      </c>
      <c r="G829">
        <v>7175</v>
      </c>
      <c r="H829" t="s">
        <v>2</v>
      </c>
      <c r="O829">
        <v>64</v>
      </c>
      <c r="P829" t="s">
        <v>39</v>
      </c>
      <c r="Q829">
        <v>50</v>
      </c>
      <c r="R829" t="s">
        <v>53</v>
      </c>
      <c r="S829" t="s">
        <v>33</v>
      </c>
      <c r="T829" t="s">
        <v>0</v>
      </c>
      <c r="U829">
        <v>0</v>
      </c>
    </row>
    <row r="830" spans="3:21" x14ac:dyDescent="0.3">
      <c r="C830" t="s">
        <v>52</v>
      </c>
      <c r="D830" s="18">
        <v>45961</v>
      </c>
      <c r="E830" t="str">
        <f>IFERROR(VLOOKUP(A830,#REF!,5,TRUE),"not found")</f>
        <v>not found</v>
      </c>
      <c r="F830" t="str">
        <f>IFERROR(VLOOKUP(A830,#REF!,2,TRUE),"")</f>
        <v/>
      </c>
      <c r="G830">
        <v>7175</v>
      </c>
      <c r="H830" t="s">
        <v>2</v>
      </c>
      <c r="O830">
        <v>64</v>
      </c>
      <c r="P830" t="s">
        <v>39</v>
      </c>
      <c r="Q830">
        <v>50</v>
      </c>
      <c r="R830" t="s">
        <v>53</v>
      </c>
      <c r="S830" t="s">
        <v>33</v>
      </c>
      <c r="T830" t="s">
        <v>0</v>
      </c>
      <c r="U830">
        <v>0</v>
      </c>
    </row>
    <row r="831" spans="3:21" x14ac:dyDescent="0.3">
      <c r="C831" t="s">
        <v>52</v>
      </c>
      <c r="D831" s="18">
        <v>45961</v>
      </c>
      <c r="E831" t="str">
        <f>IFERROR(VLOOKUP(A831,#REF!,5,TRUE),"not found")</f>
        <v>not found</v>
      </c>
      <c r="F831" t="str">
        <f>IFERROR(VLOOKUP(A831,#REF!,2,TRUE),"")</f>
        <v/>
      </c>
      <c r="G831">
        <v>7175</v>
      </c>
      <c r="H831" t="s">
        <v>2</v>
      </c>
      <c r="O831">
        <v>64</v>
      </c>
      <c r="P831" t="s">
        <v>39</v>
      </c>
      <c r="Q831">
        <v>50</v>
      </c>
      <c r="R831" t="s">
        <v>53</v>
      </c>
      <c r="S831" t="s">
        <v>33</v>
      </c>
      <c r="T831" t="s">
        <v>0</v>
      </c>
      <c r="U831">
        <v>0</v>
      </c>
    </row>
    <row r="832" spans="3:21" x14ac:dyDescent="0.3">
      <c r="C832" t="s">
        <v>52</v>
      </c>
      <c r="D832" s="18">
        <v>45961</v>
      </c>
      <c r="E832" t="str">
        <f>IFERROR(VLOOKUP(A832,#REF!,5,TRUE),"not found")</f>
        <v>not found</v>
      </c>
      <c r="F832" t="str">
        <f>IFERROR(VLOOKUP(A832,#REF!,2,TRUE),"")</f>
        <v/>
      </c>
      <c r="G832">
        <v>7175</v>
      </c>
      <c r="H832" t="s">
        <v>2</v>
      </c>
      <c r="O832">
        <v>64</v>
      </c>
      <c r="P832" t="s">
        <v>39</v>
      </c>
      <c r="Q832">
        <v>50</v>
      </c>
      <c r="R832" t="s">
        <v>53</v>
      </c>
      <c r="S832" t="s">
        <v>33</v>
      </c>
      <c r="T832" t="s">
        <v>0</v>
      </c>
      <c r="U832">
        <v>0</v>
      </c>
    </row>
    <row r="833" spans="3:21" x14ac:dyDescent="0.3">
      <c r="C833" t="s">
        <v>52</v>
      </c>
      <c r="D833" s="18">
        <v>45961</v>
      </c>
      <c r="E833" t="str">
        <f>IFERROR(VLOOKUP(A833,#REF!,5,TRUE),"not found")</f>
        <v>not found</v>
      </c>
      <c r="F833" t="str">
        <f>IFERROR(VLOOKUP(A833,#REF!,2,TRUE),"")</f>
        <v/>
      </c>
      <c r="G833">
        <v>7175</v>
      </c>
      <c r="H833" t="s">
        <v>2</v>
      </c>
      <c r="O833">
        <v>64</v>
      </c>
      <c r="P833" t="s">
        <v>39</v>
      </c>
      <c r="Q833">
        <v>50</v>
      </c>
      <c r="R833" t="s">
        <v>53</v>
      </c>
      <c r="S833" t="s">
        <v>33</v>
      </c>
      <c r="T833" t="s">
        <v>0</v>
      </c>
      <c r="U833">
        <v>0</v>
      </c>
    </row>
    <row r="834" spans="3:21" x14ac:dyDescent="0.3">
      <c r="C834" t="s">
        <v>52</v>
      </c>
      <c r="D834" s="18">
        <v>45961</v>
      </c>
      <c r="E834" t="str">
        <f>IFERROR(VLOOKUP(A834,#REF!,5,TRUE),"not found")</f>
        <v>not found</v>
      </c>
      <c r="F834" t="str">
        <f>IFERROR(VLOOKUP(A834,#REF!,2,TRUE),"")</f>
        <v/>
      </c>
      <c r="G834">
        <v>7175</v>
      </c>
      <c r="H834" t="s">
        <v>2</v>
      </c>
      <c r="O834">
        <v>64</v>
      </c>
      <c r="P834" t="s">
        <v>39</v>
      </c>
      <c r="Q834">
        <v>50</v>
      </c>
      <c r="R834" t="s">
        <v>53</v>
      </c>
      <c r="S834" t="s">
        <v>33</v>
      </c>
      <c r="T834" t="s">
        <v>0</v>
      </c>
      <c r="U834">
        <v>0</v>
      </c>
    </row>
    <row r="835" spans="3:21" x14ac:dyDescent="0.3">
      <c r="C835" t="s">
        <v>52</v>
      </c>
      <c r="D835" s="18">
        <v>45961</v>
      </c>
      <c r="E835" t="str">
        <f>IFERROR(VLOOKUP(A835,#REF!,5,TRUE),"not found")</f>
        <v>not found</v>
      </c>
      <c r="F835" t="str">
        <f>IFERROR(VLOOKUP(A835,#REF!,2,TRUE),"")</f>
        <v/>
      </c>
      <c r="G835">
        <v>7175</v>
      </c>
      <c r="H835" t="s">
        <v>2</v>
      </c>
      <c r="O835">
        <v>64</v>
      </c>
      <c r="P835" t="s">
        <v>39</v>
      </c>
      <c r="Q835">
        <v>50</v>
      </c>
      <c r="R835" t="s">
        <v>53</v>
      </c>
      <c r="S835" t="s">
        <v>33</v>
      </c>
      <c r="T835" t="s">
        <v>0</v>
      </c>
      <c r="U835">
        <v>0</v>
      </c>
    </row>
    <row r="836" spans="3:21" x14ac:dyDescent="0.3">
      <c r="C836" t="s">
        <v>52</v>
      </c>
      <c r="D836" s="18">
        <v>45961</v>
      </c>
      <c r="E836" t="str">
        <f>IFERROR(VLOOKUP(A836,#REF!,5,TRUE),"not found")</f>
        <v>not found</v>
      </c>
      <c r="F836" t="str">
        <f>IFERROR(VLOOKUP(A836,#REF!,2,TRUE),"")</f>
        <v/>
      </c>
      <c r="G836">
        <v>7175</v>
      </c>
      <c r="H836" t="s">
        <v>2</v>
      </c>
      <c r="O836">
        <v>64</v>
      </c>
      <c r="P836" t="s">
        <v>39</v>
      </c>
      <c r="Q836">
        <v>50</v>
      </c>
      <c r="R836" t="s">
        <v>53</v>
      </c>
      <c r="S836" t="s">
        <v>33</v>
      </c>
      <c r="T836" t="s">
        <v>0</v>
      </c>
      <c r="U836">
        <v>0</v>
      </c>
    </row>
    <row r="837" spans="3:21" x14ac:dyDescent="0.3">
      <c r="C837" t="s">
        <v>52</v>
      </c>
      <c r="D837" s="18">
        <v>45961</v>
      </c>
      <c r="E837" t="str">
        <f>IFERROR(VLOOKUP(A837,#REF!,5,TRUE),"not found")</f>
        <v>not found</v>
      </c>
      <c r="F837" t="str">
        <f>IFERROR(VLOOKUP(A837,#REF!,2,TRUE),"")</f>
        <v/>
      </c>
      <c r="G837">
        <v>7175</v>
      </c>
      <c r="H837" t="s">
        <v>2</v>
      </c>
      <c r="O837">
        <v>64</v>
      </c>
      <c r="P837" t="s">
        <v>39</v>
      </c>
      <c r="Q837">
        <v>50</v>
      </c>
      <c r="R837" t="s">
        <v>53</v>
      </c>
      <c r="S837" t="s">
        <v>33</v>
      </c>
      <c r="T837" t="s">
        <v>0</v>
      </c>
      <c r="U837">
        <v>0</v>
      </c>
    </row>
    <row r="838" spans="3:21" x14ac:dyDescent="0.3">
      <c r="C838" t="s">
        <v>52</v>
      </c>
      <c r="D838" s="18">
        <v>45961</v>
      </c>
      <c r="E838" t="str">
        <f>IFERROR(VLOOKUP(A838,#REF!,5,TRUE),"not found")</f>
        <v>not found</v>
      </c>
      <c r="F838" t="str">
        <f>IFERROR(VLOOKUP(A838,#REF!,2,TRUE),"")</f>
        <v/>
      </c>
      <c r="G838">
        <v>7175</v>
      </c>
      <c r="H838" t="s">
        <v>2</v>
      </c>
      <c r="O838">
        <v>64</v>
      </c>
      <c r="P838" t="s">
        <v>39</v>
      </c>
      <c r="Q838">
        <v>50</v>
      </c>
      <c r="R838" t="s">
        <v>53</v>
      </c>
      <c r="S838" t="s">
        <v>33</v>
      </c>
      <c r="T838" t="s">
        <v>0</v>
      </c>
      <c r="U838">
        <v>0</v>
      </c>
    </row>
    <row r="839" spans="3:21" x14ac:dyDescent="0.3">
      <c r="C839" t="s">
        <v>52</v>
      </c>
      <c r="D839" s="18">
        <v>45961</v>
      </c>
      <c r="E839" t="str">
        <f>IFERROR(VLOOKUP(A839,#REF!,5,TRUE),"not found")</f>
        <v>not found</v>
      </c>
      <c r="F839" t="str">
        <f>IFERROR(VLOOKUP(A839,#REF!,2,TRUE),"")</f>
        <v/>
      </c>
      <c r="G839">
        <v>7175</v>
      </c>
      <c r="H839" t="s">
        <v>2</v>
      </c>
      <c r="O839">
        <v>64</v>
      </c>
      <c r="P839" t="s">
        <v>39</v>
      </c>
      <c r="Q839">
        <v>50</v>
      </c>
      <c r="R839" t="s">
        <v>53</v>
      </c>
      <c r="S839" t="s">
        <v>33</v>
      </c>
      <c r="T839" t="s">
        <v>0</v>
      </c>
      <c r="U839">
        <v>0</v>
      </c>
    </row>
    <row r="840" spans="3:21" x14ac:dyDescent="0.3">
      <c r="C840" t="s">
        <v>52</v>
      </c>
      <c r="D840" s="18">
        <v>45961</v>
      </c>
      <c r="E840" t="str">
        <f>IFERROR(VLOOKUP(A840,#REF!,5,TRUE),"not found")</f>
        <v>not found</v>
      </c>
      <c r="F840" t="str">
        <f>IFERROR(VLOOKUP(A840,#REF!,2,TRUE),"")</f>
        <v/>
      </c>
      <c r="G840">
        <v>7175</v>
      </c>
      <c r="H840" t="s">
        <v>2</v>
      </c>
      <c r="O840">
        <v>64</v>
      </c>
      <c r="P840" t="s">
        <v>39</v>
      </c>
      <c r="Q840">
        <v>50</v>
      </c>
      <c r="R840" t="s">
        <v>53</v>
      </c>
      <c r="S840" t="s">
        <v>33</v>
      </c>
      <c r="T840" t="s">
        <v>0</v>
      </c>
      <c r="U840">
        <v>0</v>
      </c>
    </row>
    <row r="841" spans="3:21" x14ac:dyDescent="0.3">
      <c r="C841" t="s">
        <v>52</v>
      </c>
      <c r="D841" s="18">
        <v>45961</v>
      </c>
      <c r="E841" t="str">
        <f>IFERROR(VLOOKUP(A841,#REF!,5,TRUE),"not found")</f>
        <v>not found</v>
      </c>
      <c r="F841" t="str">
        <f>IFERROR(VLOOKUP(A841,#REF!,2,TRUE),"")</f>
        <v/>
      </c>
      <c r="G841">
        <v>7175</v>
      </c>
      <c r="H841" t="s">
        <v>2</v>
      </c>
      <c r="O841">
        <v>64</v>
      </c>
      <c r="P841" t="s">
        <v>39</v>
      </c>
      <c r="Q841">
        <v>50</v>
      </c>
      <c r="R841" t="s">
        <v>53</v>
      </c>
      <c r="S841" t="s">
        <v>33</v>
      </c>
      <c r="T841" t="s">
        <v>0</v>
      </c>
      <c r="U841">
        <v>0</v>
      </c>
    </row>
    <row r="842" spans="3:21" x14ac:dyDescent="0.3">
      <c r="C842" t="s">
        <v>52</v>
      </c>
      <c r="D842" s="18">
        <v>45961</v>
      </c>
      <c r="E842" t="str">
        <f>IFERROR(VLOOKUP(A842,#REF!,5,TRUE),"not found")</f>
        <v>not found</v>
      </c>
      <c r="F842" t="str">
        <f>IFERROR(VLOOKUP(A842,#REF!,2,TRUE),"")</f>
        <v/>
      </c>
      <c r="G842">
        <v>7175</v>
      </c>
      <c r="H842" t="s">
        <v>2</v>
      </c>
      <c r="O842">
        <v>64</v>
      </c>
      <c r="P842" t="s">
        <v>39</v>
      </c>
      <c r="Q842">
        <v>50</v>
      </c>
      <c r="R842" t="s">
        <v>53</v>
      </c>
      <c r="S842" t="s">
        <v>33</v>
      </c>
      <c r="T842" t="s">
        <v>0</v>
      </c>
      <c r="U842">
        <v>0</v>
      </c>
    </row>
    <row r="843" spans="3:21" x14ac:dyDescent="0.3">
      <c r="C843" t="s">
        <v>52</v>
      </c>
      <c r="D843" s="18">
        <v>45961</v>
      </c>
      <c r="E843" t="str">
        <f>IFERROR(VLOOKUP(A843,#REF!,5,TRUE),"not found")</f>
        <v>not found</v>
      </c>
      <c r="F843" t="str">
        <f>IFERROR(VLOOKUP(A843,#REF!,2,TRUE),"")</f>
        <v/>
      </c>
      <c r="G843">
        <v>7175</v>
      </c>
      <c r="H843" t="s">
        <v>2</v>
      </c>
      <c r="O843">
        <v>64</v>
      </c>
      <c r="P843" t="s">
        <v>39</v>
      </c>
      <c r="Q843">
        <v>50</v>
      </c>
      <c r="R843" t="s">
        <v>53</v>
      </c>
      <c r="S843" t="s">
        <v>33</v>
      </c>
      <c r="T843" t="s">
        <v>0</v>
      </c>
      <c r="U843">
        <v>0</v>
      </c>
    </row>
    <row r="844" spans="3:21" x14ac:dyDescent="0.3">
      <c r="C844" t="s">
        <v>52</v>
      </c>
      <c r="D844" s="18">
        <v>45961</v>
      </c>
      <c r="E844" t="str">
        <f>IFERROR(VLOOKUP(A844,#REF!,5,TRUE),"not found")</f>
        <v>not found</v>
      </c>
      <c r="F844" t="str">
        <f>IFERROR(VLOOKUP(A844,#REF!,2,TRUE),"")</f>
        <v/>
      </c>
      <c r="G844">
        <v>7175</v>
      </c>
      <c r="H844" t="s">
        <v>2</v>
      </c>
      <c r="O844">
        <v>64</v>
      </c>
      <c r="P844" t="s">
        <v>39</v>
      </c>
      <c r="Q844">
        <v>50</v>
      </c>
      <c r="R844" t="s">
        <v>53</v>
      </c>
      <c r="S844" t="s">
        <v>33</v>
      </c>
      <c r="T844" t="s">
        <v>0</v>
      </c>
      <c r="U844">
        <v>0</v>
      </c>
    </row>
    <row r="845" spans="3:21" x14ac:dyDescent="0.3">
      <c r="C845" t="s">
        <v>52</v>
      </c>
      <c r="D845" s="18">
        <v>45961</v>
      </c>
      <c r="E845" t="str">
        <f>IFERROR(VLOOKUP(A845,#REF!,5,TRUE),"not found")</f>
        <v>not found</v>
      </c>
      <c r="F845" t="str">
        <f>IFERROR(VLOOKUP(A845,#REF!,2,TRUE),"")</f>
        <v/>
      </c>
      <c r="G845">
        <v>7175</v>
      </c>
      <c r="H845" t="s">
        <v>2</v>
      </c>
      <c r="O845">
        <v>64</v>
      </c>
      <c r="P845" t="s">
        <v>39</v>
      </c>
      <c r="Q845">
        <v>50</v>
      </c>
      <c r="R845" t="s">
        <v>53</v>
      </c>
      <c r="S845" t="s">
        <v>33</v>
      </c>
      <c r="T845" t="s">
        <v>0</v>
      </c>
      <c r="U845">
        <v>0</v>
      </c>
    </row>
    <row r="846" spans="3:21" x14ac:dyDescent="0.3">
      <c r="C846" t="s">
        <v>52</v>
      </c>
      <c r="D846" s="18">
        <v>45961</v>
      </c>
      <c r="E846" t="str">
        <f>IFERROR(VLOOKUP(A846,#REF!,5,TRUE),"not found")</f>
        <v>not found</v>
      </c>
      <c r="F846" t="str">
        <f>IFERROR(VLOOKUP(A846,#REF!,2,TRUE),"")</f>
        <v/>
      </c>
      <c r="G846">
        <v>7175</v>
      </c>
      <c r="H846" t="s">
        <v>2</v>
      </c>
      <c r="O846">
        <v>64</v>
      </c>
      <c r="P846" t="s">
        <v>39</v>
      </c>
      <c r="Q846">
        <v>50</v>
      </c>
      <c r="R846" t="s">
        <v>53</v>
      </c>
      <c r="S846" t="s">
        <v>33</v>
      </c>
      <c r="T846" t="s">
        <v>0</v>
      </c>
      <c r="U846">
        <v>0</v>
      </c>
    </row>
    <row r="847" spans="3:21" x14ac:dyDescent="0.3">
      <c r="C847" t="s">
        <v>52</v>
      </c>
      <c r="D847" s="18">
        <v>45961</v>
      </c>
      <c r="E847" t="str">
        <f>IFERROR(VLOOKUP(A847,#REF!,5,TRUE),"not found")</f>
        <v>not found</v>
      </c>
      <c r="F847" t="str">
        <f>IFERROR(VLOOKUP(A847,#REF!,2,TRUE),"")</f>
        <v/>
      </c>
      <c r="G847">
        <v>7175</v>
      </c>
      <c r="H847" t="s">
        <v>2</v>
      </c>
      <c r="O847">
        <v>64</v>
      </c>
      <c r="P847" t="s">
        <v>39</v>
      </c>
      <c r="Q847">
        <v>50</v>
      </c>
      <c r="R847" t="s">
        <v>53</v>
      </c>
      <c r="S847" t="s">
        <v>33</v>
      </c>
      <c r="T847" t="s">
        <v>0</v>
      </c>
      <c r="U847">
        <v>0</v>
      </c>
    </row>
    <row r="848" spans="3:21" x14ac:dyDescent="0.3">
      <c r="C848" t="s">
        <v>52</v>
      </c>
      <c r="D848" s="18">
        <v>45961</v>
      </c>
      <c r="E848" t="str">
        <f>IFERROR(VLOOKUP(A848,#REF!,5,TRUE),"not found")</f>
        <v>not found</v>
      </c>
      <c r="F848" t="str">
        <f>IFERROR(VLOOKUP(A848,#REF!,2,TRUE),"")</f>
        <v/>
      </c>
      <c r="G848">
        <v>7175</v>
      </c>
      <c r="H848" t="s">
        <v>2</v>
      </c>
      <c r="O848">
        <v>64</v>
      </c>
      <c r="P848" t="s">
        <v>39</v>
      </c>
      <c r="Q848">
        <v>50</v>
      </c>
      <c r="R848" t="s">
        <v>53</v>
      </c>
      <c r="S848" t="s">
        <v>33</v>
      </c>
      <c r="T848" t="s">
        <v>0</v>
      </c>
      <c r="U848">
        <v>0</v>
      </c>
    </row>
    <row r="849" spans="3:21" x14ac:dyDescent="0.3">
      <c r="C849" t="s">
        <v>52</v>
      </c>
      <c r="D849" s="18">
        <v>45961</v>
      </c>
      <c r="E849" t="str">
        <f>IFERROR(VLOOKUP(A849,#REF!,5,TRUE),"not found")</f>
        <v>not found</v>
      </c>
      <c r="F849" t="str">
        <f>IFERROR(VLOOKUP(A849,#REF!,2,TRUE),"")</f>
        <v/>
      </c>
      <c r="G849">
        <v>7175</v>
      </c>
      <c r="H849" t="s">
        <v>2</v>
      </c>
      <c r="O849">
        <v>64</v>
      </c>
      <c r="P849" t="s">
        <v>39</v>
      </c>
      <c r="Q849">
        <v>50</v>
      </c>
      <c r="R849" t="s">
        <v>53</v>
      </c>
      <c r="S849" t="s">
        <v>33</v>
      </c>
      <c r="T849" t="s">
        <v>0</v>
      </c>
      <c r="U849">
        <v>0</v>
      </c>
    </row>
    <row r="850" spans="3:21" x14ac:dyDescent="0.3">
      <c r="C850" t="s">
        <v>52</v>
      </c>
      <c r="D850" s="18">
        <v>45961</v>
      </c>
      <c r="E850" t="str">
        <f>IFERROR(VLOOKUP(A850,#REF!,5,TRUE),"not found")</f>
        <v>not found</v>
      </c>
      <c r="F850" t="str">
        <f>IFERROR(VLOOKUP(A850,#REF!,2,TRUE),"")</f>
        <v/>
      </c>
      <c r="G850">
        <v>7175</v>
      </c>
      <c r="H850" t="s">
        <v>2</v>
      </c>
      <c r="O850">
        <v>64</v>
      </c>
      <c r="P850" t="s">
        <v>39</v>
      </c>
      <c r="Q850">
        <v>50</v>
      </c>
      <c r="R850" t="s">
        <v>53</v>
      </c>
      <c r="S850" t="s">
        <v>33</v>
      </c>
      <c r="T850" t="s">
        <v>0</v>
      </c>
      <c r="U850">
        <v>0</v>
      </c>
    </row>
    <row r="851" spans="3:21" x14ac:dyDescent="0.3">
      <c r="C851" t="s">
        <v>52</v>
      </c>
      <c r="D851" s="18">
        <v>45961</v>
      </c>
      <c r="E851" t="str">
        <f>IFERROR(VLOOKUP(A851,#REF!,5,TRUE),"not found")</f>
        <v>not found</v>
      </c>
      <c r="F851" t="str">
        <f>IFERROR(VLOOKUP(A851,#REF!,2,TRUE),"")</f>
        <v/>
      </c>
      <c r="G851">
        <v>7175</v>
      </c>
      <c r="H851" t="s">
        <v>2</v>
      </c>
      <c r="O851">
        <v>64</v>
      </c>
      <c r="P851" t="s">
        <v>39</v>
      </c>
      <c r="Q851">
        <v>50</v>
      </c>
      <c r="R851" t="s">
        <v>53</v>
      </c>
      <c r="S851" t="s">
        <v>33</v>
      </c>
      <c r="T851" t="s">
        <v>0</v>
      </c>
      <c r="U851">
        <v>0</v>
      </c>
    </row>
    <row r="852" spans="3:21" x14ac:dyDescent="0.3">
      <c r="C852" t="s">
        <v>52</v>
      </c>
      <c r="D852" s="18">
        <v>45961</v>
      </c>
      <c r="E852" t="str">
        <f>IFERROR(VLOOKUP(A852,#REF!,5,TRUE),"not found")</f>
        <v>not found</v>
      </c>
      <c r="F852" t="str">
        <f>IFERROR(VLOOKUP(A852,#REF!,2,TRUE),"")</f>
        <v/>
      </c>
      <c r="G852">
        <v>7175</v>
      </c>
      <c r="H852" t="s">
        <v>2</v>
      </c>
      <c r="O852">
        <v>64</v>
      </c>
      <c r="P852" t="s">
        <v>39</v>
      </c>
      <c r="Q852">
        <v>50</v>
      </c>
      <c r="R852" t="s">
        <v>53</v>
      </c>
      <c r="S852" t="s">
        <v>33</v>
      </c>
      <c r="T852" t="s">
        <v>0</v>
      </c>
      <c r="U852">
        <v>0</v>
      </c>
    </row>
    <row r="853" spans="3:21" x14ac:dyDescent="0.3">
      <c r="C853" t="s">
        <v>52</v>
      </c>
      <c r="D853" s="18">
        <v>45961</v>
      </c>
      <c r="E853" t="str">
        <f>IFERROR(VLOOKUP(A853,#REF!,5,TRUE),"not found")</f>
        <v>not found</v>
      </c>
      <c r="F853" t="str">
        <f>IFERROR(VLOOKUP(A853,#REF!,2,TRUE),"")</f>
        <v/>
      </c>
      <c r="G853">
        <v>7175</v>
      </c>
      <c r="H853" t="s">
        <v>2</v>
      </c>
      <c r="O853">
        <v>64</v>
      </c>
      <c r="P853" t="s">
        <v>39</v>
      </c>
      <c r="Q853">
        <v>50</v>
      </c>
      <c r="R853" t="s">
        <v>53</v>
      </c>
      <c r="S853" t="s">
        <v>33</v>
      </c>
      <c r="T853" t="s">
        <v>0</v>
      </c>
      <c r="U853">
        <v>0</v>
      </c>
    </row>
    <row r="854" spans="3:21" x14ac:dyDescent="0.3">
      <c r="C854" t="s">
        <v>52</v>
      </c>
      <c r="D854" s="18">
        <v>45961</v>
      </c>
      <c r="E854" t="str">
        <f>IFERROR(VLOOKUP(A854,#REF!,5,TRUE),"not found")</f>
        <v>not found</v>
      </c>
      <c r="F854" t="str">
        <f>IFERROR(VLOOKUP(A854,#REF!,2,TRUE),"")</f>
        <v/>
      </c>
      <c r="G854">
        <v>7175</v>
      </c>
      <c r="H854" t="s">
        <v>2</v>
      </c>
      <c r="O854">
        <v>64</v>
      </c>
      <c r="P854" t="s">
        <v>39</v>
      </c>
      <c r="Q854">
        <v>50</v>
      </c>
      <c r="R854" t="s">
        <v>53</v>
      </c>
      <c r="S854" t="s">
        <v>33</v>
      </c>
      <c r="T854" t="s">
        <v>0</v>
      </c>
      <c r="U854">
        <v>0</v>
      </c>
    </row>
    <row r="855" spans="3:21" x14ac:dyDescent="0.3">
      <c r="C855" t="s">
        <v>52</v>
      </c>
      <c r="D855" s="18">
        <v>45961</v>
      </c>
      <c r="E855" t="str">
        <f>IFERROR(VLOOKUP(A855,#REF!,5,TRUE),"not found")</f>
        <v>not found</v>
      </c>
      <c r="F855" t="str">
        <f>IFERROR(VLOOKUP(A855,#REF!,2,TRUE),"")</f>
        <v/>
      </c>
      <c r="G855">
        <v>7175</v>
      </c>
      <c r="H855" t="s">
        <v>2</v>
      </c>
      <c r="O855">
        <v>64</v>
      </c>
      <c r="P855" t="s">
        <v>39</v>
      </c>
      <c r="Q855">
        <v>50</v>
      </c>
      <c r="R855" t="s">
        <v>53</v>
      </c>
      <c r="S855" t="s">
        <v>33</v>
      </c>
      <c r="T855" t="s">
        <v>0</v>
      </c>
      <c r="U855">
        <v>0</v>
      </c>
    </row>
    <row r="856" spans="3:21" x14ac:dyDescent="0.3">
      <c r="C856" t="s">
        <v>52</v>
      </c>
      <c r="D856" s="18">
        <v>45961</v>
      </c>
      <c r="E856" t="str">
        <f>IFERROR(VLOOKUP(A856,#REF!,5,TRUE),"not found")</f>
        <v>not found</v>
      </c>
      <c r="F856" t="str">
        <f>IFERROR(VLOOKUP(A856,#REF!,2,TRUE),"")</f>
        <v/>
      </c>
      <c r="G856">
        <v>7175</v>
      </c>
      <c r="H856" t="s">
        <v>2</v>
      </c>
      <c r="O856">
        <v>64</v>
      </c>
      <c r="P856" t="s">
        <v>39</v>
      </c>
      <c r="Q856">
        <v>50</v>
      </c>
      <c r="R856" t="s">
        <v>53</v>
      </c>
      <c r="S856" t="s">
        <v>33</v>
      </c>
      <c r="T856" t="s">
        <v>0</v>
      </c>
      <c r="U856">
        <v>0</v>
      </c>
    </row>
    <row r="857" spans="3:21" x14ac:dyDescent="0.3">
      <c r="C857" t="s">
        <v>52</v>
      </c>
      <c r="D857" s="18">
        <v>45961</v>
      </c>
      <c r="E857" t="str">
        <f>IFERROR(VLOOKUP(A857,#REF!,5,TRUE),"not found")</f>
        <v>not found</v>
      </c>
      <c r="F857" t="str">
        <f>IFERROR(VLOOKUP(A857,#REF!,2,TRUE),"")</f>
        <v/>
      </c>
      <c r="G857">
        <v>7175</v>
      </c>
      <c r="H857" t="s">
        <v>2</v>
      </c>
      <c r="O857">
        <v>64</v>
      </c>
      <c r="P857" t="s">
        <v>39</v>
      </c>
      <c r="Q857">
        <v>50</v>
      </c>
      <c r="R857" t="s">
        <v>53</v>
      </c>
      <c r="S857" t="s">
        <v>33</v>
      </c>
      <c r="T857" t="s">
        <v>0</v>
      </c>
      <c r="U857">
        <v>0</v>
      </c>
    </row>
    <row r="858" spans="3:21" x14ac:dyDescent="0.3">
      <c r="C858" t="s">
        <v>52</v>
      </c>
      <c r="D858" s="18">
        <v>45961</v>
      </c>
      <c r="E858" t="str">
        <f>IFERROR(VLOOKUP(A858,#REF!,5,TRUE),"not found")</f>
        <v>not found</v>
      </c>
      <c r="F858" t="str">
        <f>IFERROR(VLOOKUP(A858,#REF!,2,TRUE),"")</f>
        <v/>
      </c>
      <c r="G858">
        <v>7175</v>
      </c>
      <c r="H858" t="s">
        <v>2</v>
      </c>
      <c r="O858">
        <v>64</v>
      </c>
      <c r="P858" t="s">
        <v>39</v>
      </c>
      <c r="Q858">
        <v>50</v>
      </c>
      <c r="R858" t="s">
        <v>53</v>
      </c>
      <c r="S858" t="s">
        <v>33</v>
      </c>
      <c r="T858" t="s">
        <v>0</v>
      </c>
      <c r="U858">
        <v>0</v>
      </c>
    </row>
    <row r="859" spans="3:21" x14ac:dyDescent="0.3">
      <c r="C859" t="s">
        <v>52</v>
      </c>
      <c r="D859" s="18">
        <v>45961</v>
      </c>
      <c r="E859" t="str">
        <f>IFERROR(VLOOKUP(A859,#REF!,5,TRUE),"not found")</f>
        <v>not found</v>
      </c>
      <c r="F859" t="str">
        <f>IFERROR(VLOOKUP(A859,#REF!,2,TRUE),"")</f>
        <v/>
      </c>
      <c r="G859">
        <v>7175</v>
      </c>
      <c r="H859" t="s">
        <v>2</v>
      </c>
      <c r="O859">
        <v>64</v>
      </c>
      <c r="P859" t="s">
        <v>39</v>
      </c>
      <c r="Q859">
        <v>50</v>
      </c>
      <c r="R859" t="s">
        <v>53</v>
      </c>
      <c r="S859" t="s">
        <v>33</v>
      </c>
      <c r="T859" t="s">
        <v>0</v>
      </c>
      <c r="U859">
        <v>0</v>
      </c>
    </row>
    <row r="860" spans="3:21" x14ac:dyDescent="0.3">
      <c r="C860" t="s">
        <v>52</v>
      </c>
      <c r="D860" s="18">
        <v>45961</v>
      </c>
      <c r="E860" t="str">
        <f>IFERROR(VLOOKUP(A860,#REF!,5,TRUE),"not found")</f>
        <v>not found</v>
      </c>
      <c r="F860" t="str">
        <f>IFERROR(VLOOKUP(A860,#REF!,2,TRUE),"")</f>
        <v/>
      </c>
      <c r="G860">
        <v>7175</v>
      </c>
      <c r="H860" t="s">
        <v>2</v>
      </c>
      <c r="O860">
        <v>64</v>
      </c>
      <c r="P860" t="s">
        <v>39</v>
      </c>
      <c r="Q860">
        <v>50</v>
      </c>
      <c r="R860" t="s">
        <v>53</v>
      </c>
      <c r="S860" t="s">
        <v>33</v>
      </c>
      <c r="T860" t="s">
        <v>0</v>
      </c>
      <c r="U860">
        <v>0</v>
      </c>
    </row>
    <row r="861" spans="3:21" x14ac:dyDescent="0.3">
      <c r="C861" t="s">
        <v>52</v>
      </c>
      <c r="D861" s="18">
        <v>45961</v>
      </c>
      <c r="E861" t="str">
        <f>IFERROR(VLOOKUP(A861,#REF!,5,TRUE),"not found")</f>
        <v>not found</v>
      </c>
      <c r="F861" t="str">
        <f>IFERROR(VLOOKUP(A861,#REF!,2,TRUE),"")</f>
        <v/>
      </c>
      <c r="G861">
        <v>7175</v>
      </c>
      <c r="H861" t="s">
        <v>2</v>
      </c>
      <c r="O861">
        <v>64</v>
      </c>
      <c r="P861" t="s">
        <v>39</v>
      </c>
      <c r="Q861">
        <v>50</v>
      </c>
      <c r="R861" t="s">
        <v>53</v>
      </c>
      <c r="S861" t="s">
        <v>33</v>
      </c>
      <c r="T861" t="s">
        <v>0</v>
      </c>
      <c r="U861">
        <v>0</v>
      </c>
    </row>
    <row r="862" spans="3:21" x14ac:dyDescent="0.3">
      <c r="C862" t="s">
        <v>52</v>
      </c>
      <c r="D862" s="18">
        <v>45961</v>
      </c>
      <c r="E862" t="str">
        <f>IFERROR(VLOOKUP(A862,#REF!,5,TRUE),"not found")</f>
        <v>not found</v>
      </c>
      <c r="F862" t="str">
        <f>IFERROR(VLOOKUP(A862,#REF!,2,TRUE),"")</f>
        <v/>
      </c>
      <c r="G862">
        <v>7175</v>
      </c>
      <c r="H862" t="s">
        <v>2</v>
      </c>
      <c r="O862">
        <v>64</v>
      </c>
      <c r="P862" t="s">
        <v>39</v>
      </c>
      <c r="Q862">
        <v>50</v>
      </c>
      <c r="R862" t="s">
        <v>53</v>
      </c>
      <c r="S862" t="s">
        <v>33</v>
      </c>
      <c r="T862" t="s">
        <v>0</v>
      </c>
      <c r="U862">
        <v>0</v>
      </c>
    </row>
    <row r="863" spans="3:21" x14ac:dyDescent="0.3">
      <c r="C863" t="s">
        <v>52</v>
      </c>
      <c r="D863" s="18">
        <v>45961</v>
      </c>
      <c r="E863" t="str">
        <f>IFERROR(VLOOKUP(A863,#REF!,5,TRUE),"not found")</f>
        <v>not found</v>
      </c>
      <c r="F863" t="str">
        <f>IFERROR(VLOOKUP(A863,#REF!,2,TRUE),"")</f>
        <v/>
      </c>
      <c r="G863">
        <v>7175</v>
      </c>
      <c r="H863" t="s">
        <v>2</v>
      </c>
      <c r="O863">
        <v>64</v>
      </c>
      <c r="P863" t="s">
        <v>39</v>
      </c>
      <c r="Q863">
        <v>50</v>
      </c>
      <c r="R863" t="s">
        <v>53</v>
      </c>
      <c r="S863" t="s">
        <v>33</v>
      </c>
      <c r="T863" t="s">
        <v>0</v>
      </c>
      <c r="U863">
        <v>0</v>
      </c>
    </row>
    <row r="864" spans="3:21" x14ac:dyDescent="0.3">
      <c r="C864" t="s">
        <v>52</v>
      </c>
      <c r="D864" s="18">
        <v>45961</v>
      </c>
      <c r="E864" t="str">
        <f>IFERROR(VLOOKUP(A864,#REF!,5,TRUE),"not found")</f>
        <v>not found</v>
      </c>
      <c r="F864" t="str">
        <f>IFERROR(VLOOKUP(A864,#REF!,2,TRUE),"")</f>
        <v/>
      </c>
      <c r="G864">
        <v>7175</v>
      </c>
      <c r="H864" t="s">
        <v>2</v>
      </c>
      <c r="O864">
        <v>64</v>
      </c>
      <c r="P864" t="s">
        <v>39</v>
      </c>
      <c r="Q864">
        <v>50</v>
      </c>
      <c r="R864" t="s">
        <v>53</v>
      </c>
      <c r="S864" t="s">
        <v>33</v>
      </c>
      <c r="T864" t="s">
        <v>0</v>
      </c>
      <c r="U864">
        <v>0</v>
      </c>
    </row>
    <row r="865" spans="3:21" x14ac:dyDescent="0.3">
      <c r="C865" t="s">
        <v>52</v>
      </c>
      <c r="D865" s="18">
        <v>45961</v>
      </c>
      <c r="E865" t="str">
        <f>IFERROR(VLOOKUP(A865,#REF!,5,TRUE),"not found")</f>
        <v>not found</v>
      </c>
      <c r="F865" t="str">
        <f>IFERROR(VLOOKUP(A865,#REF!,2,TRUE),"")</f>
        <v/>
      </c>
      <c r="G865">
        <v>7175</v>
      </c>
      <c r="H865" t="s">
        <v>2</v>
      </c>
      <c r="O865">
        <v>64</v>
      </c>
      <c r="P865" t="s">
        <v>39</v>
      </c>
      <c r="Q865">
        <v>50</v>
      </c>
      <c r="R865" t="s">
        <v>53</v>
      </c>
      <c r="S865" t="s">
        <v>33</v>
      </c>
      <c r="T865" t="s">
        <v>0</v>
      </c>
      <c r="U865">
        <v>0</v>
      </c>
    </row>
    <row r="866" spans="3:21" x14ac:dyDescent="0.3">
      <c r="C866" t="s">
        <v>52</v>
      </c>
      <c r="D866" s="18">
        <v>45961</v>
      </c>
      <c r="E866" t="str">
        <f>IFERROR(VLOOKUP(A866,#REF!,5,TRUE),"not found")</f>
        <v>not found</v>
      </c>
      <c r="F866" t="str">
        <f>IFERROR(VLOOKUP(A866,#REF!,2,TRUE),"")</f>
        <v/>
      </c>
      <c r="G866">
        <v>7175</v>
      </c>
      <c r="H866" t="s">
        <v>2</v>
      </c>
      <c r="O866">
        <v>64</v>
      </c>
      <c r="P866" t="s">
        <v>39</v>
      </c>
      <c r="Q866">
        <v>50</v>
      </c>
      <c r="R866" t="s">
        <v>53</v>
      </c>
      <c r="S866" t="s">
        <v>33</v>
      </c>
      <c r="T866" t="s">
        <v>0</v>
      </c>
      <c r="U866">
        <v>0</v>
      </c>
    </row>
    <row r="867" spans="3:21" x14ac:dyDescent="0.3">
      <c r="C867" t="s">
        <v>52</v>
      </c>
      <c r="D867" s="18">
        <v>45961</v>
      </c>
      <c r="E867" t="str">
        <f>IFERROR(VLOOKUP(A867,#REF!,5,TRUE),"not found")</f>
        <v>not found</v>
      </c>
      <c r="F867" t="str">
        <f>IFERROR(VLOOKUP(A867,#REF!,2,TRUE),"")</f>
        <v/>
      </c>
      <c r="G867">
        <v>7175</v>
      </c>
      <c r="H867" t="s">
        <v>2</v>
      </c>
      <c r="O867">
        <v>64</v>
      </c>
      <c r="P867" t="s">
        <v>39</v>
      </c>
      <c r="Q867">
        <v>50</v>
      </c>
      <c r="R867" t="s">
        <v>53</v>
      </c>
      <c r="S867" t="s">
        <v>33</v>
      </c>
      <c r="T867" t="s">
        <v>0</v>
      </c>
      <c r="U867">
        <v>0</v>
      </c>
    </row>
    <row r="868" spans="3:21" x14ac:dyDescent="0.3">
      <c r="C868" t="s">
        <v>52</v>
      </c>
      <c r="D868" s="18">
        <v>45961</v>
      </c>
      <c r="E868" t="str">
        <f>IFERROR(VLOOKUP(A868,#REF!,5,TRUE),"not found")</f>
        <v>not found</v>
      </c>
      <c r="F868" t="str">
        <f>IFERROR(VLOOKUP(A868,#REF!,2,TRUE),"")</f>
        <v/>
      </c>
      <c r="G868">
        <v>7175</v>
      </c>
      <c r="H868" t="s">
        <v>2</v>
      </c>
      <c r="O868">
        <v>64</v>
      </c>
      <c r="P868" t="s">
        <v>39</v>
      </c>
      <c r="Q868">
        <v>50</v>
      </c>
      <c r="R868" t="s">
        <v>53</v>
      </c>
      <c r="S868" t="s">
        <v>33</v>
      </c>
      <c r="T868" t="s">
        <v>0</v>
      </c>
      <c r="U868">
        <v>0</v>
      </c>
    </row>
    <row r="869" spans="3:21" x14ac:dyDescent="0.3">
      <c r="C869" t="s">
        <v>52</v>
      </c>
      <c r="D869" s="18">
        <v>45961</v>
      </c>
      <c r="E869" t="str">
        <f>IFERROR(VLOOKUP(A869,#REF!,5,TRUE),"not found")</f>
        <v>not found</v>
      </c>
      <c r="F869" t="str">
        <f>IFERROR(VLOOKUP(A869,#REF!,2,TRUE),"")</f>
        <v/>
      </c>
      <c r="G869">
        <v>7175</v>
      </c>
      <c r="H869" t="s">
        <v>2</v>
      </c>
      <c r="O869">
        <v>64</v>
      </c>
      <c r="P869" t="s">
        <v>39</v>
      </c>
      <c r="Q869">
        <v>50</v>
      </c>
      <c r="R869" t="s">
        <v>53</v>
      </c>
      <c r="S869" t="s">
        <v>33</v>
      </c>
      <c r="T869" t="s">
        <v>0</v>
      </c>
      <c r="U869">
        <v>0</v>
      </c>
    </row>
    <row r="870" spans="3:21" x14ac:dyDescent="0.3">
      <c r="C870" t="s">
        <v>52</v>
      </c>
      <c r="D870" s="18">
        <v>45961</v>
      </c>
      <c r="E870" t="str">
        <f>IFERROR(VLOOKUP(A870,#REF!,5,TRUE),"not found")</f>
        <v>not found</v>
      </c>
      <c r="F870" t="str">
        <f>IFERROR(VLOOKUP(A870,#REF!,2,TRUE),"")</f>
        <v/>
      </c>
      <c r="G870">
        <v>7175</v>
      </c>
      <c r="H870" t="s">
        <v>2</v>
      </c>
      <c r="O870">
        <v>64</v>
      </c>
      <c r="P870" t="s">
        <v>39</v>
      </c>
      <c r="Q870">
        <v>50</v>
      </c>
      <c r="R870" t="s">
        <v>53</v>
      </c>
      <c r="S870" t="s">
        <v>33</v>
      </c>
      <c r="T870" t="s">
        <v>0</v>
      </c>
      <c r="U870">
        <v>0</v>
      </c>
    </row>
    <row r="871" spans="3:21" x14ac:dyDescent="0.3">
      <c r="C871" t="s">
        <v>52</v>
      </c>
      <c r="D871" s="18">
        <v>45961</v>
      </c>
      <c r="E871" t="str">
        <f>IFERROR(VLOOKUP(A871,#REF!,5,TRUE),"not found")</f>
        <v>not found</v>
      </c>
      <c r="F871" t="str">
        <f>IFERROR(VLOOKUP(A871,#REF!,2,TRUE),"")</f>
        <v/>
      </c>
      <c r="G871">
        <v>7175</v>
      </c>
      <c r="H871" t="s">
        <v>2</v>
      </c>
      <c r="O871">
        <v>64</v>
      </c>
      <c r="P871" t="s">
        <v>39</v>
      </c>
      <c r="Q871">
        <v>50</v>
      </c>
      <c r="R871" t="s">
        <v>53</v>
      </c>
      <c r="S871" t="s">
        <v>33</v>
      </c>
      <c r="T871" t="s">
        <v>0</v>
      </c>
      <c r="U871">
        <v>0</v>
      </c>
    </row>
    <row r="872" spans="3:21" x14ac:dyDescent="0.3">
      <c r="C872" t="s">
        <v>52</v>
      </c>
      <c r="D872" s="18">
        <v>45961</v>
      </c>
      <c r="E872" t="str">
        <f>IFERROR(VLOOKUP(A872,#REF!,5,TRUE),"not found")</f>
        <v>not found</v>
      </c>
      <c r="F872" t="str">
        <f>IFERROR(VLOOKUP(A872,#REF!,2,TRUE),"")</f>
        <v/>
      </c>
      <c r="G872">
        <v>7175</v>
      </c>
      <c r="H872" t="s">
        <v>2</v>
      </c>
      <c r="O872">
        <v>64</v>
      </c>
      <c r="P872" t="s">
        <v>39</v>
      </c>
      <c r="Q872">
        <v>50</v>
      </c>
      <c r="R872" t="s">
        <v>53</v>
      </c>
      <c r="S872" t="s">
        <v>33</v>
      </c>
      <c r="T872" t="s">
        <v>0</v>
      </c>
      <c r="U872">
        <v>0</v>
      </c>
    </row>
    <row r="873" spans="3:21" x14ac:dyDescent="0.3">
      <c r="C873" t="s">
        <v>52</v>
      </c>
      <c r="D873" s="18">
        <v>45961</v>
      </c>
      <c r="E873" t="str">
        <f>IFERROR(VLOOKUP(A873,#REF!,5,TRUE),"not found")</f>
        <v>not found</v>
      </c>
      <c r="F873" t="str">
        <f>IFERROR(VLOOKUP(A873,#REF!,2,TRUE),"")</f>
        <v/>
      </c>
      <c r="G873">
        <v>7175</v>
      </c>
      <c r="H873" t="s">
        <v>2</v>
      </c>
      <c r="O873">
        <v>64</v>
      </c>
      <c r="P873" t="s">
        <v>39</v>
      </c>
      <c r="Q873">
        <v>50</v>
      </c>
      <c r="R873" t="s">
        <v>53</v>
      </c>
      <c r="S873" t="s">
        <v>33</v>
      </c>
      <c r="T873" t="s">
        <v>0</v>
      </c>
      <c r="U873">
        <v>0</v>
      </c>
    </row>
    <row r="874" spans="3:21" x14ac:dyDescent="0.3">
      <c r="C874" t="s">
        <v>52</v>
      </c>
      <c r="D874" s="18">
        <v>45961</v>
      </c>
      <c r="E874" t="str">
        <f>IFERROR(VLOOKUP(A874,#REF!,5,TRUE),"not found")</f>
        <v>not found</v>
      </c>
      <c r="F874" t="str">
        <f>IFERROR(VLOOKUP(A874,#REF!,2,TRUE),"")</f>
        <v/>
      </c>
      <c r="G874">
        <v>7175</v>
      </c>
      <c r="H874" t="s">
        <v>2</v>
      </c>
      <c r="O874">
        <v>64</v>
      </c>
      <c r="P874" t="s">
        <v>39</v>
      </c>
      <c r="Q874">
        <v>50</v>
      </c>
      <c r="R874" t="s">
        <v>53</v>
      </c>
      <c r="S874" t="s">
        <v>33</v>
      </c>
      <c r="T874" t="s">
        <v>0</v>
      </c>
      <c r="U874">
        <v>0</v>
      </c>
    </row>
    <row r="875" spans="3:21" x14ac:dyDescent="0.3">
      <c r="C875" t="s">
        <v>52</v>
      </c>
      <c r="D875" s="18">
        <v>45961</v>
      </c>
      <c r="E875" t="str">
        <f>IFERROR(VLOOKUP(A875,#REF!,5,TRUE),"not found")</f>
        <v>not found</v>
      </c>
      <c r="F875" t="str">
        <f>IFERROR(VLOOKUP(A875,#REF!,2,TRUE),"")</f>
        <v/>
      </c>
      <c r="G875">
        <v>7175</v>
      </c>
      <c r="H875" t="s">
        <v>2</v>
      </c>
      <c r="O875">
        <v>64</v>
      </c>
      <c r="P875" t="s">
        <v>39</v>
      </c>
      <c r="Q875">
        <v>50</v>
      </c>
      <c r="R875" t="s">
        <v>53</v>
      </c>
      <c r="S875" t="s">
        <v>33</v>
      </c>
      <c r="T875" t="s">
        <v>0</v>
      </c>
      <c r="U875">
        <v>0</v>
      </c>
    </row>
    <row r="876" spans="3:21" x14ac:dyDescent="0.3">
      <c r="C876" t="s">
        <v>52</v>
      </c>
      <c r="D876" s="18">
        <v>45961</v>
      </c>
      <c r="E876" t="str">
        <f>IFERROR(VLOOKUP(A876,#REF!,5,TRUE),"not found")</f>
        <v>not found</v>
      </c>
      <c r="F876" t="str">
        <f>IFERROR(VLOOKUP(A876,#REF!,2,TRUE),"")</f>
        <v/>
      </c>
      <c r="G876">
        <v>7175</v>
      </c>
      <c r="H876" t="s">
        <v>2</v>
      </c>
      <c r="O876">
        <v>64</v>
      </c>
      <c r="P876" t="s">
        <v>39</v>
      </c>
      <c r="Q876">
        <v>50</v>
      </c>
      <c r="R876" t="s">
        <v>53</v>
      </c>
      <c r="S876" t="s">
        <v>33</v>
      </c>
      <c r="T876" t="s">
        <v>0</v>
      </c>
      <c r="U876">
        <v>0</v>
      </c>
    </row>
    <row r="877" spans="3:21" x14ac:dyDescent="0.3">
      <c r="C877" t="s">
        <v>52</v>
      </c>
      <c r="D877" s="18">
        <v>45961</v>
      </c>
      <c r="E877" t="str">
        <f>IFERROR(VLOOKUP(A877,#REF!,5,TRUE),"not found")</f>
        <v>not found</v>
      </c>
      <c r="F877" t="str">
        <f>IFERROR(VLOOKUP(A877,#REF!,2,TRUE),"")</f>
        <v/>
      </c>
      <c r="G877">
        <v>7175</v>
      </c>
      <c r="H877" t="s">
        <v>2</v>
      </c>
      <c r="O877">
        <v>64</v>
      </c>
      <c r="P877" t="s">
        <v>39</v>
      </c>
      <c r="Q877">
        <v>50</v>
      </c>
      <c r="R877" t="s">
        <v>53</v>
      </c>
      <c r="S877" t="s">
        <v>33</v>
      </c>
      <c r="T877" t="s">
        <v>0</v>
      </c>
      <c r="U877">
        <v>0</v>
      </c>
    </row>
    <row r="878" spans="3:21" x14ac:dyDescent="0.3">
      <c r="C878" t="s">
        <v>52</v>
      </c>
      <c r="D878" s="18">
        <v>45961</v>
      </c>
      <c r="E878" t="str">
        <f>IFERROR(VLOOKUP(A878,#REF!,5,TRUE),"not found")</f>
        <v>not found</v>
      </c>
      <c r="F878" t="str">
        <f>IFERROR(VLOOKUP(A878,#REF!,2,TRUE),"")</f>
        <v/>
      </c>
      <c r="G878">
        <v>7175</v>
      </c>
      <c r="H878" t="s">
        <v>2</v>
      </c>
      <c r="O878">
        <v>64</v>
      </c>
      <c r="P878" t="s">
        <v>39</v>
      </c>
      <c r="Q878">
        <v>50</v>
      </c>
      <c r="R878" t="s">
        <v>53</v>
      </c>
      <c r="S878" t="s">
        <v>33</v>
      </c>
      <c r="T878" t="s">
        <v>0</v>
      </c>
      <c r="U878">
        <v>0</v>
      </c>
    </row>
    <row r="879" spans="3:21" x14ac:dyDescent="0.3">
      <c r="C879" t="s">
        <v>52</v>
      </c>
      <c r="D879" s="18">
        <v>45961</v>
      </c>
      <c r="E879" t="str">
        <f>IFERROR(VLOOKUP(A879,#REF!,5,TRUE),"not found")</f>
        <v>not found</v>
      </c>
      <c r="F879" t="str">
        <f>IFERROR(VLOOKUP(A879,#REF!,2,TRUE),"")</f>
        <v/>
      </c>
      <c r="G879">
        <v>7175</v>
      </c>
      <c r="H879" t="s">
        <v>2</v>
      </c>
      <c r="O879">
        <v>64</v>
      </c>
      <c r="P879" t="s">
        <v>39</v>
      </c>
      <c r="Q879">
        <v>50</v>
      </c>
      <c r="R879" t="s">
        <v>53</v>
      </c>
      <c r="S879" t="s">
        <v>33</v>
      </c>
      <c r="T879" t="s">
        <v>0</v>
      </c>
      <c r="U879">
        <v>0</v>
      </c>
    </row>
    <row r="880" spans="3:21" x14ac:dyDescent="0.3">
      <c r="C880" t="s">
        <v>52</v>
      </c>
      <c r="D880" s="18">
        <v>45961</v>
      </c>
      <c r="E880" t="str">
        <f>IFERROR(VLOOKUP(A880,#REF!,5,TRUE),"not found")</f>
        <v>not found</v>
      </c>
      <c r="F880" t="str">
        <f>IFERROR(VLOOKUP(A880,#REF!,2,TRUE),"")</f>
        <v/>
      </c>
      <c r="G880">
        <v>7175</v>
      </c>
      <c r="H880" t="s">
        <v>2</v>
      </c>
      <c r="O880">
        <v>64</v>
      </c>
      <c r="P880" t="s">
        <v>39</v>
      </c>
      <c r="Q880">
        <v>50</v>
      </c>
      <c r="R880" t="s">
        <v>53</v>
      </c>
      <c r="S880" t="s">
        <v>33</v>
      </c>
      <c r="T880" t="s">
        <v>0</v>
      </c>
      <c r="U880">
        <v>0</v>
      </c>
    </row>
    <row r="881" spans="3:21" x14ac:dyDescent="0.3">
      <c r="C881" t="s">
        <v>52</v>
      </c>
      <c r="D881" s="18">
        <v>45961</v>
      </c>
      <c r="E881" t="str">
        <f>IFERROR(VLOOKUP(A881,#REF!,5,TRUE),"not found")</f>
        <v>not found</v>
      </c>
      <c r="F881" t="str">
        <f>IFERROR(VLOOKUP(A881,#REF!,2,TRUE),"")</f>
        <v/>
      </c>
      <c r="G881">
        <v>7175</v>
      </c>
      <c r="H881" t="s">
        <v>2</v>
      </c>
      <c r="O881">
        <v>64</v>
      </c>
      <c r="P881" t="s">
        <v>39</v>
      </c>
      <c r="Q881">
        <v>50</v>
      </c>
      <c r="R881" t="s">
        <v>53</v>
      </c>
      <c r="S881" t="s">
        <v>33</v>
      </c>
      <c r="T881" t="s">
        <v>0</v>
      </c>
      <c r="U881">
        <v>0</v>
      </c>
    </row>
    <row r="882" spans="3:21" x14ac:dyDescent="0.3">
      <c r="C882" t="s">
        <v>52</v>
      </c>
      <c r="D882" s="18">
        <v>45961</v>
      </c>
      <c r="E882" t="str">
        <f>IFERROR(VLOOKUP(A882,#REF!,5,TRUE),"not found")</f>
        <v>not found</v>
      </c>
      <c r="F882" t="str">
        <f>IFERROR(VLOOKUP(A882,#REF!,2,TRUE),"")</f>
        <v/>
      </c>
      <c r="G882">
        <v>7175</v>
      </c>
      <c r="H882" t="s">
        <v>2</v>
      </c>
      <c r="O882">
        <v>64</v>
      </c>
      <c r="P882" t="s">
        <v>39</v>
      </c>
      <c r="Q882">
        <v>50</v>
      </c>
      <c r="R882" t="s">
        <v>53</v>
      </c>
      <c r="S882" t="s">
        <v>33</v>
      </c>
      <c r="T882" t="s">
        <v>0</v>
      </c>
      <c r="U882">
        <v>0</v>
      </c>
    </row>
    <row r="883" spans="3:21" x14ac:dyDescent="0.3">
      <c r="C883" t="s">
        <v>52</v>
      </c>
      <c r="D883" s="18">
        <v>45961</v>
      </c>
      <c r="E883" t="str">
        <f>IFERROR(VLOOKUP(A883,#REF!,5,TRUE),"not found")</f>
        <v>not found</v>
      </c>
      <c r="F883" t="str">
        <f>IFERROR(VLOOKUP(A883,#REF!,2,TRUE),"")</f>
        <v/>
      </c>
      <c r="G883">
        <v>7175</v>
      </c>
      <c r="H883" t="s">
        <v>2</v>
      </c>
      <c r="O883">
        <v>64</v>
      </c>
      <c r="P883" t="s">
        <v>39</v>
      </c>
      <c r="Q883">
        <v>50</v>
      </c>
      <c r="R883" t="s">
        <v>53</v>
      </c>
      <c r="S883" t="s">
        <v>33</v>
      </c>
      <c r="T883" t="s">
        <v>0</v>
      </c>
      <c r="U883">
        <v>0</v>
      </c>
    </row>
    <row r="884" spans="3:21" x14ac:dyDescent="0.3">
      <c r="C884" t="s">
        <v>52</v>
      </c>
      <c r="D884" s="18">
        <v>45961</v>
      </c>
      <c r="E884" t="str">
        <f>IFERROR(VLOOKUP(A884,#REF!,5,TRUE),"not found")</f>
        <v>not found</v>
      </c>
      <c r="F884" t="str">
        <f>IFERROR(VLOOKUP(A884,#REF!,2,TRUE),"")</f>
        <v/>
      </c>
      <c r="G884">
        <v>7175</v>
      </c>
      <c r="H884" t="s">
        <v>2</v>
      </c>
      <c r="O884">
        <v>64</v>
      </c>
      <c r="P884" t="s">
        <v>39</v>
      </c>
      <c r="Q884">
        <v>50</v>
      </c>
      <c r="R884" t="s">
        <v>53</v>
      </c>
      <c r="S884" t="s">
        <v>33</v>
      </c>
      <c r="T884" t="s">
        <v>0</v>
      </c>
      <c r="U884">
        <v>0</v>
      </c>
    </row>
    <row r="885" spans="3:21" x14ac:dyDescent="0.3">
      <c r="C885" t="s">
        <v>52</v>
      </c>
      <c r="D885" s="18">
        <v>45961</v>
      </c>
      <c r="E885" t="str">
        <f>IFERROR(VLOOKUP(A885,#REF!,5,TRUE),"not found")</f>
        <v>not found</v>
      </c>
      <c r="F885" t="str">
        <f>IFERROR(VLOOKUP(A885,#REF!,2,TRUE),"")</f>
        <v/>
      </c>
      <c r="G885">
        <v>7175</v>
      </c>
      <c r="H885" t="s">
        <v>2</v>
      </c>
      <c r="O885">
        <v>64</v>
      </c>
      <c r="P885" t="s">
        <v>39</v>
      </c>
      <c r="Q885">
        <v>50</v>
      </c>
      <c r="R885" t="s">
        <v>53</v>
      </c>
      <c r="S885" t="s">
        <v>33</v>
      </c>
      <c r="T885" t="s">
        <v>0</v>
      </c>
      <c r="U885">
        <v>0</v>
      </c>
    </row>
    <row r="886" spans="3:21" x14ac:dyDescent="0.3">
      <c r="C886" t="s">
        <v>52</v>
      </c>
      <c r="D886" s="18">
        <v>45961</v>
      </c>
      <c r="E886" t="str">
        <f>IFERROR(VLOOKUP(A886,#REF!,5,TRUE),"not found")</f>
        <v>not found</v>
      </c>
      <c r="F886" t="str">
        <f>IFERROR(VLOOKUP(A886,#REF!,2,TRUE),"")</f>
        <v/>
      </c>
      <c r="G886">
        <v>7175</v>
      </c>
      <c r="H886" t="s">
        <v>2</v>
      </c>
      <c r="O886">
        <v>64</v>
      </c>
      <c r="P886" t="s">
        <v>39</v>
      </c>
      <c r="Q886">
        <v>50</v>
      </c>
      <c r="R886" t="s">
        <v>53</v>
      </c>
      <c r="S886" t="s">
        <v>33</v>
      </c>
      <c r="T886" t="s">
        <v>0</v>
      </c>
      <c r="U886">
        <v>0</v>
      </c>
    </row>
    <row r="887" spans="3:21" x14ac:dyDescent="0.3">
      <c r="C887" t="s">
        <v>52</v>
      </c>
      <c r="D887" s="18">
        <v>45961</v>
      </c>
      <c r="E887" t="str">
        <f>IFERROR(VLOOKUP(A887,#REF!,5,TRUE),"not found")</f>
        <v>not found</v>
      </c>
      <c r="F887" t="str">
        <f>IFERROR(VLOOKUP(A887,#REF!,2,TRUE),"")</f>
        <v/>
      </c>
      <c r="G887">
        <v>7175</v>
      </c>
      <c r="H887" t="s">
        <v>2</v>
      </c>
      <c r="O887">
        <v>64</v>
      </c>
      <c r="P887" t="s">
        <v>39</v>
      </c>
      <c r="Q887">
        <v>50</v>
      </c>
      <c r="R887" t="s">
        <v>53</v>
      </c>
      <c r="S887" t="s">
        <v>33</v>
      </c>
      <c r="T887" t="s">
        <v>0</v>
      </c>
      <c r="U887">
        <v>0</v>
      </c>
    </row>
    <row r="888" spans="3:21" x14ac:dyDescent="0.3">
      <c r="C888" t="s">
        <v>52</v>
      </c>
      <c r="D888" s="18">
        <v>45961</v>
      </c>
      <c r="E888" t="str">
        <f>IFERROR(VLOOKUP(A888,#REF!,5,TRUE),"not found")</f>
        <v>not found</v>
      </c>
      <c r="F888" t="str">
        <f>IFERROR(VLOOKUP(A888,#REF!,2,TRUE),"")</f>
        <v/>
      </c>
      <c r="G888">
        <v>7175</v>
      </c>
      <c r="H888" t="s">
        <v>2</v>
      </c>
      <c r="O888">
        <v>64</v>
      </c>
      <c r="P888" t="s">
        <v>39</v>
      </c>
      <c r="Q888">
        <v>50</v>
      </c>
      <c r="R888" t="s">
        <v>53</v>
      </c>
      <c r="S888" t="s">
        <v>33</v>
      </c>
      <c r="T888" t="s">
        <v>0</v>
      </c>
      <c r="U888">
        <v>0</v>
      </c>
    </row>
    <row r="889" spans="3:21" x14ac:dyDescent="0.3">
      <c r="C889" t="s">
        <v>52</v>
      </c>
      <c r="D889" s="18">
        <v>45961</v>
      </c>
      <c r="E889" t="str">
        <f>IFERROR(VLOOKUP(A889,#REF!,5,TRUE),"not found")</f>
        <v>not found</v>
      </c>
      <c r="F889" t="str">
        <f>IFERROR(VLOOKUP(A889,#REF!,2,TRUE),"")</f>
        <v/>
      </c>
      <c r="G889">
        <v>7175</v>
      </c>
      <c r="H889" t="s">
        <v>2</v>
      </c>
      <c r="O889">
        <v>64</v>
      </c>
      <c r="P889" t="s">
        <v>39</v>
      </c>
      <c r="Q889">
        <v>50</v>
      </c>
      <c r="R889" t="s">
        <v>53</v>
      </c>
      <c r="S889" t="s">
        <v>33</v>
      </c>
      <c r="T889" t="s">
        <v>0</v>
      </c>
      <c r="U889">
        <v>0</v>
      </c>
    </row>
    <row r="890" spans="3:21" x14ac:dyDescent="0.3">
      <c r="C890" t="s">
        <v>52</v>
      </c>
      <c r="D890" s="18">
        <v>45961</v>
      </c>
      <c r="E890" t="str">
        <f>IFERROR(VLOOKUP(A890,#REF!,5,TRUE),"not found")</f>
        <v>not found</v>
      </c>
      <c r="F890" t="str">
        <f>IFERROR(VLOOKUP(A890,#REF!,2,TRUE),"")</f>
        <v/>
      </c>
      <c r="G890">
        <v>7175</v>
      </c>
      <c r="H890" t="s">
        <v>2</v>
      </c>
      <c r="O890">
        <v>64</v>
      </c>
      <c r="P890" t="s">
        <v>39</v>
      </c>
      <c r="Q890">
        <v>50</v>
      </c>
      <c r="R890" t="s">
        <v>53</v>
      </c>
      <c r="S890" t="s">
        <v>33</v>
      </c>
      <c r="T890" t="s">
        <v>0</v>
      </c>
      <c r="U890">
        <v>0</v>
      </c>
    </row>
    <row r="891" spans="3:21" x14ac:dyDescent="0.3">
      <c r="C891" t="s">
        <v>52</v>
      </c>
      <c r="D891" s="18">
        <v>45961</v>
      </c>
      <c r="E891" t="str">
        <f>IFERROR(VLOOKUP(A891,#REF!,5,TRUE),"not found")</f>
        <v>not found</v>
      </c>
      <c r="F891" t="str">
        <f>IFERROR(VLOOKUP(A891,#REF!,2,TRUE),"")</f>
        <v/>
      </c>
      <c r="G891">
        <v>7175</v>
      </c>
      <c r="H891" t="s">
        <v>2</v>
      </c>
      <c r="O891">
        <v>64</v>
      </c>
      <c r="P891" t="s">
        <v>39</v>
      </c>
      <c r="Q891">
        <v>50</v>
      </c>
      <c r="R891" t="s">
        <v>53</v>
      </c>
      <c r="S891" t="s">
        <v>33</v>
      </c>
      <c r="T891" t="s">
        <v>0</v>
      </c>
      <c r="U891">
        <v>0</v>
      </c>
    </row>
    <row r="892" spans="3:21" x14ac:dyDescent="0.3">
      <c r="C892" t="s">
        <v>52</v>
      </c>
      <c r="D892" s="18">
        <v>45961</v>
      </c>
      <c r="E892" t="str">
        <f>IFERROR(VLOOKUP(A892,#REF!,5,TRUE),"not found")</f>
        <v>not found</v>
      </c>
      <c r="F892" t="str">
        <f>IFERROR(VLOOKUP(A892,#REF!,2,TRUE),"")</f>
        <v/>
      </c>
      <c r="G892">
        <v>7175</v>
      </c>
      <c r="H892" t="s">
        <v>2</v>
      </c>
      <c r="O892">
        <v>64</v>
      </c>
      <c r="P892" t="s">
        <v>39</v>
      </c>
      <c r="Q892">
        <v>50</v>
      </c>
      <c r="R892" t="s">
        <v>53</v>
      </c>
      <c r="S892" t="s">
        <v>33</v>
      </c>
      <c r="T892" t="s">
        <v>0</v>
      </c>
      <c r="U892">
        <v>0</v>
      </c>
    </row>
    <row r="893" spans="3:21" x14ac:dyDescent="0.3">
      <c r="C893" t="s">
        <v>52</v>
      </c>
      <c r="D893" s="18">
        <v>45961</v>
      </c>
      <c r="E893" t="str">
        <f>IFERROR(VLOOKUP(A893,#REF!,5,TRUE),"not found")</f>
        <v>not found</v>
      </c>
      <c r="F893" t="str">
        <f>IFERROR(VLOOKUP(A893,#REF!,2,TRUE),"")</f>
        <v/>
      </c>
      <c r="G893">
        <v>7175</v>
      </c>
      <c r="H893" t="s">
        <v>2</v>
      </c>
      <c r="O893">
        <v>64</v>
      </c>
      <c r="P893" t="s">
        <v>39</v>
      </c>
      <c r="Q893">
        <v>50</v>
      </c>
      <c r="R893" t="s">
        <v>53</v>
      </c>
      <c r="S893" t="s">
        <v>33</v>
      </c>
      <c r="T893" t="s">
        <v>0</v>
      </c>
      <c r="U893">
        <v>0</v>
      </c>
    </row>
    <row r="894" spans="3:21" x14ac:dyDescent="0.3">
      <c r="C894" t="s">
        <v>52</v>
      </c>
      <c r="D894" s="18">
        <v>45961</v>
      </c>
      <c r="E894" t="str">
        <f>IFERROR(VLOOKUP(A894,#REF!,5,TRUE),"not found")</f>
        <v>not found</v>
      </c>
      <c r="F894" t="str">
        <f>IFERROR(VLOOKUP(A894,#REF!,2,TRUE),"")</f>
        <v/>
      </c>
      <c r="G894">
        <v>7175</v>
      </c>
      <c r="H894" t="s">
        <v>2</v>
      </c>
      <c r="O894">
        <v>64</v>
      </c>
      <c r="P894" t="s">
        <v>39</v>
      </c>
      <c r="Q894">
        <v>50</v>
      </c>
      <c r="R894" t="s">
        <v>53</v>
      </c>
      <c r="S894" t="s">
        <v>33</v>
      </c>
      <c r="T894" t="s">
        <v>0</v>
      </c>
      <c r="U894">
        <v>0</v>
      </c>
    </row>
    <row r="895" spans="3:21" x14ac:dyDescent="0.3">
      <c r="C895" t="s">
        <v>52</v>
      </c>
      <c r="D895" s="18">
        <v>45961</v>
      </c>
      <c r="E895" t="str">
        <f>IFERROR(VLOOKUP(A895,#REF!,5,TRUE),"not found")</f>
        <v>not found</v>
      </c>
      <c r="F895" t="str">
        <f>IFERROR(VLOOKUP(A895,#REF!,2,TRUE),"")</f>
        <v/>
      </c>
      <c r="G895">
        <v>7175</v>
      </c>
      <c r="H895" t="s">
        <v>2</v>
      </c>
      <c r="O895">
        <v>64</v>
      </c>
      <c r="P895" t="s">
        <v>39</v>
      </c>
      <c r="Q895">
        <v>50</v>
      </c>
      <c r="R895" t="s">
        <v>53</v>
      </c>
      <c r="S895" t="s">
        <v>33</v>
      </c>
      <c r="T895" t="s">
        <v>0</v>
      </c>
      <c r="U895">
        <v>0</v>
      </c>
    </row>
    <row r="896" spans="3:21" x14ac:dyDescent="0.3">
      <c r="C896" t="s">
        <v>52</v>
      </c>
      <c r="D896" s="18">
        <v>45961</v>
      </c>
      <c r="E896" t="str">
        <f>IFERROR(VLOOKUP(A896,#REF!,5,TRUE),"not found")</f>
        <v>not found</v>
      </c>
      <c r="F896" t="str">
        <f>IFERROR(VLOOKUP(A896,#REF!,2,TRUE),"")</f>
        <v/>
      </c>
      <c r="G896">
        <v>7175</v>
      </c>
      <c r="H896" t="s">
        <v>2</v>
      </c>
      <c r="O896">
        <v>64</v>
      </c>
      <c r="P896" t="s">
        <v>39</v>
      </c>
      <c r="Q896">
        <v>50</v>
      </c>
      <c r="R896" t="s">
        <v>53</v>
      </c>
      <c r="S896" t="s">
        <v>33</v>
      </c>
      <c r="T896" t="s">
        <v>0</v>
      </c>
      <c r="U896">
        <v>0</v>
      </c>
    </row>
    <row r="897" spans="3:21" x14ac:dyDescent="0.3">
      <c r="C897" t="s">
        <v>52</v>
      </c>
      <c r="D897" s="18">
        <v>45961</v>
      </c>
      <c r="E897" t="str">
        <f>IFERROR(VLOOKUP(A897,#REF!,5,TRUE),"not found")</f>
        <v>not found</v>
      </c>
      <c r="F897" t="str">
        <f>IFERROR(VLOOKUP(A897,#REF!,2,TRUE),"")</f>
        <v/>
      </c>
      <c r="G897">
        <v>7175</v>
      </c>
      <c r="H897" t="s">
        <v>2</v>
      </c>
      <c r="O897">
        <v>64</v>
      </c>
      <c r="P897" t="s">
        <v>39</v>
      </c>
      <c r="Q897">
        <v>50</v>
      </c>
      <c r="R897" t="s">
        <v>53</v>
      </c>
      <c r="S897" t="s">
        <v>33</v>
      </c>
      <c r="T897" t="s">
        <v>0</v>
      </c>
      <c r="U897">
        <v>0</v>
      </c>
    </row>
    <row r="898" spans="3:21" x14ac:dyDescent="0.3">
      <c r="C898" t="s">
        <v>52</v>
      </c>
      <c r="D898" s="18">
        <v>45961</v>
      </c>
      <c r="E898" t="str">
        <f>IFERROR(VLOOKUP(A898,#REF!,5,TRUE),"not found")</f>
        <v>not found</v>
      </c>
      <c r="F898" t="str">
        <f>IFERROR(VLOOKUP(A898,#REF!,2,TRUE),"")</f>
        <v/>
      </c>
      <c r="G898">
        <v>7175</v>
      </c>
      <c r="H898" t="s">
        <v>2</v>
      </c>
      <c r="O898">
        <v>64</v>
      </c>
      <c r="P898" t="s">
        <v>39</v>
      </c>
      <c r="Q898">
        <v>50</v>
      </c>
      <c r="R898" t="s">
        <v>53</v>
      </c>
      <c r="S898" t="s">
        <v>33</v>
      </c>
      <c r="T898" t="s">
        <v>0</v>
      </c>
      <c r="U898">
        <v>0</v>
      </c>
    </row>
    <row r="899" spans="3:21" x14ac:dyDescent="0.3">
      <c r="C899" t="s">
        <v>52</v>
      </c>
      <c r="D899" s="18">
        <v>45961</v>
      </c>
      <c r="E899" t="str">
        <f>IFERROR(VLOOKUP(A899,#REF!,5,TRUE),"not found")</f>
        <v>not found</v>
      </c>
      <c r="F899" t="str">
        <f>IFERROR(VLOOKUP(A899,#REF!,2,TRUE),"")</f>
        <v/>
      </c>
      <c r="G899">
        <v>7175</v>
      </c>
      <c r="H899" t="s">
        <v>2</v>
      </c>
      <c r="O899">
        <v>64</v>
      </c>
      <c r="P899" t="s">
        <v>39</v>
      </c>
      <c r="Q899">
        <v>50</v>
      </c>
      <c r="R899" t="s">
        <v>53</v>
      </c>
      <c r="S899" t="s">
        <v>33</v>
      </c>
      <c r="T899" t="s">
        <v>0</v>
      </c>
      <c r="U899">
        <v>0</v>
      </c>
    </row>
    <row r="900" spans="3:21" x14ac:dyDescent="0.3">
      <c r="C900" t="s">
        <v>52</v>
      </c>
      <c r="D900" s="18">
        <v>45961</v>
      </c>
      <c r="E900" t="str">
        <f>IFERROR(VLOOKUP(A900,#REF!,5,TRUE),"not found")</f>
        <v>not found</v>
      </c>
      <c r="F900" t="str">
        <f>IFERROR(VLOOKUP(A900,#REF!,2,TRUE),"")</f>
        <v/>
      </c>
      <c r="G900">
        <v>7175</v>
      </c>
      <c r="H900" t="s">
        <v>2</v>
      </c>
      <c r="O900">
        <v>64</v>
      </c>
      <c r="P900" t="s">
        <v>39</v>
      </c>
      <c r="Q900">
        <v>50</v>
      </c>
      <c r="R900" t="s">
        <v>53</v>
      </c>
      <c r="S900" t="s">
        <v>33</v>
      </c>
      <c r="T900" t="s">
        <v>0</v>
      </c>
      <c r="U900">
        <v>0</v>
      </c>
    </row>
    <row r="901" spans="3:21" x14ac:dyDescent="0.3">
      <c r="C901" t="s">
        <v>52</v>
      </c>
      <c r="D901" s="18">
        <v>45961</v>
      </c>
      <c r="E901" t="str">
        <f>IFERROR(VLOOKUP(A901,#REF!,5,TRUE),"not found")</f>
        <v>not found</v>
      </c>
      <c r="F901" t="str">
        <f>IFERROR(VLOOKUP(A901,#REF!,2,TRUE),"")</f>
        <v/>
      </c>
      <c r="G901">
        <v>7175</v>
      </c>
      <c r="H901" t="s">
        <v>2</v>
      </c>
      <c r="O901">
        <v>64</v>
      </c>
      <c r="P901" t="s">
        <v>39</v>
      </c>
      <c r="Q901">
        <v>50</v>
      </c>
      <c r="R901" t="s">
        <v>53</v>
      </c>
      <c r="S901" t="s">
        <v>33</v>
      </c>
      <c r="T901" t="s">
        <v>0</v>
      </c>
      <c r="U901">
        <v>0</v>
      </c>
    </row>
  </sheetData>
  <pageMargins left="0.7" right="0.7" top="0.75" bottom="0.75" header="0.3" footer="0.3"/>
  <customProperties>
    <customPr name="REFI_OFFICE_FUNCTION_DATA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8</v>
      </c>
      <c r="B1" s="2" t="s">
        <v>9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RIC_List</vt:lpstr>
      <vt:lpstr>QualityReport</vt:lpstr>
      <vt:lpstr>Staging</vt:lpstr>
      <vt:lpstr>DataCollection</vt:lpstr>
      <vt:lpstr>FAKE_DOWNLOAD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2025-11-04T09:48:04Z</dcterms:modified>
</cp:coreProperties>
</file>