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rl\Dropbox\MARINER\DOWNLOAD_FILES\0 - TEMPLATE\DOWNLOAD_MONTHLY\"/>
    </mc:Choice>
  </mc:AlternateContent>
  <xr:revisionPtr revIDLastSave="0" documentId="13_ncr:1_{F76A7893-5930-46C5-94B9-22658CE5B56F}" xr6:coauthVersionLast="47" xr6:coauthVersionMax="47" xr10:uidLastSave="{00000000-0000-0000-0000-000000000000}"/>
  <bookViews>
    <workbookView minimized="1" xWindow="-56640" yWindow="-840" windowWidth="21600" windowHeight="11235" tabRatio="902" xr2:uid="{00000000-000D-0000-FFFF-FFFF00000000}"/>
  </bookViews>
  <sheets>
    <sheet name="Config" sheetId="54" r:id="rId1"/>
    <sheet name="ChainDownload" sheetId="113" r:id="rId2"/>
    <sheet name="Future et co" sheetId="67" r:id="rId3"/>
    <sheet name="RIC_List" sheetId="73" r:id="rId4"/>
    <sheet name="QualityReport" sheetId="60" r:id="rId5"/>
    <sheet name="Staging" sheetId="59" r:id="rId6"/>
    <sheet name="DataCollection" sheetId="58" r:id="rId7"/>
  </sheets>
  <functionGroups builtInGroupCount="19"/>
  <definedNames>
    <definedName name="_xlnm._FilterDatabase" localSheetId="6" hidden="1">DataCollection!$A$1:$AB$6001</definedName>
    <definedName name="_xlnm._FilterDatabase" localSheetId="3" hidden="1">RIC_List!$A$1:$H$621</definedName>
    <definedName name="_xlnm._FilterDatabase" localSheetId="5" hidden="1">Staging!$A$1:$AB$108</definedName>
    <definedName name="_xleta.T" hidden="1" xlm="1">#NAME?</definedName>
    <definedName name="_xleta.VLOOKUP" hidden="1" xlm="1">#NAME?</definedName>
    <definedName name="batchSize">Config!$C$15</definedName>
    <definedName name="currency">Config!$C$12</definedName>
    <definedName name="dailyCall">Config!$V$6</definedName>
    <definedName name="dailyPut">Config!$V$7</definedName>
    <definedName name="dateEnd">Config!$C$14</definedName>
    <definedName name="dateStart">Config!$C$13</definedName>
    <definedName name="internalId">Config!$C$19</definedName>
    <definedName name="lotSize">Config!$C$17</definedName>
    <definedName name="maturityDate">Config!$L$37:$L$55</definedName>
    <definedName name="maxStrikeCall">Config!$M$30</definedName>
    <definedName name="maxStrikePut">Config!$M$28</definedName>
    <definedName name="methodRICBB">Config!$C$11</definedName>
    <definedName name="minStrikeCall">Config!$M$29</definedName>
    <definedName name="minStrikePut">Config!$M$27</definedName>
    <definedName name="monthCall">Config!$R$7:$R$18</definedName>
    <definedName name="monthFutureBloomberg">Config!$S$22:$S$33</definedName>
    <definedName name="monthFutureRIC">Config!$R$22:$R$33</definedName>
    <definedName name="monthPut">Config!$S$7:$S$18</definedName>
    <definedName name="namePrefix">Config!$C$16</definedName>
    <definedName name="optionFrequency">Config!$C$9</definedName>
    <definedName name="optionMonthCodeMethod">Config!$C$10</definedName>
    <definedName name="RatesEUR">'Future et co'!$AB$11</definedName>
    <definedName name="RatesEUR1y">'Future et co'!$AN$11</definedName>
    <definedName name="RatesEUR3m">'Future et co'!$AF$11</definedName>
    <definedName name="RatesEUR6m">'Future et co'!$AJ$11</definedName>
    <definedName name="RatesGBP">'Future et co'!$AS$11</definedName>
    <definedName name="RatesUSD">'Future et co'!$J$11</definedName>
    <definedName name="RatesUSD1y">'Future et co'!$R$11</definedName>
    <definedName name="RatesUSD2y">'Future et co'!$V$11</definedName>
    <definedName name="RatesUSD6m">'Future et co'!$N$11</definedName>
    <definedName name="RFR">'Future et co'!$C$10</definedName>
    <definedName name="RicBloomberg">Config!$E$64:$E$82</definedName>
    <definedName name="rootBB">Config!$C$8</definedName>
    <definedName name="rootRIC">Config!$C$6</definedName>
    <definedName name="rootUnderlyingBB">Config!$C$7</definedName>
    <definedName name="rootUnderlyingRIC">Config!$C$5</definedName>
    <definedName name="steps">Config!$M$31</definedName>
    <definedName name="strikeMultiplier">Config!$C$18</definedName>
    <definedName name="UnderlyingDownload">'Future et co'!$AY$9</definedName>
    <definedName name="UnderlyingEndDate">'Future et co'!$AY$7</definedName>
    <definedName name="underlyingMonthMode">Config!$C$20</definedName>
    <definedName name="UnderlyingStartDate">'Future et co'!$AY$6</definedName>
    <definedName name="underlyingTicker">Config!$C$7</definedName>
    <definedName name="UnderylingEndDate">'Future et co'!$AY$7</definedName>
    <definedName name="UnderylingStartDate">'Future et co'!$AY$6</definedName>
    <definedName name="weeklyCall">Config!$V$10</definedName>
    <definedName name="weeklyPut">Config!$V$11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Y6" i="67" l="1"/>
  <c r="AU11" i="67"/>
  <c r="A2" i="58"/>
  <c r="AX11" i="67"/>
  <c r="BA11" i="67"/>
  <c r="F2" i="58" l="1"/>
  <c r="C14" i="54" l="1"/>
  <c r="AY7" i="67" s="1"/>
  <c r="B6" i="67" l="1"/>
  <c r="L11" i="67"/>
  <c r="P11" i="67"/>
  <c r="T11" i="67"/>
  <c r="X11" i="67"/>
  <c r="AD11" i="67"/>
  <c r="AH11" i="67"/>
  <c r="AL11" i="67"/>
  <c r="AP11" i="67"/>
  <c r="AJ11" i="67" a="1"/>
  <c r="J11" i="67" a="1"/>
  <c r="N11" i="67" a="1"/>
  <c r="R11" i="67" a="1"/>
  <c r="AB11" i="67" a="1"/>
  <c r="AS11" i="67" a="1"/>
  <c r="AF11" i="67" a="1"/>
  <c r="V11" i="67" a="1"/>
  <c r="AN11" i="67" a="1"/>
  <c r="AF11" i="67" l="1"/>
  <c r="AB11" i="67"/>
  <c r="V11" i="67"/>
  <c r="AS11" i="67"/>
  <c r="R11" i="67"/>
  <c r="AN11" i="67"/>
  <c r="N11" i="67"/>
  <c r="AJ11" i="67"/>
  <c r="J11" i="67"/>
  <c r="A11" i="67"/>
  <c r="F11" i="67" l="1"/>
  <c r="A12" i="67"/>
  <c r="B7" i="67"/>
  <c r="F12" i="67" l="1"/>
  <c r="A13" i="67"/>
  <c r="B11" i="67"/>
  <c r="D11" i="67" s="1"/>
  <c r="B12" i="67"/>
  <c r="D12" i="67" l="1"/>
  <c r="F13" i="67"/>
  <c r="A14" i="67"/>
  <c r="B13" i="67"/>
  <c r="E11" i="67"/>
  <c r="C11" i="67" s="1"/>
  <c r="E12" i="67" l="1"/>
  <c r="C12" i="67" s="1"/>
  <c r="D13" i="67"/>
  <c r="F14" i="67"/>
  <c r="A15" i="67"/>
  <c r="B14" i="67"/>
  <c r="E13" i="67" l="1"/>
  <c r="C13" i="67" s="1"/>
  <c r="D14" i="67"/>
  <c r="F15" i="67"/>
  <c r="A16" i="67"/>
  <c r="B15" i="67"/>
  <c r="E14" i="67" l="1"/>
  <c r="E15" i="67" s="1"/>
  <c r="C14" i="67"/>
  <c r="D15" i="67"/>
  <c r="F16" i="67"/>
  <c r="A17" i="67"/>
  <c r="B16" i="67"/>
  <c r="C15" i="67" l="1"/>
  <c r="D16" i="67"/>
  <c r="E16" i="67"/>
  <c r="F17" i="67"/>
  <c r="A18" i="67"/>
  <c r="B17" i="67"/>
  <c r="C16" i="67" l="1"/>
  <c r="F18" i="67"/>
  <c r="A19" i="67"/>
  <c r="B18" i="67"/>
  <c r="D17" i="67"/>
  <c r="E17" i="67"/>
  <c r="C17" i="67" l="1"/>
  <c r="D18" i="67"/>
  <c r="E18" i="67"/>
  <c r="F19" i="67"/>
  <c r="A20" i="67"/>
  <c r="B19" i="67"/>
  <c r="C18" i="67" l="1"/>
  <c r="D19" i="67"/>
  <c r="E19" i="67"/>
  <c r="F20" i="67"/>
  <c r="A21" i="67"/>
  <c r="B20" i="67"/>
  <c r="C19" i="67" l="1"/>
  <c r="F21" i="67"/>
  <c r="A22" i="67"/>
  <c r="B21" i="67"/>
  <c r="D20" i="67"/>
  <c r="E20" i="67"/>
  <c r="C20" i="67" l="1"/>
  <c r="D21" i="67"/>
  <c r="E21" i="67"/>
  <c r="F22" i="67"/>
  <c r="A23" i="67"/>
  <c r="B22" i="67"/>
  <c r="C21" i="67" l="1"/>
  <c r="D22" i="67"/>
  <c r="E22" i="67"/>
  <c r="F23" i="67"/>
  <c r="A24" i="67"/>
  <c r="B23" i="67"/>
  <c r="C22" i="67" l="1"/>
  <c r="F24" i="67"/>
  <c r="B24" i="67"/>
  <c r="A25" i="67"/>
  <c r="D23" i="67"/>
  <c r="E23" i="67"/>
  <c r="C23" i="67" l="1"/>
  <c r="F25" i="67"/>
  <c r="A26" i="67"/>
  <c r="B25" i="67"/>
  <c r="D24" i="67"/>
  <c r="E24" i="67"/>
  <c r="C24" i="67" l="1"/>
  <c r="F26" i="67"/>
  <c r="A27" i="67"/>
  <c r="B26" i="67"/>
  <c r="D25" i="67"/>
  <c r="E25" i="67"/>
  <c r="C25" i="67" l="1"/>
  <c r="D26" i="67"/>
  <c r="E26" i="67"/>
  <c r="F27" i="67"/>
  <c r="A28" i="67"/>
  <c r="B27" i="67"/>
  <c r="C26" i="67" l="1"/>
  <c r="D27" i="67"/>
  <c r="E27" i="67"/>
  <c r="F28" i="67"/>
  <c r="A29" i="67"/>
  <c r="B28" i="67"/>
  <c r="C27" i="67" l="1"/>
  <c r="D28" i="67"/>
  <c r="E28" i="67"/>
  <c r="F29" i="67"/>
  <c r="A30" i="67"/>
  <c r="B29" i="67"/>
  <c r="C28" i="67" l="1"/>
  <c r="D29" i="67"/>
  <c r="E29" i="67"/>
  <c r="F30" i="67"/>
  <c r="A31" i="67"/>
  <c r="B30" i="67"/>
  <c r="C29" i="67" l="1"/>
  <c r="F31" i="67"/>
  <c r="A32" i="67"/>
  <c r="B31" i="67"/>
  <c r="D30" i="67"/>
  <c r="E30" i="67"/>
  <c r="C30" i="67" l="1"/>
  <c r="D31" i="67"/>
  <c r="E31" i="67"/>
  <c r="F32" i="67"/>
  <c r="B32" i="67"/>
  <c r="A33" i="67"/>
  <c r="C31" i="67" l="1"/>
  <c r="F33" i="67"/>
  <c r="A34" i="67"/>
  <c r="B33" i="67"/>
  <c r="D32" i="67"/>
  <c r="E32" i="67"/>
  <c r="C32" i="67" l="1"/>
  <c r="F34" i="67"/>
  <c r="A35" i="67"/>
  <c r="B34" i="67"/>
  <c r="D33" i="67"/>
  <c r="E33" i="67"/>
  <c r="C33" i="67" l="1"/>
  <c r="D34" i="67"/>
  <c r="E34" i="67"/>
  <c r="F35" i="67"/>
  <c r="B35" i="67"/>
  <c r="A36" i="67"/>
  <c r="C34" i="67" l="1"/>
  <c r="F36" i="67"/>
  <c r="A37" i="67"/>
  <c r="B36" i="67"/>
  <c r="D35" i="67"/>
  <c r="E35" i="67"/>
  <c r="C35" i="67" l="1"/>
  <c r="D36" i="67"/>
  <c r="E36" i="67"/>
  <c r="F37" i="67"/>
  <c r="A38" i="67"/>
  <c r="B37" i="67"/>
  <c r="C36" i="67" l="1"/>
  <c r="D37" i="67"/>
  <c r="E37" i="67"/>
  <c r="F38" i="67"/>
  <c r="A39" i="67"/>
  <c r="B38" i="67"/>
  <c r="C37" i="67" l="1"/>
  <c r="F39" i="67"/>
  <c r="A40" i="67"/>
  <c r="B39" i="67"/>
  <c r="D38" i="67"/>
  <c r="E38" i="67"/>
  <c r="C38" i="67" l="1"/>
  <c r="D39" i="67"/>
  <c r="E39" i="67"/>
  <c r="F40" i="67"/>
  <c r="A41" i="67"/>
  <c r="B40" i="67"/>
  <c r="C39" i="67" l="1"/>
  <c r="D40" i="67"/>
  <c r="E40" i="67"/>
  <c r="F41" i="67"/>
  <c r="A42" i="67"/>
  <c r="B41" i="67"/>
  <c r="C40" i="67" l="1"/>
  <c r="F42" i="67"/>
  <c r="B42" i="67"/>
  <c r="A43" i="67"/>
  <c r="D41" i="67"/>
  <c r="E41" i="67"/>
  <c r="C41" i="67" l="1"/>
  <c r="D42" i="67"/>
  <c r="E42" i="67"/>
  <c r="F43" i="67"/>
  <c r="A44" i="67"/>
  <c r="B43" i="67"/>
  <c r="C42" i="67" l="1"/>
  <c r="D43" i="67"/>
  <c r="E43" i="67"/>
  <c r="F44" i="67"/>
  <c r="A45" i="67"/>
  <c r="B44" i="67"/>
  <c r="C43" i="67" l="1"/>
  <c r="D44" i="67"/>
  <c r="E44" i="67"/>
  <c r="F45" i="67"/>
  <c r="A46" i="67"/>
  <c r="B45" i="67"/>
  <c r="C44" i="67" l="1"/>
  <c r="D45" i="67"/>
  <c r="E45" i="67"/>
  <c r="F46" i="67"/>
  <c r="B46" i="67"/>
  <c r="A47" i="67"/>
  <c r="C45" i="67" l="1"/>
  <c r="F47" i="67"/>
  <c r="A48" i="67"/>
  <c r="B47" i="67"/>
  <c r="D46" i="67"/>
  <c r="E46" i="67"/>
  <c r="C46" i="67" l="1"/>
  <c r="D47" i="67"/>
  <c r="E47" i="67"/>
  <c r="F48" i="67"/>
  <c r="A49" i="67"/>
  <c r="B48" i="67"/>
  <c r="C47" i="67" l="1"/>
  <c r="D48" i="67"/>
  <c r="E48" i="67"/>
  <c r="F49" i="67"/>
  <c r="B49" i="67"/>
  <c r="A50" i="67"/>
  <c r="C48" i="67" l="1"/>
  <c r="F50" i="67"/>
  <c r="A51" i="67"/>
  <c r="B50" i="67"/>
  <c r="D49" i="67"/>
  <c r="E49" i="67"/>
  <c r="C49" i="67" l="1"/>
  <c r="D50" i="67"/>
  <c r="E50" i="67"/>
  <c r="F51" i="67"/>
  <c r="A52" i="67"/>
  <c r="B51" i="67"/>
  <c r="C50" i="67" l="1"/>
  <c r="D51" i="67"/>
  <c r="E51" i="67"/>
  <c r="F52" i="67"/>
  <c r="A53" i="67"/>
  <c r="B52" i="67"/>
  <c r="C51" i="67" l="1"/>
  <c r="D52" i="67"/>
  <c r="E52" i="67"/>
  <c r="F53" i="67"/>
  <c r="A54" i="67"/>
  <c r="B53" i="67"/>
  <c r="C52" i="67" l="1"/>
  <c r="D53" i="67"/>
  <c r="E53" i="67"/>
  <c r="F54" i="67"/>
  <c r="A55" i="67"/>
  <c r="B54" i="67"/>
  <c r="C53" i="67" l="1"/>
  <c r="D54" i="67"/>
  <c r="E54" i="67"/>
  <c r="F55" i="67"/>
  <c r="A56" i="67"/>
  <c r="B55" i="67"/>
  <c r="C54" i="67" l="1"/>
  <c r="F56" i="67"/>
  <c r="A57" i="67"/>
  <c r="B56" i="67"/>
  <c r="D55" i="67"/>
  <c r="E55" i="67"/>
  <c r="C55" i="67" l="1"/>
  <c r="F57" i="67"/>
  <c r="A58" i="67"/>
  <c r="B57" i="67"/>
  <c r="D56" i="67"/>
  <c r="E56" i="67"/>
  <c r="C56" i="67" l="1"/>
  <c r="D57" i="67"/>
  <c r="E57" i="67"/>
  <c r="F58" i="67"/>
  <c r="A59" i="67"/>
  <c r="B58" i="67"/>
  <c r="C57" i="67" l="1"/>
  <c r="D58" i="67"/>
  <c r="E58" i="67"/>
  <c r="F59" i="67"/>
  <c r="A60" i="67"/>
  <c r="B59" i="67"/>
  <c r="C58" i="67" l="1"/>
  <c r="D59" i="67"/>
  <c r="E59" i="67"/>
  <c r="F60" i="67"/>
  <c r="A61" i="67"/>
  <c r="B60" i="67"/>
  <c r="C59" i="67" l="1"/>
  <c r="D60" i="67"/>
  <c r="E60" i="67"/>
  <c r="F61" i="67"/>
  <c r="A62" i="67"/>
  <c r="B61" i="67"/>
  <c r="C60" i="67" l="1"/>
  <c r="D61" i="67"/>
  <c r="E61" i="67"/>
  <c r="F62" i="67"/>
  <c r="A63" i="67"/>
  <c r="B62" i="67"/>
  <c r="C61" i="67" l="1"/>
  <c r="D62" i="67"/>
  <c r="E62" i="67"/>
  <c r="F63" i="67"/>
  <c r="A64" i="67"/>
  <c r="B63" i="67"/>
  <c r="C62" i="67" l="1"/>
  <c r="D63" i="67"/>
  <c r="E63" i="67"/>
  <c r="F64" i="67"/>
  <c r="A65" i="67"/>
  <c r="B64" i="67"/>
  <c r="C63" i="67" l="1"/>
  <c r="D64" i="67"/>
  <c r="E64" i="67"/>
  <c r="F65" i="67"/>
  <c r="A66" i="67"/>
  <c r="B65" i="67"/>
  <c r="C64" i="67" l="1"/>
  <c r="D65" i="67"/>
  <c r="E65" i="67"/>
  <c r="F66" i="67"/>
  <c r="A67" i="67"/>
  <c r="B66" i="67"/>
  <c r="C65" i="67" l="1"/>
  <c r="D66" i="67"/>
  <c r="E66" i="67"/>
  <c r="F67" i="67"/>
  <c r="A68" i="67"/>
  <c r="B67" i="67"/>
  <c r="C66" i="67" l="1"/>
  <c r="D67" i="67"/>
  <c r="E67" i="67"/>
  <c r="F68" i="67"/>
  <c r="A69" i="67"/>
  <c r="B68" i="67"/>
  <c r="C67" i="67" l="1"/>
  <c r="D68" i="67"/>
  <c r="E68" i="67"/>
  <c r="F69" i="67"/>
  <c r="A70" i="67"/>
  <c r="B69" i="67"/>
  <c r="C68" i="67" l="1"/>
  <c r="D69" i="67"/>
  <c r="E69" i="67"/>
  <c r="F70" i="67"/>
  <c r="A71" i="67"/>
  <c r="B70" i="67"/>
  <c r="C69" i="67" l="1"/>
  <c r="D70" i="67"/>
  <c r="E70" i="67"/>
  <c r="F71" i="67"/>
  <c r="A72" i="67"/>
  <c r="B71" i="67"/>
  <c r="C70" i="67" l="1"/>
  <c r="D71" i="67"/>
  <c r="E71" i="67"/>
  <c r="F72" i="67"/>
  <c r="A73" i="67"/>
  <c r="B72" i="67"/>
  <c r="C71" i="67" l="1"/>
  <c r="D72" i="67"/>
  <c r="E72" i="67"/>
  <c r="F73" i="67"/>
  <c r="B73" i="67"/>
  <c r="A74" i="67"/>
  <c r="C72" i="67" l="1"/>
  <c r="F74" i="67"/>
  <c r="B74" i="67"/>
  <c r="A75" i="67"/>
  <c r="D73" i="67"/>
  <c r="E73" i="67"/>
  <c r="C73" i="67" l="1"/>
  <c r="F75" i="67"/>
  <c r="B75" i="67"/>
  <c r="A76" i="67"/>
  <c r="D74" i="67"/>
  <c r="E74" i="67"/>
  <c r="C74" i="67" l="1"/>
  <c r="F76" i="67"/>
  <c r="B76" i="67"/>
  <c r="A77" i="67"/>
  <c r="D75" i="67"/>
  <c r="E75" i="67"/>
  <c r="C75" i="67" l="1"/>
  <c r="F77" i="67"/>
  <c r="B77" i="67"/>
  <c r="A78" i="67"/>
  <c r="D76" i="67"/>
  <c r="E76" i="67"/>
  <c r="C76" i="67" l="1"/>
  <c r="F78" i="67"/>
  <c r="A79" i="67"/>
  <c r="B78" i="67"/>
  <c r="D77" i="67"/>
  <c r="E77" i="67"/>
  <c r="C77" i="67" l="1"/>
  <c r="D78" i="67"/>
  <c r="E78" i="67"/>
  <c r="F79" i="67"/>
  <c r="A80" i="67"/>
  <c r="B79" i="67"/>
  <c r="C78" i="67" l="1"/>
  <c r="D79" i="67"/>
  <c r="E79" i="67"/>
  <c r="F80" i="67"/>
  <c r="A81" i="67"/>
  <c r="B80" i="67"/>
  <c r="C79" i="67" l="1"/>
  <c r="D80" i="67"/>
  <c r="E80" i="67"/>
  <c r="F81" i="67"/>
  <c r="A82" i="67"/>
  <c r="B81" i="67"/>
  <c r="C80" i="67" l="1"/>
  <c r="D81" i="67"/>
  <c r="E81" i="67"/>
  <c r="F82" i="67"/>
  <c r="A83" i="67"/>
  <c r="B82" i="67"/>
  <c r="C81" i="67" l="1"/>
  <c r="D82" i="67"/>
  <c r="E82" i="67"/>
  <c r="F83" i="67"/>
  <c r="A84" i="67"/>
  <c r="B83" i="67"/>
  <c r="C82" i="67" l="1"/>
  <c r="D83" i="67"/>
  <c r="E83" i="67"/>
  <c r="F84" i="67"/>
  <c r="A85" i="67"/>
  <c r="B84" i="67"/>
  <c r="C83" i="67" l="1"/>
  <c r="F85" i="67"/>
  <c r="B85" i="67"/>
  <c r="A86" i="67"/>
  <c r="D84" i="67"/>
  <c r="E84" i="67"/>
  <c r="C84" i="67" l="1"/>
  <c r="F86" i="67"/>
  <c r="A87" i="67"/>
  <c r="B86" i="67"/>
  <c r="D85" i="67"/>
  <c r="E85" i="67"/>
  <c r="C85" i="67" l="1"/>
  <c r="D86" i="67"/>
  <c r="E86" i="67"/>
  <c r="F87" i="67"/>
  <c r="A88" i="67"/>
  <c r="B87" i="67"/>
  <c r="C86" i="67" l="1"/>
  <c r="D87" i="67"/>
  <c r="E87" i="67"/>
  <c r="F88" i="67"/>
  <c r="A89" i="67"/>
  <c r="B88" i="67"/>
  <c r="C87" i="67" l="1"/>
  <c r="D88" i="67"/>
  <c r="E88" i="67"/>
  <c r="F89" i="67"/>
  <c r="B89" i="67"/>
  <c r="A90" i="67"/>
  <c r="C88" i="67" l="1"/>
  <c r="F90" i="67"/>
  <c r="B90" i="67"/>
  <c r="A91" i="67"/>
  <c r="D89" i="67"/>
  <c r="E89" i="67"/>
  <c r="C89" i="67" l="1"/>
  <c r="F91" i="67"/>
  <c r="A92" i="67"/>
  <c r="B91" i="67"/>
  <c r="D90" i="67"/>
  <c r="E90" i="67"/>
  <c r="C90" i="67" l="1"/>
  <c r="D91" i="67"/>
  <c r="E91" i="67"/>
  <c r="F92" i="67"/>
  <c r="A93" i="67"/>
  <c r="B92" i="67"/>
  <c r="C91" i="67" l="1"/>
  <c r="D92" i="67"/>
  <c r="E92" i="67"/>
  <c r="F93" i="67"/>
  <c r="A94" i="67"/>
  <c r="B93" i="67"/>
  <c r="C92" i="67" l="1"/>
  <c r="D93" i="67"/>
  <c r="E93" i="67"/>
  <c r="F94" i="67"/>
  <c r="A95" i="67"/>
  <c r="B94" i="67"/>
  <c r="C93" i="67" l="1"/>
  <c r="D94" i="67"/>
  <c r="E94" i="67"/>
  <c r="F95" i="67"/>
  <c r="A96" i="67"/>
  <c r="B95" i="67"/>
  <c r="C94" i="67" l="1"/>
  <c r="F96" i="67"/>
  <c r="A97" i="67"/>
  <c r="B96" i="67"/>
  <c r="D95" i="67"/>
  <c r="E95" i="67"/>
  <c r="C95" i="67" l="1"/>
  <c r="D96" i="67"/>
  <c r="E96" i="67"/>
  <c r="F97" i="67"/>
  <c r="A98" i="67"/>
  <c r="B97" i="67"/>
  <c r="C96" i="67" l="1"/>
  <c r="D97" i="67"/>
  <c r="E97" i="67"/>
  <c r="F98" i="67"/>
  <c r="A99" i="67"/>
  <c r="B98" i="67"/>
  <c r="C97" i="67" l="1"/>
  <c r="D98" i="67"/>
  <c r="E98" i="67"/>
  <c r="F99" i="67"/>
  <c r="A100" i="67"/>
  <c r="B99" i="67"/>
  <c r="C98" i="67" l="1"/>
  <c r="D99" i="67"/>
  <c r="E99" i="67"/>
  <c r="F100" i="67"/>
  <c r="A101" i="67"/>
  <c r="B100" i="67"/>
  <c r="C99" i="67" l="1"/>
  <c r="D100" i="67"/>
  <c r="E100" i="67"/>
  <c r="F101" i="67"/>
  <c r="A102" i="67"/>
  <c r="B101" i="67"/>
  <c r="C100" i="67" l="1"/>
  <c r="D101" i="67"/>
  <c r="E101" i="67"/>
  <c r="F102" i="67"/>
  <c r="A103" i="67"/>
  <c r="B102" i="67"/>
  <c r="C101" i="67" l="1"/>
  <c r="D102" i="67"/>
  <c r="E102" i="67"/>
  <c r="F103" i="67"/>
  <c r="A104" i="67"/>
  <c r="B103" i="67"/>
  <c r="C102" i="67" l="1"/>
  <c r="D103" i="67"/>
  <c r="E103" i="67"/>
  <c r="F104" i="67"/>
  <c r="B104" i="67"/>
  <c r="A105" i="67"/>
  <c r="C103" i="67" l="1"/>
  <c r="D104" i="67"/>
  <c r="E104" i="67"/>
  <c r="F105" i="67"/>
  <c r="A106" i="67"/>
  <c r="B105" i="67"/>
  <c r="C104" i="67" l="1"/>
  <c r="D105" i="67"/>
  <c r="E105" i="67"/>
  <c r="F106" i="67"/>
  <c r="A107" i="67"/>
  <c r="B106" i="67"/>
  <c r="C105" i="67" l="1"/>
  <c r="D106" i="67"/>
  <c r="E106" i="67"/>
  <c r="F107" i="67"/>
  <c r="B107" i="67"/>
  <c r="A108" i="67"/>
  <c r="C106" i="67" l="1"/>
  <c r="F108" i="67"/>
  <c r="A109" i="67"/>
  <c r="B108" i="67"/>
  <c r="D107" i="67"/>
  <c r="E107" i="67"/>
  <c r="C107" i="67" l="1"/>
  <c r="D108" i="67"/>
  <c r="E108" i="67"/>
  <c r="F109" i="67"/>
  <c r="A110" i="67"/>
  <c r="B109" i="67"/>
  <c r="C108" i="67" l="1"/>
  <c r="D109" i="67"/>
  <c r="E109" i="67"/>
  <c r="F110" i="67"/>
  <c r="A111" i="67"/>
  <c r="B110" i="67"/>
  <c r="C109" i="67" l="1"/>
  <c r="D110" i="67"/>
  <c r="E110" i="67"/>
  <c r="F111" i="67"/>
  <c r="B111" i="67"/>
  <c r="A112" i="67"/>
  <c r="C110" i="67" l="1"/>
  <c r="F112" i="67"/>
  <c r="A113" i="67"/>
  <c r="B112" i="67"/>
  <c r="D111" i="67"/>
  <c r="E111" i="67"/>
  <c r="C111" i="67" l="1"/>
  <c r="D112" i="67"/>
  <c r="E112" i="67"/>
  <c r="F113" i="67"/>
  <c r="A114" i="67"/>
  <c r="B113" i="67"/>
  <c r="C112" i="67" l="1"/>
  <c r="F114" i="67"/>
  <c r="B114" i="67"/>
  <c r="A115" i="67"/>
  <c r="D113" i="67"/>
  <c r="E113" i="67"/>
  <c r="C113" i="67" l="1"/>
  <c r="F115" i="67"/>
  <c r="A116" i="67"/>
  <c r="B115" i="67"/>
  <c r="D114" i="67"/>
  <c r="E114" i="67"/>
  <c r="C114" i="67" l="1"/>
  <c r="D115" i="67"/>
  <c r="E115" i="67"/>
  <c r="F116" i="67"/>
  <c r="B116" i="67"/>
  <c r="A117" i="67"/>
  <c r="C115" i="67" l="1"/>
  <c r="F117" i="67"/>
  <c r="A118" i="67"/>
  <c r="B117" i="67"/>
  <c r="D116" i="67"/>
  <c r="E116" i="67"/>
  <c r="C116" i="67" l="1"/>
  <c r="D117" i="67"/>
  <c r="E117" i="67"/>
  <c r="F118" i="67"/>
  <c r="A119" i="67"/>
  <c r="B118" i="67"/>
  <c r="C117" i="67" l="1"/>
  <c r="D118" i="67"/>
  <c r="E118" i="67"/>
  <c r="F119" i="67"/>
  <c r="B119" i="67"/>
  <c r="A120" i="67"/>
  <c r="C118" i="67" l="1"/>
  <c r="D119" i="67"/>
  <c r="E119" i="67"/>
  <c r="F120" i="67"/>
  <c r="A121" i="67"/>
  <c r="B120" i="67"/>
  <c r="C119" i="67" l="1"/>
  <c r="D120" i="67"/>
  <c r="E120" i="67"/>
  <c r="F121" i="67"/>
  <c r="A122" i="67"/>
  <c r="B121" i="67"/>
  <c r="C120" i="67" l="1"/>
  <c r="D121" i="67"/>
  <c r="E121" i="67"/>
  <c r="F122" i="67"/>
  <c r="A123" i="67"/>
  <c r="B122" i="67"/>
  <c r="C121" i="67" l="1"/>
  <c r="D122" i="67"/>
  <c r="E122" i="67"/>
  <c r="F123" i="67"/>
  <c r="A124" i="67"/>
  <c r="B123" i="67"/>
  <c r="C122" i="67" l="1"/>
  <c r="D123" i="67"/>
  <c r="E123" i="67"/>
  <c r="F124" i="67"/>
  <c r="A125" i="67"/>
  <c r="B124" i="67"/>
  <c r="C123" i="67" l="1"/>
  <c r="D124" i="67"/>
  <c r="E124" i="67"/>
  <c r="F125" i="67"/>
  <c r="A126" i="67"/>
  <c r="B125" i="67"/>
  <c r="C124" i="67" l="1"/>
  <c r="D125" i="67"/>
  <c r="E125" i="67"/>
  <c r="F126" i="67"/>
  <c r="A127" i="67"/>
  <c r="B126" i="67"/>
  <c r="C125" i="67" l="1"/>
  <c r="D126" i="67"/>
  <c r="E126" i="67"/>
  <c r="F127" i="67"/>
  <c r="A128" i="67"/>
  <c r="B127" i="67"/>
  <c r="C126" i="67" l="1"/>
  <c r="D127" i="67"/>
  <c r="E127" i="67"/>
  <c r="F128" i="67"/>
  <c r="A129" i="67"/>
  <c r="B128" i="67"/>
  <c r="C127" i="67" l="1"/>
  <c r="D128" i="67"/>
  <c r="E128" i="67"/>
  <c r="F129" i="67"/>
  <c r="A130" i="67"/>
  <c r="B129" i="67"/>
  <c r="C128" i="67" l="1"/>
  <c r="D129" i="67"/>
  <c r="E129" i="67"/>
  <c r="F130" i="67"/>
  <c r="A131" i="67"/>
  <c r="B130" i="67"/>
  <c r="C129" i="67" l="1"/>
  <c r="D130" i="67"/>
  <c r="E130" i="67"/>
  <c r="F131" i="67"/>
  <c r="A132" i="67"/>
  <c r="B131" i="67"/>
  <c r="C130" i="67" l="1"/>
  <c r="D131" i="67"/>
  <c r="E131" i="67"/>
  <c r="F132" i="67"/>
  <c r="A133" i="67"/>
  <c r="B132" i="67"/>
  <c r="C131" i="67" l="1"/>
  <c r="F133" i="67"/>
  <c r="A134" i="67"/>
  <c r="B133" i="67"/>
  <c r="D132" i="67"/>
  <c r="E132" i="67"/>
  <c r="C132" i="67" l="1"/>
  <c r="D133" i="67"/>
  <c r="E133" i="67"/>
  <c r="F134" i="67"/>
  <c r="A135" i="67"/>
  <c r="B134" i="67"/>
  <c r="C133" i="67" l="1"/>
  <c r="F135" i="67"/>
  <c r="A136" i="67"/>
  <c r="B135" i="67"/>
  <c r="D134" i="67"/>
  <c r="E134" i="67"/>
  <c r="C134" i="67" l="1"/>
  <c r="D135" i="67"/>
  <c r="E135" i="67"/>
  <c r="F136" i="67"/>
  <c r="A137" i="67"/>
  <c r="B136" i="67"/>
  <c r="C135" i="67" l="1"/>
  <c r="D136" i="67"/>
  <c r="E136" i="67"/>
  <c r="F137" i="67"/>
  <c r="A138" i="67"/>
  <c r="B137" i="67"/>
  <c r="C136" i="67" l="1"/>
  <c r="D137" i="67"/>
  <c r="E137" i="67"/>
  <c r="F138" i="67"/>
  <c r="A139" i="67"/>
  <c r="B138" i="67"/>
  <c r="C137" i="67" l="1"/>
  <c r="D138" i="67"/>
  <c r="E138" i="67"/>
  <c r="F139" i="67"/>
  <c r="A140" i="67"/>
  <c r="B139" i="67"/>
  <c r="C138" i="67" l="1"/>
  <c r="D139" i="67"/>
  <c r="E139" i="67"/>
  <c r="F140" i="67"/>
  <c r="A141" i="67"/>
  <c r="B140" i="67"/>
  <c r="C139" i="67" l="1"/>
  <c r="F141" i="67"/>
  <c r="A142" i="67"/>
  <c r="B141" i="67"/>
  <c r="D140" i="67"/>
  <c r="E140" i="67"/>
  <c r="C140" i="67" l="1"/>
  <c r="D141" i="67"/>
  <c r="E141" i="67"/>
  <c r="F142" i="67"/>
  <c r="A143" i="67"/>
  <c r="B142" i="67"/>
  <c r="C141" i="67" l="1"/>
  <c r="D142" i="67"/>
  <c r="E142" i="67"/>
  <c r="F143" i="67"/>
  <c r="A144" i="67"/>
  <c r="B143" i="67"/>
  <c r="C142" i="67" l="1"/>
  <c r="F144" i="67"/>
  <c r="A145" i="67"/>
  <c r="B144" i="67"/>
  <c r="D143" i="67"/>
  <c r="E143" i="67"/>
  <c r="C143" i="67" l="1"/>
  <c r="D144" i="67"/>
  <c r="E144" i="67"/>
  <c r="F145" i="67"/>
  <c r="A146" i="67"/>
  <c r="B145" i="67"/>
  <c r="C144" i="67" l="1"/>
  <c r="D145" i="67"/>
  <c r="E145" i="67"/>
  <c r="F146" i="67"/>
  <c r="A147" i="67"/>
  <c r="B146" i="67"/>
  <c r="C145" i="67" l="1"/>
  <c r="D146" i="67"/>
  <c r="E146" i="67"/>
  <c r="F147" i="67"/>
  <c r="A148" i="67"/>
  <c r="B147" i="67"/>
  <c r="C146" i="67" l="1"/>
  <c r="D147" i="67"/>
  <c r="E147" i="67"/>
  <c r="F148" i="67"/>
  <c r="A149" i="67"/>
  <c r="B148" i="67"/>
  <c r="C147" i="67" l="1"/>
  <c r="D148" i="67"/>
  <c r="E148" i="67"/>
  <c r="F149" i="67"/>
  <c r="A150" i="67"/>
  <c r="B149" i="67"/>
  <c r="C148" i="67" l="1"/>
  <c r="D149" i="67"/>
  <c r="E149" i="67"/>
  <c r="F150" i="67"/>
  <c r="A151" i="67"/>
  <c r="B150" i="67"/>
  <c r="C149" i="67" l="1"/>
  <c r="D150" i="67"/>
  <c r="E150" i="67"/>
  <c r="F151" i="67"/>
  <c r="A152" i="67"/>
  <c r="B151" i="67"/>
  <c r="C150" i="67" l="1"/>
  <c r="D151" i="67"/>
  <c r="E151" i="67"/>
  <c r="F152" i="67"/>
  <c r="A153" i="67"/>
  <c r="B152" i="67"/>
  <c r="C151" i="67" l="1"/>
  <c r="D152" i="67"/>
  <c r="E152" i="67"/>
  <c r="F153" i="67"/>
  <c r="A154" i="67"/>
  <c r="B153" i="67"/>
  <c r="C152" i="67" l="1"/>
  <c r="D153" i="67"/>
  <c r="E153" i="67"/>
  <c r="F154" i="67"/>
  <c r="A155" i="67"/>
  <c r="B154" i="67"/>
  <c r="C153" i="67" l="1"/>
  <c r="D154" i="67"/>
  <c r="E154" i="67"/>
  <c r="F155" i="67"/>
  <c r="A156" i="67"/>
  <c r="B155" i="67"/>
  <c r="C154" i="67" l="1"/>
  <c r="D155" i="67"/>
  <c r="E155" i="67"/>
  <c r="F156" i="67"/>
  <c r="A157" i="67"/>
  <c r="B156" i="67"/>
  <c r="C155" i="67" l="1"/>
  <c r="D156" i="67"/>
  <c r="E156" i="67"/>
  <c r="F157" i="67"/>
  <c r="B157" i="67"/>
  <c r="A158" i="67"/>
  <c r="C156" i="67" l="1"/>
  <c r="F158" i="67"/>
  <c r="A159" i="67"/>
  <c r="B158" i="67"/>
  <c r="D157" i="67"/>
  <c r="E157" i="67"/>
  <c r="C157" i="67" l="1"/>
  <c r="D158" i="67"/>
  <c r="E158" i="67"/>
  <c r="F159" i="67"/>
  <c r="A160" i="67"/>
  <c r="B159" i="67"/>
  <c r="C158" i="67" l="1"/>
  <c r="D159" i="67"/>
  <c r="E159" i="67"/>
  <c r="F160" i="67"/>
  <c r="A161" i="67"/>
  <c r="B160" i="67"/>
  <c r="C159" i="67" l="1"/>
  <c r="F161" i="67"/>
  <c r="A162" i="67"/>
  <c r="B161" i="67"/>
  <c r="D160" i="67"/>
  <c r="E160" i="67"/>
  <c r="C160" i="67" l="1"/>
  <c r="F162" i="67"/>
  <c r="A163" i="67"/>
  <c r="B162" i="67"/>
  <c r="D161" i="67"/>
  <c r="E161" i="67"/>
  <c r="C161" i="67" l="1"/>
  <c r="D162" i="67"/>
  <c r="E162" i="67"/>
  <c r="F163" i="67"/>
  <c r="A164" i="67"/>
  <c r="B163" i="67"/>
  <c r="C162" i="67" l="1"/>
  <c r="D163" i="67"/>
  <c r="E163" i="67"/>
  <c r="F164" i="67"/>
  <c r="A165" i="67"/>
  <c r="B164" i="67"/>
  <c r="C163" i="67" l="1"/>
  <c r="D164" i="67"/>
  <c r="E164" i="67"/>
  <c r="F165" i="67"/>
  <c r="A166" i="67"/>
  <c r="B165" i="67"/>
  <c r="C164" i="67" l="1"/>
  <c r="D165" i="67"/>
  <c r="E165" i="67"/>
  <c r="F166" i="67"/>
  <c r="A167" i="67"/>
  <c r="B166" i="67"/>
  <c r="C165" i="67" l="1"/>
  <c r="D166" i="67"/>
  <c r="E166" i="67"/>
  <c r="F167" i="67"/>
  <c r="A168" i="67"/>
  <c r="B167" i="67"/>
  <c r="C166" i="67" l="1"/>
  <c r="D167" i="67"/>
  <c r="E167" i="67"/>
  <c r="F168" i="67"/>
  <c r="A169" i="67"/>
  <c r="B168" i="67"/>
  <c r="C167" i="67" l="1"/>
  <c r="D168" i="67"/>
  <c r="E168" i="67"/>
  <c r="F169" i="67"/>
  <c r="A170" i="67"/>
  <c r="B169" i="67"/>
  <c r="C168" i="67" l="1"/>
  <c r="D169" i="67"/>
  <c r="E169" i="67"/>
  <c r="F170" i="67"/>
  <c r="A171" i="67"/>
  <c r="B170" i="67"/>
  <c r="C169" i="67" l="1"/>
  <c r="D170" i="67"/>
  <c r="E170" i="67"/>
  <c r="F171" i="67"/>
  <c r="B171" i="67"/>
  <c r="A172" i="67"/>
  <c r="C170" i="67" l="1"/>
  <c r="F172" i="67"/>
  <c r="A173" i="67"/>
  <c r="B172" i="67"/>
  <c r="D171" i="67"/>
  <c r="E171" i="67"/>
  <c r="C171" i="67" l="1"/>
  <c r="D172" i="67"/>
  <c r="E172" i="67"/>
  <c r="F173" i="67"/>
  <c r="A174" i="67"/>
  <c r="B173" i="67"/>
  <c r="C172" i="67" l="1"/>
  <c r="D173" i="67"/>
  <c r="E173" i="67"/>
  <c r="F174" i="67"/>
  <c r="A175" i="67"/>
  <c r="B174" i="67"/>
  <c r="C173" i="67" l="1"/>
  <c r="D174" i="67"/>
  <c r="E174" i="67"/>
  <c r="F175" i="67"/>
  <c r="A176" i="67"/>
  <c r="B175" i="67"/>
  <c r="C174" i="67" l="1"/>
  <c r="D175" i="67"/>
  <c r="E175" i="67"/>
  <c r="F176" i="67"/>
  <c r="A177" i="67"/>
  <c r="B176" i="67"/>
  <c r="C175" i="67" l="1"/>
  <c r="D176" i="67"/>
  <c r="E176" i="67"/>
  <c r="A178" i="67"/>
  <c r="F177" i="67"/>
  <c r="B177" i="67"/>
  <c r="C176" i="67" l="1"/>
  <c r="D177" i="67"/>
  <c r="E177" i="67"/>
  <c r="A179" i="67"/>
  <c r="F178" i="67"/>
  <c r="B178" i="67"/>
  <c r="C177" i="67" l="1"/>
  <c r="D178" i="67"/>
  <c r="E178" i="67"/>
  <c r="F179" i="67"/>
  <c r="A180" i="67"/>
  <c r="B179" i="67"/>
  <c r="C178" i="67" l="1"/>
  <c r="D179" i="67"/>
  <c r="E179" i="67"/>
  <c r="B180" i="67"/>
  <c r="F180" i="67"/>
  <c r="A181" i="67"/>
  <c r="C179" i="67" l="1"/>
  <c r="F181" i="67"/>
  <c r="A182" i="67"/>
  <c r="B181" i="67"/>
  <c r="D180" i="67"/>
  <c r="E180" i="67"/>
  <c r="C180" i="67" l="1"/>
  <c r="D181" i="67"/>
  <c r="E181" i="67"/>
  <c r="F182" i="67"/>
  <c r="A183" i="67"/>
  <c r="B182" i="67"/>
  <c r="C181" i="67" l="1"/>
  <c r="D182" i="67"/>
  <c r="E182" i="67"/>
  <c r="F183" i="67"/>
  <c r="B183" i="67"/>
  <c r="A184" i="67"/>
  <c r="C182" i="67" l="1"/>
  <c r="F184" i="67"/>
  <c r="A185" i="67"/>
  <c r="B184" i="67"/>
  <c r="D183" i="67"/>
  <c r="E183" i="67"/>
  <c r="C183" i="67" l="1"/>
  <c r="D184" i="67"/>
  <c r="E184" i="67"/>
  <c r="F185" i="67"/>
  <c r="A186" i="67"/>
  <c r="B185" i="67"/>
  <c r="C184" i="67" l="1"/>
  <c r="F186" i="67"/>
  <c r="A187" i="67"/>
  <c r="B186" i="67"/>
  <c r="D185" i="67"/>
  <c r="E185" i="67"/>
  <c r="C185" i="67" l="1"/>
  <c r="D186" i="67"/>
  <c r="E186" i="67"/>
  <c r="F187" i="67"/>
  <c r="B187" i="67"/>
  <c r="A188" i="67"/>
  <c r="C186" i="67" l="1"/>
  <c r="F188" i="67"/>
  <c r="A189" i="67"/>
  <c r="B188" i="67"/>
  <c r="D187" i="67"/>
  <c r="E187" i="67"/>
  <c r="C187" i="67" l="1"/>
  <c r="D188" i="67"/>
  <c r="E188" i="67"/>
  <c r="F189" i="67"/>
  <c r="A190" i="67"/>
  <c r="B189" i="67"/>
  <c r="C188" i="67" l="1"/>
  <c r="D189" i="67"/>
  <c r="E189" i="67"/>
  <c r="F190" i="67"/>
  <c r="A191" i="67"/>
  <c r="B190" i="67"/>
  <c r="C189" i="67" l="1"/>
  <c r="D190" i="67"/>
  <c r="E190" i="67"/>
  <c r="F191" i="67"/>
  <c r="A192" i="67"/>
  <c r="B191" i="67"/>
  <c r="C190" i="67" l="1"/>
  <c r="D191" i="67"/>
  <c r="E191" i="67"/>
  <c r="F192" i="67"/>
  <c r="B192" i="67"/>
  <c r="A193" i="67"/>
  <c r="C191" i="67" l="1"/>
  <c r="D192" i="67"/>
  <c r="E192" i="67"/>
  <c r="F193" i="67"/>
  <c r="A194" i="67"/>
  <c r="B193" i="67"/>
  <c r="C192" i="67" l="1"/>
  <c r="D193" i="67"/>
  <c r="E193" i="67"/>
  <c r="F194" i="67"/>
  <c r="A195" i="67"/>
  <c r="B194" i="67"/>
  <c r="C193" i="67" l="1"/>
  <c r="D194" i="67"/>
  <c r="E194" i="67"/>
  <c r="F195" i="67"/>
  <c r="B195" i="67"/>
  <c r="A196" i="67"/>
  <c r="C194" i="67" l="1"/>
  <c r="F196" i="67"/>
  <c r="A197" i="67"/>
  <c r="B196" i="67"/>
  <c r="D195" i="67"/>
  <c r="E195" i="67"/>
  <c r="C195" i="67" l="1"/>
  <c r="D196" i="67"/>
  <c r="E196" i="67"/>
  <c r="B197" i="67"/>
  <c r="F197" i="67"/>
  <c r="A198" i="67"/>
  <c r="C196" i="67" l="1"/>
  <c r="F198" i="67"/>
  <c r="A199" i="67"/>
  <c r="B198" i="67"/>
  <c r="D197" i="67"/>
  <c r="E197" i="67"/>
  <c r="C197" i="67" l="1"/>
  <c r="D198" i="67"/>
  <c r="E198" i="67"/>
  <c r="B199" i="67"/>
  <c r="F199" i="67"/>
  <c r="A200" i="67"/>
  <c r="C198" i="67" l="1"/>
  <c r="B200" i="67"/>
  <c r="F200" i="67"/>
  <c r="A201" i="67"/>
  <c r="D199" i="67"/>
  <c r="E199" i="67"/>
  <c r="C199" i="67" l="1"/>
  <c r="D200" i="67"/>
  <c r="E200" i="67"/>
  <c r="F201" i="67"/>
  <c r="A202" i="67"/>
  <c r="B201" i="67"/>
  <c r="C200" i="67" l="1"/>
  <c r="D201" i="67"/>
  <c r="E201" i="67"/>
  <c r="F202" i="67"/>
  <c r="A203" i="67"/>
  <c r="B202" i="67"/>
  <c r="C201" i="67" l="1"/>
  <c r="D202" i="67"/>
  <c r="E202" i="67"/>
  <c r="B203" i="67"/>
  <c r="A204" i="67"/>
  <c r="F203" i="67"/>
  <c r="C202" i="67" l="1"/>
  <c r="F204" i="67"/>
  <c r="A205" i="67"/>
  <c r="B204" i="67"/>
  <c r="D203" i="67"/>
  <c r="E203" i="67"/>
  <c r="C203" i="67" l="1"/>
  <c r="D204" i="67"/>
  <c r="E204" i="67"/>
  <c r="F205" i="67"/>
  <c r="A206" i="67"/>
  <c r="B205" i="67"/>
  <c r="C204" i="67" l="1"/>
  <c r="D205" i="67"/>
  <c r="E205" i="67"/>
  <c r="F206" i="67"/>
  <c r="A207" i="67"/>
  <c r="B206" i="67"/>
  <c r="C205" i="67" l="1"/>
  <c r="D206" i="67"/>
  <c r="E206" i="67"/>
  <c r="F207" i="67"/>
  <c r="A208" i="67"/>
  <c r="B207" i="67"/>
  <c r="C206" i="67" l="1"/>
  <c r="F208" i="67"/>
  <c r="A209" i="67"/>
  <c r="B208" i="67"/>
  <c r="D207" i="67"/>
  <c r="E207" i="67"/>
  <c r="C207" i="67" l="1"/>
  <c r="D208" i="67"/>
  <c r="E208" i="67"/>
  <c r="F209" i="67"/>
  <c r="A210" i="67"/>
  <c r="B209" i="67"/>
  <c r="C208" i="67" l="1"/>
  <c r="D209" i="67"/>
  <c r="E209" i="67"/>
  <c r="F210" i="67"/>
  <c r="B210" i="67"/>
  <c r="A211" i="67"/>
  <c r="C209" i="67" l="1"/>
  <c r="B211" i="67"/>
  <c r="F211" i="67"/>
  <c r="A212" i="67"/>
  <c r="D210" i="67"/>
  <c r="E210" i="67"/>
  <c r="C210" i="67" l="1"/>
  <c r="F212" i="67"/>
  <c r="A213" i="67"/>
  <c r="B212" i="67"/>
  <c r="D211" i="67"/>
  <c r="E211" i="67"/>
  <c r="C211" i="67" l="1"/>
  <c r="D212" i="67"/>
  <c r="E212" i="67"/>
  <c r="F213" i="67"/>
  <c r="A214" i="67"/>
  <c r="B213" i="67"/>
  <c r="C212" i="67" l="1"/>
  <c r="F214" i="67"/>
  <c r="A215" i="67"/>
  <c r="B214" i="67"/>
  <c r="D213" i="67"/>
  <c r="E213" i="67"/>
  <c r="C213" i="67" l="1"/>
  <c r="D214" i="67"/>
  <c r="E214" i="67"/>
  <c r="F215" i="67"/>
  <c r="A216" i="67"/>
  <c r="B215" i="67"/>
  <c r="C214" i="67" l="1"/>
  <c r="D215" i="67"/>
  <c r="E215" i="67"/>
  <c r="F216" i="67"/>
  <c r="A217" i="67"/>
  <c r="B216" i="67"/>
  <c r="C215" i="67" l="1"/>
  <c r="F217" i="67"/>
  <c r="A218" i="67"/>
  <c r="B217" i="67"/>
  <c r="D216" i="67"/>
  <c r="E216" i="67"/>
  <c r="C216" i="67" l="1"/>
  <c r="D217" i="67"/>
  <c r="E217" i="67"/>
  <c r="F218" i="67"/>
  <c r="A219" i="67"/>
  <c r="B218" i="67"/>
  <c r="C217" i="67" l="1"/>
  <c r="D218" i="67"/>
  <c r="E218" i="67"/>
  <c r="F219" i="67"/>
  <c r="A220" i="67"/>
  <c r="B219" i="67"/>
  <c r="C218" i="67" l="1"/>
  <c r="D219" i="67"/>
  <c r="E219" i="67"/>
  <c r="F220" i="67"/>
  <c r="A221" i="67"/>
  <c r="B220" i="67"/>
  <c r="C219" i="67" l="1"/>
  <c r="D220" i="67"/>
  <c r="E220" i="67"/>
  <c r="F221" i="67"/>
  <c r="A222" i="67"/>
  <c r="B221" i="67"/>
  <c r="C220" i="67" l="1"/>
  <c r="D221" i="67"/>
  <c r="E221" i="67"/>
  <c r="F222" i="67"/>
  <c r="A223" i="67"/>
  <c r="B222" i="67"/>
  <c r="C221" i="67" l="1"/>
  <c r="D222" i="67"/>
  <c r="E222" i="67"/>
  <c r="F223" i="67"/>
  <c r="A224" i="67"/>
  <c r="B223" i="67"/>
  <c r="C222" i="67" l="1"/>
  <c r="D223" i="67"/>
  <c r="E223" i="67"/>
  <c r="F224" i="67"/>
  <c r="A225" i="67"/>
  <c r="B224" i="67"/>
  <c r="C223" i="67" l="1"/>
  <c r="D224" i="67"/>
  <c r="E224" i="67"/>
  <c r="F225" i="67"/>
  <c r="B225" i="67"/>
  <c r="A226" i="67"/>
  <c r="C224" i="67" l="1"/>
  <c r="D225" i="67"/>
  <c r="E225" i="67"/>
  <c r="F226" i="67"/>
  <c r="A227" i="67"/>
  <c r="B226" i="67"/>
  <c r="C225" i="67" l="1"/>
  <c r="D226" i="67"/>
  <c r="E226" i="67"/>
  <c r="F227" i="67"/>
  <c r="A228" i="67"/>
  <c r="B227" i="67"/>
  <c r="C226" i="67" l="1"/>
  <c r="D227" i="67"/>
  <c r="E227" i="67"/>
  <c r="F228" i="67"/>
  <c r="A229" i="67"/>
  <c r="B228" i="67"/>
  <c r="C227" i="67" l="1"/>
  <c r="D228" i="67"/>
  <c r="E228" i="67"/>
  <c r="B229" i="67"/>
  <c r="F229" i="67"/>
  <c r="A230" i="67"/>
  <c r="C228" i="67" l="1"/>
  <c r="F230" i="67"/>
  <c r="A231" i="67"/>
  <c r="B230" i="67"/>
  <c r="D229" i="67"/>
  <c r="E229" i="67"/>
  <c r="C229" i="67" l="1"/>
  <c r="D230" i="67"/>
  <c r="E230" i="67"/>
  <c r="F231" i="67"/>
  <c r="A232" i="67"/>
  <c r="B231" i="67"/>
  <c r="C230" i="67" l="1"/>
  <c r="D231" i="67"/>
  <c r="E231" i="67"/>
  <c r="F232" i="67"/>
  <c r="A233" i="67"/>
  <c r="B232" i="67"/>
  <c r="C231" i="67" l="1"/>
  <c r="D232" i="67"/>
  <c r="E232" i="67"/>
  <c r="B233" i="67"/>
  <c r="F233" i="67"/>
  <c r="A234" i="67"/>
  <c r="C232" i="67" l="1"/>
  <c r="F234" i="67"/>
  <c r="B234" i="67"/>
  <c r="A235" i="67"/>
  <c r="D233" i="67"/>
  <c r="E233" i="67"/>
  <c r="C233" i="67" l="1"/>
  <c r="F235" i="67"/>
  <c r="A236" i="67"/>
  <c r="B235" i="67"/>
  <c r="D234" i="67"/>
  <c r="E234" i="67"/>
  <c r="C234" i="67" l="1"/>
  <c r="D235" i="67"/>
  <c r="E235" i="67"/>
  <c r="F236" i="67"/>
  <c r="A237" i="67"/>
  <c r="B236" i="67"/>
  <c r="C235" i="67" l="1"/>
  <c r="D236" i="67"/>
  <c r="E236" i="67"/>
  <c r="F237" i="67"/>
  <c r="B237" i="67"/>
  <c r="A238" i="67"/>
  <c r="C236" i="67" l="1"/>
  <c r="F238" i="67"/>
  <c r="A239" i="67"/>
  <c r="B238" i="67"/>
  <c r="D237" i="67"/>
  <c r="E237" i="67"/>
  <c r="C237" i="67" l="1"/>
  <c r="D238" i="67"/>
  <c r="E238" i="67"/>
  <c r="B239" i="67"/>
  <c r="F239" i="67"/>
  <c r="A240" i="67"/>
  <c r="C238" i="67" l="1"/>
  <c r="F240" i="67"/>
  <c r="A241" i="67"/>
  <c r="B240" i="67"/>
  <c r="D239" i="67"/>
  <c r="E239" i="67"/>
  <c r="C239" i="67" l="1"/>
  <c r="D240" i="67"/>
  <c r="E240" i="67"/>
  <c r="A242" i="67"/>
  <c r="B241" i="67"/>
  <c r="F241" i="67"/>
  <c r="C240" i="67" l="1"/>
  <c r="F242" i="67"/>
  <c r="A243" i="67"/>
  <c r="B242" i="67"/>
  <c r="D241" i="67"/>
  <c r="E241" i="67"/>
  <c r="C241" i="67" l="1"/>
  <c r="D242" i="67"/>
  <c r="E242" i="67"/>
  <c r="F243" i="67"/>
  <c r="A244" i="67"/>
  <c r="B243" i="67"/>
  <c r="C242" i="67" l="1"/>
  <c r="D243" i="67"/>
  <c r="E243" i="67"/>
  <c r="F244" i="67"/>
  <c r="A245" i="67"/>
  <c r="B244" i="67"/>
  <c r="C243" i="67" l="1"/>
  <c r="D244" i="67"/>
  <c r="E244" i="67"/>
  <c r="F245" i="67"/>
  <c r="A246" i="67"/>
  <c r="B245" i="67"/>
  <c r="C244" i="67" l="1"/>
  <c r="F246" i="67"/>
  <c r="A247" i="67"/>
  <c r="B246" i="67"/>
  <c r="D245" i="67"/>
  <c r="E245" i="67"/>
  <c r="C245" i="67" l="1"/>
  <c r="D246" i="67"/>
  <c r="E246" i="67"/>
  <c r="F247" i="67"/>
  <c r="B247" i="67"/>
  <c r="A248" i="67"/>
  <c r="C246" i="67" l="1"/>
  <c r="F248" i="67"/>
  <c r="A249" i="67"/>
  <c r="B248" i="67"/>
  <c r="D247" i="67"/>
  <c r="E247" i="67"/>
  <c r="C247" i="67" l="1"/>
  <c r="D248" i="67"/>
  <c r="E248" i="67"/>
  <c r="F249" i="67"/>
  <c r="A250" i="67"/>
  <c r="B249" i="67"/>
  <c r="C248" i="67" l="1"/>
  <c r="F250" i="67"/>
  <c r="A251" i="67"/>
  <c r="B250" i="67"/>
  <c r="D249" i="67"/>
  <c r="E249" i="67"/>
  <c r="C249" i="67" l="1"/>
  <c r="D250" i="67"/>
  <c r="E250" i="67"/>
  <c r="F251" i="67"/>
  <c r="A252" i="67"/>
  <c r="B251" i="67"/>
  <c r="C250" i="67" l="1"/>
  <c r="D251" i="67"/>
  <c r="E251" i="67"/>
  <c r="F252" i="67"/>
  <c r="A253" i="67"/>
  <c r="B252" i="67"/>
  <c r="C251" i="67" l="1"/>
  <c r="D252" i="67"/>
  <c r="E252" i="67"/>
  <c r="F253" i="67"/>
  <c r="B253" i="67"/>
  <c r="A254" i="67"/>
  <c r="C252" i="67" l="1"/>
  <c r="F254" i="67"/>
  <c r="A255" i="67"/>
  <c r="B254" i="67"/>
  <c r="D253" i="67"/>
  <c r="E253" i="67"/>
  <c r="C253" i="67" l="1"/>
  <c r="D254" i="67"/>
  <c r="E254" i="67"/>
  <c r="A256" i="67"/>
  <c r="F255" i="67"/>
  <c r="B255" i="67"/>
  <c r="C254" i="67" l="1"/>
  <c r="B256" i="67"/>
  <c r="F256" i="67"/>
  <c r="A257" i="67"/>
  <c r="D255" i="67"/>
  <c r="E255" i="67"/>
  <c r="C255" i="67" l="1"/>
  <c r="F257" i="67"/>
  <c r="A258" i="67"/>
  <c r="B257" i="67"/>
  <c r="D256" i="67"/>
  <c r="E256" i="67"/>
  <c r="C256" i="67" l="1"/>
  <c r="D257" i="67"/>
  <c r="E257" i="67"/>
  <c r="F258" i="67"/>
  <c r="A259" i="67"/>
  <c r="B258" i="67"/>
  <c r="C257" i="67" l="1"/>
  <c r="B259" i="67"/>
  <c r="F259" i="67"/>
  <c r="A260" i="67"/>
  <c r="D258" i="67"/>
  <c r="E258" i="67"/>
  <c r="C258" i="67" l="1"/>
  <c r="A261" i="67"/>
  <c r="B260" i="67"/>
  <c r="F260" i="67"/>
  <c r="D259" i="67"/>
  <c r="E259" i="67"/>
  <c r="C259" i="67" l="1"/>
  <c r="D260" i="67"/>
  <c r="E260" i="67"/>
  <c r="F261" i="67"/>
  <c r="A262" i="67"/>
  <c r="B261" i="67"/>
  <c r="C260" i="67" l="1"/>
  <c r="D261" i="67"/>
  <c r="E261" i="67"/>
  <c r="F262" i="67"/>
  <c r="A263" i="67"/>
  <c r="B262" i="67"/>
  <c r="C261" i="67" l="1"/>
  <c r="F263" i="67"/>
  <c r="B263" i="67"/>
  <c r="A264" i="67"/>
  <c r="D262" i="67"/>
  <c r="E262" i="67"/>
  <c r="C262" i="67" l="1"/>
  <c r="A265" i="67"/>
  <c r="B264" i="67"/>
  <c r="F264" i="67"/>
  <c r="D263" i="67"/>
  <c r="E263" i="67"/>
  <c r="C263" i="67" l="1"/>
  <c r="D264" i="67"/>
  <c r="E264" i="67"/>
  <c r="B265" i="67"/>
  <c r="F265" i="67"/>
  <c r="A266" i="67"/>
  <c r="C264" i="67" l="1"/>
  <c r="B266" i="67"/>
  <c r="F266" i="67"/>
  <c r="A267" i="67"/>
  <c r="D265" i="67"/>
  <c r="E265" i="67"/>
  <c r="C265" i="67" l="1"/>
  <c r="D266" i="67"/>
  <c r="E266" i="67"/>
  <c r="B267" i="67"/>
  <c r="A268" i="67"/>
  <c r="F267" i="67"/>
  <c r="C266" i="67" l="1"/>
  <c r="F268" i="67"/>
  <c r="A269" i="67"/>
  <c r="B268" i="67"/>
  <c r="D267" i="67"/>
  <c r="E267" i="67"/>
  <c r="C267" i="67" l="1"/>
  <c r="F269" i="67"/>
  <c r="B269" i="67"/>
  <c r="A270" i="67"/>
  <c r="D268" i="67"/>
  <c r="E268" i="67"/>
  <c r="C268" i="67" l="1"/>
  <c r="B270" i="67"/>
  <c r="F270" i="67"/>
  <c r="A271" i="67"/>
  <c r="D269" i="67"/>
  <c r="E269" i="67"/>
  <c r="C269" i="67" l="1"/>
  <c r="D270" i="67"/>
  <c r="E270" i="67"/>
  <c r="F271" i="67"/>
  <c r="B271" i="67"/>
  <c r="A272" i="67"/>
  <c r="C270" i="67" l="1"/>
  <c r="F272" i="67"/>
  <c r="A273" i="67"/>
  <c r="B272" i="67"/>
  <c r="D271" i="67"/>
  <c r="E271" i="67"/>
  <c r="C271" i="67" l="1"/>
  <c r="D272" i="67"/>
  <c r="E272" i="67"/>
  <c r="F273" i="67"/>
  <c r="A274" i="67"/>
  <c r="B273" i="67"/>
  <c r="C272" i="67" l="1"/>
  <c r="D273" i="67"/>
  <c r="E273" i="67"/>
  <c r="F274" i="67"/>
  <c r="A275" i="67"/>
  <c r="B274" i="67"/>
  <c r="C273" i="67" l="1"/>
  <c r="D274" i="67"/>
  <c r="E274" i="67"/>
  <c r="F275" i="67"/>
  <c r="A276" i="67"/>
  <c r="B275" i="67"/>
  <c r="C274" i="67" l="1"/>
  <c r="D275" i="67"/>
  <c r="E275" i="67"/>
  <c r="A277" i="67"/>
  <c r="F276" i="67"/>
  <c r="B276" i="67"/>
  <c r="C275" i="67" l="1"/>
  <c r="D276" i="67"/>
  <c r="E276" i="67"/>
  <c r="B277" i="67"/>
  <c r="F277" i="67"/>
  <c r="A278" i="67"/>
  <c r="C276" i="67" l="1"/>
  <c r="D277" i="67"/>
  <c r="E277" i="67"/>
  <c r="A279" i="67"/>
  <c r="F278" i="67"/>
  <c r="B278" i="67"/>
  <c r="C277" i="67" l="1"/>
  <c r="F279" i="67"/>
  <c r="A280" i="67"/>
  <c r="B279" i="67"/>
  <c r="D278" i="67"/>
  <c r="E278" i="67"/>
  <c r="C278" i="67" l="1"/>
  <c r="D279" i="67"/>
  <c r="E279" i="67"/>
  <c r="B280" i="67"/>
  <c r="F280" i="67"/>
  <c r="A281" i="67"/>
  <c r="C279" i="67" l="1"/>
  <c r="B281" i="67"/>
  <c r="F281" i="67"/>
  <c r="A282" i="67"/>
  <c r="D280" i="67"/>
  <c r="E280" i="67"/>
  <c r="C280" i="67" l="1"/>
  <c r="F282" i="67"/>
  <c r="A283" i="67"/>
  <c r="B282" i="67"/>
  <c r="D281" i="67"/>
  <c r="E281" i="67"/>
  <c r="C281" i="67" l="1"/>
  <c r="D282" i="67"/>
  <c r="E282" i="67"/>
  <c r="B283" i="67"/>
  <c r="F283" i="67"/>
  <c r="A284" i="67"/>
  <c r="C282" i="67" l="1"/>
  <c r="F284" i="67"/>
  <c r="A285" i="67"/>
  <c r="B284" i="67"/>
  <c r="D283" i="67"/>
  <c r="E283" i="67"/>
  <c r="C283" i="67" l="1"/>
  <c r="D284" i="67"/>
  <c r="E284" i="67"/>
  <c r="F285" i="67"/>
  <c r="A286" i="67"/>
  <c r="B285" i="67"/>
  <c r="C284" i="67" l="1"/>
  <c r="D285" i="67"/>
  <c r="E285" i="67"/>
  <c r="F286" i="67"/>
  <c r="A287" i="67"/>
  <c r="B286" i="67"/>
  <c r="C285" i="67" l="1"/>
  <c r="B287" i="67"/>
  <c r="F287" i="67"/>
  <c r="A288" i="67"/>
  <c r="D286" i="67"/>
  <c r="E286" i="67"/>
  <c r="C286" i="67" l="1"/>
  <c r="A289" i="67"/>
  <c r="B288" i="67"/>
  <c r="F288" i="67"/>
  <c r="D287" i="67"/>
  <c r="E287" i="67"/>
  <c r="C287" i="67" l="1"/>
  <c r="D288" i="67"/>
  <c r="E288" i="67"/>
  <c r="A290" i="67"/>
  <c r="F289" i="67"/>
  <c r="B289" i="67"/>
  <c r="C288" i="67" l="1"/>
  <c r="D289" i="67"/>
  <c r="E289" i="67"/>
  <c r="F290" i="67"/>
  <c r="A291" i="67"/>
  <c r="B290" i="67"/>
  <c r="C289" i="67" l="1"/>
  <c r="D290" i="67"/>
  <c r="E290" i="67"/>
  <c r="B291" i="67"/>
  <c r="F291" i="67"/>
  <c r="A292" i="67"/>
  <c r="C290" i="67" l="1"/>
  <c r="F292" i="67"/>
  <c r="B292" i="67"/>
  <c r="A293" i="67"/>
  <c r="D291" i="67"/>
  <c r="E291" i="67"/>
  <c r="C291" i="67" l="1"/>
  <c r="F293" i="67"/>
  <c r="A294" i="67"/>
  <c r="B293" i="67"/>
  <c r="D292" i="67"/>
  <c r="E292" i="67"/>
  <c r="C292" i="67" l="1"/>
  <c r="D293" i="67"/>
  <c r="E293" i="67"/>
  <c r="F294" i="67"/>
  <c r="B294" i="67"/>
  <c r="A295" i="67"/>
  <c r="C293" i="67" l="1"/>
  <c r="F295" i="67"/>
  <c r="B295" i="67"/>
  <c r="A296" i="67"/>
  <c r="D294" i="67"/>
  <c r="E294" i="67"/>
  <c r="C294" i="67" l="1"/>
  <c r="B296" i="67"/>
  <c r="F296" i="67"/>
  <c r="A297" i="67"/>
  <c r="D295" i="67"/>
  <c r="E295" i="67"/>
  <c r="C295" i="67" l="1"/>
  <c r="F297" i="67"/>
  <c r="A298" i="67"/>
  <c r="B297" i="67"/>
  <c r="D296" i="67"/>
  <c r="E296" i="67"/>
  <c r="C296" i="67" l="1"/>
  <c r="D297" i="67"/>
  <c r="E297" i="67"/>
  <c r="F298" i="67"/>
  <c r="A299" i="67"/>
  <c r="B298" i="67"/>
  <c r="C297" i="67" l="1"/>
  <c r="D298" i="67"/>
  <c r="E298" i="67"/>
  <c r="F299" i="67"/>
  <c r="A300" i="67"/>
  <c r="B299" i="67"/>
  <c r="C298" i="67" l="1"/>
  <c r="D299" i="67"/>
  <c r="E299" i="67"/>
  <c r="F300" i="67"/>
  <c r="A301" i="67"/>
  <c r="B300" i="67"/>
  <c r="C299" i="67" l="1"/>
  <c r="D300" i="67"/>
  <c r="E300" i="67"/>
  <c r="A302" i="67"/>
  <c r="B301" i="67"/>
  <c r="F301" i="67"/>
  <c r="C300" i="67" l="1"/>
  <c r="D301" i="67"/>
  <c r="E301" i="67"/>
  <c r="F302" i="67"/>
  <c r="B302" i="67"/>
  <c r="A303" i="67"/>
  <c r="C301" i="67" l="1"/>
  <c r="D302" i="67"/>
  <c r="E302" i="67"/>
  <c r="F303" i="67"/>
  <c r="A304" i="67"/>
  <c r="B303" i="67"/>
  <c r="C302" i="67" l="1"/>
  <c r="D303" i="67"/>
  <c r="E303" i="67"/>
  <c r="F304" i="67"/>
  <c r="A305" i="67"/>
  <c r="B304" i="67"/>
  <c r="C303" i="67" l="1"/>
  <c r="F305" i="67"/>
  <c r="A306" i="67"/>
  <c r="B305" i="67"/>
  <c r="D304" i="67"/>
  <c r="E304" i="67"/>
  <c r="C304" i="67" l="1"/>
  <c r="D305" i="67"/>
  <c r="E305" i="67"/>
  <c r="F306" i="67"/>
  <c r="A307" i="67"/>
  <c r="B306" i="67"/>
  <c r="C305" i="67" l="1"/>
  <c r="A308" i="67"/>
  <c r="B307" i="67"/>
  <c r="F307" i="67"/>
  <c r="D306" i="67"/>
  <c r="E306" i="67"/>
  <c r="C306" i="67" l="1"/>
  <c r="F308" i="67"/>
  <c r="A309" i="67"/>
  <c r="B308" i="67"/>
  <c r="D307" i="67"/>
  <c r="E307" i="67"/>
  <c r="C307" i="67" l="1"/>
  <c r="D308" i="67"/>
  <c r="E308" i="67"/>
  <c r="F309" i="67"/>
  <c r="B309" i="67"/>
  <c r="A310" i="67"/>
  <c r="C308" i="67" l="1"/>
  <c r="D309" i="67"/>
  <c r="E309" i="67"/>
  <c r="F310" i="67"/>
  <c r="A311" i="67"/>
  <c r="B310" i="67"/>
  <c r="C309" i="67" l="1"/>
  <c r="F311" i="67"/>
  <c r="A312" i="67"/>
  <c r="B311" i="67"/>
  <c r="D310" i="67"/>
  <c r="E310" i="67"/>
  <c r="C310" i="67" l="1"/>
  <c r="F312" i="67"/>
  <c r="A313" i="67"/>
  <c r="B312" i="67"/>
  <c r="D311" i="67"/>
  <c r="E311" i="67"/>
  <c r="C311" i="67" l="1"/>
  <c r="D312" i="67"/>
  <c r="E312" i="67"/>
  <c r="A314" i="67"/>
  <c r="B313" i="67"/>
  <c r="F313" i="67"/>
  <c r="C312" i="67" l="1"/>
  <c r="F314" i="67"/>
  <c r="A315" i="67"/>
  <c r="B314" i="67"/>
  <c r="D313" i="67"/>
  <c r="E313" i="67"/>
  <c r="C313" i="67" l="1"/>
  <c r="D314" i="67"/>
  <c r="E314" i="67"/>
  <c r="F315" i="67"/>
  <c r="A316" i="67"/>
  <c r="B315" i="67"/>
  <c r="C314" i="67" l="1"/>
  <c r="F316" i="67"/>
  <c r="A317" i="67"/>
  <c r="B316" i="67"/>
  <c r="D315" i="67"/>
  <c r="E315" i="67"/>
  <c r="C315" i="67" l="1"/>
  <c r="D316" i="67"/>
  <c r="E316" i="67"/>
  <c r="F317" i="67"/>
  <c r="A318" i="67"/>
  <c r="B317" i="67"/>
  <c r="C316" i="67" l="1"/>
  <c r="D317" i="67"/>
  <c r="E317" i="67"/>
  <c r="F318" i="67"/>
  <c r="A319" i="67"/>
  <c r="B318" i="67"/>
  <c r="C317" i="67" l="1"/>
  <c r="D318" i="67"/>
  <c r="E318" i="67"/>
  <c r="B319" i="67"/>
  <c r="F319" i="67"/>
  <c r="A320" i="67"/>
  <c r="C318" i="67" l="1"/>
  <c r="D319" i="67"/>
  <c r="E319" i="67"/>
  <c r="F320" i="67"/>
  <c r="A321" i="67"/>
  <c r="B320" i="67"/>
  <c r="C319" i="67" l="1"/>
  <c r="D320" i="67"/>
  <c r="E320" i="67"/>
  <c r="F321" i="67"/>
  <c r="A322" i="67"/>
  <c r="B321" i="67"/>
  <c r="C320" i="67" l="1"/>
  <c r="D321" i="67"/>
  <c r="E321" i="67"/>
  <c r="F322" i="67"/>
  <c r="A323" i="67"/>
  <c r="B322" i="67"/>
  <c r="C321" i="67" l="1"/>
  <c r="A324" i="67"/>
  <c r="B323" i="67"/>
  <c r="F323" i="67"/>
  <c r="D322" i="67"/>
  <c r="E322" i="67"/>
  <c r="C322" i="67" l="1"/>
  <c r="A325" i="67"/>
  <c r="F324" i="67"/>
  <c r="B324" i="67"/>
  <c r="D323" i="67"/>
  <c r="E323" i="67"/>
  <c r="C323" i="67" l="1"/>
  <c r="D324" i="67"/>
  <c r="E324" i="67"/>
  <c r="F325" i="67"/>
  <c r="A326" i="67"/>
  <c r="B325" i="67"/>
  <c r="C324" i="67" l="1"/>
  <c r="D325" i="67"/>
  <c r="E325" i="67"/>
  <c r="F326" i="67"/>
  <c r="A327" i="67"/>
  <c r="B326" i="67"/>
  <c r="C325" i="67" l="1"/>
  <c r="F327" i="67"/>
  <c r="A328" i="67"/>
  <c r="B327" i="67"/>
  <c r="D326" i="67"/>
  <c r="E326" i="67"/>
  <c r="C326" i="67" l="1"/>
  <c r="A329" i="67"/>
  <c r="B328" i="67"/>
  <c r="F328" i="67"/>
  <c r="D327" i="67"/>
  <c r="E327" i="67"/>
  <c r="C327" i="67" l="1"/>
  <c r="D328" i="67"/>
  <c r="E328" i="67"/>
  <c r="F329" i="67"/>
  <c r="A330" i="67"/>
  <c r="B329" i="67"/>
  <c r="C328" i="67" l="1"/>
  <c r="D329" i="67"/>
  <c r="E329" i="67"/>
  <c r="F330" i="67"/>
  <c r="A331" i="67"/>
  <c r="B330" i="67"/>
  <c r="C329" i="67" l="1"/>
  <c r="F331" i="67"/>
  <c r="B331" i="67"/>
  <c r="A332" i="67"/>
  <c r="D330" i="67"/>
  <c r="E330" i="67"/>
  <c r="C330" i="67" l="1"/>
  <c r="F332" i="67"/>
  <c r="A333" i="67"/>
  <c r="B332" i="67"/>
  <c r="D331" i="67"/>
  <c r="E331" i="67"/>
  <c r="C331" i="67" l="1"/>
  <c r="D332" i="67"/>
  <c r="E332" i="67"/>
  <c r="F333" i="67"/>
  <c r="A334" i="67"/>
  <c r="B333" i="67"/>
  <c r="C332" i="67" l="1"/>
  <c r="F334" i="67"/>
  <c r="A335" i="67"/>
  <c r="B334" i="67"/>
  <c r="D333" i="67"/>
  <c r="E333" i="67"/>
  <c r="C333" i="67" l="1"/>
  <c r="D334" i="67"/>
  <c r="E334" i="67"/>
  <c r="F335" i="67"/>
  <c r="A336" i="67"/>
  <c r="B335" i="67"/>
  <c r="C334" i="67" l="1"/>
  <c r="D335" i="67"/>
  <c r="E335" i="67"/>
  <c r="F336" i="67"/>
  <c r="A337" i="67"/>
  <c r="B336" i="67"/>
  <c r="C335" i="67" l="1"/>
  <c r="D336" i="67"/>
  <c r="E336" i="67"/>
  <c r="F337" i="67"/>
  <c r="B337" i="67"/>
  <c r="A338" i="67"/>
  <c r="C336" i="67" l="1"/>
  <c r="F338" i="67"/>
  <c r="A339" i="67"/>
  <c r="B338" i="67"/>
  <c r="D337" i="67"/>
  <c r="E337" i="67"/>
  <c r="C337" i="67" l="1"/>
  <c r="D338" i="67"/>
  <c r="E338" i="67"/>
  <c r="F339" i="67"/>
  <c r="A340" i="67"/>
  <c r="B339" i="67"/>
  <c r="C338" i="67" l="1"/>
  <c r="D339" i="67"/>
  <c r="E339" i="67"/>
  <c r="F340" i="67"/>
  <c r="A341" i="67"/>
  <c r="B340" i="67"/>
  <c r="C339" i="67" l="1"/>
  <c r="D340" i="67"/>
  <c r="E340" i="67"/>
  <c r="F341" i="67"/>
  <c r="A342" i="67"/>
  <c r="B341" i="67"/>
  <c r="C340" i="67" l="1"/>
  <c r="D341" i="67"/>
  <c r="E341" i="67"/>
  <c r="F342" i="67"/>
  <c r="A343" i="67"/>
  <c r="B342" i="67"/>
  <c r="C341" i="67" l="1"/>
  <c r="D342" i="67"/>
  <c r="E342" i="67"/>
  <c r="F343" i="67"/>
  <c r="A344" i="67"/>
  <c r="B343" i="67"/>
  <c r="C342" i="67" l="1"/>
  <c r="D343" i="67"/>
  <c r="E343" i="67"/>
  <c r="F344" i="67"/>
  <c r="A345" i="67"/>
  <c r="B344" i="67"/>
  <c r="C343" i="67" l="1"/>
  <c r="D344" i="67"/>
  <c r="E344" i="67"/>
  <c r="F345" i="67"/>
  <c r="A346" i="67"/>
  <c r="B345" i="67"/>
  <c r="C344" i="67" l="1"/>
  <c r="D345" i="67"/>
  <c r="E345" i="67"/>
  <c r="F346" i="67"/>
  <c r="A347" i="67"/>
  <c r="B346" i="67"/>
  <c r="C345" i="67" l="1"/>
  <c r="D346" i="67"/>
  <c r="E346" i="67"/>
  <c r="F347" i="67"/>
  <c r="A348" i="67"/>
  <c r="B347" i="67"/>
  <c r="C346" i="67" l="1"/>
  <c r="D347" i="67"/>
  <c r="E347" i="67"/>
  <c r="F348" i="67"/>
  <c r="A349" i="67"/>
  <c r="B348" i="67"/>
  <c r="C347" i="67" l="1"/>
  <c r="D348" i="67"/>
  <c r="E348" i="67"/>
  <c r="B349" i="67"/>
  <c r="F349" i="67"/>
  <c r="A350" i="67"/>
  <c r="C348" i="67" l="1"/>
  <c r="F350" i="67"/>
  <c r="B350" i="67"/>
  <c r="A351" i="67"/>
  <c r="D349" i="67"/>
  <c r="E349" i="67"/>
  <c r="C349" i="67" l="1"/>
  <c r="F351" i="67"/>
  <c r="A352" i="67"/>
  <c r="B351" i="67"/>
  <c r="D350" i="67"/>
  <c r="E350" i="67"/>
  <c r="C350" i="67" l="1"/>
  <c r="D351" i="67"/>
  <c r="E351" i="67"/>
  <c r="F352" i="67"/>
  <c r="A353" i="67"/>
  <c r="B352" i="67"/>
  <c r="C351" i="67" l="1"/>
  <c r="D352" i="67"/>
  <c r="E352" i="67"/>
  <c r="F353" i="67"/>
  <c r="B353" i="67"/>
  <c r="A354" i="67"/>
  <c r="C352" i="67" l="1"/>
  <c r="F354" i="67"/>
  <c r="A355" i="67"/>
  <c r="B354" i="67"/>
  <c r="D353" i="67"/>
  <c r="E353" i="67"/>
  <c r="C353" i="67" l="1"/>
  <c r="D354" i="67"/>
  <c r="E354" i="67"/>
  <c r="F355" i="67"/>
  <c r="A356" i="67"/>
  <c r="B355" i="67"/>
  <c r="C354" i="67" l="1"/>
  <c r="D355" i="67"/>
  <c r="E355" i="67"/>
  <c r="B356" i="67"/>
  <c r="F356" i="67"/>
  <c r="A357" i="67"/>
  <c r="C355" i="67" l="1"/>
  <c r="F357" i="67"/>
  <c r="A358" i="67"/>
  <c r="B357" i="67"/>
  <c r="D356" i="67"/>
  <c r="E356" i="67"/>
  <c r="C356" i="67" l="1"/>
  <c r="D357" i="67"/>
  <c r="E357" i="67"/>
  <c r="F358" i="67"/>
  <c r="A359" i="67"/>
  <c r="B358" i="67"/>
  <c r="C357" i="67" l="1"/>
  <c r="F359" i="67"/>
  <c r="B359" i="67"/>
  <c r="A360" i="67"/>
  <c r="D358" i="67"/>
  <c r="E358" i="67"/>
  <c r="C358" i="67" l="1"/>
  <c r="F360" i="67"/>
  <c r="A361" i="67"/>
  <c r="B360" i="67"/>
  <c r="D359" i="67"/>
  <c r="E359" i="67"/>
  <c r="C359" i="67" l="1"/>
  <c r="D360" i="67"/>
  <c r="E360" i="67"/>
  <c r="F361" i="67"/>
  <c r="A362" i="67"/>
  <c r="B361" i="67"/>
  <c r="C360" i="67" l="1"/>
  <c r="D361" i="67"/>
  <c r="E361" i="67"/>
  <c r="B362" i="67"/>
  <c r="F362" i="67"/>
  <c r="A363" i="67"/>
  <c r="C361" i="67" l="1"/>
  <c r="B363" i="67"/>
  <c r="F363" i="67"/>
  <c r="A364" i="67"/>
  <c r="D362" i="67"/>
  <c r="E362" i="67"/>
  <c r="C362" i="67" l="1"/>
  <c r="F364" i="67"/>
  <c r="A365" i="67"/>
  <c r="B364" i="67"/>
  <c r="D363" i="67"/>
  <c r="E363" i="67"/>
  <c r="C363" i="67" l="1"/>
  <c r="D364" i="67"/>
  <c r="E364" i="67"/>
  <c r="F365" i="67"/>
  <c r="B365" i="67"/>
  <c r="A366" i="67"/>
  <c r="C364" i="67" l="1"/>
  <c r="A367" i="67"/>
  <c r="F366" i="67"/>
  <c r="B366" i="67"/>
  <c r="D365" i="67"/>
  <c r="E365" i="67"/>
  <c r="C365" i="67" l="1"/>
  <c r="D366" i="67"/>
  <c r="E366" i="67"/>
  <c r="F367" i="67"/>
  <c r="A368" i="67"/>
  <c r="B367" i="67"/>
  <c r="C366" i="67" l="1"/>
  <c r="D367" i="67"/>
  <c r="E367" i="67"/>
  <c r="F368" i="67"/>
  <c r="A369" i="67"/>
  <c r="B368" i="67"/>
  <c r="C367" i="67" l="1"/>
  <c r="D368" i="67"/>
  <c r="E368" i="67"/>
  <c r="F369" i="67"/>
  <c r="A370" i="67"/>
  <c r="B369" i="67"/>
  <c r="C368" i="67" l="1"/>
  <c r="D369" i="67"/>
  <c r="E369" i="67"/>
  <c r="F370" i="67"/>
  <c r="A371" i="67"/>
  <c r="B370" i="67"/>
  <c r="C369" i="67" l="1"/>
  <c r="D370" i="67"/>
  <c r="E370" i="67"/>
  <c r="F371" i="67"/>
  <c r="A372" i="67"/>
  <c r="B371" i="67"/>
  <c r="C370" i="67" l="1"/>
  <c r="D371" i="67"/>
  <c r="E371" i="67"/>
  <c r="F372" i="67"/>
  <c r="A373" i="67"/>
  <c r="B372" i="67"/>
  <c r="C371" i="67" l="1"/>
  <c r="D372" i="67"/>
  <c r="E372" i="67"/>
  <c r="F373" i="67"/>
  <c r="A374" i="67"/>
  <c r="B373" i="67"/>
  <c r="C372" i="67" l="1"/>
  <c r="D373" i="67"/>
  <c r="E373" i="67"/>
  <c r="F374" i="67"/>
  <c r="B374" i="67"/>
  <c r="A375" i="67"/>
  <c r="C373" i="67" l="1"/>
  <c r="F375" i="67"/>
  <c r="B375" i="67"/>
  <c r="A376" i="67"/>
  <c r="D374" i="67"/>
  <c r="E374" i="67"/>
  <c r="C374" i="67" l="1"/>
  <c r="F376" i="67"/>
  <c r="A377" i="67"/>
  <c r="B376" i="67"/>
  <c r="D375" i="67"/>
  <c r="E375" i="67"/>
  <c r="C375" i="67" l="1"/>
  <c r="D376" i="67"/>
  <c r="E376" i="67"/>
  <c r="F377" i="67"/>
  <c r="A378" i="67"/>
  <c r="B377" i="67"/>
  <c r="C376" i="67" l="1"/>
  <c r="D377" i="67"/>
  <c r="E377" i="67"/>
  <c r="F378" i="67"/>
  <c r="A379" i="67"/>
  <c r="B378" i="67"/>
  <c r="C377" i="67" l="1"/>
  <c r="D378" i="67"/>
  <c r="E378" i="67"/>
  <c r="F379" i="67"/>
  <c r="A380" i="67"/>
  <c r="B379" i="67"/>
  <c r="C378" i="67" l="1"/>
  <c r="D379" i="67"/>
  <c r="E379" i="67"/>
  <c r="F380" i="67"/>
  <c r="A381" i="67"/>
  <c r="B380" i="67"/>
  <c r="C379" i="67" l="1"/>
  <c r="D380" i="67"/>
  <c r="E380" i="67"/>
  <c r="F381" i="67"/>
  <c r="A382" i="67"/>
  <c r="B381" i="67"/>
  <c r="C380" i="67" l="1"/>
  <c r="D381" i="67"/>
  <c r="E381" i="67"/>
  <c r="F382" i="67"/>
  <c r="A383" i="67"/>
  <c r="B382" i="67"/>
  <c r="C381" i="67" l="1"/>
  <c r="D382" i="67"/>
  <c r="E382" i="67"/>
  <c r="F383" i="67"/>
  <c r="B383" i="67"/>
  <c r="A384" i="67"/>
  <c r="C382" i="67" l="1"/>
  <c r="D383" i="67"/>
  <c r="E383" i="67"/>
  <c r="F384" i="67"/>
  <c r="A385" i="67"/>
  <c r="B384" i="67"/>
  <c r="C383" i="67" l="1"/>
  <c r="D384" i="67"/>
  <c r="E384" i="67"/>
  <c r="F385" i="67"/>
  <c r="A386" i="67"/>
  <c r="B385" i="67"/>
  <c r="C384" i="67" l="1"/>
  <c r="D385" i="67"/>
  <c r="E385" i="67"/>
  <c r="B386" i="67"/>
  <c r="F386" i="67"/>
  <c r="A387" i="67"/>
  <c r="C385" i="67" l="1"/>
  <c r="F387" i="67"/>
  <c r="A388" i="67"/>
  <c r="B387" i="67"/>
  <c r="D386" i="67"/>
  <c r="E386" i="67"/>
  <c r="C386" i="67" l="1"/>
  <c r="D387" i="67"/>
  <c r="E387" i="67"/>
  <c r="F388" i="67"/>
  <c r="A389" i="67"/>
  <c r="B388" i="67"/>
  <c r="C387" i="67" l="1"/>
  <c r="F389" i="67"/>
  <c r="A390" i="67"/>
  <c r="B389" i="67"/>
  <c r="D388" i="67"/>
  <c r="E388" i="67"/>
  <c r="C388" i="67" l="1"/>
  <c r="D389" i="67"/>
  <c r="E389" i="67"/>
  <c r="F390" i="67"/>
  <c r="A391" i="67"/>
  <c r="B390" i="67"/>
  <c r="C389" i="67" l="1"/>
  <c r="D390" i="67"/>
  <c r="E390" i="67"/>
  <c r="F391" i="67"/>
  <c r="A392" i="67"/>
  <c r="B391" i="67"/>
  <c r="C390" i="67" l="1"/>
  <c r="F392" i="67"/>
  <c r="A393" i="67"/>
  <c r="B392" i="67"/>
  <c r="D391" i="67"/>
  <c r="E391" i="67"/>
  <c r="C391" i="67" l="1"/>
  <c r="D392" i="67"/>
  <c r="E392" i="67"/>
  <c r="F393" i="67"/>
  <c r="B393" i="67"/>
  <c r="A394" i="67"/>
  <c r="C392" i="67" l="1"/>
  <c r="A395" i="67"/>
  <c r="B394" i="67"/>
  <c r="F394" i="67"/>
  <c r="D393" i="67"/>
  <c r="E393" i="67"/>
  <c r="C393" i="67" l="1"/>
  <c r="D394" i="67"/>
  <c r="E394" i="67"/>
  <c r="F395" i="67"/>
  <c r="A396" i="67"/>
  <c r="B395" i="67"/>
  <c r="C394" i="67" l="1"/>
  <c r="D395" i="67"/>
  <c r="E395" i="67"/>
  <c r="F396" i="67"/>
  <c r="A397" i="67"/>
  <c r="B396" i="67"/>
  <c r="C395" i="67" l="1"/>
  <c r="D396" i="67"/>
  <c r="E396" i="67"/>
  <c r="F397" i="67"/>
  <c r="A398" i="67"/>
  <c r="B397" i="67"/>
  <c r="C396" i="67" l="1"/>
  <c r="D397" i="67"/>
  <c r="E397" i="67"/>
  <c r="F398" i="67"/>
  <c r="A399" i="67"/>
  <c r="B398" i="67"/>
  <c r="C397" i="67" l="1"/>
  <c r="D398" i="67"/>
  <c r="E398" i="67"/>
  <c r="F399" i="67"/>
  <c r="A400" i="67"/>
  <c r="B399" i="67"/>
  <c r="C398" i="67" l="1"/>
  <c r="D399" i="67"/>
  <c r="E399" i="67"/>
  <c r="F400" i="67"/>
  <c r="A401" i="67"/>
  <c r="B400" i="67"/>
  <c r="C399" i="67" l="1"/>
  <c r="D400" i="67"/>
  <c r="E400" i="67"/>
  <c r="F401" i="67"/>
  <c r="A402" i="67"/>
  <c r="B401" i="67"/>
  <c r="C400" i="67" l="1"/>
  <c r="D401" i="67"/>
  <c r="E401" i="67"/>
  <c r="F402" i="67"/>
  <c r="A403" i="67"/>
  <c r="B402" i="67"/>
  <c r="C401" i="67" l="1"/>
  <c r="F403" i="67"/>
  <c r="A404" i="67"/>
  <c r="B403" i="67"/>
  <c r="D402" i="67"/>
  <c r="E402" i="67"/>
  <c r="C402" i="67" l="1"/>
  <c r="D403" i="67"/>
  <c r="E403" i="67"/>
  <c r="F404" i="67"/>
  <c r="A405" i="67"/>
  <c r="B404" i="67"/>
  <c r="C403" i="67" l="1"/>
  <c r="D404" i="67"/>
  <c r="E404" i="67"/>
  <c r="A406" i="67"/>
  <c r="F405" i="67"/>
  <c r="B405" i="67"/>
  <c r="C404" i="67" l="1"/>
  <c r="F406" i="67"/>
  <c r="A407" i="67"/>
  <c r="B406" i="67"/>
  <c r="D405" i="67"/>
  <c r="E405" i="67"/>
  <c r="C405" i="67" l="1"/>
  <c r="D406" i="67"/>
  <c r="E406" i="67"/>
  <c r="F407" i="67"/>
  <c r="A408" i="67"/>
  <c r="B407" i="67"/>
  <c r="C406" i="67" l="1"/>
  <c r="D407" i="67"/>
  <c r="E407" i="67"/>
  <c r="F408" i="67"/>
  <c r="B408" i="67"/>
  <c r="A409" i="67"/>
  <c r="C407" i="67" l="1"/>
  <c r="F409" i="67"/>
  <c r="A410" i="67"/>
  <c r="B409" i="67"/>
  <c r="D408" i="67"/>
  <c r="E408" i="67"/>
  <c r="C408" i="67" l="1"/>
  <c r="D409" i="67"/>
  <c r="E409" i="67"/>
  <c r="F410" i="67"/>
  <c r="A411" i="67"/>
  <c r="B410" i="67"/>
  <c r="C409" i="67" l="1"/>
  <c r="D410" i="67"/>
  <c r="E410" i="67"/>
  <c r="A412" i="67"/>
  <c r="F411" i="67"/>
  <c r="B411" i="67"/>
  <c r="C410" i="67" l="1"/>
  <c r="D411" i="67"/>
  <c r="E411" i="67"/>
  <c r="F412" i="67"/>
  <c r="A413" i="67"/>
  <c r="B412" i="67"/>
  <c r="C411" i="67" l="1"/>
  <c r="D412" i="67"/>
  <c r="E412" i="67"/>
  <c r="A414" i="67"/>
  <c r="B413" i="67"/>
  <c r="F413" i="67"/>
  <c r="C412" i="67" l="1"/>
  <c r="D413" i="67"/>
  <c r="E413" i="67"/>
  <c r="F414" i="67"/>
  <c r="A415" i="67"/>
  <c r="B414" i="67"/>
  <c r="C413" i="67" l="1"/>
  <c r="F415" i="67"/>
  <c r="A416" i="67"/>
  <c r="B415" i="67"/>
  <c r="D414" i="67"/>
  <c r="E414" i="67"/>
  <c r="C414" i="67" l="1"/>
  <c r="D415" i="67"/>
  <c r="E415" i="67"/>
  <c r="B416" i="67"/>
  <c r="F416" i="67"/>
  <c r="A417" i="67"/>
  <c r="C415" i="67" l="1"/>
  <c r="B417" i="67"/>
  <c r="F417" i="67"/>
  <c r="A418" i="67"/>
  <c r="D416" i="67"/>
  <c r="E416" i="67"/>
  <c r="C416" i="67" l="1"/>
  <c r="F418" i="67"/>
  <c r="A419" i="67"/>
  <c r="B418" i="67"/>
  <c r="D417" i="67"/>
  <c r="E417" i="67"/>
  <c r="C417" i="67" l="1"/>
  <c r="D418" i="67"/>
  <c r="E418" i="67"/>
  <c r="F419" i="67"/>
  <c r="A420" i="67"/>
  <c r="B419" i="67"/>
  <c r="C418" i="67" l="1"/>
  <c r="F420" i="67"/>
  <c r="A421" i="67"/>
  <c r="B420" i="67"/>
  <c r="D419" i="67"/>
  <c r="E419" i="67"/>
  <c r="C419" i="67" l="1"/>
  <c r="D420" i="67"/>
  <c r="E420" i="67"/>
  <c r="F421" i="67"/>
  <c r="A422" i="67"/>
  <c r="B421" i="67"/>
  <c r="C420" i="67" l="1"/>
  <c r="D421" i="67"/>
  <c r="E421" i="67"/>
  <c r="B422" i="67"/>
  <c r="F422" i="67"/>
  <c r="A423" i="67"/>
  <c r="C421" i="67" l="1"/>
  <c r="F423" i="67"/>
  <c r="A424" i="67"/>
  <c r="B423" i="67"/>
  <c r="D422" i="67"/>
  <c r="E422" i="67"/>
  <c r="C422" i="67" l="1"/>
  <c r="D423" i="67"/>
  <c r="E423" i="67"/>
  <c r="F424" i="67"/>
  <c r="A425" i="67"/>
  <c r="B424" i="67"/>
  <c r="C423" i="67" l="1"/>
  <c r="F425" i="67"/>
  <c r="A426" i="67"/>
  <c r="B425" i="67"/>
  <c r="D424" i="67"/>
  <c r="E424" i="67"/>
  <c r="C424" i="67" l="1"/>
  <c r="D425" i="67"/>
  <c r="E425" i="67"/>
  <c r="F426" i="67"/>
  <c r="A427" i="67"/>
  <c r="B426" i="67"/>
  <c r="C425" i="67" l="1"/>
  <c r="D426" i="67"/>
  <c r="E426" i="67"/>
  <c r="B427" i="67"/>
  <c r="F427" i="67"/>
  <c r="A428" i="67"/>
  <c r="C426" i="67" l="1"/>
  <c r="F428" i="67"/>
  <c r="A429" i="67"/>
  <c r="B428" i="67"/>
  <c r="D427" i="67"/>
  <c r="E427" i="67"/>
  <c r="C427" i="67" l="1"/>
  <c r="D428" i="67"/>
  <c r="E428" i="67"/>
  <c r="F429" i="67"/>
  <c r="B429" i="67"/>
  <c r="A430" i="67"/>
  <c r="C428" i="67" l="1"/>
  <c r="F430" i="67"/>
  <c r="A431" i="67"/>
  <c r="B430" i="67"/>
  <c r="D429" i="67"/>
  <c r="E429" i="67"/>
  <c r="C429" i="67" l="1"/>
  <c r="D430" i="67"/>
  <c r="E430" i="67"/>
  <c r="F431" i="67"/>
  <c r="B431" i="67"/>
  <c r="A432" i="67"/>
  <c r="C430" i="67" l="1"/>
  <c r="F432" i="67"/>
  <c r="B432" i="67"/>
  <c r="A433" i="67"/>
  <c r="D431" i="67"/>
  <c r="E431" i="67"/>
  <c r="C431" i="67" l="1"/>
  <c r="F433" i="67"/>
  <c r="A434" i="67"/>
  <c r="B433" i="67"/>
  <c r="D432" i="67"/>
  <c r="E432" i="67"/>
  <c r="C432" i="67" l="1"/>
  <c r="D433" i="67"/>
  <c r="E433" i="67"/>
  <c r="F434" i="67"/>
  <c r="B434" i="67"/>
  <c r="A435" i="67"/>
  <c r="C433" i="67" l="1"/>
  <c r="D434" i="67"/>
  <c r="E434" i="67"/>
  <c r="F435" i="67"/>
  <c r="A436" i="67"/>
  <c r="B435" i="67"/>
  <c r="C434" i="67" l="1"/>
  <c r="D435" i="67"/>
  <c r="E435" i="67"/>
  <c r="F436" i="67"/>
  <c r="B436" i="67"/>
  <c r="A437" i="67"/>
  <c r="C435" i="67" l="1"/>
  <c r="D436" i="67"/>
  <c r="E436" i="67"/>
  <c r="F437" i="67"/>
  <c r="A438" i="67"/>
  <c r="B437" i="67"/>
  <c r="C436" i="67" l="1"/>
  <c r="D437" i="67"/>
  <c r="E437" i="67"/>
  <c r="F438" i="67"/>
  <c r="A439" i="67"/>
  <c r="B438" i="67"/>
  <c r="C437" i="67" l="1"/>
  <c r="D438" i="67"/>
  <c r="E438" i="67"/>
  <c r="F439" i="67"/>
  <c r="A440" i="67"/>
  <c r="B439" i="67"/>
  <c r="C438" i="67" l="1"/>
  <c r="D439" i="67"/>
  <c r="E439" i="67"/>
  <c r="F440" i="67"/>
  <c r="A441" i="67"/>
  <c r="B440" i="67"/>
  <c r="C439" i="67" l="1"/>
  <c r="D440" i="67"/>
  <c r="E440" i="67"/>
  <c r="F441" i="67"/>
  <c r="A442" i="67"/>
  <c r="B441" i="67"/>
  <c r="C440" i="67" l="1"/>
  <c r="D441" i="67"/>
  <c r="E441" i="67"/>
  <c r="F442" i="67"/>
  <c r="A443" i="67"/>
  <c r="B442" i="67"/>
  <c r="C441" i="67" l="1"/>
  <c r="B443" i="67"/>
  <c r="F443" i="67"/>
  <c r="A444" i="67"/>
  <c r="D442" i="67"/>
  <c r="E442" i="67"/>
  <c r="C442" i="67" l="1"/>
  <c r="B444" i="67"/>
  <c r="F444" i="67"/>
  <c r="A445" i="67"/>
  <c r="D443" i="67"/>
  <c r="E443" i="67"/>
  <c r="C443" i="67" l="1"/>
  <c r="F445" i="67"/>
  <c r="A446" i="67"/>
  <c r="B445" i="67"/>
  <c r="D444" i="67"/>
  <c r="E444" i="67"/>
  <c r="C444" i="67" l="1"/>
  <c r="D445" i="67"/>
  <c r="E445" i="67"/>
  <c r="F446" i="67"/>
  <c r="A447" i="67"/>
  <c r="B446" i="67"/>
  <c r="C445" i="67" l="1"/>
  <c r="D446" i="67"/>
  <c r="E446" i="67"/>
  <c r="F447" i="67"/>
  <c r="B447" i="67"/>
  <c r="A448" i="67"/>
  <c r="C446" i="67" l="1"/>
  <c r="F448" i="67"/>
  <c r="A449" i="67"/>
  <c r="B448" i="67"/>
  <c r="D447" i="67"/>
  <c r="E447" i="67"/>
  <c r="C447" i="67" l="1"/>
  <c r="D448" i="67"/>
  <c r="E448" i="67"/>
  <c r="F449" i="67"/>
  <c r="A450" i="67"/>
  <c r="B449" i="67"/>
  <c r="C448" i="67" l="1"/>
  <c r="D449" i="67"/>
  <c r="E449" i="67"/>
  <c r="F450" i="67"/>
  <c r="A451" i="67"/>
  <c r="B450" i="67"/>
  <c r="C449" i="67" l="1"/>
  <c r="D450" i="67"/>
  <c r="E450" i="67"/>
  <c r="B451" i="67"/>
  <c r="F451" i="67"/>
  <c r="A452" i="67"/>
  <c r="C450" i="67" l="1"/>
  <c r="F452" i="67"/>
  <c r="A453" i="67"/>
  <c r="B452" i="67"/>
  <c r="D451" i="67"/>
  <c r="E451" i="67"/>
  <c r="C451" i="67" l="1"/>
  <c r="D452" i="67"/>
  <c r="E452" i="67"/>
  <c r="F453" i="67"/>
  <c r="A454" i="67"/>
  <c r="B453" i="67"/>
  <c r="C452" i="67" l="1"/>
  <c r="D453" i="67"/>
  <c r="E453" i="67"/>
  <c r="F454" i="67"/>
  <c r="A455" i="67"/>
  <c r="B454" i="67"/>
  <c r="C453" i="67" l="1"/>
  <c r="D454" i="67"/>
  <c r="E454" i="67"/>
  <c r="F455" i="67"/>
  <c r="A456" i="67"/>
  <c r="B455" i="67"/>
  <c r="C454" i="67" l="1"/>
  <c r="D455" i="67"/>
  <c r="E455" i="67"/>
  <c r="F456" i="67"/>
  <c r="B456" i="67"/>
  <c r="A457" i="67"/>
  <c r="C455" i="67" l="1"/>
  <c r="F457" i="67"/>
  <c r="A458" i="67"/>
  <c r="B457" i="67"/>
  <c r="D456" i="67"/>
  <c r="E456" i="67"/>
  <c r="C456" i="67" l="1"/>
  <c r="D457" i="67"/>
  <c r="E457" i="67"/>
  <c r="F458" i="67"/>
  <c r="A459" i="67"/>
  <c r="B458" i="67"/>
  <c r="C457" i="67" l="1"/>
  <c r="D458" i="67"/>
  <c r="E458" i="67"/>
  <c r="B459" i="67"/>
  <c r="F459" i="67"/>
  <c r="A460" i="67"/>
  <c r="C458" i="67" l="1"/>
  <c r="D459" i="67"/>
  <c r="E459" i="67"/>
  <c r="F460" i="67"/>
  <c r="A461" i="67"/>
  <c r="B460" i="67"/>
  <c r="C459" i="67" l="1"/>
  <c r="D460" i="67"/>
  <c r="E460" i="67"/>
  <c r="F461" i="67"/>
  <c r="A462" i="67"/>
  <c r="B461" i="67"/>
  <c r="C460" i="67" l="1"/>
  <c r="D461" i="67"/>
  <c r="E461" i="67"/>
  <c r="F462" i="67"/>
  <c r="A463" i="67"/>
  <c r="B462" i="67"/>
  <c r="C461" i="67" l="1"/>
  <c r="D462" i="67"/>
  <c r="E462" i="67"/>
  <c r="F463" i="67"/>
  <c r="A464" i="67"/>
  <c r="B463" i="67"/>
  <c r="C462" i="67" l="1"/>
  <c r="D463" i="67"/>
  <c r="E463" i="67"/>
  <c r="F464" i="67"/>
  <c r="A465" i="67"/>
  <c r="B464" i="67"/>
  <c r="C463" i="67" l="1"/>
  <c r="D464" i="67"/>
  <c r="E464" i="67"/>
  <c r="F465" i="67"/>
  <c r="A466" i="67"/>
  <c r="B465" i="67"/>
  <c r="C464" i="67" l="1"/>
  <c r="D465" i="67"/>
  <c r="E465" i="67"/>
  <c r="F466" i="67"/>
  <c r="B466" i="67"/>
  <c r="A467" i="67"/>
  <c r="C465" i="67" l="1"/>
  <c r="F467" i="67"/>
  <c r="A468" i="67"/>
  <c r="B467" i="67"/>
  <c r="D466" i="67"/>
  <c r="E466" i="67"/>
  <c r="C466" i="67" l="1"/>
  <c r="D467" i="67"/>
  <c r="E467" i="67"/>
  <c r="F468" i="67"/>
  <c r="A469" i="67"/>
  <c r="B468" i="67"/>
  <c r="C467" i="67" l="1"/>
  <c r="D468" i="67"/>
  <c r="E468" i="67"/>
  <c r="F469" i="67"/>
  <c r="A470" i="67"/>
  <c r="B469" i="67"/>
  <c r="C468" i="67" l="1"/>
  <c r="F470" i="67"/>
  <c r="B470" i="67"/>
  <c r="A471" i="67"/>
  <c r="D469" i="67"/>
  <c r="E469" i="67"/>
  <c r="C469" i="67" l="1"/>
  <c r="F471" i="67"/>
  <c r="A472" i="67"/>
  <c r="B471" i="67"/>
  <c r="D470" i="67"/>
  <c r="E470" i="67"/>
  <c r="C470" i="67" l="1"/>
  <c r="D471" i="67"/>
  <c r="E471" i="67"/>
  <c r="F472" i="67"/>
  <c r="A473" i="67"/>
  <c r="B472" i="67"/>
  <c r="C471" i="67" l="1"/>
  <c r="D472" i="67"/>
  <c r="E472" i="67"/>
  <c r="F473" i="67"/>
  <c r="A474" i="67"/>
  <c r="B473" i="67"/>
  <c r="C472" i="67" l="1"/>
  <c r="D473" i="67"/>
  <c r="E473" i="67"/>
  <c r="F474" i="67"/>
  <c r="A475" i="67"/>
  <c r="B474" i="67"/>
  <c r="C473" i="67" l="1"/>
  <c r="D474" i="67"/>
  <c r="E474" i="67"/>
  <c r="F475" i="67"/>
  <c r="A476" i="67"/>
  <c r="B475" i="67"/>
  <c r="C474" i="67" l="1"/>
  <c r="D475" i="67"/>
  <c r="E475" i="67"/>
  <c r="F476" i="67"/>
  <c r="A477" i="67"/>
  <c r="B476" i="67"/>
  <c r="C475" i="67" l="1"/>
  <c r="D476" i="67"/>
  <c r="E476" i="67"/>
  <c r="F477" i="67"/>
  <c r="A478" i="67"/>
  <c r="B477" i="67"/>
  <c r="C476" i="67" l="1"/>
  <c r="D477" i="67"/>
  <c r="E477" i="67"/>
  <c r="F478" i="67"/>
  <c r="B478" i="67"/>
  <c r="A479" i="67"/>
  <c r="C477" i="67" l="1"/>
  <c r="F479" i="67"/>
  <c r="A480" i="67"/>
  <c r="B479" i="67"/>
  <c r="D478" i="67"/>
  <c r="E478" i="67"/>
  <c r="C478" i="67" l="1"/>
  <c r="F480" i="67"/>
  <c r="A481" i="67"/>
  <c r="B480" i="67"/>
  <c r="D479" i="67"/>
  <c r="E479" i="67"/>
  <c r="C479" i="67" l="1"/>
  <c r="D480" i="67"/>
  <c r="E480" i="67"/>
  <c r="A482" i="67"/>
  <c r="F481" i="67"/>
  <c r="B481" i="67"/>
  <c r="C480" i="67" l="1"/>
  <c r="F482" i="67"/>
  <c r="A483" i="67"/>
  <c r="B482" i="67"/>
  <c r="D481" i="67"/>
  <c r="E481" i="67"/>
  <c r="C481" i="67" l="1"/>
  <c r="D482" i="67"/>
  <c r="E482" i="67"/>
  <c r="F483" i="67"/>
  <c r="A484" i="67"/>
  <c r="B483" i="67"/>
  <c r="C482" i="67" l="1"/>
  <c r="B484" i="67"/>
  <c r="F484" i="67"/>
  <c r="A485" i="67"/>
  <c r="D483" i="67"/>
  <c r="E483" i="67"/>
  <c r="C483" i="67" l="1"/>
  <c r="F485" i="67"/>
  <c r="B485" i="67"/>
  <c r="A486" i="67"/>
  <c r="D484" i="67"/>
  <c r="E484" i="67"/>
  <c r="C484" i="67" l="1"/>
  <c r="F486" i="67"/>
  <c r="A487" i="67"/>
  <c r="B486" i="67"/>
  <c r="D485" i="67"/>
  <c r="E485" i="67"/>
  <c r="C485" i="67" l="1"/>
  <c r="D486" i="67"/>
  <c r="E486" i="67"/>
  <c r="F487" i="67"/>
  <c r="A488" i="67"/>
  <c r="B487" i="67"/>
  <c r="C486" i="67" l="1"/>
  <c r="D487" i="67"/>
  <c r="E487" i="67"/>
  <c r="F488" i="67"/>
  <c r="A489" i="67"/>
  <c r="B488" i="67"/>
  <c r="C487" i="67" l="1"/>
  <c r="D488" i="67"/>
  <c r="E488" i="67"/>
  <c r="F489" i="67"/>
  <c r="A490" i="67"/>
  <c r="B489" i="67"/>
  <c r="C488" i="67" l="1"/>
  <c r="D489" i="67"/>
  <c r="E489" i="67"/>
  <c r="F490" i="67"/>
  <c r="A491" i="67"/>
  <c r="B490" i="67"/>
  <c r="C489" i="67" l="1"/>
  <c r="D490" i="67"/>
  <c r="E490" i="67"/>
  <c r="A492" i="67"/>
  <c r="F491" i="67"/>
  <c r="B491" i="67"/>
  <c r="C490" i="67" l="1"/>
  <c r="D491" i="67"/>
  <c r="E491" i="67"/>
  <c r="F492" i="67"/>
  <c r="B492" i="67"/>
  <c r="A493" i="67"/>
  <c r="C491" i="67" l="1"/>
  <c r="F493" i="67"/>
  <c r="B493" i="67"/>
  <c r="A494" i="67"/>
  <c r="D492" i="67"/>
  <c r="E492" i="67"/>
  <c r="C492" i="67" l="1"/>
  <c r="F494" i="67"/>
  <c r="B494" i="67"/>
  <c r="A495" i="67"/>
  <c r="D493" i="67"/>
  <c r="E493" i="67"/>
  <c r="C493" i="67" l="1"/>
  <c r="F495" i="67"/>
  <c r="A496" i="67"/>
  <c r="B495" i="67"/>
  <c r="D494" i="67"/>
  <c r="E494" i="67"/>
  <c r="C494" i="67" l="1"/>
  <c r="D495" i="67"/>
  <c r="E495" i="67"/>
  <c r="F496" i="67"/>
  <c r="A497" i="67"/>
  <c r="B496" i="67"/>
  <c r="C495" i="67" l="1"/>
  <c r="F497" i="67"/>
  <c r="B497" i="67"/>
  <c r="A498" i="67"/>
  <c r="D496" i="67"/>
  <c r="E496" i="67"/>
  <c r="C496" i="67" l="1"/>
  <c r="F498" i="67"/>
  <c r="A499" i="67"/>
  <c r="B498" i="67"/>
  <c r="D497" i="67"/>
  <c r="E497" i="67"/>
  <c r="C497" i="67" l="1"/>
  <c r="D498" i="67"/>
  <c r="E498" i="67"/>
  <c r="F499" i="67"/>
  <c r="A500" i="67"/>
  <c r="B499" i="67"/>
  <c r="C498" i="67" l="1"/>
  <c r="D499" i="67"/>
  <c r="E499" i="67"/>
  <c r="F500" i="67"/>
  <c r="A501" i="67"/>
  <c r="B500" i="67"/>
  <c r="C499" i="67" l="1"/>
  <c r="F501" i="67"/>
  <c r="A502" i="67"/>
  <c r="B501" i="67"/>
  <c r="D500" i="67"/>
  <c r="E500" i="67"/>
  <c r="C500" i="67" l="1"/>
  <c r="D501" i="67"/>
  <c r="E501" i="67"/>
  <c r="F502" i="67"/>
  <c r="A503" i="67"/>
  <c r="B502" i="67"/>
  <c r="C501" i="67" l="1"/>
  <c r="D502" i="67"/>
  <c r="E502" i="67"/>
  <c r="F503" i="67"/>
  <c r="A504" i="67"/>
  <c r="B503" i="67"/>
  <c r="C502" i="67" l="1"/>
  <c r="D503" i="67"/>
  <c r="E503" i="67"/>
  <c r="F504" i="67"/>
  <c r="B504" i="67"/>
  <c r="A505" i="67"/>
  <c r="C503" i="67" l="1"/>
  <c r="A506" i="67"/>
  <c r="F505" i="67"/>
  <c r="B505" i="67"/>
  <c r="D504" i="67"/>
  <c r="E504" i="67"/>
  <c r="C504" i="67" l="1"/>
  <c r="D505" i="67"/>
  <c r="E505" i="67"/>
  <c r="B506" i="67"/>
  <c r="F506" i="67"/>
  <c r="A507" i="67"/>
  <c r="C505" i="67" l="1"/>
  <c r="F507" i="67"/>
  <c r="B507" i="67"/>
  <c r="A508" i="67"/>
  <c r="D506" i="67"/>
  <c r="E506" i="67"/>
  <c r="C506" i="67" l="1"/>
  <c r="B508" i="67"/>
  <c r="F508" i="67"/>
  <c r="A509" i="67"/>
  <c r="D507" i="67"/>
  <c r="E507" i="67"/>
  <c r="C507" i="67" l="1"/>
  <c r="B509" i="67"/>
  <c r="F509" i="67"/>
  <c r="A510" i="67"/>
  <c r="D508" i="67"/>
  <c r="E508" i="67"/>
  <c r="C508" i="67" l="1"/>
  <c r="F510" i="67"/>
  <c r="A511" i="67"/>
  <c r="B510" i="67"/>
  <c r="D509" i="67"/>
  <c r="E509" i="67"/>
  <c r="C509" i="67" l="1"/>
  <c r="D510" i="67"/>
  <c r="E510" i="67"/>
  <c r="F511" i="67"/>
  <c r="B511" i="67"/>
  <c r="A512" i="67"/>
  <c r="C510" i="67" l="1"/>
  <c r="F512" i="67"/>
  <c r="A513" i="67"/>
  <c r="B512" i="67"/>
  <c r="D511" i="67"/>
  <c r="E511" i="67"/>
  <c r="C511" i="67" l="1"/>
  <c r="D512" i="67"/>
  <c r="E512" i="67"/>
  <c r="F513" i="67"/>
  <c r="A514" i="67"/>
  <c r="B513" i="67"/>
  <c r="C512" i="67" l="1"/>
  <c r="D513" i="67"/>
  <c r="E513" i="67"/>
  <c r="F514" i="67"/>
  <c r="B514" i="67"/>
  <c r="A515" i="67"/>
  <c r="C513" i="67" l="1"/>
  <c r="F515" i="67"/>
  <c r="A516" i="67"/>
  <c r="B515" i="67"/>
  <c r="D514" i="67"/>
  <c r="E514" i="67"/>
  <c r="C514" i="67" l="1"/>
  <c r="F516" i="67"/>
  <c r="B516" i="67"/>
  <c r="A517" i="67"/>
  <c r="D515" i="67"/>
  <c r="E515" i="67"/>
  <c r="C515" i="67" l="1"/>
  <c r="F517" i="67"/>
  <c r="A518" i="67"/>
  <c r="B517" i="67"/>
  <c r="D516" i="67"/>
  <c r="E516" i="67"/>
  <c r="C516" i="67" l="1"/>
  <c r="D517" i="67"/>
  <c r="E517" i="67"/>
  <c r="F518" i="67"/>
  <c r="A519" i="67"/>
  <c r="B518" i="67"/>
  <c r="C517" i="67" l="1"/>
  <c r="D518" i="67"/>
  <c r="E518" i="67"/>
  <c r="B519" i="67"/>
  <c r="F519" i="67"/>
  <c r="A520" i="67"/>
  <c r="C518" i="67" l="1"/>
  <c r="F520" i="67"/>
  <c r="B520" i="67"/>
  <c r="A521" i="67"/>
  <c r="D519" i="67"/>
  <c r="E519" i="67"/>
  <c r="C519" i="67" l="1"/>
  <c r="A522" i="67"/>
  <c r="F521" i="67"/>
  <c r="B521" i="67"/>
  <c r="D520" i="67"/>
  <c r="E520" i="67"/>
  <c r="C520" i="67" l="1"/>
  <c r="D521" i="67"/>
  <c r="E521" i="67"/>
  <c r="F522" i="67"/>
  <c r="A523" i="67"/>
  <c r="B522" i="67"/>
  <c r="C521" i="67" l="1"/>
  <c r="D522" i="67"/>
  <c r="E522" i="67"/>
  <c r="B523" i="67"/>
  <c r="F523" i="67"/>
  <c r="A524" i="67"/>
  <c r="C522" i="67" l="1"/>
  <c r="F524" i="67"/>
  <c r="A525" i="67"/>
  <c r="B524" i="67"/>
  <c r="D523" i="67"/>
  <c r="E523" i="67"/>
  <c r="C523" i="67" l="1"/>
  <c r="D524" i="67"/>
  <c r="E524" i="67"/>
  <c r="F525" i="67"/>
  <c r="B525" i="67"/>
  <c r="A526" i="67"/>
  <c r="C524" i="67" l="1"/>
  <c r="F526" i="67"/>
  <c r="B526" i="67"/>
  <c r="A527" i="67"/>
  <c r="D525" i="67"/>
  <c r="E525" i="67"/>
  <c r="C525" i="67" l="1"/>
  <c r="A528" i="67"/>
  <c r="F527" i="67"/>
  <c r="B527" i="67"/>
  <c r="D526" i="67"/>
  <c r="E526" i="67"/>
  <c r="C526" i="67" l="1"/>
  <c r="D527" i="67"/>
  <c r="E527" i="67"/>
  <c r="B528" i="67"/>
  <c r="F528" i="67"/>
  <c r="A529" i="67"/>
  <c r="C527" i="67" l="1"/>
  <c r="A530" i="67"/>
  <c r="F529" i="67"/>
  <c r="B529" i="67"/>
  <c r="D528" i="67"/>
  <c r="E528" i="67"/>
  <c r="C528" i="67" l="1"/>
  <c r="D529" i="67"/>
  <c r="E529" i="67"/>
  <c r="F530" i="67"/>
  <c r="B530" i="67"/>
  <c r="A531" i="67"/>
  <c r="C529" i="67" l="1"/>
  <c r="F531" i="67"/>
  <c r="A532" i="67"/>
  <c r="B531" i="67"/>
  <c r="D530" i="67"/>
  <c r="E530" i="67"/>
  <c r="C530" i="67" l="1"/>
  <c r="D531" i="67"/>
  <c r="E531" i="67"/>
  <c r="F532" i="67"/>
  <c r="B532" i="67"/>
  <c r="A533" i="67"/>
  <c r="C531" i="67" l="1"/>
  <c r="F533" i="67"/>
  <c r="A534" i="67"/>
  <c r="B533" i="67"/>
  <c r="D532" i="67"/>
  <c r="E532" i="67"/>
  <c r="C532" i="67" l="1"/>
  <c r="D533" i="67"/>
  <c r="E533" i="67"/>
  <c r="A535" i="67"/>
  <c r="B534" i="67"/>
  <c r="F534" i="67"/>
  <c r="C533" i="67" l="1"/>
  <c r="D534" i="67"/>
  <c r="E534" i="67"/>
  <c r="F535" i="67"/>
  <c r="A536" i="67"/>
  <c r="B535" i="67"/>
  <c r="C534" i="67" l="1"/>
  <c r="D535" i="67"/>
  <c r="E535" i="67"/>
  <c r="F536" i="67"/>
  <c r="A537" i="67"/>
  <c r="B536" i="67"/>
  <c r="C535" i="67" l="1"/>
  <c r="D536" i="67"/>
  <c r="E536" i="67"/>
  <c r="F537" i="67"/>
  <c r="A538" i="67"/>
  <c r="B537" i="67"/>
  <c r="C536" i="67" l="1"/>
  <c r="D537" i="67"/>
  <c r="E537" i="67"/>
  <c r="A539" i="67"/>
  <c r="B538" i="67"/>
  <c r="F538" i="67"/>
  <c r="C537" i="67" l="1"/>
  <c r="D538" i="67"/>
  <c r="E538" i="67"/>
  <c r="F539" i="67"/>
  <c r="A540" i="67"/>
  <c r="B539" i="67"/>
  <c r="C538" i="67" l="1"/>
  <c r="D539" i="67"/>
  <c r="E539" i="67"/>
  <c r="F540" i="67"/>
  <c r="A541" i="67"/>
  <c r="B540" i="67"/>
  <c r="C539" i="67" l="1"/>
  <c r="D540" i="67"/>
  <c r="E540" i="67"/>
  <c r="A542" i="67"/>
  <c r="F541" i="67"/>
  <c r="B541" i="67"/>
  <c r="C540" i="67" l="1"/>
  <c r="D541" i="67"/>
  <c r="E541" i="67"/>
  <c r="B542" i="67"/>
  <c r="F542" i="67"/>
  <c r="A543" i="67"/>
  <c r="C541" i="67" l="1"/>
  <c r="F543" i="67"/>
  <c r="A544" i="67"/>
  <c r="B543" i="67"/>
  <c r="D542" i="67"/>
  <c r="E542" i="67"/>
  <c r="C542" i="67" l="1"/>
  <c r="F544" i="67"/>
  <c r="A545" i="67"/>
  <c r="B544" i="67"/>
  <c r="D543" i="67"/>
  <c r="E543" i="67"/>
  <c r="C543" i="67" l="1"/>
  <c r="D544" i="67"/>
  <c r="E544" i="67"/>
  <c r="F545" i="67"/>
  <c r="B545" i="67"/>
  <c r="A546" i="67"/>
  <c r="C544" i="67" l="1"/>
  <c r="F546" i="67"/>
  <c r="A547" i="67"/>
  <c r="B546" i="67"/>
  <c r="D545" i="67"/>
  <c r="E545" i="67"/>
  <c r="C545" i="67" l="1"/>
  <c r="D546" i="67"/>
  <c r="E546" i="67"/>
  <c r="F547" i="67"/>
  <c r="A548" i="67"/>
  <c r="B547" i="67"/>
  <c r="C546" i="67" l="1"/>
  <c r="D547" i="67"/>
  <c r="E547" i="67"/>
  <c r="F548" i="67"/>
  <c r="A549" i="67"/>
  <c r="B548" i="67"/>
  <c r="C547" i="67" l="1"/>
  <c r="D548" i="67"/>
  <c r="E548" i="67"/>
  <c r="F549" i="67"/>
  <c r="B549" i="67"/>
  <c r="A550" i="67"/>
  <c r="C548" i="67" l="1"/>
  <c r="F550" i="67"/>
  <c r="A551" i="67"/>
  <c r="B550" i="67"/>
  <c r="D549" i="67"/>
  <c r="E549" i="67"/>
  <c r="C549" i="67" l="1"/>
  <c r="B551" i="67"/>
  <c r="F551" i="67"/>
  <c r="A552" i="67"/>
  <c r="D550" i="67"/>
  <c r="E550" i="67"/>
  <c r="C550" i="67" l="1"/>
  <c r="F552" i="67"/>
  <c r="A553" i="67"/>
  <c r="B552" i="67"/>
  <c r="D551" i="67"/>
  <c r="E551" i="67"/>
  <c r="C551" i="67" l="1"/>
  <c r="D552" i="67"/>
  <c r="E552" i="67"/>
  <c r="F553" i="67"/>
  <c r="A554" i="67"/>
  <c r="B553" i="67"/>
  <c r="C552" i="67" l="1"/>
  <c r="D553" i="67"/>
  <c r="E553" i="67"/>
  <c r="F554" i="67"/>
  <c r="A555" i="67"/>
  <c r="B554" i="67"/>
  <c r="C553" i="67" l="1"/>
  <c r="D554" i="67"/>
  <c r="E554" i="67"/>
  <c r="F555" i="67"/>
  <c r="A556" i="67"/>
  <c r="B555" i="67"/>
  <c r="C554" i="67" l="1"/>
  <c r="D555" i="67"/>
  <c r="E555" i="67"/>
  <c r="B556" i="67"/>
  <c r="F556" i="67"/>
  <c r="A557" i="67"/>
  <c r="C555" i="67" l="1"/>
  <c r="A558" i="67"/>
  <c r="F557" i="67"/>
  <c r="B557" i="67"/>
  <c r="D556" i="67"/>
  <c r="E556" i="67"/>
  <c r="C556" i="67" l="1"/>
  <c r="D557" i="67"/>
  <c r="E557" i="67"/>
  <c r="F558" i="67"/>
  <c r="A559" i="67"/>
  <c r="B558" i="67"/>
  <c r="C557" i="67" l="1"/>
  <c r="D558" i="67"/>
  <c r="E558" i="67"/>
  <c r="F559" i="67"/>
  <c r="A560" i="67"/>
  <c r="B559" i="67"/>
  <c r="C558" i="67" l="1"/>
  <c r="D559" i="67"/>
  <c r="E559" i="67"/>
  <c r="F560" i="67"/>
  <c r="A561" i="67"/>
  <c r="B560" i="67"/>
  <c r="C559" i="67" l="1"/>
  <c r="D560" i="67"/>
  <c r="E560" i="67"/>
  <c r="B561" i="67"/>
  <c r="F561" i="67"/>
  <c r="A562" i="67"/>
  <c r="C560" i="67" l="1"/>
  <c r="A563" i="67"/>
  <c r="F562" i="67"/>
  <c r="B562" i="67"/>
  <c r="D561" i="67"/>
  <c r="E561" i="67"/>
  <c r="C561" i="67" l="1"/>
  <c r="D562" i="67"/>
  <c r="E562" i="67"/>
  <c r="A564" i="67"/>
  <c r="F563" i="67"/>
  <c r="B563" i="67"/>
  <c r="C562" i="67" l="1"/>
  <c r="D563" i="67"/>
  <c r="E563" i="67"/>
  <c r="F564" i="67"/>
  <c r="B564" i="67"/>
  <c r="A565" i="67"/>
  <c r="C563" i="67" l="1"/>
  <c r="A566" i="67"/>
  <c r="B565" i="67"/>
  <c r="F565" i="67"/>
  <c r="D564" i="67"/>
  <c r="E564" i="67"/>
  <c r="C564" i="67" l="1"/>
  <c r="D565" i="67"/>
  <c r="E565" i="67"/>
  <c r="F566" i="67"/>
  <c r="B566" i="67"/>
  <c r="A567" i="67"/>
  <c r="C565" i="67" l="1"/>
  <c r="F567" i="67"/>
  <c r="A568" i="67"/>
  <c r="B567" i="67"/>
  <c r="D566" i="67"/>
  <c r="E566" i="67"/>
  <c r="C566" i="67" l="1"/>
  <c r="D567" i="67"/>
  <c r="E567" i="67"/>
  <c r="A569" i="67"/>
  <c r="F568" i="67"/>
  <c r="B568" i="67"/>
  <c r="C567" i="67" l="1"/>
  <c r="D568" i="67"/>
  <c r="E568" i="67"/>
  <c r="F569" i="67"/>
  <c r="A570" i="67"/>
  <c r="B569" i="67"/>
  <c r="C568" i="67" l="1"/>
  <c r="D569" i="67"/>
  <c r="E569" i="67"/>
  <c r="F570" i="67"/>
  <c r="B570" i="67"/>
  <c r="A571" i="67"/>
  <c r="C569" i="67" l="1"/>
  <c r="F571" i="67"/>
  <c r="A572" i="67"/>
  <c r="B571" i="67"/>
  <c r="D570" i="67"/>
  <c r="E570" i="67"/>
  <c r="C570" i="67" l="1"/>
  <c r="D571" i="67"/>
  <c r="E571" i="67"/>
  <c r="F572" i="67"/>
  <c r="A573" i="67"/>
  <c r="B572" i="67"/>
  <c r="C571" i="67" l="1"/>
  <c r="D572" i="67"/>
  <c r="E572" i="67"/>
  <c r="F573" i="67"/>
  <c r="A574" i="67"/>
  <c r="B573" i="67"/>
  <c r="C572" i="67" l="1"/>
  <c r="A575" i="67"/>
  <c r="F574" i="67"/>
  <c r="B574" i="67"/>
  <c r="D573" i="67"/>
  <c r="E573" i="67"/>
  <c r="C573" i="67" l="1"/>
  <c r="D574" i="67"/>
  <c r="E574" i="67"/>
  <c r="B575" i="67"/>
  <c r="F575" i="67"/>
  <c r="A576" i="67"/>
  <c r="C574" i="67" l="1"/>
  <c r="F576" i="67"/>
  <c r="A577" i="67"/>
  <c r="B576" i="67"/>
  <c r="D575" i="67"/>
  <c r="E575" i="67"/>
  <c r="C575" i="67" l="1"/>
  <c r="D576" i="67"/>
  <c r="E576" i="67"/>
  <c r="F577" i="67"/>
  <c r="A578" i="67"/>
  <c r="B577" i="67"/>
  <c r="C576" i="67" l="1"/>
  <c r="D577" i="67"/>
  <c r="E577" i="67"/>
  <c r="A579" i="67"/>
  <c r="B578" i="67"/>
  <c r="F578" i="67"/>
  <c r="C577" i="67" l="1"/>
  <c r="D578" i="67"/>
  <c r="E578" i="67"/>
  <c r="B579" i="67"/>
  <c r="A580" i="67"/>
  <c r="F579" i="67"/>
  <c r="C578" i="67" l="1"/>
  <c r="D579" i="67"/>
  <c r="E579" i="67"/>
  <c r="F580" i="67"/>
  <c r="A581" i="67"/>
  <c r="B580" i="67"/>
  <c r="C579" i="67" l="1"/>
  <c r="D580" i="67"/>
  <c r="E580" i="67"/>
  <c r="B581" i="67"/>
  <c r="F581" i="67"/>
  <c r="A582" i="67"/>
  <c r="C580" i="67" l="1"/>
  <c r="A583" i="67"/>
  <c r="B582" i="67"/>
  <c r="F582" i="67"/>
  <c r="D581" i="67"/>
  <c r="E581" i="67"/>
  <c r="C581" i="67" l="1"/>
  <c r="D582" i="67"/>
  <c r="E582" i="67"/>
  <c r="B583" i="67"/>
  <c r="F583" i="67"/>
  <c r="A584" i="67"/>
  <c r="C582" i="67" l="1"/>
  <c r="A585" i="67"/>
  <c r="F584" i="67"/>
  <c r="B584" i="67"/>
  <c r="D583" i="67"/>
  <c r="E583" i="67"/>
  <c r="C583" i="67" l="1"/>
  <c r="D584" i="67"/>
  <c r="E584" i="67"/>
  <c r="B585" i="67"/>
  <c r="F585" i="67"/>
  <c r="A586" i="67"/>
  <c r="C584" i="67" l="1"/>
  <c r="F586" i="67"/>
  <c r="A587" i="67"/>
  <c r="B586" i="67"/>
  <c r="D585" i="67"/>
  <c r="E585" i="67"/>
  <c r="C585" i="67" l="1"/>
  <c r="D586" i="67"/>
  <c r="E586" i="67"/>
  <c r="B587" i="67"/>
  <c r="F587" i="67"/>
  <c r="A588" i="67"/>
  <c r="C586" i="67" l="1"/>
  <c r="A589" i="67"/>
  <c r="B588" i="67"/>
  <c r="F588" i="67"/>
  <c r="D587" i="67"/>
  <c r="E587" i="67"/>
  <c r="C587" i="67" l="1"/>
  <c r="D588" i="67"/>
  <c r="E588" i="67"/>
  <c r="F589" i="67"/>
  <c r="A590" i="67"/>
  <c r="B589" i="67"/>
  <c r="C588" i="67" l="1"/>
  <c r="B590" i="67"/>
  <c r="F590" i="67"/>
  <c r="A591" i="67"/>
  <c r="D589" i="67"/>
  <c r="E589" i="67"/>
  <c r="C589" i="67" l="1"/>
  <c r="F591" i="67"/>
  <c r="A592" i="67"/>
  <c r="B591" i="67"/>
  <c r="D590" i="67"/>
  <c r="E590" i="67"/>
  <c r="C590" i="67" l="1"/>
  <c r="D591" i="67"/>
  <c r="E591" i="67"/>
  <c r="F592" i="67"/>
  <c r="A593" i="67"/>
  <c r="B592" i="67"/>
  <c r="C591" i="67" l="1"/>
  <c r="D592" i="67"/>
  <c r="E592" i="67"/>
  <c r="F593" i="67"/>
  <c r="A594" i="67"/>
  <c r="B593" i="67"/>
  <c r="C592" i="67" l="1"/>
  <c r="D593" i="67"/>
  <c r="E593" i="67"/>
  <c r="F594" i="67"/>
  <c r="B594" i="67"/>
  <c r="A595" i="67"/>
  <c r="C593" i="67" l="1"/>
  <c r="A596" i="67"/>
  <c r="F595" i="67"/>
  <c r="B595" i="67"/>
  <c r="D594" i="67"/>
  <c r="E594" i="67"/>
  <c r="C594" i="67" l="1"/>
  <c r="F596" i="67"/>
  <c r="A597" i="67"/>
  <c r="B596" i="67"/>
  <c r="D595" i="67"/>
  <c r="E595" i="67"/>
  <c r="C595" i="67" l="1"/>
  <c r="D596" i="67"/>
  <c r="E596" i="67"/>
  <c r="F597" i="67"/>
  <c r="A598" i="67"/>
  <c r="B597" i="67"/>
  <c r="C596" i="67" l="1"/>
  <c r="D597" i="67"/>
  <c r="E597" i="67"/>
  <c r="F598" i="67"/>
  <c r="B598" i="67"/>
  <c r="A599" i="67"/>
  <c r="C597" i="67" l="1"/>
  <c r="B599" i="67"/>
  <c r="F599" i="67"/>
  <c r="A600" i="67"/>
  <c r="D598" i="67"/>
  <c r="E598" i="67"/>
  <c r="C598" i="67" l="1"/>
  <c r="F600" i="67"/>
  <c r="A601" i="67"/>
  <c r="B600" i="67"/>
  <c r="D599" i="67"/>
  <c r="E599" i="67"/>
  <c r="C599" i="67" l="1"/>
  <c r="D600" i="67"/>
  <c r="E600" i="67"/>
  <c r="B601" i="67"/>
  <c r="F601" i="67"/>
  <c r="A602" i="67"/>
  <c r="C600" i="67" l="1"/>
  <c r="F602" i="67"/>
  <c r="A603" i="67"/>
  <c r="B602" i="67"/>
  <c r="D601" i="67"/>
  <c r="E601" i="67"/>
  <c r="C601" i="67" l="1"/>
  <c r="D602" i="67"/>
  <c r="E602" i="67"/>
  <c r="F603" i="67"/>
  <c r="A604" i="67"/>
  <c r="B603" i="67"/>
  <c r="C602" i="67" l="1"/>
  <c r="D603" i="67"/>
  <c r="E603" i="67"/>
  <c r="F604" i="67"/>
  <c r="A605" i="67"/>
  <c r="B604" i="67"/>
  <c r="C603" i="67" l="1"/>
  <c r="D604" i="67"/>
  <c r="E604" i="67"/>
  <c r="F605" i="67"/>
  <c r="A606" i="67"/>
  <c r="B605" i="67"/>
  <c r="C604" i="67" l="1"/>
  <c r="D605" i="67"/>
  <c r="E605" i="67"/>
  <c r="F606" i="67"/>
  <c r="A607" i="67"/>
  <c r="B606" i="67"/>
  <c r="C605" i="67" l="1"/>
  <c r="D606" i="67"/>
  <c r="E606" i="67"/>
  <c r="F607" i="67"/>
  <c r="A608" i="67"/>
  <c r="B607" i="67"/>
  <c r="C606" i="67" l="1"/>
  <c r="D607" i="67"/>
  <c r="E607" i="67"/>
  <c r="F608" i="67"/>
  <c r="B608" i="67"/>
  <c r="A609" i="67"/>
  <c r="C607" i="67" l="1"/>
  <c r="A610" i="67"/>
  <c r="F609" i="67"/>
  <c r="B609" i="67"/>
  <c r="D608" i="67"/>
  <c r="E608" i="67"/>
  <c r="C608" i="67" l="1"/>
  <c r="D609" i="67"/>
  <c r="E609" i="67"/>
  <c r="F610" i="67"/>
  <c r="A611" i="67"/>
  <c r="B610" i="67"/>
  <c r="C609" i="67" l="1"/>
  <c r="B611" i="67"/>
  <c r="A612" i="67"/>
  <c r="F611" i="67"/>
  <c r="D610" i="67"/>
  <c r="E610" i="67"/>
  <c r="C610" i="67" l="1"/>
  <c r="F612" i="67"/>
  <c r="B612" i="67"/>
  <c r="A613" i="67"/>
  <c r="D611" i="67"/>
  <c r="E611" i="67"/>
  <c r="C611" i="67" l="1"/>
  <c r="B613" i="67"/>
  <c r="A614" i="67"/>
  <c r="F613" i="67"/>
  <c r="D612" i="67"/>
  <c r="E612" i="67"/>
  <c r="C612" i="67" l="1"/>
  <c r="B614" i="67"/>
  <c r="F614" i="67"/>
  <c r="A615" i="67"/>
  <c r="D613" i="67"/>
  <c r="E613" i="67"/>
  <c r="C613" i="67" l="1"/>
  <c r="F615" i="67"/>
  <c r="B615" i="67"/>
  <c r="A616" i="67"/>
  <c r="D614" i="67"/>
  <c r="E614" i="67"/>
  <c r="C614" i="67" l="1"/>
  <c r="F616" i="67"/>
  <c r="A617" i="67"/>
  <c r="B616" i="67"/>
  <c r="D615" i="67"/>
  <c r="E615" i="67"/>
  <c r="C615" i="67" l="1"/>
  <c r="B617" i="67"/>
  <c r="F617" i="67"/>
  <c r="A618" i="67"/>
  <c r="D616" i="67"/>
  <c r="E616" i="67"/>
  <c r="C616" i="67" l="1"/>
  <c r="B618" i="67"/>
  <c r="F618" i="67"/>
  <c r="A619" i="67"/>
  <c r="D617" i="67"/>
  <c r="E617" i="67"/>
  <c r="C617" i="67" l="1"/>
  <c r="F619" i="67"/>
  <c r="A620" i="67"/>
  <c r="B619" i="67"/>
  <c r="D618" i="67"/>
  <c r="E618" i="67"/>
  <c r="C618" i="67" l="1"/>
  <c r="D619" i="67"/>
  <c r="E619" i="67"/>
  <c r="A621" i="67"/>
  <c r="F620" i="67"/>
  <c r="B620" i="67"/>
  <c r="C619" i="67" l="1"/>
  <c r="D620" i="67"/>
  <c r="E620" i="67"/>
  <c r="A622" i="67"/>
  <c r="F621" i="67"/>
  <c r="B621" i="67"/>
  <c r="C620" i="67" l="1"/>
  <c r="D621" i="67"/>
  <c r="E621" i="67"/>
  <c r="B622" i="67"/>
  <c r="A623" i="67"/>
  <c r="F622" i="67"/>
  <c r="C621" i="67" l="1"/>
  <c r="D622" i="67"/>
  <c r="E622" i="67"/>
  <c r="B623" i="67"/>
  <c r="A624" i="67"/>
  <c r="F623" i="67"/>
  <c r="C622" i="67" l="1"/>
  <c r="F624" i="67"/>
  <c r="A625" i="67"/>
  <c r="B624" i="67"/>
  <c r="D623" i="67"/>
  <c r="E623" i="67"/>
  <c r="C623" i="67" l="1"/>
  <c r="D624" i="67"/>
  <c r="E624" i="67"/>
  <c r="B625" i="67"/>
  <c r="A626" i="67"/>
  <c r="F625" i="67"/>
  <c r="C624" i="67" l="1"/>
  <c r="F626" i="67"/>
  <c r="B626" i="67"/>
  <c r="A627" i="67"/>
  <c r="D625" i="67"/>
  <c r="E625" i="67"/>
  <c r="C625" i="67" l="1"/>
  <c r="F627" i="67"/>
  <c r="A628" i="67"/>
  <c r="B627" i="67"/>
  <c r="D626" i="67"/>
  <c r="E626" i="67"/>
  <c r="C626" i="67" l="1"/>
  <c r="D627" i="67"/>
  <c r="E627" i="67"/>
  <c r="F628" i="67"/>
  <c r="A629" i="67"/>
  <c r="B628" i="67"/>
  <c r="C627" i="67" l="1"/>
  <c r="D628" i="67"/>
  <c r="E628" i="67"/>
  <c r="F629" i="67"/>
  <c r="B629" i="67"/>
  <c r="A630" i="67"/>
  <c r="C628" i="67" l="1"/>
  <c r="B630" i="67"/>
  <c r="F630" i="67"/>
  <c r="A631" i="67"/>
  <c r="D629" i="67"/>
  <c r="E629" i="67"/>
  <c r="C629" i="67" l="1"/>
  <c r="B631" i="67"/>
  <c r="F631" i="67"/>
  <c r="A632" i="67"/>
  <c r="D630" i="67"/>
  <c r="E630" i="67"/>
  <c r="C630" i="67" l="1"/>
  <c r="F632" i="67"/>
  <c r="A633" i="67"/>
  <c r="B632" i="67"/>
  <c r="D631" i="67"/>
  <c r="E631" i="67"/>
  <c r="C631" i="67" l="1"/>
  <c r="D632" i="67"/>
  <c r="E632" i="67"/>
  <c r="F633" i="67"/>
  <c r="B633" i="67"/>
  <c r="A634" i="67"/>
  <c r="C632" i="67" l="1"/>
  <c r="F634" i="67"/>
  <c r="A635" i="67"/>
  <c r="B634" i="67"/>
  <c r="D633" i="67"/>
  <c r="E633" i="67"/>
  <c r="C633" i="67" l="1"/>
  <c r="D634" i="67"/>
  <c r="E634" i="67"/>
  <c r="B635" i="67"/>
  <c r="A636" i="67"/>
  <c r="F635" i="67"/>
  <c r="C634" i="67" l="1"/>
  <c r="B636" i="67"/>
  <c r="F636" i="67"/>
  <c r="A637" i="67"/>
  <c r="D635" i="67"/>
  <c r="E635" i="67"/>
  <c r="C635" i="67" l="1"/>
  <c r="B637" i="67"/>
  <c r="F637" i="67"/>
  <c r="A638" i="67"/>
  <c r="D636" i="67"/>
  <c r="E636" i="67"/>
  <c r="C636" i="67" l="1"/>
  <c r="A639" i="67"/>
  <c r="F638" i="67"/>
  <c r="B638" i="67"/>
  <c r="D637" i="67"/>
  <c r="E637" i="67"/>
  <c r="C637" i="67" l="1"/>
  <c r="D638" i="67"/>
  <c r="E638" i="67"/>
  <c r="F639" i="67"/>
  <c r="A640" i="67"/>
  <c r="B639" i="67"/>
  <c r="C638" i="67" l="1"/>
  <c r="D639" i="67"/>
  <c r="E639" i="67"/>
  <c r="F640" i="67"/>
  <c r="A641" i="67"/>
  <c r="B640" i="67"/>
  <c r="C639" i="67" l="1"/>
  <c r="D640" i="67"/>
  <c r="E640" i="67"/>
  <c r="F641" i="67"/>
  <c r="B641" i="67"/>
  <c r="A642" i="67"/>
  <c r="C640" i="67" l="1"/>
  <c r="A643" i="67"/>
  <c r="F642" i="67"/>
  <c r="B642" i="67"/>
  <c r="D641" i="67"/>
  <c r="E641" i="67"/>
  <c r="C641" i="67" l="1"/>
  <c r="D642" i="67"/>
  <c r="E642" i="67"/>
  <c r="B643" i="67"/>
  <c r="F643" i="67"/>
  <c r="A644" i="67"/>
  <c r="C642" i="67" l="1"/>
  <c r="F644" i="67"/>
  <c r="B644" i="67"/>
  <c r="A645" i="67"/>
  <c r="D643" i="67"/>
  <c r="E643" i="67"/>
  <c r="C643" i="67" l="1"/>
  <c r="A646" i="67"/>
  <c r="B645" i="67"/>
  <c r="F645" i="67"/>
  <c r="D644" i="67"/>
  <c r="E644" i="67"/>
  <c r="C644" i="67" l="1"/>
  <c r="D645" i="67"/>
  <c r="E645" i="67"/>
  <c r="F646" i="67"/>
  <c r="B646" i="67"/>
  <c r="A647" i="67"/>
  <c r="C645" i="67" l="1"/>
  <c r="B647" i="67"/>
  <c r="F647" i="67"/>
  <c r="A648" i="67"/>
  <c r="D646" i="67"/>
  <c r="E646" i="67"/>
  <c r="C646" i="67" l="1"/>
  <c r="F648" i="67"/>
  <c r="B648" i="67"/>
  <c r="A649" i="67"/>
  <c r="D647" i="67"/>
  <c r="E647" i="67"/>
  <c r="C647" i="67" l="1"/>
  <c r="B649" i="67"/>
  <c r="A650" i="67"/>
  <c r="F649" i="67"/>
  <c r="D648" i="67"/>
  <c r="E648" i="67"/>
  <c r="C648" i="67" l="1"/>
  <c r="F650" i="67"/>
  <c r="A651" i="67"/>
  <c r="B650" i="67"/>
  <c r="D649" i="67"/>
  <c r="E649" i="67"/>
  <c r="C649" i="67" l="1"/>
  <c r="D650" i="67"/>
  <c r="E650" i="67"/>
  <c r="B651" i="67"/>
  <c r="F651" i="67"/>
  <c r="A652" i="67"/>
  <c r="C650" i="67" l="1"/>
  <c r="F652" i="67"/>
  <c r="A653" i="67"/>
  <c r="B652" i="67"/>
  <c r="D651" i="67"/>
  <c r="E651" i="67"/>
  <c r="C651" i="67" l="1"/>
  <c r="D652" i="67"/>
  <c r="E652" i="67"/>
  <c r="B653" i="67"/>
  <c r="F653" i="67"/>
  <c r="A654" i="67"/>
  <c r="C652" i="67" l="1"/>
  <c r="F654" i="67"/>
  <c r="A655" i="67"/>
  <c r="B654" i="67"/>
  <c r="D653" i="67"/>
  <c r="E653" i="67"/>
  <c r="C653" i="67" l="1"/>
  <c r="D654" i="67"/>
  <c r="E654" i="67"/>
  <c r="F655" i="67"/>
  <c r="A656" i="67"/>
  <c r="B655" i="67"/>
  <c r="C654" i="67" l="1"/>
  <c r="D655" i="67"/>
  <c r="E655" i="67"/>
  <c r="A657" i="67"/>
  <c r="B656" i="67"/>
  <c r="F656" i="67"/>
  <c r="C655" i="67" l="1"/>
  <c r="D656" i="67"/>
  <c r="E656" i="67"/>
  <c r="F657" i="67"/>
  <c r="A658" i="67"/>
  <c r="B657" i="67"/>
  <c r="C656" i="67" l="1"/>
  <c r="D657" i="67"/>
  <c r="E657" i="67"/>
  <c r="B658" i="67"/>
  <c r="F658" i="67"/>
  <c r="A659" i="67"/>
  <c r="C657" i="67" l="1"/>
  <c r="A660" i="67"/>
  <c r="F659" i="67"/>
  <c r="B659" i="67"/>
  <c r="D658" i="67"/>
  <c r="E658" i="67"/>
  <c r="C658" i="67" l="1"/>
  <c r="D659" i="67"/>
  <c r="E659" i="67"/>
  <c r="F660" i="67"/>
  <c r="A661" i="67"/>
  <c r="B660" i="67"/>
  <c r="C659" i="67" l="1"/>
  <c r="B661" i="67"/>
  <c r="F661" i="67"/>
  <c r="A662" i="67"/>
  <c r="D660" i="67"/>
  <c r="E660" i="67"/>
  <c r="C660" i="67" l="1"/>
  <c r="F662" i="67"/>
  <c r="B662" i="67"/>
  <c r="A663" i="67"/>
  <c r="D661" i="67"/>
  <c r="E661" i="67"/>
  <c r="C661" i="67" l="1"/>
  <c r="B663" i="67"/>
  <c r="F663" i="67"/>
  <c r="A664" i="67"/>
  <c r="D662" i="67"/>
  <c r="E662" i="67"/>
  <c r="C662" i="67" l="1"/>
  <c r="F664" i="67"/>
  <c r="A665" i="67"/>
  <c r="B664" i="67"/>
  <c r="D663" i="67"/>
  <c r="E663" i="67"/>
  <c r="C663" i="67" l="1"/>
  <c r="D664" i="67"/>
  <c r="E664" i="67"/>
  <c r="A666" i="67"/>
  <c r="B665" i="67"/>
  <c r="F665" i="67"/>
  <c r="C664" i="67" l="1"/>
  <c r="D665" i="67"/>
  <c r="E665" i="67"/>
  <c r="A667" i="67"/>
  <c r="B666" i="67"/>
  <c r="F666" i="67"/>
  <c r="C665" i="67" l="1"/>
  <c r="D666" i="67"/>
  <c r="E666" i="67"/>
  <c r="F667" i="67"/>
  <c r="A668" i="67"/>
  <c r="B667" i="67"/>
  <c r="C666" i="67" l="1"/>
  <c r="D667" i="67"/>
  <c r="E667" i="67"/>
  <c r="F668" i="67"/>
  <c r="A669" i="67"/>
  <c r="B668" i="67"/>
  <c r="C667" i="67" l="1"/>
  <c r="D668" i="67"/>
  <c r="E668" i="67"/>
  <c r="F669" i="67"/>
  <c r="B669" i="67"/>
  <c r="A670" i="67"/>
  <c r="C668" i="67" l="1"/>
  <c r="A671" i="67"/>
  <c r="B670" i="67"/>
  <c r="F670" i="67"/>
  <c r="D669" i="67"/>
  <c r="E669" i="67"/>
  <c r="C669" i="67" l="1"/>
  <c r="D670" i="67"/>
  <c r="E670" i="67"/>
  <c r="B671" i="67"/>
  <c r="F671" i="67"/>
  <c r="A672" i="67"/>
  <c r="C670" i="67" l="1"/>
  <c r="F672" i="67"/>
  <c r="B672" i="67"/>
  <c r="A673" i="67"/>
  <c r="D671" i="67"/>
  <c r="E671" i="67"/>
  <c r="C671" i="67" l="1"/>
  <c r="F673" i="67"/>
  <c r="A674" i="67"/>
  <c r="B673" i="67"/>
  <c r="D672" i="67"/>
  <c r="E672" i="67"/>
  <c r="C672" i="67" l="1"/>
  <c r="D673" i="67"/>
  <c r="E673" i="67"/>
  <c r="B674" i="67"/>
  <c r="F674" i="67"/>
  <c r="A675" i="67"/>
  <c r="C673" i="67" l="1"/>
  <c r="F675" i="67"/>
  <c r="A676" i="67"/>
  <c r="B675" i="67"/>
  <c r="D674" i="67"/>
  <c r="E674" i="67"/>
  <c r="C674" i="67" l="1"/>
  <c r="D675" i="67"/>
  <c r="E675" i="67"/>
  <c r="B676" i="67"/>
  <c r="F676" i="67"/>
  <c r="A677" i="67"/>
  <c r="C675" i="67" l="1"/>
  <c r="B677" i="67"/>
  <c r="F677" i="67"/>
  <c r="A678" i="67"/>
  <c r="D676" i="67"/>
  <c r="E676" i="67"/>
  <c r="C676" i="67" l="1"/>
  <c r="F678" i="67"/>
  <c r="A679" i="67"/>
  <c r="B678" i="67"/>
  <c r="D677" i="67"/>
  <c r="E677" i="67"/>
  <c r="C677" i="67" l="1"/>
  <c r="F679" i="67"/>
  <c r="B679" i="67"/>
  <c r="A680" i="67"/>
  <c r="D678" i="67"/>
  <c r="E678" i="67"/>
  <c r="C678" i="67" l="1"/>
  <c r="A681" i="67"/>
  <c r="F680" i="67"/>
  <c r="B680" i="67"/>
  <c r="D679" i="67"/>
  <c r="E679" i="67"/>
  <c r="C679" i="67" l="1"/>
  <c r="D680" i="67"/>
  <c r="E680" i="67"/>
  <c r="F681" i="67"/>
  <c r="A682" i="67"/>
  <c r="B681" i="67"/>
  <c r="C680" i="67" l="1"/>
  <c r="F682" i="67"/>
  <c r="A683" i="67"/>
  <c r="B682" i="67"/>
  <c r="D681" i="67"/>
  <c r="E681" i="67"/>
  <c r="C681" i="67" l="1"/>
  <c r="D682" i="67"/>
  <c r="E682" i="67"/>
  <c r="F683" i="67"/>
  <c r="B683" i="67"/>
  <c r="A684" i="67"/>
  <c r="C682" i="67" l="1"/>
  <c r="B684" i="67"/>
  <c r="F684" i="67"/>
  <c r="A685" i="67"/>
  <c r="D683" i="67"/>
  <c r="E683" i="67"/>
  <c r="C683" i="67" l="1"/>
  <c r="A686" i="67"/>
  <c r="F685" i="67"/>
  <c r="B685" i="67"/>
  <c r="D684" i="67"/>
  <c r="E684" i="67"/>
  <c r="C684" i="67" l="1"/>
  <c r="D685" i="67"/>
  <c r="E685" i="67"/>
  <c r="F686" i="67"/>
  <c r="B686" i="67"/>
  <c r="A687" i="67"/>
  <c r="C685" i="67" l="1"/>
  <c r="A688" i="67"/>
  <c r="B687" i="67"/>
  <c r="F687" i="67"/>
  <c r="D686" i="67"/>
  <c r="E686" i="67"/>
  <c r="C686" i="67" l="1"/>
  <c r="D687" i="67"/>
  <c r="E687" i="67"/>
  <c r="F688" i="67"/>
  <c r="A689" i="67"/>
  <c r="B688" i="67"/>
  <c r="C687" i="67" l="1"/>
  <c r="D688" i="67"/>
  <c r="E688" i="67"/>
  <c r="F689" i="67"/>
  <c r="A690" i="67"/>
  <c r="B689" i="67"/>
  <c r="C688" i="67" l="1"/>
  <c r="D689" i="67"/>
  <c r="E689" i="67"/>
  <c r="F690" i="67"/>
  <c r="A691" i="67"/>
  <c r="B690" i="67"/>
  <c r="C689" i="67" l="1"/>
  <c r="D690" i="67"/>
  <c r="E690" i="67"/>
  <c r="F691" i="67"/>
  <c r="B691" i="67"/>
  <c r="A692" i="67"/>
  <c r="C690" i="67" l="1"/>
  <c r="F692" i="67"/>
  <c r="B692" i="67"/>
  <c r="A693" i="67"/>
  <c r="D691" i="67"/>
  <c r="E691" i="67"/>
  <c r="C691" i="67" l="1"/>
  <c r="F693" i="67"/>
  <c r="A694" i="67"/>
  <c r="B693" i="67"/>
  <c r="D692" i="67"/>
  <c r="E692" i="67"/>
  <c r="C692" i="67" l="1"/>
  <c r="D693" i="67"/>
  <c r="E693" i="67"/>
  <c r="B694" i="67"/>
  <c r="F694" i="67"/>
  <c r="A695" i="67"/>
  <c r="C693" i="67" l="1"/>
  <c r="F695" i="67"/>
  <c r="A696" i="67"/>
  <c r="B695" i="67"/>
  <c r="D694" i="67"/>
  <c r="E694" i="67"/>
  <c r="C694" i="67" l="1"/>
  <c r="D695" i="67"/>
  <c r="E695" i="67"/>
  <c r="F696" i="67"/>
  <c r="A697" i="67"/>
  <c r="B696" i="67"/>
  <c r="C695" i="67" l="1"/>
  <c r="D696" i="67"/>
  <c r="E696" i="67"/>
  <c r="B697" i="67"/>
  <c r="F697" i="67"/>
  <c r="A698" i="67"/>
  <c r="C696" i="67" l="1"/>
  <c r="B698" i="67"/>
  <c r="F698" i="67"/>
  <c r="A699" i="67"/>
  <c r="D697" i="67"/>
  <c r="E697" i="67"/>
  <c r="C697" i="67" l="1"/>
  <c r="F699" i="67"/>
  <c r="A700" i="67"/>
  <c r="B699" i="67"/>
  <c r="D698" i="67"/>
  <c r="E698" i="67"/>
  <c r="C698" i="67" l="1"/>
  <c r="D699" i="67"/>
  <c r="E699" i="67"/>
  <c r="F700" i="67"/>
  <c r="B700" i="67"/>
  <c r="A701" i="67"/>
  <c r="C699" i="67" l="1"/>
  <c r="F701" i="67"/>
  <c r="A702" i="67"/>
  <c r="B701" i="67"/>
  <c r="D700" i="67"/>
  <c r="E700" i="67"/>
  <c r="C700" i="67" l="1"/>
  <c r="D701" i="67"/>
  <c r="E701" i="67"/>
  <c r="B702" i="67"/>
  <c r="F702" i="67"/>
  <c r="A703" i="67"/>
  <c r="C701" i="67" l="1"/>
  <c r="A704" i="67"/>
  <c r="F703" i="67"/>
  <c r="B703" i="67"/>
  <c r="D702" i="67"/>
  <c r="E702" i="67"/>
  <c r="C702" i="67" l="1"/>
  <c r="D703" i="67"/>
  <c r="E703" i="67"/>
  <c r="F704" i="67"/>
  <c r="A705" i="67"/>
  <c r="B704" i="67"/>
  <c r="C703" i="67" l="1"/>
  <c r="D704" i="67"/>
  <c r="E704" i="67"/>
  <c r="B705" i="67"/>
  <c r="F705" i="67"/>
  <c r="A706" i="67"/>
  <c r="C704" i="67" l="1"/>
  <c r="B706" i="67"/>
  <c r="F706" i="67"/>
  <c r="A707" i="67"/>
  <c r="D705" i="67"/>
  <c r="E705" i="67"/>
  <c r="C705" i="67" l="1"/>
  <c r="F707" i="67"/>
  <c r="A708" i="67"/>
  <c r="B707" i="67"/>
  <c r="D706" i="67"/>
  <c r="E706" i="67"/>
  <c r="C706" i="67" l="1"/>
  <c r="D707" i="67"/>
  <c r="E707" i="67"/>
  <c r="F708" i="67"/>
  <c r="B708" i="67"/>
  <c r="A709" i="67"/>
  <c r="C707" i="67" l="1"/>
  <c r="F709" i="67"/>
  <c r="A710" i="67"/>
  <c r="B709" i="67"/>
  <c r="D708" i="67"/>
  <c r="E708" i="67"/>
  <c r="C708" i="67" l="1"/>
  <c r="D709" i="67"/>
  <c r="E709" i="67"/>
  <c r="F710" i="67"/>
  <c r="A711" i="67"/>
  <c r="B710" i="67"/>
  <c r="C709" i="67" l="1"/>
  <c r="D710" i="67"/>
  <c r="E710" i="67"/>
  <c r="F711" i="67"/>
  <c r="A712" i="67"/>
  <c r="B711" i="67"/>
  <c r="C710" i="67" l="1"/>
  <c r="F712" i="67"/>
  <c r="A713" i="67"/>
  <c r="B712" i="67"/>
  <c r="D711" i="67"/>
  <c r="E711" i="67"/>
  <c r="C711" i="67" l="1"/>
  <c r="D712" i="67"/>
  <c r="E712" i="67"/>
  <c r="F713" i="67"/>
  <c r="A714" i="67"/>
  <c r="B713" i="67"/>
  <c r="C712" i="67" l="1"/>
  <c r="B714" i="67"/>
  <c r="F714" i="67"/>
  <c r="A715" i="67"/>
  <c r="D713" i="67"/>
  <c r="E713" i="67"/>
  <c r="C713" i="67" l="1"/>
  <c r="F715" i="67"/>
  <c r="A716" i="67"/>
  <c r="B715" i="67"/>
  <c r="D714" i="67"/>
  <c r="E714" i="67"/>
  <c r="C714" i="67" l="1"/>
  <c r="D715" i="67"/>
  <c r="E715" i="67"/>
  <c r="B716" i="67"/>
  <c r="F716" i="67"/>
  <c r="A717" i="67"/>
  <c r="C715" i="67" l="1"/>
  <c r="D716" i="67"/>
  <c r="E716" i="67"/>
  <c r="A718" i="67"/>
  <c r="F717" i="67"/>
  <c r="B717" i="67"/>
  <c r="C716" i="67" l="1"/>
  <c r="D717" i="67"/>
  <c r="E717" i="67"/>
  <c r="F718" i="67"/>
  <c r="A719" i="67"/>
  <c r="B718" i="67"/>
  <c r="C717" i="67" l="1"/>
  <c r="D718" i="67"/>
  <c r="E718" i="67"/>
  <c r="F719" i="67"/>
  <c r="A720" i="67"/>
  <c r="B719" i="67"/>
  <c r="C718" i="67" l="1"/>
  <c r="D719" i="67"/>
  <c r="E719" i="67"/>
  <c r="F720" i="67"/>
  <c r="A721" i="67"/>
  <c r="B720" i="67"/>
  <c r="C719" i="67" l="1"/>
  <c r="D720" i="67"/>
  <c r="E720" i="67"/>
  <c r="F721" i="67"/>
  <c r="A722" i="67"/>
  <c r="B721" i="67"/>
  <c r="C720" i="67" l="1"/>
  <c r="D721" i="67"/>
  <c r="E721" i="67"/>
  <c r="B722" i="67"/>
  <c r="F722" i="67"/>
  <c r="A723" i="67"/>
  <c r="C721" i="67" l="1"/>
  <c r="D722" i="67"/>
  <c r="E722" i="67"/>
  <c r="B723" i="67"/>
  <c r="F723" i="67"/>
  <c r="A724" i="67"/>
  <c r="C722" i="67" l="1"/>
  <c r="F724" i="67"/>
  <c r="B724" i="67"/>
  <c r="A725" i="67"/>
  <c r="D723" i="67"/>
  <c r="E723" i="67"/>
  <c r="C723" i="67" l="1"/>
  <c r="F725" i="67"/>
  <c r="A726" i="67"/>
  <c r="B725" i="67"/>
  <c r="D724" i="67"/>
  <c r="E724" i="67"/>
  <c r="C724" i="67" l="1"/>
  <c r="D725" i="67"/>
  <c r="E725" i="67"/>
  <c r="F726" i="67"/>
  <c r="A727" i="67"/>
  <c r="B726" i="67"/>
  <c r="C725" i="67" l="1"/>
  <c r="D726" i="67"/>
  <c r="E726" i="67"/>
  <c r="F727" i="67"/>
  <c r="A728" i="67"/>
  <c r="B727" i="67"/>
  <c r="C726" i="67" l="1"/>
  <c r="D727" i="67"/>
  <c r="E727" i="67"/>
  <c r="F728" i="67"/>
  <c r="A729" i="67"/>
  <c r="B728" i="67"/>
  <c r="C727" i="67" l="1"/>
  <c r="D728" i="67"/>
  <c r="E728" i="67"/>
  <c r="F729" i="67"/>
  <c r="A730" i="67"/>
  <c r="B729" i="67"/>
  <c r="C728" i="67" l="1"/>
  <c r="D729" i="67"/>
  <c r="E729" i="67"/>
  <c r="B730" i="67"/>
  <c r="F730" i="67"/>
  <c r="A731" i="67"/>
  <c r="C729" i="67" l="1"/>
  <c r="B731" i="67"/>
  <c r="F731" i="67"/>
  <c r="A732" i="67"/>
  <c r="D730" i="67"/>
  <c r="E730" i="67"/>
  <c r="C730" i="67" l="1"/>
  <c r="F732" i="67"/>
  <c r="A733" i="67"/>
  <c r="B732" i="67"/>
  <c r="D731" i="67"/>
  <c r="E731" i="67"/>
  <c r="C731" i="67" l="1"/>
  <c r="D732" i="67"/>
  <c r="E732" i="67"/>
  <c r="B733" i="67"/>
  <c r="A734" i="67"/>
  <c r="F733" i="67"/>
  <c r="C732" i="67" l="1"/>
  <c r="F734" i="67"/>
  <c r="A735" i="67"/>
  <c r="B734" i="67"/>
  <c r="D733" i="67"/>
  <c r="E733" i="67"/>
  <c r="C733" i="67" l="1"/>
  <c r="D734" i="67"/>
  <c r="E734" i="67"/>
  <c r="A736" i="67"/>
  <c r="B735" i="67"/>
  <c r="F735" i="67"/>
  <c r="C734" i="67" l="1"/>
  <c r="D735" i="67"/>
  <c r="E735" i="67"/>
  <c r="F736" i="67"/>
  <c r="A737" i="67"/>
  <c r="B736" i="67"/>
  <c r="C735" i="67" l="1"/>
  <c r="D736" i="67"/>
  <c r="E736" i="67"/>
  <c r="F737" i="67"/>
  <c r="B737" i="67"/>
  <c r="A738" i="67"/>
  <c r="C736" i="67" l="1"/>
  <c r="F738" i="67"/>
  <c r="A739" i="67"/>
  <c r="B738" i="67"/>
  <c r="D737" i="67"/>
  <c r="E737" i="67"/>
  <c r="C737" i="67" l="1"/>
  <c r="D738" i="67"/>
  <c r="E738" i="67"/>
  <c r="A740" i="67"/>
  <c r="F739" i="67"/>
  <c r="B739" i="67"/>
  <c r="C738" i="67" l="1"/>
  <c r="D739" i="67"/>
  <c r="E739" i="67"/>
  <c r="A741" i="67"/>
  <c r="F740" i="67"/>
  <c r="B740" i="67"/>
  <c r="C739" i="67" l="1"/>
  <c r="D740" i="67"/>
  <c r="E740" i="67"/>
  <c r="F741" i="67"/>
  <c r="A742" i="67"/>
  <c r="B741" i="67"/>
  <c r="C740" i="67" l="1"/>
  <c r="D741" i="67"/>
  <c r="E741" i="67"/>
  <c r="A743" i="67"/>
  <c r="B742" i="67"/>
  <c r="F742" i="67"/>
  <c r="C741" i="67" l="1"/>
  <c r="D742" i="67"/>
  <c r="E742" i="67"/>
  <c r="A744" i="67"/>
  <c r="F743" i="67"/>
  <c r="B743" i="67"/>
  <c r="C742" i="67" l="1"/>
  <c r="D743" i="67"/>
  <c r="E743" i="67"/>
  <c r="F744" i="67"/>
  <c r="A745" i="67"/>
  <c r="B744" i="67"/>
  <c r="C743" i="67" l="1"/>
  <c r="F745" i="67"/>
  <c r="B745" i="67"/>
  <c r="A746" i="67"/>
  <c r="D744" i="67"/>
  <c r="E744" i="67"/>
  <c r="C744" i="67" l="1"/>
  <c r="B746" i="67"/>
  <c r="F746" i="67"/>
  <c r="A747" i="67"/>
  <c r="D745" i="67"/>
  <c r="E745" i="67"/>
  <c r="C745" i="67" l="1"/>
  <c r="A748" i="67"/>
  <c r="F747" i="67"/>
  <c r="B747" i="67"/>
  <c r="D746" i="67"/>
  <c r="E746" i="67"/>
  <c r="C746" i="67" l="1"/>
  <c r="D747" i="67"/>
  <c r="E747" i="67"/>
  <c r="F748" i="67"/>
  <c r="B748" i="67"/>
  <c r="A749" i="67"/>
  <c r="C747" i="67" l="1"/>
  <c r="A750" i="67"/>
  <c r="F749" i="67"/>
  <c r="B749" i="67"/>
  <c r="D748" i="67"/>
  <c r="E748" i="67"/>
  <c r="C748" i="67" l="1"/>
  <c r="D749" i="67"/>
  <c r="E749" i="67"/>
  <c r="F750" i="67"/>
  <c r="A751" i="67"/>
  <c r="B750" i="67"/>
  <c r="C749" i="67" l="1"/>
  <c r="D750" i="67"/>
  <c r="E750" i="67"/>
  <c r="F751" i="67"/>
  <c r="A752" i="67"/>
  <c r="B751" i="67"/>
  <c r="C750" i="67" l="1"/>
  <c r="F752" i="67"/>
  <c r="A753" i="67"/>
  <c r="B752" i="67"/>
  <c r="D751" i="67"/>
  <c r="E751" i="67"/>
  <c r="C751" i="67" l="1"/>
  <c r="F753" i="67"/>
  <c r="A754" i="67"/>
  <c r="B753" i="67"/>
  <c r="D752" i="67"/>
  <c r="E752" i="67"/>
  <c r="C752" i="67" l="1"/>
  <c r="D753" i="67"/>
  <c r="E753" i="67"/>
  <c r="F754" i="67"/>
  <c r="A755" i="67"/>
  <c r="B754" i="67"/>
  <c r="C753" i="67" l="1"/>
  <c r="D754" i="67"/>
  <c r="E754" i="67"/>
  <c r="A756" i="67"/>
  <c r="B755" i="67"/>
  <c r="F755" i="67"/>
  <c r="C754" i="67" l="1"/>
  <c r="D755" i="67"/>
  <c r="E755" i="67"/>
  <c r="A757" i="67"/>
  <c r="F756" i="67"/>
  <c r="B756" i="67"/>
  <c r="C755" i="67" l="1"/>
  <c r="D756" i="67"/>
  <c r="E756" i="67"/>
  <c r="F757" i="67"/>
  <c r="B757" i="67"/>
  <c r="A758" i="67"/>
  <c r="C756" i="67" l="1"/>
  <c r="B758" i="67"/>
  <c r="F758" i="67"/>
  <c r="A759" i="67"/>
  <c r="D757" i="67"/>
  <c r="E757" i="67"/>
  <c r="C757" i="67" l="1"/>
  <c r="B759" i="67"/>
  <c r="F759" i="67"/>
  <c r="A760" i="67"/>
  <c r="D758" i="67"/>
  <c r="E758" i="67"/>
  <c r="C758" i="67" l="1"/>
  <c r="B760" i="67"/>
  <c r="F760" i="67"/>
  <c r="A761" i="67"/>
  <c r="D759" i="67"/>
  <c r="E759" i="67"/>
  <c r="C759" i="67" l="1"/>
  <c r="A762" i="67"/>
  <c r="B761" i="67"/>
  <c r="F761" i="67"/>
  <c r="D760" i="67"/>
  <c r="E760" i="67"/>
  <c r="C760" i="67" l="1"/>
  <c r="D761" i="67"/>
  <c r="E761" i="67"/>
  <c r="F762" i="67"/>
  <c r="A763" i="67"/>
  <c r="B762" i="67"/>
  <c r="C761" i="67" l="1"/>
  <c r="D762" i="67"/>
  <c r="E762" i="67"/>
  <c r="F763" i="67"/>
  <c r="A764" i="67"/>
  <c r="B763" i="67"/>
  <c r="C762" i="67" l="1"/>
  <c r="B764" i="67"/>
  <c r="F764" i="67"/>
  <c r="A765" i="67"/>
  <c r="D763" i="67"/>
  <c r="E763" i="67"/>
  <c r="C763" i="67" l="1"/>
  <c r="F765" i="67"/>
  <c r="A766" i="67"/>
  <c r="B765" i="67"/>
  <c r="D764" i="67"/>
  <c r="E764" i="67"/>
  <c r="C764" i="67" l="1"/>
  <c r="D765" i="67"/>
  <c r="E765" i="67"/>
  <c r="F766" i="67"/>
  <c r="A767" i="67"/>
  <c r="B766" i="67"/>
  <c r="C765" i="67" l="1"/>
  <c r="D766" i="67"/>
  <c r="E766" i="67"/>
  <c r="F767" i="67"/>
  <c r="A768" i="67"/>
  <c r="B767" i="67"/>
  <c r="C766" i="67" l="1"/>
  <c r="D767" i="67"/>
  <c r="E767" i="67"/>
  <c r="B768" i="67"/>
  <c r="A769" i="67"/>
  <c r="F768" i="67"/>
  <c r="C767" i="67" l="1"/>
  <c r="A770" i="67"/>
  <c r="F769" i="67"/>
  <c r="B769" i="67"/>
  <c r="D768" i="67"/>
  <c r="E768" i="67"/>
  <c r="C768" i="67" l="1"/>
  <c r="D769" i="67"/>
  <c r="E769" i="67"/>
  <c r="F770" i="67"/>
  <c r="B770" i="67"/>
  <c r="A771" i="67"/>
  <c r="C769" i="67" l="1"/>
  <c r="F771" i="67"/>
  <c r="A772" i="67"/>
  <c r="B771" i="67"/>
  <c r="D770" i="67"/>
  <c r="E770" i="67"/>
  <c r="C770" i="67" l="1"/>
  <c r="D771" i="67"/>
  <c r="E771" i="67"/>
  <c r="F772" i="67"/>
  <c r="B772" i="67"/>
  <c r="A773" i="67"/>
  <c r="C771" i="67" l="1"/>
  <c r="F773" i="67"/>
  <c r="A774" i="67"/>
  <c r="B773" i="67"/>
  <c r="D772" i="67"/>
  <c r="E772" i="67"/>
  <c r="C772" i="67" l="1"/>
  <c r="D773" i="67"/>
  <c r="E773" i="67"/>
  <c r="F774" i="67"/>
  <c r="A775" i="67"/>
  <c r="B774" i="67"/>
  <c r="C773" i="67" l="1"/>
  <c r="D774" i="67"/>
  <c r="E774" i="67"/>
  <c r="F775" i="67"/>
  <c r="A776" i="67"/>
  <c r="B775" i="67"/>
  <c r="C774" i="67" l="1"/>
  <c r="D775" i="67"/>
  <c r="E775" i="67"/>
  <c r="F776" i="67"/>
  <c r="A777" i="67"/>
  <c r="B776" i="67"/>
  <c r="C775" i="67" l="1"/>
  <c r="D776" i="67"/>
  <c r="E776" i="67"/>
  <c r="B777" i="67"/>
  <c r="F777" i="67"/>
  <c r="A778" i="67"/>
  <c r="C776" i="67" l="1"/>
  <c r="F778" i="67"/>
  <c r="A779" i="67"/>
  <c r="B778" i="67"/>
  <c r="D777" i="67"/>
  <c r="E777" i="67"/>
  <c r="C777" i="67" l="1"/>
  <c r="D778" i="67"/>
  <c r="E778" i="67"/>
  <c r="A780" i="67"/>
  <c r="F779" i="67"/>
  <c r="B779" i="67"/>
  <c r="C778" i="67" l="1"/>
  <c r="D779" i="67"/>
  <c r="E779" i="67"/>
  <c r="F780" i="67"/>
  <c r="A781" i="67"/>
  <c r="B780" i="67"/>
  <c r="C779" i="67" l="1"/>
  <c r="D780" i="67"/>
  <c r="E780" i="67"/>
  <c r="F781" i="67"/>
  <c r="A782" i="67"/>
  <c r="B781" i="67"/>
  <c r="C780" i="67" l="1"/>
  <c r="D781" i="67"/>
  <c r="E781" i="67"/>
  <c r="F782" i="67"/>
  <c r="A783" i="67"/>
  <c r="B782" i="67"/>
  <c r="C781" i="67" l="1"/>
  <c r="D782" i="67"/>
  <c r="E782" i="67"/>
  <c r="F783" i="67"/>
  <c r="A784" i="67"/>
  <c r="B783" i="67"/>
  <c r="C782" i="67" l="1"/>
  <c r="D783" i="67"/>
  <c r="E783" i="67"/>
  <c r="B784" i="67"/>
  <c r="F784" i="67"/>
  <c r="A785" i="67"/>
  <c r="C783" i="67" l="1"/>
  <c r="A786" i="67"/>
  <c r="F785" i="67"/>
  <c r="B785" i="67"/>
  <c r="D784" i="67"/>
  <c r="E784" i="67"/>
  <c r="C784" i="67" l="1"/>
  <c r="D785" i="67"/>
  <c r="E785" i="67"/>
  <c r="F786" i="67"/>
  <c r="B786" i="67"/>
  <c r="A787" i="67"/>
  <c r="C785" i="67" l="1"/>
  <c r="F787" i="67"/>
  <c r="A788" i="67"/>
  <c r="B787" i="67"/>
  <c r="D786" i="67"/>
  <c r="E786" i="67"/>
  <c r="C786" i="67" l="1"/>
  <c r="D787" i="67"/>
  <c r="E787" i="67"/>
  <c r="F788" i="67"/>
  <c r="A789" i="67"/>
  <c r="B788" i="67"/>
  <c r="C787" i="67" l="1"/>
  <c r="D788" i="67"/>
  <c r="E788" i="67"/>
  <c r="F789" i="67"/>
  <c r="A790" i="67"/>
  <c r="B789" i="67"/>
  <c r="C788" i="67" l="1"/>
  <c r="D789" i="67"/>
  <c r="E789" i="67"/>
  <c r="F790" i="67"/>
  <c r="A791" i="67"/>
  <c r="B790" i="67"/>
  <c r="C789" i="67" l="1"/>
  <c r="D790" i="67"/>
  <c r="E790" i="67"/>
  <c r="F791" i="67"/>
  <c r="A792" i="67"/>
  <c r="B791" i="67"/>
  <c r="C790" i="67" l="1"/>
  <c r="D791" i="67"/>
  <c r="E791" i="67"/>
  <c r="F792" i="67"/>
  <c r="A793" i="67"/>
  <c r="B792" i="67"/>
  <c r="C791" i="67" l="1"/>
  <c r="D792" i="67"/>
  <c r="E792" i="67"/>
  <c r="F793" i="67"/>
  <c r="A794" i="67"/>
  <c r="B793" i="67"/>
  <c r="C792" i="67" l="1"/>
  <c r="D793" i="67"/>
  <c r="E793" i="67"/>
  <c r="F794" i="67"/>
  <c r="A795" i="67"/>
  <c r="B794" i="67"/>
  <c r="C793" i="67" l="1"/>
  <c r="D794" i="67"/>
  <c r="E794" i="67"/>
  <c r="F795" i="67"/>
  <c r="A796" i="67"/>
  <c r="B795" i="67"/>
  <c r="C794" i="67" l="1"/>
  <c r="A797" i="67"/>
  <c r="B796" i="67"/>
  <c r="F796" i="67"/>
  <c r="D795" i="67"/>
  <c r="E795" i="67"/>
  <c r="C795" i="67" l="1"/>
  <c r="D796" i="67"/>
  <c r="E796" i="67"/>
  <c r="B797" i="67"/>
  <c r="F797" i="67"/>
  <c r="A798" i="67"/>
  <c r="C796" i="67" l="1"/>
  <c r="A799" i="67"/>
  <c r="B798" i="67"/>
  <c r="F798" i="67"/>
  <c r="D797" i="67"/>
  <c r="E797" i="67"/>
  <c r="C797" i="67" l="1"/>
  <c r="D798" i="67"/>
  <c r="E798" i="67"/>
  <c r="B799" i="67"/>
  <c r="F799" i="67"/>
  <c r="A800" i="67"/>
  <c r="C798" i="67" l="1"/>
  <c r="B800" i="67"/>
  <c r="F800" i="67"/>
  <c r="A801" i="67"/>
  <c r="D799" i="67"/>
  <c r="E799" i="67"/>
  <c r="C799" i="67" l="1"/>
  <c r="B801" i="67"/>
  <c r="F801" i="67"/>
  <c r="A802" i="67"/>
  <c r="D800" i="67"/>
  <c r="E800" i="67"/>
  <c r="C800" i="67" l="1"/>
  <c r="A803" i="67"/>
  <c r="F802" i="67"/>
  <c r="B802" i="67"/>
  <c r="D801" i="67"/>
  <c r="E801" i="67"/>
  <c r="C801" i="67" l="1"/>
  <c r="D802" i="67"/>
  <c r="E802" i="67"/>
  <c r="F803" i="67"/>
  <c r="A804" i="67"/>
  <c r="B803" i="67"/>
  <c r="C802" i="67" l="1"/>
  <c r="F804" i="67"/>
  <c r="A805" i="67"/>
  <c r="B804" i="67"/>
  <c r="D803" i="67"/>
  <c r="E803" i="67"/>
  <c r="C803" i="67" l="1"/>
  <c r="D804" i="67"/>
  <c r="E804" i="67"/>
  <c r="F805" i="67"/>
  <c r="A806" i="67"/>
  <c r="B805" i="67"/>
  <c r="C804" i="67" l="1"/>
  <c r="F806" i="67"/>
  <c r="A807" i="67"/>
  <c r="B806" i="67"/>
  <c r="D805" i="67"/>
  <c r="E805" i="67"/>
  <c r="C805" i="67" l="1"/>
  <c r="D806" i="67"/>
  <c r="E806" i="67"/>
  <c r="F807" i="67"/>
  <c r="A808" i="67"/>
  <c r="B807" i="67"/>
  <c r="C806" i="67" l="1"/>
  <c r="D807" i="67"/>
  <c r="E807" i="67"/>
  <c r="A809" i="67"/>
  <c r="F808" i="67"/>
  <c r="B808" i="67"/>
  <c r="C807" i="67" l="1"/>
  <c r="D808" i="67"/>
  <c r="E808" i="67"/>
  <c r="A810" i="67"/>
  <c r="B809" i="67"/>
  <c r="F809" i="67"/>
  <c r="C808" i="67" l="1"/>
  <c r="D809" i="67"/>
  <c r="E809" i="67"/>
  <c r="A811" i="67"/>
  <c r="F810" i="67"/>
  <c r="B810" i="67"/>
  <c r="C809" i="67" l="1"/>
  <c r="D810" i="67"/>
  <c r="E810" i="67"/>
  <c r="B811" i="67"/>
  <c r="F811" i="67"/>
  <c r="A812" i="67"/>
  <c r="C810" i="67" l="1"/>
  <c r="A813" i="67"/>
  <c r="F812" i="67"/>
  <c r="B812" i="67"/>
  <c r="D811" i="67"/>
  <c r="E811" i="67"/>
  <c r="C811" i="67" l="1"/>
  <c r="D812" i="67"/>
  <c r="E812" i="67"/>
  <c r="F813" i="67"/>
  <c r="A814" i="67"/>
  <c r="B813" i="67"/>
  <c r="C812" i="67" l="1"/>
  <c r="D813" i="67"/>
  <c r="E813" i="67"/>
  <c r="B814" i="67"/>
  <c r="F814" i="67"/>
  <c r="A815" i="67"/>
  <c r="C813" i="67" l="1"/>
  <c r="A816" i="67"/>
  <c r="B815" i="67"/>
  <c r="F815" i="67"/>
  <c r="D814" i="67"/>
  <c r="E814" i="67"/>
  <c r="C814" i="67" l="1"/>
  <c r="F816" i="67"/>
  <c r="A817" i="67"/>
  <c r="B816" i="67"/>
  <c r="D815" i="67"/>
  <c r="E815" i="67"/>
  <c r="C815" i="67" l="1"/>
  <c r="D816" i="67"/>
  <c r="E816" i="67"/>
  <c r="A818" i="67"/>
  <c r="F817" i="67"/>
  <c r="B817" i="67"/>
  <c r="C816" i="67" l="1"/>
  <c r="D817" i="67"/>
  <c r="E817" i="67"/>
  <c r="F818" i="67"/>
  <c r="A819" i="67"/>
  <c r="B818" i="67"/>
  <c r="C817" i="67" l="1"/>
  <c r="D818" i="67"/>
  <c r="E818" i="67"/>
  <c r="B819" i="67"/>
  <c r="F819" i="67"/>
  <c r="A820" i="67"/>
  <c r="C818" i="67" l="1"/>
  <c r="D819" i="67"/>
  <c r="E819" i="67"/>
  <c r="A821" i="67"/>
  <c r="B820" i="67"/>
  <c r="F820" i="67"/>
  <c r="C819" i="67" l="1"/>
  <c r="F821" i="67"/>
  <c r="B821" i="67"/>
  <c r="A822" i="67"/>
  <c r="D820" i="67"/>
  <c r="E820" i="67"/>
  <c r="C820" i="67" l="1"/>
  <c r="F822" i="67"/>
  <c r="A823" i="67"/>
  <c r="B822" i="67"/>
  <c r="D821" i="67"/>
  <c r="E821" i="67"/>
  <c r="C821" i="67" l="1"/>
  <c r="D822" i="67"/>
  <c r="E822" i="67"/>
  <c r="B823" i="67"/>
  <c r="F823" i="67"/>
  <c r="A824" i="67"/>
  <c r="C822" i="67" l="1"/>
  <c r="F824" i="67"/>
  <c r="B824" i="67"/>
  <c r="A825" i="67"/>
  <c r="D823" i="67"/>
  <c r="E823" i="67"/>
  <c r="C823" i="67" l="1"/>
  <c r="D824" i="67"/>
  <c r="E824" i="67"/>
  <c r="F825" i="67"/>
  <c r="A826" i="67"/>
  <c r="B825" i="67"/>
  <c r="C824" i="67" l="1"/>
  <c r="D825" i="67"/>
  <c r="E825" i="67"/>
  <c r="B826" i="67"/>
  <c r="F826" i="67"/>
  <c r="A827" i="67"/>
  <c r="C825" i="67" l="1"/>
  <c r="A828" i="67"/>
  <c r="B827" i="67"/>
  <c r="F827" i="67"/>
  <c r="D826" i="67"/>
  <c r="E826" i="67"/>
  <c r="C826" i="67" l="1"/>
  <c r="D827" i="67"/>
  <c r="E827" i="67"/>
  <c r="A829" i="67"/>
  <c r="B828" i="67"/>
  <c r="F828" i="67"/>
  <c r="C827" i="67" l="1"/>
  <c r="D828" i="67"/>
  <c r="E828" i="67"/>
  <c r="B829" i="67"/>
  <c r="A830" i="67"/>
  <c r="F829" i="67"/>
  <c r="C828" i="67" l="1"/>
  <c r="A831" i="67"/>
  <c r="F830" i="67"/>
  <c r="B830" i="67"/>
  <c r="D829" i="67"/>
  <c r="E829" i="67"/>
  <c r="C829" i="67" l="1"/>
  <c r="D830" i="67"/>
  <c r="E830" i="67"/>
  <c r="A832" i="67"/>
  <c r="F831" i="67"/>
  <c r="B831" i="67"/>
  <c r="C830" i="67" l="1"/>
  <c r="D831" i="67"/>
  <c r="E831" i="67"/>
  <c r="A833" i="67"/>
  <c r="B832" i="67"/>
  <c r="F832" i="67"/>
  <c r="C831" i="67" l="1"/>
  <c r="D832" i="67"/>
  <c r="E832" i="67"/>
  <c r="A834" i="67"/>
  <c r="F833" i="67"/>
  <c r="B833" i="67"/>
  <c r="C832" i="67" l="1"/>
  <c r="D833" i="67"/>
  <c r="E833" i="67"/>
  <c r="F834" i="67"/>
  <c r="A835" i="67"/>
  <c r="B834" i="67"/>
  <c r="C833" i="67" l="1"/>
  <c r="D834" i="67"/>
  <c r="E834" i="67"/>
  <c r="B835" i="67"/>
  <c r="F835" i="67"/>
  <c r="A836" i="67"/>
  <c r="C834" i="67" l="1"/>
  <c r="B836" i="67"/>
  <c r="F836" i="67"/>
  <c r="A837" i="67"/>
  <c r="D835" i="67"/>
  <c r="E835" i="67"/>
  <c r="C835" i="67" l="1"/>
  <c r="A838" i="67"/>
  <c r="F837" i="67"/>
  <c r="B837" i="67"/>
  <c r="D836" i="67"/>
  <c r="E836" i="67"/>
  <c r="C836" i="67" l="1"/>
  <c r="D837" i="67"/>
  <c r="E837" i="67"/>
  <c r="B838" i="67"/>
  <c r="F838" i="67"/>
  <c r="A839" i="67"/>
  <c r="C837" i="67" l="1"/>
  <c r="F839" i="67"/>
  <c r="A840" i="67"/>
  <c r="B839" i="67"/>
  <c r="D838" i="67"/>
  <c r="E838" i="67"/>
  <c r="C838" i="67" l="1"/>
  <c r="D839" i="67"/>
  <c r="E839" i="67"/>
  <c r="F840" i="67"/>
  <c r="A841" i="67"/>
  <c r="B840" i="67"/>
  <c r="C839" i="67" l="1"/>
  <c r="D840" i="67"/>
  <c r="E840" i="67"/>
  <c r="F841" i="67"/>
  <c r="A842" i="67"/>
  <c r="B841" i="67"/>
  <c r="C840" i="67" l="1"/>
  <c r="A843" i="67"/>
  <c r="F842" i="67"/>
  <c r="B842" i="67"/>
  <c r="D841" i="67"/>
  <c r="E841" i="67"/>
  <c r="C841" i="67" l="1"/>
  <c r="D842" i="67"/>
  <c r="E842" i="67"/>
  <c r="F843" i="67"/>
  <c r="A844" i="67"/>
  <c r="B843" i="67"/>
  <c r="C842" i="67" l="1"/>
  <c r="D843" i="67"/>
  <c r="E843" i="67"/>
  <c r="F844" i="67"/>
  <c r="B844" i="67"/>
  <c r="A845" i="67"/>
  <c r="C843" i="67" l="1"/>
  <c r="F845" i="67"/>
  <c r="B845" i="67"/>
  <c r="A846" i="67"/>
  <c r="D844" i="67"/>
  <c r="E844" i="67"/>
  <c r="C844" i="67" l="1"/>
  <c r="A847" i="67"/>
  <c r="F846" i="67"/>
  <c r="B846" i="67"/>
  <c r="D845" i="67"/>
  <c r="E845" i="67"/>
  <c r="C845" i="67" l="1"/>
  <c r="D846" i="67"/>
  <c r="E846" i="67"/>
  <c r="F847" i="67"/>
  <c r="A848" i="67"/>
  <c r="B847" i="67"/>
  <c r="C846" i="67" l="1"/>
  <c r="D847" i="67"/>
  <c r="E847" i="67"/>
  <c r="A849" i="67"/>
  <c r="F848" i="67"/>
  <c r="B848" i="67"/>
  <c r="C847" i="67" l="1"/>
  <c r="D848" i="67"/>
  <c r="E848" i="67"/>
  <c r="A850" i="67"/>
  <c r="B849" i="67"/>
  <c r="F849" i="67"/>
  <c r="C848" i="67" l="1"/>
  <c r="D849" i="67"/>
  <c r="E849" i="67"/>
  <c r="A851" i="67"/>
  <c r="F850" i="67"/>
  <c r="B850" i="67"/>
  <c r="C849" i="67" l="1"/>
  <c r="A852" i="67"/>
  <c r="B851" i="67"/>
  <c r="F851" i="67"/>
  <c r="D850" i="67"/>
  <c r="E850" i="67"/>
  <c r="C850" i="67" l="1"/>
  <c r="B852" i="67"/>
  <c r="A853" i="67"/>
  <c r="F852" i="67"/>
  <c r="D851" i="67"/>
  <c r="E851" i="67"/>
  <c r="C851" i="67" l="1"/>
  <c r="A854" i="67"/>
  <c r="B853" i="67"/>
  <c r="F853" i="67"/>
  <c r="D852" i="67"/>
  <c r="E852" i="67"/>
  <c r="C852" i="67" l="1"/>
  <c r="D853" i="67"/>
  <c r="E853" i="67"/>
  <c r="F854" i="67"/>
  <c r="A855" i="67"/>
  <c r="B854" i="67"/>
  <c r="C853" i="67" l="1"/>
  <c r="D854" i="67"/>
  <c r="E854" i="67"/>
  <c r="B855" i="67"/>
  <c r="F855" i="67"/>
  <c r="A856" i="67"/>
  <c r="C854" i="67" l="1"/>
  <c r="F856" i="67"/>
  <c r="A857" i="67"/>
  <c r="B856" i="67"/>
  <c r="D855" i="67"/>
  <c r="E855" i="67"/>
  <c r="C855" i="67" l="1"/>
  <c r="D856" i="67"/>
  <c r="E856" i="67"/>
  <c r="A858" i="67"/>
  <c r="B857" i="67"/>
  <c r="F857" i="67"/>
  <c r="C856" i="67" l="1"/>
  <c r="D857" i="67"/>
  <c r="E857" i="67"/>
  <c r="A859" i="67"/>
  <c r="B858" i="67"/>
  <c r="F858" i="67"/>
  <c r="C857" i="67" l="1"/>
  <c r="D858" i="67"/>
  <c r="E858" i="67"/>
  <c r="B859" i="67"/>
  <c r="F859" i="67"/>
  <c r="A860" i="67"/>
  <c r="C858" i="67" l="1"/>
  <c r="F860" i="67"/>
  <c r="A861" i="67"/>
  <c r="B860" i="67"/>
  <c r="D859" i="67"/>
  <c r="E859" i="67"/>
  <c r="C859" i="67" l="1"/>
  <c r="D860" i="67"/>
  <c r="E860" i="67"/>
  <c r="F861" i="67"/>
  <c r="B861" i="67"/>
  <c r="A862" i="67"/>
  <c r="C860" i="67" l="1"/>
  <c r="F862" i="67"/>
  <c r="B862" i="67"/>
  <c r="A863" i="67"/>
  <c r="D861" i="67"/>
  <c r="E861" i="67"/>
  <c r="C861" i="67" l="1"/>
  <c r="D862" i="67"/>
  <c r="E862" i="67"/>
  <c r="F863" i="67"/>
  <c r="B863" i="67"/>
  <c r="A864" i="67"/>
  <c r="C862" i="67" l="1"/>
  <c r="F864" i="67"/>
  <c r="B864" i="67"/>
  <c r="A865" i="67"/>
  <c r="D863" i="67"/>
  <c r="E863" i="67"/>
  <c r="C863" i="67" l="1"/>
  <c r="F865" i="67"/>
  <c r="A866" i="67"/>
  <c r="B865" i="67"/>
  <c r="D864" i="67"/>
  <c r="E864" i="67"/>
  <c r="C864" i="67" l="1"/>
  <c r="B866" i="67"/>
  <c r="F866" i="67"/>
  <c r="A867" i="67"/>
  <c r="D865" i="67"/>
  <c r="E865" i="67"/>
  <c r="C865" i="67" l="1"/>
  <c r="F867" i="67"/>
  <c r="A868" i="67"/>
  <c r="B867" i="67"/>
  <c r="D866" i="67"/>
  <c r="E866" i="67"/>
  <c r="C866" i="67" l="1"/>
  <c r="D867" i="67"/>
  <c r="E867" i="67"/>
  <c r="A869" i="67"/>
  <c r="B868" i="67"/>
  <c r="F868" i="67"/>
  <c r="C867" i="67" l="1"/>
  <c r="D868" i="67"/>
  <c r="E868" i="67"/>
  <c r="F869" i="67"/>
  <c r="A870" i="67"/>
  <c r="B869" i="67"/>
  <c r="C868" i="67" l="1"/>
  <c r="D869" i="67"/>
  <c r="E869" i="67"/>
  <c r="F870" i="67"/>
  <c r="A871" i="67"/>
  <c r="B870" i="67"/>
  <c r="C869" i="67" l="1"/>
  <c r="D870" i="67"/>
  <c r="E870" i="67"/>
  <c r="F871" i="67"/>
  <c r="A872" i="67"/>
  <c r="B871" i="67"/>
  <c r="C870" i="67" l="1"/>
  <c r="D871" i="67"/>
  <c r="E871" i="67"/>
  <c r="F872" i="67"/>
  <c r="B872" i="67"/>
  <c r="A873" i="67"/>
  <c r="C871" i="67" l="1"/>
  <c r="D872" i="67"/>
  <c r="E872" i="67"/>
  <c r="A874" i="67"/>
  <c r="B873" i="67"/>
  <c r="F873" i="67"/>
  <c r="C872" i="67" l="1"/>
  <c r="D873" i="67"/>
  <c r="E873" i="67"/>
  <c r="A875" i="67"/>
  <c r="F874" i="67"/>
  <c r="B874" i="67"/>
  <c r="C873" i="67" l="1"/>
  <c r="F875" i="67"/>
  <c r="A876" i="67"/>
  <c r="B875" i="67"/>
  <c r="D874" i="67"/>
  <c r="E874" i="67"/>
  <c r="C874" i="67" l="1"/>
  <c r="D875" i="67"/>
  <c r="E875" i="67"/>
  <c r="F876" i="67"/>
  <c r="B876" i="67"/>
  <c r="A877" i="67"/>
  <c r="C875" i="67" l="1"/>
  <c r="D876" i="67"/>
  <c r="E876" i="67"/>
  <c r="F877" i="67"/>
  <c r="A878" i="67"/>
  <c r="B877" i="67"/>
  <c r="C876" i="67" l="1"/>
  <c r="D877" i="67"/>
  <c r="E877" i="67"/>
  <c r="F878" i="67"/>
  <c r="B878" i="67"/>
  <c r="A879" i="67"/>
  <c r="C877" i="67" l="1"/>
  <c r="A880" i="67"/>
  <c r="B879" i="67"/>
  <c r="F879" i="67"/>
  <c r="D878" i="67"/>
  <c r="E878" i="67"/>
  <c r="C878" i="67" l="1"/>
  <c r="D879" i="67"/>
  <c r="E879" i="67"/>
  <c r="F880" i="67"/>
  <c r="B880" i="67"/>
  <c r="A881" i="67"/>
  <c r="C879" i="67" l="1"/>
  <c r="F881" i="67"/>
  <c r="A882" i="67"/>
  <c r="B881" i="67"/>
  <c r="D880" i="67"/>
  <c r="E880" i="67"/>
  <c r="C880" i="67" l="1"/>
  <c r="D881" i="67"/>
  <c r="E881" i="67"/>
  <c r="A883" i="67"/>
  <c r="F882" i="67"/>
  <c r="B882" i="67"/>
  <c r="C881" i="67" l="1"/>
  <c r="D882" i="67"/>
  <c r="E882" i="67"/>
  <c r="F883" i="67"/>
  <c r="A884" i="67"/>
  <c r="B883" i="67"/>
  <c r="C882" i="67" l="1"/>
  <c r="D883" i="67"/>
  <c r="E883" i="67"/>
  <c r="A885" i="67"/>
  <c r="B884" i="67"/>
  <c r="F884" i="67"/>
  <c r="C883" i="67" l="1"/>
  <c r="D884" i="67"/>
  <c r="E884" i="67"/>
  <c r="F885" i="67"/>
  <c r="A886" i="67"/>
  <c r="B885" i="67"/>
  <c r="C884" i="67" l="1"/>
  <c r="D885" i="67"/>
  <c r="E885" i="67"/>
  <c r="F886" i="67"/>
  <c r="B886" i="67"/>
  <c r="A887" i="67"/>
  <c r="C885" i="67" l="1"/>
  <c r="F887" i="67"/>
  <c r="B887" i="67"/>
  <c r="A888" i="67"/>
  <c r="D886" i="67"/>
  <c r="E886" i="67"/>
  <c r="C886" i="67" l="1"/>
  <c r="F888" i="67"/>
  <c r="A889" i="67"/>
  <c r="B888" i="67"/>
  <c r="D887" i="67"/>
  <c r="E887" i="67"/>
  <c r="C887" i="67" l="1"/>
  <c r="D888" i="67"/>
  <c r="E888" i="67"/>
  <c r="A890" i="67"/>
  <c r="F889" i="67"/>
  <c r="B889" i="67"/>
  <c r="C888" i="67" l="1"/>
  <c r="D889" i="67"/>
  <c r="E889" i="67"/>
  <c r="F890" i="67"/>
  <c r="A891" i="67"/>
  <c r="B890" i="67"/>
  <c r="C889" i="67" l="1"/>
  <c r="D890" i="67"/>
  <c r="E890" i="67"/>
  <c r="B891" i="67"/>
  <c r="F891" i="67"/>
  <c r="A892" i="67"/>
  <c r="C890" i="67" l="1"/>
  <c r="B892" i="67"/>
  <c r="F892" i="67"/>
  <c r="A893" i="67"/>
  <c r="D891" i="67"/>
  <c r="E891" i="67"/>
  <c r="C891" i="67" l="1"/>
  <c r="A894" i="67"/>
  <c r="B893" i="67"/>
  <c r="F893" i="67"/>
  <c r="D892" i="67"/>
  <c r="E892" i="67"/>
  <c r="C892" i="67" l="1"/>
  <c r="D893" i="67"/>
  <c r="E893" i="67"/>
  <c r="B894" i="67"/>
  <c r="F894" i="67"/>
  <c r="A895" i="67"/>
  <c r="C893" i="67" l="1"/>
  <c r="A896" i="67"/>
  <c r="F895" i="67"/>
  <c r="B895" i="67"/>
  <c r="D894" i="67"/>
  <c r="E894" i="67"/>
  <c r="C894" i="67" l="1"/>
  <c r="D895" i="67"/>
  <c r="E895" i="67"/>
  <c r="F896" i="67"/>
  <c r="A897" i="67"/>
  <c r="B896" i="67"/>
  <c r="C895" i="67" l="1"/>
  <c r="D896" i="67"/>
  <c r="E896" i="67"/>
  <c r="A898" i="67"/>
  <c r="B897" i="67"/>
  <c r="F897" i="67"/>
  <c r="C896" i="67" l="1"/>
  <c r="D897" i="67"/>
  <c r="E897" i="67"/>
  <c r="B898" i="67"/>
  <c r="F898" i="67"/>
  <c r="A899" i="67"/>
  <c r="C897" i="67" l="1"/>
  <c r="A900" i="67"/>
  <c r="F899" i="67"/>
  <c r="B899" i="67"/>
  <c r="D898" i="67"/>
  <c r="E898" i="67"/>
  <c r="C898" i="67" l="1"/>
  <c r="D899" i="67"/>
  <c r="E899" i="67"/>
  <c r="F900" i="67"/>
  <c r="A901" i="67"/>
  <c r="B900" i="67"/>
  <c r="C899" i="67" l="1"/>
  <c r="D900" i="67"/>
  <c r="E900" i="67"/>
  <c r="F901" i="67"/>
  <c r="B901" i="67"/>
  <c r="A902" i="67"/>
  <c r="C900" i="67" l="1"/>
  <c r="A903" i="67"/>
  <c r="F902" i="67"/>
  <c r="B902" i="67"/>
  <c r="D901" i="67"/>
  <c r="E901" i="67"/>
  <c r="C901" i="67" l="1"/>
  <c r="D902" i="67"/>
  <c r="E902" i="67"/>
  <c r="A904" i="67"/>
  <c r="F903" i="67"/>
  <c r="B903" i="67"/>
  <c r="C902" i="67" l="1"/>
  <c r="D903" i="67"/>
  <c r="E903" i="67"/>
  <c r="F904" i="67"/>
  <c r="A905" i="67"/>
  <c r="B904" i="67"/>
  <c r="C903" i="67" l="1"/>
  <c r="F905" i="67"/>
  <c r="A906" i="67"/>
  <c r="B905" i="67"/>
  <c r="D904" i="67"/>
  <c r="E904" i="67"/>
  <c r="C904" i="67" l="1"/>
  <c r="D905" i="67"/>
  <c r="E905" i="67"/>
  <c r="A907" i="67"/>
  <c r="F906" i="67"/>
  <c r="B906" i="67"/>
  <c r="C905" i="67" l="1"/>
  <c r="D906" i="67"/>
  <c r="E906" i="67"/>
  <c r="F907" i="67"/>
  <c r="A908" i="67"/>
  <c r="B907" i="67"/>
  <c r="C906" i="67" l="1"/>
  <c r="D907" i="67"/>
  <c r="E907" i="67"/>
  <c r="A909" i="67"/>
  <c r="B908" i="67"/>
  <c r="F908" i="67"/>
  <c r="C907" i="67" l="1"/>
  <c r="D908" i="67"/>
  <c r="E908" i="67"/>
  <c r="F909" i="67"/>
  <c r="B909" i="67"/>
  <c r="A910" i="67"/>
  <c r="C908" i="67" l="1"/>
  <c r="B910" i="67"/>
  <c r="A911" i="67"/>
  <c r="F910" i="67"/>
  <c r="D909" i="67"/>
  <c r="E909" i="67"/>
  <c r="C909" i="67" l="1"/>
  <c r="F911" i="67"/>
  <c r="A912" i="67"/>
  <c r="B911" i="67"/>
  <c r="D910" i="67"/>
  <c r="E910" i="67"/>
  <c r="C910" i="67" l="1"/>
  <c r="D911" i="67"/>
  <c r="E911" i="67"/>
  <c r="A913" i="67"/>
  <c r="B912" i="67"/>
  <c r="F912" i="67"/>
  <c r="C911" i="67" l="1"/>
  <c r="F913" i="67"/>
  <c r="B913" i="67"/>
  <c r="A914" i="67"/>
  <c r="D912" i="67"/>
  <c r="E912" i="67"/>
  <c r="C912" i="67" l="1"/>
  <c r="B914" i="67"/>
  <c r="A915" i="67"/>
  <c r="F914" i="67"/>
  <c r="D913" i="67"/>
  <c r="E913" i="67"/>
  <c r="C913" i="67" l="1"/>
  <c r="F915" i="67"/>
  <c r="B915" i="67"/>
  <c r="A916" i="67"/>
  <c r="D914" i="67"/>
  <c r="E914" i="67"/>
  <c r="C914" i="67" l="1"/>
  <c r="F916" i="67"/>
  <c r="A917" i="67"/>
  <c r="B916" i="67"/>
  <c r="D915" i="67"/>
  <c r="E915" i="67"/>
  <c r="C915" i="67" l="1"/>
  <c r="D916" i="67"/>
  <c r="E916" i="67"/>
  <c r="B917" i="67"/>
  <c r="F917" i="67"/>
  <c r="A918" i="67"/>
  <c r="C916" i="67" l="1"/>
  <c r="F918" i="67"/>
  <c r="B918" i="67"/>
  <c r="A919" i="67"/>
  <c r="D917" i="67"/>
  <c r="E917" i="67"/>
  <c r="C917" i="67" l="1"/>
  <c r="B919" i="67"/>
  <c r="F919" i="67"/>
  <c r="A920" i="67"/>
  <c r="D918" i="67"/>
  <c r="E918" i="67"/>
  <c r="C918" i="67" l="1"/>
  <c r="F920" i="67"/>
  <c r="A921" i="67"/>
  <c r="B920" i="67"/>
  <c r="D919" i="67"/>
  <c r="E919" i="67"/>
  <c r="C919" i="67" l="1"/>
  <c r="D920" i="67"/>
  <c r="E920" i="67"/>
  <c r="A922" i="67"/>
  <c r="B921" i="67"/>
  <c r="F921" i="67"/>
  <c r="C920" i="67" l="1"/>
  <c r="D921" i="67"/>
  <c r="E921" i="67"/>
  <c r="F922" i="67"/>
  <c r="A923" i="67"/>
  <c r="B922" i="67"/>
  <c r="C921" i="67" l="1"/>
  <c r="D922" i="67"/>
  <c r="E922" i="67"/>
  <c r="A924" i="67"/>
  <c r="F923" i="67"/>
  <c r="B923" i="67"/>
  <c r="C922" i="67" l="1"/>
  <c r="D923" i="67"/>
  <c r="E923" i="67"/>
  <c r="F924" i="67"/>
  <c r="A925" i="67"/>
  <c r="B924" i="67"/>
  <c r="C923" i="67" l="1"/>
  <c r="D924" i="67"/>
  <c r="E924" i="67"/>
  <c r="B925" i="67"/>
  <c r="F925" i="67"/>
  <c r="A926" i="67"/>
  <c r="C924" i="67" l="1"/>
  <c r="F926" i="67"/>
  <c r="A927" i="67"/>
  <c r="B926" i="67"/>
  <c r="D925" i="67"/>
  <c r="E925" i="67"/>
  <c r="C925" i="67" l="1"/>
  <c r="F927" i="67"/>
  <c r="A928" i="67"/>
  <c r="B927" i="67"/>
  <c r="D926" i="67"/>
  <c r="E926" i="67"/>
  <c r="C926" i="67" l="1"/>
  <c r="D927" i="67"/>
  <c r="E927" i="67"/>
  <c r="F928" i="67"/>
  <c r="A929" i="67"/>
  <c r="B928" i="67"/>
  <c r="C927" i="67" l="1"/>
  <c r="D928" i="67"/>
  <c r="E928" i="67"/>
  <c r="B929" i="67"/>
  <c r="F929" i="67"/>
  <c r="A930" i="67"/>
  <c r="C928" i="67" l="1"/>
  <c r="A931" i="67"/>
  <c r="F930" i="67"/>
  <c r="B930" i="67"/>
  <c r="D929" i="67"/>
  <c r="E929" i="67"/>
  <c r="C929" i="67" l="1"/>
  <c r="D930" i="67"/>
  <c r="E930" i="67"/>
  <c r="F931" i="67"/>
  <c r="A932" i="67"/>
  <c r="B931" i="67"/>
  <c r="C930" i="67" l="1"/>
  <c r="D931" i="67"/>
  <c r="E931" i="67"/>
  <c r="F932" i="67"/>
  <c r="B932" i="67"/>
  <c r="A933" i="67"/>
  <c r="C931" i="67" l="1"/>
  <c r="F933" i="67"/>
  <c r="B933" i="67"/>
  <c r="A934" i="67"/>
  <c r="D932" i="67"/>
  <c r="E932" i="67"/>
  <c r="C932" i="67" l="1"/>
  <c r="F934" i="67"/>
  <c r="A935" i="67"/>
  <c r="B934" i="67"/>
  <c r="D933" i="67"/>
  <c r="E933" i="67"/>
  <c r="C933" i="67" l="1"/>
  <c r="D934" i="67"/>
  <c r="E934" i="67"/>
  <c r="B935" i="67"/>
  <c r="F935" i="67"/>
  <c r="A936" i="67"/>
  <c r="C934" i="67" l="1"/>
  <c r="D935" i="67"/>
  <c r="E935" i="67"/>
  <c r="F936" i="67"/>
  <c r="A937" i="67"/>
  <c r="B936" i="67"/>
  <c r="C935" i="67" l="1"/>
  <c r="F937" i="67"/>
  <c r="A938" i="67"/>
  <c r="B937" i="67"/>
  <c r="D936" i="67"/>
  <c r="E936" i="67"/>
  <c r="C936" i="67" l="1"/>
  <c r="F938" i="67"/>
  <c r="A939" i="67"/>
  <c r="B938" i="67"/>
  <c r="D937" i="67"/>
  <c r="E937" i="67"/>
  <c r="C937" i="67" l="1"/>
  <c r="B939" i="67"/>
  <c r="F939" i="67"/>
  <c r="A940" i="67"/>
  <c r="D938" i="67"/>
  <c r="E938" i="67"/>
  <c r="C938" i="67" l="1"/>
  <c r="F940" i="67"/>
  <c r="A941" i="67"/>
  <c r="B940" i="67"/>
  <c r="D939" i="67"/>
  <c r="E939" i="67"/>
  <c r="C939" i="67" l="1"/>
  <c r="B941" i="67"/>
  <c r="F941" i="67"/>
  <c r="A942" i="67"/>
  <c r="D940" i="67"/>
  <c r="E940" i="67"/>
  <c r="C940" i="67" l="1"/>
  <c r="F942" i="67"/>
  <c r="A943" i="67"/>
  <c r="B942" i="67"/>
  <c r="D941" i="67"/>
  <c r="E941" i="67"/>
  <c r="C941" i="67" l="1"/>
  <c r="D942" i="67"/>
  <c r="E942" i="67"/>
  <c r="B943" i="67"/>
  <c r="F943" i="67"/>
  <c r="A944" i="67"/>
  <c r="C942" i="67" l="1"/>
  <c r="D943" i="67"/>
  <c r="E943" i="67"/>
  <c r="F944" i="67"/>
  <c r="A945" i="67"/>
  <c r="B944" i="67"/>
  <c r="C943" i="67" l="1"/>
  <c r="D944" i="67"/>
  <c r="E944" i="67"/>
  <c r="F945" i="67"/>
  <c r="A946" i="67"/>
  <c r="B945" i="67"/>
  <c r="C944" i="67" l="1"/>
  <c r="D945" i="67"/>
  <c r="E945" i="67"/>
  <c r="F946" i="67"/>
  <c r="B946" i="67"/>
  <c r="A947" i="67"/>
  <c r="C945" i="67" l="1"/>
  <c r="F947" i="67"/>
  <c r="B947" i="67"/>
  <c r="A948" i="67"/>
  <c r="D946" i="67"/>
  <c r="E946" i="67"/>
  <c r="C946" i="67" l="1"/>
  <c r="F948" i="67"/>
  <c r="A949" i="67"/>
  <c r="B948" i="67"/>
  <c r="D947" i="67"/>
  <c r="E947" i="67"/>
  <c r="C947" i="67" l="1"/>
  <c r="D948" i="67"/>
  <c r="E948" i="67"/>
  <c r="F949" i="67"/>
  <c r="A950" i="67"/>
  <c r="B949" i="67"/>
  <c r="C948" i="67" l="1"/>
  <c r="D949" i="67"/>
  <c r="E949" i="67"/>
  <c r="F950" i="67"/>
  <c r="B950" i="67"/>
  <c r="A951" i="67"/>
  <c r="C949" i="67" l="1"/>
  <c r="A952" i="67"/>
  <c r="F951" i="67"/>
  <c r="B951" i="67"/>
  <c r="D950" i="67"/>
  <c r="E950" i="67"/>
  <c r="C950" i="67" l="1"/>
  <c r="D951" i="67"/>
  <c r="E951" i="67"/>
  <c r="B952" i="67"/>
  <c r="F952" i="67"/>
  <c r="A953" i="67"/>
  <c r="C951" i="67" l="1"/>
  <c r="B953" i="67"/>
  <c r="F953" i="67"/>
  <c r="A954" i="67"/>
  <c r="D952" i="67"/>
  <c r="E952" i="67"/>
  <c r="C952" i="67" l="1"/>
  <c r="F954" i="67"/>
  <c r="A955" i="67"/>
  <c r="B954" i="67"/>
  <c r="D953" i="67"/>
  <c r="E953" i="67"/>
  <c r="C953" i="67" l="1"/>
  <c r="D954" i="67"/>
  <c r="E954" i="67"/>
  <c r="F955" i="67"/>
  <c r="A956" i="67"/>
  <c r="B955" i="67"/>
  <c r="C954" i="67" l="1"/>
  <c r="D955" i="67"/>
  <c r="E955" i="67"/>
  <c r="B956" i="67"/>
  <c r="A957" i="67"/>
  <c r="F956" i="67"/>
  <c r="C955" i="67" l="1"/>
  <c r="D956" i="67"/>
  <c r="E956" i="67"/>
  <c r="F957" i="67"/>
  <c r="A958" i="67"/>
  <c r="B957" i="67"/>
  <c r="C956" i="67" l="1"/>
  <c r="D957" i="67"/>
  <c r="E957" i="67"/>
  <c r="A959" i="67"/>
  <c r="F958" i="67"/>
  <c r="B958" i="67"/>
  <c r="C957" i="67" l="1"/>
  <c r="D958" i="67"/>
  <c r="E958" i="67"/>
  <c r="A960" i="67"/>
  <c r="F959" i="67"/>
  <c r="B959" i="67"/>
  <c r="C958" i="67" l="1"/>
  <c r="D959" i="67"/>
  <c r="E959" i="67"/>
  <c r="F960" i="67"/>
  <c r="A961" i="67"/>
  <c r="B960" i="67"/>
  <c r="C959" i="67" l="1"/>
  <c r="D960" i="67"/>
  <c r="E960" i="67"/>
  <c r="F961" i="67"/>
  <c r="A962" i="67"/>
  <c r="B961" i="67"/>
  <c r="C960" i="67" l="1"/>
  <c r="D961" i="67"/>
  <c r="E961" i="67"/>
  <c r="F962" i="67"/>
  <c r="A963" i="67"/>
  <c r="B962" i="67"/>
  <c r="C961" i="67" l="1"/>
  <c r="D962" i="67"/>
  <c r="E962" i="67"/>
  <c r="A964" i="67"/>
  <c r="F963" i="67"/>
  <c r="B963" i="67"/>
  <c r="C962" i="67" l="1"/>
  <c r="D963" i="67"/>
  <c r="E963" i="67"/>
  <c r="B964" i="67"/>
  <c r="A965" i="67"/>
  <c r="F964" i="67"/>
  <c r="C963" i="67" l="1"/>
  <c r="A966" i="67"/>
  <c r="F965" i="67"/>
  <c r="B965" i="67"/>
  <c r="D964" i="67"/>
  <c r="E964" i="67"/>
  <c r="C964" i="67" l="1"/>
  <c r="D965" i="67"/>
  <c r="E965" i="67"/>
  <c r="F966" i="67"/>
  <c r="A967" i="67"/>
  <c r="B966" i="67"/>
  <c r="C965" i="67" l="1"/>
  <c r="D966" i="67"/>
  <c r="E966" i="67"/>
  <c r="B967" i="67"/>
  <c r="F967" i="67"/>
  <c r="A968" i="67"/>
  <c r="C966" i="67" l="1"/>
  <c r="B968" i="67"/>
  <c r="A969" i="67"/>
  <c r="F968" i="67"/>
  <c r="D967" i="67"/>
  <c r="E967" i="67"/>
  <c r="C967" i="67" l="1"/>
  <c r="A970" i="67"/>
  <c r="F969" i="67"/>
  <c r="B969" i="67"/>
  <c r="D968" i="67"/>
  <c r="E968" i="67"/>
  <c r="C968" i="67" l="1"/>
  <c r="D969" i="67"/>
  <c r="E969" i="67"/>
  <c r="B970" i="67"/>
  <c r="F970" i="67"/>
  <c r="A971" i="67"/>
  <c r="C969" i="67" l="1"/>
  <c r="B971" i="67"/>
  <c r="F971" i="67"/>
  <c r="A972" i="67"/>
  <c r="D970" i="67"/>
  <c r="E970" i="67"/>
  <c r="C970" i="67" l="1"/>
  <c r="D971" i="67"/>
  <c r="E971" i="67"/>
  <c r="F972" i="67"/>
  <c r="B972" i="67"/>
  <c r="A973" i="67"/>
  <c r="C971" i="67" l="1"/>
  <c r="B973" i="67"/>
  <c r="F973" i="67"/>
  <c r="A974" i="67"/>
  <c r="D972" i="67"/>
  <c r="E972" i="67"/>
  <c r="C972" i="67" l="1"/>
  <c r="F974" i="67"/>
  <c r="B974" i="67"/>
  <c r="A975" i="67"/>
  <c r="D973" i="67"/>
  <c r="E973" i="67"/>
  <c r="C973" i="67" l="1"/>
  <c r="F975" i="67"/>
  <c r="B975" i="67"/>
  <c r="A976" i="67"/>
  <c r="D974" i="67"/>
  <c r="E974" i="67"/>
  <c r="C974" i="67" l="1"/>
  <c r="A977" i="67"/>
  <c r="F976" i="67"/>
  <c r="B976" i="67"/>
  <c r="D975" i="67"/>
  <c r="E975" i="67"/>
  <c r="C975" i="67" l="1"/>
  <c r="D976" i="67"/>
  <c r="E976" i="67"/>
  <c r="B977" i="67"/>
  <c r="A978" i="67"/>
  <c r="F977" i="67"/>
  <c r="C976" i="67" l="1"/>
  <c r="B978" i="67"/>
  <c r="F978" i="67"/>
  <c r="A979" i="67"/>
  <c r="D977" i="67"/>
  <c r="E977" i="67"/>
  <c r="C977" i="67" l="1"/>
  <c r="F979" i="67"/>
  <c r="B979" i="67"/>
  <c r="A980" i="67"/>
  <c r="D978" i="67"/>
  <c r="E978" i="67"/>
  <c r="C978" i="67" l="1"/>
  <c r="B980" i="67"/>
  <c r="A981" i="67"/>
  <c r="F980" i="67"/>
  <c r="D979" i="67"/>
  <c r="E979" i="67"/>
  <c r="C979" i="67" l="1"/>
  <c r="A982" i="67"/>
  <c r="F981" i="67"/>
  <c r="B981" i="67"/>
  <c r="D980" i="67"/>
  <c r="E980" i="67"/>
  <c r="C980" i="67" l="1"/>
  <c r="D981" i="67"/>
  <c r="E981" i="67"/>
  <c r="F982" i="67"/>
  <c r="A983" i="67"/>
  <c r="B982" i="67"/>
  <c r="C981" i="67" l="1"/>
  <c r="D982" i="67"/>
  <c r="E982" i="67"/>
  <c r="F983" i="67"/>
  <c r="A984" i="67"/>
  <c r="B983" i="67"/>
  <c r="C982" i="67" l="1"/>
  <c r="D983" i="67"/>
  <c r="E983" i="67"/>
  <c r="F984" i="67"/>
  <c r="B984" i="67"/>
  <c r="A985" i="67"/>
  <c r="C983" i="67" l="1"/>
  <c r="A986" i="67"/>
  <c r="F985" i="67"/>
  <c r="B985" i="67"/>
  <c r="D984" i="67"/>
  <c r="E984" i="67"/>
  <c r="C984" i="67" l="1"/>
  <c r="D985" i="67"/>
  <c r="E985" i="67"/>
  <c r="F986" i="67"/>
  <c r="A987" i="67"/>
  <c r="B986" i="67"/>
  <c r="C985" i="67" l="1"/>
  <c r="D986" i="67"/>
  <c r="E986" i="67"/>
  <c r="A988" i="67"/>
  <c r="F987" i="67"/>
  <c r="B987" i="67"/>
  <c r="C986" i="67" l="1"/>
  <c r="D987" i="67"/>
  <c r="E987" i="67"/>
  <c r="F988" i="67"/>
  <c r="A989" i="67"/>
  <c r="B988" i="67"/>
  <c r="C987" i="67" l="1"/>
  <c r="A990" i="67"/>
  <c r="B989" i="67"/>
  <c r="F989" i="67"/>
  <c r="D988" i="67"/>
  <c r="E988" i="67"/>
  <c r="C988" i="67" l="1"/>
  <c r="D989" i="67"/>
  <c r="E989" i="67"/>
  <c r="F990" i="67"/>
  <c r="A991" i="67"/>
  <c r="B990" i="67"/>
  <c r="C989" i="67" l="1"/>
  <c r="D990" i="67"/>
  <c r="E990" i="67"/>
  <c r="F991" i="67"/>
  <c r="A992" i="67"/>
  <c r="B991" i="67"/>
  <c r="C990" i="67" l="1"/>
  <c r="D991" i="67"/>
  <c r="E991" i="67"/>
  <c r="F992" i="67"/>
  <c r="A993" i="67"/>
  <c r="B992" i="67"/>
  <c r="C991" i="67" l="1"/>
  <c r="D992" i="67"/>
  <c r="E992" i="67"/>
  <c r="B993" i="67"/>
  <c r="A994" i="67"/>
  <c r="F993" i="67"/>
  <c r="C992" i="67" l="1"/>
  <c r="F994" i="67"/>
  <c r="A995" i="67"/>
  <c r="B994" i="67"/>
  <c r="D993" i="67"/>
  <c r="E993" i="67"/>
  <c r="C993" i="67" l="1"/>
  <c r="D994" i="67"/>
  <c r="E994" i="67"/>
  <c r="A996" i="67"/>
  <c r="B995" i="67"/>
  <c r="F995" i="67"/>
  <c r="C994" i="67" l="1"/>
  <c r="D995" i="67"/>
  <c r="E995" i="67"/>
  <c r="F996" i="67"/>
  <c r="B996" i="67"/>
  <c r="A997" i="67"/>
  <c r="C995" i="67" l="1"/>
  <c r="B997" i="67"/>
  <c r="F997" i="67"/>
  <c r="A998" i="67"/>
  <c r="D996" i="67"/>
  <c r="E996" i="67"/>
  <c r="C996" i="67" l="1"/>
  <c r="F998" i="67"/>
  <c r="B998" i="67"/>
  <c r="A999" i="67"/>
  <c r="D997" i="67"/>
  <c r="E997" i="67"/>
  <c r="C997" i="67" l="1"/>
  <c r="F999" i="67"/>
  <c r="B999" i="67"/>
  <c r="A1000" i="67"/>
  <c r="D998" i="67"/>
  <c r="E998" i="67"/>
  <c r="C998" i="67" l="1"/>
  <c r="F1000" i="67"/>
  <c r="B1000" i="67"/>
  <c r="A1001" i="67"/>
  <c r="D999" i="67"/>
  <c r="E999" i="67"/>
  <c r="C999" i="67" l="1"/>
  <c r="F1001" i="67"/>
  <c r="A1002" i="67"/>
  <c r="B1001" i="67"/>
  <c r="D1000" i="67"/>
  <c r="E1000" i="67"/>
  <c r="C1000" i="67" l="1"/>
  <c r="D1001" i="67"/>
  <c r="E1001" i="67"/>
  <c r="F1002" i="67"/>
  <c r="A1003" i="67"/>
  <c r="B1002" i="67"/>
  <c r="C1001" i="67" l="1"/>
  <c r="D1002" i="67"/>
  <c r="E1002" i="67"/>
  <c r="F1003" i="67"/>
  <c r="A1004" i="67"/>
  <c r="B1003" i="67"/>
  <c r="C1002" i="67" l="1"/>
  <c r="D1003" i="67"/>
  <c r="E1003" i="67"/>
  <c r="F1004" i="67"/>
  <c r="A1005" i="67"/>
  <c r="B1004" i="67"/>
  <c r="C1003" i="67" l="1"/>
  <c r="D1004" i="67"/>
  <c r="E1004" i="67"/>
  <c r="F1005" i="67"/>
  <c r="A1006" i="67"/>
  <c r="B1005" i="67"/>
  <c r="C1004" i="67" l="1"/>
  <c r="D1005" i="67"/>
  <c r="E1005" i="67"/>
  <c r="F1006" i="67"/>
  <c r="A1007" i="67"/>
  <c r="B1006" i="67"/>
  <c r="C1005" i="67" l="1"/>
  <c r="D1006" i="67"/>
  <c r="E1006" i="67"/>
  <c r="B1007" i="67"/>
  <c r="A1008" i="67"/>
  <c r="F1007" i="67"/>
  <c r="C1006" i="67" l="1"/>
  <c r="F1008" i="67"/>
  <c r="B1008" i="67"/>
  <c r="A1009" i="67"/>
  <c r="D1007" i="67"/>
  <c r="E1007" i="67"/>
  <c r="C1007" i="67" l="1"/>
  <c r="A1010" i="67"/>
  <c r="F1009" i="67"/>
  <c r="B1009" i="67"/>
  <c r="D1008" i="67"/>
  <c r="E1008" i="67"/>
  <c r="C1008" i="67" l="1"/>
  <c r="D1009" i="67"/>
  <c r="E1009" i="67"/>
  <c r="F1010" i="67"/>
  <c r="B1010" i="67"/>
  <c r="A1011" i="67"/>
  <c r="C1009" i="67" l="1"/>
  <c r="A1012" i="67"/>
  <c r="B1011" i="67"/>
  <c r="F1011" i="67"/>
  <c r="D1010" i="67"/>
  <c r="E1010" i="67"/>
  <c r="C1010" i="67" l="1"/>
  <c r="D1011" i="67"/>
  <c r="E1011" i="67"/>
  <c r="B1012" i="67"/>
  <c r="F1012" i="67"/>
  <c r="A1013" i="67"/>
  <c r="C1011" i="67" l="1"/>
  <c r="B1013" i="67"/>
  <c r="F1013" i="67"/>
  <c r="A1014" i="67"/>
  <c r="D1012" i="67"/>
  <c r="E1012" i="67"/>
  <c r="C1012" i="67" l="1"/>
  <c r="B1014" i="67"/>
  <c r="F1014" i="67"/>
  <c r="A1015" i="67"/>
  <c r="D1013" i="67"/>
  <c r="E1013" i="67"/>
  <c r="C1013" i="67" l="1"/>
  <c r="F1015" i="67"/>
  <c r="B1015" i="67"/>
  <c r="A1016" i="67"/>
  <c r="D1014" i="67"/>
  <c r="E1014" i="67"/>
  <c r="C1014" i="67" l="1"/>
  <c r="F1016" i="67"/>
  <c r="A1017" i="67"/>
  <c r="B1016" i="67"/>
  <c r="D1015" i="67"/>
  <c r="E1015" i="67"/>
  <c r="C1015" i="67" l="1"/>
  <c r="D1016" i="67"/>
  <c r="E1016" i="67"/>
  <c r="F1017" i="67"/>
  <c r="A1018" i="67"/>
  <c r="B1017" i="67"/>
  <c r="C1016" i="67" l="1"/>
  <c r="D1017" i="67"/>
  <c r="E1017" i="67"/>
  <c r="F1018" i="67"/>
  <c r="A1019" i="67"/>
  <c r="B1018" i="67"/>
  <c r="C1017" i="67" l="1"/>
  <c r="D1018" i="67"/>
  <c r="E1018" i="67"/>
  <c r="F1019" i="67"/>
  <c r="B1019" i="67"/>
  <c r="A1020" i="67"/>
  <c r="C1018" i="67" l="1"/>
  <c r="A1021" i="67"/>
  <c r="B1020" i="67"/>
  <c r="F1020" i="67"/>
  <c r="D1019" i="67"/>
  <c r="E1019" i="67"/>
  <c r="C1019" i="67" l="1"/>
  <c r="D1020" i="67"/>
  <c r="E1020" i="67"/>
  <c r="B1021" i="67"/>
  <c r="F1021" i="67"/>
  <c r="A1022" i="67"/>
  <c r="C1020" i="67" l="1"/>
  <c r="F1022" i="67"/>
  <c r="A1023" i="67"/>
  <c r="B1022" i="67"/>
  <c r="D1021" i="67"/>
  <c r="E1021" i="67"/>
  <c r="C1021" i="67" l="1"/>
  <c r="D1022" i="67"/>
  <c r="E1022" i="67"/>
  <c r="F1023" i="67"/>
  <c r="A1024" i="67"/>
  <c r="B1023" i="67"/>
  <c r="C1022" i="67" l="1"/>
  <c r="D1023" i="67"/>
  <c r="E1023" i="67"/>
  <c r="A1025" i="67"/>
  <c r="B1024" i="67"/>
  <c r="F1024" i="67"/>
  <c r="C1023" i="67" l="1"/>
  <c r="D1024" i="67"/>
  <c r="E1024" i="67"/>
  <c r="F1025" i="67"/>
  <c r="A1026" i="67"/>
  <c r="B1025" i="67"/>
  <c r="C1024" i="67" l="1"/>
  <c r="D1025" i="67"/>
  <c r="E1025" i="67"/>
  <c r="B1026" i="67"/>
  <c r="A1027" i="67"/>
  <c r="F1026" i="67"/>
  <c r="C1025" i="67" l="1"/>
  <c r="B1027" i="67"/>
  <c r="F1027" i="67"/>
  <c r="A1028" i="67"/>
  <c r="D1026" i="67"/>
  <c r="E1026" i="67"/>
  <c r="C1026" i="67" l="1"/>
  <c r="F1028" i="67"/>
  <c r="B1028" i="67"/>
  <c r="A1029" i="67"/>
  <c r="D1027" i="67"/>
  <c r="E1027" i="67"/>
  <c r="C1027" i="67" l="1"/>
  <c r="B1029" i="67"/>
  <c r="F1029" i="67"/>
  <c r="A1030" i="67"/>
  <c r="D1028" i="67"/>
  <c r="E1028" i="67"/>
  <c r="C1028" i="67" l="1"/>
  <c r="A1031" i="67"/>
  <c r="F1030" i="67"/>
  <c r="B1030" i="67"/>
  <c r="D1029" i="67"/>
  <c r="E1029" i="67"/>
  <c r="C1029" i="67" l="1"/>
  <c r="D1030" i="67"/>
  <c r="E1030" i="67"/>
  <c r="A1032" i="67"/>
  <c r="B1031" i="67"/>
  <c r="F1031" i="67"/>
  <c r="C1030" i="67" l="1"/>
  <c r="D1031" i="67"/>
  <c r="E1031" i="67"/>
  <c r="F1032" i="67"/>
  <c r="A1033" i="67"/>
  <c r="B1032" i="67"/>
  <c r="C1031" i="67" l="1"/>
  <c r="D1032" i="67"/>
  <c r="E1032" i="67"/>
  <c r="F1033" i="67"/>
  <c r="A1034" i="67"/>
  <c r="B1033" i="67"/>
  <c r="C1032" i="67" l="1"/>
  <c r="D1033" i="67"/>
  <c r="E1033" i="67"/>
  <c r="A1035" i="67"/>
  <c r="F1034" i="67"/>
  <c r="B1034" i="67"/>
  <c r="C1033" i="67" l="1"/>
  <c r="B1035" i="67"/>
  <c r="A1036" i="67"/>
  <c r="F1035" i="67"/>
  <c r="D1034" i="67"/>
  <c r="E1034" i="67"/>
  <c r="C1034" i="67" l="1"/>
  <c r="F1036" i="67"/>
  <c r="B1036" i="67"/>
  <c r="A1037" i="67"/>
  <c r="D1035" i="67"/>
  <c r="E1035" i="67"/>
  <c r="C1035" i="67" l="1"/>
  <c r="B1037" i="67"/>
  <c r="A1038" i="67"/>
  <c r="F1037" i="67"/>
  <c r="D1036" i="67"/>
  <c r="E1036" i="67"/>
  <c r="C1036" i="67" l="1"/>
  <c r="F1038" i="67"/>
  <c r="B1038" i="67"/>
  <c r="A1039" i="67"/>
  <c r="D1037" i="67"/>
  <c r="E1037" i="67"/>
  <c r="C1037" i="67" l="1"/>
  <c r="F1039" i="67"/>
  <c r="B1039" i="67"/>
  <c r="A1040" i="67"/>
  <c r="D1038" i="67"/>
  <c r="E1038" i="67"/>
  <c r="C1038" i="67" l="1"/>
  <c r="B1040" i="67"/>
  <c r="F1040" i="67"/>
  <c r="A1041" i="67"/>
  <c r="D1039" i="67"/>
  <c r="E1039" i="67"/>
  <c r="C1039" i="67" l="1"/>
  <c r="B1041" i="67"/>
  <c r="F1041" i="67"/>
  <c r="A1042" i="67"/>
  <c r="D1040" i="67"/>
  <c r="E1040" i="67"/>
  <c r="C1040" i="67" l="1"/>
  <c r="F1042" i="67"/>
  <c r="A1043" i="67"/>
  <c r="B1042" i="67"/>
  <c r="D1041" i="67"/>
  <c r="E1041" i="67"/>
  <c r="C1041" i="67" l="1"/>
  <c r="D1042" i="67"/>
  <c r="E1042" i="67"/>
  <c r="F1043" i="67"/>
  <c r="B1043" i="67"/>
  <c r="A1044" i="67"/>
  <c r="C1042" i="67" l="1"/>
  <c r="D1043" i="67"/>
  <c r="E1043" i="67"/>
  <c r="F1044" i="67"/>
  <c r="B1044" i="67"/>
  <c r="A1045" i="67"/>
  <c r="C1043" i="67" l="1"/>
  <c r="F1045" i="67"/>
  <c r="A1046" i="67"/>
  <c r="B1045" i="67"/>
  <c r="D1044" i="67"/>
  <c r="E1044" i="67"/>
  <c r="C1044" i="67" l="1"/>
  <c r="D1045" i="67"/>
  <c r="E1045" i="67"/>
  <c r="A1047" i="67"/>
  <c r="B1046" i="67"/>
  <c r="F1046" i="67"/>
  <c r="C1045" i="67" l="1"/>
  <c r="D1046" i="67"/>
  <c r="E1046" i="67"/>
  <c r="F1047" i="67"/>
  <c r="A1048" i="67"/>
  <c r="B1047" i="67"/>
  <c r="C1046" i="67" l="1"/>
  <c r="D1047" i="67"/>
  <c r="E1047" i="67"/>
  <c r="F1048" i="67"/>
  <c r="A1049" i="67"/>
  <c r="B1048" i="67"/>
  <c r="C1047" i="67" l="1"/>
  <c r="D1048" i="67"/>
  <c r="E1048" i="67"/>
  <c r="F1049" i="67"/>
  <c r="A1050" i="67"/>
  <c r="B1049" i="67"/>
  <c r="C1048" i="67" l="1"/>
  <c r="D1049" i="67"/>
  <c r="E1049" i="67"/>
  <c r="F1050" i="67"/>
  <c r="A1051" i="67"/>
  <c r="B1050" i="67"/>
  <c r="C1049" i="67" l="1"/>
  <c r="D1050" i="67"/>
  <c r="E1050" i="67"/>
  <c r="F1051" i="67"/>
  <c r="A1052" i="67"/>
  <c r="B1051" i="67"/>
  <c r="C1050" i="67" l="1"/>
  <c r="D1051" i="67"/>
  <c r="E1051" i="67"/>
  <c r="B1052" i="67"/>
  <c r="F1052" i="67"/>
  <c r="A1053" i="67"/>
  <c r="C1051" i="67" l="1"/>
  <c r="F1053" i="67"/>
  <c r="A1054" i="67"/>
  <c r="B1053" i="67"/>
  <c r="D1052" i="67"/>
  <c r="E1052" i="67"/>
  <c r="C1052" i="67" l="1"/>
  <c r="D1053" i="67"/>
  <c r="E1053" i="67"/>
  <c r="A1055" i="67"/>
  <c r="B1054" i="67"/>
  <c r="F1054" i="67"/>
  <c r="C1053" i="67" l="1"/>
  <c r="D1054" i="67"/>
  <c r="E1054" i="67"/>
  <c r="F1055" i="67"/>
  <c r="A1056" i="67"/>
  <c r="B1055" i="67"/>
  <c r="C1054" i="67" l="1"/>
  <c r="B1056" i="67"/>
  <c r="F1056" i="67"/>
  <c r="A1057" i="67"/>
  <c r="D1055" i="67"/>
  <c r="E1055" i="67"/>
  <c r="C1055" i="67" l="1"/>
  <c r="A1058" i="67"/>
  <c r="B1057" i="67"/>
  <c r="F1057" i="67"/>
  <c r="D1056" i="67"/>
  <c r="E1056" i="67"/>
  <c r="C1056" i="67" l="1"/>
  <c r="D1057" i="67"/>
  <c r="E1057" i="67"/>
  <c r="F1058" i="67"/>
  <c r="A1059" i="67"/>
  <c r="B1058" i="67"/>
  <c r="C1057" i="67" l="1"/>
  <c r="D1058" i="67"/>
  <c r="E1058" i="67"/>
  <c r="F1059" i="67"/>
  <c r="A1060" i="67"/>
  <c r="B1059" i="67"/>
  <c r="C1058" i="67" l="1"/>
  <c r="D1059" i="67"/>
  <c r="E1059" i="67"/>
  <c r="A1061" i="67"/>
  <c r="F1060" i="67"/>
  <c r="B1060" i="67"/>
  <c r="C1059" i="67" l="1"/>
  <c r="D1060" i="67"/>
  <c r="E1060" i="67"/>
  <c r="F1061" i="67"/>
  <c r="A1062" i="67"/>
  <c r="B1061" i="67"/>
  <c r="C1060" i="67" l="1"/>
  <c r="B1062" i="67"/>
  <c r="F1062" i="67"/>
  <c r="A1063" i="67"/>
  <c r="D1061" i="67"/>
  <c r="E1061" i="67"/>
  <c r="C1061" i="67" l="1"/>
  <c r="F1063" i="67"/>
  <c r="A1064" i="67"/>
  <c r="B1063" i="67"/>
  <c r="D1062" i="67"/>
  <c r="E1062" i="67"/>
  <c r="C1062" i="67" l="1"/>
  <c r="D1063" i="67"/>
  <c r="E1063" i="67"/>
  <c r="B1064" i="67"/>
  <c r="A1065" i="67"/>
  <c r="F1064" i="67"/>
  <c r="C1063" i="67" l="1"/>
  <c r="B1065" i="67"/>
  <c r="F1065" i="67"/>
  <c r="A1066" i="67"/>
  <c r="D1064" i="67"/>
  <c r="E1064" i="67"/>
  <c r="C1064" i="67" l="1"/>
  <c r="F1066" i="67"/>
  <c r="A1067" i="67"/>
  <c r="B1066" i="67"/>
  <c r="D1065" i="67"/>
  <c r="E1065" i="67"/>
  <c r="C1065" i="67" l="1"/>
  <c r="D1066" i="67"/>
  <c r="E1066" i="67"/>
  <c r="F1067" i="67"/>
  <c r="A1068" i="67"/>
  <c r="B1067" i="67"/>
  <c r="C1066" i="67" l="1"/>
  <c r="D1067" i="67"/>
  <c r="E1067" i="67"/>
  <c r="F1068" i="67"/>
  <c r="A1069" i="67"/>
  <c r="B1068" i="67"/>
  <c r="C1067" i="67" l="1"/>
  <c r="D1068" i="67"/>
  <c r="E1068" i="67"/>
  <c r="A1070" i="67"/>
  <c r="B1069" i="67"/>
  <c r="F1069" i="67"/>
  <c r="C1068" i="67" l="1"/>
  <c r="D1069" i="67"/>
  <c r="E1069" i="67"/>
  <c r="A1071" i="67"/>
  <c r="F1070" i="67"/>
  <c r="B1070" i="67"/>
  <c r="C1069" i="67" l="1"/>
  <c r="D1070" i="67"/>
  <c r="E1070" i="67"/>
  <c r="A1072" i="67"/>
  <c r="B1071" i="67"/>
  <c r="F1071" i="67"/>
  <c r="C1070" i="67" l="1"/>
  <c r="D1071" i="67"/>
  <c r="E1071" i="67"/>
  <c r="F1072" i="67"/>
  <c r="A1073" i="67"/>
  <c r="B1072" i="67"/>
  <c r="C1071" i="67" l="1"/>
  <c r="D1072" i="67"/>
  <c r="E1072" i="67"/>
  <c r="F1073" i="67"/>
  <c r="A1074" i="67"/>
  <c r="B1073" i="67"/>
  <c r="C1072" i="67" l="1"/>
  <c r="D1073" i="67"/>
  <c r="E1073" i="67"/>
  <c r="F1074" i="67"/>
  <c r="B1074" i="67"/>
  <c r="A1075" i="67"/>
  <c r="C1073" i="67" l="1"/>
  <c r="A1076" i="67"/>
  <c r="F1075" i="67"/>
  <c r="B1075" i="67"/>
  <c r="D1074" i="67"/>
  <c r="E1074" i="67"/>
  <c r="C1074" i="67" l="1"/>
  <c r="D1075" i="67"/>
  <c r="E1075" i="67"/>
  <c r="F1076" i="67"/>
  <c r="B1076" i="67"/>
  <c r="A1077" i="67"/>
  <c r="C1075" i="67" l="1"/>
  <c r="F1077" i="67"/>
  <c r="A1078" i="67"/>
  <c r="B1077" i="67"/>
  <c r="D1076" i="67"/>
  <c r="E1076" i="67"/>
  <c r="C1076" i="67" l="1"/>
  <c r="D1077" i="67"/>
  <c r="E1077" i="67"/>
  <c r="B1078" i="67"/>
  <c r="F1078" i="67"/>
  <c r="A1079" i="67"/>
  <c r="C1077" i="67" l="1"/>
  <c r="F1079" i="67"/>
  <c r="A1080" i="67"/>
  <c r="B1079" i="67"/>
  <c r="D1078" i="67"/>
  <c r="E1078" i="67"/>
  <c r="C1078" i="67" l="1"/>
  <c r="D1079" i="67"/>
  <c r="E1079" i="67"/>
  <c r="B1080" i="67"/>
  <c r="F1080" i="67"/>
  <c r="A1081" i="67"/>
  <c r="C1079" i="67" l="1"/>
  <c r="A1082" i="67"/>
  <c r="F1081" i="67"/>
  <c r="B1081" i="67"/>
  <c r="D1080" i="67"/>
  <c r="E1080" i="67"/>
  <c r="C1080" i="67" l="1"/>
  <c r="D1081" i="67"/>
  <c r="E1081" i="67"/>
  <c r="A1083" i="67"/>
  <c r="F1082" i="67"/>
  <c r="B1082" i="67"/>
  <c r="C1081" i="67" l="1"/>
  <c r="D1082" i="67"/>
  <c r="E1082" i="67"/>
  <c r="F1083" i="67"/>
  <c r="A1084" i="67"/>
  <c r="B1083" i="67"/>
  <c r="C1082" i="67" l="1"/>
  <c r="D1083" i="67"/>
  <c r="E1083" i="67"/>
  <c r="F1084" i="67"/>
  <c r="A1085" i="67"/>
  <c r="B1084" i="67"/>
  <c r="C1083" i="67" l="1"/>
  <c r="D1084" i="67"/>
  <c r="E1084" i="67"/>
  <c r="F1085" i="67"/>
  <c r="A1086" i="67"/>
  <c r="B1085" i="67"/>
  <c r="C1084" i="67" l="1"/>
  <c r="D1085" i="67"/>
  <c r="E1085" i="67"/>
  <c r="F1086" i="67"/>
  <c r="A1087" i="67"/>
  <c r="B1086" i="67"/>
  <c r="C1085" i="67" l="1"/>
  <c r="D1086" i="67"/>
  <c r="E1086" i="67"/>
  <c r="F1087" i="67"/>
  <c r="A1088" i="67"/>
  <c r="B1087" i="67"/>
  <c r="C1086" i="67" l="1"/>
  <c r="D1087" i="67"/>
  <c r="E1087" i="67"/>
  <c r="F1088" i="67"/>
  <c r="A1089" i="67"/>
  <c r="B1088" i="67"/>
  <c r="C1087" i="67" l="1"/>
  <c r="D1088" i="67"/>
  <c r="E1088" i="67"/>
  <c r="F1089" i="67"/>
  <c r="A1090" i="67"/>
  <c r="B1089" i="67"/>
  <c r="C1088" i="67" l="1"/>
  <c r="A1091" i="67"/>
  <c r="F1090" i="67"/>
  <c r="B1090" i="67"/>
  <c r="D1089" i="67"/>
  <c r="E1089" i="67"/>
  <c r="C1089" i="67" l="1"/>
  <c r="D1090" i="67"/>
  <c r="E1090" i="67"/>
  <c r="F1091" i="67"/>
  <c r="A1092" i="67"/>
  <c r="B1091" i="67"/>
  <c r="C1090" i="67" l="1"/>
  <c r="D1091" i="67"/>
  <c r="E1091" i="67"/>
  <c r="F1092" i="67"/>
  <c r="A1093" i="67"/>
  <c r="B1092" i="67"/>
  <c r="C1091" i="67" l="1"/>
  <c r="D1092" i="67"/>
  <c r="E1092" i="67"/>
  <c r="F1093" i="67"/>
  <c r="A1094" i="67"/>
  <c r="B1093" i="67"/>
  <c r="C1092" i="67" l="1"/>
  <c r="D1093" i="67"/>
  <c r="E1093" i="67"/>
  <c r="B1094" i="67"/>
  <c r="F1094" i="67"/>
  <c r="A1095" i="67"/>
  <c r="C1093" i="67" l="1"/>
  <c r="F1095" i="67"/>
  <c r="A1096" i="67"/>
  <c r="B1095" i="67"/>
  <c r="D1094" i="67"/>
  <c r="E1094" i="67"/>
  <c r="C1094" i="67" l="1"/>
  <c r="D1095" i="67"/>
  <c r="E1095" i="67"/>
  <c r="B1096" i="67"/>
  <c r="F1096" i="67"/>
  <c r="A1097" i="67"/>
  <c r="C1095" i="67" l="1"/>
  <c r="A1098" i="67"/>
  <c r="B1097" i="67"/>
  <c r="F1097" i="67"/>
  <c r="D1096" i="67"/>
  <c r="E1096" i="67"/>
  <c r="C1096" i="67" l="1"/>
  <c r="D1097" i="67"/>
  <c r="E1097" i="67"/>
  <c r="A1099" i="67"/>
  <c r="F1098" i="67"/>
  <c r="B1098" i="67"/>
  <c r="C1097" i="67" l="1"/>
  <c r="D1098" i="67"/>
  <c r="E1098" i="67"/>
  <c r="A1100" i="67"/>
  <c r="F1099" i="67"/>
  <c r="B1099" i="67"/>
  <c r="C1098" i="67" l="1"/>
  <c r="D1099" i="67"/>
  <c r="E1099" i="67"/>
  <c r="F1100" i="67"/>
  <c r="A1101" i="67"/>
  <c r="B1100" i="67"/>
  <c r="C1099" i="67" l="1"/>
  <c r="D1100" i="67"/>
  <c r="E1100" i="67"/>
  <c r="F1101" i="67"/>
  <c r="A1102" i="67"/>
  <c r="B1101" i="67"/>
  <c r="C1100" i="67" l="1"/>
  <c r="F1102" i="67"/>
  <c r="A1103" i="67"/>
  <c r="B1102" i="67"/>
  <c r="D1101" i="67"/>
  <c r="E1101" i="67"/>
  <c r="C1101" i="67" l="1"/>
  <c r="D1102" i="67"/>
  <c r="E1102" i="67"/>
  <c r="F1103" i="67"/>
  <c r="A1104" i="67"/>
  <c r="B1103" i="67"/>
  <c r="C1102" i="67" l="1"/>
  <c r="D1103" i="67"/>
  <c r="E1103" i="67"/>
  <c r="F1104" i="67"/>
  <c r="B1104" i="67"/>
  <c r="A1105" i="67"/>
  <c r="C1103" i="67" l="1"/>
  <c r="F1105" i="67"/>
  <c r="B1105" i="67"/>
  <c r="A1106" i="67"/>
  <c r="D1104" i="67"/>
  <c r="E1104" i="67"/>
  <c r="C1104" i="67" l="1"/>
  <c r="F1106" i="67"/>
  <c r="A1107" i="67"/>
  <c r="B1106" i="67"/>
  <c r="D1105" i="67"/>
  <c r="E1105" i="67"/>
  <c r="C1105" i="67" l="1"/>
  <c r="D1106" i="67"/>
  <c r="E1106" i="67"/>
  <c r="A1108" i="67"/>
  <c r="B1107" i="67"/>
  <c r="F1107" i="67"/>
  <c r="C1106" i="67" l="1"/>
  <c r="D1107" i="67"/>
  <c r="E1107" i="67"/>
  <c r="B1108" i="67"/>
  <c r="F1108" i="67"/>
  <c r="A1109" i="67"/>
  <c r="C1107" i="67" l="1"/>
  <c r="A1110" i="67"/>
  <c r="F1109" i="67"/>
  <c r="B1109" i="67"/>
  <c r="D1108" i="67"/>
  <c r="E1108" i="67"/>
  <c r="C1108" i="67" l="1"/>
  <c r="D1109" i="67"/>
  <c r="E1109" i="67"/>
  <c r="B1110" i="67"/>
  <c r="F1110" i="67"/>
  <c r="A1111" i="67"/>
  <c r="C1109" i="67" l="1"/>
  <c r="A1112" i="67"/>
  <c r="B1111" i="67"/>
  <c r="F1111" i="67"/>
  <c r="D1110" i="67"/>
  <c r="E1110" i="67"/>
  <c r="C1110" i="67" l="1"/>
  <c r="D1111" i="67"/>
  <c r="E1111" i="67"/>
  <c r="F1112" i="67"/>
  <c r="B1112" i="67"/>
  <c r="A1113" i="67"/>
  <c r="C1111" i="67" l="1"/>
  <c r="F1113" i="67"/>
  <c r="A1114" i="67"/>
  <c r="B1113" i="67"/>
  <c r="D1112" i="67"/>
  <c r="E1112" i="67"/>
  <c r="C1112" i="67" l="1"/>
  <c r="F1114" i="67"/>
  <c r="B1114" i="67"/>
  <c r="A1115" i="67"/>
  <c r="D1113" i="67"/>
  <c r="E1113" i="67"/>
  <c r="C1113" i="67" l="1"/>
  <c r="F1115" i="67"/>
  <c r="A1116" i="67"/>
  <c r="B1115" i="67"/>
  <c r="D1114" i="67"/>
  <c r="E1114" i="67"/>
  <c r="C1114" i="67" l="1"/>
  <c r="D1115" i="67"/>
  <c r="E1115" i="67"/>
  <c r="F1116" i="67"/>
  <c r="A1117" i="67"/>
  <c r="B1116" i="67"/>
  <c r="C1115" i="67" l="1"/>
  <c r="D1116" i="67"/>
  <c r="E1116" i="67"/>
  <c r="A1118" i="67"/>
  <c r="F1117" i="67"/>
  <c r="B1117" i="67"/>
  <c r="C1116" i="67" l="1"/>
  <c r="F1118" i="67"/>
  <c r="A1119" i="67"/>
  <c r="B1118" i="67"/>
  <c r="D1117" i="67"/>
  <c r="E1117" i="67"/>
  <c r="C1117" i="67" l="1"/>
  <c r="D1118" i="67"/>
  <c r="E1118" i="67"/>
  <c r="B1119" i="67"/>
  <c r="A1120" i="67"/>
  <c r="F1119" i="67"/>
  <c r="C1118" i="67" l="1"/>
  <c r="B1120" i="67"/>
  <c r="A1121" i="67"/>
  <c r="F1120" i="67"/>
  <c r="D1119" i="67"/>
  <c r="E1119" i="67"/>
  <c r="C1119" i="67" l="1"/>
  <c r="A1122" i="67"/>
  <c r="F1121" i="67"/>
  <c r="B1121" i="67"/>
  <c r="D1120" i="67"/>
  <c r="E1120" i="67"/>
  <c r="C1120" i="67" l="1"/>
  <c r="D1121" i="67"/>
  <c r="E1121" i="67"/>
  <c r="F1122" i="67"/>
  <c r="B1122" i="67"/>
  <c r="A1123" i="67"/>
  <c r="C1121" i="67" l="1"/>
  <c r="D1122" i="67"/>
  <c r="E1122" i="67"/>
  <c r="F1123" i="67"/>
  <c r="A1124" i="67"/>
  <c r="B1123" i="67"/>
  <c r="C1122" i="67" l="1"/>
  <c r="D1123" i="67"/>
  <c r="E1123" i="67"/>
  <c r="F1124" i="67"/>
  <c r="A1125" i="67"/>
  <c r="B1124" i="67"/>
  <c r="C1123" i="67" l="1"/>
  <c r="D1124" i="67"/>
  <c r="E1124" i="67"/>
  <c r="B1125" i="67"/>
  <c r="F1125" i="67"/>
  <c r="A1126" i="67"/>
  <c r="C1124" i="67" l="1"/>
  <c r="B1126" i="67"/>
  <c r="F1126" i="67"/>
  <c r="A1127" i="67"/>
  <c r="D1125" i="67"/>
  <c r="E1125" i="67"/>
  <c r="C1125" i="67" l="1"/>
  <c r="F1127" i="67"/>
  <c r="A1128" i="67"/>
  <c r="B1127" i="67"/>
  <c r="D1126" i="67"/>
  <c r="E1126" i="67"/>
  <c r="C1126" i="67" l="1"/>
  <c r="D1127" i="67"/>
  <c r="E1127" i="67"/>
  <c r="F1128" i="67"/>
  <c r="A1129" i="67"/>
  <c r="B1128" i="67"/>
  <c r="C1127" i="67" l="1"/>
  <c r="D1128" i="67"/>
  <c r="E1128" i="67"/>
  <c r="B1129" i="67"/>
  <c r="F1129" i="67"/>
  <c r="A1130" i="67"/>
  <c r="C1128" i="67" l="1"/>
  <c r="B1130" i="67"/>
  <c r="A1131" i="67"/>
  <c r="F1130" i="67"/>
  <c r="D1129" i="67"/>
  <c r="E1129" i="67"/>
  <c r="C1129" i="67" l="1"/>
  <c r="F1131" i="67"/>
  <c r="B1131" i="67"/>
  <c r="A1132" i="67"/>
  <c r="D1130" i="67"/>
  <c r="E1130" i="67"/>
  <c r="C1130" i="67" l="1"/>
  <c r="A1133" i="67"/>
  <c r="B1132" i="67"/>
  <c r="F1132" i="67"/>
  <c r="D1131" i="67"/>
  <c r="E1131" i="67"/>
  <c r="C1131" i="67" l="1"/>
  <c r="D1132" i="67"/>
  <c r="E1132" i="67"/>
  <c r="F1133" i="67"/>
  <c r="B1133" i="67"/>
  <c r="A1134" i="67"/>
  <c r="C1132" i="67" l="1"/>
  <c r="A1135" i="67"/>
  <c r="F1134" i="67"/>
  <c r="B1134" i="67"/>
  <c r="D1133" i="67"/>
  <c r="E1133" i="67"/>
  <c r="C1133" i="67" l="1"/>
  <c r="D1134" i="67"/>
  <c r="E1134" i="67"/>
  <c r="B1135" i="67"/>
  <c r="F1135" i="67"/>
  <c r="A1136" i="67"/>
  <c r="C1134" i="67" l="1"/>
  <c r="B1136" i="67"/>
  <c r="A1137" i="67"/>
  <c r="F1136" i="67"/>
  <c r="D1135" i="67"/>
  <c r="E1135" i="67"/>
  <c r="C1135" i="67" l="1"/>
  <c r="B1137" i="67"/>
  <c r="F1137" i="67"/>
  <c r="A1138" i="67"/>
  <c r="D1136" i="67"/>
  <c r="E1136" i="67"/>
  <c r="C1136" i="67" l="1"/>
  <c r="F1138" i="67"/>
  <c r="B1138" i="67"/>
  <c r="A1139" i="67"/>
  <c r="D1137" i="67"/>
  <c r="E1137" i="67"/>
  <c r="C1137" i="67" l="1"/>
  <c r="F1139" i="67"/>
  <c r="A1140" i="67"/>
  <c r="B1139" i="67"/>
  <c r="D1138" i="67"/>
  <c r="E1138" i="67"/>
  <c r="C1138" i="67" l="1"/>
  <c r="D1139" i="67"/>
  <c r="E1139" i="67"/>
  <c r="B1140" i="67"/>
  <c r="A1141" i="67"/>
  <c r="F1140" i="67"/>
  <c r="C1139" i="67" l="1"/>
  <c r="A1142" i="67"/>
  <c r="F1141" i="67"/>
  <c r="B1141" i="67"/>
  <c r="D1140" i="67"/>
  <c r="E1140" i="67"/>
  <c r="C1140" i="67" l="1"/>
  <c r="D1141" i="67"/>
  <c r="E1141" i="67"/>
  <c r="B1142" i="67"/>
  <c r="F1142" i="67"/>
  <c r="A1143" i="67"/>
  <c r="C1141" i="67" l="1"/>
  <c r="F1143" i="67"/>
  <c r="A1144" i="67"/>
  <c r="B1143" i="67"/>
  <c r="D1142" i="67"/>
  <c r="E1142" i="67"/>
  <c r="C1142" i="67" l="1"/>
  <c r="F1144" i="67"/>
  <c r="A1145" i="67"/>
  <c r="B1144" i="67"/>
  <c r="D1143" i="67"/>
  <c r="E1143" i="67"/>
  <c r="C1143" i="67" l="1"/>
  <c r="D1144" i="67"/>
  <c r="E1144" i="67"/>
  <c r="A1146" i="67"/>
  <c r="F1145" i="67"/>
  <c r="B1145" i="67"/>
  <c r="C1144" i="67" l="1"/>
  <c r="D1145" i="67"/>
  <c r="E1145" i="67"/>
  <c r="F1146" i="67"/>
  <c r="A1147" i="67"/>
  <c r="B1146" i="67"/>
  <c r="C1145" i="67" l="1"/>
  <c r="D1146" i="67"/>
  <c r="E1146" i="67"/>
  <c r="B1147" i="67"/>
  <c r="F1147" i="67"/>
  <c r="A1148" i="67"/>
  <c r="C1146" i="67" l="1"/>
  <c r="F1148" i="67"/>
  <c r="A1149" i="67"/>
  <c r="B1148" i="67"/>
  <c r="D1147" i="67"/>
  <c r="E1147" i="67"/>
  <c r="C1147" i="67" l="1"/>
  <c r="D1148" i="67"/>
  <c r="E1148" i="67"/>
  <c r="F1149" i="67"/>
  <c r="A1150" i="67"/>
  <c r="B1149" i="67"/>
  <c r="C1148" i="67" l="1"/>
  <c r="D1149" i="67"/>
  <c r="E1149" i="67"/>
  <c r="F1150" i="67"/>
  <c r="A1151" i="67"/>
  <c r="B1150" i="67"/>
  <c r="C1149" i="67" l="1"/>
  <c r="D1150" i="67"/>
  <c r="E1150" i="67"/>
  <c r="B1151" i="67"/>
  <c r="A1152" i="67"/>
  <c r="F1151" i="67"/>
  <c r="C1150" i="67" l="1"/>
  <c r="F1152" i="67"/>
  <c r="B1152" i="67"/>
  <c r="A1153" i="67"/>
  <c r="D1151" i="67"/>
  <c r="E1151" i="67"/>
  <c r="C1151" i="67" l="1"/>
  <c r="F1153" i="67"/>
  <c r="A1154" i="67"/>
  <c r="B1153" i="67"/>
  <c r="D1152" i="67"/>
  <c r="E1152" i="67"/>
  <c r="C1152" i="67" l="1"/>
  <c r="D1153" i="67"/>
  <c r="E1153" i="67"/>
  <c r="F1154" i="67"/>
  <c r="A1155" i="67"/>
  <c r="B1154" i="67"/>
  <c r="C1153" i="67" l="1"/>
  <c r="D1154" i="67"/>
  <c r="E1154" i="67"/>
  <c r="F1155" i="67"/>
  <c r="B1155" i="67"/>
  <c r="A1156" i="67"/>
  <c r="C1154" i="67" l="1"/>
  <c r="F1156" i="67"/>
  <c r="B1156" i="67"/>
  <c r="A1157" i="67"/>
  <c r="D1155" i="67"/>
  <c r="E1155" i="67"/>
  <c r="C1155" i="67" l="1"/>
  <c r="F1157" i="67"/>
  <c r="B1157" i="67"/>
  <c r="A1158" i="67"/>
  <c r="D1156" i="67"/>
  <c r="E1156" i="67"/>
  <c r="C1156" i="67" l="1"/>
  <c r="F1158" i="67"/>
  <c r="B1158" i="67"/>
  <c r="A1159" i="67"/>
  <c r="D1157" i="67"/>
  <c r="E1157" i="67"/>
  <c r="C1157" i="67" l="1"/>
  <c r="F1159" i="67"/>
  <c r="B1159" i="67"/>
  <c r="A1160" i="67"/>
  <c r="D1158" i="67"/>
  <c r="E1158" i="67"/>
  <c r="C1158" i="67" l="1"/>
  <c r="F1160" i="67"/>
  <c r="A1161" i="67"/>
  <c r="B1160" i="67"/>
  <c r="D1159" i="67"/>
  <c r="E1159" i="67"/>
  <c r="C1159" i="67" l="1"/>
  <c r="D1160" i="67"/>
  <c r="E1160" i="67"/>
  <c r="F1161" i="67"/>
  <c r="B1161" i="67"/>
  <c r="A1162" i="67"/>
  <c r="C1160" i="67" l="1"/>
  <c r="F1162" i="67"/>
  <c r="A1163" i="67"/>
  <c r="B1162" i="67"/>
  <c r="D1161" i="67"/>
  <c r="E1161" i="67"/>
  <c r="C1161" i="67" l="1"/>
  <c r="D1162" i="67"/>
  <c r="E1162" i="67"/>
  <c r="F1163" i="67"/>
  <c r="A1164" i="67"/>
  <c r="B1163" i="67"/>
  <c r="C1162" i="67" l="1"/>
  <c r="D1163" i="67"/>
  <c r="E1163" i="67"/>
  <c r="B1164" i="67"/>
  <c r="F1164" i="67"/>
  <c r="A1165" i="67"/>
  <c r="C1163" i="67" l="1"/>
  <c r="D1164" i="67"/>
  <c r="E1164" i="67"/>
  <c r="F1165" i="67"/>
  <c r="A1166" i="67"/>
  <c r="B1165" i="67"/>
  <c r="C1164" i="67" l="1"/>
  <c r="D1165" i="67"/>
  <c r="E1165" i="67"/>
  <c r="A1167" i="67"/>
  <c r="F1166" i="67"/>
  <c r="B1166" i="67"/>
  <c r="C1165" i="67" l="1"/>
  <c r="D1166" i="67"/>
  <c r="E1166" i="67"/>
  <c r="A1168" i="67"/>
  <c r="F1167" i="67"/>
  <c r="B1167" i="67"/>
  <c r="C1166" i="67" l="1"/>
  <c r="D1167" i="67"/>
  <c r="E1167" i="67"/>
  <c r="B1168" i="67"/>
  <c r="F1168" i="67"/>
  <c r="A1169" i="67"/>
  <c r="C1167" i="67" l="1"/>
  <c r="B1169" i="67"/>
  <c r="F1169" i="67"/>
  <c r="A1170" i="67"/>
  <c r="D1168" i="67"/>
  <c r="E1168" i="67"/>
  <c r="C1168" i="67" l="1"/>
  <c r="F1170" i="67"/>
  <c r="B1170" i="67"/>
  <c r="A1171" i="67"/>
  <c r="D1169" i="67"/>
  <c r="E1169" i="67"/>
  <c r="C1169" i="67" l="1"/>
  <c r="F1171" i="67"/>
  <c r="A1172" i="67"/>
  <c r="B1171" i="67"/>
  <c r="D1170" i="67"/>
  <c r="E1170" i="67"/>
  <c r="C1170" i="67" l="1"/>
  <c r="D1171" i="67"/>
  <c r="E1171" i="67"/>
  <c r="F1172" i="67"/>
  <c r="A1173" i="67"/>
  <c r="B1172" i="67"/>
  <c r="C1171" i="67" l="1"/>
  <c r="D1172" i="67"/>
  <c r="E1172" i="67"/>
  <c r="F1173" i="67"/>
  <c r="B1173" i="67"/>
  <c r="A1174" i="67"/>
  <c r="C1172" i="67" l="1"/>
  <c r="B1174" i="67"/>
  <c r="F1174" i="67"/>
  <c r="A1175" i="67"/>
  <c r="D1173" i="67"/>
  <c r="E1173" i="67"/>
  <c r="C1173" i="67" l="1"/>
  <c r="F1175" i="67"/>
  <c r="A1176" i="67"/>
  <c r="B1175" i="67"/>
  <c r="D1174" i="67"/>
  <c r="E1174" i="67"/>
  <c r="C1174" i="67" l="1"/>
  <c r="D1175" i="67"/>
  <c r="E1175" i="67"/>
  <c r="F1176" i="67"/>
  <c r="A1177" i="67"/>
  <c r="B1176" i="67"/>
  <c r="C1175" i="67" l="1"/>
  <c r="D1176" i="67"/>
  <c r="E1176" i="67"/>
  <c r="A1178" i="67"/>
  <c r="F1177" i="67"/>
  <c r="B1177" i="67"/>
  <c r="C1176" i="67" l="1"/>
  <c r="F1178" i="67"/>
  <c r="B1178" i="67"/>
  <c r="A1179" i="67"/>
  <c r="D1177" i="67"/>
  <c r="E1177" i="67"/>
  <c r="C1177" i="67" l="1"/>
  <c r="B1179" i="67"/>
  <c r="F1179" i="67"/>
  <c r="A1180" i="67"/>
  <c r="D1178" i="67"/>
  <c r="E1178" i="67"/>
  <c r="C1178" i="67" l="1"/>
  <c r="F1180" i="67"/>
  <c r="A1181" i="67"/>
  <c r="B1180" i="67"/>
  <c r="D1179" i="67"/>
  <c r="E1179" i="67"/>
  <c r="C1179" i="67" l="1"/>
  <c r="D1180" i="67"/>
  <c r="E1180" i="67"/>
  <c r="B1181" i="67"/>
  <c r="A1182" i="67"/>
  <c r="F1181" i="67"/>
  <c r="C1180" i="67" l="1"/>
  <c r="B1182" i="67"/>
  <c r="F1182" i="67"/>
  <c r="A1183" i="67"/>
  <c r="D1181" i="67"/>
  <c r="E1181" i="67"/>
  <c r="C1181" i="67" l="1"/>
  <c r="A1184" i="67"/>
  <c r="F1183" i="67"/>
  <c r="B1183" i="67"/>
  <c r="D1182" i="67"/>
  <c r="E1182" i="67"/>
  <c r="C1182" i="67" l="1"/>
  <c r="D1183" i="67"/>
  <c r="E1183" i="67"/>
  <c r="A1185" i="67"/>
  <c r="F1184" i="67"/>
  <c r="B1184" i="67"/>
  <c r="C1183" i="67" l="1"/>
  <c r="D1184" i="67"/>
  <c r="E1184" i="67"/>
  <c r="A1186" i="67"/>
  <c r="F1185" i="67"/>
  <c r="B1185" i="67"/>
  <c r="C1184" i="67" l="1"/>
  <c r="D1185" i="67"/>
  <c r="E1185" i="67"/>
  <c r="F1186" i="67"/>
  <c r="B1186" i="67"/>
  <c r="A1187" i="67"/>
  <c r="C1185" i="67" l="1"/>
  <c r="F1187" i="67"/>
  <c r="B1187" i="67"/>
  <c r="A1188" i="67"/>
  <c r="D1186" i="67"/>
  <c r="E1186" i="67"/>
  <c r="C1186" i="67" l="1"/>
  <c r="B1188" i="67"/>
  <c r="F1188" i="67"/>
  <c r="A1189" i="67"/>
  <c r="D1187" i="67"/>
  <c r="E1187" i="67"/>
  <c r="C1187" i="67" l="1"/>
  <c r="B1189" i="67"/>
  <c r="F1189" i="67"/>
  <c r="A1190" i="67"/>
  <c r="D1188" i="67"/>
  <c r="E1188" i="67"/>
  <c r="C1188" i="67" l="1"/>
  <c r="F1190" i="67"/>
  <c r="B1190" i="67"/>
  <c r="A1191" i="67"/>
  <c r="D1189" i="67"/>
  <c r="E1189" i="67"/>
  <c r="C1189" i="67" l="1"/>
  <c r="A1192" i="67"/>
  <c r="F1191" i="67"/>
  <c r="B1191" i="67"/>
  <c r="D1190" i="67"/>
  <c r="E1190" i="67"/>
  <c r="C1190" i="67" l="1"/>
  <c r="D1191" i="67"/>
  <c r="E1191" i="67"/>
  <c r="F1192" i="67"/>
  <c r="B1192" i="67"/>
  <c r="A1193" i="67"/>
  <c r="C1191" i="67" l="1"/>
  <c r="A1194" i="67"/>
  <c r="B1193" i="67"/>
  <c r="F1193" i="67"/>
  <c r="D1192" i="67"/>
  <c r="E1192" i="67"/>
  <c r="C1192" i="67" l="1"/>
  <c r="D1193" i="67"/>
  <c r="E1193" i="67"/>
  <c r="A1195" i="67"/>
  <c r="B1194" i="67"/>
  <c r="F1194" i="67"/>
  <c r="C1193" i="67" l="1"/>
  <c r="D1194" i="67"/>
  <c r="E1194" i="67"/>
  <c r="F1195" i="67"/>
  <c r="A1196" i="67"/>
  <c r="B1195" i="67"/>
  <c r="C1194" i="67" l="1"/>
  <c r="D1195" i="67"/>
  <c r="E1195" i="67"/>
  <c r="F1196" i="67"/>
  <c r="A1197" i="67"/>
  <c r="B1196" i="67"/>
  <c r="C1195" i="67" l="1"/>
  <c r="D1196" i="67"/>
  <c r="E1196" i="67"/>
  <c r="F1197" i="67"/>
  <c r="A1198" i="67"/>
  <c r="B1197" i="67"/>
  <c r="C1196" i="67" l="1"/>
  <c r="D1197" i="67"/>
  <c r="E1197" i="67"/>
  <c r="F1198" i="67"/>
  <c r="B1198" i="67"/>
  <c r="A1199" i="67"/>
  <c r="C1197" i="67" l="1"/>
  <c r="F1199" i="67"/>
  <c r="A1200" i="67"/>
  <c r="B1199" i="67"/>
  <c r="D1198" i="67"/>
  <c r="E1198" i="67"/>
  <c r="C1198" i="67" l="1"/>
  <c r="D1199" i="67"/>
  <c r="E1199" i="67"/>
  <c r="F1200" i="67"/>
  <c r="A1201" i="67"/>
  <c r="B1200" i="67"/>
  <c r="C1199" i="67" l="1"/>
  <c r="D1200" i="67"/>
  <c r="E1200" i="67"/>
  <c r="F1201" i="67"/>
  <c r="A1202" i="67"/>
  <c r="B1201" i="67"/>
  <c r="C1200" i="67" l="1"/>
  <c r="D1201" i="67"/>
  <c r="E1201" i="67"/>
  <c r="A1203" i="67"/>
  <c r="F1202" i="67"/>
  <c r="B1202" i="67"/>
  <c r="C1201" i="67" l="1"/>
  <c r="D1202" i="67"/>
  <c r="E1202" i="67"/>
  <c r="B1203" i="67"/>
  <c r="F1203" i="67"/>
  <c r="A1204" i="67"/>
  <c r="C1202" i="67" l="1"/>
  <c r="B1204" i="67"/>
  <c r="A1205" i="67"/>
  <c r="F1204" i="67"/>
  <c r="D1203" i="67"/>
  <c r="E1203" i="67"/>
  <c r="C1203" i="67" l="1"/>
  <c r="F1205" i="67"/>
  <c r="A1206" i="67"/>
  <c r="B1205" i="67"/>
  <c r="D1204" i="67"/>
  <c r="E1204" i="67"/>
  <c r="C1204" i="67" l="1"/>
  <c r="D1205" i="67"/>
  <c r="E1205" i="67"/>
  <c r="F1206" i="67"/>
  <c r="A1207" i="67"/>
  <c r="B1206" i="67"/>
  <c r="C1205" i="67" l="1"/>
  <c r="F1207" i="67"/>
  <c r="A1208" i="67"/>
  <c r="B1207" i="67"/>
  <c r="D1206" i="67"/>
  <c r="E1206" i="67"/>
  <c r="C1206" i="67" l="1"/>
  <c r="D1207" i="67"/>
  <c r="E1207" i="67"/>
  <c r="F1208" i="67"/>
  <c r="A1209" i="67"/>
  <c r="B1208" i="67"/>
  <c r="C1207" i="67" l="1"/>
  <c r="D1208" i="67"/>
  <c r="E1208" i="67"/>
  <c r="A1210" i="67"/>
  <c r="F1209" i="67"/>
  <c r="B1209" i="67"/>
  <c r="C1208" i="67" l="1"/>
  <c r="D1209" i="67"/>
  <c r="E1209" i="67"/>
  <c r="A1211" i="67"/>
  <c r="F1210" i="67"/>
  <c r="B1210" i="67"/>
  <c r="C1209" i="67" l="1"/>
  <c r="D1210" i="67"/>
  <c r="E1210" i="67"/>
  <c r="F1211" i="67"/>
  <c r="B1211" i="67"/>
  <c r="A1212" i="67"/>
  <c r="C1210" i="67" l="1"/>
  <c r="B1212" i="67"/>
  <c r="F1212" i="67"/>
  <c r="A1213" i="67"/>
  <c r="D1211" i="67"/>
  <c r="E1211" i="67"/>
  <c r="C1211" i="67" l="1"/>
  <c r="A1214" i="67"/>
  <c r="F1213" i="67"/>
  <c r="B1213" i="67"/>
  <c r="D1212" i="67"/>
  <c r="E1212" i="67"/>
  <c r="C1212" i="67" l="1"/>
  <c r="D1213" i="67"/>
  <c r="E1213" i="67"/>
  <c r="B1214" i="67"/>
  <c r="F1214" i="67"/>
  <c r="A1215" i="67"/>
  <c r="C1213" i="67" l="1"/>
  <c r="F1215" i="67"/>
  <c r="A1216" i="67"/>
  <c r="B1215" i="67"/>
  <c r="D1214" i="67"/>
  <c r="E1214" i="67"/>
  <c r="C1214" i="67" l="1"/>
  <c r="D1215" i="67"/>
  <c r="E1215" i="67"/>
  <c r="A1217" i="67"/>
  <c r="F1216" i="67"/>
  <c r="B1216" i="67"/>
  <c r="C1215" i="67" l="1"/>
  <c r="F1217" i="67"/>
  <c r="A1218" i="67"/>
  <c r="B1217" i="67"/>
  <c r="D1216" i="67"/>
  <c r="E1216" i="67"/>
  <c r="C1216" i="67" l="1"/>
  <c r="D1217" i="67"/>
  <c r="E1217" i="67"/>
  <c r="A1219" i="67"/>
  <c r="F1218" i="67"/>
  <c r="B1218" i="67"/>
  <c r="C1217" i="67" l="1"/>
  <c r="D1218" i="67"/>
  <c r="E1218" i="67"/>
  <c r="F1219" i="67"/>
  <c r="A1220" i="67"/>
  <c r="B1219" i="67"/>
  <c r="C1218" i="67" l="1"/>
  <c r="D1219" i="67"/>
  <c r="E1219" i="67"/>
  <c r="B1220" i="67"/>
  <c r="F1220" i="67"/>
  <c r="A1221" i="67"/>
  <c r="C1219" i="67" l="1"/>
  <c r="F1221" i="67"/>
  <c r="A1222" i="67"/>
  <c r="B1221" i="67"/>
  <c r="D1220" i="67"/>
  <c r="E1220" i="67"/>
  <c r="C1220" i="67" l="1"/>
  <c r="F1222" i="67"/>
  <c r="B1222" i="67"/>
  <c r="A1223" i="67"/>
  <c r="D1221" i="67"/>
  <c r="E1221" i="67"/>
  <c r="C1221" i="67" l="1"/>
  <c r="F1223" i="67"/>
  <c r="B1223" i="67"/>
  <c r="A1224" i="67"/>
  <c r="D1222" i="67"/>
  <c r="E1222" i="67"/>
  <c r="C1222" i="67" l="1"/>
  <c r="F1224" i="67"/>
  <c r="A1225" i="67"/>
  <c r="B1224" i="67"/>
  <c r="D1223" i="67"/>
  <c r="E1223" i="67"/>
  <c r="C1223" i="67" l="1"/>
  <c r="D1224" i="67"/>
  <c r="E1224" i="67"/>
  <c r="F1225" i="67"/>
  <c r="A1226" i="67"/>
  <c r="B1225" i="67"/>
  <c r="C1224" i="67" l="1"/>
  <c r="D1225" i="67"/>
  <c r="E1225" i="67"/>
  <c r="B1226" i="67"/>
  <c r="F1226" i="67"/>
  <c r="A1227" i="67"/>
  <c r="C1225" i="67" l="1"/>
  <c r="B1227" i="67"/>
  <c r="F1227" i="67"/>
  <c r="A1228" i="67"/>
  <c r="D1226" i="67"/>
  <c r="E1226" i="67"/>
  <c r="C1226" i="67" l="1"/>
  <c r="B1228" i="67"/>
  <c r="F1228" i="67"/>
  <c r="A1229" i="67"/>
  <c r="D1227" i="67"/>
  <c r="E1227" i="67"/>
  <c r="C1227" i="67" l="1"/>
  <c r="F1229" i="67"/>
  <c r="B1229" i="67"/>
  <c r="A1230" i="67"/>
  <c r="D1228" i="67"/>
  <c r="E1228" i="67"/>
  <c r="C1228" i="67" l="1"/>
  <c r="A1231" i="67"/>
  <c r="F1230" i="67"/>
  <c r="B1230" i="67"/>
  <c r="D1229" i="67"/>
  <c r="E1229" i="67"/>
  <c r="C1229" i="67" l="1"/>
  <c r="D1230" i="67"/>
  <c r="E1230" i="67"/>
  <c r="F1231" i="67"/>
  <c r="A1232" i="67"/>
  <c r="B1231" i="67"/>
  <c r="C1230" i="67" l="1"/>
  <c r="D1231" i="67"/>
  <c r="E1231" i="67"/>
  <c r="F1232" i="67"/>
  <c r="B1232" i="67"/>
  <c r="A1233" i="67"/>
  <c r="C1231" i="67" l="1"/>
  <c r="D1232" i="67"/>
  <c r="E1232" i="67"/>
  <c r="F1233" i="67"/>
  <c r="B1233" i="67"/>
  <c r="A1234" i="67"/>
  <c r="C1232" i="67" l="1"/>
  <c r="F1234" i="67"/>
  <c r="A1235" i="67"/>
  <c r="B1234" i="67"/>
  <c r="D1233" i="67"/>
  <c r="E1233" i="67"/>
  <c r="C1233" i="67" l="1"/>
  <c r="D1234" i="67"/>
  <c r="E1234" i="67"/>
  <c r="B1235" i="67"/>
  <c r="A1236" i="67"/>
  <c r="F1235" i="67"/>
  <c r="C1234" i="67" l="1"/>
  <c r="A1237" i="67"/>
  <c r="F1236" i="67"/>
  <c r="B1236" i="67"/>
  <c r="D1235" i="67"/>
  <c r="E1235" i="67"/>
  <c r="C1235" i="67" l="1"/>
  <c r="D1236" i="67"/>
  <c r="E1236" i="67"/>
  <c r="F1237" i="67"/>
  <c r="B1237" i="67"/>
  <c r="A1238" i="67"/>
  <c r="C1236" i="67" l="1"/>
  <c r="A1239" i="67"/>
  <c r="B1238" i="67"/>
  <c r="F1238" i="67"/>
  <c r="D1237" i="67"/>
  <c r="E1237" i="67"/>
  <c r="C1237" i="67" l="1"/>
  <c r="D1238" i="67"/>
  <c r="E1238" i="67"/>
  <c r="A1240" i="67"/>
  <c r="F1239" i="67"/>
  <c r="B1239" i="67"/>
  <c r="C1238" i="67" l="1"/>
  <c r="D1239" i="67"/>
  <c r="E1239" i="67"/>
  <c r="A1241" i="67"/>
  <c r="B1240" i="67"/>
  <c r="F1240" i="67"/>
  <c r="C1239" i="67" l="1"/>
  <c r="D1240" i="67"/>
  <c r="E1240" i="67"/>
  <c r="A1242" i="67"/>
  <c r="F1241" i="67"/>
  <c r="B1241" i="67"/>
  <c r="C1240" i="67" l="1"/>
  <c r="A1243" i="67"/>
  <c r="F1242" i="67"/>
  <c r="B1242" i="67"/>
  <c r="D1241" i="67"/>
  <c r="E1241" i="67"/>
  <c r="C1241" i="67" l="1"/>
  <c r="D1242" i="67"/>
  <c r="E1242" i="67"/>
  <c r="B1243" i="67"/>
  <c r="F1243" i="67"/>
  <c r="A1244" i="67"/>
  <c r="C1242" i="67" l="1"/>
  <c r="F1244" i="67"/>
  <c r="A1245" i="67"/>
  <c r="B1244" i="67"/>
  <c r="D1243" i="67"/>
  <c r="E1243" i="67"/>
  <c r="C1243" i="67" l="1"/>
  <c r="D1244" i="67"/>
  <c r="E1244" i="67"/>
  <c r="A1246" i="67"/>
  <c r="F1245" i="67"/>
  <c r="B1245" i="67"/>
  <c r="C1244" i="67" l="1"/>
  <c r="D1245" i="67"/>
  <c r="E1245" i="67"/>
  <c r="F1246" i="67"/>
  <c r="A1247" i="67"/>
  <c r="B1246" i="67"/>
  <c r="C1245" i="67" l="1"/>
  <c r="F1247" i="67"/>
  <c r="A1248" i="67"/>
  <c r="B1247" i="67"/>
  <c r="D1246" i="67"/>
  <c r="E1246" i="67"/>
  <c r="C1246" i="67" l="1"/>
  <c r="D1247" i="67"/>
  <c r="E1247" i="67"/>
  <c r="F1248" i="67"/>
  <c r="B1248" i="67"/>
  <c r="A1249" i="67"/>
  <c r="C1247" i="67" l="1"/>
  <c r="A1250" i="67"/>
  <c r="F1249" i="67"/>
  <c r="B1249" i="67"/>
  <c r="D1248" i="67"/>
  <c r="E1248" i="67"/>
  <c r="C1248" i="67" l="1"/>
  <c r="D1249" i="67"/>
  <c r="E1249" i="67"/>
  <c r="F1250" i="67"/>
  <c r="A1251" i="67"/>
  <c r="B1250" i="67"/>
  <c r="C1249" i="67" l="1"/>
  <c r="D1250" i="67"/>
  <c r="E1250" i="67"/>
  <c r="A1252" i="67"/>
  <c r="B1251" i="67"/>
  <c r="F1251" i="67"/>
  <c r="C1250" i="67" l="1"/>
  <c r="D1251" i="67"/>
  <c r="E1251" i="67"/>
  <c r="F1252" i="67"/>
  <c r="A1253" i="67"/>
  <c r="B1252" i="67"/>
  <c r="C1251" i="67" l="1"/>
  <c r="D1252" i="67"/>
  <c r="E1252" i="67"/>
  <c r="F1253" i="67"/>
  <c r="B1253" i="67"/>
  <c r="A1254" i="67"/>
  <c r="C1252" i="67" l="1"/>
  <c r="F1254" i="67"/>
  <c r="A1255" i="67"/>
  <c r="B1254" i="67"/>
  <c r="D1253" i="67"/>
  <c r="E1253" i="67"/>
  <c r="C1253" i="67" l="1"/>
  <c r="D1254" i="67"/>
  <c r="E1254" i="67"/>
  <c r="B1255" i="67"/>
  <c r="F1255" i="67"/>
  <c r="A1256" i="67"/>
  <c r="C1254" i="67" l="1"/>
  <c r="F1256" i="67"/>
  <c r="A1257" i="67"/>
  <c r="B1256" i="67"/>
  <c r="D1255" i="67"/>
  <c r="E1255" i="67"/>
  <c r="C1255" i="67" l="1"/>
  <c r="D1256" i="67"/>
  <c r="E1256" i="67"/>
  <c r="F1257" i="67"/>
  <c r="B1257" i="67"/>
  <c r="A1258" i="67"/>
  <c r="C1256" i="67" l="1"/>
  <c r="A1259" i="67"/>
  <c r="B1258" i="67"/>
  <c r="F1258" i="67"/>
  <c r="D1257" i="67"/>
  <c r="E1257" i="67"/>
  <c r="C1257" i="67" l="1"/>
  <c r="D1258" i="67"/>
  <c r="E1258" i="67"/>
  <c r="A1260" i="67"/>
  <c r="F1259" i="67"/>
  <c r="B1259" i="67"/>
  <c r="C1258" i="67" l="1"/>
  <c r="D1259" i="67"/>
  <c r="E1259" i="67"/>
  <c r="A1261" i="67"/>
  <c r="F1260" i="67"/>
  <c r="B1260" i="67"/>
  <c r="C1259" i="67" l="1"/>
  <c r="D1260" i="67"/>
  <c r="E1260" i="67"/>
  <c r="F1261" i="67"/>
  <c r="A1262" i="67"/>
  <c r="B1261" i="67"/>
  <c r="C1260" i="67" l="1"/>
  <c r="D1261" i="67"/>
  <c r="E1261" i="67"/>
  <c r="A1263" i="67"/>
  <c r="F1262" i="67"/>
  <c r="B1262" i="67"/>
  <c r="C1261" i="67" l="1"/>
  <c r="D1262" i="67"/>
  <c r="E1262" i="67"/>
  <c r="A1264" i="67"/>
  <c r="F1263" i="67"/>
  <c r="B1263" i="67"/>
  <c r="C1262" i="67" l="1"/>
  <c r="D1263" i="67"/>
  <c r="E1263" i="67"/>
  <c r="F1264" i="67"/>
  <c r="B1264" i="67"/>
  <c r="A1265" i="67"/>
  <c r="C1263" i="67" l="1"/>
  <c r="B1265" i="67"/>
  <c r="F1265" i="67"/>
  <c r="A1266" i="67"/>
  <c r="D1264" i="67"/>
  <c r="E1264" i="67"/>
  <c r="C1264" i="67" l="1"/>
  <c r="A1267" i="67"/>
  <c r="F1266" i="67"/>
  <c r="B1266" i="67"/>
  <c r="D1265" i="67"/>
  <c r="E1265" i="67"/>
  <c r="C1265" i="67" l="1"/>
  <c r="D1266" i="67"/>
  <c r="E1266" i="67"/>
  <c r="F1267" i="67"/>
  <c r="A1268" i="67"/>
  <c r="B1267" i="67"/>
  <c r="C1266" i="67" l="1"/>
  <c r="D1267" i="67"/>
  <c r="E1267" i="67"/>
  <c r="F1268" i="67"/>
  <c r="A1269" i="67"/>
  <c r="B1268" i="67"/>
  <c r="C1267" i="67" l="1"/>
  <c r="D1268" i="67"/>
  <c r="E1268" i="67"/>
  <c r="F1269" i="67"/>
  <c r="A1270" i="67"/>
  <c r="B1269" i="67"/>
  <c r="C1268" i="67" l="1"/>
  <c r="D1269" i="67"/>
  <c r="E1269" i="67"/>
  <c r="A1271" i="67"/>
  <c r="F1270" i="67"/>
  <c r="B1270" i="67"/>
  <c r="C1269" i="67" l="1"/>
  <c r="D1270" i="67"/>
  <c r="E1270" i="67"/>
  <c r="B1271" i="67"/>
  <c r="F1271" i="67"/>
  <c r="A1272" i="67"/>
  <c r="C1270" i="67" l="1"/>
  <c r="A1273" i="67"/>
  <c r="B1272" i="67"/>
  <c r="F1272" i="67"/>
  <c r="D1271" i="67"/>
  <c r="E1271" i="67"/>
  <c r="C1271" i="67" l="1"/>
  <c r="D1272" i="67"/>
  <c r="E1272" i="67"/>
  <c r="A1274" i="67"/>
  <c r="F1273" i="67"/>
  <c r="B1273" i="67"/>
  <c r="C1272" i="67" l="1"/>
  <c r="D1273" i="67"/>
  <c r="E1273" i="67"/>
  <c r="B1274" i="67"/>
  <c r="F1274" i="67"/>
  <c r="A1275" i="67"/>
  <c r="C1273" i="67" l="1"/>
  <c r="D1274" i="67"/>
  <c r="E1274" i="67"/>
  <c r="F1275" i="67"/>
  <c r="A1276" i="67"/>
  <c r="B1275" i="67"/>
  <c r="C1274" i="67" l="1"/>
  <c r="F1276" i="67"/>
  <c r="A1277" i="67"/>
  <c r="B1276" i="67"/>
  <c r="D1275" i="67"/>
  <c r="E1275" i="67"/>
  <c r="C1275" i="67" l="1"/>
  <c r="D1276" i="67"/>
  <c r="E1276" i="67"/>
  <c r="A1278" i="67"/>
  <c r="F1277" i="67"/>
  <c r="B1277" i="67"/>
  <c r="C1276" i="67" l="1"/>
  <c r="D1277" i="67"/>
  <c r="E1277" i="67"/>
  <c r="F1278" i="67"/>
  <c r="A1279" i="67"/>
  <c r="B1278" i="67"/>
  <c r="C1277" i="67" l="1"/>
  <c r="D1278" i="67"/>
  <c r="E1278" i="67"/>
  <c r="F1279" i="67"/>
  <c r="A1280" i="67"/>
  <c r="B1279" i="67"/>
  <c r="C1278" i="67" l="1"/>
  <c r="D1279" i="67"/>
  <c r="E1279" i="67"/>
  <c r="F1280" i="67"/>
  <c r="A1281" i="67"/>
  <c r="B1280" i="67"/>
  <c r="C1279" i="67" l="1"/>
  <c r="D1280" i="67"/>
  <c r="E1280" i="67"/>
  <c r="B1281" i="67"/>
  <c r="F1281" i="67"/>
  <c r="A1282" i="67"/>
  <c r="C1280" i="67" l="1"/>
  <c r="A1283" i="67"/>
  <c r="F1282" i="67"/>
  <c r="B1282" i="67"/>
  <c r="D1281" i="67"/>
  <c r="E1281" i="67"/>
  <c r="C1281" i="67" l="1"/>
  <c r="D1282" i="67"/>
  <c r="E1282" i="67"/>
  <c r="A1284" i="67"/>
  <c r="F1283" i="67"/>
  <c r="B1283" i="67"/>
  <c r="C1282" i="67" l="1"/>
  <c r="D1283" i="67"/>
  <c r="E1283" i="67"/>
  <c r="F1284" i="67"/>
  <c r="A1285" i="67"/>
  <c r="B1284" i="67"/>
  <c r="C1283" i="67" l="1"/>
  <c r="D1284" i="67"/>
  <c r="E1284" i="67"/>
  <c r="A1286" i="67"/>
  <c r="F1285" i="67"/>
  <c r="B1285" i="67"/>
  <c r="C1284" i="67" l="1"/>
  <c r="D1285" i="67"/>
  <c r="E1285" i="67"/>
  <c r="F1286" i="67"/>
  <c r="A1287" i="67"/>
  <c r="B1286" i="67"/>
  <c r="C1285" i="67" l="1"/>
  <c r="D1286" i="67"/>
  <c r="E1286" i="67"/>
  <c r="F1287" i="67"/>
  <c r="B1287" i="67"/>
  <c r="A1288" i="67"/>
  <c r="C1286" i="67" l="1"/>
  <c r="F1288" i="67"/>
  <c r="A1289" i="67"/>
  <c r="B1288" i="67"/>
  <c r="D1287" i="67"/>
  <c r="E1287" i="67"/>
  <c r="C1287" i="67" l="1"/>
  <c r="D1288" i="67"/>
  <c r="E1288" i="67"/>
  <c r="F1289" i="67"/>
  <c r="A1290" i="67"/>
  <c r="B1289" i="67"/>
  <c r="C1288" i="67" l="1"/>
  <c r="D1289" i="67"/>
  <c r="E1289" i="67"/>
  <c r="F1290" i="67"/>
  <c r="A1291" i="67"/>
  <c r="B1290" i="67"/>
  <c r="C1289" i="67" l="1"/>
  <c r="D1290" i="67"/>
  <c r="E1290" i="67"/>
  <c r="F1291" i="67"/>
  <c r="A1292" i="67"/>
  <c r="B1291" i="67"/>
  <c r="C1290" i="67" l="1"/>
  <c r="F1292" i="67"/>
  <c r="A1293" i="67"/>
  <c r="B1292" i="67"/>
  <c r="D1291" i="67"/>
  <c r="E1291" i="67"/>
  <c r="C1291" i="67" l="1"/>
  <c r="D1292" i="67"/>
  <c r="E1292" i="67"/>
  <c r="F1293" i="67"/>
  <c r="A1294" i="67"/>
  <c r="B1293" i="67"/>
  <c r="C1292" i="67" l="1"/>
  <c r="D1293" i="67"/>
  <c r="E1293" i="67"/>
  <c r="B1294" i="67"/>
  <c r="F1294" i="67"/>
  <c r="A1295" i="67"/>
  <c r="C1293" i="67" l="1"/>
  <c r="F1295" i="67"/>
  <c r="B1295" i="67"/>
  <c r="A1296" i="67"/>
  <c r="D1294" i="67"/>
  <c r="E1294" i="67"/>
  <c r="C1294" i="67" l="1"/>
  <c r="F1296" i="67"/>
  <c r="A1297" i="67"/>
  <c r="B1296" i="67"/>
  <c r="D1295" i="67"/>
  <c r="E1295" i="67"/>
  <c r="C1295" i="67" l="1"/>
  <c r="D1296" i="67"/>
  <c r="E1296" i="67"/>
  <c r="F1297" i="67"/>
  <c r="B1297" i="67"/>
  <c r="A1298" i="67"/>
  <c r="C1296" i="67" l="1"/>
  <c r="D1297" i="67"/>
  <c r="E1297" i="67"/>
  <c r="F1298" i="67"/>
  <c r="B1298" i="67"/>
  <c r="A1299" i="67"/>
  <c r="C1297" i="67" l="1"/>
  <c r="A1300" i="67"/>
  <c r="F1299" i="67"/>
  <c r="B1299" i="67"/>
  <c r="D1298" i="67"/>
  <c r="E1298" i="67"/>
  <c r="C1298" i="67" l="1"/>
  <c r="D1299" i="67"/>
  <c r="E1299" i="67"/>
  <c r="B1300" i="67"/>
  <c r="F1300" i="67"/>
  <c r="A1301" i="67"/>
  <c r="C1299" i="67" l="1"/>
  <c r="B1301" i="67"/>
  <c r="F1301" i="67"/>
  <c r="A1302" i="67"/>
  <c r="D1300" i="67"/>
  <c r="E1300" i="67"/>
  <c r="C1300" i="67" l="1"/>
  <c r="A1303" i="67"/>
  <c r="B1302" i="67"/>
  <c r="F1302" i="67"/>
  <c r="D1301" i="67"/>
  <c r="E1301" i="67"/>
  <c r="C1301" i="67" l="1"/>
  <c r="D1302" i="67"/>
  <c r="E1302" i="67"/>
  <c r="A1304" i="67"/>
  <c r="F1303" i="67"/>
  <c r="B1303" i="67"/>
  <c r="C1302" i="67" l="1"/>
  <c r="D1303" i="67"/>
  <c r="E1303" i="67"/>
  <c r="F1304" i="67"/>
  <c r="A1305" i="67"/>
  <c r="B1304" i="67"/>
  <c r="C1303" i="67" l="1"/>
  <c r="D1304" i="67"/>
  <c r="E1304" i="67"/>
  <c r="F1305" i="67"/>
  <c r="B1305" i="67"/>
  <c r="A1306" i="67"/>
  <c r="C1304" i="67" l="1"/>
  <c r="A1307" i="67"/>
  <c r="F1306" i="67"/>
  <c r="B1306" i="67"/>
  <c r="D1305" i="67"/>
  <c r="E1305" i="67"/>
  <c r="C1305" i="67" l="1"/>
  <c r="D1306" i="67"/>
  <c r="E1306" i="67"/>
  <c r="B1307" i="67"/>
  <c r="F1307" i="67"/>
  <c r="A1308" i="67"/>
  <c r="C1306" i="67" l="1"/>
  <c r="F1308" i="67"/>
  <c r="B1308" i="67"/>
  <c r="A1309" i="67"/>
  <c r="D1307" i="67"/>
  <c r="E1307" i="67"/>
  <c r="C1307" i="67" l="1"/>
  <c r="F1309" i="67"/>
  <c r="B1309" i="67"/>
  <c r="A1310" i="67"/>
  <c r="D1308" i="67"/>
  <c r="E1308" i="67"/>
  <c r="C1308" i="67" l="1"/>
  <c r="F1310" i="67"/>
  <c r="A1311" i="67"/>
  <c r="B1310" i="67"/>
  <c r="D1309" i="67"/>
  <c r="E1309" i="67"/>
  <c r="C1309" i="67" l="1"/>
  <c r="D1310" i="67"/>
  <c r="E1310" i="67"/>
  <c r="F1311" i="67"/>
  <c r="A1312" i="67"/>
  <c r="B1311" i="67"/>
  <c r="C1310" i="67" l="1"/>
  <c r="D1311" i="67"/>
  <c r="E1311" i="67"/>
  <c r="A1313" i="67"/>
  <c r="F1312" i="67"/>
  <c r="B1312" i="67"/>
  <c r="C1311" i="67" l="1"/>
  <c r="D1312" i="67"/>
  <c r="E1312" i="67"/>
  <c r="B1313" i="67"/>
  <c r="F1313" i="67"/>
  <c r="A1314" i="67"/>
  <c r="C1312" i="67" l="1"/>
  <c r="A1315" i="67"/>
  <c r="B1314" i="67"/>
  <c r="F1314" i="67"/>
  <c r="D1313" i="67"/>
  <c r="E1313" i="67"/>
  <c r="C1313" i="67" l="1"/>
  <c r="D1314" i="67"/>
  <c r="E1314" i="67"/>
  <c r="F1315" i="67"/>
  <c r="A1316" i="67"/>
  <c r="B1315" i="67"/>
  <c r="C1314" i="67" l="1"/>
  <c r="D1315" i="67"/>
  <c r="E1315" i="67"/>
  <c r="F1316" i="67"/>
  <c r="A1317" i="67"/>
  <c r="B1316" i="67"/>
  <c r="C1315" i="67" l="1"/>
  <c r="D1316" i="67"/>
  <c r="E1316" i="67"/>
  <c r="A1318" i="67"/>
  <c r="F1317" i="67"/>
  <c r="B1317" i="67"/>
  <c r="C1316" i="67" l="1"/>
  <c r="B1318" i="67"/>
  <c r="F1318" i="67"/>
  <c r="A1319" i="67"/>
  <c r="D1317" i="67"/>
  <c r="E1317" i="67"/>
  <c r="C1317" i="67" l="1"/>
  <c r="B1319" i="67"/>
  <c r="F1319" i="67"/>
  <c r="A1320" i="67"/>
  <c r="D1318" i="67"/>
  <c r="E1318" i="67"/>
  <c r="C1318" i="67" l="1"/>
  <c r="F1320" i="67"/>
  <c r="B1320" i="67"/>
  <c r="A1321" i="67"/>
  <c r="D1319" i="67"/>
  <c r="E1319" i="67"/>
  <c r="C1319" i="67" l="1"/>
  <c r="F1321" i="67"/>
  <c r="A1322" i="67"/>
  <c r="B1321" i="67"/>
  <c r="D1320" i="67"/>
  <c r="E1320" i="67"/>
  <c r="C1320" i="67" l="1"/>
  <c r="D1321" i="67"/>
  <c r="E1321" i="67"/>
  <c r="F1322" i="67"/>
  <c r="A1323" i="67"/>
  <c r="B1322" i="67"/>
  <c r="C1321" i="67" l="1"/>
  <c r="D1322" i="67"/>
  <c r="E1322" i="67"/>
  <c r="B1323" i="67"/>
  <c r="F1323" i="67"/>
  <c r="A1324" i="67"/>
  <c r="C1322" i="67" l="1"/>
  <c r="D1323" i="67"/>
  <c r="E1323" i="67"/>
  <c r="A1325" i="67"/>
  <c r="F1324" i="67"/>
  <c r="B1324" i="67"/>
  <c r="C1323" i="67" l="1"/>
  <c r="D1324" i="67"/>
  <c r="E1324" i="67"/>
  <c r="A1326" i="67"/>
  <c r="F1325" i="67"/>
  <c r="B1325" i="67"/>
  <c r="C1324" i="67" l="1"/>
  <c r="D1325" i="67"/>
  <c r="E1325" i="67"/>
  <c r="F1326" i="67"/>
  <c r="A1327" i="67"/>
  <c r="B1326" i="67"/>
  <c r="C1325" i="67" l="1"/>
  <c r="A1328" i="67"/>
  <c r="F1327" i="67"/>
  <c r="B1327" i="67"/>
  <c r="D1326" i="67"/>
  <c r="E1326" i="67"/>
  <c r="C1326" i="67" l="1"/>
  <c r="D1327" i="67"/>
  <c r="E1327" i="67"/>
  <c r="B1328" i="67"/>
  <c r="F1328" i="67"/>
  <c r="A1329" i="67"/>
  <c r="C1327" i="67" l="1"/>
  <c r="F1329" i="67"/>
  <c r="B1329" i="67"/>
  <c r="A1330" i="67"/>
  <c r="D1328" i="67"/>
  <c r="E1328" i="67"/>
  <c r="C1328" i="67" l="1"/>
  <c r="F1330" i="67"/>
  <c r="A1331" i="67"/>
  <c r="B1330" i="67"/>
  <c r="D1329" i="67"/>
  <c r="E1329" i="67"/>
  <c r="C1329" i="67" l="1"/>
  <c r="B1331" i="67"/>
  <c r="F1331" i="67"/>
  <c r="A1332" i="67"/>
  <c r="D1330" i="67"/>
  <c r="E1330" i="67"/>
  <c r="C1330" i="67" l="1"/>
  <c r="F1332" i="67"/>
  <c r="A1333" i="67"/>
  <c r="B1332" i="67"/>
  <c r="D1331" i="67"/>
  <c r="E1331" i="67"/>
  <c r="C1331" i="67" l="1"/>
  <c r="B1333" i="67"/>
  <c r="F1333" i="67"/>
  <c r="A1334" i="67"/>
  <c r="D1332" i="67"/>
  <c r="E1332" i="67"/>
  <c r="C1332" i="67" l="1"/>
  <c r="F1334" i="67"/>
  <c r="A1335" i="67"/>
  <c r="B1334" i="67"/>
  <c r="D1333" i="67"/>
  <c r="E1333" i="67"/>
  <c r="C1333" i="67" l="1"/>
  <c r="D1334" i="67"/>
  <c r="E1334" i="67"/>
  <c r="F1335" i="67"/>
  <c r="B1335" i="67"/>
  <c r="A1336" i="67"/>
  <c r="C1334" i="67" l="1"/>
  <c r="F1336" i="67"/>
  <c r="B1336" i="67"/>
  <c r="A1337" i="67"/>
  <c r="D1335" i="67"/>
  <c r="E1335" i="67"/>
  <c r="C1335" i="67" l="1"/>
  <c r="F1337" i="67"/>
  <c r="B1337" i="67"/>
  <c r="A1338" i="67"/>
  <c r="D1336" i="67"/>
  <c r="E1336" i="67"/>
  <c r="C1336" i="67" l="1"/>
  <c r="F1338" i="67"/>
  <c r="B1338" i="67"/>
  <c r="A1339" i="67"/>
  <c r="D1337" i="67"/>
  <c r="E1337" i="67"/>
  <c r="C1337" i="67" l="1"/>
  <c r="F1339" i="67"/>
  <c r="A1340" i="67"/>
  <c r="B1339" i="67"/>
  <c r="D1338" i="67"/>
  <c r="E1338" i="67"/>
  <c r="C1338" i="67" l="1"/>
  <c r="D1339" i="67"/>
  <c r="E1339" i="67"/>
  <c r="F1340" i="67"/>
  <c r="A1341" i="67"/>
  <c r="B1340" i="67"/>
  <c r="C1339" i="67" l="1"/>
  <c r="D1340" i="67"/>
  <c r="E1340" i="67"/>
  <c r="F1341" i="67"/>
  <c r="B1341" i="67"/>
  <c r="A1342" i="67"/>
  <c r="C1340" i="67" l="1"/>
  <c r="A1343" i="67"/>
  <c r="F1342" i="67"/>
  <c r="B1342" i="67"/>
  <c r="D1341" i="67"/>
  <c r="E1341" i="67"/>
  <c r="C1341" i="67" l="1"/>
  <c r="F1343" i="67"/>
  <c r="B1343" i="67"/>
  <c r="A1344" i="67"/>
  <c r="D1342" i="67"/>
  <c r="E1342" i="67"/>
  <c r="C1342" i="67" l="1"/>
  <c r="A1345" i="67"/>
  <c r="F1344" i="67"/>
  <c r="B1344" i="67"/>
  <c r="D1343" i="67"/>
  <c r="E1343" i="67"/>
  <c r="C1343" i="67" l="1"/>
  <c r="D1344" i="67"/>
  <c r="E1344" i="67"/>
  <c r="F1345" i="67"/>
  <c r="A1346" i="67"/>
  <c r="B1345" i="67"/>
  <c r="C1344" i="67" l="1"/>
  <c r="D1345" i="67"/>
  <c r="E1345" i="67"/>
  <c r="B1346" i="67"/>
  <c r="F1346" i="67"/>
  <c r="A1347" i="67"/>
  <c r="C1345" i="67" l="1"/>
  <c r="B1347" i="67"/>
  <c r="F1347" i="67"/>
  <c r="A1348" i="67"/>
  <c r="D1346" i="67"/>
  <c r="E1346" i="67"/>
  <c r="C1346" i="67" l="1"/>
  <c r="B1348" i="67"/>
  <c r="F1348" i="67"/>
  <c r="A1349" i="67"/>
  <c r="D1347" i="67"/>
  <c r="E1347" i="67"/>
  <c r="C1347" i="67" l="1"/>
  <c r="B1349" i="67"/>
  <c r="F1349" i="67"/>
  <c r="A1350" i="67"/>
  <c r="D1348" i="67"/>
  <c r="E1348" i="67"/>
  <c r="C1348" i="67" l="1"/>
  <c r="B1350" i="67"/>
  <c r="F1350" i="67"/>
  <c r="A1351" i="67"/>
  <c r="D1349" i="67"/>
  <c r="E1349" i="67"/>
  <c r="C1349" i="67" l="1"/>
  <c r="F1351" i="67"/>
  <c r="A1352" i="67"/>
  <c r="B1351" i="67"/>
  <c r="D1350" i="67"/>
  <c r="E1350" i="67"/>
  <c r="C1350" i="67" l="1"/>
  <c r="D1351" i="67"/>
  <c r="E1351" i="67"/>
  <c r="B1352" i="67"/>
  <c r="F1352" i="67"/>
  <c r="A1353" i="67"/>
  <c r="C1351" i="67" l="1"/>
  <c r="F1353" i="67"/>
  <c r="A1354" i="67"/>
  <c r="B1353" i="67"/>
  <c r="D1352" i="67"/>
  <c r="E1352" i="67"/>
  <c r="C1352" i="67" l="1"/>
  <c r="D1353" i="67"/>
  <c r="E1353" i="67"/>
  <c r="C1353" i="67" s="1"/>
  <c r="F1354" i="67"/>
  <c r="B1354" i="67"/>
  <c r="A1355" i="67"/>
  <c r="F1355" i="67" l="1"/>
  <c r="A1356" i="67"/>
  <c r="B1355" i="67"/>
  <c r="D1354" i="67"/>
  <c r="E1354" i="67"/>
  <c r="C1354" i="67" l="1"/>
  <c r="F1356" i="67"/>
  <c r="B1356" i="67"/>
  <c r="A1357" i="67"/>
  <c r="D1355" i="67"/>
  <c r="E1355" i="67"/>
  <c r="C1355" i="67" l="1"/>
  <c r="F1357" i="67"/>
  <c r="B1357" i="67"/>
  <c r="A1358" i="67"/>
  <c r="D1356" i="67"/>
  <c r="E1356" i="67"/>
  <c r="C1356" i="67" l="1"/>
  <c r="F1358" i="67"/>
  <c r="B1358" i="67"/>
  <c r="A1359" i="67"/>
  <c r="D1357" i="67"/>
  <c r="E1357" i="67"/>
  <c r="C1357" i="67" l="1"/>
  <c r="F1359" i="67"/>
  <c r="A1360" i="67"/>
  <c r="B1359" i="67"/>
  <c r="D1358" i="67"/>
  <c r="E1358" i="67"/>
  <c r="C1358" i="67" l="1"/>
  <c r="D1359" i="67"/>
  <c r="E1359" i="67"/>
  <c r="B1360" i="67"/>
  <c r="A1361" i="67"/>
  <c r="F1360" i="67"/>
  <c r="C1359" i="67" l="1"/>
  <c r="D1360" i="67"/>
  <c r="E1360" i="67"/>
  <c r="F1361" i="67"/>
  <c r="B1361" i="67"/>
  <c r="A1362" i="67"/>
  <c r="C1360" i="67" l="1"/>
  <c r="D1361" i="67"/>
  <c r="E1361" i="67"/>
  <c r="A1363" i="67"/>
  <c r="F1362" i="67"/>
  <c r="B1362" i="67"/>
  <c r="C1361" i="67" l="1"/>
  <c r="D1362" i="67"/>
  <c r="E1362" i="67"/>
  <c r="F1363" i="67"/>
  <c r="A1364" i="67"/>
  <c r="B1363" i="67"/>
  <c r="C1362" i="67" l="1"/>
  <c r="D1363" i="67"/>
  <c r="E1363" i="67"/>
  <c r="F1364" i="67"/>
  <c r="A1365" i="67"/>
  <c r="B1364" i="67"/>
  <c r="C1363" i="67" l="1"/>
  <c r="B1365" i="67"/>
  <c r="F1365" i="67"/>
  <c r="A1366" i="67"/>
  <c r="D1364" i="67"/>
  <c r="E1364" i="67"/>
  <c r="C1364" i="67" l="1"/>
  <c r="F1366" i="67"/>
  <c r="A1367" i="67"/>
  <c r="B1366" i="67"/>
  <c r="D1365" i="67"/>
  <c r="E1365" i="67"/>
  <c r="C1365" i="67" l="1"/>
  <c r="D1366" i="67"/>
  <c r="E1366" i="67"/>
  <c r="B1367" i="67"/>
  <c r="F1367" i="67"/>
  <c r="A1368" i="67"/>
  <c r="C1366" i="67" l="1"/>
  <c r="F1368" i="67"/>
  <c r="A1369" i="67"/>
  <c r="B1368" i="67"/>
  <c r="D1367" i="67"/>
  <c r="E1367" i="67"/>
  <c r="C1367" i="67" l="1"/>
  <c r="D1368" i="67"/>
  <c r="E1368" i="67"/>
  <c r="F1369" i="67"/>
  <c r="B1369" i="67"/>
  <c r="A1370" i="67"/>
  <c r="C1368" i="67" l="1"/>
  <c r="B1370" i="67"/>
  <c r="F1370" i="67"/>
  <c r="A1371" i="67"/>
  <c r="D1369" i="67"/>
  <c r="E1369" i="67"/>
  <c r="C1369" i="67" l="1"/>
  <c r="F1371" i="67"/>
  <c r="A1372" i="67"/>
  <c r="B1371" i="67"/>
  <c r="D1370" i="67"/>
  <c r="E1370" i="67"/>
  <c r="C1370" i="67" l="1"/>
  <c r="D1371" i="67"/>
  <c r="E1371" i="67"/>
  <c r="A1373" i="67"/>
  <c r="B1372" i="67"/>
  <c r="F1372" i="67"/>
  <c r="C1371" i="67" l="1"/>
  <c r="D1372" i="67"/>
  <c r="E1372" i="67"/>
  <c r="A1374" i="67"/>
  <c r="F1373" i="67"/>
  <c r="B1373" i="67"/>
  <c r="C1372" i="67" l="1"/>
  <c r="D1373" i="67"/>
  <c r="E1373" i="67"/>
  <c r="F1374" i="67"/>
  <c r="B1374" i="67"/>
  <c r="A1375" i="67"/>
  <c r="C1373" i="67" l="1"/>
  <c r="D1374" i="67"/>
  <c r="E1374" i="67"/>
  <c r="F1375" i="67"/>
  <c r="A1376" i="67"/>
  <c r="B1375" i="67"/>
  <c r="C1374" i="67" l="1"/>
  <c r="D1375" i="67"/>
  <c r="E1375" i="67"/>
  <c r="F1376" i="67"/>
  <c r="A1377" i="67"/>
  <c r="B1376" i="67"/>
  <c r="C1375" i="67" l="1"/>
  <c r="D1376" i="67"/>
  <c r="E1376" i="67"/>
  <c r="F1377" i="67"/>
  <c r="A1378" i="67"/>
  <c r="B1377" i="67"/>
  <c r="C1376" i="67" l="1"/>
  <c r="D1377" i="67"/>
  <c r="E1377" i="67"/>
  <c r="F1378" i="67"/>
  <c r="A1379" i="67"/>
  <c r="B1378" i="67"/>
  <c r="C1377" i="67" l="1"/>
  <c r="D1378" i="67"/>
  <c r="E1378" i="67"/>
  <c r="F1379" i="67"/>
  <c r="B1379" i="67"/>
  <c r="A1380" i="67"/>
  <c r="C1378" i="67" l="1"/>
  <c r="F1380" i="67"/>
  <c r="A1381" i="67"/>
  <c r="B1380" i="67"/>
  <c r="D1379" i="67"/>
  <c r="E1379" i="67"/>
  <c r="C1379" i="67" l="1"/>
  <c r="D1380" i="67"/>
  <c r="E1380" i="67"/>
  <c r="B1381" i="67"/>
  <c r="F1381" i="67"/>
  <c r="A1382" i="67"/>
  <c r="C1380" i="67" l="1"/>
  <c r="A1383" i="67"/>
  <c r="B1382" i="67"/>
  <c r="F1382" i="67"/>
  <c r="D1381" i="67"/>
  <c r="E1381" i="67"/>
  <c r="C1381" i="67" l="1"/>
  <c r="D1382" i="67"/>
  <c r="E1382" i="67"/>
  <c r="F1383" i="67"/>
  <c r="B1383" i="67"/>
  <c r="A1384" i="67"/>
  <c r="C1382" i="67" l="1"/>
  <c r="F1384" i="67"/>
  <c r="A1385" i="67"/>
  <c r="B1384" i="67"/>
  <c r="D1383" i="67"/>
  <c r="E1383" i="67"/>
  <c r="C1383" i="67" l="1"/>
  <c r="D1384" i="67"/>
  <c r="E1384" i="67"/>
  <c r="F1385" i="67"/>
  <c r="A1386" i="67"/>
  <c r="B1385" i="67"/>
  <c r="C1384" i="67" l="1"/>
  <c r="D1385" i="67"/>
  <c r="E1385" i="67"/>
  <c r="F1386" i="67"/>
  <c r="A1387" i="67"/>
  <c r="B1386" i="67"/>
  <c r="C1385" i="67" l="1"/>
  <c r="D1386" i="67"/>
  <c r="E1386" i="67"/>
  <c r="F1387" i="67"/>
  <c r="A1388" i="67"/>
  <c r="B1387" i="67"/>
  <c r="C1386" i="67" l="1"/>
  <c r="D1387" i="67"/>
  <c r="E1387" i="67"/>
  <c r="F1388" i="67"/>
  <c r="B1388" i="67"/>
  <c r="A1389" i="67"/>
  <c r="C1387" i="67" l="1"/>
  <c r="F1389" i="67"/>
  <c r="B1389" i="67"/>
  <c r="A1390" i="67"/>
  <c r="D1388" i="67"/>
  <c r="E1388" i="67"/>
  <c r="C1388" i="67" l="1"/>
  <c r="F1390" i="67"/>
  <c r="B1390" i="67"/>
  <c r="A1391" i="67"/>
  <c r="D1389" i="67"/>
  <c r="E1389" i="67"/>
  <c r="C1389" i="67" l="1"/>
  <c r="B1391" i="67"/>
  <c r="A1392" i="67"/>
  <c r="F1391" i="67"/>
  <c r="D1390" i="67"/>
  <c r="E1390" i="67"/>
  <c r="C1390" i="67" l="1"/>
  <c r="B1392" i="67"/>
  <c r="A1393" i="67"/>
  <c r="F1392" i="67"/>
  <c r="D1391" i="67"/>
  <c r="E1391" i="67"/>
  <c r="C1391" i="67" l="1"/>
  <c r="F1393" i="67"/>
  <c r="B1393" i="67"/>
  <c r="A1394" i="67"/>
  <c r="D1392" i="67"/>
  <c r="E1392" i="67"/>
  <c r="C1392" i="67" l="1"/>
  <c r="F1394" i="67"/>
  <c r="A1395" i="67"/>
  <c r="B1394" i="67"/>
  <c r="D1393" i="67"/>
  <c r="E1393" i="67"/>
  <c r="C1393" i="67" l="1"/>
  <c r="D1394" i="67"/>
  <c r="E1394" i="67"/>
  <c r="C1394" i="67" s="1"/>
  <c r="B1395" i="67"/>
  <c r="A1396" i="67"/>
  <c r="F1395" i="67"/>
  <c r="D1395" i="67" l="1"/>
  <c r="E1395" i="67"/>
  <c r="A1397" i="67"/>
  <c r="F1396" i="67"/>
  <c r="B1396" i="67"/>
  <c r="C1395" i="67" l="1"/>
  <c r="D1396" i="67"/>
  <c r="E1396" i="67"/>
  <c r="B1397" i="67"/>
  <c r="F1397" i="67"/>
  <c r="A1398" i="67"/>
  <c r="C1396" i="67" l="1"/>
  <c r="D1397" i="67"/>
  <c r="E1397" i="67"/>
  <c r="A1399" i="67"/>
  <c r="F1398" i="67"/>
  <c r="B1398" i="67"/>
  <c r="C1397" i="67" l="1"/>
  <c r="D1398" i="67"/>
  <c r="E1398" i="67"/>
  <c r="F1399" i="67"/>
  <c r="A1400" i="67"/>
  <c r="B1399" i="67"/>
  <c r="C1398" i="67" l="1"/>
  <c r="D1399" i="67"/>
  <c r="E1399" i="67"/>
  <c r="F1400" i="67"/>
  <c r="B1400" i="67"/>
  <c r="A1401" i="67"/>
  <c r="C1399" i="67" l="1"/>
  <c r="A1402" i="67"/>
  <c r="F1401" i="67"/>
  <c r="B1401" i="67"/>
  <c r="D1400" i="67"/>
  <c r="E1400" i="67"/>
  <c r="C1400" i="67" l="1"/>
  <c r="D1401" i="67"/>
  <c r="E1401" i="67"/>
  <c r="B1402" i="67"/>
  <c r="F1402" i="67"/>
  <c r="A1403" i="67"/>
  <c r="C1401" i="67" l="1"/>
  <c r="B1403" i="67"/>
  <c r="F1403" i="67"/>
  <c r="A1404" i="67"/>
  <c r="D1402" i="67"/>
  <c r="E1402" i="67"/>
  <c r="C1402" i="67" l="1"/>
  <c r="B1404" i="67"/>
  <c r="F1404" i="67"/>
  <c r="A1405" i="67"/>
  <c r="D1403" i="67"/>
  <c r="E1403" i="67"/>
  <c r="C1403" i="67" l="1"/>
  <c r="B1405" i="67"/>
  <c r="F1405" i="67"/>
  <c r="A1406" i="67"/>
  <c r="D1404" i="67"/>
  <c r="E1404" i="67"/>
  <c r="C1404" i="67" l="1"/>
  <c r="F1406" i="67"/>
  <c r="A1407" i="67"/>
  <c r="B1406" i="67"/>
  <c r="D1405" i="67"/>
  <c r="E1405" i="67"/>
  <c r="C1405" i="67" l="1"/>
  <c r="F1407" i="67"/>
  <c r="B1407" i="67"/>
  <c r="A1408" i="67"/>
  <c r="D1406" i="67"/>
  <c r="E1406" i="67"/>
  <c r="C1406" i="67" l="1"/>
  <c r="A1409" i="67"/>
  <c r="F1408" i="67"/>
  <c r="B1408" i="67"/>
  <c r="D1407" i="67"/>
  <c r="E1407" i="67"/>
  <c r="C1407" i="67" l="1"/>
  <c r="D1408" i="67"/>
  <c r="E1408" i="67"/>
  <c r="B1409" i="67"/>
  <c r="F1409" i="67"/>
  <c r="A1410" i="67"/>
  <c r="C1408" i="67" l="1"/>
  <c r="F1410" i="67"/>
  <c r="B1410" i="67"/>
  <c r="A1411" i="67"/>
  <c r="D1409" i="67"/>
  <c r="E1409" i="67"/>
  <c r="C1409" i="67" l="1"/>
  <c r="A1412" i="67"/>
  <c r="F1411" i="67"/>
  <c r="B1411" i="67"/>
  <c r="D1410" i="67"/>
  <c r="E1410" i="67"/>
  <c r="C1410" i="67" l="1"/>
  <c r="D1411" i="67"/>
  <c r="E1411" i="67"/>
  <c r="A1413" i="67"/>
  <c r="F1412" i="67"/>
  <c r="B1412" i="67"/>
  <c r="C1411" i="67" l="1"/>
  <c r="D1412" i="67"/>
  <c r="E1412" i="67"/>
  <c r="F1413" i="67"/>
  <c r="B1413" i="67"/>
  <c r="A1414" i="67"/>
  <c r="C1412" i="67" l="1"/>
  <c r="A1415" i="67"/>
  <c r="F1414" i="67"/>
  <c r="B1414" i="67"/>
  <c r="D1413" i="67"/>
  <c r="E1413" i="67"/>
  <c r="C1413" i="67" l="1"/>
  <c r="D1414" i="67"/>
  <c r="E1414" i="67"/>
  <c r="F1415" i="67"/>
  <c r="A1416" i="67"/>
  <c r="B1415" i="67"/>
  <c r="C1414" i="67" l="1"/>
  <c r="D1415" i="67"/>
  <c r="E1415" i="67"/>
  <c r="F1416" i="67"/>
  <c r="B1416" i="67"/>
  <c r="A1417" i="67"/>
  <c r="C1415" i="67" l="1"/>
  <c r="F1417" i="67"/>
  <c r="B1417" i="67"/>
  <c r="A1418" i="67"/>
  <c r="D1416" i="67"/>
  <c r="E1416" i="67"/>
  <c r="C1416" i="67" l="1"/>
  <c r="F1418" i="67"/>
  <c r="B1418" i="67"/>
  <c r="A1419" i="67"/>
  <c r="D1417" i="67"/>
  <c r="E1417" i="67"/>
  <c r="C1417" i="67" l="1"/>
  <c r="F1419" i="67"/>
  <c r="A1420" i="67"/>
  <c r="B1419" i="67"/>
  <c r="D1418" i="67"/>
  <c r="E1418" i="67"/>
  <c r="C1418" i="67" l="1"/>
  <c r="D1419" i="67"/>
  <c r="E1419" i="67"/>
  <c r="F1420" i="67"/>
  <c r="B1420" i="67"/>
  <c r="A1421" i="67"/>
  <c r="C1419" i="67" l="1"/>
  <c r="D1420" i="67"/>
  <c r="E1420" i="67"/>
  <c r="F1421" i="67"/>
  <c r="A1422" i="67"/>
  <c r="B1421" i="67"/>
  <c r="C1420" i="67" l="1"/>
  <c r="D1421" i="67"/>
  <c r="E1421" i="67"/>
  <c r="F1422" i="67"/>
  <c r="A1423" i="67"/>
  <c r="B1422" i="67"/>
  <c r="C1421" i="67" l="1"/>
  <c r="F1423" i="67"/>
  <c r="B1423" i="67"/>
  <c r="A1424" i="67"/>
  <c r="D1422" i="67"/>
  <c r="E1422" i="67"/>
  <c r="C1422" i="67" l="1"/>
  <c r="A1425" i="67"/>
  <c r="F1424" i="67"/>
  <c r="B1424" i="67"/>
  <c r="D1423" i="67"/>
  <c r="E1423" i="67"/>
  <c r="C1423" i="67" l="1"/>
  <c r="D1424" i="67"/>
  <c r="E1424" i="67"/>
  <c r="B1425" i="67"/>
  <c r="F1425" i="67"/>
  <c r="A1426" i="67"/>
  <c r="C1424" i="67" l="1"/>
  <c r="A1427" i="67"/>
  <c r="B1426" i="67"/>
  <c r="F1426" i="67"/>
  <c r="D1425" i="67"/>
  <c r="E1425" i="67"/>
  <c r="C1425" i="67" l="1"/>
  <c r="D1426" i="67"/>
  <c r="E1426" i="67"/>
  <c r="A1428" i="67"/>
  <c r="F1427" i="67"/>
  <c r="B1427" i="67"/>
  <c r="C1426" i="67" l="1"/>
  <c r="B1428" i="67"/>
  <c r="F1428" i="67"/>
  <c r="A1429" i="67"/>
  <c r="D1427" i="67"/>
  <c r="E1427" i="67"/>
  <c r="C1427" i="67" l="1"/>
  <c r="A1430" i="67"/>
  <c r="B1429" i="67"/>
  <c r="F1429" i="67"/>
  <c r="D1428" i="67"/>
  <c r="E1428" i="67"/>
  <c r="C1428" i="67" l="1"/>
  <c r="D1429" i="67"/>
  <c r="E1429" i="67"/>
  <c r="B1430" i="67"/>
  <c r="F1430" i="67"/>
  <c r="A1431" i="67"/>
  <c r="C1429" i="67" l="1"/>
  <c r="A1432" i="67"/>
  <c r="F1431" i="67"/>
  <c r="B1431" i="67"/>
  <c r="D1430" i="67"/>
  <c r="E1430" i="67"/>
  <c r="C1430" i="67" l="1"/>
  <c r="D1431" i="67"/>
  <c r="E1431" i="67"/>
  <c r="F1432" i="67"/>
  <c r="A1433" i="67"/>
  <c r="B1432" i="67"/>
  <c r="C1431" i="67" l="1"/>
  <c r="D1432" i="67"/>
  <c r="E1432" i="67"/>
  <c r="F1433" i="67"/>
  <c r="A1434" i="67"/>
  <c r="B1433" i="67"/>
  <c r="C1432" i="67" l="1"/>
  <c r="D1433" i="67"/>
  <c r="E1433" i="67"/>
  <c r="F1434" i="67"/>
  <c r="A1435" i="67"/>
  <c r="B1434" i="67"/>
  <c r="C1433" i="67" l="1"/>
  <c r="D1434" i="67"/>
  <c r="E1434" i="67"/>
  <c r="F1435" i="67"/>
  <c r="A1436" i="67"/>
  <c r="B1435" i="67"/>
  <c r="C1434" i="67" l="1"/>
  <c r="F1436" i="67"/>
  <c r="A1437" i="67"/>
  <c r="B1436" i="67"/>
  <c r="D1435" i="67"/>
  <c r="E1435" i="67"/>
  <c r="C1435" i="67" l="1"/>
  <c r="D1436" i="67"/>
  <c r="E1436" i="67"/>
  <c r="B1437" i="67"/>
  <c r="F1437" i="67"/>
  <c r="A1438" i="67"/>
  <c r="C1436" i="67" l="1"/>
  <c r="F1438" i="67"/>
  <c r="B1438" i="67"/>
  <c r="A1439" i="67"/>
  <c r="D1437" i="67"/>
  <c r="E1437" i="67"/>
  <c r="C1437" i="67" l="1"/>
  <c r="B1439" i="67"/>
  <c r="F1439" i="67"/>
  <c r="A1440" i="67"/>
  <c r="D1438" i="67"/>
  <c r="E1438" i="67"/>
  <c r="C1438" i="67" l="1"/>
  <c r="A1441" i="67"/>
  <c r="F1440" i="67"/>
  <c r="B1440" i="67"/>
  <c r="D1439" i="67"/>
  <c r="E1439" i="67"/>
  <c r="C1439" i="67" l="1"/>
  <c r="D1440" i="67"/>
  <c r="E1440" i="67"/>
  <c r="F1441" i="67"/>
  <c r="A1442" i="67"/>
  <c r="B1441" i="67"/>
  <c r="C1440" i="67" l="1"/>
  <c r="D1441" i="67"/>
  <c r="E1441" i="67"/>
  <c r="A1443" i="67"/>
  <c r="F1442" i="67"/>
  <c r="B1442" i="67"/>
  <c r="C1441" i="67" l="1"/>
  <c r="D1442" i="67"/>
  <c r="E1442" i="67"/>
  <c r="F1443" i="67"/>
  <c r="A1444" i="67"/>
  <c r="B1443" i="67"/>
  <c r="C1442" i="67" l="1"/>
  <c r="A1445" i="67"/>
  <c r="F1444" i="67"/>
  <c r="B1444" i="67"/>
  <c r="D1443" i="67"/>
  <c r="E1443" i="67"/>
  <c r="C1443" i="67" l="1"/>
  <c r="D1444" i="67"/>
  <c r="E1444" i="67"/>
  <c r="F1445" i="67"/>
  <c r="B1445" i="67"/>
  <c r="A1446" i="67"/>
  <c r="C1444" i="67" l="1"/>
  <c r="B1446" i="67"/>
  <c r="F1446" i="67"/>
  <c r="A1447" i="67"/>
  <c r="D1445" i="67"/>
  <c r="E1445" i="67"/>
  <c r="C1445" i="67" l="1"/>
  <c r="B1447" i="67"/>
  <c r="F1447" i="67"/>
  <c r="A1448" i="67"/>
  <c r="D1446" i="67"/>
  <c r="E1446" i="67"/>
  <c r="C1446" i="67" l="1"/>
  <c r="F1448" i="67"/>
  <c r="B1448" i="67"/>
  <c r="A1449" i="67"/>
  <c r="D1447" i="67"/>
  <c r="E1447" i="67"/>
  <c r="C1447" i="67" l="1"/>
  <c r="F1449" i="67"/>
  <c r="A1450" i="67"/>
  <c r="B1449" i="67"/>
  <c r="D1448" i="67"/>
  <c r="E1448" i="67"/>
  <c r="C1448" i="67" l="1"/>
  <c r="D1449" i="67"/>
  <c r="E1449" i="67"/>
  <c r="F1450" i="67"/>
  <c r="B1450" i="67"/>
  <c r="A1451" i="67"/>
  <c r="C1449" i="67" l="1"/>
  <c r="B1451" i="67"/>
  <c r="F1451" i="67"/>
  <c r="A1452" i="67"/>
  <c r="D1450" i="67"/>
  <c r="E1450" i="67"/>
  <c r="C1450" i="67" l="1"/>
  <c r="F1452" i="67"/>
  <c r="A1453" i="67"/>
  <c r="B1452" i="67"/>
  <c r="D1451" i="67"/>
  <c r="E1451" i="67"/>
  <c r="C1451" i="67" l="1"/>
  <c r="A1454" i="67"/>
  <c r="F1453" i="67"/>
  <c r="B1453" i="67"/>
  <c r="D1452" i="67"/>
  <c r="E1452" i="67"/>
  <c r="C1452" i="67" l="1"/>
  <c r="D1453" i="67"/>
  <c r="E1453" i="67"/>
  <c r="F1454" i="67"/>
  <c r="B1454" i="67"/>
  <c r="A1455" i="67"/>
  <c r="C1453" i="67" l="1"/>
  <c r="F1455" i="67"/>
  <c r="B1455" i="67"/>
  <c r="A1456" i="67"/>
  <c r="D1454" i="67"/>
  <c r="E1454" i="67"/>
  <c r="C1454" i="67" l="1"/>
  <c r="F1456" i="67"/>
  <c r="A1457" i="67"/>
  <c r="B1456" i="67"/>
  <c r="D1455" i="67"/>
  <c r="E1455" i="67"/>
  <c r="C1455" i="67" l="1"/>
  <c r="D1456" i="67"/>
  <c r="E1456" i="67"/>
  <c r="F1457" i="67"/>
  <c r="A1458" i="67"/>
  <c r="B1457" i="67"/>
  <c r="C1456" i="67" l="1"/>
  <c r="D1457" i="67"/>
  <c r="E1457" i="67"/>
  <c r="F1458" i="67"/>
  <c r="A1459" i="67"/>
  <c r="B1458" i="67"/>
  <c r="C1457" i="67" l="1"/>
  <c r="D1458" i="67"/>
  <c r="E1458" i="67"/>
  <c r="F1459" i="67"/>
  <c r="A1460" i="67"/>
  <c r="B1459" i="67"/>
  <c r="C1458" i="67" l="1"/>
  <c r="D1459" i="67"/>
  <c r="E1459" i="67"/>
  <c r="F1460" i="67"/>
  <c r="B1460" i="67"/>
  <c r="A1461" i="67"/>
  <c r="C1459" i="67" l="1"/>
  <c r="D1460" i="67"/>
  <c r="E1460" i="67"/>
  <c r="F1461" i="67"/>
  <c r="B1461" i="67"/>
  <c r="A1462" i="67"/>
  <c r="C1460" i="67" l="1"/>
  <c r="F1462" i="67"/>
  <c r="A1463" i="67"/>
  <c r="B1462" i="67"/>
  <c r="D1461" i="67"/>
  <c r="E1461" i="67"/>
  <c r="C1461" i="67" l="1"/>
  <c r="D1462" i="67"/>
  <c r="E1462" i="67"/>
  <c r="F1463" i="67"/>
  <c r="A1464" i="67"/>
  <c r="B1463" i="67"/>
  <c r="C1462" i="67" l="1"/>
  <c r="F1464" i="67"/>
  <c r="B1464" i="67"/>
  <c r="A1465" i="67"/>
  <c r="D1463" i="67"/>
  <c r="E1463" i="67"/>
  <c r="C1463" i="67" l="1"/>
  <c r="B1465" i="67"/>
  <c r="F1465" i="67"/>
  <c r="A1466" i="67"/>
  <c r="D1464" i="67"/>
  <c r="E1464" i="67"/>
  <c r="C1464" i="67" l="1"/>
  <c r="F1466" i="67"/>
  <c r="B1466" i="67"/>
  <c r="A1467" i="67"/>
  <c r="D1465" i="67"/>
  <c r="E1465" i="67"/>
  <c r="C1465" i="67" l="1"/>
  <c r="A1468" i="67"/>
  <c r="B1467" i="67"/>
  <c r="F1467" i="67"/>
  <c r="D1466" i="67"/>
  <c r="E1466" i="67"/>
  <c r="C1466" i="67" l="1"/>
  <c r="D1467" i="67"/>
  <c r="E1467" i="67"/>
  <c r="F1468" i="67"/>
  <c r="A1469" i="67"/>
  <c r="B1468" i="67"/>
  <c r="C1467" i="67" l="1"/>
  <c r="D1468" i="67"/>
  <c r="E1468" i="67"/>
  <c r="F1469" i="67"/>
  <c r="A1470" i="67"/>
  <c r="B1469" i="67"/>
  <c r="C1468" i="67" l="1"/>
  <c r="D1469" i="67"/>
  <c r="E1469" i="67"/>
  <c r="F1470" i="67"/>
  <c r="B1470" i="67"/>
  <c r="A1471" i="67"/>
  <c r="C1469" i="67" l="1"/>
  <c r="F1471" i="67"/>
  <c r="A1472" i="67"/>
  <c r="B1471" i="67"/>
  <c r="D1470" i="67"/>
  <c r="E1470" i="67"/>
  <c r="C1470" i="67" l="1"/>
  <c r="D1471" i="67"/>
  <c r="E1471" i="67"/>
  <c r="F1472" i="67"/>
  <c r="A1473" i="67"/>
  <c r="B1472" i="67"/>
  <c r="C1471" i="67" l="1"/>
  <c r="D1472" i="67"/>
  <c r="E1472" i="67"/>
  <c r="F1473" i="67"/>
  <c r="A1474" i="67"/>
  <c r="B1473" i="67"/>
  <c r="C1472" i="67" l="1"/>
  <c r="D1473" i="67"/>
  <c r="E1473" i="67"/>
  <c r="B1474" i="67"/>
  <c r="F1474" i="67"/>
  <c r="A1475" i="67"/>
  <c r="C1473" i="67" l="1"/>
  <c r="B1475" i="67"/>
  <c r="F1475" i="67"/>
  <c r="A1476" i="67"/>
  <c r="D1474" i="67"/>
  <c r="E1474" i="67"/>
  <c r="C1474" i="67" l="1"/>
  <c r="B1476" i="67"/>
  <c r="F1476" i="67"/>
  <c r="A1477" i="67"/>
  <c r="D1475" i="67"/>
  <c r="E1475" i="67"/>
  <c r="C1475" i="67" l="1"/>
  <c r="B1477" i="67"/>
  <c r="F1477" i="67"/>
  <c r="A1478" i="67"/>
  <c r="D1476" i="67"/>
  <c r="E1476" i="67"/>
  <c r="C1476" i="67" l="1"/>
  <c r="F1478" i="67"/>
  <c r="A1479" i="67"/>
  <c r="B1478" i="67"/>
  <c r="D1477" i="67"/>
  <c r="E1477" i="67"/>
  <c r="C1477" i="67" l="1"/>
  <c r="D1478" i="67"/>
  <c r="E1478" i="67"/>
  <c r="F1479" i="67"/>
  <c r="A1480" i="67"/>
  <c r="B1479" i="67"/>
  <c r="C1478" i="67" l="1"/>
  <c r="D1479" i="67"/>
  <c r="E1479" i="67"/>
  <c r="F1480" i="67"/>
  <c r="A1481" i="67"/>
  <c r="B1480" i="67"/>
  <c r="C1479" i="67" l="1"/>
  <c r="D1480" i="67"/>
  <c r="E1480" i="67"/>
  <c r="F1481" i="67"/>
  <c r="A1482" i="67"/>
  <c r="B1481" i="67"/>
  <c r="C1480" i="67" l="1"/>
  <c r="D1481" i="67"/>
  <c r="E1481" i="67"/>
  <c r="B1482" i="67"/>
  <c r="F1482" i="67"/>
  <c r="A1483" i="67"/>
  <c r="C1481" i="67" l="1"/>
  <c r="F1483" i="67"/>
  <c r="A1484" i="67"/>
  <c r="B1483" i="67"/>
  <c r="D1482" i="67"/>
  <c r="E1482" i="67"/>
  <c r="C1482" i="67" l="1"/>
  <c r="D1483" i="67"/>
  <c r="E1483" i="67"/>
  <c r="F1484" i="67"/>
  <c r="A1485" i="67"/>
  <c r="B1484" i="67"/>
  <c r="C1483" i="67" l="1"/>
  <c r="D1484" i="67"/>
  <c r="E1484" i="67"/>
  <c r="B1485" i="67"/>
  <c r="F1485" i="67"/>
  <c r="A1486" i="67"/>
  <c r="C1484" i="67" l="1"/>
  <c r="F1486" i="67"/>
  <c r="A1487" i="67"/>
  <c r="B1486" i="67"/>
  <c r="D1485" i="67"/>
  <c r="E1485" i="67"/>
  <c r="C1485" i="67" l="1"/>
  <c r="D1486" i="67"/>
  <c r="E1486" i="67"/>
  <c r="B1487" i="67"/>
  <c r="F1487" i="67"/>
  <c r="A1488" i="67"/>
  <c r="C1486" i="67" l="1"/>
  <c r="F1488" i="67"/>
  <c r="A1489" i="67"/>
  <c r="B1488" i="67"/>
  <c r="D1487" i="67"/>
  <c r="E1487" i="67"/>
  <c r="C1487" i="67" l="1"/>
  <c r="D1488" i="67"/>
  <c r="E1488" i="67"/>
  <c r="B1489" i="67"/>
  <c r="A1490" i="67"/>
  <c r="F1489" i="67"/>
  <c r="C1488" i="67" l="1"/>
  <c r="A1491" i="67"/>
  <c r="F1490" i="67"/>
  <c r="B1490" i="67"/>
  <c r="D1489" i="67"/>
  <c r="E1489" i="67"/>
  <c r="C1489" i="67" l="1"/>
  <c r="D1490" i="67"/>
  <c r="E1490" i="67"/>
  <c r="F1491" i="67"/>
  <c r="B1491" i="67"/>
  <c r="A1492" i="67"/>
  <c r="C1490" i="67" l="1"/>
  <c r="F1492" i="67"/>
  <c r="A1493" i="67"/>
  <c r="B1492" i="67"/>
  <c r="D1491" i="67"/>
  <c r="E1491" i="67"/>
  <c r="C1491" i="67" l="1"/>
  <c r="A1494" i="67"/>
  <c r="B1493" i="67"/>
  <c r="F1493" i="67"/>
  <c r="D1492" i="67"/>
  <c r="E1492" i="67"/>
  <c r="C1492" i="67" l="1"/>
  <c r="D1493" i="67"/>
  <c r="E1493" i="67"/>
  <c r="B1494" i="67"/>
  <c r="F1494" i="67"/>
  <c r="A1495" i="67"/>
  <c r="C1493" i="67" l="1"/>
  <c r="F1495" i="67"/>
  <c r="B1495" i="67"/>
  <c r="A1496" i="67"/>
  <c r="D1494" i="67"/>
  <c r="E1494" i="67"/>
  <c r="C1494" i="67" l="1"/>
  <c r="B1496" i="67"/>
  <c r="F1496" i="67"/>
  <c r="A1497" i="67"/>
  <c r="D1495" i="67"/>
  <c r="E1495" i="67"/>
  <c r="C1495" i="67" l="1"/>
  <c r="B1497" i="67"/>
  <c r="F1497" i="67"/>
  <c r="A1498" i="67"/>
  <c r="D1496" i="67"/>
  <c r="E1496" i="67"/>
  <c r="C1496" i="67" l="1"/>
  <c r="A1499" i="67"/>
  <c r="F1498" i="67"/>
  <c r="B1498" i="67"/>
  <c r="D1497" i="67"/>
  <c r="E1497" i="67"/>
  <c r="C1497" i="67" l="1"/>
  <c r="D1498" i="67"/>
  <c r="E1498" i="67"/>
  <c r="F1499" i="67"/>
  <c r="A1500" i="67"/>
  <c r="B1499" i="67"/>
  <c r="C1498" i="67" l="1"/>
  <c r="F1500" i="67"/>
  <c r="A1501" i="67"/>
  <c r="B1500" i="67"/>
  <c r="D1499" i="67"/>
  <c r="E1499" i="67"/>
  <c r="C1499" i="67" l="1"/>
  <c r="D1500" i="67"/>
  <c r="E1500" i="67"/>
  <c r="A1502" i="67"/>
  <c r="B1501" i="67"/>
  <c r="F1501" i="67"/>
  <c r="C1500" i="67" l="1"/>
  <c r="F1502" i="67"/>
  <c r="B1502" i="67"/>
  <c r="A1503" i="67"/>
  <c r="D1501" i="67"/>
  <c r="E1501" i="67"/>
  <c r="C1501" i="67" l="1"/>
  <c r="F1503" i="67"/>
  <c r="A1504" i="67"/>
  <c r="B1503" i="67"/>
  <c r="D1502" i="67"/>
  <c r="E1502" i="67"/>
  <c r="C1502" i="67" l="1"/>
  <c r="D1503" i="67"/>
  <c r="E1503" i="67"/>
  <c r="F1504" i="67"/>
  <c r="A1505" i="67"/>
  <c r="B1504" i="67"/>
  <c r="C1503" i="67" l="1"/>
  <c r="D1504" i="67"/>
  <c r="E1504" i="67"/>
  <c r="F1505" i="67"/>
  <c r="B1505" i="67"/>
  <c r="A1506" i="67"/>
  <c r="C1504" i="67" l="1"/>
  <c r="F1506" i="67"/>
  <c r="B1506" i="67"/>
  <c r="A1507" i="67"/>
  <c r="D1505" i="67"/>
  <c r="E1505" i="67"/>
  <c r="C1505" i="67" l="1"/>
  <c r="A1508" i="67"/>
  <c r="B1507" i="67"/>
  <c r="F1507" i="67"/>
  <c r="D1506" i="67"/>
  <c r="E1506" i="67"/>
  <c r="C1506" i="67" l="1"/>
  <c r="D1507" i="67"/>
  <c r="E1507" i="67"/>
  <c r="F1508" i="67"/>
  <c r="A1509" i="67"/>
  <c r="B1508" i="67"/>
  <c r="C1507" i="67" l="1"/>
  <c r="D1508" i="67"/>
  <c r="E1508" i="67"/>
  <c r="B1509" i="67"/>
  <c r="F1509" i="67"/>
  <c r="A1510" i="67"/>
  <c r="C1508" i="67" l="1"/>
  <c r="F1510" i="67"/>
  <c r="A1511" i="67"/>
  <c r="B1510" i="67"/>
  <c r="D1509" i="67"/>
  <c r="E1509" i="67"/>
  <c r="C1509" i="67" l="1"/>
  <c r="D1510" i="67"/>
  <c r="E1510" i="67"/>
  <c r="B1511" i="67"/>
  <c r="F1511" i="67"/>
  <c r="A1512" i="67"/>
  <c r="C1510" i="67" l="1"/>
  <c r="A1513" i="67"/>
  <c r="B1512" i="67"/>
  <c r="F1512" i="67"/>
  <c r="D1511" i="67"/>
  <c r="E1511" i="67"/>
  <c r="C1511" i="67" l="1"/>
  <c r="D1512" i="67"/>
  <c r="E1512" i="67"/>
  <c r="F1513" i="67"/>
  <c r="A1514" i="67"/>
  <c r="B1513" i="67"/>
  <c r="C1512" i="67" l="1"/>
  <c r="D1513" i="67"/>
  <c r="E1513" i="67"/>
  <c r="F1514" i="67"/>
  <c r="B1514" i="67"/>
  <c r="A1515" i="67"/>
  <c r="C1513" i="67" l="1"/>
  <c r="B1515" i="67"/>
  <c r="F1515" i="67"/>
  <c r="A1516" i="67"/>
  <c r="D1514" i="67"/>
  <c r="E1514" i="67"/>
  <c r="C1514" i="67" l="1"/>
  <c r="F1516" i="67"/>
  <c r="B1516" i="67"/>
  <c r="A1517" i="67"/>
  <c r="D1515" i="67"/>
  <c r="E1515" i="67"/>
  <c r="C1515" i="67" l="1"/>
  <c r="F1517" i="67"/>
  <c r="A1518" i="67"/>
  <c r="B1517" i="67"/>
  <c r="D1516" i="67"/>
  <c r="E1516" i="67"/>
  <c r="C1516" i="67" l="1"/>
  <c r="D1517" i="67"/>
  <c r="E1517" i="67"/>
  <c r="B1518" i="67"/>
  <c r="A1519" i="67"/>
  <c r="F1518" i="67"/>
  <c r="C1517" i="67" l="1"/>
  <c r="D1518" i="67"/>
  <c r="E1518" i="67"/>
  <c r="B1519" i="67"/>
  <c r="A1520" i="67"/>
  <c r="F1519" i="67"/>
  <c r="C1518" i="67" l="1"/>
  <c r="D1519" i="67"/>
  <c r="E1519" i="67"/>
  <c r="A1521" i="67"/>
  <c r="F1520" i="67"/>
  <c r="B1520" i="67"/>
  <c r="C1519" i="67" l="1"/>
  <c r="A1522" i="67"/>
  <c r="F1521" i="67"/>
  <c r="B1521" i="67"/>
  <c r="D1520" i="67"/>
  <c r="E1520" i="67"/>
  <c r="C1520" i="67" l="1"/>
  <c r="D1521" i="67"/>
  <c r="E1521" i="67"/>
  <c r="B1522" i="67"/>
  <c r="F1522" i="67"/>
  <c r="A1523" i="67"/>
  <c r="C1521" i="67" l="1"/>
  <c r="B1523" i="67"/>
  <c r="F1523" i="67"/>
  <c r="A1524" i="67"/>
  <c r="D1522" i="67"/>
  <c r="E1522" i="67"/>
  <c r="C1522" i="67" l="1"/>
  <c r="B1524" i="67"/>
  <c r="F1524" i="67"/>
  <c r="A1525" i="67"/>
  <c r="D1523" i="67"/>
  <c r="E1523" i="67"/>
  <c r="C1523" i="67" l="1"/>
  <c r="B1525" i="67"/>
  <c r="A1526" i="67"/>
  <c r="F1525" i="67"/>
  <c r="D1524" i="67"/>
  <c r="E1524" i="67"/>
  <c r="C1524" i="67" l="1"/>
  <c r="F1526" i="67"/>
  <c r="B1526" i="67"/>
  <c r="A1527" i="67"/>
  <c r="D1525" i="67"/>
  <c r="E1525" i="67"/>
  <c r="C1525" i="67" l="1"/>
  <c r="F1527" i="67"/>
  <c r="A1528" i="67"/>
  <c r="B1527" i="67"/>
  <c r="D1526" i="67"/>
  <c r="E1526" i="67"/>
  <c r="C1526" i="67" l="1"/>
  <c r="D1527" i="67"/>
  <c r="E1527" i="67"/>
  <c r="B1528" i="67"/>
  <c r="F1528" i="67"/>
  <c r="A1529" i="67"/>
  <c r="C1527" i="67" l="1"/>
  <c r="F1529" i="67"/>
  <c r="B1529" i="67"/>
  <c r="A1530" i="67"/>
  <c r="D1528" i="67"/>
  <c r="E1528" i="67"/>
  <c r="C1528" i="67" l="1"/>
  <c r="F1530" i="67"/>
  <c r="B1530" i="67"/>
  <c r="A1531" i="67"/>
  <c r="D1529" i="67"/>
  <c r="E1529" i="67"/>
  <c r="C1529" i="67" l="1"/>
  <c r="F1531" i="67"/>
  <c r="A1532" i="67"/>
  <c r="B1531" i="67"/>
  <c r="D1530" i="67"/>
  <c r="E1530" i="67"/>
  <c r="C1530" i="67" l="1"/>
  <c r="D1531" i="67"/>
  <c r="E1531" i="67"/>
  <c r="B1532" i="67"/>
  <c r="A1533" i="67"/>
  <c r="F1532" i="67"/>
  <c r="C1531" i="67" l="1"/>
  <c r="B1533" i="67"/>
  <c r="F1533" i="67"/>
  <c r="A1534" i="67"/>
  <c r="D1532" i="67"/>
  <c r="E1532" i="67"/>
  <c r="C1532" i="67" l="1"/>
  <c r="A1535" i="67"/>
  <c r="F1534" i="67"/>
  <c r="B1534" i="67"/>
  <c r="D1533" i="67"/>
  <c r="E1533" i="67"/>
  <c r="C1533" i="67" l="1"/>
  <c r="D1534" i="67"/>
  <c r="E1534" i="67"/>
  <c r="F1535" i="67"/>
  <c r="B1535" i="67"/>
  <c r="A1536" i="67"/>
  <c r="C1534" i="67" l="1"/>
  <c r="D1535" i="67"/>
  <c r="E1535" i="67"/>
  <c r="F1536" i="67"/>
  <c r="B1536" i="67"/>
  <c r="A1537" i="67"/>
  <c r="C1535" i="67" l="1"/>
  <c r="D1536" i="67"/>
  <c r="E1536" i="67"/>
  <c r="A1538" i="67"/>
  <c r="F1537" i="67"/>
  <c r="B1537" i="67"/>
  <c r="C1536" i="67" l="1"/>
  <c r="D1537" i="67"/>
  <c r="E1537" i="67"/>
  <c r="F1538" i="67"/>
  <c r="B1538" i="67"/>
  <c r="A1539" i="67"/>
  <c r="C1537" i="67" l="1"/>
  <c r="A1540" i="67"/>
  <c r="F1539" i="67"/>
  <c r="B1539" i="67"/>
  <c r="D1538" i="67"/>
  <c r="E1538" i="67"/>
  <c r="C1538" i="67" l="1"/>
  <c r="D1539" i="67"/>
  <c r="E1539" i="67"/>
  <c r="A1541" i="67"/>
  <c r="F1540" i="67"/>
  <c r="B1540" i="67"/>
  <c r="C1539" i="67" l="1"/>
  <c r="D1540" i="67"/>
  <c r="E1540" i="67"/>
  <c r="B1541" i="67"/>
  <c r="A1542" i="67"/>
  <c r="F1541" i="67"/>
  <c r="C1540" i="67" l="1"/>
  <c r="A1543" i="67"/>
  <c r="B1542" i="67"/>
  <c r="F1542" i="67"/>
  <c r="D1541" i="67"/>
  <c r="E1541" i="67"/>
  <c r="C1541" i="67" l="1"/>
  <c r="D1542" i="67"/>
  <c r="E1542" i="67"/>
  <c r="A1544" i="67"/>
  <c r="F1543" i="67"/>
  <c r="B1543" i="67"/>
  <c r="C1542" i="67" l="1"/>
  <c r="F1544" i="67"/>
  <c r="B1544" i="67"/>
  <c r="A1545" i="67"/>
  <c r="D1543" i="67"/>
  <c r="E1543" i="67"/>
  <c r="C1543" i="67" l="1"/>
  <c r="F1545" i="67"/>
  <c r="A1546" i="67"/>
  <c r="B1545" i="67"/>
  <c r="D1544" i="67"/>
  <c r="E1544" i="67"/>
  <c r="C1544" i="67" l="1"/>
  <c r="A1547" i="67"/>
  <c r="F1546" i="67"/>
  <c r="B1546" i="67"/>
  <c r="D1545" i="67"/>
  <c r="E1545" i="67"/>
  <c r="C1545" i="67" l="1"/>
  <c r="D1546" i="67"/>
  <c r="E1546" i="67"/>
  <c r="A1548" i="67"/>
  <c r="B1547" i="67"/>
  <c r="F1547" i="67"/>
  <c r="C1546" i="67" l="1"/>
  <c r="D1547" i="67"/>
  <c r="E1547" i="67"/>
  <c r="B1548" i="67"/>
  <c r="F1548" i="67"/>
  <c r="A1549" i="67"/>
  <c r="C1547" i="67" l="1"/>
  <c r="B1549" i="67"/>
  <c r="F1549" i="67"/>
  <c r="A1550" i="67"/>
  <c r="D1548" i="67"/>
  <c r="E1548" i="67"/>
  <c r="C1548" i="67" l="1"/>
  <c r="A1551" i="67"/>
  <c r="F1550" i="67"/>
  <c r="B1550" i="67"/>
  <c r="D1549" i="67"/>
  <c r="E1549" i="67"/>
  <c r="C1549" i="67" l="1"/>
  <c r="D1550" i="67"/>
  <c r="E1550" i="67"/>
  <c r="F1551" i="67"/>
  <c r="A1552" i="67"/>
  <c r="B1551" i="67"/>
  <c r="C1550" i="67" l="1"/>
  <c r="D1551" i="67"/>
  <c r="E1551" i="67"/>
  <c r="F1552" i="67"/>
  <c r="A1553" i="67"/>
  <c r="B1552" i="67"/>
  <c r="C1551" i="67" l="1"/>
  <c r="F1553" i="67"/>
  <c r="B1553" i="67"/>
  <c r="A1554" i="67"/>
  <c r="D1552" i="67"/>
  <c r="E1552" i="67"/>
  <c r="C1552" i="67" l="1"/>
  <c r="A1555" i="67"/>
  <c r="F1554" i="67"/>
  <c r="B1554" i="67"/>
  <c r="D1553" i="67"/>
  <c r="E1553" i="67"/>
  <c r="C1553" i="67" l="1"/>
  <c r="D1554" i="67"/>
  <c r="E1554" i="67"/>
  <c r="F1555" i="67"/>
  <c r="A1556" i="67"/>
  <c r="B1555" i="67"/>
  <c r="C1554" i="67" l="1"/>
  <c r="D1555" i="67"/>
  <c r="E1555" i="67"/>
  <c r="F1556" i="67"/>
  <c r="A1557" i="67"/>
  <c r="B1556" i="67"/>
  <c r="C1555" i="67" l="1"/>
  <c r="F1557" i="67"/>
  <c r="A1558" i="67"/>
  <c r="B1557" i="67"/>
  <c r="D1556" i="67"/>
  <c r="E1556" i="67"/>
  <c r="C1556" i="67" l="1"/>
  <c r="D1557" i="67"/>
  <c r="E1557" i="67"/>
  <c r="F1558" i="67"/>
  <c r="A1559" i="67"/>
  <c r="B1558" i="67"/>
  <c r="C1557" i="67" l="1"/>
  <c r="D1558" i="67"/>
  <c r="E1558" i="67"/>
  <c r="B1559" i="67"/>
  <c r="F1559" i="67"/>
  <c r="A1560" i="67"/>
  <c r="C1558" i="67" l="1"/>
  <c r="F1560" i="67"/>
  <c r="B1560" i="67"/>
  <c r="A1561" i="67"/>
  <c r="D1559" i="67"/>
  <c r="E1559" i="67"/>
  <c r="C1559" i="67" l="1"/>
  <c r="B1561" i="67"/>
  <c r="F1561" i="67"/>
  <c r="A1562" i="67"/>
  <c r="D1560" i="67"/>
  <c r="E1560" i="67"/>
  <c r="C1560" i="67" l="1"/>
  <c r="A1563" i="67"/>
  <c r="B1562" i="67"/>
  <c r="F1562" i="67"/>
  <c r="D1561" i="67"/>
  <c r="E1561" i="67"/>
  <c r="C1561" i="67" l="1"/>
  <c r="D1562" i="67"/>
  <c r="E1562" i="67"/>
  <c r="A1564" i="67"/>
  <c r="B1563" i="67"/>
  <c r="F1563" i="67"/>
  <c r="C1562" i="67" l="1"/>
  <c r="D1563" i="67"/>
  <c r="E1563" i="67"/>
  <c r="F1564" i="67"/>
  <c r="A1565" i="67"/>
  <c r="B1564" i="67"/>
  <c r="C1563" i="67" l="1"/>
  <c r="D1564" i="67"/>
  <c r="E1564" i="67"/>
  <c r="B1565" i="67"/>
  <c r="A1566" i="67"/>
  <c r="F1565" i="67"/>
  <c r="C1564" i="67" l="1"/>
  <c r="A1567" i="67"/>
  <c r="F1566" i="67"/>
  <c r="B1566" i="67"/>
  <c r="D1565" i="67"/>
  <c r="E1565" i="67"/>
  <c r="C1565" i="67" l="1"/>
  <c r="D1566" i="67"/>
  <c r="E1566" i="67"/>
  <c r="F1567" i="67"/>
  <c r="B1567" i="67"/>
  <c r="A1568" i="67"/>
  <c r="C1566" i="67" l="1"/>
  <c r="D1567" i="67"/>
  <c r="E1567" i="67"/>
  <c r="A1569" i="67"/>
  <c r="B1568" i="67"/>
  <c r="F1568" i="67"/>
  <c r="C1567" i="67" l="1"/>
  <c r="B1569" i="67"/>
  <c r="F1569" i="67"/>
  <c r="A1570" i="67"/>
  <c r="D1568" i="67"/>
  <c r="E1568" i="67"/>
  <c r="C1568" i="67" l="1"/>
  <c r="B1570" i="67"/>
  <c r="F1570" i="67"/>
  <c r="A1571" i="67"/>
  <c r="D1569" i="67"/>
  <c r="E1569" i="67"/>
  <c r="C1569" i="67" l="1"/>
  <c r="F1571" i="67"/>
  <c r="A1572" i="67"/>
  <c r="B1571" i="67"/>
  <c r="D1570" i="67"/>
  <c r="E1570" i="67"/>
  <c r="C1570" i="67" l="1"/>
  <c r="F1572" i="67"/>
  <c r="A1573" i="67"/>
  <c r="B1572" i="67"/>
  <c r="D1571" i="67"/>
  <c r="E1571" i="67"/>
  <c r="C1571" i="67" l="1"/>
  <c r="F1573" i="67"/>
  <c r="B1573" i="67"/>
  <c r="A1574" i="67"/>
  <c r="D1572" i="67"/>
  <c r="E1572" i="67"/>
  <c r="C1572" i="67" l="1"/>
  <c r="F1574" i="67"/>
  <c r="A1575" i="67"/>
  <c r="B1574" i="67"/>
  <c r="D1573" i="67"/>
  <c r="E1573" i="67"/>
  <c r="C1573" i="67" l="1"/>
  <c r="A1576" i="67"/>
  <c r="B1575" i="67"/>
  <c r="F1575" i="67"/>
  <c r="D1574" i="67"/>
  <c r="E1574" i="67"/>
  <c r="C1574" i="67" l="1"/>
  <c r="D1575" i="67"/>
  <c r="E1575" i="67"/>
  <c r="B1576" i="67"/>
  <c r="F1576" i="67"/>
  <c r="A1577" i="67"/>
  <c r="C1575" i="67" l="1"/>
  <c r="F1577" i="67"/>
  <c r="A1578" i="67"/>
  <c r="B1577" i="67"/>
  <c r="D1576" i="67"/>
  <c r="E1576" i="67"/>
  <c r="C1576" i="67" l="1"/>
  <c r="D1577" i="67"/>
  <c r="E1577" i="67"/>
  <c r="F1578" i="67"/>
  <c r="A1579" i="67"/>
  <c r="B1578" i="67"/>
  <c r="C1577" i="67" l="1"/>
  <c r="D1578" i="67"/>
  <c r="E1578" i="67"/>
  <c r="F1579" i="67"/>
  <c r="B1579" i="67"/>
  <c r="A1580" i="67"/>
  <c r="C1578" i="67" l="1"/>
  <c r="F1580" i="67"/>
  <c r="B1580" i="67"/>
  <c r="A1581" i="67"/>
  <c r="D1579" i="67"/>
  <c r="E1579" i="67"/>
  <c r="C1579" i="67" l="1"/>
  <c r="F1581" i="67"/>
  <c r="A1582" i="67"/>
  <c r="B1581" i="67"/>
  <c r="D1580" i="67"/>
  <c r="E1580" i="67"/>
  <c r="C1580" i="67" l="1"/>
  <c r="D1581" i="67"/>
  <c r="E1581" i="67"/>
  <c r="F1582" i="67"/>
  <c r="A1583" i="67"/>
  <c r="B1582" i="67"/>
  <c r="C1581" i="67" l="1"/>
  <c r="D1582" i="67"/>
  <c r="E1582" i="67"/>
  <c r="F1583" i="67"/>
  <c r="B1583" i="67"/>
  <c r="A1584" i="67"/>
  <c r="C1582" i="67" l="1"/>
  <c r="A1585" i="67"/>
  <c r="F1584" i="67"/>
  <c r="B1584" i="67"/>
  <c r="D1583" i="67"/>
  <c r="E1583" i="67"/>
  <c r="C1583" i="67" l="1"/>
  <c r="D1584" i="67"/>
  <c r="E1584" i="67"/>
  <c r="B1585" i="67"/>
  <c r="F1585" i="67"/>
  <c r="A1586" i="67"/>
  <c r="C1584" i="67" l="1"/>
  <c r="F1586" i="67"/>
  <c r="A1587" i="67"/>
  <c r="B1586" i="67"/>
  <c r="D1585" i="67"/>
  <c r="E1585" i="67"/>
  <c r="C1585" i="67" l="1"/>
  <c r="D1586" i="67"/>
  <c r="E1586" i="67"/>
  <c r="F1587" i="67"/>
  <c r="A1588" i="67"/>
  <c r="B1587" i="67"/>
  <c r="C1586" i="67" l="1"/>
  <c r="D1587" i="67"/>
  <c r="E1587" i="67"/>
  <c r="F1588" i="67"/>
  <c r="B1588" i="67"/>
  <c r="A1589" i="67"/>
  <c r="C1587" i="67" l="1"/>
  <c r="A1590" i="67"/>
  <c r="F1589" i="67"/>
  <c r="B1589" i="67"/>
  <c r="D1588" i="67"/>
  <c r="E1588" i="67"/>
  <c r="C1588" i="67" l="1"/>
  <c r="D1589" i="67"/>
  <c r="E1589" i="67"/>
  <c r="B1590" i="67"/>
  <c r="A1591" i="67"/>
  <c r="F1590" i="67"/>
  <c r="C1589" i="67" l="1"/>
  <c r="D1590" i="67"/>
  <c r="E1590" i="67"/>
  <c r="C1590" i="67" s="1"/>
  <c r="B1591" i="67"/>
  <c r="F1591" i="67"/>
  <c r="A1592" i="67"/>
  <c r="B1592" i="67" l="1"/>
  <c r="F1592" i="67"/>
  <c r="A1593" i="67"/>
  <c r="D1591" i="67"/>
  <c r="E1591" i="67"/>
  <c r="C1591" i="67" s="1"/>
  <c r="F1593" i="67" l="1"/>
  <c r="B1593" i="67"/>
  <c r="A1594" i="67"/>
  <c r="D1592" i="67"/>
  <c r="E1592" i="67"/>
  <c r="C1592" i="67" l="1"/>
  <c r="D1593" i="67"/>
  <c r="E1593" i="67"/>
  <c r="F1594" i="67"/>
  <c r="A1595" i="67"/>
  <c r="B1594" i="67"/>
  <c r="C1593" i="67" l="1"/>
  <c r="D1594" i="67"/>
  <c r="E1594" i="67"/>
  <c r="F1595" i="67"/>
  <c r="A1596" i="67"/>
  <c r="B1595" i="67"/>
  <c r="C1594" i="67" l="1"/>
  <c r="B1596" i="67"/>
  <c r="F1596" i="67"/>
  <c r="A1597" i="67"/>
  <c r="D1595" i="67"/>
  <c r="E1595" i="67"/>
  <c r="C1595" i="67" l="1"/>
  <c r="B1597" i="67"/>
  <c r="F1597" i="67"/>
  <c r="A1598" i="67"/>
  <c r="D1596" i="67"/>
  <c r="E1596" i="67"/>
  <c r="C1596" i="67" l="1"/>
  <c r="F1598" i="67"/>
  <c r="A1599" i="67"/>
  <c r="B1598" i="67"/>
  <c r="D1597" i="67"/>
  <c r="E1597" i="67"/>
  <c r="C1597" i="67" l="1"/>
  <c r="D1598" i="67"/>
  <c r="E1598" i="67"/>
  <c r="F1599" i="67"/>
  <c r="A1600" i="67"/>
  <c r="B1599" i="67"/>
  <c r="C1598" i="67" l="1"/>
  <c r="F1600" i="67"/>
  <c r="A1601" i="67"/>
  <c r="B1600" i="67"/>
  <c r="D1599" i="67"/>
  <c r="E1599" i="67"/>
  <c r="C1599" i="67" l="1"/>
  <c r="D1600" i="67"/>
  <c r="E1600" i="67"/>
  <c r="A1602" i="67"/>
  <c r="F1601" i="67"/>
  <c r="B1601" i="67"/>
  <c r="C1600" i="67" l="1"/>
  <c r="D1601" i="67"/>
  <c r="E1601" i="67"/>
  <c r="B1602" i="67"/>
  <c r="F1602" i="67"/>
  <c r="A1603" i="67"/>
  <c r="C1601" i="67" l="1"/>
  <c r="A1604" i="67"/>
  <c r="F1603" i="67"/>
  <c r="B1603" i="67"/>
  <c r="D1602" i="67"/>
  <c r="E1602" i="67"/>
  <c r="C1602" i="67" l="1"/>
  <c r="D1603" i="67"/>
  <c r="E1603" i="67"/>
  <c r="F1604" i="67"/>
  <c r="B1604" i="67"/>
  <c r="A1605" i="67"/>
  <c r="C1603" i="67" l="1"/>
  <c r="F1605" i="67"/>
  <c r="A1606" i="67"/>
  <c r="B1605" i="67"/>
  <c r="D1604" i="67"/>
  <c r="E1604" i="67"/>
  <c r="C1604" i="67" l="1"/>
  <c r="D1605" i="67"/>
  <c r="E1605" i="67"/>
  <c r="F1606" i="67"/>
  <c r="A1607" i="67"/>
  <c r="B1606" i="67"/>
  <c r="C1605" i="67" l="1"/>
  <c r="F1607" i="67"/>
  <c r="A1608" i="67"/>
  <c r="B1607" i="67"/>
  <c r="D1606" i="67"/>
  <c r="E1606" i="67"/>
  <c r="C1606" i="67" l="1"/>
  <c r="D1607" i="67"/>
  <c r="E1607" i="67"/>
  <c r="A1609" i="67"/>
  <c r="F1608" i="67"/>
  <c r="B1608" i="67"/>
  <c r="C1607" i="67" l="1"/>
  <c r="D1608" i="67"/>
  <c r="E1608" i="67"/>
  <c r="F1609" i="67"/>
  <c r="A1610" i="67"/>
  <c r="B1609" i="67"/>
  <c r="C1608" i="67" l="1"/>
  <c r="D1609" i="67"/>
  <c r="E1609" i="67"/>
  <c r="F1610" i="67"/>
  <c r="B1610" i="67"/>
  <c r="A1611" i="67"/>
  <c r="C1609" i="67" l="1"/>
  <c r="F1611" i="67"/>
  <c r="A1612" i="67"/>
  <c r="B1611" i="67"/>
  <c r="D1610" i="67"/>
  <c r="E1610" i="67"/>
  <c r="C1610" i="67" l="1"/>
  <c r="D1611" i="67"/>
  <c r="E1611" i="67"/>
  <c r="B1612" i="67"/>
  <c r="F1612" i="67"/>
  <c r="A1613" i="67"/>
  <c r="C1611" i="67" l="1"/>
  <c r="D1612" i="67"/>
  <c r="E1612" i="67"/>
  <c r="A1614" i="67"/>
  <c r="F1613" i="67"/>
  <c r="B1613" i="67"/>
  <c r="C1612" i="67" l="1"/>
  <c r="A1615" i="67"/>
  <c r="F1614" i="67"/>
  <c r="B1614" i="67"/>
  <c r="D1613" i="67"/>
  <c r="E1613" i="67"/>
  <c r="C1613" i="67" l="1"/>
  <c r="D1614" i="67"/>
  <c r="E1614" i="67"/>
  <c r="F1615" i="67"/>
  <c r="A1616" i="67"/>
  <c r="B1615" i="67"/>
  <c r="C1614" i="67" l="1"/>
  <c r="D1615" i="67"/>
  <c r="E1615" i="67"/>
  <c r="F1616" i="67"/>
  <c r="B1616" i="67"/>
  <c r="A1617" i="67"/>
  <c r="C1615" i="67" l="1"/>
  <c r="F1617" i="67"/>
  <c r="A1618" i="67"/>
  <c r="B1617" i="67"/>
  <c r="D1616" i="67"/>
  <c r="E1616" i="67"/>
  <c r="C1616" i="67" l="1"/>
  <c r="D1617" i="67"/>
  <c r="E1617" i="67"/>
  <c r="F1618" i="67"/>
  <c r="A1619" i="67"/>
  <c r="B1618" i="67"/>
  <c r="C1617" i="67" l="1"/>
  <c r="D1618" i="67"/>
  <c r="E1618" i="67"/>
  <c r="F1619" i="67"/>
  <c r="A1620" i="67"/>
  <c r="B1619" i="67"/>
  <c r="C1618" i="67" l="1"/>
  <c r="D1619" i="67"/>
  <c r="E1619" i="67"/>
  <c r="A1621" i="67"/>
  <c r="F1620" i="67"/>
  <c r="B1620" i="67"/>
  <c r="C1619" i="67" l="1"/>
  <c r="D1620" i="67"/>
  <c r="E1620" i="67"/>
  <c r="F1621" i="67"/>
  <c r="A1622" i="67"/>
  <c r="B1621" i="67"/>
  <c r="C1620" i="67" l="1"/>
  <c r="D1621" i="67"/>
  <c r="E1621" i="67"/>
  <c r="F1622" i="67"/>
  <c r="B1622" i="67"/>
  <c r="A1623" i="67"/>
  <c r="C1621" i="67" l="1"/>
  <c r="F1623" i="67"/>
  <c r="B1623" i="67"/>
  <c r="A1624" i="67"/>
  <c r="D1622" i="67"/>
  <c r="E1622" i="67"/>
  <c r="C1622" i="67" l="1"/>
  <c r="F1624" i="67"/>
  <c r="B1624" i="67"/>
  <c r="A1625" i="67"/>
  <c r="D1623" i="67"/>
  <c r="E1623" i="67"/>
  <c r="C1623" i="67" l="1"/>
  <c r="F1625" i="67"/>
  <c r="A1626" i="67"/>
  <c r="B1625" i="67"/>
  <c r="D1624" i="67"/>
  <c r="E1624" i="67"/>
  <c r="C1624" i="67" l="1"/>
  <c r="D1625" i="67"/>
  <c r="E1625" i="67"/>
  <c r="F1626" i="67"/>
  <c r="A1627" i="67"/>
  <c r="B1626" i="67"/>
  <c r="C1625" i="67" l="1"/>
  <c r="F1627" i="67"/>
  <c r="A1628" i="67"/>
  <c r="B1627" i="67"/>
  <c r="D1626" i="67"/>
  <c r="E1626" i="67"/>
  <c r="C1626" i="67" l="1"/>
  <c r="A1629" i="67"/>
  <c r="F1628" i="67"/>
  <c r="B1628" i="67"/>
  <c r="D1627" i="67"/>
  <c r="E1627" i="67"/>
  <c r="C1627" i="67" l="1"/>
  <c r="D1628" i="67"/>
  <c r="E1628" i="67"/>
  <c r="F1629" i="67"/>
  <c r="A1630" i="67"/>
  <c r="B1629" i="67"/>
  <c r="C1628" i="67" l="1"/>
  <c r="D1629" i="67"/>
  <c r="E1629" i="67"/>
  <c r="F1630" i="67"/>
  <c r="A1631" i="67"/>
  <c r="B1630" i="67"/>
  <c r="C1629" i="67" l="1"/>
  <c r="D1630" i="67"/>
  <c r="E1630" i="67"/>
  <c r="A1632" i="67"/>
  <c r="F1631" i="67"/>
  <c r="B1631" i="67"/>
  <c r="C1630" i="67" l="1"/>
  <c r="D1631" i="67"/>
  <c r="E1631" i="67"/>
  <c r="F1632" i="67"/>
  <c r="A1633" i="67"/>
  <c r="B1632" i="67"/>
  <c r="C1631" i="67" l="1"/>
  <c r="F1633" i="67"/>
  <c r="B1633" i="67"/>
  <c r="A1634" i="67"/>
  <c r="D1632" i="67"/>
  <c r="E1632" i="67"/>
  <c r="C1632" i="67" l="1"/>
  <c r="A1635" i="67"/>
  <c r="F1634" i="67"/>
  <c r="B1634" i="67"/>
  <c r="D1633" i="67"/>
  <c r="E1633" i="67"/>
  <c r="C1633" i="67" l="1"/>
  <c r="D1634" i="67"/>
  <c r="E1634" i="67"/>
  <c r="B1635" i="67"/>
  <c r="A1636" i="67"/>
  <c r="F1635" i="67"/>
  <c r="C1634" i="67" l="1"/>
  <c r="F1636" i="67"/>
  <c r="A1637" i="67"/>
  <c r="B1636" i="67"/>
  <c r="D1635" i="67"/>
  <c r="E1635" i="67"/>
  <c r="C1635" i="67" l="1"/>
  <c r="D1636" i="67"/>
  <c r="E1636" i="67"/>
  <c r="A1638" i="67"/>
  <c r="B1637" i="67"/>
  <c r="F1637" i="67"/>
  <c r="C1636" i="67" l="1"/>
  <c r="D1637" i="67"/>
  <c r="E1637" i="67"/>
  <c r="B1638" i="67"/>
  <c r="A1639" i="67"/>
  <c r="F1638" i="67"/>
  <c r="C1637" i="67" l="1"/>
  <c r="F1639" i="67"/>
  <c r="A1640" i="67"/>
  <c r="B1639" i="67"/>
  <c r="D1638" i="67"/>
  <c r="E1638" i="67"/>
  <c r="C1638" i="67" l="1"/>
  <c r="D1639" i="67"/>
  <c r="E1639" i="67"/>
  <c r="F1640" i="67"/>
  <c r="A1641" i="67"/>
  <c r="B1640" i="67"/>
  <c r="C1639" i="67" l="1"/>
  <c r="D1640" i="67"/>
  <c r="E1640" i="67"/>
  <c r="F1641" i="67"/>
  <c r="A1642" i="67"/>
  <c r="B1641" i="67"/>
  <c r="C1640" i="67" l="1"/>
  <c r="A1643" i="67"/>
  <c r="B1642" i="67"/>
  <c r="F1642" i="67"/>
  <c r="D1641" i="67"/>
  <c r="E1641" i="67"/>
  <c r="C1641" i="67" l="1"/>
  <c r="D1642" i="67"/>
  <c r="E1642" i="67"/>
  <c r="A1644" i="67"/>
  <c r="F1643" i="67"/>
  <c r="B1643" i="67"/>
  <c r="C1642" i="67" l="1"/>
  <c r="D1643" i="67"/>
  <c r="E1643" i="67"/>
  <c r="F1644" i="67"/>
  <c r="A1645" i="67"/>
  <c r="B1644" i="67"/>
  <c r="C1643" i="67" l="1"/>
  <c r="D1644" i="67"/>
  <c r="E1644" i="67"/>
  <c r="F1645" i="67"/>
  <c r="B1645" i="67"/>
  <c r="A1646" i="67"/>
  <c r="C1644" i="67" l="1"/>
  <c r="F1646" i="67"/>
  <c r="A1647" i="67"/>
  <c r="B1646" i="67"/>
  <c r="D1645" i="67"/>
  <c r="E1645" i="67"/>
  <c r="C1645" i="67" l="1"/>
  <c r="D1646" i="67"/>
  <c r="E1646" i="67"/>
  <c r="F1647" i="67"/>
  <c r="B1647" i="67"/>
  <c r="A1648" i="67"/>
  <c r="C1646" i="67" l="1"/>
  <c r="F1648" i="67"/>
  <c r="A1649" i="67"/>
  <c r="B1648" i="67"/>
  <c r="D1647" i="67"/>
  <c r="E1647" i="67"/>
  <c r="C1647" i="67" l="1"/>
  <c r="D1648" i="67"/>
  <c r="E1648" i="67"/>
  <c r="B1649" i="67"/>
  <c r="F1649" i="67"/>
  <c r="A1650" i="67"/>
  <c r="C1648" i="67" l="1"/>
  <c r="F1650" i="67"/>
  <c r="A1651" i="67"/>
  <c r="B1650" i="67"/>
  <c r="D1649" i="67"/>
  <c r="E1649" i="67"/>
  <c r="C1649" i="67" l="1"/>
  <c r="D1650" i="67"/>
  <c r="E1650" i="67"/>
  <c r="F1651" i="67"/>
  <c r="A1652" i="67"/>
  <c r="B1651" i="67"/>
  <c r="C1650" i="67" l="1"/>
  <c r="B1652" i="67"/>
  <c r="F1652" i="67"/>
  <c r="A1653" i="67"/>
  <c r="D1651" i="67"/>
  <c r="E1651" i="67"/>
  <c r="C1651" i="67" l="1"/>
  <c r="A1654" i="67"/>
  <c r="F1653" i="67"/>
  <c r="B1653" i="67"/>
  <c r="D1652" i="67"/>
  <c r="E1652" i="67"/>
  <c r="C1652" i="67" l="1"/>
  <c r="D1653" i="67"/>
  <c r="E1653" i="67"/>
  <c r="A1655" i="67"/>
  <c r="F1654" i="67"/>
  <c r="B1654" i="67"/>
  <c r="C1653" i="67" l="1"/>
  <c r="D1654" i="67"/>
  <c r="E1654" i="67"/>
  <c r="B1655" i="67"/>
  <c r="A1656" i="67"/>
  <c r="F1655" i="67"/>
  <c r="C1654" i="67" l="1"/>
  <c r="F1656" i="67"/>
  <c r="A1657" i="67"/>
  <c r="B1656" i="67"/>
  <c r="D1655" i="67"/>
  <c r="E1655" i="67"/>
  <c r="C1655" i="67" l="1"/>
  <c r="D1656" i="67"/>
  <c r="E1656" i="67"/>
  <c r="F1657" i="67"/>
  <c r="B1657" i="67"/>
  <c r="A1658" i="67"/>
  <c r="C1656" i="67" l="1"/>
  <c r="D1657" i="67"/>
  <c r="E1657" i="67"/>
  <c r="B1658" i="67"/>
  <c r="F1658" i="67"/>
  <c r="A1659" i="67"/>
  <c r="C1657" i="67" l="1"/>
  <c r="F1659" i="67"/>
  <c r="B1659" i="67"/>
  <c r="A1660" i="67"/>
  <c r="D1658" i="67"/>
  <c r="E1658" i="67"/>
  <c r="C1658" i="67" l="1"/>
  <c r="F1660" i="67"/>
  <c r="A1661" i="67"/>
  <c r="B1660" i="67"/>
  <c r="D1659" i="67"/>
  <c r="E1659" i="67"/>
  <c r="C1659" i="67" l="1"/>
  <c r="D1660" i="67"/>
  <c r="E1660" i="67"/>
  <c r="B1661" i="67"/>
  <c r="F1661" i="67"/>
  <c r="A1662" i="67"/>
  <c r="C1660" i="67" l="1"/>
  <c r="B1662" i="67"/>
  <c r="A1663" i="67"/>
  <c r="F1662" i="67"/>
  <c r="D1661" i="67"/>
  <c r="E1661" i="67"/>
  <c r="C1661" i="67" l="1"/>
  <c r="A1664" i="67"/>
  <c r="F1663" i="67"/>
  <c r="B1663" i="67"/>
  <c r="D1662" i="67"/>
  <c r="E1662" i="67"/>
  <c r="C1662" i="67" l="1"/>
  <c r="D1663" i="67"/>
  <c r="E1663" i="67"/>
  <c r="B1664" i="67"/>
  <c r="F1664" i="67"/>
  <c r="A1665" i="67"/>
  <c r="C1663" i="67" l="1"/>
  <c r="A1666" i="67"/>
  <c r="F1665" i="67"/>
  <c r="B1665" i="67"/>
  <c r="D1664" i="67"/>
  <c r="E1664" i="67"/>
  <c r="C1664" i="67" l="1"/>
  <c r="D1665" i="67"/>
  <c r="E1665" i="67"/>
  <c r="B1666" i="67"/>
  <c r="F1666" i="67"/>
  <c r="A1667" i="67"/>
  <c r="C1665" i="67" l="1"/>
  <c r="D1666" i="67"/>
  <c r="E1666" i="67"/>
  <c r="F1667" i="67"/>
  <c r="A1668" i="67"/>
  <c r="B1667" i="67"/>
  <c r="C1666" i="67" l="1"/>
  <c r="F1668" i="67"/>
  <c r="A1669" i="67"/>
  <c r="B1668" i="67"/>
  <c r="D1667" i="67"/>
  <c r="E1667" i="67"/>
  <c r="C1667" i="67" l="1"/>
  <c r="D1668" i="67"/>
  <c r="E1668" i="67"/>
  <c r="F1669" i="67"/>
  <c r="A1670" i="67"/>
  <c r="B1669" i="67"/>
  <c r="C1668" i="67" l="1"/>
  <c r="D1669" i="67"/>
  <c r="E1669" i="67"/>
  <c r="B1670" i="67"/>
  <c r="F1670" i="67"/>
  <c r="A1671" i="67"/>
  <c r="C1669" i="67" l="1"/>
  <c r="A1672" i="67"/>
  <c r="F1671" i="67"/>
  <c r="B1671" i="67"/>
  <c r="D1670" i="67"/>
  <c r="E1670" i="67"/>
  <c r="C1670" i="67" l="1"/>
  <c r="D1671" i="67"/>
  <c r="E1671" i="67"/>
  <c r="F1672" i="67"/>
  <c r="A1673" i="67"/>
  <c r="B1672" i="67"/>
  <c r="C1671" i="67" l="1"/>
  <c r="B1673" i="67"/>
  <c r="F1673" i="67"/>
  <c r="A1674" i="67"/>
  <c r="D1672" i="67"/>
  <c r="E1672" i="67"/>
  <c r="C1672" i="67" l="1"/>
  <c r="B1674" i="67"/>
  <c r="F1674" i="67"/>
  <c r="A1675" i="67"/>
  <c r="D1673" i="67"/>
  <c r="E1673" i="67"/>
  <c r="C1673" i="67" l="1"/>
  <c r="F1675" i="67"/>
  <c r="A1676" i="67"/>
  <c r="B1675" i="67"/>
  <c r="D1674" i="67"/>
  <c r="E1674" i="67"/>
  <c r="C1674" i="67" l="1"/>
  <c r="F1676" i="67"/>
  <c r="A1677" i="67"/>
  <c r="B1676" i="67"/>
  <c r="D1675" i="67"/>
  <c r="E1675" i="67"/>
  <c r="C1675" i="67" l="1"/>
  <c r="D1676" i="67"/>
  <c r="E1676" i="67"/>
  <c r="F1677" i="67"/>
  <c r="A1678" i="67"/>
  <c r="B1677" i="67"/>
  <c r="C1676" i="67" l="1"/>
  <c r="F1678" i="67"/>
  <c r="B1678" i="67"/>
  <c r="A1679" i="67"/>
  <c r="D1677" i="67"/>
  <c r="E1677" i="67"/>
  <c r="C1677" i="67" l="1"/>
  <c r="F1679" i="67"/>
  <c r="A1680" i="67"/>
  <c r="B1679" i="67"/>
  <c r="D1678" i="67"/>
  <c r="E1678" i="67"/>
  <c r="C1678" i="67" l="1"/>
  <c r="D1679" i="67"/>
  <c r="E1679" i="67"/>
  <c r="F1680" i="67"/>
  <c r="A1681" i="67"/>
  <c r="B1680" i="67"/>
  <c r="C1679" i="67" l="1"/>
  <c r="D1680" i="67"/>
  <c r="E1680" i="67"/>
  <c r="F1681" i="67"/>
  <c r="A1682" i="67"/>
  <c r="B1681" i="67"/>
  <c r="C1680" i="67" l="1"/>
  <c r="D1681" i="67"/>
  <c r="E1681" i="67"/>
  <c r="F1682" i="67"/>
  <c r="A1683" i="67"/>
  <c r="B1682" i="67"/>
  <c r="C1681" i="67" l="1"/>
  <c r="D1682" i="67"/>
  <c r="E1682" i="67"/>
  <c r="A1684" i="67"/>
  <c r="F1683" i="67"/>
  <c r="B1683" i="67"/>
  <c r="C1682" i="67" l="1"/>
  <c r="F1684" i="67"/>
  <c r="A1685" i="67"/>
  <c r="B1684" i="67"/>
  <c r="D1683" i="67"/>
  <c r="E1683" i="67"/>
  <c r="C1683" i="67" l="1"/>
  <c r="F1685" i="67"/>
  <c r="A1686" i="67"/>
  <c r="B1685" i="67"/>
  <c r="D1684" i="67"/>
  <c r="E1684" i="67"/>
  <c r="C1684" i="67" l="1"/>
  <c r="D1685" i="67"/>
  <c r="E1685" i="67"/>
  <c r="F1686" i="67"/>
  <c r="A1687" i="67"/>
  <c r="B1686" i="67"/>
  <c r="C1685" i="67" l="1"/>
  <c r="F1687" i="67"/>
  <c r="A1688" i="67"/>
  <c r="B1687" i="67"/>
  <c r="D1686" i="67"/>
  <c r="E1686" i="67"/>
  <c r="C1686" i="67" l="1"/>
  <c r="D1687" i="67"/>
  <c r="E1687" i="67"/>
  <c r="F1688" i="67"/>
  <c r="A1689" i="67"/>
  <c r="B1688" i="67"/>
  <c r="C1687" i="67" l="1"/>
  <c r="D1688" i="67"/>
  <c r="E1688" i="67"/>
  <c r="A1690" i="67"/>
  <c r="F1689" i="67"/>
  <c r="B1689" i="67"/>
  <c r="C1688" i="67" l="1"/>
  <c r="D1689" i="67"/>
  <c r="E1689" i="67"/>
  <c r="F1690" i="67"/>
  <c r="A1691" i="67"/>
  <c r="B1690" i="67"/>
  <c r="C1689" i="67" l="1"/>
  <c r="D1690" i="67"/>
  <c r="E1690" i="67"/>
  <c r="F1691" i="67"/>
  <c r="A1692" i="67"/>
  <c r="B1691" i="67"/>
  <c r="C1690" i="67" l="1"/>
  <c r="D1691" i="67"/>
  <c r="E1691" i="67"/>
  <c r="B1692" i="67"/>
  <c r="A1693" i="67"/>
  <c r="F1692" i="67"/>
  <c r="C1691" i="67" l="1"/>
  <c r="D1692" i="67"/>
  <c r="E1692" i="67"/>
  <c r="B1693" i="67"/>
  <c r="F1693" i="67"/>
  <c r="A1694" i="67"/>
  <c r="C1692" i="67" l="1"/>
  <c r="F1694" i="67"/>
  <c r="A1695" i="67"/>
  <c r="B1694" i="67"/>
  <c r="D1693" i="67"/>
  <c r="E1693" i="67"/>
  <c r="C1693" i="67" l="1"/>
  <c r="D1694" i="67"/>
  <c r="E1694" i="67"/>
  <c r="F1695" i="67"/>
  <c r="A1696" i="67"/>
  <c r="B1695" i="67"/>
  <c r="C1694" i="67" l="1"/>
  <c r="D1695" i="67"/>
  <c r="E1695" i="67"/>
  <c r="A1697" i="67"/>
  <c r="B1696" i="67"/>
  <c r="F1696" i="67"/>
  <c r="C1695" i="67" l="1"/>
  <c r="D1696" i="67"/>
  <c r="E1696" i="67"/>
  <c r="A1698" i="67"/>
  <c r="F1697" i="67"/>
  <c r="B1697" i="67"/>
  <c r="C1696" i="67" l="1"/>
  <c r="D1697" i="67"/>
  <c r="E1697" i="67"/>
  <c r="F1698" i="67"/>
  <c r="A1699" i="67"/>
  <c r="B1698" i="67"/>
  <c r="C1697" i="67" l="1"/>
  <c r="D1698" i="67"/>
  <c r="E1698" i="67"/>
  <c r="B1699" i="67"/>
  <c r="F1699" i="67"/>
  <c r="A1700" i="67"/>
  <c r="C1698" i="67" l="1"/>
  <c r="F1700" i="67"/>
  <c r="A1701" i="67"/>
  <c r="B1700" i="67"/>
  <c r="D1699" i="67"/>
  <c r="E1699" i="67"/>
  <c r="C1699" i="67" l="1"/>
  <c r="F1701" i="67"/>
  <c r="A1702" i="67"/>
  <c r="B1701" i="67"/>
  <c r="D1700" i="67"/>
  <c r="E1700" i="67"/>
  <c r="C1700" i="67" l="1"/>
  <c r="D1701" i="67"/>
  <c r="E1701" i="67"/>
  <c r="F1702" i="67"/>
  <c r="A1703" i="67"/>
  <c r="B1702" i="67"/>
  <c r="C1701" i="67" l="1"/>
  <c r="F1703" i="67"/>
  <c r="A1704" i="67"/>
  <c r="B1703" i="67"/>
  <c r="D1702" i="67"/>
  <c r="E1702" i="67"/>
  <c r="C1702" i="67" l="1"/>
  <c r="D1703" i="67"/>
  <c r="E1703" i="67"/>
  <c r="F1704" i="67"/>
  <c r="A1705" i="67"/>
  <c r="B1704" i="67"/>
  <c r="C1703" i="67" l="1"/>
  <c r="B1705" i="67"/>
  <c r="F1705" i="67"/>
  <c r="A1706" i="67"/>
  <c r="D1704" i="67"/>
  <c r="E1704" i="67"/>
  <c r="C1704" i="67" l="1"/>
  <c r="F1706" i="67"/>
  <c r="A1707" i="67"/>
  <c r="B1706" i="67"/>
  <c r="D1705" i="67"/>
  <c r="E1705" i="67"/>
  <c r="C1705" i="67" l="1"/>
  <c r="F1707" i="67"/>
  <c r="A1708" i="67"/>
  <c r="B1707" i="67"/>
  <c r="D1706" i="67"/>
  <c r="E1706" i="67"/>
  <c r="C1706" i="67" l="1"/>
  <c r="B1708" i="67"/>
  <c r="F1708" i="67"/>
  <c r="A1709" i="67"/>
  <c r="D1707" i="67"/>
  <c r="E1707" i="67"/>
  <c r="C1707" i="67" l="1"/>
  <c r="F1709" i="67"/>
  <c r="B1709" i="67"/>
  <c r="A1710" i="67"/>
  <c r="D1708" i="67"/>
  <c r="E1708" i="67"/>
  <c r="C1708" i="67" l="1"/>
  <c r="F1710" i="67"/>
  <c r="B1710" i="67"/>
  <c r="A1711" i="67"/>
  <c r="D1709" i="67"/>
  <c r="E1709" i="67"/>
  <c r="C1709" i="67" l="1"/>
  <c r="F1711" i="67"/>
  <c r="A1712" i="67"/>
  <c r="B1711" i="67"/>
  <c r="D1710" i="67"/>
  <c r="E1710" i="67"/>
  <c r="C1710" i="67" l="1"/>
  <c r="D1711" i="67"/>
  <c r="E1711" i="67"/>
  <c r="F1712" i="67"/>
  <c r="A1713" i="67"/>
  <c r="B1712" i="67"/>
  <c r="C1711" i="67" l="1"/>
  <c r="D1712" i="67"/>
  <c r="E1712" i="67"/>
  <c r="F1713" i="67"/>
  <c r="A1714" i="67"/>
  <c r="B1713" i="67"/>
  <c r="C1712" i="67" l="1"/>
  <c r="D1713" i="67"/>
  <c r="E1713" i="67"/>
  <c r="A1715" i="67"/>
  <c r="F1714" i="67"/>
  <c r="B1714" i="67"/>
  <c r="C1713" i="67" l="1"/>
  <c r="D1714" i="67"/>
  <c r="E1714" i="67"/>
  <c r="A1716" i="67"/>
  <c r="B1715" i="67"/>
  <c r="F1715" i="67"/>
  <c r="C1714" i="67" l="1"/>
  <c r="D1715" i="67"/>
  <c r="E1715" i="67"/>
  <c r="A1717" i="67"/>
  <c r="F1716" i="67"/>
  <c r="B1716" i="67"/>
  <c r="C1715" i="67" l="1"/>
  <c r="D1716" i="67"/>
  <c r="E1716" i="67"/>
  <c r="F1717" i="67"/>
  <c r="A1718" i="67"/>
  <c r="B1717" i="67"/>
  <c r="C1716" i="67" l="1"/>
  <c r="D1717" i="67"/>
  <c r="E1717" i="67"/>
  <c r="A1719" i="67"/>
  <c r="B1718" i="67"/>
  <c r="F1718" i="67"/>
  <c r="C1717" i="67" l="1"/>
  <c r="D1718" i="67"/>
  <c r="E1718" i="67"/>
  <c r="F1719" i="67"/>
  <c r="A1720" i="67"/>
  <c r="B1719" i="67"/>
  <c r="C1718" i="67" l="1"/>
  <c r="F1720" i="67"/>
  <c r="A1721" i="67"/>
  <c r="B1720" i="67"/>
  <c r="D1719" i="67"/>
  <c r="E1719" i="67"/>
  <c r="C1719" i="67" l="1"/>
  <c r="D1720" i="67"/>
  <c r="E1720" i="67"/>
  <c r="A1722" i="67"/>
  <c r="B1721" i="67"/>
  <c r="F1721" i="67"/>
  <c r="C1720" i="67" l="1"/>
  <c r="F1722" i="67"/>
  <c r="A1723" i="67"/>
  <c r="B1722" i="67"/>
  <c r="D1721" i="67"/>
  <c r="E1721" i="67"/>
  <c r="C1721" i="67" l="1"/>
  <c r="D1722" i="67"/>
  <c r="E1722" i="67"/>
  <c r="F1723" i="67"/>
  <c r="B1723" i="67"/>
  <c r="A1724" i="67"/>
  <c r="C1722" i="67" l="1"/>
  <c r="F1724" i="67"/>
  <c r="A1725" i="67"/>
  <c r="B1724" i="67"/>
  <c r="D1723" i="67"/>
  <c r="E1723" i="67"/>
  <c r="C1723" i="67" l="1"/>
  <c r="D1724" i="67"/>
  <c r="E1724" i="67"/>
  <c r="F1725" i="67"/>
  <c r="A1726" i="67"/>
  <c r="B1725" i="67"/>
  <c r="C1724" i="67" l="1"/>
  <c r="F1726" i="67"/>
  <c r="A1727" i="67"/>
  <c r="B1726" i="67"/>
  <c r="D1725" i="67"/>
  <c r="E1725" i="67"/>
  <c r="C1725" i="67" l="1"/>
  <c r="F1727" i="67"/>
  <c r="A1728" i="67"/>
  <c r="B1727" i="67"/>
  <c r="D1726" i="67"/>
  <c r="E1726" i="67"/>
  <c r="C1726" i="67" l="1"/>
  <c r="D1727" i="67"/>
  <c r="E1727" i="67"/>
  <c r="F1728" i="67"/>
  <c r="A1729" i="67"/>
  <c r="B1728" i="67"/>
  <c r="C1727" i="67" l="1"/>
  <c r="D1728" i="67"/>
  <c r="E1728" i="67"/>
  <c r="F1729" i="67"/>
  <c r="A1730" i="67"/>
  <c r="B1729" i="67"/>
  <c r="C1728" i="67" l="1"/>
  <c r="D1729" i="67"/>
  <c r="E1729" i="67"/>
  <c r="C1729" i="67" s="1"/>
  <c r="F1730" i="67"/>
  <c r="A1731" i="67"/>
  <c r="B1730" i="67"/>
  <c r="D1730" i="67" l="1"/>
  <c r="E1730" i="67"/>
  <c r="B1731" i="67"/>
  <c r="F1731" i="67"/>
  <c r="A1732" i="67"/>
  <c r="C1730" i="67" l="1"/>
  <c r="B1732" i="67"/>
  <c r="F1732" i="67"/>
  <c r="A1733" i="67"/>
  <c r="D1731" i="67"/>
  <c r="E1731" i="67"/>
  <c r="C1731" i="67" l="1"/>
  <c r="B1733" i="67"/>
  <c r="F1733" i="67"/>
  <c r="A1734" i="67"/>
  <c r="D1732" i="67"/>
  <c r="E1732" i="67"/>
  <c r="C1732" i="67" l="1"/>
  <c r="B1734" i="67"/>
  <c r="F1734" i="67"/>
  <c r="A1735" i="67"/>
  <c r="D1733" i="67"/>
  <c r="E1733" i="67"/>
  <c r="C1733" i="67" l="1"/>
  <c r="F1735" i="67"/>
  <c r="A1736" i="67"/>
  <c r="B1735" i="67"/>
  <c r="D1734" i="67"/>
  <c r="E1734" i="67"/>
  <c r="C1734" i="67" l="1"/>
  <c r="D1735" i="67"/>
  <c r="E1735" i="67"/>
  <c r="B1736" i="67"/>
  <c r="F1736" i="67"/>
  <c r="A1737" i="67"/>
  <c r="C1735" i="67" l="1"/>
  <c r="F1737" i="67"/>
  <c r="B1737" i="67"/>
  <c r="A1738" i="67"/>
  <c r="D1736" i="67"/>
  <c r="E1736" i="67"/>
  <c r="C1736" i="67" l="1"/>
  <c r="B1738" i="67"/>
  <c r="F1738" i="67"/>
  <c r="A1739" i="67"/>
  <c r="D1737" i="67"/>
  <c r="E1737" i="67"/>
  <c r="C1737" i="67" l="1"/>
  <c r="F1739" i="67"/>
  <c r="B1739" i="67"/>
  <c r="A1740" i="67"/>
  <c r="D1738" i="67"/>
  <c r="E1738" i="67"/>
  <c r="C1738" i="67" l="1"/>
  <c r="F1740" i="67"/>
  <c r="A1741" i="67"/>
  <c r="B1740" i="67"/>
  <c r="D1739" i="67"/>
  <c r="E1739" i="67"/>
  <c r="C1739" i="67" l="1"/>
  <c r="D1740" i="67"/>
  <c r="E1740" i="67"/>
  <c r="F1741" i="67"/>
  <c r="A1742" i="67"/>
  <c r="B1741" i="67"/>
  <c r="C1740" i="67" l="1"/>
  <c r="A1743" i="67"/>
  <c r="F1742" i="67"/>
  <c r="B1742" i="67"/>
  <c r="D1741" i="67"/>
  <c r="E1741" i="67"/>
  <c r="C1741" i="67" l="1"/>
  <c r="D1742" i="67"/>
  <c r="E1742" i="67"/>
  <c r="F1743" i="67"/>
  <c r="A1744" i="67"/>
  <c r="B1743" i="67"/>
  <c r="C1742" i="67" l="1"/>
  <c r="D1743" i="67"/>
  <c r="E1743" i="67"/>
  <c r="F1744" i="67"/>
  <c r="A1745" i="67"/>
  <c r="B1744" i="67"/>
  <c r="C1743" i="67" l="1"/>
  <c r="D1744" i="67"/>
  <c r="E1744" i="67"/>
  <c r="F1745" i="67"/>
  <c r="A1746" i="67"/>
  <c r="B1745" i="67"/>
  <c r="C1744" i="67" l="1"/>
  <c r="D1745" i="67"/>
  <c r="E1745" i="67"/>
  <c r="F1746" i="67"/>
  <c r="B1746" i="67"/>
  <c r="A1747" i="67"/>
  <c r="C1745" i="67" l="1"/>
  <c r="F1747" i="67"/>
  <c r="B1747" i="67"/>
  <c r="A1748" i="67"/>
  <c r="D1746" i="67"/>
  <c r="E1746" i="67"/>
  <c r="C1746" i="67" l="1"/>
  <c r="B1748" i="67"/>
  <c r="F1748" i="67"/>
  <c r="A1749" i="67"/>
  <c r="D1747" i="67"/>
  <c r="E1747" i="67"/>
  <c r="C1747" i="67" l="1"/>
  <c r="F1749" i="67"/>
  <c r="B1749" i="67"/>
  <c r="A1750" i="67"/>
  <c r="D1748" i="67"/>
  <c r="E1748" i="67"/>
  <c r="C1748" i="67" l="1"/>
  <c r="A1751" i="67"/>
  <c r="F1750" i="67"/>
  <c r="B1750" i="67"/>
  <c r="D1749" i="67"/>
  <c r="E1749" i="67"/>
  <c r="C1749" i="67" l="1"/>
  <c r="D1750" i="67"/>
  <c r="E1750" i="67"/>
  <c r="B1751" i="67"/>
  <c r="F1751" i="67"/>
  <c r="A1752" i="67"/>
  <c r="C1750" i="67" l="1"/>
  <c r="B1752" i="67"/>
  <c r="A1753" i="67"/>
  <c r="F1752" i="67"/>
  <c r="D1751" i="67"/>
  <c r="E1751" i="67"/>
  <c r="C1751" i="67" l="1"/>
  <c r="F1753" i="67"/>
  <c r="A1754" i="67"/>
  <c r="B1753" i="67"/>
  <c r="D1752" i="67"/>
  <c r="E1752" i="67"/>
  <c r="C1752" i="67" l="1"/>
  <c r="D1753" i="67"/>
  <c r="E1753" i="67"/>
  <c r="B1754" i="67"/>
  <c r="F1754" i="67"/>
  <c r="A1755" i="67"/>
  <c r="C1753" i="67" l="1"/>
  <c r="F1755" i="67"/>
  <c r="B1755" i="67"/>
  <c r="A1756" i="67"/>
  <c r="D1754" i="67"/>
  <c r="E1754" i="67"/>
  <c r="C1754" i="67" l="1"/>
  <c r="B1756" i="67"/>
  <c r="F1756" i="67"/>
  <c r="A1757" i="67"/>
  <c r="D1755" i="67"/>
  <c r="E1755" i="67"/>
  <c r="C1755" i="67" l="1"/>
  <c r="A1758" i="67"/>
  <c r="F1757" i="67"/>
  <c r="B1757" i="67"/>
  <c r="D1756" i="67"/>
  <c r="E1756" i="67"/>
  <c r="C1756" i="67" l="1"/>
  <c r="D1757" i="67"/>
  <c r="E1757" i="67"/>
  <c r="F1758" i="67"/>
  <c r="B1758" i="67"/>
  <c r="A1759" i="67"/>
  <c r="C1757" i="67" l="1"/>
  <c r="F1759" i="67"/>
  <c r="A1760" i="67"/>
  <c r="B1759" i="67"/>
  <c r="D1758" i="67"/>
  <c r="E1758" i="67"/>
  <c r="C1758" i="67" l="1"/>
  <c r="D1759" i="67"/>
  <c r="E1759" i="67"/>
  <c r="B1760" i="67"/>
  <c r="F1760" i="67"/>
  <c r="A1761" i="67"/>
  <c r="C1759" i="67" l="1"/>
  <c r="B1761" i="67"/>
  <c r="F1761" i="67"/>
  <c r="A1762" i="67"/>
  <c r="D1760" i="67"/>
  <c r="E1760" i="67"/>
  <c r="C1760" i="67" l="1"/>
  <c r="A1763" i="67"/>
  <c r="B1762" i="67"/>
  <c r="F1762" i="67"/>
  <c r="D1761" i="67"/>
  <c r="E1761" i="67"/>
  <c r="C1761" i="67" l="1"/>
  <c r="D1762" i="67"/>
  <c r="E1762" i="67"/>
  <c r="A1764" i="67"/>
  <c r="F1763" i="67"/>
  <c r="B1763" i="67"/>
  <c r="C1762" i="67" l="1"/>
  <c r="D1763" i="67"/>
  <c r="E1763" i="67"/>
  <c r="F1764" i="67"/>
  <c r="A1765" i="67"/>
  <c r="B1764" i="67"/>
  <c r="C1763" i="67" l="1"/>
  <c r="F1765" i="67"/>
  <c r="B1765" i="67"/>
  <c r="A1766" i="67"/>
  <c r="D1764" i="67"/>
  <c r="E1764" i="67"/>
  <c r="C1764" i="67" l="1"/>
  <c r="B1766" i="67"/>
  <c r="F1766" i="67"/>
  <c r="A1767" i="67"/>
  <c r="D1765" i="67"/>
  <c r="E1765" i="67"/>
  <c r="C1765" i="67" l="1"/>
  <c r="F1767" i="67"/>
  <c r="A1768" i="67"/>
  <c r="B1767" i="67"/>
  <c r="D1766" i="67"/>
  <c r="E1766" i="67"/>
  <c r="C1766" i="67" l="1"/>
  <c r="F1768" i="67"/>
  <c r="A1769" i="67"/>
  <c r="B1768" i="67"/>
  <c r="D1767" i="67"/>
  <c r="E1767" i="67"/>
  <c r="C1767" i="67" l="1"/>
  <c r="D1768" i="67"/>
  <c r="E1768" i="67"/>
  <c r="F1769" i="67"/>
  <c r="A1770" i="67"/>
  <c r="B1769" i="67"/>
  <c r="C1768" i="67" l="1"/>
  <c r="D1769" i="67"/>
  <c r="E1769" i="67"/>
  <c r="F1770" i="67"/>
  <c r="A1771" i="67"/>
  <c r="B1770" i="67"/>
  <c r="C1769" i="67" l="1"/>
  <c r="A1772" i="67"/>
  <c r="F1771" i="67"/>
  <c r="B1771" i="67"/>
  <c r="D1770" i="67"/>
  <c r="E1770" i="67"/>
  <c r="C1770" i="67" l="1"/>
  <c r="D1771" i="67"/>
  <c r="E1771" i="67"/>
  <c r="F1772" i="67"/>
  <c r="A1773" i="67"/>
  <c r="B1772" i="67"/>
  <c r="C1771" i="67" l="1"/>
  <c r="D1772" i="67"/>
  <c r="E1772" i="67"/>
  <c r="B1773" i="67"/>
  <c r="A1774" i="67"/>
  <c r="F1773" i="67"/>
  <c r="C1772" i="67" l="1"/>
  <c r="F1774" i="67"/>
  <c r="A1775" i="67"/>
  <c r="B1774" i="67"/>
  <c r="D1773" i="67"/>
  <c r="E1773" i="67"/>
  <c r="C1773" i="67" l="1"/>
  <c r="D1774" i="67"/>
  <c r="E1774" i="67"/>
  <c r="A1776" i="67"/>
  <c r="F1775" i="67"/>
  <c r="B1775" i="67"/>
  <c r="C1774" i="67" l="1"/>
  <c r="D1775" i="67"/>
  <c r="E1775" i="67"/>
  <c r="B1776" i="67"/>
  <c r="F1776" i="67"/>
  <c r="A1777" i="67"/>
  <c r="C1775" i="67" l="1"/>
  <c r="F1777" i="67"/>
  <c r="B1777" i="67"/>
  <c r="A1778" i="67"/>
  <c r="D1776" i="67"/>
  <c r="E1776" i="67"/>
  <c r="C1776" i="67" l="1"/>
  <c r="F1778" i="67"/>
  <c r="A1779" i="67"/>
  <c r="B1778" i="67"/>
  <c r="D1777" i="67"/>
  <c r="E1777" i="67"/>
  <c r="C1777" i="67" l="1"/>
  <c r="D1778" i="67"/>
  <c r="E1778" i="67"/>
  <c r="B1779" i="67"/>
  <c r="F1779" i="67"/>
  <c r="A1780" i="67"/>
  <c r="C1778" i="67" l="1"/>
  <c r="B1780" i="67"/>
  <c r="A1781" i="67"/>
  <c r="F1780" i="67"/>
  <c r="D1779" i="67"/>
  <c r="E1779" i="67"/>
  <c r="C1779" i="67" l="1"/>
  <c r="D1780" i="67"/>
  <c r="E1780" i="67"/>
  <c r="B1781" i="67"/>
  <c r="F1781" i="67"/>
  <c r="A1782" i="67"/>
  <c r="C1780" i="67" l="1"/>
  <c r="F1782" i="67"/>
  <c r="B1782" i="67"/>
  <c r="A1783" i="67"/>
  <c r="D1781" i="67"/>
  <c r="E1781" i="67"/>
  <c r="C1781" i="67" l="1"/>
  <c r="B1783" i="67"/>
  <c r="F1783" i="67"/>
  <c r="A1784" i="67"/>
  <c r="D1782" i="67"/>
  <c r="E1782" i="67"/>
  <c r="C1782" i="67" l="1"/>
  <c r="B1784" i="67"/>
  <c r="F1784" i="67"/>
  <c r="A1785" i="67"/>
  <c r="D1783" i="67"/>
  <c r="E1783" i="67"/>
  <c r="C1783" i="67" l="1"/>
  <c r="F1785" i="67"/>
  <c r="A1786" i="67"/>
  <c r="B1785" i="67"/>
  <c r="D1784" i="67"/>
  <c r="E1784" i="67"/>
  <c r="C1784" i="67" l="1"/>
  <c r="D1785" i="67"/>
  <c r="E1785" i="67"/>
  <c r="F1786" i="67"/>
  <c r="A1787" i="67"/>
  <c r="B1786" i="67"/>
  <c r="C1785" i="67" l="1"/>
  <c r="F1787" i="67"/>
  <c r="B1787" i="67"/>
  <c r="A1788" i="67"/>
  <c r="D1786" i="67"/>
  <c r="E1786" i="67"/>
  <c r="C1786" i="67" l="1"/>
  <c r="F1788" i="67"/>
  <c r="B1788" i="67"/>
  <c r="A1789" i="67"/>
  <c r="D1787" i="67"/>
  <c r="E1787" i="67"/>
  <c r="C1787" i="67" l="1"/>
  <c r="F1789" i="67"/>
  <c r="B1789" i="67"/>
  <c r="A1790" i="67"/>
  <c r="D1788" i="67"/>
  <c r="E1788" i="67"/>
  <c r="C1788" i="67" l="1"/>
  <c r="F1790" i="67"/>
  <c r="B1790" i="67"/>
  <c r="A1791" i="67"/>
  <c r="D1789" i="67"/>
  <c r="E1789" i="67"/>
  <c r="C1789" i="67" l="1"/>
  <c r="F1791" i="67"/>
  <c r="A1792" i="67"/>
  <c r="B1791" i="67"/>
  <c r="D1790" i="67"/>
  <c r="E1790" i="67"/>
  <c r="C1790" i="67" l="1"/>
  <c r="F1792" i="67"/>
  <c r="A1793" i="67"/>
  <c r="B1792" i="67"/>
  <c r="D1791" i="67"/>
  <c r="E1791" i="67"/>
  <c r="C1791" i="67" l="1"/>
  <c r="D1792" i="67"/>
  <c r="E1792" i="67"/>
  <c r="F1793" i="67"/>
  <c r="A1794" i="67"/>
  <c r="B1793" i="67"/>
  <c r="C1792" i="67" l="1"/>
  <c r="D1793" i="67"/>
  <c r="E1793" i="67"/>
  <c r="F1794" i="67"/>
  <c r="B1794" i="67"/>
  <c r="A1795" i="67"/>
  <c r="C1793" i="67" l="1"/>
  <c r="F1795" i="67"/>
  <c r="B1795" i="67"/>
  <c r="A1796" i="67"/>
  <c r="D1794" i="67"/>
  <c r="E1794" i="67"/>
  <c r="C1794" i="67" l="1"/>
  <c r="A1797" i="67"/>
  <c r="F1796" i="67"/>
  <c r="B1796" i="67"/>
  <c r="D1795" i="67"/>
  <c r="E1795" i="67"/>
  <c r="C1795" i="67" l="1"/>
  <c r="D1796" i="67"/>
  <c r="E1796" i="67"/>
  <c r="B1797" i="67"/>
  <c r="F1797" i="67"/>
  <c r="A1798" i="67"/>
  <c r="C1796" i="67" l="1"/>
  <c r="A1799" i="67"/>
  <c r="F1798" i="67"/>
  <c r="B1798" i="67"/>
  <c r="D1797" i="67"/>
  <c r="E1797" i="67"/>
  <c r="C1797" i="67" l="1"/>
  <c r="D1798" i="67"/>
  <c r="E1798" i="67"/>
  <c r="F1799" i="67"/>
  <c r="B1799" i="67"/>
  <c r="A1800" i="67"/>
  <c r="C1798" i="67" l="1"/>
  <c r="D1799" i="67"/>
  <c r="E1799" i="67"/>
  <c r="F1800" i="67"/>
  <c r="A1801" i="67"/>
  <c r="B1800" i="67"/>
  <c r="C1799" i="67" l="1"/>
  <c r="B1801" i="67"/>
  <c r="F1801" i="67"/>
  <c r="A1802" i="67"/>
  <c r="D1800" i="67"/>
  <c r="E1800" i="67"/>
  <c r="C1800" i="67" l="1"/>
  <c r="F1802" i="67"/>
  <c r="B1802" i="67"/>
  <c r="A1803" i="67"/>
  <c r="D1801" i="67"/>
  <c r="E1801" i="67"/>
  <c r="C1801" i="67" l="1"/>
  <c r="F1803" i="67"/>
  <c r="B1803" i="67"/>
  <c r="A1804" i="67"/>
  <c r="D1802" i="67"/>
  <c r="E1802" i="67"/>
  <c r="C1802" i="67" l="1"/>
  <c r="B1804" i="67"/>
  <c r="F1804" i="67"/>
  <c r="A1805" i="67"/>
  <c r="D1803" i="67"/>
  <c r="E1803" i="67"/>
  <c r="C1803" i="67" l="1"/>
  <c r="B1805" i="67"/>
  <c r="F1805" i="67"/>
  <c r="A1806" i="67"/>
  <c r="D1804" i="67"/>
  <c r="E1804" i="67"/>
  <c r="C1804" i="67" l="1"/>
  <c r="F1806" i="67"/>
  <c r="A1807" i="67"/>
  <c r="B1806" i="67"/>
  <c r="D1805" i="67"/>
  <c r="E1805" i="67"/>
  <c r="C1805" i="67" l="1"/>
  <c r="D1806" i="67"/>
  <c r="E1806" i="67"/>
  <c r="F1807" i="67"/>
  <c r="A1808" i="67"/>
  <c r="B1807" i="67"/>
  <c r="C1806" i="67" l="1"/>
  <c r="D1807" i="67"/>
  <c r="E1807" i="67"/>
  <c r="F1808" i="67"/>
  <c r="A1809" i="67"/>
  <c r="B1808" i="67"/>
  <c r="C1807" i="67" l="1"/>
  <c r="D1808" i="67"/>
  <c r="E1808" i="67"/>
  <c r="F1809" i="67"/>
  <c r="B1809" i="67"/>
  <c r="A1810" i="67"/>
  <c r="C1808" i="67" l="1"/>
  <c r="B1810" i="67"/>
  <c r="F1810" i="67"/>
  <c r="A1811" i="67"/>
  <c r="D1809" i="67"/>
  <c r="E1809" i="67"/>
  <c r="C1809" i="67" l="1"/>
  <c r="F1811" i="67"/>
  <c r="A1812" i="67"/>
  <c r="B1811" i="67"/>
  <c r="D1810" i="67"/>
  <c r="E1810" i="67"/>
  <c r="C1810" i="67" l="1"/>
  <c r="D1811" i="67"/>
  <c r="E1811" i="67"/>
  <c r="B1812" i="67"/>
  <c r="A1813" i="67"/>
  <c r="F1812" i="67"/>
  <c r="C1811" i="67" l="1"/>
  <c r="A1814" i="67"/>
  <c r="F1813" i="67"/>
  <c r="B1813" i="67"/>
  <c r="D1812" i="67"/>
  <c r="E1812" i="67"/>
  <c r="C1812" i="67" l="1"/>
  <c r="D1813" i="67"/>
  <c r="E1813" i="67"/>
  <c r="A1815" i="67"/>
  <c r="B1814" i="67"/>
  <c r="F1814" i="67"/>
  <c r="C1813" i="67" l="1"/>
  <c r="D1814" i="67"/>
  <c r="E1814" i="67"/>
  <c r="F1815" i="67"/>
  <c r="B1815" i="67"/>
  <c r="A1816" i="67"/>
  <c r="C1814" i="67" l="1"/>
  <c r="F1816" i="67"/>
  <c r="B1816" i="67"/>
  <c r="A1817" i="67"/>
  <c r="D1815" i="67"/>
  <c r="E1815" i="67"/>
  <c r="C1815" i="67" l="1"/>
  <c r="B1817" i="67"/>
  <c r="F1817" i="67"/>
  <c r="A1818" i="67"/>
  <c r="D1816" i="67"/>
  <c r="E1816" i="67"/>
  <c r="C1816" i="67" l="1"/>
  <c r="B1818" i="67"/>
  <c r="F1818" i="67"/>
  <c r="A1819" i="67"/>
  <c r="D1817" i="67"/>
  <c r="E1817" i="67"/>
  <c r="C1817" i="67" l="1"/>
  <c r="F1819" i="67"/>
  <c r="A1820" i="67"/>
  <c r="B1819" i="67"/>
  <c r="D1818" i="67"/>
  <c r="E1818" i="67"/>
  <c r="C1818" i="67" l="1"/>
  <c r="D1819" i="67"/>
  <c r="E1819" i="67"/>
  <c r="B1820" i="67"/>
  <c r="A1821" i="67"/>
  <c r="F1820" i="67"/>
  <c r="C1819" i="67" l="1"/>
  <c r="F1821" i="67"/>
  <c r="B1821" i="67"/>
  <c r="A1822" i="67"/>
  <c r="D1820" i="67"/>
  <c r="E1820" i="67"/>
  <c r="C1820" i="67" l="1"/>
  <c r="A1823" i="67"/>
  <c r="F1822" i="67"/>
  <c r="B1822" i="67"/>
  <c r="D1821" i="67"/>
  <c r="E1821" i="67"/>
  <c r="C1821" i="67" l="1"/>
  <c r="D1822" i="67"/>
  <c r="E1822" i="67"/>
  <c r="A1824" i="67"/>
  <c r="F1823" i="67"/>
  <c r="B1823" i="67"/>
  <c r="C1822" i="67" l="1"/>
  <c r="B1824" i="67"/>
  <c r="F1824" i="67"/>
  <c r="A1825" i="67"/>
  <c r="D1823" i="67"/>
  <c r="E1823" i="67"/>
  <c r="C1823" i="67" l="1"/>
  <c r="A1826" i="67"/>
  <c r="B1825" i="67"/>
  <c r="F1825" i="67"/>
  <c r="D1824" i="67"/>
  <c r="E1824" i="67"/>
  <c r="C1824" i="67" l="1"/>
  <c r="D1825" i="67"/>
  <c r="E1825" i="67"/>
  <c r="A1827" i="67"/>
  <c r="F1826" i="67"/>
  <c r="B1826" i="67"/>
  <c r="C1825" i="67" l="1"/>
  <c r="D1826" i="67"/>
  <c r="E1826" i="67"/>
  <c r="F1827" i="67"/>
  <c r="B1827" i="67"/>
  <c r="A1828" i="67"/>
  <c r="C1826" i="67" l="1"/>
  <c r="F1828" i="67"/>
  <c r="B1828" i="67"/>
  <c r="A1829" i="67"/>
  <c r="D1827" i="67"/>
  <c r="E1827" i="67"/>
  <c r="C1827" i="67" l="1"/>
  <c r="A1830" i="67"/>
  <c r="B1829" i="67"/>
  <c r="F1829" i="67"/>
  <c r="D1828" i="67"/>
  <c r="E1828" i="67"/>
  <c r="C1828" i="67" l="1"/>
  <c r="D1829" i="67"/>
  <c r="E1829" i="67"/>
  <c r="F1830" i="67"/>
  <c r="B1830" i="67"/>
  <c r="A1831" i="67"/>
  <c r="C1829" i="67" l="1"/>
  <c r="B1831" i="67"/>
  <c r="F1831" i="67"/>
  <c r="A1832" i="67"/>
  <c r="D1830" i="67"/>
  <c r="E1830" i="67"/>
  <c r="C1830" i="67" l="1"/>
  <c r="F1832" i="67"/>
  <c r="A1833" i="67"/>
  <c r="B1832" i="67"/>
  <c r="D1831" i="67"/>
  <c r="E1831" i="67"/>
  <c r="C1831" i="67" l="1"/>
  <c r="D1832" i="67"/>
  <c r="E1832" i="67"/>
  <c r="F1833" i="67"/>
  <c r="A1834" i="67"/>
  <c r="B1833" i="67"/>
  <c r="C1832" i="67" l="1"/>
  <c r="D1833" i="67"/>
  <c r="E1833" i="67"/>
  <c r="A1835" i="67"/>
  <c r="F1834" i="67"/>
  <c r="B1834" i="67"/>
  <c r="C1833" i="67" l="1"/>
  <c r="D1834" i="67"/>
  <c r="E1834" i="67"/>
  <c r="B1835" i="67"/>
  <c r="F1835" i="67"/>
  <c r="A1836" i="67"/>
  <c r="C1834" i="67" l="1"/>
  <c r="D1835" i="67"/>
  <c r="E1835" i="67"/>
  <c r="A1837" i="67"/>
  <c r="F1836" i="67"/>
  <c r="B1836" i="67"/>
  <c r="C1835" i="67" l="1"/>
  <c r="D1836" i="67"/>
  <c r="E1836" i="67"/>
  <c r="F1837" i="67"/>
  <c r="B1837" i="67"/>
  <c r="A1838" i="67"/>
  <c r="C1836" i="67" l="1"/>
  <c r="B1838" i="67"/>
  <c r="F1838" i="67"/>
  <c r="A1839" i="67"/>
  <c r="D1837" i="67"/>
  <c r="E1837" i="67"/>
  <c r="C1837" i="67" l="1"/>
  <c r="B1839" i="67"/>
  <c r="F1839" i="67"/>
  <c r="A1840" i="67"/>
  <c r="D1838" i="67"/>
  <c r="E1838" i="67"/>
  <c r="C1838" i="67" l="1"/>
  <c r="F1840" i="67"/>
  <c r="A1841" i="67"/>
  <c r="B1840" i="67"/>
  <c r="D1839" i="67"/>
  <c r="E1839" i="67"/>
  <c r="C1839" i="67" l="1"/>
  <c r="D1840" i="67"/>
  <c r="E1840" i="67"/>
  <c r="B1841" i="67"/>
  <c r="F1841" i="67"/>
  <c r="A1842" i="67"/>
  <c r="C1840" i="67" l="1"/>
  <c r="A1843" i="67"/>
  <c r="B1842" i="67"/>
  <c r="F1842" i="67"/>
  <c r="D1841" i="67"/>
  <c r="E1841" i="67"/>
  <c r="C1841" i="67" l="1"/>
  <c r="D1842" i="67"/>
  <c r="E1842" i="67"/>
  <c r="B1843" i="67"/>
  <c r="F1843" i="67"/>
  <c r="A1844" i="67"/>
  <c r="C1842" i="67" l="1"/>
  <c r="F1844" i="67"/>
  <c r="A1845" i="67"/>
  <c r="B1844" i="67"/>
  <c r="D1843" i="67"/>
  <c r="E1843" i="67"/>
  <c r="C1843" i="67" l="1"/>
  <c r="D1844" i="67"/>
  <c r="E1844" i="67"/>
  <c r="C1844" i="67" s="1"/>
  <c r="B1845" i="67"/>
  <c r="F1845" i="67"/>
  <c r="A1846" i="67"/>
  <c r="F1846" i="67" l="1"/>
  <c r="A1847" i="67"/>
  <c r="B1846" i="67"/>
  <c r="D1845" i="67"/>
  <c r="E1845" i="67"/>
  <c r="C1845" i="67" l="1"/>
  <c r="D1846" i="67"/>
  <c r="E1846" i="67"/>
  <c r="F1847" i="67"/>
  <c r="A1848" i="67"/>
  <c r="B1847" i="67"/>
  <c r="C1846" i="67" l="1"/>
  <c r="A1849" i="67"/>
  <c r="F1848" i="67"/>
  <c r="B1848" i="67"/>
  <c r="D1847" i="67"/>
  <c r="E1847" i="67"/>
  <c r="C1847" i="67" l="1"/>
  <c r="D1848" i="67"/>
  <c r="E1848" i="67"/>
  <c r="F1849" i="67"/>
  <c r="B1849" i="67"/>
  <c r="A1850" i="67"/>
  <c r="C1848" i="67" l="1"/>
  <c r="B1850" i="67"/>
  <c r="F1850" i="67"/>
  <c r="A1851" i="67"/>
  <c r="D1849" i="67"/>
  <c r="E1849" i="67"/>
  <c r="C1849" i="67" l="1"/>
  <c r="B1851" i="67"/>
  <c r="F1851" i="67"/>
  <c r="A1852" i="67"/>
  <c r="D1850" i="67"/>
  <c r="E1850" i="67"/>
  <c r="C1850" i="67" l="1"/>
  <c r="A1853" i="67"/>
  <c r="F1852" i="67"/>
  <c r="B1852" i="67"/>
  <c r="D1851" i="67"/>
  <c r="E1851" i="67"/>
  <c r="C1851" i="67" l="1"/>
  <c r="B1853" i="67"/>
  <c r="F1853" i="67"/>
  <c r="A1854" i="67"/>
  <c r="D1852" i="67"/>
  <c r="E1852" i="67"/>
  <c r="C1852" i="67" l="1"/>
  <c r="F1854" i="67"/>
  <c r="B1854" i="67"/>
  <c r="A1855" i="67"/>
  <c r="D1853" i="67"/>
  <c r="E1853" i="67"/>
  <c r="C1853" i="67" l="1"/>
  <c r="B1855" i="67"/>
  <c r="A1856" i="67"/>
  <c r="F1855" i="67"/>
  <c r="D1854" i="67"/>
  <c r="E1854" i="67"/>
  <c r="C1854" i="67" l="1"/>
  <c r="F1856" i="67"/>
  <c r="A1857" i="67"/>
  <c r="B1856" i="67"/>
  <c r="D1855" i="67"/>
  <c r="E1855" i="67"/>
  <c r="C1855" i="67" l="1"/>
  <c r="D1856" i="67"/>
  <c r="E1856" i="67"/>
  <c r="F1857" i="67"/>
  <c r="B1857" i="67"/>
  <c r="A1858" i="67"/>
  <c r="C1856" i="67" l="1"/>
  <c r="F1858" i="67"/>
  <c r="B1858" i="67"/>
  <c r="A1859" i="67"/>
  <c r="D1857" i="67"/>
  <c r="E1857" i="67"/>
  <c r="C1857" i="67" l="1"/>
  <c r="D1858" i="67"/>
  <c r="E1858" i="67"/>
  <c r="F1859" i="67"/>
  <c r="B1859" i="67"/>
  <c r="A1860" i="67"/>
  <c r="C1858" i="67" l="1"/>
  <c r="B1860" i="67"/>
  <c r="F1860" i="67"/>
  <c r="A1861" i="67"/>
  <c r="D1859" i="67"/>
  <c r="E1859" i="67"/>
  <c r="C1859" i="67" l="1"/>
  <c r="B1861" i="67"/>
  <c r="A1862" i="67"/>
  <c r="F1861" i="67"/>
  <c r="D1860" i="67"/>
  <c r="E1860" i="67"/>
  <c r="C1860" i="67" l="1"/>
  <c r="F1862" i="67"/>
  <c r="A1863" i="67"/>
  <c r="B1862" i="67"/>
  <c r="D1861" i="67"/>
  <c r="E1861" i="67"/>
  <c r="C1861" i="67" l="1"/>
  <c r="D1862" i="67"/>
  <c r="E1862" i="67"/>
  <c r="F1863" i="67"/>
  <c r="A1864" i="67"/>
  <c r="B1863" i="67"/>
  <c r="C1862" i="67" l="1"/>
  <c r="F1864" i="67"/>
  <c r="A1865" i="67"/>
  <c r="B1864" i="67"/>
  <c r="D1863" i="67"/>
  <c r="E1863" i="67"/>
  <c r="C1863" i="67" l="1"/>
  <c r="A1866" i="67"/>
  <c r="F1865" i="67"/>
  <c r="B1865" i="67"/>
  <c r="D1864" i="67"/>
  <c r="E1864" i="67"/>
  <c r="C1864" i="67" l="1"/>
  <c r="D1865" i="67"/>
  <c r="E1865" i="67"/>
  <c r="A1867" i="67"/>
  <c r="F1866" i="67"/>
  <c r="B1866" i="67"/>
  <c r="C1865" i="67" l="1"/>
  <c r="D1866" i="67"/>
  <c r="E1866" i="67"/>
  <c r="F1867" i="67"/>
  <c r="A1868" i="67"/>
  <c r="B1867" i="67"/>
  <c r="C1866" i="67" l="1"/>
  <c r="D1867" i="67"/>
  <c r="E1867" i="67"/>
  <c r="F1868" i="67"/>
  <c r="A1869" i="67"/>
  <c r="B1868" i="67"/>
  <c r="C1867" i="67" l="1"/>
  <c r="F1869" i="67"/>
  <c r="A1870" i="67"/>
  <c r="B1869" i="67"/>
  <c r="D1868" i="67"/>
  <c r="E1868" i="67"/>
  <c r="C1868" i="67" l="1"/>
  <c r="B1870" i="67"/>
  <c r="F1870" i="67"/>
  <c r="A1871" i="67"/>
  <c r="D1869" i="67"/>
  <c r="E1869" i="67"/>
  <c r="C1869" i="67" l="1"/>
  <c r="F1871" i="67"/>
  <c r="A1872" i="67"/>
  <c r="B1871" i="67"/>
  <c r="D1870" i="67"/>
  <c r="E1870" i="67"/>
  <c r="C1870" i="67" l="1"/>
  <c r="D1871" i="67"/>
  <c r="E1871" i="67"/>
  <c r="F1872" i="67"/>
  <c r="B1872" i="67"/>
  <c r="A1873" i="67"/>
  <c r="C1871" i="67" l="1"/>
  <c r="B1873" i="67"/>
  <c r="F1873" i="67"/>
  <c r="A1874" i="67"/>
  <c r="D1872" i="67"/>
  <c r="E1872" i="67"/>
  <c r="C1872" i="67" l="1"/>
  <c r="A1875" i="67"/>
  <c r="F1874" i="67"/>
  <c r="B1874" i="67"/>
  <c r="D1873" i="67"/>
  <c r="E1873" i="67"/>
  <c r="C1873" i="67" l="1"/>
  <c r="D1874" i="67"/>
  <c r="E1874" i="67"/>
  <c r="B1875" i="67"/>
  <c r="F1875" i="67"/>
  <c r="A1876" i="67"/>
  <c r="C1874" i="67" l="1"/>
  <c r="D1875" i="67"/>
  <c r="E1875" i="67"/>
  <c r="F1876" i="67"/>
  <c r="A1877" i="67"/>
  <c r="B1876" i="67"/>
  <c r="C1875" i="67" l="1"/>
  <c r="F1877" i="67"/>
  <c r="A1878" i="67"/>
  <c r="B1877" i="67"/>
  <c r="D1876" i="67"/>
  <c r="E1876" i="67"/>
  <c r="C1876" i="67" l="1"/>
  <c r="D1877" i="67"/>
  <c r="E1877" i="67"/>
  <c r="F1878" i="67"/>
  <c r="A1879" i="67"/>
  <c r="B1878" i="67"/>
  <c r="C1877" i="67" l="1"/>
  <c r="D1878" i="67"/>
  <c r="E1878" i="67"/>
  <c r="F1879" i="67"/>
  <c r="A1880" i="67"/>
  <c r="B1879" i="67"/>
  <c r="C1878" i="67" l="1"/>
  <c r="D1879" i="67"/>
  <c r="E1879" i="67"/>
  <c r="F1880" i="67"/>
  <c r="A1881" i="67"/>
  <c r="B1880" i="67"/>
  <c r="C1879" i="67" l="1"/>
  <c r="D1880" i="67"/>
  <c r="E1880" i="67"/>
  <c r="B1881" i="67"/>
  <c r="F1881" i="67"/>
  <c r="A1882" i="67"/>
  <c r="C1880" i="67" l="1"/>
  <c r="D1881" i="67"/>
  <c r="E1881" i="67"/>
  <c r="F1882" i="67"/>
  <c r="B1882" i="67"/>
  <c r="A1883" i="67"/>
  <c r="C1881" i="67" l="1"/>
  <c r="D1882" i="67"/>
  <c r="E1882" i="67"/>
  <c r="A1884" i="67"/>
  <c r="F1883" i="67"/>
  <c r="B1883" i="67"/>
  <c r="C1882" i="67" l="1"/>
  <c r="D1883" i="67"/>
  <c r="E1883" i="67"/>
  <c r="A1885" i="67"/>
  <c r="F1884" i="67"/>
  <c r="B1884" i="67"/>
  <c r="C1883" i="67" l="1"/>
  <c r="F1885" i="67"/>
  <c r="B1885" i="67"/>
  <c r="A1886" i="67"/>
  <c r="D1884" i="67"/>
  <c r="E1884" i="67"/>
  <c r="C1884" i="67" l="1"/>
  <c r="D1885" i="67"/>
  <c r="E1885" i="67"/>
  <c r="A1887" i="67"/>
  <c r="F1886" i="67"/>
  <c r="B1886" i="67"/>
  <c r="C1885" i="67" l="1"/>
  <c r="D1886" i="67"/>
  <c r="E1886" i="67"/>
  <c r="B1887" i="67"/>
  <c r="F1887" i="67"/>
  <c r="A1888" i="67"/>
  <c r="C1886" i="67" l="1"/>
  <c r="F1888" i="67"/>
  <c r="B1888" i="67"/>
  <c r="A1889" i="67"/>
  <c r="D1887" i="67"/>
  <c r="E1887" i="67"/>
  <c r="C1887" i="67" l="1"/>
  <c r="A1890" i="67"/>
  <c r="B1889" i="67"/>
  <c r="F1889" i="67"/>
  <c r="D1888" i="67"/>
  <c r="E1888" i="67"/>
  <c r="C1888" i="67" l="1"/>
  <c r="D1889" i="67"/>
  <c r="E1889" i="67"/>
  <c r="A1891" i="67"/>
  <c r="F1890" i="67"/>
  <c r="B1890" i="67"/>
  <c r="C1889" i="67" l="1"/>
  <c r="D1890" i="67"/>
  <c r="E1890" i="67"/>
  <c r="B1891" i="67"/>
  <c r="F1891" i="67"/>
  <c r="A1892" i="67"/>
  <c r="C1890" i="67" l="1"/>
  <c r="F1892" i="67"/>
  <c r="A1893" i="67"/>
  <c r="B1892" i="67"/>
  <c r="D1891" i="67"/>
  <c r="E1891" i="67"/>
  <c r="C1891" i="67" l="1"/>
  <c r="F1893" i="67"/>
  <c r="B1893" i="67"/>
  <c r="A1894" i="67"/>
  <c r="D1892" i="67"/>
  <c r="E1892" i="67"/>
  <c r="C1892" i="67" l="1"/>
  <c r="B1894" i="67"/>
  <c r="F1894" i="67"/>
  <c r="A1895" i="67"/>
  <c r="D1893" i="67"/>
  <c r="E1893" i="67"/>
  <c r="C1893" i="67" l="1"/>
  <c r="F1895" i="67"/>
  <c r="B1895" i="67"/>
  <c r="A1896" i="67"/>
  <c r="D1894" i="67"/>
  <c r="E1894" i="67"/>
  <c r="C1894" i="67" l="1"/>
  <c r="F1896" i="67"/>
  <c r="B1896" i="67"/>
  <c r="A1897" i="67"/>
  <c r="D1895" i="67"/>
  <c r="E1895" i="67"/>
  <c r="C1895" i="67" l="1"/>
  <c r="D1896" i="67"/>
  <c r="E1896" i="67"/>
  <c r="F1897" i="67"/>
  <c r="B1897" i="67"/>
  <c r="A1898" i="67"/>
  <c r="C1896" i="67" l="1"/>
  <c r="F1898" i="67"/>
  <c r="A1899" i="67"/>
  <c r="B1898" i="67"/>
  <c r="D1897" i="67"/>
  <c r="E1897" i="67"/>
  <c r="C1897" i="67" l="1"/>
  <c r="F1899" i="67"/>
  <c r="B1899" i="67"/>
  <c r="A1900" i="67"/>
  <c r="D1898" i="67"/>
  <c r="E1898" i="67"/>
  <c r="C1898" i="67" l="1"/>
  <c r="F1900" i="67"/>
  <c r="B1900" i="67"/>
  <c r="A1901" i="67"/>
  <c r="D1899" i="67"/>
  <c r="E1899" i="67"/>
  <c r="C1899" i="67" l="1"/>
  <c r="F1901" i="67"/>
  <c r="B1901" i="67"/>
  <c r="A1902" i="67"/>
  <c r="D1900" i="67"/>
  <c r="E1900" i="67"/>
  <c r="C1900" i="67" l="1"/>
  <c r="F1902" i="67"/>
  <c r="B1902" i="67"/>
  <c r="A1903" i="67"/>
  <c r="D1901" i="67"/>
  <c r="E1901" i="67"/>
  <c r="C1901" i="67" l="1"/>
  <c r="B1903" i="67"/>
  <c r="A1904" i="67"/>
  <c r="F1903" i="67"/>
  <c r="D1902" i="67"/>
  <c r="E1902" i="67"/>
  <c r="C1902" i="67" l="1"/>
  <c r="F1904" i="67"/>
  <c r="A1905" i="67"/>
  <c r="B1904" i="67"/>
  <c r="D1903" i="67"/>
  <c r="E1903" i="67"/>
  <c r="C1903" i="67" l="1"/>
  <c r="D1904" i="67"/>
  <c r="E1904" i="67"/>
  <c r="B1905" i="67"/>
  <c r="A1906" i="67"/>
  <c r="F1905" i="67"/>
  <c r="C1904" i="67" l="1"/>
  <c r="A1907" i="67"/>
  <c r="B1906" i="67"/>
  <c r="F1906" i="67"/>
  <c r="D1905" i="67"/>
  <c r="E1905" i="67"/>
  <c r="C1905" i="67" l="1"/>
  <c r="D1906" i="67"/>
  <c r="E1906" i="67"/>
  <c r="B1907" i="67"/>
  <c r="F1907" i="67"/>
  <c r="A1908" i="67"/>
  <c r="C1906" i="67" l="1"/>
  <c r="F1908" i="67"/>
  <c r="A1909" i="67"/>
  <c r="B1908" i="67"/>
  <c r="D1907" i="67"/>
  <c r="E1907" i="67"/>
  <c r="C1907" i="67" l="1"/>
  <c r="F1909" i="67"/>
  <c r="A1910" i="67"/>
  <c r="B1909" i="67"/>
  <c r="D1908" i="67"/>
  <c r="E1908" i="67"/>
  <c r="C1908" i="67" l="1"/>
  <c r="A1911" i="67"/>
  <c r="F1910" i="67"/>
  <c r="B1910" i="67"/>
  <c r="D1909" i="67"/>
  <c r="E1909" i="67"/>
  <c r="C1909" i="67" l="1"/>
  <c r="D1910" i="67"/>
  <c r="E1910" i="67"/>
  <c r="A1912" i="67"/>
  <c r="F1911" i="67"/>
  <c r="B1911" i="67"/>
  <c r="C1910" i="67" l="1"/>
  <c r="D1911" i="67"/>
  <c r="E1911" i="67"/>
  <c r="F1912" i="67"/>
  <c r="A1913" i="67"/>
  <c r="B1912" i="67"/>
  <c r="C1911" i="67" l="1"/>
  <c r="D1912" i="67"/>
  <c r="E1912" i="67"/>
  <c r="F1913" i="67"/>
  <c r="A1914" i="67"/>
  <c r="B1913" i="67"/>
  <c r="C1912" i="67" l="1"/>
  <c r="D1913" i="67"/>
  <c r="E1913" i="67"/>
  <c r="B1914" i="67"/>
  <c r="F1914" i="67"/>
  <c r="A1915" i="67"/>
  <c r="C1913" i="67" l="1"/>
  <c r="B1915" i="67"/>
  <c r="A1916" i="67"/>
  <c r="F1915" i="67"/>
  <c r="D1914" i="67"/>
  <c r="E1914" i="67"/>
  <c r="C1914" i="67" l="1"/>
  <c r="F1916" i="67"/>
  <c r="A1917" i="67"/>
  <c r="B1916" i="67"/>
  <c r="D1915" i="67"/>
  <c r="E1915" i="67"/>
  <c r="C1915" i="67" l="1"/>
  <c r="D1916" i="67"/>
  <c r="E1916" i="67"/>
  <c r="B1917" i="67"/>
  <c r="F1917" i="67"/>
  <c r="A1918" i="67"/>
  <c r="C1916" i="67" l="1"/>
  <c r="F1918" i="67"/>
  <c r="B1918" i="67"/>
  <c r="A1919" i="67"/>
  <c r="D1917" i="67"/>
  <c r="E1917" i="67"/>
  <c r="C1917" i="67" l="1"/>
  <c r="F1919" i="67"/>
  <c r="A1920" i="67"/>
  <c r="B1919" i="67"/>
  <c r="D1918" i="67"/>
  <c r="E1918" i="67"/>
  <c r="C1918" i="67" l="1"/>
  <c r="D1919" i="67"/>
  <c r="E1919" i="67"/>
  <c r="A1921" i="67"/>
  <c r="F1920" i="67"/>
  <c r="B1920" i="67"/>
  <c r="C1919" i="67" l="1"/>
  <c r="D1920" i="67"/>
  <c r="E1920" i="67"/>
  <c r="A1922" i="67"/>
  <c r="B1921" i="67"/>
  <c r="F1921" i="67"/>
  <c r="C1920" i="67" l="1"/>
  <c r="B1922" i="67"/>
  <c r="F1922" i="67"/>
  <c r="A1923" i="67"/>
  <c r="D1921" i="67"/>
  <c r="E1921" i="67"/>
  <c r="C1921" i="67" l="1"/>
  <c r="B1923" i="67"/>
  <c r="F1923" i="67"/>
  <c r="A1924" i="67"/>
  <c r="D1922" i="67"/>
  <c r="E1922" i="67"/>
  <c r="C1922" i="67" l="1"/>
  <c r="F1924" i="67"/>
  <c r="B1924" i="67"/>
  <c r="A1925" i="67"/>
  <c r="D1923" i="67"/>
  <c r="E1923" i="67"/>
  <c r="C1923" i="67" l="1"/>
  <c r="F1925" i="67"/>
  <c r="B1925" i="67"/>
  <c r="A1926" i="67"/>
  <c r="D1924" i="67"/>
  <c r="E1924" i="67"/>
  <c r="C1924" i="67" l="1"/>
  <c r="F1926" i="67"/>
  <c r="A1927" i="67"/>
  <c r="B1926" i="67"/>
  <c r="D1925" i="67"/>
  <c r="E1925" i="67"/>
  <c r="C1925" i="67" l="1"/>
  <c r="D1926" i="67"/>
  <c r="E1926" i="67"/>
  <c r="B1927" i="67"/>
  <c r="F1927" i="67"/>
  <c r="A1928" i="67"/>
  <c r="C1926" i="67" l="1"/>
  <c r="F1928" i="67"/>
  <c r="A1929" i="67"/>
  <c r="B1928" i="67"/>
  <c r="D1927" i="67"/>
  <c r="E1927" i="67"/>
  <c r="C1927" i="67" l="1"/>
  <c r="D1928" i="67"/>
  <c r="E1928" i="67"/>
  <c r="B1929" i="67"/>
  <c r="A1930" i="67"/>
  <c r="F1929" i="67"/>
  <c r="C1928" i="67" l="1"/>
  <c r="A1931" i="67"/>
  <c r="F1930" i="67"/>
  <c r="B1930" i="67"/>
  <c r="D1929" i="67"/>
  <c r="E1929" i="67"/>
  <c r="C1929" i="67" l="1"/>
  <c r="D1930" i="67"/>
  <c r="E1930" i="67"/>
  <c r="B1931" i="67"/>
  <c r="F1931" i="67"/>
  <c r="A1932" i="67"/>
  <c r="C1930" i="67" l="1"/>
  <c r="A1933" i="67"/>
  <c r="F1932" i="67"/>
  <c r="B1932" i="67"/>
  <c r="D1931" i="67"/>
  <c r="E1931" i="67"/>
  <c r="C1931" i="67" l="1"/>
  <c r="D1932" i="67"/>
  <c r="E1932" i="67"/>
  <c r="B1933" i="67"/>
  <c r="F1933" i="67"/>
  <c r="A1934" i="67"/>
  <c r="C1932" i="67" l="1"/>
  <c r="A1935" i="67"/>
  <c r="F1934" i="67"/>
  <c r="B1934" i="67"/>
  <c r="D1933" i="67"/>
  <c r="E1933" i="67"/>
  <c r="C1933" i="67" l="1"/>
  <c r="D1934" i="67"/>
  <c r="E1934" i="67"/>
  <c r="F1935" i="67"/>
  <c r="A1936" i="67"/>
  <c r="B1935" i="67"/>
  <c r="C1934" i="67" l="1"/>
  <c r="D1935" i="67"/>
  <c r="E1935" i="67"/>
  <c r="A1937" i="67"/>
  <c r="B1936" i="67"/>
  <c r="F1936" i="67"/>
  <c r="C1935" i="67" l="1"/>
  <c r="D1936" i="67"/>
  <c r="E1936" i="67"/>
  <c r="A1938" i="67"/>
  <c r="F1937" i="67"/>
  <c r="B1937" i="67"/>
  <c r="C1936" i="67" l="1"/>
  <c r="D1937" i="67"/>
  <c r="E1937" i="67"/>
  <c r="F1938" i="67"/>
  <c r="A1939" i="67"/>
  <c r="B1938" i="67"/>
  <c r="C1937" i="67" l="1"/>
  <c r="D1938" i="67"/>
  <c r="E1938" i="67"/>
  <c r="B1939" i="67"/>
  <c r="A1940" i="67"/>
  <c r="F1939" i="67"/>
  <c r="C1938" i="67" l="1"/>
  <c r="A1941" i="67"/>
  <c r="B1940" i="67"/>
  <c r="F1940" i="67"/>
  <c r="D1939" i="67"/>
  <c r="E1939" i="67"/>
  <c r="C1939" i="67" l="1"/>
  <c r="D1940" i="67"/>
  <c r="E1940" i="67"/>
  <c r="B1941" i="67"/>
  <c r="F1941" i="67"/>
  <c r="A1942" i="67"/>
  <c r="C1940" i="67" l="1"/>
  <c r="F1942" i="67"/>
  <c r="A1943" i="67"/>
  <c r="B1942" i="67"/>
  <c r="D1941" i="67"/>
  <c r="E1941" i="67"/>
  <c r="C1941" i="67" l="1"/>
  <c r="F1943" i="67"/>
  <c r="A1944" i="67"/>
  <c r="B1943" i="67"/>
  <c r="D1942" i="67"/>
  <c r="E1942" i="67"/>
  <c r="C1942" i="67" l="1"/>
  <c r="D1943" i="67"/>
  <c r="E1943" i="67"/>
  <c r="F1944" i="67"/>
  <c r="B1944" i="67"/>
  <c r="A1945" i="67"/>
  <c r="C1943" i="67" l="1"/>
  <c r="F1945" i="67"/>
  <c r="A1946" i="67"/>
  <c r="B1945" i="67"/>
  <c r="D1944" i="67"/>
  <c r="E1944" i="67"/>
  <c r="C1944" i="67" l="1"/>
  <c r="D1945" i="67"/>
  <c r="E1945" i="67"/>
  <c r="F1946" i="67"/>
  <c r="A1947" i="67"/>
  <c r="B1946" i="67"/>
  <c r="C1945" i="67" l="1"/>
  <c r="D1946" i="67"/>
  <c r="E1946" i="67"/>
  <c r="A1948" i="67"/>
  <c r="F1947" i="67"/>
  <c r="B1947" i="67"/>
  <c r="C1946" i="67" l="1"/>
  <c r="D1947" i="67"/>
  <c r="E1947" i="67"/>
  <c r="A1949" i="67"/>
  <c r="F1948" i="67"/>
  <c r="B1948" i="67"/>
  <c r="C1947" i="67" l="1"/>
  <c r="F1949" i="67"/>
  <c r="A1950" i="67"/>
  <c r="B1949" i="67"/>
  <c r="D1948" i="67"/>
  <c r="E1948" i="67"/>
  <c r="C1948" i="67" l="1"/>
  <c r="D1949" i="67"/>
  <c r="E1949" i="67"/>
  <c r="B1950" i="67"/>
  <c r="F1950" i="67"/>
  <c r="A1951" i="67"/>
  <c r="C1949" i="67" l="1"/>
  <c r="F1951" i="67"/>
  <c r="A1952" i="67"/>
  <c r="B1951" i="67"/>
  <c r="D1950" i="67"/>
  <c r="E1950" i="67"/>
  <c r="C1950" i="67" l="1"/>
  <c r="D1951" i="67"/>
  <c r="E1951" i="67"/>
  <c r="A1953" i="67"/>
  <c r="F1952" i="67"/>
  <c r="B1952" i="67"/>
  <c r="C1951" i="67" l="1"/>
  <c r="D1952" i="67"/>
  <c r="E1952" i="67"/>
  <c r="A1954" i="67"/>
  <c r="F1953" i="67"/>
  <c r="B1953" i="67"/>
  <c r="C1952" i="67" l="1"/>
  <c r="A1955" i="67"/>
  <c r="F1954" i="67"/>
  <c r="B1954" i="67"/>
  <c r="D1953" i="67"/>
  <c r="E1953" i="67"/>
  <c r="C1953" i="67" l="1"/>
  <c r="D1954" i="67"/>
  <c r="E1954" i="67"/>
  <c r="F1955" i="67"/>
  <c r="A1956" i="67"/>
  <c r="B1955" i="67"/>
  <c r="C1954" i="67" l="1"/>
  <c r="A1957" i="67"/>
  <c r="F1956" i="67"/>
  <c r="B1956" i="67"/>
  <c r="D1955" i="67"/>
  <c r="E1955" i="67"/>
  <c r="C1955" i="67" l="1"/>
  <c r="D1956" i="67"/>
  <c r="E1956" i="67"/>
  <c r="B1957" i="67"/>
  <c r="F1957" i="67"/>
  <c r="A1958" i="67"/>
  <c r="C1956" i="67" l="1"/>
  <c r="B1958" i="67"/>
  <c r="F1958" i="67"/>
  <c r="A1959" i="67"/>
  <c r="D1957" i="67"/>
  <c r="E1957" i="67"/>
  <c r="C1957" i="67" l="1"/>
  <c r="F1959" i="67"/>
  <c r="B1959" i="67"/>
  <c r="A1960" i="67"/>
  <c r="D1958" i="67"/>
  <c r="E1958" i="67"/>
  <c r="C1958" i="67" l="1"/>
  <c r="B1960" i="67"/>
  <c r="F1960" i="67"/>
  <c r="A1961" i="67"/>
  <c r="D1959" i="67"/>
  <c r="E1959" i="67"/>
  <c r="C1959" i="67" l="1"/>
  <c r="A1962" i="67"/>
  <c r="B1961" i="67"/>
  <c r="F1961" i="67"/>
  <c r="D1960" i="67"/>
  <c r="E1960" i="67"/>
  <c r="C1960" i="67" l="1"/>
  <c r="D1961" i="67"/>
  <c r="E1961" i="67"/>
  <c r="F1962" i="67"/>
  <c r="A1963" i="67"/>
  <c r="B1962" i="67"/>
  <c r="C1961" i="67" l="1"/>
  <c r="B1963" i="67"/>
  <c r="A1964" i="67"/>
  <c r="F1963" i="67"/>
  <c r="D1962" i="67"/>
  <c r="E1962" i="67"/>
  <c r="C1962" i="67" l="1"/>
  <c r="A1965" i="67"/>
  <c r="F1964" i="67"/>
  <c r="B1964" i="67"/>
  <c r="D1963" i="67"/>
  <c r="E1963" i="67"/>
  <c r="C1963" i="67" l="1"/>
  <c r="D1964" i="67"/>
  <c r="E1964" i="67"/>
  <c r="B1965" i="67"/>
  <c r="F1965" i="67"/>
  <c r="A1966" i="67"/>
  <c r="C1964" i="67" l="1"/>
  <c r="B1966" i="67"/>
  <c r="F1966" i="67"/>
  <c r="A1967" i="67"/>
  <c r="D1965" i="67"/>
  <c r="E1965" i="67"/>
  <c r="C1965" i="67" l="1"/>
  <c r="F1967" i="67"/>
  <c r="A1968" i="67"/>
  <c r="B1967" i="67"/>
  <c r="D1966" i="67"/>
  <c r="E1966" i="67"/>
  <c r="C1966" i="67" l="1"/>
  <c r="B1968" i="67"/>
  <c r="F1968" i="67"/>
  <c r="A1969" i="67"/>
  <c r="D1967" i="67"/>
  <c r="E1967" i="67"/>
  <c r="C1967" i="67" l="1"/>
  <c r="A1970" i="67"/>
  <c r="F1969" i="67"/>
  <c r="B1969" i="67"/>
  <c r="D1968" i="67"/>
  <c r="E1968" i="67"/>
  <c r="C1968" i="67" l="1"/>
  <c r="D1969" i="67"/>
  <c r="E1969" i="67"/>
  <c r="B1970" i="67"/>
  <c r="F1970" i="67"/>
  <c r="A1971" i="67"/>
  <c r="C1969" i="67" l="1"/>
  <c r="B1971" i="67"/>
  <c r="F1971" i="67"/>
  <c r="A1972" i="67"/>
  <c r="D1970" i="67"/>
  <c r="E1970" i="67"/>
  <c r="C1970" i="67" l="1"/>
  <c r="B1972" i="67"/>
  <c r="F1972" i="67"/>
  <c r="A1973" i="67"/>
  <c r="D1971" i="67"/>
  <c r="E1971" i="67"/>
  <c r="C1971" i="67" l="1"/>
  <c r="F1973" i="67"/>
  <c r="A1974" i="67"/>
  <c r="B1973" i="67"/>
  <c r="D1972" i="67"/>
  <c r="E1972" i="67"/>
  <c r="C1972" i="67" l="1"/>
  <c r="D1973" i="67"/>
  <c r="E1973" i="67"/>
  <c r="F1974" i="67"/>
  <c r="A1975" i="67"/>
  <c r="B1974" i="67"/>
  <c r="C1973" i="67" l="1"/>
  <c r="D1974" i="67"/>
  <c r="E1974" i="67"/>
  <c r="C1974" i="67" s="1"/>
  <c r="B1975" i="67"/>
  <c r="F1975" i="67"/>
  <c r="A1976" i="67"/>
  <c r="B1976" i="67" l="1"/>
  <c r="F1976" i="67"/>
  <c r="A1977" i="67"/>
  <c r="D1975" i="67"/>
  <c r="E1975" i="67"/>
  <c r="C1975" i="67" l="1"/>
  <c r="B1977" i="67"/>
  <c r="F1977" i="67"/>
  <c r="A1978" i="67"/>
  <c r="D1976" i="67"/>
  <c r="E1976" i="67"/>
  <c r="C1976" i="67" l="1"/>
  <c r="A1979" i="67"/>
  <c r="F1978" i="67"/>
  <c r="B1978" i="67"/>
  <c r="D1977" i="67"/>
  <c r="E1977" i="67"/>
  <c r="C1977" i="67" l="1"/>
  <c r="D1978" i="67"/>
  <c r="E1978" i="67"/>
  <c r="B1979" i="67"/>
  <c r="F1979" i="67"/>
  <c r="A1980" i="67"/>
  <c r="C1978" i="67" l="1"/>
  <c r="F1980" i="67"/>
  <c r="A1981" i="67"/>
  <c r="B1980" i="67"/>
  <c r="D1979" i="67"/>
  <c r="E1979" i="67"/>
  <c r="C1979" i="67" l="1"/>
  <c r="D1980" i="67"/>
  <c r="E1980" i="67"/>
  <c r="F1981" i="67"/>
  <c r="A1982" i="67"/>
  <c r="B1981" i="67"/>
  <c r="C1980" i="67" l="1"/>
  <c r="D1981" i="67"/>
  <c r="E1981" i="67"/>
  <c r="F1982" i="67"/>
  <c r="A1983" i="67"/>
  <c r="B1982" i="67"/>
  <c r="C1981" i="67" l="1"/>
  <c r="F1983" i="67"/>
  <c r="A1984" i="67"/>
  <c r="B1983" i="67"/>
  <c r="D1982" i="67"/>
  <c r="E1982" i="67"/>
  <c r="C1982" i="67" l="1"/>
  <c r="D1983" i="67"/>
  <c r="E1983" i="67"/>
  <c r="B1984" i="67"/>
  <c r="F1984" i="67"/>
  <c r="A1985" i="67"/>
  <c r="C1983" i="67" l="1"/>
  <c r="A1986" i="67"/>
  <c r="B1985" i="67"/>
  <c r="F1985" i="67"/>
  <c r="D1984" i="67"/>
  <c r="E1984" i="67"/>
  <c r="C1984" i="67" l="1"/>
  <c r="D1985" i="67"/>
  <c r="E1985" i="67"/>
  <c r="F1986" i="67"/>
  <c r="B1986" i="67"/>
  <c r="A1987" i="67"/>
  <c r="C1985" i="67" l="1"/>
  <c r="B1987" i="67"/>
  <c r="F1987" i="67"/>
  <c r="A1988" i="67"/>
  <c r="D1986" i="67"/>
  <c r="E1986" i="67"/>
  <c r="C1986" i="67" l="1"/>
  <c r="B1988" i="67"/>
  <c r="F1988" i="67"/>
  <c r="A1989" i="67"/>
  <c r="D1987" i="67"/>
  <c r="E1987" i="67"/>
  <c r="C1987" i="67" l="1"/>
  <c r="F1989" i="67"/>
  <c r="A1990" i="67"/>
  <c r="B1989" i="67"/>
  <c r="D1988" i="67"/>
  <c r="E1988" i="67"/>
  <c r="C1988" i="67" l="1"/>
  <c r="D1989" i="67"/>
  <c r="E1989" i="67"/>
  <c r="F1990" i="67"/>
  <c r="B1990" i="67"/>
  <c r="A1991" i="67"/>
  <c r="C1989" i="67" l="1"/>
  <c r="A1992" i="67"/>
  <c r="F1991" i="67"/>
  <c r="B1991" i="67"/>
  <c r="D1990" i="67"/>
  <c r="E1990" i="67"/>
  <c r="C1990" i="67" l="1"/>
  <c r="D1991" i="67"/>
  <c r="E1991" i="67"/>
  <c r="A1993" i="67"/>
  <c r="B1992" i="67"/>
  <c r="F1992" i="67"/>
  <c r="C1991" i="67" l="1"/>
  <c r="D1992" i="67"/>
  <c r="E1992" i="67"/>
  <c r="B1993" i="67"/>
  <c r="F1993" i="67"/>
  <c r="A1994" i="67"/>
  <c r="C1992" i="67" l="1"/>
  <c r="F1994" i="67"/>
  <c r="A1995" i="67"/>
  <c r="B1994" i="67"/>
  <c r="D1993" i="67"/>
  <c r="E1993" i="67"/>
  <c r="C1993" i="67" l="1"/>
  <c r="D1994" i="67"/>
  <c r="E1994" i="67"/>
  <c r="B1995" i="67"/>
  <c r="A1996" i="67"/>
  <c r="F1995" i="67"/>
  <c r="C1994" i="67" l="1"/>
  <c r="D1995" i="67"/>
  <c r="E1995" i="67"/>
  <c r="B1996" i="67"/>
  <c r="F1996" i="67"/>
  <c r="A1997" i="67"/>
  <c r="C1995" i="67" l="1"/>
  <c r="D1996" i="67"/>
  <c r="E1996" i="67"/>
  <c r="F1997" i="67"/>
  <c r="A1998" i="67"/>
  <c r="B1997" i="67"/>
  <c r="C1996" i="67" l="1"/>
  <c r="D1997" i="67"/>
  <c r="E1997" i="67"/>
  <c r="F1998" i="67"/>
  <c r="B1998" i="67"/>
  <c r="A1999" i="67"/>
  <c r="C1997" i="67" l="1"/>
  <c r="F1999" i="67"/>
  <c r="A2000" i="67"/>
  <c r="B1999" i="67"/>
  <c r="D1998" i="67"/>
  <c r="E1998" i="67"/>
  <c r="C1998" i="67" l="1"/>
  <c r="D1999" i="67"/>
  <c r="E1999" i="67"/>
  <c r="A2001" i="67"/>
  <c r="F2000" i="67"/>
  <c r="B2000" i="67"/>
  <c r="C1999" i="67" l="1"/>
  <c r="D2000" i="67"/>
  <c r="E2000" i="67"/>
  <c r="F2001" i="67"/>
  <c r="A2002" i="67"/>
  <c r="B2001" i="67"/>
  <c r="C2000" i="67" l="1"/>
  <c r="D2001" i="67"/>
  <c r="E2001" i="67"/>
  <c r="A2003" i="67"/>
  <c r="B2002" i="67"/>
  <c r="F2002" i="67"/>
  <c r="C2001" i="67" l="1"/>
  <c r="D2002" i="67"/>
  <c r="E2002" i="67"/>
  <c r="F2003" i="67"/>
  <c r="A2004" i="67"/>
  <c r="B2003" i="67"/>
  <c r="C2002" i="67" l="1"/>
  <c r="D2003" i="67"/>
  <c r="E2003" i="67"/>
  <c r="F2004" i="67"/>
  <c r="A2005" i="67"/>
  <c r="B2004" i="67"/>
  <c r="C2003" i="67" l="1"/>
  <c r="D2004" i="67"/>
  <c r="E2004" i="67"/>
  <c r="F2005" i="67"/>
  <c r="B2005" i="67"/>
  <c r="A2006" i="67"/>
  <c r="C2004" i="67" l="1"/>
  <c r="F2006" i="67"/>
  <c r="B2006" i="67"/>
  <c r="A2007" i="67"/>
  <c r="D2005" i="67"/>
  <c r="E2005" i="67"/>
  <c r="C2005" i="67" l="1"/>
  <c r="F2007" i="67"/>
  <c r="B2007" i="67"/>
  <c r="A2008" i="67"/>
  <c r="D2006" i="67"/>
  <c r="E2006" i="67"/>
  <c r="C2006" i="67" l="1"/>
  <c r="A2009" i="67"/>
  <c r="F2008" i="67"/>
  <c r="B2008" i="67"/>
  <c r="D2007" i="67"/>
  <c r="E2007" i="67"/>
  <c r="C2007" i="67" l="1"/>
  <c r="D2008" i="67"/>
  <c r="E2008" i="67"/>
  <c r="B2009" i="67"/>
  <c r="F2009" i="67"/>
  <c r="A2010" i="67"/>
  <c r="C2008" i="67" l="1"/>
  <c r="D2009" i="67"/>
  <c r="E2009" i="67"/>
  <c r="F2010" i="67"/>
  <c r="A2011" i="67"/>
  <c r="B2010" i="67"/>
  <c r="C2009" i="67" l="1"/>
  <c r="D2010" i="67"/>
  <c r="E2010" i="67"/>
  <c r="F2011" i="67"/>
  <c r="A2012" i="67"/>
  <c r="B2011" i="67"/>
  <c r="C2010" i="67" l="1"/>
  <c r="D2011" i="67"/>
  <c r="E2011" i="67"/>
  <c r="F2012" i="67"/>
  <c r="A2013" i="67"/>
  <c r="B2012" i="67"/>
  <c r="C2011" i="67" l="1"/>
  <c r="D2012" i="67"/>
  <c r="E2012" i="67"/>
  <c r="A2014" i="67"/>
  <c r="F2013" i="67"/>
  <c r="B2013" i="67"/>
  <c r="C2012" i="67" l="1"/>
  <c r="D2013" i="67"/>
  <c r="E2013" i="67"/>
  <c r="F2014" i="67"/>
  <c r="A2015" i="67"/>
  <c r="B2014" i="67"/>
  <c r="C2013" i="67" l="1"/>
  <c r="F2015" i="67"/>
  <c r="A2016" i="67"/>
  <c r="B2015" i="67"/>
  <c r="D2014" i="67"/>
  <c r="E2014" i="67"/>
  <c r="C2014" i="67" l="1"/>
  <c r="D2015" i="67"/>
  <c r="E2015" i="67"/>
  <c r="F2016" i="67"/>
  <c r="A2017" i="67"/>
  <c r="B2016" i="67"/>
  <c r="C2015" i="67" l="1"/>
  <c r="D2016" i="67"/>
  <c r="E2016" i="67"/>
  <c r="F2017" i="67"/>
  <c r="A2018" i="67"/>
  <c r="B2017" i="67"/>
  <c r="C2016" i="67" l="1"/>
  <c r="D2017" i="67"/>
  <c r="E2017" i="67"/>
  <c r="F2018" i="67"/>
  <c r="B2018" i="67"/>
  <c r="A2019" i="67"/>
  <c r="C2017" i="67" l="1"/>
  <c r="A2020" i="67"/>
  <c r="F2019" i="67"/>
  <c r="B2019" i="67"/>
  <c r="D2018" i="67"/>
  <c r="E2018" i="67"/>
  <c r="C2018" i="67" l="1"/>
  <c r="D2019" i="67"/>
  <c r="E2019" i="67"/>
  <c r="B2020" i="67"/>
  <c r="F2020" i="67"/>
  <c r="A2021" i="67"/>
  <c r="C2019" i="67" l="1"/>
  <c r="A2022" i="67"/>
  <c r="F2021" i="67"/>
  <c r="B2021" i="67"/>
  <c r="D2020" i="67"/>
  <c r="E2020" i="67"/>
  <c r="C2020" i="67" l="1"/>
  <c r="D2021" i="67"/>
  <c r="E2021" i="67"/>
  <c r="F2022" i="67"/>
  <c r="A2023" i="67"/>
  <c r="B2022" i="67"/>
  <c r="C2021" i="67" l="1"/>
  <c r="D2022" i="67"/>
  <c r="E2022" i="67"/>
  <c r="B2023" i="67"/>
  <c r="A2024" i="67"/>
  <c r="F2023" i="67"/>
  <c r="C2022" i="67" l="1"/>
  <c r="F2024" i="67"/>
  <c r="B2024" i="67"/>
  <c r="A2025" i="67"/>
  <c r="D2023" i="67"/>
  <c r="E2023" i="67"/>
  <c r="C2023" i="67" l="1"/>
  <c r="B2025" i="67"/>
  <c r="F2025" i="67"/>
  <c r="A2026" i="67"/>
  <c r="D2024" i="67"/>
  <c r="E2024" i="67"/>
  <c r="C2024" i="67" l="1"/>
  <c r="D2025" i="67"/>
  <c r="E2025" i="67"/>
  <c r="B2026" i="67"/>
  <c r="F2026" i="67"/>
  <c r="A2027" i="67"/>
  <c r="C2025" i="67" l="1"/>
  <c r="A2028" i="67"/>
  <c r="F2027" i="67"/>
  <c r="B2027" i="67"/>
  <c r="D2026" i="67"/>
  <c r="E2026" i="67"/>
  <c r="C2026" i="67" l="1"/>
  <c r="F2028" i="67"/>
  <c r="B2028" i="67"/>
  <c r="A2029" i="67"/>
  <c r="D2027" i="67"/>
  <c r="E2027" i="67"/>
  <c r="C2027" i="67" l="1"/>
  <c r="B2029" i="67"/>
  <c r="F2029" i="67"/>
  <c r="A2030" i="67"/>
  <c r="D2028" i="67"/>
  <c r="E2028" i="67"/>
  <c r="C2028" i="67" l="1"/>
  <c r="F2030" i="67"/>
  <c r="B2030" i="67"/>
  <c r="A2031" i="67"/>
  <c r="D2029" i="67"/>
  <c r="E2029" i="67"/>
  <c r="C2029" i="67" l="1"/>
  <c r="B2031" i="67"/>
  <c r="F2031" i="67"/>
  <c r="A2032" i="67"/>
  <c r="D2030" i="67"/>
  <c r="E2030" i="67"/>
  <c r="C2030" i="67" l="1"/>
  <c r="B2032" i="67"/>
  <c r="A2033" i="67"/>
  <c r="F2032" i="67"/>
  <c r="D2031" i="67"/>
  <c r="E2031" i="67"/>
  <c r="C2031" i="67" l="1"/>
  <c r="A2034" i="67"/>
  <c r="F2033" i="67"/>
  <c r="B2033" i="67"/>
  <c r="D2032" i="67"/>
  <c r="E2032" i="67"/>
  <c r="C2032" i="67" l="1"/>
  <c r="D2033" i="67"/>
  <c r="E2033" i="67"/>
  <c r="F2034" i="67"/>
  <c r="A2035" i="67"/>
  <c r="B2034" i="67"/>
  <c r="C2033" i="67" l="1"/>
  <c r="B2035" i="67"/>
  <c r="F2035" i="67"/>
  <c r="A2036" i="67"/>
  <c r="D2034" i="67"/>
  <c r="E2034" i="67"/>
  <c r="C2034" i="67" l="1"/>
  <c r="F2036" i="67"/>
  <c r="B2036" i="67"/>
  <c r="A2037" i="67"/>
  <c r="D2035" i="67"/>
  <c r="E2035" i="67"/>
  <c r="C2035" i="67" l="1"/>
  <c r="D2036" i="67"/>
  <c r="E2036" i="67"/>
  <c r="F2037" i="67"/>
  <c r="B2037" i="67"/>
  <c r="A2038" i="67"/>
  <c r="C2036" i="67" l="1"/>
  <c r="D2037" i="67"/>
  <c r="E2037" i="67"/>
  <c r="F2038" i="67"/>
  <c r="A2039" i="67"/>
  <c r="B2038" i="67"/>
  <c r="C2037" i="67" l="1"/>
  <c r="D2038" i="67"/>
  <c r="E2038" i="67"/>
  <c r="F2039" i="67"/>
  <c r="A2040" i="67"/>
  <c r="B2039" i="67"/>
  <c r="C2038" i="67" l="1"/>
  <c r="B2040" i="67"/>
  <c r="F2040" i="67"/>
  <c r="A2041" i="67"/>
  <c r="D2039" i="67"/>
  <c r="E2039" i="67"/>
  <c r="C2039" i="67" l="1"/>
  <c r="F2041" i="67"/>
  <c r="A2042" i="67"/>
  <c r="B2041" i="67"/>
  <c r="D2040" i="67"/>
  <c r="E2040" i="67"/>
  <c r="C2040" i="67" l="1"/>
  <c r="D2041" i="67"/>
  <c r="E2041" i="67"/>
  <c r="F2042" i="67"/>
  <c r="A2043" i="67"/>
  <c r="B2042" i="67"/>
  <c r="C2041" i="67" l="1"/>
  <c r="D2042" i="67"/>
  <c r="E2042" i="67"/>
  <c r="F2043" i="67"/>
  <c r="B2043" i="67"/>
  <c r="A2044" i="67"/>
  <c r="C2042" i="67" l="1"/>
  <c r="D2043" i="67"/>
  <c r="E2043" i="67"/>
  <c r="F2044" i="67"/>
  <c r="A2045" i="67"/>
  <c r="B2044" i="67"/>
  <c r="C2043" i="67" l="1"/>
  <c r="D2044" i="67"/>
  <c r="E2044" i="67"/>
  <c r="B2045" i="67"/>
  <c r="A2046" i="67"/>
  <c r="F2045" i="67"/>
  <c r="C2044" i="67" l="1"/>
  <c r="F2046" i="67"/>
  <c r="A2047" i="67"/>
  <c r="B2046" i="67"/>
  <c r="D2045" i="67"/>
  <c r="E2045" i="67"/>
  <c r="C2045" i="67" l="1"/>
  <c r="D2046" i="67"/>
  <c r="E2046" i="67"/>
  <c r="B2047" i="67"/>
  <c r="F2047" i="67"/>
  <c r="A2048" i="67"/>
  <c r="C2046" i="67" l="1"/>
  <c r="F2048" i="67"/>
  <c r="B2048" i="67"/>
  <c r="A2049" i="67"/>
  <c r="D2047" i="67"/>
  <c r="E2047" i="67"/>
  <c r="C2047" i="67" l="1"/>
  <c r="F2049" i="67"/>
  <c r="A2050" i="67"/>
  <c r="B2049" i="67"/>
  <c r="D2048" i="67"/>
  <c r="E2048" i="67"/>
  <c r="C2048" i="67" l="1"/>
  <c r="D2049" i="67"/>
  <c r="E2049" i="67"/>
  <c r="F2050" i="67"/>
  <c r="B2050" i="67"/>
  <c r="A2051" i="67"/>
  <c r="C2049" i="67" l="1"/>
  <c r="F2051" i="67"/>
  <c r="A2052" i="67"/>
  <c r="B2051" i="67"/>
  <c r="D2050" i="67"/>
  <c r="E2050" i="67"/>
  <c r="C2050" i="67" l="1"/>
  <c r="D2051" i="67"/>
  <c r="E2051" i="67"/>
  <c r="B2052" i="67"/>
  <c r="A2053" i="67"/>
  <c r="F2052" i="67"/>
  <c r="C2051" i="67" l="1"/>
  <c r="F2053" i="67"/>
  <c r="B2053" i="67"/>
  <c r="A2054" i="67"/>
  <c r="D2052" i="67"/>
  <c r="E2052" i="67"/>
  <c r="C2052" i="67" l="1"/>
  <c r="F2054" i="67"/>
  <c r="A2055" i="67"/>
  <c r="B2054" i="67"/>
  <c r="D2053" i="67"/>
  <c r="E2053" i="67"/>
  <c r="C2053" i="67" l="1"/>
  <c r="D2054" i="67"/>
  <c r="E2054" i="67"/>
  <c r="F2055" i="67"/>
  <c r="B2055" i="67"/>
  <c r="A2056" i="67"/>
  <c r="C2054" i="67" l="1"/>
  <c r="A2057" i="67"/>
  <c r="B2056" i="67"/>
  <c r="F2056" i="67"/>
  <c r="D2055" i="67"/>
  <c r="E2055" i="67"/>
  <c r="C2055" i="67" l="1"/>
  <c r="D2056" i="67"/>
  <c r="E2056" i="67"/>
  <c r="F2057" i="67"/>
  <c r="A2058" i="67"/>
  <c r="B2057" i="67"/>
  <c r="C2056" i="67" l="1"/>
  <c r="F2058" i="67"/>
  <c r="A2059" i="67"/>
  <c r="B2058" i="67"/>
  <c r="D2057" i="67"/>
  <c r="E2057" i="67"/>
  <c r="C2057" i="67" l="1"/>
  <c r="D2058" i="67"/>
  <c r="E2058" i="67"/>
  <c r="B2059" i="67"/>
  <c r="F2059" i="67"/>
  <c r="A2060" i="67"/>
  <c r="C2058" i="67" l="1"/>
  <c r="A2061" i="67"/>
  <c r="F2060" i="67"/>
  <c r="B2060" i="67"/>
  <c r="D2059" i="67"/>
  <c r="E2059" i="67"/>
  <c r="C2059" i="67" l="1"/>
  <c r="D2060" i="67"/>
  <c r="E2060" i="67"/>
  <c r="B2061" i="67"/>
  <c r="F2061" i="67"/>
  <c r="A2062" i="67"/>
  <c r="C2060" i="67" l="1"/>
  <c r="F2062" i="67"/>
  <c r="A2063" i="67"/>
  <c r="B2062" i="67"/>
  <c r="D2061" i="67"/>
  <c r="E2061" i="67"/>
  <c r="C2061" i="67" l="1"/>
  <c r="D2062" i="67"/>
  <c r="E2062" i="67"/>
  <c r="B2063" i="67"/>
  <c r="A2064" i="67"/>
  <c r="F2063" i="67"/>
  <c r="C2062" i="67" l="1"/>
  <c r="B2064" i="67"/>
  <c r="F2064" i="67"/>
  <c r="A2065" i="67"/>
  <c r="D2063" i="67"/>
  <c r="E2063" i="67"/>
  <c r="C2063" i="67" l="1"/>
  <c r="F2065" i="67"/>
  <c r="B2065" i="67"/>
  <c r="A2066" i="67"/>
  <c r="D2064" i="67"/>
  <c r="E2064" i="67"/>
  <c r="C2064" i="67" l="1"/>
  <c r="B2066" i="67"/>
  <c r="F2066" i="67"/>
  <c r="A2067" i="67"/>
  <c r="D2065" i="67"/>
  <c r="E2065" i="67"/>
  <c r="C2065" i="67" l="1"/>
  <c r="F2067" i="67"/>
  <c r="B2067" i="67"/>
  <c r="A2068" i="67"/>
  <c r="D2066" i="67"/>
  <c r="E2066" i="67"/>
  <c r="C2066" i="67" l="1"/>
  <c r="B2068" i="67"/>
  <c r="A2069" i="67"/>
  <c r="F2068" i="67"/>
  <c r="D2067" i="67"/>
  <c r="E2067" i="67"/>
  <c r="C2067" i="67" l="1"/>
  <c r="F2069" i="67"/>
  <c r="A2070" i="67"/>
  <c r="B2069" i="67"/>
  <c r="D2068" i="67"/>
  <c r="E2068" i="67"/>
  <c r="C2068" i="67" l="1"/>
  <c r="D2069" i="67"/>
  <c r="E2069" i="67"/>
  <c r="F2070" i="67"/>
  <c r="A2071" i="67"/>
  <c r="B2070" i="67"/>
  <c r="C2069" i="67" l="1"/>
  <c r="D2070" i="67"/>
  <c r="E2070" i="67"/>
  <c r="F2071" i="67"/>
  <c r="B2071" i="67"/>
  <c r="A2072" i="67"/>
  <c r="C2070" i="67" l="1"/>
  <c r="F2072" i="67"/>
  <c r="B2072" i="67"/>
  <c r="A2073" i="67"/>
  <c r="D2071" i="67"/>
  <c r="E2071" i="67"/>
  <c r="C2071" i="67" l="1"/>
  <c r="F2073" i="67"/>
  <c r="B2073" i="67"/>
  <c r="A2074" i="67"/>
  <c r="D2072" i="67"/>
  <c r="E2072" i="67"/>
  <c r="C2072" i="67" l="1"/>
  <c r="B2074" i="67"/>
  <c r="F2074" i="67"/>
  <c r="A2075" i="67"/>
  <c r="D2073" i="67"/>
  <c r="E2073" i="67"/>
  <c r="C2073" i="67" l="1"/>
  <c r="F2075" i="67"/>
  <c r="B2075" i="67"/>
  <c r="A2076" i="67"/>
  <c r="D2074" i="67"/>
  <c r="E2074" i="67"/>
  <c r="C2074" i="67" l="1"/>
  <c r="A2077" i="67"/>
  <c r="F2076" i="67"/>
  <c r="B2076" i="67"/>
  <c r="D2075" i="67"/>
  <c r="E2075" i="67"/>
  <c r="C2075" i="67" l="1"/>
  <c r="D2076" i="67"/>
  <c r="E2076" i="67"/>
  <c r="B2077" i="67"/>
  <c r="F2077" i="67"/>
  <c r="A2078" i="67"/>
  <c r="C2076" i="67" l="1"/>
  <c r="A2079" i="67"/>
  <c r="B2078" i="67"/>
  <c r="F2078" i="67"/>
  <c r="D2077" i="67"/>
  <c r="E2077" i="67"/>
  <c r="C2077" i="67" l="1"/>
  <c r="D2078" i="67"/>
  <c r="E2078" i="67"/>
  <c r="F2079" i="67"/>
  <c r="A2080" i="67"/>
  <c r="B2079" i="67"/>
  <c r="C2078" i="67" l="1"/>
  <c r="D2079" i="67"/>
  <c r="E2079" i="67"/>
  <c r="B2080" i="67"/>
  <c r="F2080" i="67"/>
  <c r="A2081" i="67"/>
  <c r="C2079" i="67" l="1"/>
  <c r="D2080" i="67"/>
  <c r="E2080" i="67"/>
  <c r="B2081" i="67"/>
  <c r="F2081" i="67"/>
  <c r="A2082" i="67"/>
  <c r="C2080" i="67" l="1"/>
  <c r="B2082" i="67"/>
  <c r="F2082" i="67"/>
  <c r="A2083" i="67"/>
  <c r="D2081" i="67"/>
  <c r="E2081" i="67"/>
  <c r="C2081" i="67" l="1"/>
  <c r="A2084" i="67"/>
  <c r="F2083" i="67"/>
  <c r="B2083" i="67"/>
  <c r="D2082" i="67"/>
  <c r="E2082" i="67"/>
  <c r="C2082" i="67" l="1"/>
  <c r="D2083" i="67"/>
  <c r="E2083" i="67"/>
  <c r="B2084" i="67"/>
  <c r="F2084" i="67"/>
  <c r="A2085" i="67"/>
  <c r="C2083" i="67" l="1"/>
  <c r="F2085" i="67"/>
  <c r="A2086" i="67"/>
  <c r="B2085" i="67"/>
  <c r="D2084" i="67"/>
  <c r="E2084" i="67"/>
  <c r="C2084" i="67" l="1"/>
  <c r="D2085" i="67"/>
  <c r="E2085" i="67"/>
  <c r="B2086" i="67"/>
  <c r="F2086" i="67"/>
  <c r="A2087" i="67"/>
  <c r="C2085" i="67" l="1"/>
  <c r="F2087" i="67"/>
  <c r="B2087" i="67"/>
  <c r="A2088" i="67"/>
  <c r="D2086" i="67"/>
  <c r="E2086" i="67"/>
  <c r="C2086" i="67" l="1"/>
  <c r="B2088" i="67"/>
  <c r="F2088" i="67"/>
  <c r="A2089" i="67"/>
  <c r="D2087" i="67"/>
  <c r="E2087" i="67"/>
  <c r="C2087" i="67" l="1"/>
  <c r="A2090" i="67"/>
  <c r="F2089" i="67"/>
  <c r="B2089" i="67"/>
  <c r="D2088" i="67"/>
  <c r="E2088" i="67"/>
  <c r="C2088" i="67" l="1"/>
  <c r="D2089" i="67"/>
  <c r="E2089" i="67"/>
  <c r="F2090" i="67"/>
  <c r="A2091" i="67"/>
  <c r="B2090" i="67"/>
  <c r="C2089" i="67" l="1"/>
  <c r="F2091" i="67"/>
  <c r="A2092" i="67"/>
  <c r="B2091" i="67"/>
  <c r="D2090" i="67"/>
  <c r="E2090" i="67"/>
  <c r="C2090" i="67" l="1"/>
  <c r="D2091" i="67"/>
  <c r="E2091" i="67"/>
  <c r="F2092" i="67"/>
  <c r="A2093" i="67"/>
  <c r="B2092" i="67"/>
  <c r="C2091" i="67" l="1"/>
  <c r="D2092" i="67"/>
  <c r="E2092" i="67"/>
  <c r="F2093" i="67"/>
  <c r="B2093" i="67"/>
  <c r="A2094" i="67"/>
  <c r="C2092" i="67" l="1"/>
  <c r="F2094" i="67"/>
  <c r="B2094" i="67"/>
  <c r="A2095" i="67"/>
  <c r="D2093" i="67"/>
  <c r="E2093" i="67"/>
  <c r="C2093" i="67" l="1"/>
  <c r="F2095" i="67"/>
  <c r="A2096" i="67"/>
  <c r="B2095" i="67"/>
  <c r="D2094" i="67"/>
  <c r="E2094" i="67"/>
  <c r="C2094" i="67" l="1"/>
  <c r="D2095" i="67"/>
  <c r="E2095" i="67"/>
  <c r="B2096" i="67"/>
  <c r="F2096" i="67"/>
  <c r="A2097" i="67"/>
  <c r="C2095" i="67" l="1"/>
  <c r="F2097" i="67"/>
  <c r="A2098" i="67"/>
  <c r="B2097" i="67"/>
  <c r="D2096" i="67"/>
  <c r="E2096" i="67"/>
  <c r="C2096" i="67" l="1"/>
  <c r="D2097" i="67"/>
  <c r="E2097" i="67"/>
  <c r="B2098" i="67"/>
  <c r="F2098" i="67"/>
  <c r="A2099" i="67"/>
  <c r="C2097" i="67" l="1"/>
  <c r="D2098" i="67"/>
  <c r="E2098" i="67"/>
  <c r="B2099" i="67"/>
  <c r="F2099" i="67"/>
  <c r="A2100" i="67"/>
  <c r="C2098" i="67" l="1"/>
  <c r="A2101" i="67"/>
  <c r="F2100" i="67"/>
  <c r="B2100" i="67"/>
  <c r="D2099" i="67"/>
  <c r="E2099" i="67"/>
  <c r="C2099" i="67" l="1"/>
  <c r="D2100" i="67"/>
  <c r="E2100" i="67"/>
  <c r="B2101" i="67"/>
  <c r="F2101" i="67"/>
  <c r="A2102" i="67"/>
  <c r="C2100" i="67" l="1"/>
  <c r="F2102" i="67"/>
  <c r="B2102" i="67"/>
  <c r="A2103" i="67"/>
  <c r="D2101" i="67"/>
  <c r="E2101" i="67"/>
  <c r="C2101" i="67" l="1"/>
  <c r="B2103" i="67"/>
  <c r="F2103" i="67"/>
  <c r="A2104" i="67"/>
  <c r="D2102" i="67"/>
  <c r="E2102" i="67"/>
  <c r="C2102" i="67" l="1"/>
  <c r="F2104" i="67"/>
  <c r="B2104" i="67"/>
  <c r="A2105" i="67"/>
  <c r="D2103" i="67"/>
  <c r="E2103" i="67"/>
  <c r="C2103" i="67" l="1"/>
  <c r="B2105" i="67"/>
  <c r="F2105" i="67"/>
  <c r="A2106" i="67"/>
  <c r="D2104" i="67"/>
  <c r="E2104" i="67"/>
  <c r="C2104" i="67" l="1"/>
  <c r="F2106" i="67"/>
  <c r="A2107" i="67"/>
  <c r="B2106" i="67"/>
  <c r="D2105" i="67"/>
  <c r="E2105" i="67"/>
  <c r="C2105" i="67" l="1"/>
  <c r="D2106" i="67"/>
  <c r="E2106" i="67"/>
  <c r="A2108" i="67"/>
  <c r="F2107" i="67"/>
  <c r="B2107" i="67"/>
  <c r="C2106" i="67" l="1"/>
  <c r="D2107" i="67"/>
  <c r="E2107" i="67"/>
  <c r="F2108" i="67"/>
  <c r="B2108" i="67"/>
  <c r="A2109" i="67"/>
  <c r="C2107" i="67" l="1"/>
  <c r="D2108" i="67"/>
  <c r="E2108" i="67"/>
  <c r="B2109" i="67"/>
  <c r="F2109" i="67"/>
  <c r="A2110" i="67"/>
  <c r="C2108" i="67" l="1"/>
  <c r="A2111" i="67"/>
  <c r="F2110" i="67"/>
  <c r="B2110" i="67"/>
  <c r="D2109" i="67"/>
  <c r="E2109" i="67"/>
  <c r="C2109" i="67" l="1"/>
  <c r="B2111" i="67"/>
  <c r="F2111" i="67"/>
  <c r="A2112" i="67"/>
  <c r="D2110" i="67"/>
  <c r="E2110" i="67"/>
  <c r="C2110" i="67" l="1"/>
  <c r="F2112" i="67"/>
  <c r="A2113" i="67"/>
  <c r="B2112" i="67"/>
  <c r="D2111" i="67"/>
  <c r="E2111" i="67"/>
  <c r="C2111" i="67" l="1"/>
  <c r="F2113" i="67"/>
  <c r="A2114" i="67"/>
  <c r="B2113" i="67"/>
  <c r="D2112" i="67"/>
  <c r="E2112" i="67"/>
  <c r="C2112" i="67" l="1"/>
  <c r="D2113" i="67"/>
  <c r="E2113" i="67"/>
  <c r="F2114" i="67"/>
  <c r="A2115" i="67"/>
  <c r="B2114" i="67"/>
  <c r="C2113" i="67" l="1"/>
  <c r="D2114" i="67"/>
  <c r="E2114" i="67"/>
  <c r="A2116" i="67"/>
  <c r="F2115" i="67"/>
  <c r="B2115" i="67"/>
  <c r="C2114" i="67" l="1"/>
  <c r="D2115" i="67"/>
  <c r="E2115" i="67"/>
  <c r="F2116" i="67"/>
  <c r="B2116" i="67"/>
  <c r="A2117" i="67"/>
  <c r="C2115" i="67" l="1"/>
  <c r="A2118" i="67"/>
  <c r="F2117" i="67"/>
  <c r="B2117" i="67"/>
  <c r="D2116" i="67"/>
  <c r="E2116" i="67"/>
  <c r="C2116" i="67" l="1"/>
  <c r="D2117" i="67"/>
  <c r="E2117" i="67"/>
  <c r="B2118" i="67"/>
  <c r="F2118" i="67"/>
  <c r="A2119" i="67"/>
  <c r="C2117" i="67" l="1"/>
  <c r="B2119" i="67"/>
  <c r="A2120" i="67"/>
  <c r="F2119" i="67"/>
  <c r="D2118" i="67"/>
  <c r="E2118" i="67"/>
  <c r="C2118" i="67" l="1"/>
  <c r="B2120" i="67"/>
  <c r="F2120" i="67"/>
  <c r="A2121" i="67"/>
  <c r="D2119" i="67"/>
  <c r="E2119" i="67"/>
  <c r="C2119" i="67" l="1"/>
  <c r="B2121" i="67"/>
  <c r="F2121" i="67"/>
  <c r="A2122" i="67"/>
  <c r="D2120" i="67"/>
  <c r="E2120" i="67"/>
  <c r="C2120" i="67" l="1"/>
  <c r="B2122" i="67"/>
  <c r="F2122" i="67"/>
  <c r="A2123" i="67"/>
  <c r="D2121" i="67"/>
  <c r="E2121" i="67"/>
  <c r="C2121" i="67" l="1"/>
  <c r="A2124" i="67"/>
  <c r="F2123" i="67"/>
  <c r="B2123" i="67"/>
  <c r="D2122" i="67"/>
  <c r="E2122" i="67"/>
  <c r="C2122" i="67" l="1"/>
  <c r="D2123" i="67"/>
  <c r="E2123" i="67"/>
  <c r="F2124" i="67"/>
  <c r="A2125" i="67"/>
  <c r="B2124" i="67"/>
  <c r="C2123" i="67" l="1"/>
  <c r="A2126" i="67"/>
  <c r="B2125" i="67"/>
  <c r="F2125" i="67"/>
  <c r="D2124" i="67"/>
  <c r="E2124" i="67"/>
  <c r="C2124" i="67" l="1"/>
  <c r="D2125" i="67"/>
  <c r="E2125" i="67"/>
  <c r="F2126" i="67"/>
  <c r="A2127" i="67"/>
  <c r="B2126" i="67"/>
  <c r="C2125" i="67" l="1"/>
  <c r="F2127" i="67"/>
  <c r="B2127" i="67"/>
  <c r="A2128" i="67"/>
  <c r="D2126" i="67"/>
  <c r="E2126" i="67"/>
  <c r="C2126" i="67" l="1"/>
  <c r="F2128" i="67"/>
  <c r="A2129" i="67"/>
  <c r="B2128" i="67"/>
  <c r="D2127" i="67"/>
  <c r="E2127" i="67"/>
  <c r="C2127" i="67" l="1"/>
  <c r="D2128" i="67"/>
  <c r="E2128" i="67"/>
  <c r="F2129" i="67"/>
  <c r="B2129" i="67"/>
  <c r="A2130" i="67"/>
  <c r="C2128" i="67" l="1"/>
  <c r="D2129" i="67"/>
  <c r="E2129" i="67"/>
  <c r="F2130" i="67"/>
  <c r="A2131" i="67"/>
  <c r="B2130" i="67"/>
  <c r="C2129" i="67" l="1"/>
  <c r="D2130" i="67"/>
  <c r="E2130" i="67"/>
  <c r="F2131" i="67"/>
  <c r="B2131" i="67"/>
  <c r="A2132" i="67"/>
  <c r="C2130" i="67" l="1"/>
  <c r="B2132" i="67"/>
  <c r="F2132" i="67"/>
  <c r="A2133" i="67"/>
  <c r="D2131" i="67"/>
  <c r="E2131" i="67"/>
  <c r="C2131" i="67" l="1"/>
  <c r="B2133" i="67"/>
  <c r="F2133" i="67"/>
  <c r="A2134" i="67"/>
  <c r="D2132" i="67"/>
  <c r="E2132" i="67"/>
  <c r="C2132" i="67" l="1"/>
  <c r="B2134" i="67"/>
  <c r="F2134" i="67"/>
  <c r="A2135" i="67"/>
  <c r="D2133" i="67"/>
  <c r="E2133" i="67"/>
  <c r="C2133" i="67" l="1"/>
  <c r="F2135" i="67"/>
  <c r="A2136" i="67"/>
  <c r="B2135" i="67"/>
  <c r="D2134" i="67"/>
  <c r="E2134" i="67"/>
  <c r="C2134" i="67" l="1"/>
  <c r="D2135" i="67"/>
  <c r="E2135" i="67"/>
  <c r="B2136" i="67"/>
  <c r="F2136" i="67"/>
  <c r="A2137" i="67"/>
  <c r="C2135" i="67" l="1"/>
  <c r="F2137" i="67"/>
  <c r="A2138" i="67"/>
  <c r="B2137" i="67"/>
  <c r="D2136" i="67"/>
  <c r="E2136" i="67"/>
  <c r="C2136" i="67" l="1"/>
  <c r="D2137" i="67"/>
  <c r="E2137" i="67"/>
  <c r="F2138" i="67"/>
  <c r="B2138" i="67"/>
  <c r="A2139" i="67"/>
  <c r="C2137" i="67" l="1"/>
  <c r="A2140" i="67"/>
  <c r="B2139" i="67"/>
  <c r="F2139" i="67"/>
  <c r="D2138" i="67"/>
  <c r="E2138" i="67"/>
  <c r="C2138" i="67" l="1"/>
  <c r="D2139" i="67"/>
  <c r="E2139" i="67"/>
  <c r="A2141" i="67"/>
  <c r="F2140" i="67"/>
  <c r="B2140" i="67"/>
  <c r="C2139" i="67" l="1"/>
  <c r="D2140" i="67"/>
  <c r="E2140" i="67"/>
  <c r="A2142" i="67"/>
  <c r="F2141" i="67"/>
  <c r="B2141" i="67"/>
  <c r="C2140" i="67" l="1"/>
  <c r="D2141" i="67"/>
  <c r="E2141" i="67"/>
  <c r="B2142" i="67"/>
  <c r="F2142" i="67"/>
  <c r="A2143" i="67"/>
  <c r="C2141" i="67" l="1"/>
  <c r="F2143" i="67"/>
  <c r="A2144" i="67"/>
  <c r="B2143" i="67"/>
  <c r="D2142" i="67"/>
  <c r="E2142" i="67"/>
  <c r="C2142" i="67" l="1"/>
  <c r="D2143" i="67"/>
  <c r="E2143" i="67"/>
  <c r="B2144" i="67"/>
  <c r="F2144" i="67"/>
  <c r="A2145" i="67"/>
  <c r="C2143" i="67" l="1"/>
  <c r="F2145" i="67"/>
  <c r="B2145" i="67"/>
  <c r="A2146" i="67"/>
  <c r="D2144" i="67"/>
  <c r="E2144" i="67"/>
  <c r="C2144" i="67" l="1"/>
  <c r="A2147" i="67"/>
  <c r="F2146" i="67"/>
  <c r="B2146" i="67"/>
  <c r="D2145" i="67"/>
  <c r="E2145" i="67"/>
  <c r="C2145" i="67" l="1"/>
  <c r="D2146" i="67"/>
  <c r="E2146" i="67"/>
  <c r="A2148" i="67"/>
  <c r="F2147" i="67"/>
  <c r="B2147" i="67"/>
  <c r="C2146" i="67" l="1"/>
  <c r="D2147" i="67"/>
  <c r="E2147" i="67"/>
  <c r="F2148" i="67"/>
  <c r="B2148" i="67"/>
  <c r="A2149" i="67"/>
  <c r="C2147" i="67" l="1"/>
  <c r="B2149" i="67"/>
  <c r="F2149" i="67"/>
  <c r="A2150" i="67"/>
  <c r="D2148" i="67"/>
  <c r="E2148" i="67"/>
  <c r="C2148" i="67" l="1"/>
  <c r="F2150" i="67"/>
  <c r="A2151" i="67"/>
  <c r="B2150" i="67"/>
  <c r="D2149" i="67"/>
  <c r="E2149" i="67"/>
  <c r="C2149" i="67" l="1"/>
  <c r="D2150" i="67"/>
  <c r="E2150" i="67"/>
  <c r="A2152" i="67"/>
  <c r="F2151" i="67"/>
  <c r="B2151" i="67"/>
  <c r="C2150" i="67" l="1"/>
  <c r="D2151" i="67"/>
  <c r="E2151" i="67"/>
  <c r="F2152" i="67"/>
  <c r="A2153" i="67"/>
  <c r="B2152" i="67"/>
  <c r="C2151" i="67" l="1"/>
  <c r="D2152" i="67"/>
  <c r="E2152" i="67"/>
  <c r="F2153" i="67"/>
  <c r="A2154" i="67"/>
  <c r="B2153" i="67"/>
  <c r="C2152" i="67" l="1"/>
  <c r="D2153" i="67"/>
  <c r="E2153" i="67"/>
  <c r="F2154" i="67"/>
  <c r="A2155" i="67"/>
  <c r="B2154" i="67"/>
  <c r="C2153" i="67" l="1"/>
  <c r="D2154" i="67"/>
  <c r="E2154" i="67"/>
  <c r="F2155" i="67"/>
  <c r="B2155" i="67"/>
  <c r="A2156" i="67"/>
  <c r="C2154" i="67" l="1"/>
  <c r="B2156" i="67"/>
  <c r="A2157" i="67"/>
  <c r="F2156" i="67"/>
  <c r="D2155" i="67"/>
  <c r="E2155" i="67"/>
  <c r="C2155" i="67" l="1"/>
  <c r="F2157" i="67"/>
  <c r="A2158" i="67"/>
  <c r="B2157" i="67"/>
  <c r="D2156" i="67"/>
  <c r="E2156" i="67"/>
  <c r="C2156" i="67" l="1"/>
  <c r="F2158" i="67"/>
  <c r="A2159" i="67"/>
  <c r="B2158" i="67"/>
  <c r="D2157" i="67"/>
  <c r="E2157" i="67"/>
  <c r="C2157" i="67" l="1"/>
  <c r="B2159" i="67"/>
  <c r="F2159" i="67"/>
  <c r="A2160" i="67"/>
  <c r="D2158" i="67"/>
  <c r="E2158" i="67"/>
  <c r="C2158" i="67" l="1"/>
  <c r="F2160" i="67"/>
  <c r="A2161" i="67"/>
  <c r="B2160" i="67"/>
  <c r="D2159" i="67"/>
  <c r="E2159" i="67"/>
  <c r="C2159" i="67" l="1"/>
  <c r="D2160" i="67"/>
  <c r="E2160" i="67"/>
  <c r="B2161" i="67"/>
  <c r="F2161" i="67"/>
  <c r="A2162" i="67"/>
  <c r="C2160" i="67" l="1"/>
  <c r="F2162" i="67"/>
  <c r="B2162" i="67"/>
  <c r="A2163" i="67"/>
  <c r="D2161" i="67"/>
  <c r="E2161" i="67"/>
  <c r="C2161" i="67" l="1"/>
  <c r="D2162" i="67"/>
  <c r="E2162" i="67"/>
  <c r="F2163" i="67"/>
  <c r="A2164" i="67"/>
  <c r="B2163" i="67"/>
  <c r="C2162" i="67" l="1"/>
  <c r="D2163" i="67"/>
  <c r="E2163" i="67"/>
  <c r="F2164" i="67"/>
  <c r="B2164" i="67"/>
  <c r="A2165" i="67"/>
  <c r="C2163" i="67" l="1"/>
  <c r="A2166" i="67"/>
  <c r="F2165" i="67"/>
  <c r="B2165" i="67"/>
  <c r="D2164" i="67"/>
  <c r="E2164" i="67"/>
  <c r="C2164" i="67" l="1"/>
  <c r="D2165" i="67"/>
  <c r="E2165" i="67"/>
  <c r="A2167" i="67"/>
  <c r="F2166" i="67"/>
  <c r="B2166" i="67"/>
  <c r="C2165" i="67" l="1"/>
  <c r="D2166" i="67"/>
  <c r="E2166" i="67"/>
  <c r="B2167" i="67"/>
  <c r="A2168" i="67"/>
  <c r="F2167" i="67"/>
  <c r="C2166" i="67" l="1"/>
  <c r="D2167" i="67"/>
  <c r="E2167" i="67"/>
  <c r="B2168" i="67"/>
  <c r="F2168" i="67"/>
  <c r="A2169" i="67"/>
  <c r="C2167" i="67" l="1"/>
  <c r="D2168" i="67"/>
  <c r="E2168" i="67"/>
  <c r="F2169" i="67"/>
  <c r="A2170" i="67"/>
  <c r="B2169" i="67"/>
  <c r="C2168" i="67" l="1"/>
  <c r="D2169" i="67"/>
  <c r="E2169" i="67"/>
  <c r="B2170" i="67"/>
  <c r="A2171" i="67"/>
  <c r="F2170" i="67"/>
  <c r="C2169" i="67" l="1"/>
  <c r="B2171" i="67"/>
  <c r="F2171" i="67"/>
  <c r="A2172" i="67"/>
  <c r="D2170" i="67"/>
  <c r="E2170" i="67"/>
  <c r="C2170" i="67" l="1"/>
  <c r="B2172" i="67"/>
  <c r="F2172" i="67"/>
  <c r="A2173" i="67"/>
  <c r="D2171" i="67"/>
  <c r="E2171" i="67"/>
  <c r="C2171" i="67" l="1"/>
  <c r="D2172" i="67"/>
  <c r="E2172" i="67"/>
  <c r="F2173" i="67"/>
  <c r="A2174" i="67"/>
  <c r="B2173" i="67"/>
  <c r="C2172" i="67" l="1"/>
  <c r="D2173" i="67"/>
  <c r="E2173" i="67"/>
  <c r="B2174" i="67"/>
  <c r="F2174" i="67"/>
  <c r="A2175" i="67"/>
  <c r="C2173" i="67" l="1"/>
  <c r="F2175" i="67"/>
  <c r="B2175" i="67"/>
  <c r="A2176" i="67"/>
  <c r="D2174" i="67"/>
  <c r="E2174" i="67"/>
  <c r="C2174" i="67" l="1"/>
  <c r="F2176" i="67"/>
  <c r="A2177" i="67"/>
  <c r="B2176" i="67"/>
  <c r="D2175" i="67"/>
  <c r="E2175" i="67"/>
  <c r="C2175" i="67" l="1"/>
  <c r="D2176" i="67"/>
  <c r="E2176" i="67"/>
  <c r="A2178" i="67"/>
  <c r="B2177" i="67"/>
  <c r="F2177" i="67"/>
  <c r="C2176" i="67" l="1"/>
  <c r="D2177" i="67"/>
  <c r="E2177" i="67"/>
  <c r="B2178" i="67"/>
  <c r="F2178" i="67"/>
  <c r="A2179" i="67"/>
  <c r="C2177" i="67" l="1"/>
  <c r="D2178" i="67"/>
  <c r="E2178" i="67"/>
  <c r="B2179" i="67"/>
  <c r="A2180" i="67"/>
  <c r="F2179" i="67"/>
  <c r="C2178" i="67" l="1"/>
  <c r="F2180" i="67"/>
  <c r="A2181" i="67"/>
  <c r="B2180" i="67"/>
  <c r="D2179" i="67"/>
  <c r="E2179" i="67"/>
  <c r="C2179" i="67" l="1"/>
  <c r="D2180" i="67"/>
  <c r="E2180" i="67"/>
  <c r="F2181" i="67"/>
  <c r="A2182" i="67"/>
  <c r="B2181" i="67"/>
  <c r="C2180" i="67" l="1"/>
  <c r="A2183" i="67"/>
  <c r="F2182" i="67"/>
  <c r="B2182" i="67"/>
  <c r="D2181" i="67"/>
  <c r="E2181" i="67"/>
  <c r="C2181" i="67" l="1"/>
  <c r="D2182" i="67"/>
  <c r="E2182" i="67"/>
  <c r="F2183" i="67"/>
  <c r="A2184" i="67"/>
  <c r="B2183" i="67"/>
  <c r="C2182" i="67" l="1"/>
  <c r="D2183" i="67"/>
  <c r="E2183" i="67"/>
  <c r="F2184" i="67"/>
  <c r="A2185" i="67"/>
  <c r="B2184" i="67"/>
  <c r="C2183" i="67" l="1"/>
  <c r="D2184" i="67"/>
  <c r="E2184" i="67"/>
  <c r="F2185" i="67"/>
  <c r="A2186" i="67"/>
  <c r="B2185" i="67"/>
  <c r="C2184" i="67" l="1"/>
  <c r="D2185" i="67"/>
  <c r="E2185" i="67"/>
  <c r="F2186" i="67"/>
  <c r="A2187" i="67"/>
  <c r="B2186" i="67"/>
  <c r="C2185" i="67" l="1"/>
  <c r="D2186" i="67"/>
  <c r="E2186" i="67"/>
  <c r="B2187" i="67"/>
  <c r="A2188" i="67"/>
  <c r="F2187" i="67"/>
  <c r="C2186" i="67" l="1"/>
  <c r="D2187" i="67"/>
  <c r="E2187" i="67"/>
  <c r="B2188" i="67"/>
  <c r="F2188" i="67"/>
  <c r="A2189" i="67"/>
  <c r="C2187" i="67" l="1"/>
  <c r="A2190" i="67"/>
  <c r="B2189" i="67"/>
  <c r="F2189" i="67"/>
  <c r="D2188" i="67"/>
  <c r="E2188" i="67"/>
  <c r="C2188" i="67" l="1"/>
  <c r="D2189" i="67"/>
  <c r="E2189" i="67"/>
  <c r="F2190" i="67"/>
  <c r="A2191" i="67"/>
  <c r="B2190" i="67"/>
  <c r="C2189" i="67" l="1"/>
  <c r="B2191" i="67"/>
  <c r="F2191" i="67"/>
  <c r="A2192" i="67"/>
  <c r="D2190" i="67"/>
  <c r="E2190" i="67"/>
  <c r="C2190" i="67" l="1"/>
  <c r="F2192" i="67"/>
  <c r="A2193" i="67"/>
  <c r="B2192" i="67"/>
  <c r="D2191" i="67"/>
  <c r="E2191" i="67"/>
  <c r="C2191" i="67" l="1"/>
  <c r="D2192" i="67"/>
  <c r="E2192" i="67"/>
  <c r="F2193" i="67"/>
  <c r="B2193" i="67"/>
  <c r="A2194" i="67"/>
  <c r="C2192" i="67" l="1"/>
  <c r="F2194" i="67"/>
  <c r="B2194" i="67"/>
  <c r="A2195" i="67"/>
  <c r="D2193" i="67"/>
  <c r="E2193" i="67"/>
  <c r="C2193" i="67" l="1"/>
  <c r="F2195" i="67"/>
  <c r="A2196" i="67"/>
  <c r="B2195" i="67"/>
  <c r="D2194" i="67"/>
  <c r="E2194" i="67"/>
  <c r="C2194" i="67" l="1"/>
  <c r="D2195" i="67"/>
  <c r="E2195" i="67"/>
  <c r="C2195" i="67" s="1"/>
  <c r="B2196" i="67"/>
  <c r="F2196" i="67"/>
  <c r="A2197" i="67"/>
  <c r="F2197" i="67" l="1"/>
  <c r="B2197" i="67"/>
  <c r="A2198" i="67"/>
  <c r="D2196" i="67"/>
  <c r="E2196" i="67"/>
  <c r="C2196" i="67" l="1"/>
  <c r="F2198" i="67"/>
  <c r="A2199" i="67"/>
  <c r="B2198" i="67"/>
  <c r="D2197" i="67"/>
  <c r="E2197" i="67"/>
  <c r="C2197" i="67" l="1"/>
  <c r="D2198" i="67"/>
  <c r="E2198" i="67"/>
  <c r="F2199" i="67"/>
  <c r="A2200" i="67"/>
  <c r="B2199" i="67"/>
  <c r="C2198" i="67" l="1"/>
  <c r="F2200" i="67"/>
  <c r="B2200" i="67"/>
  <c r="A2201" i="67"/>
  <c r="D2199" i="67"/>
  <c r="E2199" i="67"/>
  <c r="C2199" i="67" l="1"/>
  <c r="D2200" i="67"/>
  <c r="E2200" i="67"/>
  <c r="A2202" i="67"/>
  <c r="B2201" i="67"/>
  <c r="F2201" i="67"/>
  <c r="C2200" i="67" l="1"/>
  <c r="D2201" i="67"/>
  <c r="E2201" i="67"/>
  <c r="F2202" i="67"/>
  <c r="A2203" i="67"/>
  <c r="B2202" i="67"/>
  <c r="C2201" i="67" l="1"/>
  <c r="D2202" i="67"/>
  <c r="E2202" i="67"/>
  <c r="F2203" i="67"/>
  <c r="B2203" i="67"/>
  <c r="A2204" i="67"/>
  <c r="C2202" i="67" l="1"/>
  <c r="F2204" i="67"/>
  <c r="A2205" i="67"/>
  <c r="B2204" i="67"/>
  <c r="D2203" i="67"/>
  <c r="E2203" i="67"/>
  <c r="C2203" i="67" l="1"/>
  <c r="F2205" i="67"/>
  <c r="A2206" i="67"/>
  <c r="B2205" i="67"/>
  <c r="D2204" i="67"/>
  <c r="E2204" i="67"/>
  <c r="C2204" i="67" l="1"/>
  <c r="D2205" i="67"/>
  <c r="E2205" i="67"/>
  <c r="F2206" i="67"/>
  <c r="A2207" i="67"/>
  <c r="B2206" i="67"/>
  <c r="C2205" i="67" l="1"/>
  <c r="D2206" i="67"/>
  <c r="E2206" i="67"/>
  <c r="F2207" i="67"/>
  <c r="A2208" i="67"/>
  <c r="B2207" i="67"/>
  <c r="C2206" i="67" l="1"/>
  <c r="F2208" i="67"/>
  <c r="A2209" i="67"/>
  <c r="B2208" i="67"/>
  <c r="D2207" i="67"/>
  <c r="E2207" i="67"/>
  <c r="C2207" i="67" l="1"/>
  <c r="D2208" i="67"/>
  <c r="E2208" i="67"/>
  <c r="A2210" i="67"/>
  <c r="F2209" i="67"/>
  <c r="B2209" i="67"/>
  <c r="C2208" i="67" l="1"/>
  <c r="D2209" i="67"/>
  <c r="E2209" i="67"/>
  <c r="B2210" i="67"/>
  <c r="F2210" i="67"/>
  <c r="A2211" i="67"/>
  <c r="C2209" i="67" l="1"/>
  <c r="B2211" i="67"/>
  <c r="F2211" i="67"/>
  <c r="A2212" i="67"/>
  <c r="D2210" i="67"/>
  <c r="E2210" i="67"/>
  <c r="C2210" i="67" l="1"/>
  <c r="B2212" i="67"/>
  <c r="F2212" i="67"/>
  <c r="A2213" i="67"/>
  <c r="D2211" i="67"/>
  <c r="E2211" i="67"/>
  <c r="C2211" i="67" l="1"/>
  <c r="A2214" i="67"/>
  <c r="F2213" i="67"/>
  <c r="B2213" i="67"/>
  <c r="D2212" i="67"/>
  <c r="E2212" i="67"/>
  <c r="C2212" i="67" l="1"/>
  <c r="D2213" i="67"/>
  <c r="E2213" i="67"/>
  <c r="F2214" i="67"/>
  <c r="B2214" i="67"/>
  <c r="A2215" i="67"/>
  <c r="C2213" i="67" l="1"/>
  <c r="D2214" i="67"/>
  <c r="E2214" i="67"/>
  <c r="F2215" i="67"/>
  <c r="A2216" i="67"/>
  <c r="B2215" i="67"/>
  <c r="C2214" i="67" l="1"/>
  <c r="D2215" i="67"/>
  <c r="E2215" i="67"/>
  <c r="A2217" i="67"/>
  <c r="F2216" i="67"/>
  <c r="B2216" i="67"/>
  <c r="C2215" i="67" l="1"/>
  <c r="D2216" i="67"/>
  <c r="E2216" i="67"/>
  <c r="A2218" i="67"/>
  <c r="F2217" i="67"/>
  <c r="B2217" i="67"/>
  <c r="C2216" i="67" l="1"/>
  <c r="F2218" i="67"/>
  <c r="A2219" i="67"/>
  <c r="B2218" i="67"/>
  <c r="D2217" i="67"/>
  <c r="E2217" i="67"/>
  <c r="C2217" i="67" l="1"/>
  <c r="D2218" i="67"/>
  <c r="E2218" i="67"/>
  <c r="F2219" i="67"/>
  <c r="A2220" i="67"/>
  <c r="B2219" i="67"/>
  <c r="C2218" i="67" l="1"/>
  <c r="D2219" i="67"/>
  <c r="E2219" i="67"/>
  <c r="B2220" i="67"/>
  <c r="A2221" i="67"/>
  <c r="F2220" i="67"/>
  <c r="C2219" i="67" l="1"/>
  <c r="F2221" i="67"/>
  <c r="B2221" i="67"/>
  <c r="A2222" i="67"/>
  <c r="D2220" i="67"/>
  <c r="E2220" i="67"/>
  <c r="C2220" i="67" l="1"/>
  <c r="F2222" i="67"/>
  <c r="A2223" i="67"/>
  <c r="B2222" i="67"/>
  <c r="D2221" i="67"/>
  <c r="E2221" i="67"/>
  <c r="C2221" i="67" l="1"/>
  <c r="F2223" i="67"/>
  <c r="A2224" i="67"/>
  <c r="B2223" i="67"/>
  <c r="D2222" i="67"/>
  <c r="E2222" i="67"/>
  <c r="C2222" i="67" l="1"/>
  <c r="D2223" i="67"/>
  <c r="E2223" i="67"/>
  <c r="F2224" i="67"/>
  <c r="A2225" i="67"/>
  <c r="B2224" i="67"/>
  <c r="C2223" i="67" l="1"/>
  <c r="D2224" i="67"/>
  <c r="E2224" i="67"/>
  <c r="B2225" i="67"/>
  <c r="F2225" i="67"/>
  <c r="A2226" i="67"/>
  <c r="C2224" i="67" l="1"/>
  <c r="A2227" i="67"/>
  <c r="F2226" i="67"/>
  <c r="B2226" i="67"/>
  <c r="D2225" i="67"/>
  <c r="E2225" i="67"/>
  <c r="C2225" i="67" l="1"/>
  <c r="D2226" i="67"/>
  <c r="E2226" i="67"/>
  <c r="F2227" i="67"/>
  <c r="A2228" i="67"/>
  <c r="B2227" i="67"/>
  <c r="C2226" i="67" l="1"/>
  <c r="B2228" i="67"/>
  <c r="F2228" i="67"/>
  <c r="A2229" i="67"/>
  <c r="D2227" i="67"/>
  <c r="E2227" i="67"/>
  <c r="C2227" i="67" l="1"/>
  <c r="F2229" i="67"/>
  <c r="A2230" i="67"/>
  <c r="B2229" i="67"/>
  <c r="D2228" i="67"/>
  <c r="E2228" i="67"/>
  <c r="C2228" i="67" l="1"/>
  <c r="D2229" i="67"/>
  <c r="E2229" i="67"/>
  <c r="F2230" i="67"/>
  <c r="A2231" i="67"/>
  <c r="B2230" i="67"/>
  <c r="C2229" i="67" l="1"/>
  <c r="F2231" i="67"/>
  <c r="A2232" i="67"/>
  <c r="B2231" i="67"/>
  <c r="D2230" i="67"/>
  <c r="E2230" i="67"/>
  <c r="C2230" i="67" l="1"/>
  <c r="D2231" i="67"/>
  <c r="E2231" i="67"/>
  <c r="B2232" i="67"/>
  <c r="F2232" i="67"/>
  <c r="A2233" i="67"/>
  <c r="C2231" i="67" l="1"/>
  <c r="F2233" i="67"/>
  <c r="A2234" i="67"/>
  <c r="B2233" i="67"/>
  <c r="D2232" i="67"/>
  <c r="E2232" i="67"/>
  <c r="C2232" i="67" l="1"/>
  <c r="D2233" i="67"/>
  <c r="E2233" i="67"/>
  <c r="F2234" i="67"/>
  <c r="A2235" i="67"/>
  <c r="B2234" i="67"/>
  <c r="C2233" i="67" l="1"/>
  <c r="D2234" i="67"/>
  <c r="E2234" i="67"/>
  <c r="F2235" i="67"/>
  <c r="A2236" i="67"/>
  <c r="B2235" i="67"/>
  <c r="C2234" i="67" l="1"/>
  <c r="D2235" i="67"/>
  <c r="E2235" i="67"/>
  <c r="F2236" i="67"/>
  <c r="A2237" i="67"/>
  <c r="B2236" i="67"/>
  <c r="C2235" i="67" l="1"/>
  <c r="D2236" i="67"/>
  <c r="E2236" i="67"/>
  <c r="F2237" i="67"/>
  <c r="A2238" i="67"/>
  <c r="B2237" i="67"/>
  <c r="C2236" i="67" l="1"/>
  <c r="F2238" i="67"/>
  <c r="A2239" i="67"/>
  <c r="B2238" i="67"/>
  <c r="D2237" i="67"/>
  <c r="E2237" i="67"/>
  <c r="C2237" i="67" l="1"/>
  <c r="D2238" i="67"/>
  <c r="E2238" i="67"/>
  <c r="B2239" i="67"/>
  <c r="F2239" i="67"/>
  <c r="A2240" i="67"/>
  <c r="C2238" i="67" l="1"/>
  <c r="F2240" i="67"/>
  <c r="A2241" i="67"/>
  <c r="B2240" i="67"/>
  <c r="D2239" i="67"/>
  <c r="E2239" i="67"/>
  <c r="C2239" i="67" l="1"/>
  <c r="F2241" i="67"/>
  <c r="A2242" i="67"/>
  <c r="B2241" i="67"/>
  <c r="D2240" i="67"/>
  <c r="E2240" i="67"/>
  <c r="C2240" i="67" l="1"/>
  <c r="D2241" i="67"/>
  <c r="E2241" i="67"/>
  <c r="F2242" i="67"/>
  <c r="A2243" i="67"/>
  <c r="B2242" i="67"/>
  <c r="C2241" i="67" l="1"/>
  <c r="D2242" i="67"/>
  <c r="E2242" i="67"/>
  <c r="B2243" i="67"/>
  <c r="F2243" i="67"/>
  <c r="A2244" i="67"/>
  <c r="C2242" i="67" l="1"/>
  <c r="F2244" i="67"/>
  <c r="B2244" i="67"/>
  <c r="A2245" i="67"/>
  <c r="D2243" i="67"/>
  <c r="E2243" i="67"/>
  <c r="C2243" i="67" l="1"/>
  <c r="B2245" i="67"/>
  <c r="F2245" i="67"/>
  <c r="A2246" i="67"/>
  <c r="D2244" i="67"/>
  <c r="E2244" i="67"/>
  <c r="C2244" i="67" l="1"/>
  <c r="F2246" i="67"/>
  <c r="A2247" i="67"/>
  <c r="B2246" i="67"/>
  <c r="D2245" i="67"/>
  <c r="E2245" i="67"/>
  <c r="C2245" i="67" l="1"/>
  <c r="D2246" i="67"/>
  <c r="E2246" i="67"/>
  <c r="A2248" i="67"/>
  <c r="B2247" i="67"/>
  <c r="F2247" i="67"/>
  <c r="C2246" i="67" l="1"/>
  <c r="D2247" i="67"/>
  <c r="E2247" i="67"/>
  <c r="A2249" i="67"/>
  <c r="F2248" i="67"/>
  <c r="B2248" i="67"/>
  <c r="C2247" i="67" l="1"/>
  <c r="D2248" i="67"/>
  <c r="E2248" i="67"/>
  <c r="A2250" i="67"/>
  <c r="F2249" i="67"/>
  <c r="B2249" i="67"/>
  <c r="C2248" i="67" l="1"/>
  <c r="D2249" i="67"/>
  <c r="E2249" i="67"/>
  <c r="F2250" i="67"/>
  <c r="A2251" i="67"/>
  <c r="B2250" i="67"/>
  <c r="C2249" i="67" l="1"/>
  <c r="D2250" i="67"/>
  <c r="E2250" i="67"/>
  <c r="F2251" i="67"/>
  <c r="B2251" i="67"/>
  <c r="A2252" i="67"/>
  <c r="C2250" i="67" l="1"/>
  <c r="A2253" i="67"/>
  <c r="F2252" i="67"/>
  <c r="B2252" i="67"/>
  <c r="D2251" i="67"/>
  <c r="E2251" i="67"/>
  <c r="C2251" i="67" l="1"/>
  <c r="D2252" i="67"/>
  <c r="E2252" i="67"/>
  <c r="F2253" i="67"/>
  <c r="B2253" i="67"/>
  <c r="A2254" i="67"/>
  <c r="C2252" i="67" l="1"/>
  <c r="F2254" i="67"/>
  <c r="B2254" i="67"/>
  <c r="A2255" i="67"/>
  <c r="D2253" i="67"/>
  <c r="E2253" i="67"/>
  <c r="C2253" i="67" l="1"/>
  <c r="D2254" i="67"/>
  <c r="E2254" i="67"/>
  <c r="A2256" i="67"/>
  <c r="B2255" i="67"/>
  <c r="F2255" i="67"/>
  <c r="C2254" i="67" l="1"/>
  <c r="A2257" i="67"/>
  <c r="F2256" i="67"/>
  <c r="B2256" i="67"/>
  <c r="D2255" i="67"/>
  <c r="E2255" i="67"/>
  <c r="C2255" i="67" l="1"/>
  <c r="D2256" i="67"/>
  <c r="E2256" i="67"/>
  <c r="B2257" i="67"/>
  <c r="F2257" i="67"/>
  <c r="A2258" i="67"/>
  <c r="C2256" i="67" l="1"/>
  <c r="B2258" i="67"/>
  <c r="F2258" i="67"/>
  <c r="A2259" i="67"/>
  <c r="D2257" i="67"/>
  <c r="E2257" i="67"/>
  <c r="C2257" i="67" l="1"/>
  <c r="B2259" i="67"/>
  <c r="F2259" i="67"/>
  <c r="A2260" i="67"/>
  <c r="D2258" i="67"/>
  <c r="E2258" i="67"/>
  <c r="C2258" i="67" l="1"/>
  <c r="F2260" i="67"/>
  <c r="A2261" i="67"/>
  <c r="B2260" i="67"/>
  <c r="D2259" i="67"/>
  <c r="E2259" i="67"/>
  <c r="C2259" i="67" l="1"/>
  <c r="D2260" i="67"/>
  <c r="E2260" i="67"/>
  <c r="F2261" i="67"/>
  <c r="A2262" i="67"/>
  <c r="B2261" i="67"/>
  <c r="C2260" i="67" l="1"/>
  <c r="D2261" i="67"/>
  <c r="E2261" i="67"/>
  <c r="F2262" i="67"/>
  <c r="B2262" i="67"/>
  <c r="A2263" i="67"/>
  <c r="C2261" i="67" l="1"/>
  <c r="A2264" i="67"/>
  <c r="F2263" i="67"/>
  <c r="B2263" i="67"/>
  <c r="D2262" i="67"/>
  <c r="E2262" i="67"/>
  <c r="C2262" i="67" l="1"/>
  <c r="D2263" i="67"/>
  <c r="E2263" i="67"/>
  <c r="F2264" i="67"/>
  <c r="A2265" i="67"/>
  <c r="B2264" i="67"/>
  <c r="C2263" i="67" l="1"/>
  <c r="D2264" i="67"/>
  <c r="E2264" i="67"/>
  <c r="A2266" i="67"/>
  <c r="B2265" i="67"/>
  <c r="F2265" i="67"/>
  <c r="C2264" i="67" l="1"/>
  <c r="D2265" i="67"/>
  <c r="E2265" i="67"/>
  <c r="F2266" i="67"/>
  <c r="A2267" i="67"/>
  <c r="B2266" i="67"/>
  <c r="C2265" i="67" l="1"/>
  <c r="D2266" i="67"/>
  <c r="E2266" i="67"/>
  <c r="B2267" i="67"/>
  <c r="F2267" i="67"/>
  <c r="A2268" i="67"/>
  <c r="C2266" i="67" l="1"/>
  <c r="A2269" i="67"/>
  <c r="B2268" i="67"/>
  <c r="F2268" i="67"/>
  <c r="D2267" i="67"/>
  <c r="E2267" i="67"/>
  <c r="C2267" i="67" l="1"/>
  <c r="D2268" i="67"/>
  <c r="E2268" i="67"/>
  <c r="B2269" i="67"/>
  <c r="F2269" i="67"/>
  <c r="A2270" i="67"/>
  <c r="C2268" i="67" l="1"/>
  <c r="F2270" i="67"/>
  <c r="A2271" i="67"/>
  <c r="B2270" i="67"/>
  <c r="D2269" i="67"/>
  <c r="E2269" i="67"/>
  <c r="C2269" i="67" l="1"/>
  <c r="D2270" i="67"/>
  <c r="E2270" i="67"/>
  <c r="F2271" i="67"/>
  <c r="A2272" i="67"/>
  <c r="B2271" i="67"/>
  <c r="C2270" i="67" l="1"/>
  <c r="D2271" i="67"/>
  <c r="E2271" i="67"/>
  <c r="B2272" i="67"/>
  <c r="F2272" i="67"/>
  <c r="A2273" i="67"/>
  <c r="C2271" i="67" l="1"/>
  <c r="F2273" i="67"/>
  <c r="A2274" i="67"/>
  <c r="B2273" i="67"/>
  <c r="D2272" i="67"/>
  <c r="E2272" i="67"/>
  <c r="C2272" i="67" l="1"/>
  <c r="D2273" i="67"/>
  <c r="E2273" i="67"/>
  <c r="A2275" i="67"/>
  <c r="B2274" i="67"/>
  <c r="F2274" i="67"/>
  <c r="C2273" i="67" l="1"/>
  <c r="D2274" i="67"/>
  <c r="E2274" i="67"/>
  <c r="F2275" i="67"/>
  <c r="A2276" i="67"/>
  <c r="B2275" i="67"/>
  <c r="C2274" i="67" l="1"/>
  <c r="D2275" i="67"/>
  <c r="E2275" i="67"/>
  <c r="B2276" i="67"/>
  <c r="F2276" i="67"/>
  <c r="A2277" i="67"/>
  <c r="C2275" i="67" l="1"/>
  <c r="F2277" i="67"/>
  <c r="A2278" i="67"/>
  <c r="B2277" i="67"/>
  <c r="D2276" i="67"/>
  <c r="E2276" i="67"/>
  <c r="C2276" i="67" l="1"/>
  <c r="D2277" i="67"/>
  <c r="E2277" i="67"/>
  <c r="F2278" i="67"/>
  <c r="B2278" i="67"/>
  <c r="A2279" i="67"/>
  <c r="C2277" i="67" l="1"/>
  <c r="B2279" i="67"/>
  <c r="F2279" i="67"/>
  <c r="A2280" i="67"/>
  <c r="D2278" i="67"/>
  <c r="E2278" i="67"/>
  <c r="C2278" i="67" l="1"/>
  <c r="F2280" i="67"/>
  <c r="A2281" i="67"/>
  <c r="B2280" i="67"/>
  <c r="D2279" i="67"/>
  <c r="E2279" i="67"/>
  <c r="C2279" i="67" l="1"/>
  <c r="D2280" i="67"/>
  <c r="E2280" i="67"/>
  <c r="A2282" i="67"/>
  <c r="B2281" i="67"/>
  <c r="F2281" i="67"/>
  <c r="C2280" i="67" l="1"/>
  <c r="D2281" i="67"/>
  <c r="E2281" i="67"/>
  <c r="F2282" i="67"/>
  <c r="A2283" i="67"/>
  <c r="B2282" i="67"/>
  <c r="C2281" i="67" l="1"/>
  <c r="D2282" i="67"/>
  <c r="E2282" i="67"/>
  <c r="B2283" i="67"/>
  <c r="F2283" i="67"/>
  <c r="A2284" i="67"/>
  <c r="C2282" i="67" l="1"/>
  <c r="A2285" i="67"/>
  <c r="F2284" i="67"/>
  <c r="B2284" i="67"/>
  <c r="D2283" i="67"/>
  <c r="E2283" i="67"/>
  <c r="C2283" i="67" l="1"/>
  <c r="D2284" i="67"/>
  <c r="E2284" i="67"/>
  <c r="F2285" i="67"/>
  <c r="A2286" i="67"/>
  <c r="B2285" i="67"/>
  <c r="C2284" i="67" l="1"/>
  <c r="D2285" i="67"/>
  <c r="E2285" i="67"/>
  <c r="A2287" i="67"/>
  <c r="F2286" i="67"/>
  <c r="B2286" i="67"/>
  <c r="C2285" i="67" l="1"/>
  <c r="D2286" i="67"/>
  <c r="E2286" i="67"/>
  <c r="F2287" i="67"/>
  <c r="A2288" i="67"/>
  <c r="B2287" i="67"/>
  <c r="C2286" i="67" l="1"/>
  <c r="D2287" i="67"/>
  <c r="E2287" i="67"/>
  <c r="A2289" i="67"/>
  <c r="F2288" i="67"/>
  <c r="B2288" i="67"/>
  <c r="C2287" i="67" l="1"/>
  <c r="D2288" i="67"/>
  <c r="E2288" i="67"/>
  <c r="F2289" i="67"/>
  <c r="A2290" i="67"/>
  <c r="B2289" i="67"/>
  <c r="C2288" i="67" l="1"/>
  <c r="D2289" i="67"/>
  <c r="E2289" i="67"/>
  <c r="F2290" i="67"/>
  <c r="A2291" i="67"/>
  <c r="B2290" i="67"/>
  <c r="C2289" i="67" l="1"/>
  <c r="F2291" i="67"/>
  <c r="A2292" i="67"/>
  <c r="B2291" i="67"/>
  <c r="D2290" i="67"/>
  <c r="E2290" i="67"/>
  <c r="C2290" i="67" l="1"/>
  <c r="D2291" i="67"/>
  <c r="E2291" i="67"/>
  <c r="F2292" i="67"/>
  <c r="A2293" i="67"/>
  <c r="B2292" i="67"/>
  <c r="C2291" i="67" l="1"/>
  <c r="D2292" i="67"/>
  <c r="E2292" i="67"/>
  <c r="F2293" i="67"/>
  <c r="A2294" i="67"/>
  <c r="B2293" i="67"/>
  <c r="C2292" i="67" l="1"/>
  <c r="D2293" i="67"/>
  <c r="E2293" i="67"/>
  <c r="F2294" i="67"/>
  <c r="A2295" i="67"/>
  <c r="B2294" i="67"/>
  <c r="C2293" i="67" l="1"/>
  <c r="D2294" i="67"/>
  <c r="E2294" i="67"/>
  <c r="F2295" i="67"/>
  <c r="A2296" i="67"/>
  <c r="B2295" i="67"/>
  <c r="C2294" i="67" l="1"/>
  <c r="D2295" i="67"/>
  <c r="E2295" i="67"/>
  <c r="F2296" i="67"/>
  <c r="A2297" i="67"/>
  <c r="B2296" i="67"/>
  <c r="C2295" i="67" l="1"/>
  <c r="D2296" i="67"/>
  <c r="E2296" i="67"/>
  <c r="F2297" i="67"/>
  <c r="A2298" i="67"/>
  <c r="B2297" i="67"/>
  <c r="C2296" i="67" l="1"/>
  <c r="D2297" i="67"/>
  <c r="E2297" i="67"/>
  <c r="A2299" i="67"/>
  <c r="B2298" i="67"/>
  <c r="F2298" i="67"/>
  <c r="C2297" i="67" l="1"/>
  <c r="D2298" i="67"/>
  <c r="E2298" i="67"/>
  <c r="B2299" i="67"/>
  <c r="A2300" i="67"/>
  <c r="F2299" i="67"/>
  <c r="C2298" i="67" l="1"/>
  <c r="F2300" i="67"/>
  <c r="A2301" i="67"/>
  <c r="B2300" i="67"/>
  <c r="D2299" i="67"/>
  <c r="E2299" i="67"/>
  <c r="C2299" i="67" l="1"/>
  <c r="D2300" i="67"/>
  <c r="E2300" i="67"/>
  <c r="F2301" i="67"/>
  <c r="A2302" i="67"/>
  <c r="B2301" i="67"/>
  <c r="C2300" i="67" l="1"/>
  <c r="D2301" i="67"/>
  <c r="E2301" i="67"/>
  <c r="F2302" i="67"/>
  <c r="A2303" i="67"/>
  <c r="B2302" i="67"/>
  <c r="C2301" i="67" l="1"/>
  <c r="D2302" i="67"/>
  <c r="E2302" i="67"/>
  <c r="B2303" i="67"/>
  <c r="F2303" i="67"/>
  <c r="A2304" i="67"/>
  <c r="C2302" i="67" l="1"/>
  <c r="D2303" i="67"/>
  <c r="E2303" i="67"/>
  <c r="F2304" i="67"/>
  <c r="B2304" i="67"/>
  <c r="A2305" i="67"/>
  <c r="C2303" i="67" l="1"/>
  <c r="A2306" i="67"/>
  <c r="F2305" i="67"/>
  <c r="B2305" i="67"/>
  <c r="D2304" i="67"/>
  <c r="E2304" i="67"/>
  <c r="C2304" i="67" l="1"/>
  <c r="D2305" i="67"/>
  <c r="E2305" i="67"/>
  <c r="B2306" i="67"/>
  <c r="F2306" i="67"/>
  <c r="A2307" i="67"/>
  <c r="C2305" i="67" l="1"/>
  <c r="B2307" i="67"/>
  <c r="F2307" i="67"/>
  <c r="A2308" i="67"/>
  <c r="D2306" i="67"/>
  <c r="E2306" i="67"/>
  <c r="C2306" i="67" l="1"/>
  <c r="F2308" i="67"/>
  <c r="A2309" i="67"/>
  <c r="B2308" i="67"/>
  <c r="D2307" i="67"/>
  <c r="E2307" i="67"/>
  <c r="C2307" i="67" l="1"/>
  <c r="D2308" i="67"/>
  <c r="E2308" i="67"/>
  <c r="F2309" i="67"/>
  <c r="B2309" i="67"/>
  <c r="A2310" i="67"/>
  <c r="C2308" i="67" l="1"/>
  <c r="F2310" i="67"/>
  <c r="B2310" i="67"/>
  <c r="A2311" i="67"/>
  <c r="D2309" i="67"/>
  <c r="E2309" i="67"/>
  <c r="C2309" i="67" l="1"/>
  <c r="F2311" i="67"/>
  <c r="B2311" i="67"/>
  <c r="A2312" i="67"/>
  <c r="D2310" i="67"/>
  <c r="E2310" i="67"/>
  <c r="C2310" i="67" l="1"/>
  <c r="F2312" i="67"/>
  <c r="A2313" i="67"/>
  <c r="B2312" i="67"/>
  <c r="D2311" i="67"/>
  <c r="E2311" i="67"/>
  <c r="C2311" i="67" l="1"/>
  <c r="D2312" i="67"/>
  <c r="E2312" i="67"/>
  <c r="A2314" i="67"/>
  <c r="F2313" i="67"/>
  <c r="B2313" i="67"/>
  <c r="C2312" i="67" l="1"/>
  <c r="D2313" i="67"/>
  <c r="E2313" i="67"/>
  <c r="F2314" i="67"/>
  <c r="B2314" i="67"/>
  <c r="A2315" i="67"/>
  <c r="C2313" i="67" l="1"/>
  <c r="A2316" i="67"/>
  <c r="B2315" i="67"/>
  <c r="F2315" i="67"/>
  <c r="D2314" i="67"/>
  <c r="E2314" i="67"/>
  <c r="C2314" i="67" l="1"/>
  <c r="D2315" i="67"/>
  <c r="E2315" i="67"/>
  <c r="F2316" i="67"/>
  <c r="B2316" i="67"/>
  <c r="A2317" i="67"/>
  <c r="C2315" i="67" l="1"/>
  <c r="B2317" i="67"/>
  <c r="F2317" i="67"/>
  <c r="A2318" i="67"/>
  <c r="D2316" i="67"/>
  <c r="E2316" i="67"/>
  <c r="C2316" i="67" l="1"/>
  <c r="F2318" i="67"/>
  <c r="A2319" i="67"/>
  <c r="B2318" i="67"/>
  <c r="D2317" i="67"/>
  <c r="E2317" i="67"/>
  <c r="C2317" i="67" l="1"/>
  <c r="D2318" i="67"/>
  <c r="E2318" i="67"/>
  <c r="A2320" i="67"/>
  <c r="F2319" i="67"/>
  <c r="B2319" i="67"/>
  <c r="C2318" i="67" l="1"/>
  <c r="D2319" i="67"/>
  <c r="E2319" i="67"/>
  <c r="B2320" i="67"/>
  <c r="A2321" i="67"/>
  <c r="F2320" i="67"/>
  <c r="C2319" i="67" l="1"/>
  <c r="F2321" i="67"/>
  <c r="B2321" i="67"/>
  <c r="A2322" i="67"/>
  <c r="D2320" i="67"/>
  <c r="E2320" i="67"/>
  <c r="C2320" i="67" l="1"/>
  <c r="F2322" i="67"/>
  <c r="A2323" i="67"/>
  <c r="B2322" i="67"/>
  <c r="D2321" i="67"/>
  <c r="E2321" i="67"/>
  <c r="C2321" i="67" l="1"/>
  <c r="D2322" i="67"/>
  <c r="E2322" i="67"/>
  <c r="F2323" i="67"/>
  <c r="B2323" i="67"/>
  <c r="A2324" i="67"/>
  <c r="C2322" i="67" l="1"/>
  <c r="F2324" i="67"/>
  <c r="B2324" i="67"/>
  <c r="A2325" i="67"/>
  <c r="D2323" i="67"/>
  <c r="E2323" i="67"/>
  <c r="C2323" i="67" l="1"/>
  <c r="B2325" i="67"/>
  <c r="A2326" i="67"/>
  <c r="F2325" i="67"/>
  <c r="D2324" i="67"/>
  <c r="E2324" i="67"/>
  <c r="C2324" i="67" l="1"/>
  <c r="D2325" i="67"/>
  <c r="E2325" i="67"/>
  <c r="F2326" i="67"/>
  <c r="A2327" i="67"/>
  <c r="B2326" i="67"/>
  <c r="C2325" i="67" l="1"/>
  <c r="D2326" i="67"/>
  <c r="E2326" i="67"/>
  <c r="F2327" i="67"/>
  <c r="A2328" i="67"/>
  <c r="B2327" i="67"/>
  <c r="C2326" i="67" l="1"/>
  <c r="D2327" i="67"/>
  <c r="E2327" i="67"/>
  <c r="F2328" i="67"/>
  <c r="A2329" i="67"/>
  <c r="B2328" i="67"/>
  <c r="C2327" i="67" l="1"/>
  <c r="D2328" i="67"/>
  <c r="E2328" i="67"/>
  <c r="A2330" i="67"/>
  <c r="F2329" i="67"/>
  <c r="B2329" i="67"/>
  <c r="C2328" i="67" l="1"/>
  <c r="D2329" i="67"/>
  <c r="E2329" i="67"/>
  <c r="F2330" i="67"/>
  <c r="B2330" i="67"/>
  <c r="A2331" i="67"/>
  <c r="C2329" i="67" l="1"/>
  <c r="A2332" i="67"/>
  <c r="F2331" i="67"/>
  <c r="B2331" i="67"/>
  <c r="D2330" i="67"/>
  <c r="E2330" i="67"/>
  <c r="C2330" i="67" l="1"/>
  <c r="D2331" i="67"/>
  <c r="E2331" i="67"/>
  <c r="F2332" i="67"/>
  <c r="B2332" i="67"/>
  <c r="A2333" i="67"/>
  <c r="C2331" i="67" l="1"/>
  <c r="A2334" i="67"/>
  <c r="B2333" i="67"/>
  <c r="F2333" i="67"/>
  <c r="D2332" i="67"/>
  <c r="E2332" i="67"/>
  <c r="C2332" i="67" l="1"/>
  <c r="D2333" i="67"/>
  <c r="E2333" i="67"/>
  <c r="F2334" i="67"/>
  <c r="B2334" i="67"/>
  <c r="A2335" i="67"/>
  <c r="C2333" i="67" l="1"/>
  <c r="D2334" i="67"/>
  <c r="E2334" i="67"/>
  <c r="F2335" i="67"/>
  <c r="B2335" i="67"/>
  <c r="A2336" i="67"/>
  <c r="C2334" i="67" l="1"/>
  <c r="F2336" i="67"/>
  <c r="A2337" i="67"/>
  <c r="B2336" i="67"/>
  <c r="D2335" i="67"/>
  <c r="E2335" i="67"/>
  <c r="C2335" i="67" l="1"/>
  <c r="D2336" i="67"/>
  <c r="E2336" i="67"/>
  <c r="F2337" i="67"/>
  <c r="A2338" i="67"/>
  <c r="B2337" i="67"/>
  <c r="C2336" i="67" l="1"/>
  <c r="D2337" i="67"/>
  <c r="E2337" i="67"/>
  <c r="B2338" i="67"/>
  <c r="F2338" i="67"/>
  <c r="A2339" i="67"/>
  <c r="C2337" i="67" l="1"/>
  <c r="B2339" i="67"/>
  <c r="F2339" i="67"/>
  <c r="A2340" i="67"/>
  <c r="D2338" i="67"/>
  <c r="E2338" i="67"/>
  <c r="C2338" i="67" l="1"/>
  <c r="F2340" i="67"/>
  <c r="A2341" i="67"/>
  <c r="B2340" i="67"/>
  <c r="D2339" i="67"/>
  <c r="E2339" i="67"/>
  <c r="C2339" i="67" l="1"/>
  <c r="D2340" i="67"/>
  <c r="E2340" i="67"/>
  <c r="F2341" i="67"/>
  <c r="B2341" i="67"/>
  <c r="A2342" i="67"/>
  <c r="C2340" i="67" l="1"/>
  <c r="F2342" i="67"/>
  <c r="A2343" i="67"/>
  <c r="B2342" i="67"/>
  <c r="D2341" i="67"/>
  <c r="E2341" i="67"/>
  <c r="C2341" i="67" l="1"/>
  <c r="F2343" i="67"/>
  <c r="A2344" i="67"/>
  <c r="B2343" i="67"/>
  <c r="D2342" i="67"/>
  <c r="E2342" i="67"/>
  <c r="C2342" i="67" l="1"/>
  <c r="F2344" i="67"/>
  <c r="A2345" i="67"/>
  <c r="B2344" i="67"/>
  <c r="D2343" i="67"/>
  <c r="E2343" i="67"/>
  <c r="C2343" i="67" l="1"/>
  <c r="D2344" i="67"/>
  <c r="E2344" i="67"/>
  <c r="A2346" i="67"/>
  <c r="B2345" i="67"/>
  <c r="F2345" i="67"/>
  <c r="C2344" i="67" l="1"/>
  <c r="D2345" i="67"/>
  <c r="E2345" i="67"/>
  <c r="F2346" i="67"/>
  <c r="A2347" i="67"/>
  <c r="B2346" i="67"/>
  <c r="C2345" i="67" l="1"/>
  <c r="D2346" i="67"/>
  <c r="E2346" i="67"/>
  <c r="A2348" i="67"/>
  <c r="F2347" i="67"/>
  <c r="B2347" i="67"/>
  <c r="C2346" i="67" l="1"/>
  <c r="F2348" i="67"/>
  <c r="B2348" i="67"/>
  <c r="A2349" i="67"/>
  <c r="D2347" i="67"/>
  <c r="E2347" i="67"/>
  <c r="C2347" i="67" l="1"/>
  <c r="F2349" i="67"/>
  <c r="A2350" i="67"/>
  <c r="B2349" i="67"/>
  <c r="D2348" i="67"/>
  <c r="E2348" i="67"/>
  <c r="C2348" i="67" l="1"/>
  <c r="D2349" i="67"/>
  <c r="E2349" i="67"/>
  <c r="F2350" i="67"/>
  <c r="B2350" i="67"/>
  <c r="A2351" i="67"/>
  <c r="C2349" i="67" l="1"/>
  <c r="D2350" i="67"/>
  <c r="E2350" i="67"/>
  <c r="F2351" i="67"/>
  <c r="A2352" i="67"/>
  <c r="B2351" i="67"/>
  <c r="C2350" i="67" l="1"/>
  <c r="D2351" i="67"/>
  <c r="E2351" i="67"/>
  <c r="A2353" i="67"/>
  <c r="B2352" i="67"/>
  <c r="F2352" i="67"/>
  <c r="C2351" i="67" l="1"/>
  <c r="B2353" i="67"/>
  <c r="F2353" i="67"/>
  <c r="A2354" i="67"/>
  <c r="D2352" i="67"/>
  <c r="E2352" i="67"/>
  <c r="C2352" i="67" l="1"/>
  <c r="F2354" i="67"/>
  <c r="B2354" i="67"/>
  <c r="A2355" i="67"/>
  <c r="D2353" i="67"/>
  <c r="E2353" i="67"/>
  <c r="C2353" i="67" l="1"/>
  <c r="A2356" i="67"/>
  <c r="F2355" i="67"/>
  <c r="B2355" i="67"/>
  <c r="D2354" i="67"/>
  <c r="E2354" i="67"/>
  <c r="C2354" i="67" l="1"/>
  <c r="D2355" i="67"/>
  <c r="E2355" i="67"/>
  <c r="A2357" i="67"/>
  <c r="F2356" i="67"/>
  <c r="B2356" i="67"/>
  <c r="C2355" i="67" l="1"/>
  <c r="B2357" i="67"/>
  <c r="F2357" i="67"/>
  <c r="A2358" i="67"/>
  <c r="D2356" i="67"/>
  <c r="E2356" i="67"/>
  <c r="C2356" i="67" l="1"/>
  <c r="F2358" i="67"/>
  <c r="A2359" i="67"/>
  <c r="B2358" i="67"/>
  <c r="D2357" i="67"/>
  <c r="E2357" i="67"/>
  <c r="C2357" i="67" l="1"/>
  <c r="D2358" i="67"/>
  <c r="E2358" i="67"/>
  <c r="B2359" i="67"/>
  <c r="F2359" i="67"/>
  <c r="A2360" i="67"/>
  <c r="C2358" i="67" l="1"/>
  <c r="F2360" i="67"/>
  <c r="A2361" i="67"/>
  <c r="B2360" i="67"/>
  <c r="D2359" i="67"/>
  <c r="E2359" i="67"/>
  <c r="C2359" i="67" l="1"/>
  <c r="D2360" i="67"/>
  <c r="E2360" i="67"/>
  <c r="F2361" i="67"/>
  <c r="B2361" i="67"/>
  <c r="A2362" i="67"/>
  <c r="C2360" i="67" l="1"/>
  <c r="B2362" i="67"/>
  <c r="A2363" i="67"/>
  <c r="F2362" i="67"/>
  <c r="D2361" i="67"/>
  <c r="E2361" i="67"/>
  <c r="C2361" i="67" l="1"/>
  <c r="B2363" i="67"/>
  <c r="A2364" i="67"/>
  <c r="F2363" i="67"/>
  <c r="D2362" i="67"/>
  <c r="E2362" i="67"/>
  <c r="C2362" i="67" l="1"/>
  <c r="F2364" i="67"/>
  <c r="B2364" i="67"/>
  <c r="A2365" i="67"/>
  <c r="D2363" i="67"/>
  <c r="E2363" i="67"/>
  <c r="C2363" i="67" l="1"/>
  <c r="F2365" i="67"/>
  <c r="A2366" i="67"/>
  <c r="B2365" i="67"/>
  <c r="D2364" i="67"/>
  <c r="E2364" i="67"/>
  <c r="C2364" i="67" l="1"/>
  <c r="D2365" i="67"/>
  <c r="E2365" i="67"/>
  <c r="F2366" i="67"/>
  <c r="A2367" i="67"/>
  <c r="B2366" i="67"/>
  <c r="C2365" i="67" l="1"/>
  <c r="D2366" i="67"/>
  <c r="E2366" i="67"/>
  <c r="A2368" i="67"/>
  <c r="B2367" i="67"/>
  <c r="F2367" i="67"/>
  <c r="C2366" i="67" l="1"/>
  <c r="F2368" i="67"/>
  <c r="A2369" i="67"/>
  <c r="B2368" i="67"/>
  <c r="D2367" i="67"/>
  <c r="E2367" i="67"/>
  <c r="C2367" i="67" l="1"/>
  <c r="B2369" i="67"/>
  <c r="A2370" i="67"/>
  <c r="F2369" i="67"/>
  <c r="D2368" i="67"/>
  <c r="E2368" i="67"/>
  <c r="C2368" i="67" l="1"/>
  <c r="B2370" i="67"/>
  <c r="A2371" i="67"/>
  <c r="F2370" i="67"/>
  <c r="D2369" i="67"/>
  <c r="E2369" i="67"/>
  <c r="C2369" i="67" l="1"/>
  <c r="B2371" i="67"/>
  <c r="A2372" i="67"/>
  <c r="F2371" i="67"/>
  <c r="D2370" i="67"/>
  <c r="E2370" i="67"/>
  <c r="C2370" i="67" l="1"/>
  <c r="F2372" i="67"/>
  <c r="B2372" i="67"/>
  <c r="A2373" i="67"/>
  <c r="D2371" i="67"/>
  <c r="E2371" i="67"/>
  <c r="C2371" i="67" l="1"/>
  <c r="F2373" i="67"/>
  <c r="A2374" i="67"/>
  <c r="B2373" i="67"/>
  <c r="D2372" i="67"/>
  <c r="E2372" i="67"/>
  <c r="C2372" i="67" l="1"/>
  <c r="D2373" i="67"/>
  <c r="E2373" i="67"/>
  <c r="F2374" i="67"/>
  <c r="A2375" i="67"/>
  <c r="B2374" i="67"/>
  <c r="C2373" i="67" l="1"/>
  <c r="D2374" i="67"/>
  <c r="E2374" i="67"/>
  <c r="A2376" i="67"/>
  <c r="B2375" i="67"/>
  <c r="F2375" i="67"/>
  <c r="C2374" i="67" l="1"/>
  <c r="D2375" i="67"/>
  <c r="E2375" i="67"/>
  <c r="A2377" i="67"/>
  <c r="B2376" i="67"/>
  <c r="F2376" i="67"/>
  <c r="C2375" i="67" l="1"/>
  <c r="D2376" i="67"/>
  <c r="E2376" i="67"/>
  <c r="F2377" i="67"/>
  <c r="A2378" i="67"/>
  <c r="B2377" i="67"/>
  <c r="C2376" i="67" l="1"/>
  <c r="D2377" i="67"/>
  <c r="E2377" i="67"/>
  <c r="F2378" i="67"/>
  <c r="B2378" i="67"/>
  <c r="A2379" i="67"/>
  <c r="C2377" i="67" l="1"/>
  <c r="B2379" i="67"/>
  <c r="A2380" i="67"/>
  <c r="F2379" i="67"/>
  <c r="D2378" i="67"/>
  <c r="E2378" i="67"/>
  <c r="C2378" i="67" l="1"/>
  <c r="F2380" i="67"/>
  <c r="B2380" i="67"/>
  <c r="A2381" i="67"/>
  <c r="D2379" i="67"/>
  <c r="E2379" i="67"/>
  <c r="C2379" i="67" l="1"/>
  <c r="F2381" i="67"/>
  <c r="B2381" i="67"/>
  <c r="A2382" i="67"/>
  <c r="D2380" i="67"/>
  <c r="E2380" i="67"/>
  <c r="C2380" i="67" l="1"/>
  <c r="F2382" i="67"/>
  <c r="B2382" i="67"/>
  <c r="A2383" i="67"/>
  <c r="D2381" i="67"/>
  <c r="E2381" i="67"/>
  <c r="C2381" i="67" l="1"/>
  <c r="F2383" i="67"/>
  <c r="B2383" i="67"/>
  <c r="A2384" i="67"/>
  <c r="D2382" i="67"/>
  <c r="E2382" i="67"/>
  <c r="C2382" i="67" l="1"/>
  <c r="F2384" i="67"/>
  <c r="B2384" i="67"/>
  <c r="A2385" i="67"/>
  <c r="D2383" i="67"/>
  <c r="E2383" i="67"/>
  <c r="C2383" i="67" l="1"/>
  <c r="F2385" i="67"/>
  <c r="A2386" i="67"/>
  <c r="B2385" i="67"/>
  <c r="D2384" i="67"/>
  <c r="E2384" i="67"/>
  <c r="C2384" i="67" l="1"/>
  <c r="D2385" i="67"/>
  <c r="E2385" i="67"/>
  <c r="F2386" i="67"/>
  <c r="B2386" i="67"/>
  <c r="A2387" i="67"/>
  <c r="C2385" i="67" l="1"/>
  <c r="F2387" i="67"/>
  <c r="B2387" i="67"/>
  <c r="A2388" i="67"/>
  <c r="D2386" i="67"/>
  <c r="E2386" i="67"/>
  <c r="C2386" i="67" l="1"/>
  <c r="A2389" i="67"/>
  <c r="F2388" i="67"/>
  <c r="B2388" i="67"/>
  <c r="D2387" i="67"/>
  <c r="E2387" i="67"/>
  <c r="C2387" i="67" l="1"/>
  <c r="D2388" i="67"/>
  <c r="E2388" i="67"/>
  <c r="B2389" i="67"/>
  <c r="F2389" i="67"/>
  <c r="A2390" i="67"/>
  <c r="C2388" i="67" l="1"/>
  <c r="A2391" i="67"/>
  <c r="F2390" i="67"/>
  <c r="B2390" i="67"/>
  <c r="D2389" i="67"/>
  <c r="E2389" i="67"/>
  <c r="C2389" i="67" l="1"/>
  <c r="D2390" i="67"/>
  <c r="E2390" i="67"/>
  <c r="F2391" i="67"/>
  <c r="A2392" i="67"/>
  <c r="B2391" i="67"/>
  <c r="C2390" i="67" l="1"/>
  <c r="D2391" i="67"/>
  <c r="E2391" i="67"/>
  <c r="F2392" i="67"/>
  <c r="B2392" i="67"/>
  <c r="A2393" i="67"/>
  <c r="C2391" i="67" l="1"/>
  <c r="B2393" i="67"/>
  <c r="A2394" i="67"/>
  <c r="F2393" i="67"/>
  <c r="D2392" i="67"/>
  <c r="E2392" i="67"/>
  <c r="C2392" i="67" l="1"/>
  <c r="D2393" i="67"/>
  <c r="E2393" i="67"/>
  <c r="A2395" i="67"/>
  <c r="F2394" i="67"/>
  <c r="B2394" i="67"/>
  <c r="C2393" i="67" l="1"/>
  <c r="D2394" i="67"/>
  <c r="E2394" i="67"/>
  <c r="F2395" i="67"/>
  <c r="A2396" i="67"/>
  <c r="B2395" i="67"/>
  <c r="C2394" i="67" l="1"/>
  <c r="D2395" i="67"/>
  <c r="E2395" i="67"/>
  <c r="B2396" i="67"/>
  <c r="F2396" i="67"/>
  <c r="A2397" i="67"/>
  <c r="C2395" i="67" l="1"/>
  <c r="F2397" i="67"/>
  <c r="A2398" i="67"/>
  <c r="B2397" i="67"/>
  <c r="D2396" i="67"/>
  <c r="E2396" i="67"/>
  <c r="C2396" i="67" l="1"/>
  <c r="D2397" i="67"/>
  <c r="E2397" i="67"/>
  <c r="F2398" i="67"/>
  <c r="B2398" i="67"/>
  <c r="A2399" i="67"/>
  <c r="C2397" i="67" l="1"/>
  <c r="D2398" i="67"/>
  <c r="E2398" i="67"/>
  <c r="F2399" i="67"/>
  <c r="B2399" i="67"/>
  <c r="A2400" i="67"/>
  <c r="C2398" i="67" l="1"/>
  <c r="A2401" i="67"/>
  <c r="B2400" i="67"/>
  <c r="F2400" i="67"/>
  <c r="D2399" i="67"/>
  <c r="E2399" i="67"/>
  <c r="C2399" i="67" l="1"/>
  <c r="A2402" i="67"/>
  <c r="F2401" i="67"/>
  <c r="B2401" i="67"/>
  <c r="D2400" i="67"/>
  <c r="E2400" i="67"/>
  <c r="C2400" i="67" l="1"/>
  <c r="D2401" i="67"/>
  <c r="E2401" i="67"/>
  <c r="F2402" i="67"/>
  <c r="A2403" i="67"/>
  <c r="B2402" i="67"/>
  <c r="C2401" i="67" l="1"/>
  <c r="D2402" i="67"/>
  <c r="E2402" i="67"/>
  <c r="A2404" i="67"/>
  <c r="F2403" i="67"/>
  <c r="B2403" i="67"/>
  <c r="C2402" i="67" l="1"/>
  <c r="D2403" i="67"/>
  <c r="E2403" i="67"/>
  <c r="B2404" i="67"/>
  <c r="F2404" i="67"/>
  <c r="A2405" i="67"/>
  <c r="C2403" i="67" l="1"/>
  <c r="B2405" i="67"/>
  <c r="F2405" i="67"/>
  <c r="A2406" i="67"/>
  <c r="D2404" i="67"/>
  <c r="E2404" i="67"/>
  <c r="C2404" i="67" l="1"/>
  <c r="F2406" i="67"/>
  <c r="A2407" i="67"/>
  <c r="B2406" i="67"/>
  <c r="D2405" i="67"/>
  <c r="E2405" i="67"/>
  <c r="C2405" i="67" l="1"/>
  <c r="D2406" i="67"/>
  <c r="E2406" i="67"/>
  <c r="F2407" i="67"/>
  <c r="A2408" i="67"/>
  <c r="B2407" i="67"/>
  <c r="C2406" i="67" l="1"/>
  <c r="D2407" i="67"/>
  <c r="E2407" i="67"/>
  <c r="F2408" i="67"/>
  <c r="A2409" i="67"/>
  <c r="B2408" i="67"/>
  <c r="C2407" i="67" l="1"/>
  <c r="F2409" i="67"/>
  <c r="A2410" i="67"/>
  <c r="B2409" i="67"/>
  <c r="D2408" i="67"/>
  <c r="E2408" i="67"/>
  <c r="C2408" i="67" l="1"/>
  <c r="D2409" i="67"/>
  <c r="E2409" i="67"/>
  <c r="F2410" i="67"/>
  <c r="B2410" i="67"/>
  <c r="A2411" i="67"/>
  <c r="C2409" i="67" l="1"/>
  <c r="D2410" i="67"/>
  <c r="E2410" i="67"/>
  <c r="F2411" i="67"/>
  <c r="A2412" i="67"/>
  <c r="B2411" i="67"/>
  <c r="C2410" i="67" l="1"/>
  <c r="D2411" i="67"/>
  <c r="E2411" i="67"/>
  <c r="F2412" i="67"/>
  <c r="A2413" i="67"/>
  <c r="B2412" i="67"/>
  <c r="C2411" i="67" l="1"/>
  <c r="D2412" i="67"/>
  <c r="E2412" i="67"/>
  <c r="F2413" i="67"/>
  <c r="B2413" i="67"/>
  <c r="A2414" i="67"/>
  <c r="C2412" i="67" l="1"/>
  <c r="B2414" i="67"/>
  <c r="F2414" i="67"/>
  <c r="A2415" i="67"/>
  <c r="D2413" i="67"/>
  <c r="E2413" i="67"/>
  <c r="C2413" i="67" l="1"/>
  <c r="F2415" i="67"/>
  <c r="B2415" i="67"/>
  <c r="A2416" i="67"/>
  <c r="D2414" i="67"/>
  <c r="E2414" i="67"/>
  <c r="C2414" i="67" l="1"/>
  <c r="F2416" i="67"/>
  <c r="B2416" i="67"/>
  <c r="A2417" i="67"/>
  <c r="D2415" i="67"/>
  <c r="E2415" i="67"/>
  <c r="C2415" i="67" l="1"/>
  <c r="B2417" i="67"/>
  <c r="A2418" i="67"/>
  <c r="F2417" i="67"/>
  <c r="D2416" i="67"/>
  <c r="E2416" i="67"/>
  <c r="C2416" i="67" l="1"/>
  <c r="D2417" i="67"/>
  <c r="E2417" i="67"/>
  <c r="F2418" i="67"/>
  <c r="A2419" i="67"/>
  <c r="B2418" i="67"/>
  <c r="C2417" i="67" l="1"/>
  <c r="D2418" i="67"/>
  <c r="E2418" i="67"/>
  <c r="F2419" i="67"/>
  <c r="A2420" i="67"/>
  <c r="B2419" i="67"/>
  <c r="C2418" i="67" l="1"/>
  <c r="D2419" i="67"/>
  <c r="E2419" i="67"/>
  <c r="F2420" i="67"/>
  <c r="A2421" i="67"/>
  <c r="B2420" i="67"/>
  <c r="C2419" i="67" l="1"/>
  <c r="F2421" i="67"/>
  <c r="A2422" i="67"/>
  <c r="B2421" i="67"/>
  <c r="D2420" i="67"/>
  <c r="E2420" i="67"/>
  <c r="C2420" i="67" l="1"/>
  <c r="D2421" i="67"/>
  <c r="E2421" i="67"/>
  <c r="F2422" i="67"/>
  <c r="A2423" i="67"/>
  <c r="B2422" i="67"/>
  <c r="C2421" i="67" l="1"/>
  <c r="B2423" i="67"/>
  <c r="A2424" i="67"/>
  <c r="F2423" i="67"/>
  <c r="D2422" i="67"/>
  <c r="E2422" i="67"/>
  <c r="C2422" i="67" l="1"/>
  <c r="B2424" i="67"/>
  <c r="F2424" i="67"/>
  <c r="A2425" i="67"/>
  <c r="D2423" i="67"/>
  <c r="E2423" i="67"/>
  <c r="C2423" i="67" l="1"/>
  <c r="F2425" i="67"/>
  <c r="A2426" i="67"/>
  <c r="B2425" i="67"/>
  <c r="D2424" i="67"/>
  <c r="E2424" i="67"/>
  <c r="C2424" i="67" l="1"/>
  <c r="F2426" i="67"/>
  <c r="A2427" i="67"/>
  <c r="B2426" i="67"/>
  <c r="D2425" i="67"/>
  <c r="E2425" i="67"/>
  <c r="C2425" i="67" l="1"/>
  <c r="D2426" i="67"/>
  <c r="E2426" i="67"/>
  <c r="F2427" i="67"/>
  <c r="A2428" i="67"/>
  <c r="B2427" i="67"/>
  <c r="C2426" i="67" l="1"/>
  <c r="D2427" i="67"/>
  <c r="E2427" i="67"/>
  <c r="F2428" i="67"/>
  <c r="A2429" i="67"/>
  <c r="B2428" i="67"/>
  <c r="C2427" i="67" l="1"/>
  <c r="D2428" i="67"/>
  <c r="E2428" i="67"/>
  <c r="F2429" i="67"/>
  <c r="A2430" i="67"/>
  <c r="B2429" i="67"/>
  <c r="C2428" i="67" l="1"/>
  <c r="F2430" i="67"/>
  <c r="A2431" i="67"/>
  <c r="B2430" i="67"/>
  <c r="D2429" i="67"/>
  <c r="E2429" i="67"/>
  <c r="C2429" i="67" l="1"/>
  <c r="F2431" i="67"/>
  <c r="A2432" i="67"/>
  <c r="B2431" i="67"/>
  <c r="D2430" i="67"/>
  <c r="E2430" i="67"/>
  <c r="C2430" i="67" l="1"/>
  <c r="D2431" i="67"/>
  <c r="E2431" i="67"/>
  <c r="F2432" i="67"/>
  <c r="B2432" i="67"/>
  <c r="A2433" i="67"/>
  <c r="C2431" i="67" l="1"/>
  <c r="D2432" i="67"/>
  <c r="E2432" i="67"/>
  <c r="A2434" i="67"/>
  <c r="F2433" i="67"/>
  <c r="B2433" i="67"/>
  <c r="C2432" i="67" l="1"/>
  <c r="D2433" i="67"/>
  <c r="E2433" i="67"/>
  <c r="F2434" i="67"/>
  <c r="A2435" i="67"/>
  <c r="B2434" i="67"/>
  <c r="C2433" i="67" l="1"/>
  <c r="D2434" i="67"/>
  <c r="E2434" i="67"/>
  <c r="A2436" i="67"/>
  <c r="F2435" i="67"/>
  <c r="B2435" i="67"/>
  <c r="C2434" i="67" l="1"/>
  <c r="D2435" i="67"/>
  <c r="E2435" i="67"/>
  <c r="B2436" i="67"/>
  <c r="F2436" i="67"/>
  <c r="A2437" i="67"/>
  <c r="C2435" i="67" l="1"/>
  <c r="D2436" i="67"/>
  <c r="E2436" i="67"/>
  <c r="B2437" i="67"/>
  <c r="F2437" i="67"/>
  <c r="A2438" i="67"/>
  <c r="C2436" i="67" l="1"/>
  <c r="A2439" i="67"/>
  <c r="B2438" i="67"/>
  <c r="F2438" i="67"/>
  <c r="D2437" i="67"/>
  <c r="E2437" i="67"/>
  <c r="C2437" i="67" l="1"/>
  <c r="D2438" i="67"/>
  <c r="E2438" i="67"/>
  <c r="B2439" i="67"/>
  <c r="F2439" i="67"/>
  <c r="A2440" i="67"/>
  <c r="C2438" i="67" l="1"/>
  <c r="F2440" i="67"/>
  <c r="A2441" i="67"/>
  <c r="B2440" i="67"/>
  <c r="D2439" i="67"/>
  <c r="E2439" i="67"/>
  <c r="C2439" i="67" l="1"/>
  <c r="D2440" i="67"/>
  <c r="E2440" i="67"/>
  <c r="F2441" i="67"/>
  <c r="B2441" i="67"/>
  <c r="A2442" i="67"/>
  <c r="C2440" i="67" l="1"/>
  <c r="F2442" i="67"/>
  <c r="A2443" i="67"/>
  <c r="B2442" i="67"/>
  <c r="D2441" i="67"/>
  <c r="E2441" i="67"/>
  <c r="C2441" i="67" l="1"/>
  <c r="D2442" i="67"/>
  <c r="E2442" i="67"/>
  <c r="F2443" i="67"/>
  <c r="A2444" i="67"/>
  <c r="B2443" i="67"/>
  <c r="C2442" i="67" l="1"/>
  <c r="D2443" i="67"/>
  <c r="E2443" i="67"/>
  <c r="F2444" i="67"/>
  <c r="A2445" i="67"/>
  <c r="B2444" i="67"/>
  <c r="C2443" i="67" l="1"/>
  <c r="D2444" i="67"/>
  <c r="E2444" i="67"/>
  <c r="F2445" i="67"/>
  <c r="A2446" i="67"/>
  <c r="B2445" i="67"/>
  <c r="C2444" i="67" l="1"/>
  <c r="B2446" i="67"/>
  <c r="F2446" i="67"/>
  <c r="A2447" i="67"/>
  <c r="D2445" i="67"/>
  <c r="E2445" i="67"/>
  <c r="C2445" i="67" l="1"/>
  <c r="F2447" i="67"/>
  <c r="A2448" i="67"/>
  <c r="B2447" i="67"/>
  <c r="D2446" i="67"/>
  <c r="E2446" i="67"/>
  <c r="C2446" i="67" l="1"/>
  <c r="D2447" i="67"/>
  <c r="E2447" i="67"/>
  <c r="B2448" i="67"/>
  <c r="F2448" i="67"/>
  <c r="A2449" i="67"/>
  <c r="C2447" i="67" l="1"/>
  <c r="F2449" i="67"/>
  <c r="A2450" i="67"/>
  <c r="B2449" i="67"/>
  <c r="D2448" i="67"/>
  <c r="E2448" i="67"/>
  <c r="C2448" i="67" l="1"/>
  <c r="D2449" i="67"/>
  <c r="E2449" i="67"/>
  <c r="B2450" i="67"/>
  <c r="F2450" i="67"/>
  <c r="A2451" i="67"/>
  <c r="C2449" i="67" l="1"/>
  <c r="D2450" i="67"/>
  <c r="E2450" i="67"/>
  <c r="F2451" i="67"/>
  <c r="A2452" i="67"/>
  <c r="B2451" i="67"/>
  <c r="C2450" i="67" l="1"/>
  <c r="D2451" i="67"/>
  <c r="E2451" i="67"/>
  <c r="B2452" i="67"/>
  <c r="F2452" i="67"/>
  <c r="A2453" i="67"/>
  <c r="C2451" i="67" l="1"/>
  <c r="D2452" i="67"/>
  <c r="E2452" i="67"/>
  <c r="F2453" i="67"/>
  <c r="A2454" i="67"/>
  <c r="B2453" i="67"/>
  <c r="C2452" i="67" l="1"/>
  <c r="B2454" i="67"/>
  <c r="F2454" i="67"/>
  <c r="A2455" i="67"/>
  <c r="D2453" i="67"/>
  <c r="E2453" i="67"/>
  <c r="C2453" i="67" l="1"/>
  <c r="F2455" i="67"/>
  <c r="A2456" i="67"/>
  <c r="B2455" i="67"/>
  <c r="D2454" i="67"/>
  <c r="E2454" i="67"/>
  <c r="C2454" i="67" l="1"/>
  <c r="D2455" i="67"/>
  <c r="E2455" i="67"/>
  <c r="F2456" i="67"/>
  <c r="A2457" i="67"/>
  <c r="B2456" i="67"/>
  <c r="C2455" i="67" l="1"/>
  <c r="F2457" i="67"/>
  <c r="A2458" i="67"/>
  <c r="B2457" i="67"/>
  <c r="D2456" i="67"/>
  <c r="E2456" i="67"/>
  <c r="C2456" i="67" l="1"/>
  <c r="D2457" i="67"/>
  <c r="E2457" i="67"/>
  <c r="F2458" i="67"/>
  <c r="A2459" i="67"/>
  <c r="B2458" i="67"/>
  <c r="C2457" i="67" l="1"/>
  <c r="D2458" i="67"/>
  <c r="E2458" i="67"/>
  <c r="F2459" i="67"/>
  <c r="A2460" i="67"/>
  <c r="B2459" i="67"/>
  <c r="C2458" i="67" l="1"/>
  <c r="D2459" i="67"/>
  <c r="E2459" i="67"/>
  <c r="B2460" i="67"/>
  <c r="A2461" i="67"/>
  <c r="F2460" i="67"/>
  <c r="C2459" i="67" l="1"/>
  <c r="D2460" i="67"/>
  <c r="E2460" i="67"/>
  <c r="F2461" i="67"/>
  <c r="A2462" i="67"/>
  <c r="B2461" i="67"/>
  <c r="C2460" i="67" l="1"/>
  <c r="D2461" i="67"/>
  <c r="E2461" i="67"/>
  <c r="B2462" i="67"/>
  <c r="F2462" i="67"/>
  <c r="A2463" i="67"/>
  <c r="C2461" i="67" l="1"/>
  <c r="B2463" i="67"/>
  <c r="A2464" i="67"/>
  <c r="F2463" i="67"/>
  <c r="D2462" i="67"/>
  <c r="E2462" i="67"/>
  <c r="C2462" i="67" l="1"/>
  <c r="B2464" i="67"/>
  <c r="F2464" i="67"/>
  <c r="A2465" i="67"/>
  <c r="D2463" i="67"/>
  <c r="E2463" i="67"/>
  <c r="C2463" i="67" l="1"/>
  <c r="F2465" i="67"/>
  <c r="A2466" i="67"/>
  <c r="B2465" i="67"/>
  <c r="D2464" i="67"/>
  <c r="E2464" i="67"/>
  <c r="C2464" i="67" l="1"/>
  <c r="D2465" i="67"/>
  <c r="E2465" i="67"/>
  <c r="F2466" i="67"/>
  <c r="A2467" i="67"/>
  <c r="B2466" i="67"/>
  <c r="C2465" i="67" l="1"/>
  <c r="F2467" i="67"/>
  <c r="A2468" i="67"/>
  <c r="B2467" i="67"/>
  <c r="D2466" i="67"/>
  <c r="E2466" i="67"/>
  <c r="C2466" i="67" l="1"/>
  <c r="D2467" i="67"/>
  <c r="E2467" i="67"/>
  <c r="A2469" i="67"/>
  <c r="B2468" i="67"/>
  <c r="F2468" i="67"/>
  <c r="C2467" i="67" l="1"/>
  <c r="B2469" i="67"/>
  <c r="A2470" i="67"/>
  <c r="F2469" i="67"/>
  <c r="D2468" i="67"/>
  <c r="E2468" i="67"/>
  <c r="C2468" i="67" l="1"/>
  <c r="B2470" i="67"/>
  <c r="A2471" i="67"/>
  <c r="F2470" i="67"/>
  <c r="D2469" i="67"/>
  <c r="E2469" i="67"/>
  <c r="C2469" i="67" l="1"/>
  <c r="B2471" i="67"/>
  <c r="F2471" i="67"/>
  <c r="A2472" i="67"/>
  <c r="D2470" i="67"/>
  <c r="E2470" i="67"/>
  <c r="C2470" i="67" l="1"/>
  <c r="F2472" i="67"/>
  <c r="A2473" i="67"/>
  <c r="B2472" i="67"/>
  <c r="D2471" i="67"/>
  <c r="E2471" i="67"/>
  <c r="C2471" i="67" l="1"/>
  <c r="D2472" i="67"/>
  <c r="E2472" i="67"/>
  <c r="F2473" i="67"/>
  <c r="A2474" i="67"/>
  <c r="B2473" i="67"/>
  <c r="C2472" i="67" l="1"/>
  <c r="B2474" i="67"/>
  <c r="F2474" i="67"/>
  <c r="A2475" i="67"/>
  <c r="D2473" i="67"/>
  <c r="E2473" i="67"/>
  <c r="C2473" i="67" l="1"/>
  <c r="F2475" i="67"/>
  <c r="A2476" i="67"/>
  <c r="B2475" i="67"/>
  <c r="D2474" i="67"/>
  <c r="E2474" i="67"/>
  <c r="C2474" i="67" l="1"/>
  <c r="D2475" i="67"/>
  <c r="E2475" i="67"/>
  <c r="F2476" i="67"/>
  <c r="A2477" i="67"/>
  <c r="B2476" i="67"/>
  <c r="C2475" i="67" l="1"/>
  <c r="F2477" i="67"/>
  <c r="A2478" i="67"/>
  <c r="B2477" i="67"/>
  <c r="D2476" i="67"/>
  <c r="E2476" i="67"/>
  <c r="C2476" i="67" l="1"/>
  <c r="D2477" i="67"/>
  <c r="E2477" i="67"/>
  <c r="F2478" i="67"/>
  <c r="A2479" i="67"/>
  <c r="B2478" i="67"/>
  <c r="C2477" i="67" l="1"/>
  <c r="D2478" i="67"/>
  <c r="E2478" i="67"/>
  <c r="F2479" i="67"/>
  <c r="B2479" i="67"/>
  <c r="A2480" i="67"/>
  <c r="C2478" i="67" l="1"/>
  <c r="F2480" i="67"/>
  <c r="B2480" i="67"/>
  <c r="A2481" i="67"/>
  <c r="D2479" i="67"/>
  <c r="E2479" i="67"/>
  <c r="C2479" i="67" l="1"/>
  <c r="F2481" i="67"/>
  <c r="A2482" i="67"/>
  <c r="B2481" i="67"/>
  <c r="D2480" i="67"/>
  <c r="E2480" i="67"/>
  <c r="C2480" i="67" l="1"/>
  <c r="F2482" i="67"/>
  <c r="A2483" i="67"/>
  <c r="B2482" i="67"/>
  <c r="D2481" i="67"/>
  <c r="E2481" i="67"/>
  <c r="C2481" i="67" l="1"/>
  <c r="D2482" i="67"/>
  <c r="E2482" i="67"/>
  <c r="F2483" i="67"/>
  <c r="B2483" i="67"/>
  <c r="A2484" i="67"/>
  <c r="C2482" i="67" l="1"/>
  <c r="A2485" i="67"/>
  <c r="F2484" i="67"/>
  <c r="B2484" i="67"/>
  <c r="D2483" i="67"/>
  <c r="E2483" i="67"/>
  <c r="C2483" i="67" l="1"/>
  <c r="D2484" i="67"/>
  <c r="E2484" i="67"/>
  <c r="A2486" i="67"/>
  <c r="B2485" i="67"/>
  <c r="F2485" i="67"/>
  <c r="C2484" i="67" l="1"/>
  <c r="D2485" i="67"/>
  <c r="E2485" i="67"/>
  <c r="A2487" i="67"/>
  <c r="F2486" i="67"/>
  <c r="B2486" i="67"/>
  <c r="C2485" i="67" l="1"/>
  <c r="F2487" i="67"/>
  <c r="A2488" i="67"/>
  <c r="B2487" i="67"/>
  <c r="D2486" i="67"/>
  <c r="E2486" i="67"/>
  <c r="C2486" i="67" l="1"/>
  <c r="D2487" i="67"/>
  <c r="E2487" i="67"/>
  <c r="A2489" i="67"/>
  <c r="F2488" i="67"/>
  <c r="B2488" i="67"/>
  <c r="C2487" i="67" l="1"/>
  <c r="D2488" i="67"/>
  <c r="E2488" i="67"/>
  <c r="F2489" i="67"/>
  <c r="A2490" i="67"/>
  <c r="B2489" i="67"/>
  <c r="C2488" i="67" l="1"/>
  <c r="D2489" i="67"/>
  <c r="E2489" i="67"/>
  <c r="B2490" i="67"/>
  <c r="F2490" i="67"/>
  <c r="A2491" i="67"/>
  <c r="C2489" i="67" l="1"/>
  <c r="B2491" i="67"/>
  <c r="A2492" i="67"/>
  <c r="F2491" i="67"/>
  <c r="D2490" i="67"/>
  <c r="E2490" i="67"/>
  <c r="C2490" i="67" l="1"/>
  <c r="B2492" i="67"/>
  <c r="F2492" i="67"/>
  <c r="A2493" i="67"/>
  <c r="D2491" i="67"/>
  <c r="E2491" i="67"/>
  <c r="C2491" i="67" l="1"/>
  <c r="B2493" i="67"/>
  <c r="F2493" i="67"/>
  <c r="A2494" i="67"/>
  <c r="D2492" i="67"/>
  <c r="E2492" i="67"/>
  <c r="C2492" i="67" l="1"/>
  <c r="A2495" i="67"/>
  <c r="F2494" i="67"/>
  <c r="B2494" i="67"/>
  <c r="D2493" i="67"/>
  <c r="E2493" i="67"/>
  <c r="C2493" i="67" l="1"/>
  <c r="D2494" i="67"/>
  <c r="E2494" i="67"/>
  <c r="F2495" i="67"/>
  <c r="A2496" i="67"/>
  <c r="B2495" i="67"/>
  <c r="C2494" i="67" l="1"/>
  <c r="D2495" i="67"/>
  <c r="E2495" i="67"/>
  <c r="B2496" i="67"/>
  <c r="A2497" i="67"/>
  <c r="F2496" i="67"/>
  <c r="C2495" i="67" l="1"/>
  <c r="F2497" i="67"/>
  <c r="A2498" i="67"/>
  <c r="B2497" i="67"/>
  <c r="D2496" i="67"/>
  <c r="E2496" i="67"/>
  <c r="C2496" i="67" l="1"/>
  <c r="D2497" i="67"/>
  <c r="E2497" i="67"/>
  <c r="F2498" i="67"/>
  <c r="B2498" i="67"/>
  <c r="A2499" i="67"/>
  <c r="C2497" i="67" l="1"/>
  <c r="A2500" i="67"/>
  <c r="F2499" i="67"/>
  <c r="B2499" i="67"/>
  <c r="D2498" i="67"/>
  <c r="E2498" i="67"/>
  <c r="C2498" i="67" l="1"/>
  <c r="D2499" i="67"/>
  <c r="E2499" i="67"/>
  <c r="F2500" i="67"/>
  <c r="A2501" i="67"/>
  <c r="B2500" i="67"/>
  <c r="C2499" i="67" l="1"/>
  <c r="D2500" i="67"/>
  <c r="E2500" i="67"/>
  <c r="B2501" i="67"/>
  <c r="F2501" i="67"/>
  <c r="A2502" i="67"/>
  <c r="C2500" i="67" l="1"/>
  <c r="F2502" i="67"/>
  <c r="A2503" i="67"/>
  <c r="B2502" i="67"/>
  <c r="D2501" i="67"/>
  <c r="E2501" i="67"/>
  <c r="C2501" i="67" l="1"/>
  <c r="D2502" i="67"/>
  <c r="E2502" i="67"/>
  <c r="B2503" i="67"/>
  <c r="F2503" i="67"/>
  <c r="A2504" i="67"/>
  <c r="C2502" i="67" l="1"/>
  <c r="B2504" i="67"/>
  <c r="F2504" i="67"/>
  <c r="A2505" i="67"/>
  <c r="D2503" i="67"/>
  <c r="E2503" i="67"/>
  <c r="C2503" i="67" l="1"/>
  <c r="F2505" i="67"/>
  <c r="A2506" i="67"/>
  <c r="B2505" i="67"/>
  <c r="D2504" i="67"/>
  <c r="E2504" i="67"/>
  <c r="C2504" i="67" l="1"/>
  <c r="D2505" i="67"/>
  <c r="E2505" i="67"/>
  <c r="B2506" i="67"/>
  <c r="F2506" i="67"/>
  <c r="A2507" i="67"/>
  <c r="C2505" i="67" l="1"/>
  <c r="F2507" i="67"/>
  <c r="B2507" i="67"/>
  <c r="A2508" i="67"/>
  <c r="D2506" i="67"/>
  <c r="E2506" i="67"/>
  <c r="C2506" i="67" l="1"/>
  <c r="A2509" i="67"/>
  <c r="F2508" i="67"/>
  <c r="B2508" i="67"/>
  <c r="D2507" i="67"/>
  <c r="E2507" i="67"/>
  <c r="C2507" i="67" l="1"/>
  <c r="D2508" i="67"/>
  <c r="E2508" i="67"/>
  <c r="F2509" i="67"/>
  <c r="A2510" i="67"/>
  <c r="B2509" i="67"/>
  <c r="C2508" i="67" l="1"/>
  <c r="D2509" i="67"/>
  <c r="E2509" i="67"/>
  <c r="B2510" i="67"/>
  <c r="A2511" i="67"/>
  <c r="F2510" i="67"/>
  <c r="C2509" i="67" l="1"/>
  <c r="D2510" i="67"/>
  <c r="E2510" i="67"/>
  <c r="F2511" i="67"/>
  <c r="B2511" i="67"/>
  <c r="A2512" i="67"/>
  <c r="C2510" i="67" l="1"/>
  <c r="B2512" i="67"/>
  <c r="F2512" i="67"/>
  <c r="A2513" i="67"/>
  <c r="D2511" i="67"/>
  <c r="E2511" i="67"/>
  <c r="C2511" i="67" l="1"/>
  <c r="F2513" i="67"/>
  <c r="A2514" i="67"/>
  <c r="B2513" i="67"/>
  <c r="D2512" i="67"/>
  <c r="E2512" i="67"/>
  <c r="C2512" i="67" l="1"/>
  <c r="D2513" i="67"/>
  <c r="E2513" i="67"/>
  <c r="F2514" i="67"/>
  <c r="A2515" i="67"/>
  <c r="B2514" i="67"/>
  <c r="C2513" i="67" l="1"/>
  <c r="D2514" i="67"/>
  <c r="E2514" i="67"/>
  <c r="F2515" i="67"/>
  <c r="A2516" i="67"/>
  <c r="B2515" i="67"/>
  <c r="C2514" i="67" l="1"/>
  <c r="F2516" i="67"/>
  <c r="A2517" i="67"/>
  <c r="B2516" i="67"/>
  <c r="D2515" i="67"/>
  <c r="E2515" i="67"/>
  <c r="C2515" i="67" l="1"/>
  <c r="D2516" i="67"/>
  <c r="E2516" i="67"/>
  <c r="B2517" i="67"/>
  <c r="F2517" i="67"/>
  <c r="A2518" i="67"/>
  <c r="C2516" i="67" l="1"/>
  <c r="A2519" i="67"/>
  <c r="F2518" i="67"/>
  <c r="B2518" i="67"/>
  <c r="D2517" i="67"/>
  <c r="E2517" i="67"/>
  <c r="C2517" i="67" l="1"/>
  <c r="D2518" i="67"/>
  <c r="E2518" i="67"/>
  <c r="F2519" i="67"/>
  <c r="A2520" i="67"/>
  <c r="B2519" i="67"/>
  <c r="C2518" i="67" l="1"/>
  <c r="F2520" i="67"/>
  <c r="A2521" i="67"/>
  <c r="B2520" i="67"/>
  <c r="D2519" i="67"/>
  <c r="E2519" i="67"/>
  <c r="C2519" i="67" l="1"/>
  <c r="D2520" i="67"/>
  <c r="E2520" i="67"/>
  <c r="A2522" i="67"/>
  <c r="F2521" i="67"/>
  <c r="B2521" i="67"/>
  <c r="C2520" i="67" l="1"/>
  <c r="A2523" i="67"/>
  <c r="B2522" i="67"/>
  <c r="F2522" i="67"/>
  <c r="D2521" i="67"/>
  <c r="E2521" i="67"/>
  <c r="C2521" i="67" l="1"/>
  <c r="D2522" i="67"/>
  <c r="E2522" i="67"/>
  <c r="B2523" i="67"/>
  <c r="F2523" i="67"/>
  <c r="A2524" i="67"/>
  <c r="C2522" i="67" l="1"/>
  <c r="F2524" i="67"/>
  <c r="A2525" i="67"/>
  <c r="B2524" i="67"/>
  <c r="D2523" i="67"/>
  <c r="E2523" i="67"/>
  <c r="C2523" i="67" l="1"/>
  <c r="D2524" i="67"/>
  <c r="E2524" i="67"/>
  <c r="B2525" i="67"/>
  <c r="F2525" i="67"/>
  <c r="A2526" i="67"/>
  <c r="C2524" i="67" l="1"/>
  <c r="B2526" i="67"/>
  <c r="F2526" i="67"/>
  <c r="A2527" i="67"/>
  <c r="D2525" i="67"/>
  <c r="E2525" i="67"/>
  <c r="C2525" i="67" l="1"/>
  <c r="B2527" i="67"/>
  <c r="F2527" i="67"/>
  <c r="A2528" i="67"/>
  <c r="D2526" i="67"/>
  <c r="E2526" i="67"/>
  <c r="C2526" i="67" l="1"/>
  <c r="F2528" i="67"/>
  <c r="A2529" i="67"/>
  <c r="B2528" i="67"/>
  <c r="D2527" i="67"/>
  <c r="E2527" i="67"/>
  <c r="C2527" i="67" l="1"/>
  <c r="D2528" i="67"/>
  <c r="E2528" i="67"/>
  <c r="B2529" i="67"/>
  <c r="F2529" i="67"/>
  <c r="A2530" i="67"/>
  <c r="C2528" i="67" l="1"/>
  <c r="F2530" i="67"/>
  <c r="A2531" i="67"/>
  <c r="B2530" i="67"/>
  <c r="D2529" i="67"/>
  <c r="E2529" i="67"/>
  <c r="C2529" i="67" l="1"/>
  <c r="D2530" i="67"/>
  <c r="E2530" i="67"/>
  <c r="F2531" i="67"/>
  <c r="A2532" i="67"/>
  <c r="B2531" i="67"/>
  <c r="C2530" i="67" l="1"/>
  <c r="D2531" i="67"/>
  <c r="E2531" i="67"/>
  <c r="F2532" i="67"/>
  <c r="A2533" i="67"/>
  <c r="B2532" i="67"/>
  <c r="C2531" i="67" l="1"/>
  <c r="D2532" i="67"/>
  <c r="E2532" i="67"/>
  <c r="B2533" i="67"/>
  <c r="F2533" i="67"/>
  <c r="A2534" i="67"/>
  <c r="C2532" i="67" l="1"/>
  <c r="B2534" i="67"/>
  <c r="F2534" i="67"/>
  <c r="A2535" i="67"/>
  <c r="D2533" i="67"/>
  <c r="E2533" i="67"/>
  <c r="C2533" i="67" l="1"/>
  <c r="F2535" i="67"/>
  <c r="A2536" i="67"/>
  <c r="B2535" i="67"/>
  <c r="D2534" i="67"/>
  <c r="E2534" i="67"/>
  <c r="C2534" i="67" l="1"/>
  <c r="D2535" i="67"/>
  <c r="E2535" i="67"/>
  <c r="F2536" i="67"/>
  <c r="A2537" i="67"/>
  <c r="B2536" i="67"/>
  <c r="C2535" i="67" l="1"/>
  <c r="D2536" i="67"/>
  <c r="E2536" i="67"/>
  <c r="F2537" i="67"/>
  <c r="A2538" i="67"/>
  <c r="B2537" i="67"/>
  <c r="C2536" i="67" l="1"/>
  <c r="D2537" i="67"/>
  <c r="E2537" i="67"/>
  <c r="F2538" i="67"/>
  <c r="B2538" i="67"/>
  <c r="A2539" i="67"/>
  <c r="C2537" i="67" l="1"/>
  <c r="D2538" i="67"/>
  <c r="E2538" i="67"/>
  <c r="F2539" i="67"/>
  <c r="A2540" i="67"/>
  <c r="B2539" i="67"/>
  <c r="C2538" i="67" l="1"/>
  <c r="D2539" i="67"/>
  <c r="E2539" i="67"/>
  <c r="B2540" i="67"/>
  <c r="F2540" i="67"/>
  <c r="A2541" i="67"/>
  <c r="C2539" i="67" l="1"/>
  <c r="B2541" i="67"/>
  <c r="F2541" i="67"/>
  <c r="A2542" i="67"/>
  <c r="D2540" i="67"/>
  <c r="E2540" i="67"/>
  <c r="C2540" i="67" l="1"/>
  <c r="F2542" i="67"/>
  <c r="B2542" i="67"/>
  <c r="A2543" i="67"/>
  <c r="D2541" i="67"/>
  <c r="E2541" i="67"/>
  <c r="C2541" i="67" l="1"/>
  <c r="F2543" i="67"/>
  <c r="A2544" i="67"/>
  <c r="B2543" i="67"/>
  <c r="D2542" i="67"/>
  <c r="E2542" i="67"/>
  <c r="C2542" i="67" l="1"/>
  <c r="D2543" i="67"/>
  <c r="E2543" i="67"/>
  <c r="F2544" i="67"/>
  <c r="B2544" i="67"/>
  <c r="A2545" i="67"/>
  <c r="C2543" i="67" l="1"/>
  <c r="F2545" i="67"/>
  <c r="B2545" i="67"/>
  <c r="A2546" i="67"/>
  <c r="D2544" i="67"/>
  <c r="E2544" i="67"/>
  <c r="C2544" i="67" l="1"/>
  <c r="B2546" i="67"/>
  <c r="F2546" i="67"/>
  <c r="A2547" i="67"/>
  <c r="D2545" i="67"/>
  <c r="E2545" i="67"/>
  <c r="C2545" i="67" l="1"/>
  <c r="D2546" i="67"/>
  <c r="E2546" i="67"/>
  <c r="F2547" i="67"/>
  <c r="B2547" i="67"/>
  <c r="A2548" i="67"/>
  <c r="C2546" i="67" l="1"/>
  <c r="F2548" i="67"/>
  <c r="A2549" i="67"/>
  <c r="B2548" i="67"/>
  <c r="D2547" i="67"/>
  <c r="E2547" i="67"/>
  <c r="C2547" i="67" l="1"/>
  <c r="D2548" i="67"/>
  <c r="E2548" i="67"/>
  <c r="B2549" i="67"/>
  <c r="F2549" i="67"/>
  <c r="A2550" i="67"/>
  <c r="C2548" i="67" l="1"/>
  <c r="F2550" i="67"/>
  <c r="A2551" i="67"/>
  <c r="B2550" i="67"/>
  <c r="D2549" i="67"/>
  <c r="E2549" i="67"/>
  <c r="C2549" i="67" l="1"/>
  <c r="D2550" i="67"/>
  <c r="E2550" i="67"/>
  <c r="F2551" i="67"/>
  <c r="A2552" i="67"/>
  <c r="B2551" i="67"/>
  <c r="C2550" i="67" l="1"/>
  <c r="F2552" i="67"/>
  <c r="A2553" i="67"/>
  <c r="B2552" i="67"/>
  <c r="D2551" i="67"/>
  <c r="E2551" i="67"/>
  <c r="C2551" i="67" l="1"/>
  <c r="D2552" i="67"/>
  <c r="E2552" i="67"/>
  <c r="B2553" i="67"/>
  <c r="F2553" i="67"/>
  <c r="A2554" i="67"/>
  <c r="C2552" i="67" l="1"/>
  <c r="A2555" i="67"/>
  <c r="F2554" i="67"/>
  <c r="B2554" i="67"/>
  <c r="D2553" i="67"/>
  <c r="E2553" i="67"/>
  <c r="C2553" i="67" l="1"/>
  <c r="D2554" i="67"/>
  <c r="E2554" i="67"/>
  <c r="F2555" i="67"/>
  <c r="A2556" i="67"/>
  <c r="B2555" i="67"/>
  <c r="C2554" i="67" l="1"/>
  <c r="D2555" i="67"/>
  <c r="E2555" i="67"/>
  <c r="B2556" i="67"/>
  <c r="F2556" i="67"/>
  <c r="A2557" i="67"/>
  <c r="C2555" i="67" l="1"/>
  <c r="B2557" i="67"/>
  <c r="F2557" i="67"/>
  <c r="A2558" i="67"/>
  <c r="D2556" i="67"/>
  <c r="E2556" i="67"/>
  <c r="C2556" i="67" l="1"/>
  <c r="F2558" i="67"/>
  <c r="A2559" i="67"/>
  <c r="B2558" i="67"/>
  <c r="D2557" i="67"/>
  <c r="E2557" i="67"/>
  <c r="C2557" i="67" l="1"/>
  <c r="D2558" i="67"/>
  <c r="E2558" i="67"/>
  <c r="A2560" i="67"/>
  <c r="F2559" i="67"/>
  <c r="B2559" i="67"/>
  <c r="C2558" i="67" l="1"/>
  <c r="D2559" i="67"/>
  <c r="E2559" i="67"/>
  <c r="B2560" i="67"/>
  <c r="A2561" i="67"/>
  <c r="F2560" i="67"/>
  <c r="C2559" i="67" l="1"/>
  <c r="A2562" i="67"/>
  <c r="B2561" i="67"/>
  <c r="F2561" i="67"/>
  <c r="D2560" i="67"/>
  <c r="E2560" i="67"/>
  <c r="C2560" i="67" l="1"/>
  <c r="A2563" i="67"/>
  <c r="F2562" i="67"/>
  <c r="B2562" i="67"/>
  <c r="D2561" i="67"/>
  <c r="E2561" i="67"/>
  <c r="C2561" i="67" l="1"/>
  <c r="D2562" i="67"/>
  <c r="E2562" i="67"/>
  <c r="C2562" i="67" s="1"/>
  <c r="A2564" i="67"/>
  <c r="B2563" i="67"/>
  <c r="F2563" i="67"/>
  <c r="D2563" i="67" l="1"/>
  <c r="E2563" i="67"/>
  <c r="F2564" i="67"/>
  <c r="A2565" i="67"/>
  <c r="B2564" i="67"/>
  <c r="C2563" i="67" l="1"/>
  <c r="B2565" i="67"/>
  <c r="F2565" i="67"/>
  <c r="A2566" i="67"/>
  <c r="D2564" i="67"/>
  <c r="E2564" i="67"/>
  <c r="C2564" i="67" l="1"/>
  <c r="A2567" i="67"/>
  <c r="F2566" i="67"/>
  <c r="B2566" i="67"/>
  <c r="D2565" i="67"/>
  <c r="E2565" i="67"/>
  <c r="C2565" i="67" l="1"/>
  <c r="F2567" i="67"/>
  <c r="A2568" i="67"/>
  <c r="B2567" i="67"/>
  <c r="D2566" i="67"/>
  <c r="E2566" i="67"/>
  <c r="C2566" i="67" l="1"/>
  <c r="D2567" i="67"/>
  <c r="E2567" i="67"/>
  <c r="F2568" i="67"/>
  <c r="B2568" i="67"/>
  <c r="A2569" i="67"/>
  <c r="C2567" i="67" l="1"/>
  <c r="F2569" i="67"/>
  <c r="B2569" i="67"/>
  <c r="A2570" i="67"/>
  <c r="D2568" i="67"/>
  <c r="E2568" i="67"/>
  <c r="C2568" i="67" l="1"/>
  <c r="D2569" i="67"/>
  <c r="E2569" i="67"/>
  <c r="C2569" i="67" s="1"/>
  <c r="B2570" i="67"/>
  <c r="F2570" i="67"/>
  <c r="A2571" i="67"/>
  <c r="A2572" i="67" l="1"/>
  <c r="F2571" i="67"/>
  <c r="B2571" i="67"/>
  <c r="D2570" i="67"/>
  <c r="E2570" i="67"/>
  <c r="C2570" i="67" l="1"/>
  <c r="D2571" i="67"/>
  <c r="E2571" i="67"/>
  <c r="A2573" i="67"/>
  <c r="F2572" i="67"/>
  <c r="B2572" i="67"/>
  <c r="C2571" i="67" l="1"/>
  <c r="D2572" i="67"/>
  <c r="E2572" i="67"/>
  <c r="F2573" i="67"/>
  <c r="A2574" i="67"/>
  <c r="B2573" i="67"/>
  <c r="C2572" i="67" l="1"/>
  <c r="F2574" i="67"/>
  <c r="A2575" i="67"/>
  <c r="B2574" i="67"/>
  <c r="D2573" i="67"/>
  <c r="E2573" i="67"/>
  <c r="C2573" i="67" l="1"/>
  <c r="D2574" i="67"/>
  <c r="E2574" i="67"/>
  <c r="F2575" i="67"/>
  <c r="A2576" i="67"/>
  <c r="B2575" i="67"/>
  <c r="C2574" i="67" l="1"/>
  <c r="B2576" i="67"/>
  <c r="A2577" i="67"/>
  <c r="F2576" i="67"/>
  <c r="D2575" i="67"/>
  <c r="E2575" i="67"/>
  <c r="C2575" i="67" l="1"/>
  <c r="B2577" i="67"/>
  <c r="F2577" i="67"/>
  <c r="A2578" i="67"/>
  <c r="D2576" i="67"/>
  <c r="E2576" i="67"/>
  <c r="C2576" i="67" l="1"/>
  <c r="A2579" i="67"/>
  <c r="F2578" i="67"/>
  <c r="B2578" i="67"/>
  <c r="D2577" i="67"/>
  <c r="E2577" i="67"/>
  <c r="C2577" i="67" l="1"/>
  <c r="D2578" i="67"/>
  <c r="E2578" i="67"/>
  <c r="B2579" i="67"/>
  <c r="F2579" i="67"/>
  <c r="A2580" i="67"/>
  <c r="C2578" i="67" l="1"/>
  <c r="D2579" i="67"/>
  <c r="E2579" i="67"/>
  <c r="F2580" i="67"/>
  <c r="A2581" i="67"/>
  <c r="B2580" i="67"/>
  <c r="C2579" i="67" l="1"/>
  <c r="B2581" i="67"/>
  <c r="F2581" i="67"/>
  <c r="A2582" i="67"/>
  <c r="D2580" i="67"/>
  <c r="E2580" i="67"/>
  <c r="C2580" i="67" l="1"/>
  <c r="B2582" i="67"/>
  <c r="F2582" i="67"/>
  <c r="A2583" i="67"/>
  <c r="D2581" i="67"/>
  <c r="E2581" i="67"/>
  <c r="C2581" i="67" l="1"/>
  <c r="F2583" i="67"/>
  <c r="A2584" i="67"/>
  <c r="B2583" i="67"/>
  <c r="D2582" i="67"/>
  <c r="E2582" i="67"/>
  <c r="C2582" i="67" l="1"/>
  <c r="D2583" i="67"/>
  <c r="E2583" i="67"/>
  <c r="A2585" i="67"/>
  <c r="F2584" i="67"/>
  <c r="B2584" i="67"/>
  <c r="C2583" i="67" l="1"/>
  <c r="D2584" i="67"/>
  <c r="E2584" i="67"/>
  <c r="F2585" i="67"/>
  <c r="A2586" i="67"/>
  <c r="B2585" i="67"/>
  <c r="C2584" i="67" l="1"/>
  <c r="D2585" i="67"/>
  <c r="E2585" i="67"/>
  <c r="F2586" i="67"/>
  <c r="A2587" i="67"/>
  <c r="B2586" i="67"/>
  <c r="C2585" i="67" l="1"/>
  <c r="D2586" i="67"/>
  <c r="E2586" i="67"/>
  <c r="F2587" i="67"/>
  <c r="A2588" i="67"/>
  <c r="B2587" i="67"/>
  <c r="C2586" i="67" l="1"/>
  <c r="B2588" i="67"/>
  <c r="F2588" i="67"/>
  <c r="A2589" i="67"/>
  <c r="D2587" i="67"/>
  <c r="E2587" i="67"/>
  <c r="C2587" i="67" l="1"/>
  <c r="F2589" i="67"/>
  <c r="A2590" i="67"/>
  <c r="B2589" i="67"/>
  <c r="D2588" i="67"/>
  <c r="E2588" i="67"/>
  <c r="C2588" i="67" l="1"/>
  <c r="D2589" i="67"/>
  <c r="E2589" i="67"/>
  <c r="F2590" i="67"/>
  <c r="A2591" i="67"/>
  <c r="B2590" i="67"/>
  <c r="C2589" i="67" l="1"/>
  <c r="D2590" i="67"/>
  <c r="E2590" i="67"/>
  <c r="F2591" i="67"/>
  <c r="B2591" i="67"/>
  <c r="A2592" i="67"/>
  <c r="C2590" i="67" l="1"/>
  <c r="D2591" i="67"/>
  <c r="E2591" i="67"/>
  <c r="A2593" i="67"/>
  <c r="F2592" i="67"/>
  <c r="B2592" i="67"/>
  <c r="C2591" i="67" l="1"/>
  <c r="D2592" i="67"/>
  <c r="E2592" i="67"/>
  <c r="F2593" i="67"/>
  <c r="B2593" i="67"/>
  <c r="A2594" i="67"/>
  <c r="C2592" i="67" l="1"/>
  <c r="D2593" i="67"/>
  <c r="E2593" i="67"/>
  <c r="A2595" i="67"/>
  <c r="F2594" i="67"/>
  <c r="B2594" i="67"/>
  <c r="C2593" i="67" l="1"/>
  <c r="D2594" i="67"/>
  <c r="E2594" i="67"/>
  <c r="B2595" i="67"/>
  <c r="A2596" i="67"/>
  <c r="F2595" i="67"/>
  <c r="C2594" i="67" l="1"/>
  <c r="D2595" i="67"/>
  <c r="E2595" i="67"/>
  <c r="A2597" i="67"/>
  <c r="B2596" i="67"/>
  <c r="F2596" i="67"/>
  <c r="C2595" i="67" l="1"/>
  <c r="B2597" i="67"/>
  <c r="F2597" i="67"/>
  <c r="A2598" i="67"/>
  <c r="D2596" i="67"/>
  <c r="E2596" i="67"/>
  <c r="C2596" i="67" l="1"/>
  <c r="F2598" i="67"/>
  <c r="B2598" i="67"/>
  <c r="A2599" i="67"/>
  <c r="D2597" i="67"/>
  <c r="E2597" i="67"/>
  <c r="C2597" i="67" l="1"/>
  <c r="A2600" i="67"/>
  <c r="F2599" i="67"/>
  <c r="B2599" i="67"/>
  <c r="D2598" i="67"/>
  <c r="E2598" i="67"/>
  <c r="C2598" i="67" l="1"/>
  <c r="D2599" i="67"/>
  <c r="E2599" i="67"/>
  <c r="B2600" i="67"/>
  <c r="F2600" i="67"/>
  <c r="A2601" i="67"/>
  <c r="C2599" i="67" l="1"/>
  <c r="A2602" i="67"/>
  <c r="F2601" i="67"/>
  <c r="B2601" i="67"/>
  <c r="D2600" i="67"/>
  <c r="E2600" i="67"/>
  <c r="C2600" i="67" l="1"/>
  <c r="D2601" i="67"/>
  <c r="E2601" i="67"/>
  <c r="F2602" i="67"/>
  <c r="A2603" i="67"/>
  <c r="B2602" i="67"/>
  <c r="C2601" i="67" l="1"/>
  <c r="D2602" i="67"/>
  <c r="E2602" i="67"/>
  <c r="B2603" i="67"/>
  <c r="F2603" i="67"/>
  <c r="A2604" i="67"/>
  <c r="C2602" i="67" l="1"/>
  <c r="F2604" i="67"/>
  <c r="A2605" i="67"/>
  <c r="B2604" i="67"/>
  <c r="D2603" i="67"/>
  <c r="E2603" i="67"/>
  <c r="C2603" i="67" l="1"/>
  <c r="D2604" i="67"/>
  <c r="E2604" i="67"/>
  <c r="F2605" i="67"/>
  <c r="B2605" i="67"/>
  <c r="A2606" i="67"/>
  <c r="C2604" i="67" l="1"/>
  <c r="D2605" i="67"/>
  <c r="E2605" i="67"/>
  <c r="F2606" i="67"/>
  <c r="B2606" i="67"/>
  <c r="A2607" i="67"/>
  <c r="C2605" i="67" l="1"/>
  <c r="B2607" i="67"/>
  <c r="F2607" i="67"/>
  <c r="A2608" i="67"/>
  <c r="D2606" i="67"/>
  <c r="E2606" i="67"/>
  <c r="C2606" i="67" l="1"/>
  <c r="A2609" i="67"/>
  <c r="F2608" i="67"/>
  <c r="B2608" i="67"/>
  <c r="D2607" i="67"/>
  <c r="E2607" i="67"/>
  <c r="C2607" i="67" l="1"/>
  <c r="D2608" i="67"/>
  <c r="E2608" i="67"/>
  <c r="B2609" i="67"/>
  <c r="F2609" i="67"/>
  <c r="A2610" i="67"/>
  <c r="C2608" i="67" l="1"/>
  <c r="B2610" i="67"/>
  <c r="F2610" i="67"/>
  <c r="A2611" i="67"/>
  <c r="D2609" i="67"/>
  <c r="E2609" i="67"/>
  <c r="C2609" i="67" l="1"/>
  <c r="F2611" i="67"/>
  <c r="B2611" i="67"/>
  <c r="A2612" i="67"/>
  <c r="D2610" i="67"/>
  <c r="E2610" i="67"/>
  <c r="C2610" i="67" l="1"/>
  <c r="A2613" i="67"/>
  <c r="F2612" i="67"/>
  <c r="B2612" i="67"/>
  <c r="D2611" i="67"/>
  <c r="E2611" i="67"/>
  <c r="C2611" i="67" l="1"/>
  <c r="D2612" i="67"/>
  <c r="E2612" i="67"/>
  <c r="B2613" i="67"/>
  <c r="F2613" i="67"/>
  <c r="A2614" i="67"/>
  <c r="C2612" i="67" l="1"/>
  <c r="F2614" i="67"/>
  <c r="A2615" i="67"/>
  <c r="B2614" i="67"/>
  <c r="D2613" i="67"/>
  <c r="E2613" i="67"/>
  <c r="C2613" i="67" l="1"/>
  <c r="D2614" i="67"/>
  <c r="E2614" i="67"/>
  <c r="B2615" i="67"/>
  <c r="F2615" i="67"/>
  <c r="A2616" i="67"/>
  <c r="C2614" i="67" l="1"/>
  <c r="A2617" i="67"/>
  <c r="F2616" i="67"/>
  <c r="B2616" i="67"/>
  <c r="D2615" i="67"/>
  <c r="E2615" i="67"/>
  <c r="C2615" i="67" l="1"/>
  <c r="B2617" i="67"/>
  <c r="F2617" i="67"/>
  <c r="A2618" i="67"/>
  <c r="D2616" i="67"/>
  <c r="E2616" i="67"/>
  <c r="C2616" i="67" l="1"/>
  <c r="B2618" i="67"/>
  <c r="F2618" i="67"/>
  <c r="A2619" i="67"/>
  <c r="D2617" i="67"/>
  <c r="E2617" i="67"/>
  <c r="C2617" i="67" l="1"/>
  <c r="F2619" i="67"/>
  <c r="A2620" i="67"/>
  <c r="B2619" i="67"/>
  <c r="D2618" i="67"/>
  <c r="E2618" i="67"/>
  <c r="C2618" i="67" l="1"/>
  <c r="D2619" i="67"/>
  <c r="E2619" i="67"/>
  <c r="B2620" i="67"/>
  <c r="F2620" i="67"/>
  <c r="A2621" i="67"/>
  <c r="C2619" i="67" l="1"/>
  <c r="F2621" i="67"/>
  <c r="A2622" i="67"/>
  <c r="B2621" i="67"/>
  <c r="D2620" i="67"/>
  <c r="E2620" i="67"/>
  <c r="C2620" i="67" l="1"/>
  <c r="D2621" i="67"/>
  <c r="E2621" i="67"/>
  <c r="B2622" i="67"/>
  <c r="F2622" i="67"/>
  <c r="A2623" i="67"/>
  <c r="C2621" i="67" l="1"/>
  <c r="A2624" i="67"/>
  <c r="F2623" i="67"/>
  <c r="B2623" i="67"/>
  <c r="D2622" i="67"/>
  <c r="E2622" i="67"/>
  <c r="C2622" i="67" l="1"/>
  <c r="D2623" i="67"/>
  <c r="E2623" i="67"/>
  <c r="F2624" i="67"/>
  <c r="B2624" i="67"/>
  <c r="A2625" i="67"/>
  <c r="C2623" i="67" l="1"/>
  <c r="D2624" i="67"/>
  <c r="E2624" i="67"/>
  <c r="F2625" i="67"/>
  <c r="B2625" i="67"/>
  <c r="A2626" i="67"/>
  <c r="C2624" i="67" l="1"/>
  <c r="B2626" i="67"/>
  <c r="F2626" i="67"/>
  <c r="A2627" i="67"/>
  <c r="D2625" i="67"/>
  <c r="E2625" i="67"/>
  <c r="C2625" i="67" l="1"/>
  <c r="F2627" i="67"/>
  <c r="A2628" i="67"/>
  <c r="B2627" i="67"/>
  <c r="D2626" i="67"/>
  <c r="E2626" i="67"/>
  <c r="C2626" i="67" l="1"/>
  <c r="B2628" i="67"/>
  <c r="F2628" i="67"/>
  <c r="A2629" i="67"/>
  <c r="D2627" i="67"/>
  <c r="E2627" i="67"/>
  <c r="C2627" i="67" l="1"/>
  <c r="F2629" i="67"/>
  <c r="A2630" i="67"/>
  <c r="B2629" i="67"/>
  <c r="D2628" i="67"/>
  <c r="E2628" i="67"/>
  <c r="C2628" i="67" l="1"/>
  <c r="D2629" i="67"/>
  <c r="E2629" i="67"/>
  <c r="A2631" i="67"/>
  <c r="F2630" i="67"/>
  <c r="B2630" i="67"/>
  <c r="C2629" i="67" l="1"/>
  <c r="D2630" i="67"/>
  <c r="E2630" i="67"/>
  <c r="F2631" i="67"/>
  <c r="B2631" i="67"/>
  <c r="A2632" i="67"/>
  <c r="C2630" i="67" l="1"/>
  <c r="F2632" i="67"/>
  <c r="B2632" i="67"/>
  <c r="A2633" i="67"/>
  <c r="D2631" i="67"/>
  <c r="E2631" i="67"/>
  <c r="C2631" i="67" l="1"/>
  <c r="B2633" i="67"/>
  <c r="F2633" i="67"/>
  <c r="A2634" i="67"/>
  <c r="D2632" i="67"/>
  <c r="E2632" i="67"/>
  <c r="C2632" i="67" l="1"/>
  <c r="B2634" i="67"/>
  <c r="F2634" i="67"/>
  <c r="A2635" i="67"/>
  <c r="D2633" i="67"/>
  <c r="E2633" i="67"/>
  <c r="C2633" i="67" l="1"/>
  <c r="F2635" i="67"/>
  <c r="B2635" i="67"/>
  <c r="A2636" i="67"/>
  <c r="D2634" i="67"/>
  <c r="E2634" i="67"/>
  <c r="C2634" i="67" l="1"/>
  <c r="B2636" i="67"/>
  <c r="F2636" i="67"/>
  <c r="A2637" i="67"/>
  <c r="D2635" i="67"/>
  <c r="E2635" i="67"/>
  <c r="C2635" i="67" l="1"/>
  <c r="A2638" i="67"/>
  <c r="F2637" i="67"/>
  <c r="B2637" i="67"/>
  <c r="D2636" i="67"/>
  <c r="E2636" i="67"/>
  <c r="C2636" i="67" l="1"/>
  <c r="D2637" i="67"/>
  <c r="E2637" i="67"/>
  <c r="F2638" i="67"/>
  <c r="A2639" i="67"/>
  <c r="B2638" i="67"/>
  <c r="C2637" i="67" l="1"/>
  <c r="D2638" i="67"/>
  <c r="E2638" i="67"/>
  <c r="F2639" i="67"/>
  <c r="B2639" i="67"/>
  <c r="A2640" i="67"/>
  <c r="C2638" i="67" l="1"/>
  <c r="A2641" i="67"/>
  <c r="B2640" i="67"/>
  <c r="F2640" i="67"/>
  <c r="D2639" i="67"/>
  <c r="E2639" i="67"/>
  <c r="C2639" i="67" l="1"/>
  <c r="D2640" i="67"/>
  <c r="E2640" i="67"/>
  <c r="A2642" i="67"/>
  <c r="F2641" i="67"/>
  <c r="B2641" i="67"/>
  <c r="C2640" i="67" l="1"/>
  <c r="D2641" i="67"/>
  <c r="E2641" i="67"/>
  <c r="B2642" i="67"/>
  <c r="F2642" i="67"/>
  <c r="A2643" i="67"/>
  <c r="C2641" i="67" l="1"/>
  <c r="D2642" i="67"/>
  <c r="E2642" i="67"/>
  <c r="F2643" i="67"/>
  <c r="A2644" i="67"/>
  <c r="B2643" i="67"/>
  <c r="C2642" i="67" l="1"/>
  <c r="D2643" i="67"/>
  <c r="E2643" i="67"/>
  <c r="F2644" i="67"/>
  <c r="A2645" i="67"/>
  <c r="B2644" i="67"/>
  <c r="C2643" i="67" l="1"/>
  <c r="D2644" i="67"/>
  <c r="E2644" i="67"/>
  <c r="F2645" i="67"/>
  <c r="A2646" i="67"/>
  <c r="B2645" i="67"/>
  <c r="C2644" i="67" l="1"/>
  <c r="D2645" i="67"/>
  <c r="E2645" i="67"/>
  <c r="A2647" i="67"/>
  <c r="F2646" i="67"/>
  <c r="B2646" i="67"/>
  <c r="C2645" i="67" l="1"/>
  <c r="D2646" i="67"/>
  <c r="E2646" i="67"/>
  <c r="F2647" i="67"/>
  <c r="A2648" i="67"/>
  <c r="B2647" i="67"/>
  <c r="C2646" i="67" l="1"/>
  <c r="F2648" i="67"/>
  <c r="B2648" i="67"/>
  <c r="A2649" i="67"/>
  <c r="D2647" i="67"/>
  <c r="E2647" i="67"/>
  <c r="C2647" i="67" l="1"/>
  <c r="D2648" i="67"/>
  <c r="E2648" i="67"/>
  <c r="F2649" i="67"/>
  <c r="B2649" i="67"/>
  <c r="A2650" i="67"/>
  <c r="C2648" i="67" l="1"/>
  <c r="F2650" i="67"/>
  <c r="A2651" i="67"/>
  <c r="B2650" i="67"/>
  <c r="D2649" i="67"/>
  <c r="E2649" i="67"/>
  <c r="C2649" i="67" l="1"/>
  <c r="F2651" i="67"/>
  <c r="A2652" i="67"/>
  <c r="B2651" i="67"/>
  <c r="D2650" i="67"/>
  <c r="E2650" i="67"/>
  <c r="C2650" i="67" l="1"/>
  <c r="D2651" i="67"/>
  <c r="E2651" i="67"/>
  <c r="A2653" i="67"/>
  <c r="B2652" i="67"/>
  <c r="F2652" i="67"/>
  <c r="C2651" i="67" l="1"/>
  <c r="F2653" i="67"/>
  <c r="B2653" i="67"/>
  <c r="A2654" i="67"/>
  <c r="D2652" i="67"/>
  <c r="E2652" i="67"/>
  <c r="C2652" i="67" l="1"/>
  <c r="B2654" i="67"/>
  <c r="F2654" i="67"/>
  <c r="A2655" i="67"/>
  <c r="D2653" i="67"/>
  <c r="E2653" i="67"/>
  <c r="C2653" i="67" l="1"/>
  <c r="F2655" i="67"/>
  <c r="A2656" i="67"/>
  <c r="B2655" i="67"/>
  <c r="D2654" i="67"/>
  <c r="E2654" i="67"/>
  <c r="C2654" i="67" l="1"/>
  <c r="D2655" i="67"/>
  <c r="E2655" i="67"/>
  <c r="A2657" i="67"/>
  <c r="F2656" i="67"/>
  <c r="B2656" i="67"/>
  <c r="C2655" i="67" l="1"/>
  <c r="D2656" i="67"/>
  <c r="E2656" i="67"/>
  <c r="A2658" i="67"/>
  <c r="F2657" i="67"/>
  <c r="B2657" i="67"/>
  <c r="C2656" i="67" l="1"/>
  <c r="F2658" i="67"/>
  <c r="B2658" i="67"/>
  <c r="A2659" i="67"/>
  <c r="D2657" i="67"/>
  <c r="E2657" i="67"/>
  <c r="C2657" i="67" l="1"/>
  <c r="F2659" i="67"/>
  <c r="A2660" i="67"/>
  <c r="B2659" i="67"/>
  <c r="D2658" i="67"/>
  <c r="E2658" i="67"/>
  <c r="C2658" i="67" l="1"/>
  <c r="D2659" i="67"/>
  <c r="E2659" i="67"/>
  <c r="A2661" i="67"/>
  <c r="F2660" i="67"/>
  <c r="B2660" i="67"/>
  <c r="C2659" i="67" l="1"/>
  <c r="D2660" i="67"/>
  <c r="E2660" i="67"/>
  <c r="B2661" i="67"/>
  <c r="F2661" i="67"/>
  <c r="A2662" i="67"/>
  <c r="C2660" i="67" l="1"/>
  <c r="B2662" i="67"/>
  <c r="A2663" i="67"/>
  <c r="F2662" i="67"/>
  <c r="D2661" i="67"/>
  <c r="E2661" i="67"/>
  <c r="C2661" i="67" l="1"/>
  <c r="A2664" i="67"/>
  <c r="F2663" i="67"/>
  <c r="B2663" i="67"/>
  <c r="D2662" i="67"/>
  <c r="E2662" i="67"/>
  <c r="C2662" i="67" l="1"/>
  <c r="D2663" i="67"/>
  <c r="E2663" i="67"/>
  <c r="B2664" i="67"/>
  <c r="F2664" i="67"/>
  <c r="A2665" i="67"/>
  <c r="C2663" i="67" l="1"/>
  <c r="D2664" i="67"/>
  <c r="E2664" i="67"/>
  <c r="F2665" i="67"/>
  <c r="A2666" i="67"/>
  <c r="B2665" i="67"/>
  <c r="C2664" i="67" l="1"/>
  <c r="D2665" i="67"/>
  <c r="E2665" i="67"/>
  <c r="F2666" i="67"/>
  <c r="B2666" i="67"/>
  <c r="A2667" i="67"/>
  <c r="C2665" i="67" l="1"/>
  <c r="B2667" i="67"/>
  <c r="F2667" i="67"/>
  <c r="A2668" i="67"/>
  <c r="D2666" i="67"/>
  <c r="E2666" i="67"/>
  <c r="C2666" i="67" l="1"/>
  <c r="B2668" i="67"/>
  <c r="F2668" i="67"/>
  <c r="A2669" i="67"/>
  <c r="D2667" i="67"/>
  <c r="E2667" i="67"/>
  <c r="C2667" i="67" l="1"/>
  <c r="F2669" i="67"/>
  <c r="A2670" i="67"/>
  <c r="B2669" i="67"/>
  <c r="D2668" i="67"/>
  <c r="E2668" i="67"/>
  <c r="C2668" i="67" l="1"/>
  <c r="D2669" i="67"/>
  <c r="E2669" i="67"/>
  <c r="B2670" i="67"/>
  <c r="F2670" i="67"/>
  <c r="A2671" i="67"/>
  <c r="C2669" i="67" l="1"/>
  <c r="F2671" i="67"/>
  <c r="A2672" i="67"/>
  <c r="B2671" i="67"/>
  <c r="D2670" i="67"/>
  <c r="E2670" i="67"/>
  <c r="C2670" i="67" l="1"/>
  <c r="D2671" i="67"/>
  <c r="E2671" i="67"/>
  <c r="F2672" i="67"/>
  <c r="A2673" i="67"/>
  <c r="B2672" i="67"/>
  <c r="C2671" i="67" l="1"/>
  <c r="B2673" i="67"/>
  <c r="F2673" i="67"/>
  <c r="A2674" i="67"/>
  <c r="D2672" i="67"/>
  <c r="E2672" i="67"/>
  <c r="C2672" i="67" l="1"/>
  <c r="F2674" i="67"/>
  <c r="A2675" i="67"/>
  <c r="B2674" i="67"/>
  <c r="D2673" i="67"/>
  <c r="E2673" i="67"/>
  <c r="C2673" i="67" l="1"/>
  <c r="D2674" i="67"/>
  <c r="E2674" i="67"/>
  <c r="F2675" i="67"/>
  <c r="A2676" i="67"/>
  <c r="B2675" i="67"/>
  <c r="C2674" i="67" l="1"/>
  <c r="F2676" i="67"/>
  <c r="A2677" i="67"/>
  <c r="B2676" i="67"/>
  <c r="D2675" i="67"/>
  <c r="E2675" i="67"/>
  <c r="C2675" i="67" l="1"/>
  <c r="D2676" i="67"/>
  <c r="E2676" i="67"/>
  <c r="F2677" i="67"/>
  <c r="A2678" i="67"/>
  <c r="B2677" i="67"/>
  <c r="C2676" i="67" l="1"/>
  <c r="D2677" i="67"/>
  <c r="E2677" i="67"/>
  <c r="F2678" i="67"/>
  <c r="A2679" i="67"/>
  <c r="B2678" i="67"/>
  <c r="C2677" i="67" l="1"/>
  <c r="F2679" i="67"/>
  <c r="A2680" i="67"/>
  <c r="B2679" i="67"/>
  <c r="D2678" i="67"/>
  <c r="E2678" i="67"/>
  <c r="C2678" i="67" l="1"/>
  <c r="D2679" i="67"/>
  <c r="E2679" i="67"/>
  <c r="F2680" i="67"/>
  <c r="A2681" i="67"/>
  <c r="B2680" i="67"/>
  <c r="C2679" i="67" l="1"/>
  <c r="D2680" i="67"/>
  <c r="E2680" i="67"/>
  <c r="F2681" i="67"/>
  <c r="A2682" i="67"/>
  <c r="B2681" i="67"/>
  <c r="C2680" i="67" l="1"/>
  <c r="F2682" i="67"/>
  <c r="A2683" i="67"/>
  <c r="B2682" i="67"/>
  <c r="D2681" i="67"/>
  <c r="E2681" i="67"/>
  <c r="C2681" i="67" l="1"/>
  <c r="F2683" i="67"/>
  <c r="A2684" i="67"/>
  <c r="B2683" i="67"/>
  <c r="D2682" i="67"/>
  <c r="E2682" i="67"/>
  <c r="C2682" i="67" l="1"/>
  <c r="A2685" i="67"/>
  <c r="B2684" i="67"/>
  <c r="F2684" i="67"/>
  <c r="D2683" i="67"/>
  <c r="E2683" i="67"/>
  <c r="C2683" i="67" l="1"/>
  <c r="D2684" i="67"/>
  <c r="E2684" i="67"/>
  <c r="A2686" i="67"/>
  <c r="B2685" i="67"/>
  <c r="F2685" i="67"/>
  <c r="C2684" i="67" l="1"/>
  <c r="D2685" i="67"/>
  <c r="E2685" i="67"/>
  <c r="F2686" i="67"/>
  <c r="B2686" i="67"/>
  <c r="A2687" i="67"/>
  <c r="C2685" i="67" l="1"/>
  <c r="D2686" i="67"/>
  <c r="E2686" i="67"/>
  <c r="F2687" i="67"/>
  <c r="A2688" i="67"/>
  <c r="B2687" i="67"/>
  <c r="C2686" i="67" l="1"/>
  <c r="D2687" i="67"/>
  <c r="E2687" i="67"/>
  <c r="F2688" i="67"/>
  <c r="A2689" i="67"/>
  <c r="B2688" i="67"/>
  <c r="C2687" i="67" l="1"/>
  <c r="D2688" i="67"/>
  <c r="E2688" i="67"/>
  <c r="F2689" i="67"/>
  <c r="A2690" i="67"/>
  <c r="B2689" i="67"/>
  <c r="C2688" i="67" l="1"/>
  <c r="D2689" i="67"/>
  <c r="E2689" i="67"/>
  <c r="A2691" i="67"/>
  <c r="F2690" i="67"/>
  <c r="B2690" i="67"/>
  <c r="C2689" i="67" l="1"/>
  <c r="D2690" i="67"/>
  <c r="E2690" i="67"/>
  <c r="F2691" i="67"/>
  <c r="B2691" i="67"/>
  <c r="A2692" i="67"/>
  <c r="C2690" i="67" l="1"/>
  <c r="D2691" i="67"/>
  <c r="E2691" i="67"/>
  <c r="B2692" i="67"/>
  <c r="F2692" i="67"/>
  <c r="A2693" i="67"/>
  <c r="C2691" i="67" l="1"/>
  <c r="F2693" i="67"/>
  <c r="B2693" i="67"/>
  <c r="A2694" i="67"/>
  <c r="D2692" i="67"/>
  <c r="E2692" i="67"/>
  <c r="C2692" i="67" l="1"/>
  <c r="F2694" i="67"/>
  <c r="A2695" i="67"/>
  <c r="B2694" i="67"/>
  <c r="D2693" i="67"/>
  <c r="E2693" i="67"/>
  <c r="C2693" i="67" l="1"/>
  <c r="D2694" i="67"/>
  <c r="E2694" i="67"/>
  <c r="F2695" i="67"/>
  <c r="A2696" i="67"/>
  <c r="B2695" i="67"/>
  <c r="C2694" i="67" l="1"/>
  <c r="F2696" i="67"/>
  <c r="A2697" i="67"/>
  <c r="B2696" i="67"/>
  <c r="D2695" i="67"/>
  <c r="E2695" i="67"/>
  <c r="C2695" i="67" l="1"/>
  <c r="D2696" i="67"/>
  <c r="E2696" i="67"/>
  <c r="B2697" i="67"/>
  <c r="A2698" i="67"/>
  <c r="F2697" i="67"/>
  <c r="C2696" i="67" l="1"/>
  <c r="F2698" i="67"/>
  <c r="B2698" i="67"/>
  <c r="A2699" i="67"/>
  <c r="D2697" i="67"/>
  <c r="E2697" i="67"/>
  <c r="C2697" i="67" l="1"/>
  <c r="B2699" i="67"/>
  <c r="F2699" i="67"/>
  <c r="A2700" i="67"/>
  <c r="D2698" i="67"/>
  <c r="E2698" i="67"/>
  <c r="C2698" i="67" l="1"/>
  <c r="A2701" i="67"/>
  <c r="F2700" i="67"/>
  <c r="B2700" i="67"/>
  <c r="D2699" i="67"/>
  <c r="E2699" i="67"/>
  <c r="C2699" i="67" l="1"/>
  <c r="D2700" i="67"/>
  <c r="E2700" i="67"/>
  <c r="B2701" i="67"/>
  <c r="A2702" i="67"/>
  <c r="F2701" i="67"/>
  <c r="C2700" i="67" l="1"/>
  <c r="D2701" i="67"/>
  <c r="E2701" i="67"/>
  <c r="B2702" i="67"/>
  <c r="A2703" i="67"/>
  <c r="F2702" i="67"/>
  <c r="C2701" i="67" l="1"/>
  <c r="F2703" i="67"/>
  <c r="B2703" i="67"/>
  <c r="A2704" i="67"/>
  <c r="D2702" i="67"/>
  <c r="E2702" i="67"/>
  <c r="C2702" i="67" l="1"/>
  <c r="F2704" i="67"/>
  <c r="B2704" i="67"/>
  <c r="A2705" i="67"/>
  <c r="D2703" i="67"/>
  <c r="E2703" i="67"/>
  <c r="C2703" i="67" l="1"/>
  <c r="A2706" i="67"/>
  <c r="F2705" i="67"/>
  <c r="B2705" i="67"/>
  <c r="D2704" i="67"/>
  <c r="E2704" i="67"/>
  <c r="C2704" i="67" l="1"/>
  <c r="D2705" i="67"/>
  <c r="E2705" i="67"/>
  <c r="F2706" i="67"/>
  <c r="B2706" i="67"/>
  <c r="A2707" i="67"/>
  <c r="C2705" i="67" l="1"/>
  <c r="F2707" i="67"/>
  <c r="B2707" i="67"/>
  <c r="A2708" i="67"/>
  <c r="D2706" i="67"/>
  <c r="E2706" i="67"/>
  <c r="C2706" i="67" l="1"/>
  <c r="F2708" i="67"/>
  <c r="A2709" i="67"/>
  <c r="B2708" i="67"/>
  <c r="D2707" i="67"/>
  <c r="E2707" i="67"/>
  <c r="C2707" i="67" l="1"/>
  <c r="D2708" i="67"/>
  <c r="E2708" i="67"/>
  <c r="A2710" i="67"/>
  <c r="F2709" i="67"/>
  <c r="B2709" i="67"/>
  <c r="C2708" i="67" l="1"/>
  <c r="D2709" i="67"/>
  <c r="E2709" i="67"/>
  <c r="A2711" i="67"/>
  <c r="F2710" i="67"/>
  <c r="B2710" i="67"/>
  <c r="C2709" i="67" l="1"/>
  <c r="D2710" i="67"/>
  <c r="E2710" i="67"/>
  <c r="F2711" i="67"/>
  <c r="A2712" i="67"/>
  <c r="B2711" i="67"/>
  <c r="C2710" i="67" l="1"/>
  <c r="D2711" i="67"/>
  <c r="E2711" i="67"/>
  <c r="F2712" i="67"/>
  <c r="A2713" i="67"/>
  <c r="B2712" i="67"/>
  <c r="C2711" i="67" l="1"/>
  <c r="D2712" i="67"/>
  <c r="E2712" i="67"/>
  <c r="F2713" i="67"/>
  <c r="A2714" i="67"/>
  <c r="B2713" i="67"/>
  <c r="C2712" i="67" l="1"/>
  <c r="B2714" i="67"/>
  <c r="F2714" i="67"/>
  <c r="A2715" i="67"/>
  <c r="D2713" i="67"/>
  <c r="E2713" i="67"/>
  <c r="C2713" i="67" l="1"/>
  <c r="B2715" i="67"/>
  <c r="F2715" i="67"/>
  <c r="A2716" i="67"/>
  <c r="D2714" i="67"/>
  <c r="E2714" i="67"/>
  <c r="C2714" i="67" l="1"/>
  <c r="F2716" i="67"/>
  <c r="A2717" i="67"/>
  <c r="B2716" i="67"/>
  <c r="D2715" i="67"/>
  <c r="E2715" i="67"/>
  <c r="C2715" i="67" l="1"/>
  <c r="D2716" i="67"/>
  <c r="E2716" i="67"/>
  <c r="B2717" i="67"/>
  <c r="F2717" i="67"/>
  <c r="A2718" i="67"/>
  <c r="C2716" i="67" l="1"/>
  <c r="A2719" i="67"/>
  <c r="F2718" i="67"/>
  <c r="B2718" i="67"/>
  <c r="D2717" i="67"/>
  <c r="E2717" i="67"/>
  <c r="C2717" i="67" l="1"/>
  <c r="D2718" i="67"/>
  <c r="E2718" i="67"/>
  <c r="A2720" i="67"/>
  <c r="F2719" i="67"/>
  <c r="B2719" i="67"/>
  <c r="C2718" i="67" l="1"/>
  <c r="F2720" i="67"/>
  <c r="B2720" i="67"/>
  <c r="A2721" i="67"/>
  <c r="D2719" i="67"/>
  <c r="E2719" i="67"/>
  <c r="C2719" i="67" l="1"/>
  <c r="A2722" i="67"/>
  <c r="F2721" i="67"/>
  <c r="B2721" i="67"/>
  <c r="D2720" i="67"/>
  <c r="E2720" i="67"/>
  <c r="C2720" i="67" l="1"/>
  <c r="D2721" i="67"/>
  <c r="E2721" i="67"/>
  <c r="A2723" i="67"/>
  <c r="F2722" i="67"/>
  <c r="B2722" i="67"/>
  <c r="C2721" i="67" l="1"/>
  <c r="B2723" i="67"/>
  <c r="F2723" i="67"/>
  <c r="A2724" i="67"/>
  <c r="D2722" i="67"/>
  <c r="E2722" i="67"/>
  <c r="C2722" i="67" l="1"/>
  <c r="F2724" i="67"/>
  <c r="B2724" i="67"/>
  <c r="A2725" i="67"/>
  <c r="D2723" i="67"/>
  <c r="E2723" i="67"/>
  <c r="C2723" i="67" l="1"/>
  <c r="B2725" i="67"/>
  <c r="A2726" i="67"/>
  <c r="F2725" i="67"/>
  <c r="D2724" i="67"/>
  <c r="E2724" i="67"/>
  <c r="C2724" i="67" l="1"/>
  <c r="D2725" i="67"/>
  <c r="E2725" i="67"/>
  <c r="B2726" i="67"/>
  <c r="F2726" i="67"/>
  <c r="A2727" i="67"/>
  <c r="C2725" i="67" l="1"/>
  <c r="B2727" i="67"/>
  <c r="F2727" i="67"/>
  <c r="A2728" i="67"/>
  <c r="D2726" i="67"/>
  <c r="E2726" i="67"/>
  <c r="C2726" i="67" l="1"/>
  <c r="F2728" i="67"/>
  <c r="B2728" i="67"/>
  <c r="A2729" i="67"/>
  <c r="D2727" i="67"/>
  <c r="E2727" i="67"/>
  <c r="C2727" i="67" l="1"/>
  <c r="F2729" i="67"/>
  <c r="A2730" i="67"/>
  <c r="B2729" i="67"/>
  <c r="D2728" i="67"/>
  <c r="E2728" i="67"/>
  <c r="C2728" i="67" l="1"/>
  <c r="D2729" i="67"/>
  <c r="E2729" i="67"/>
  <c r="F2730" i="67"/>
  <c r="B2730" i="67"/>
  <c r="A2731" i="67"/>
  <c r="C2729" i="67" l="1"/>
  <c r="B2731" i="67"/>
  <c r="F2731" i="67"/>
  <c r="A2732" i="67"/>
  <c r="D2730" i="67"/>
  <c r="E2730" i="67"/>
  <c r="C2730" i="67" l="1"/>
  <c r="D2731" i="67"/>
  <c r="E2731" i="67"/>
  <c r="F2732" i="67"/>
  <c r="A2733" i="67"/>
  <c r="B2732" i="67"/>
  <c r="C2731" i="67" l="1"/>
  <c r="D2732" i="67"/>
  <c r="E2732" i="67"/>
  <c r="F2733" i="67"/>
  <c r="A2734" i="67"/>
  <c r="B2733" i="67"/>
  <c r="C2732" i="67" l="1"/>
  <c r="D2733" i="67"/>
  <c r="E2733" i="67"/>
  <c r="A2735" i="67"/>
  <c r="B2734" i="67"/>
  <c r="F2734" i="67"/>
  <c r="C2733" i="67" l="1"/>
  <c r="D2734" i="67"/>
  <c r="E2734" i="67"/>
  <c r="F2735" i="67"/>
  <c r="A2736" i="67"/>
  <c r="B2735" i="67"/>
  <c r="C2734" i="67" l="1"/>
  <c r="D2735" i="67"/>
  <c r="E2735" i="67"/>
  <c r="F2736" i="67"/>
  <c r="A2737" i="67"/>
  <c r="B2736" i="67"/>
  <c r="C2735" i="67" l="1"/>
  <c r="D2736" i="67"/>
  <c r="E2736" i="67"/>
  <c r="F2737" i="67"/>
  <c r="A2738" i="67"/>
  <c r="B2737" i="67"/>
  <c r="C2736" i="67" l="1"/>
  <c r="F2738" i="67"/>
  <c r="A2739" i="67"/>
  <c r="B2738" i="67"/>
  <c r="D2737" i="67"/>
  <c r="E2737" i="67"/>
  <c r="C2737" i="67" l="1"/>
  <c r="D2738" i="67"/>
  <c r="E2738" i="67"/>
  <c r="F2739" i="67"/>
  <c r="A2740" i="67"/>
  <c r="B2739" i="67"/>
  <c r="C2738" i="67" l="1"/>
  <c r="D2739" i="67"/>
  <c r="E2739" i="67"/>
  <c r="F2740" i="67"/>
  <c r="A2741" i="67"/>
  <c r="B2740" i="67"/>
  <c r="C2739" i="67" l="1"/>
  <c r="A2742" i="67"/>
  <c r="F2741" i="67"/>
  <c r="B2741" i="67"/>
  <c r="D2740" i="67"/>
  <c r="E2740" i="67"/>
  <c r="C2740" i="67" l="1"/>
  <c r="D2741" i="67"/>
  <c r="E2741" i="67"/>
  <c r="F2742" i="67"/>
  <c r="A2743" i="67"/>
  <c r="B2742" i="67"/>
  <c r="C2741" i="67" l="1"/>
  <c r="F2743" i="67"/>
  <c r="A2744" i="67"/>
  <c r="B2743" i="67"/>
  <c r="D2742" i="67"/>
  <c r="E2742" i="67"/>
  <c r="C2742" i="67" l="1"/>
  <c r="D2743" i="67"/>
  <c r="E2743" i="67"/>
  <c r="F2744" i="67"/>
  <c r="A2745" i="67"/>
  <c r="B2744" i="67"/>
  <c r="C2743" i="67" l="1"/>
  <c r="B2745" i="67"/>
  <c r="A2746" i="67"/>
  <c r="F2745" i="67"/>
  <c r="D2744" i="67"/>
  <c r="E2744" i="67"/>
  <c r="C2744" i="67" l="1"/>
  <c r="F2746" i="67"/>
  <c r="A2747" i="67"/>
  <c r="B2746" i="67"/>
  <c r="D2745" i="67"/>
  <c r="E2745" i="67"/>
  <c r="C2745" i="67" l="1"/>
  <c r="D2746" i="67"/>
  <c r="E2746" i="67"/>
  <c r="F2747" i="67"/>
  <c r="A2748" i="67"/>
  <c r="B2747" i="67"/>
  <c r="C2746" i="67" l="1"/>
  <c r="D2747" i="67"/>
  <c r="E2747" i="67"/>
  <c r="A2749" i="67"/>
  <c r="F2748" i="67"/>
  <c r="B2748" i="67"/>
  <c r="C2747" i="67" l="1"/>
  <c r="D2748" i="67"/>
  <c r="E2748" i="67"/>
  <c r="F2749" i="67"/>
  <c r="A2750" i="67"/>
  <c r="B2749" i="67"/>
  <c r="C2748" i="67" l="1"/>
  <c r="D2749" i="67"/>
  <c r="E2749" i="67"/>
  <c r="F2750" i="67"/>
  <c r="B2750" i="67"/>
  <c r="A2751" i="67"/>
  <c r="C2749" i="67" l="1"/>
  <c r="F2751" i="67"/>
  <c r="A2752" i="67"/>
  <c r="B2751" i="67"/>
  <c r="D2750" i="67"/>
  <c r="E2750" i="67"/>
  <c r="C2750" i="67" l="1"/>
  <c r="D2751" i="67"/>
  <c r="E2751" i="67"/>
  <c r="A2753" i="67"/>
  <c r="F2752" i="67"/>
  <c r="B2752" i="67"/>
  <c r="C2751" i="67" l="1"/>
  <c r="A2754" i="67"/>
  <c r="F2753" i="67"/>
  <c r="B2753" i="67"/>
  <c r="D2752" i="67"/>
  <c r="E2752" i="67"/>
  <c r="C2752" i="67" l="1"/>
  <c r="D2753" i="67"/>
  <c r="E2753" i="67"/>
  <c r="F2754" i="67"/>
  <c r="A2755" i="67"/>
  <c r="B2754" i="67"/>
  <c r="C2753" i="67" l="1"/>
  <c r="D2754" i="67"/>
  <c r="E2754" i="67"/>
  <c r="F2755" i="67"/>
  <c r="A2756" i="67"/>
  <c r="B2755" i="67"/>
  <c r="C2754" i="67" l="1"/>
  <c r="D2755" i="67"/>
  <c r="E2755" i="67"/>
  <c r="A2757" i="67"/>
  <c r="F2756" i="67"/>
  <c r="B2756" i="67"/>
  <c r="C2755" i="67" l="1"/>
  <c r="A2758" i="67"/>
  <c r="F2757" i="67"/>
  <c r="B2757" i="67"/>
  <c r="D2756" i="67"/>
  <c r="E2756" i="67"/>
  <c r="C2756" i="67" l="1"/>
  <c r="D2757" i="67"/>
  <c r="E2757" i="67"/>
  <c r="F2758" i="67"/>
  <c r="A2759" i="67"/>
  <c r="B2758" i="67"/>
  <c r="C2757" i="67" l="1"/>
  <c r="F2759" i="67"/>
  <c r="B2759" i="67"/>
  <c r="A2760" i="67"/>
  <c r="D2758" i="67"/>
  <c r="E2758" i="67"/>
  <c r="C2758" i="67" l="1"/>
  <c r="F2760" i="67"/>
  <c r="B2760" i="67"/>
  <c r="A2761" i="67"/>
  <c r="D2759" i="67"/>
  <c r="E2759" i="67"/>
  <c r="C2759" i="67" l="1"/>
  <c r="F2761" i="67"/>
  <c r="A2762" i="67"/>
  <c r="B2761" i="67"/>
  <c r="D2760" i="67"/>
  <c r="E2760" i="67"/>
  <c r="C2760" i="67" l="1"/>
  <c r="D2761" i="67"/>
  <c r="E2761" i="67"/>
  <c r="F2762" i="67"/>
  <c r="B2762" i="67"/>
  <c r="A2763" i="67"/>
  <c r="C2761" i="67" l="1"/>
  <c r="B2763" i="67"/>
  <c r="F2763" i="67"/>
  <c r="A2764" i="67"/>
  <c r="D2762" i="67"/>
  <c r="E2762" i="67"/>
  <c r="C2762" i="67" l="1"/>
  <c r="B2764" i="67"/>
  <c r="F2764" i="67"/>
  <c r="A2765" i="67"/>
  <c r="D2763" i="67"/>
  <c r="E2763" i="67"/>
  <c r="C2763" i="67" l="1"/>
  <c r="F2765" i="67"/>
  <c r="A2766" i="67"/>
  <c r="B2765" i="67"/>
  <c r="D2764" i="67"/>
  <c r="E2764" i="67"/>
  <c r="C2764" i="67" l="1"/>
  <c r="D2765" i="67"/>
  <c r="E2765" i="67"/>
  <c r="F2766" i="67"/>
  <c r="A2767" i="67"/>
  <c r="B2766" i="67"/>
  <c r="C2765" i="67" l="1"/>
  <c r="D2766" i="67"/>
  <c r="E2766" i="67"/>
  <c r="B2767" i="67"/>
  <c r="F2767" i="67"/>
  <c r="A2768" i="67"/>
  <c r="C2766" i="67" l="1"/>
  <c r="D2767" i="67"/>
  <c r="E2767" i="67"/>
  <c r="A2769" i="67"/>
  <c r="F2768" i="67"/>
  <c r="B2768" i="67"/>
  <c r="C2767" i="67" l="1"/>
  <c r="D2768" i="67"/>
  <c r="E2768" i="67"/>
  <c r="A2770" i="67"/>
  <c r="B2769" i="67"/>
  <c r="F2769" i="67"/>
  <c r="C2768" i="67" l="1"/>
  <c r="D2769" i="67"/>
  <c r="E2769" i="67"/>
  <c r="F2770" i="67"/>
  <c r="B2770" i="67"/>
  <c r="A2771" i="67"/>
  <c r="C2769" i="67" l="1"/>
  <c r="F2771" i="67"/>
  <c r="A2772" i="67"/>
  <c r="B2771" i="67"/>
  <c r="D2770" i="67"/>
  <c r="E2770" i="67"/>
  <c r="C2770" i="67" l="1"/>
  <c r="D2771" i="67"/>
  <c r="E2771" i="67"/>
  <c r="A2773" i="67"/>
  <c r="F2772" i="67"/>
  <c r="B2772" i="67"/>
  <c r="C2771" i="67" l="1"/>
  <c r="D2772" i="67"/>
  <c r="E2772" i="67"/>
  <c r="F2773" i="67"/>
  <c r="A2774" i="67"/>
  <c r="B2773" i="67"/>
  <c r="C2772" i="67" l="1"/>
  <c r="D2773" i="67"/>
  <c r="E2773" i="67"/>
  <c r="F2774" i="67"/>
  <c r="B2774" i="67"/>
  <c r="A2775" i="67"/>
  <c r="C2773" i="67" l="1"/>
  <c r="F2775" i="67"/>
  <c r="A2776" i="67"/>
  <c r="B2775" i="67"/>
  <c r="D2774" i="67"/>
  <c r="E2774" i="67"/>
  <c r="C2774" i="67" l="1"/>
  <c r="D2775" i="67"/>
  <c r="E2775" i="67"/>
  <c r="F2776" i="67"/>
  <c r="A2777" i="67"/>
  <c r="B2776" i="67"/>
  <c r="C2775" i="67" l="1"/>
  <c r="D2776" i="67"/>
  <c r="E2776" i="67"/>
  <c r="F2777" i="67"/>
  <c r="A2778" i="67"/>
  <c r="B2777" i="67"/>
  <c r="C2776" i="67" l="1"/>
  <c r="D2777" i="67"/>
  <c r="E2777" i="67"/>
  <c r="F2778" i="67"/>
  <c r="A2779" i="67"/>
  <c r="B2778" i="67"/>
  <c r="C2777" i="67" l="1"/>
  <c r="D2778" i="67"/>
  <c r="E2778" i="67"/>
  <c r="F2779" i="67"/>
  <c r="A2780" i="67"/>
  <c r="B2779" i="67"/>
  <c r="C2778" i="67" l="1"/>
  <c r="D2779" i="67"/>
  <c r="E2779" i="67"/>
  <c r="F2780" i="67"/>
  <c r="A2781" i="67"/>
  <c r="B2780" i="67"/>
  <c r="C2779" i="67" l="1"/>
  <c r="D2780" i="67"/>
  <c r="E2780" i="67"/>
  <c r="F2781" i="67"/>
  <c r="A2782" i="67"/>
  <c r="B2781" i="67"/>
  <c r="C2780" i="67" l="1"/>
  <c r="D2781" i="67"/>
  <c r="E2781" i="67"/>
  <c r="C2781" i="67" s="1"/>
  <c r="F2782" i="67"/>
  <c r="A2783" i="67"/>
  <c r="B2782" i="67"/>
  <c r="D2782" i="67" l="1"/>
  <c r="E2782" i="67"/>
  <c r="F2783" i="67"/>
  <c r="A2784" i="67"/>
  <c r="B2783" i="67"/>
  <c r="C2782" i="67" l="1"/>
  <c r="D2783" i="67"/>
  <c r="E2783" i="67"/>
  <c r="F2784" i="67"/>
  <c r="A2785" i="67"/>
  <c r="B2784" i="67"/>
  <c r="C2783" i="67" l="1"/>
  <c r="D2784" i="67"/>
  <c r="E2784" i="67"/>
  <c r="F2785" i="67"/>
  <c r="A2786" i="67"/>
  <c r="B2785" i="67"/>
  <c r="C2784" i="67" l="1"/>
  <c r="D2785" i="67"/>
  <c r="E2785" i="67"/>
  <c r="F2786" i="67"/>
  <c r="A2787" i="67"/>
  <c r="B2786" i="67"/>
  <c r="C2785" i="67" l="1"/>
  <c r="F2787" i="67"/>
  <c r="A2788" i="67"/>
  <c r="B2787" i="67"/>
  <c r="D2786" i="67"/>
  <c r="E2786" i="67"/>
  <c r="C2786" i="67" l="1"/>
  <c r="D2787" i="67"/>
  <c r="E2787" i="67"/>
  <c r="F2788" i="67"/>
  <c r="A2789" i="67"/>
  <c r="B2788" i="67"/>
  <c r="C2787" i="67" l="1"/>
  <c r="F2789" i="67"/>
  <c r="A2790" i="67"/>
  <c r="B2789" i="67"/>
  <c r="D2788" i="67"/>
  <c r="E2788" i="67"/>
  <c r="C2788" i="67" l="1"/>
  <c r="D2789" i="67"/>
  <c r="E2789" i="67"/>
  <c r="F2790" i="67"/>
  <c r="A2791" i="67"/>
  <c r="B2790" i="67"/>
  <c r="C2789" i="67" l="1"/>
  <c r="D2790" i="67"/>
  <c r="E2790" i="67"/>
  <c r="F2791" i="67"/>
  <c r="A2792" i="67"/>
  <c r="B2791" i="67"/>
  <c r="C2790" i="67" l="1"/>
  <c r="F2792" i="67"/>
  <c r="A2793" i="67"/>
  <c r="B2792" i="67"/>
  <c r="D2791" i="67"/>
  <c r="E2791" i="67"/>
  <c r="C2791" i="67" l="1"/>
  <c r="D2792" i="67"/>
  <c r="E2792" i="67"/>
  <c r="F2793" i="67"/>
  <c r="A2794" i="67"/>
  <c r="B2793" i="67"/>
  <c r="C2792" i="67" l="1"/>
  <c r="D2793" i="67"/>
  <c r="E2793" i="67"/>
  <c r="F2794" i="67"/>
  <c r="A2795" i="67"/>
  <c r="B2794" i="67"/>
  <c r="C2793" i="67" l="1"/>
  <c r="F2795" i="67"/>
  <c r="A2796" i="67"/>
  <c r="B2795" i="67"/>
  <c r="D2794" i="67"/>
  <c r="E2794" i="67"/>
  <c r="C2794" i="67" l="1"/>
  <c r="D2795" i="67"/>
  <c r="E2795" i="67"/>
  <c r="F2796" i="67"/>
  <c r="A2797" i="67"/>
  <c r="B2796" i="67"/>
  <c r="C2795" i="67" l="1"/>
  <c r="A2798" i="67"/>
  <c r="B2797" i="67"/>
  <c r="F2797" i="67"/>
  <c r="D2796" i="67"/>
  <c r="E2796" i="67"/>
  <c r="C2796" i="67" l="1"/>
  <c r="D2797" i="67"/>
  <c r="E2797" i="67"/>
  <c r="F2798" i="67"/>
  <c r="A2799" i="67"/>
  <c r="B2798" i="67"/>
  <c r="C2797" i="67" l="1"/>
  <c r="D2798" i="67"/>
  <c r="E2798" i="67"/>
  <c r="F2799" i="67"/>
  <c r="A2800" i="67"/>
  <c r="B2799" i="67"/>
  <c r="C2798" i="67" l="1"/>
  <c r="D2799" i="67"/>
  <c r="E2799" i="67"/>
  <c r="A2801" i="67"/>
  <c r="F2800" i="67"/>
  <c r="B2800" i="67"/>
  <c r="C2799" i="67" l="1"/>
  <c r="D2800" i="67"/>
  <c r="E2800" i="67"/>
  <c r="F2801" i="67"/>
  <c r="A2802" i="67"/>
  <c r="B2801" i="67"/>
  <c r="C2800" i="67" l="1"/>
  <c r="F2802" i="67"/>
  <c r="A2803" i="67"/>
  <c r="B2802" i="67"/>
  <c r="D2801" i="67"/>
  <c r="E2801" i="67"/>
  <c r="C2801" i="67" l="1"/>
  <c r="D2802" i="67"/>
  <c r="E2802" i="67"/>
  <c r="B2803" i="67"/>
  <c r="F2803" i="67"/>
  <c r="A2804" i="67"/>
  <c r="C2802" i="67" l="1"/>
  <c r="F2804" i="67"/>
  <c r="A2805" i="67"/>
  <c r="B2804" i="67"/>
  <c r="D2803" i="67"/>
  <c r="E2803" i="67"/>
  <c r="C2803" i="67" l="1"/>
  <c r="F2805" i="67"/>
  <c r="A2806" i="67"/>
  <c r="B2805" i="67"/>
  <c r="D2804" i="67"/>
  <c r="E2804" i="67"/>
  <c r="C2804" i="67" l="1"/>
  <c r="D2805" i="67"/>
  <c r="E2805" i="67"/>
  <c r="B2806" i="67"/>
  <c r="F2806" i="67"/>
  <c r="A2807" i="67"/>
  <c r="C2805" i="67" l="1"/>
  <c r="F2807" i="67"/>
  <c r="A2808" i="67"/>
  <c r="B2807" i="67"/>
  <c r="D2806" i="67"/>
  <c r="E2806" i="67"/>
  <c r="C2806" i="67" l="1"/>
  <c r="D2807" i="67"/>
  <c r="E2807" i="67"/>
  <c r="F2808" i="67"/>
  <c r="A2809" i="67"/>
  <c r="B2808" i="67"/>
  <c r="C2807" i="67" l="1"/>
  <c r="D2808" i="67"/>
  <c r="E2808" i="67"/>
  <c r="F2809" i="67"/>
  <c r="A2810" i="67"/>
  <c r="B2809" i="67"/>
  <c r="C2808" i="67" l="1"/>
  <c r="B2810" i="67"/>
  <c r="F2810" i="67"/>
  <c r="A2811" i="67"/>
  <c r="D2809" i="67"/>
  <c r="E2809" i="67"/>
  <c r="C2809" i="67" l="1"/>
  <c r="F2811" i="67"/>
  <c r="A2812" i="67"/>
  <c r="B2811" i="67"/>
  <c r="D2810" i="67"/>
  <c r="E2810" i="67"/>
  <c r="C2810" i="67" l="1"/>
  <c r="D2811" i="67"/>
  <c r="E2811" i="67"/>
  <c r="F2812" i="67"/>
  <c r="A2813" i="67"/>
  <c r="B2812" i="67"/>
  <c r="C2811" i="67" l="1"/>
  <c r="F2813" i="67"/>
  <c r="A2814" i="67"/>
  <c r="B2813" i="67"/>
  <c r="D2812" i="67"/>
  <c r="E2812" i="67"/>
  <c r="C2812" i="67" l="1"/>
  <c r="D2813" i="67"/>
  <c r="E2813" i="67"/>
  <c r="F2814" i="67"/>
  <c r="A2815" i="67"/>
  <c r="B2814" i="67"/>
  <c r="C2813" i="67" l="1"/>
  <c r="D2814" i="67"/>
  <c r="E2814" i="67"/>
  <c r="F2815" i="67"/>
  <c r="B2815" i="67"/>
  <c r="A2816" i="67"/>
  <c r="C2814" i="67" l="1"/>
  <c r="A2817" i="67"/>
  <c r="F2816" i="67"/>
  <c r="B2816" i="67"/>
  <c r="D2815" i="67"/>
  <c r="E2815" i="67"/>
  <c r="C2815" i="67" l="1"/>
  <c r="D2816" i="67"/>
  <c r="E2816" i="67"/>
  <c r="F2817" i="67"/>
  <c r="A2818" i="67"/>
  <c r="B2817" i="67"/>
  <c r="C2816" i="67" l="1"/>
  <c r="D2817" i="67"/>
  <c r="E2817" i="67"/>
  <c r="B2818" i="67"/>
  <c r="F2818" i="67"/>
  <c r="A2819" i="67"/>
  <c r="C2817" i="67" l="1"/>
  <c r="F2819" i="67"/>
  <c r="A2820" i="67"/>
  <c r="B2819" i="67"/>
  <c r="D2818" i="67"/>
  <c r="E2818" i="67"/>
  <c r="C2818" i="67" l="1"/>
  <c r="F2820" i="67"/>
  <c r="A2821" i="67"/>
  <c r="B2820" i="67"/>
  <c r="D2819" i="67"/>
  <c r="E2819" i="67"/>
  <c r="C2819" i="67" l="1"/>
  <c r="D2820" i="67"/>
  <c r="E2820" i="67"/>
  <c r="F2821" i="67"/>
  <c r="B2821" i="67"/>
  <c r="A2822" i="67"/>
  <c r="C2820" i="67" l="1"/>
  <c r="F2822" i="67"/>
  <c r="B2822" i="67"/>
  <c r="A2823" i="67"/>
  <c r="D2821" i="67"/>
  <c r="E2821" i="67"/>
  <c r="C2821" i="67" l="1"/>
  <c r="F2823" i="67"/>
  <c r="A2824" i="67"/>
  <c r="B2823" i="67"/>
  <c r="D2822" i="67"/>
  <c r="E2822" i="67"/>
  <c r="C2822" i="67" l="1"/>
  <c r="D2823" i="67"/>
  <c r="E2823" i="67"/>
  <c r="F2824" i="67"/>
  <c r="B2824" i="67"/>
  <c r="A2825" i="67"/>
  <c r="C2823" i="67" l="1"/>
  <c r="F2825" i="67"/>
  <c r="A2826" i="67"/>
  <c r="B2825" i="67"/>
  <c r="D2824" i="67"/>
  <c r="E2824" i="67"/>
  <c r="C2824" i="67" l="1"/>
  <c r="D2825" i="67"/>
  <c r="E2825" i="67"/>
  <c r="F2826" i="67"/>
  <c r="A2827" i="67"/>
  <c r="B2826" i="67"/>
  <c r="C2825" i="67" l="1"/>
  <c r="D2826" i="67"/>
  <c r="E2826" i="67"/>
  <c r="F2827" i="67"/>
  <c r="B2827" i="67"/>
  <c r="A2828" i="67"/>
  <c r="C2826" i="67" l="1"/>
  <c r="D2827" i="67"/>
  <c r="E2827" i="67"/>
  <c r="F2828" i="67"/>
  <c r="A2829" i="67"/>
  <c r="B2828" i="67"/>
  <c r="C2827" i="67" l="1"/>
  <c r="F2829" i="67"/>
  <c r="A2830" i="67"/>
  <c r="B2829" i="67"/>
  <c r="D2828" i="67"/>
  <c r="E2828" i="67"/>
  <c r="C2828" i="67" l="1"/>
  <c r="F2830" i="67"/>
  <c r="A2831" i="67"/>
  <c r="B2830" i="67"/>
  <c r="D2829" i="67"/>
  <c r="E2829" i="67"/>
  <c r="C2829" i="67" l="1"/>
  <c r="F2831" i="67"/>
  <c r="B2831" i="67"/>
  <c r="A2832" i="67"/>
  <c r="D2830" i="67"/>
  <c r="E2830" i="67"/>
  <c r="C2830" i="67" l="1"/>
  <c r="F2832" i="67"/>
  <c r="B2832" i="67"/>
  <c r="A2833" i="67"/>
  <c r="D2831" i="67"/>
  <c r="E2831" i="67"/>
  <c r="C2831" i="67" l="1"/>
  <c r="F2833" i="67"/>
  <c r="B2833" i="67"/>
  <c r="A2834" i="67"/>
  <c r="D2832" i="67"/>
  <c r="E2832" i="67"/>
  <c r="C2832" i="67" l="1"/>
  <c r="F2834" i="67"/>
  <c r="A2835" i="67"/>
  <c r="B2834" i="67"/>
  <c r="D2833" i="67"/>
  <c r="E2833" i="67"/>
  <c r="C2833" i="67" l="1"/>
  <c r="D2834" i="67"/>
  <c r="E2834" i="67"/>
  <c r="F2835" i="67"/>
  <c r="B2835" i="67"/>
  <c r="A2836" i="67"/>
  <c r="C2834" i="67" l="1"/>
  <c r="A2837" i="67"/>
  <c r="F2836" i="67"/>
  <c r="B2836" i="67"/>
  <c r="D2835" i="67"/>
  <c r="E2835" i="67"/>
  <c r="C2835" i="67" l="1"/>
  <c r="D2836" i="67"/>
  <c r="E2836" i="67"/>
  <c r="F2837" i="67"/>
  <c r="A2838" i="67"/>
  <c r="B2837" i="67"/>
  <c r="C2836" i="67" l="1"/>
  <c r="A2839" i="67"/>
  <c r="B2838" i="67"/>
  <c r="F2838" i="67"/>
  <c r="D2837" i="67"/>
  <c r="E2837" i="67"/>
  <c r="C2837" i="67" l="1"/>
  <c r="D2838" i="67"/>
  <c r="E2838" i="67"/>
  <c r="F2839" i="67"/>
  <c r="A2840" i="67"/>
  <c r="B2839" i="67"/>
  <c r="C2838" i="67" l="1"/>
  <c r="F2840" i="67"/>
  <c r="A2841" i="67"/>
  <c r="B2840" i="67"/>
  <c r="D2839" i="67"/>
  <c r="E2839" i="67"/>
  <c r="C2839" i="67" l="1"/>
  <c r="D2840" i="67"/>
  <c r="E2840" i="67"/>
  <c r="B2841" i="67"/>
  <c r="F2841" i="67"/>
  <c r="A2842" i="67"/>
  <c r="C2840" i="67" l="1"/>
  <c r="F2842" i="67"/>
  <c r="A2843" i="67"/>
  <c r="B2842" i="67"/>
  <c r="D2841" i="67"/>
  <c r="E2841" i="67"/>
  <c r="C2841" i="67" l="1"/>
  <c r="F2843" i="67"/>
  <c r="A2844" i="67"/>
  <c r="B2843" i="67"/>
  <c r="D2842" i="67"/>
  <c r="E2842" i="67"/>
  <c r="C2842" i="67" l="1"/>
  <c r="D2843" i="67"/>
  <c r="E2843" i="67"/>
  <c r="F2844" i="67"/>
  <c r="A2845" i="67"/>
  <c r="B2844" i="67"/>
  <c r="C2843" i="67" l="1"/>
  <c r="D2844" i="67"/>
  <c r="E2844" i="67"/>
  <c r="B2845" i="67"/>
  <c r="F2845" i="67"/>
  <c r="A2846" i="67"/>
  <c r="C2844" i="67" l="1"/>
  <c r="D2845" i="67"/>
  <c r="E2845" i="67"/>
  <c r="F2846" i="67"/>
  <c r="A2847" i="67"/>
  <c r="B2846" i="67"/>
  <c r="C2845" i="67" l="1"/>
  <c r="D2846" i="67"/>
  <c r="E2846" i="67"/>
  <c r="B2847" i="67"/>
  <c r="F2847" i="67"/>
  <c r="A2848" i="67"/>
  <c r="C2846" i="67" l="1"/>
  <c r="F2848" i="67"/>
  <c r="A2849" i="67"/>
  <c r="B2848" i="67"/>
  <c r="D2847" i="67"/>
  <c r="E2847" i="67"/>
  <c r="C2847" i="67" l="1"/>
  <c r="D2848" i="67"/>
  <c r="E2848" i="67"/>
  <c r="F2849" i="67"/>
  <c r="A2850" i="67"/>
  <c r="B2849" i="67"/>
  <c r="C2848" i="67" l="1"/>
  <c r="D2849" i="67"/>
  <c r="E2849" i="67"/>
  <c r="F2850" i="67"/>
  <c r="A2851" i="67"/>
  <c r="B2850" i="67"/>
  <c r="C2849" i="67" l="1"/>
  <c r="D2850" i="67"/>
  <c r="E2850" i="67"/>
  <c r="A2852" i="67"/>
  <c r="B2851" i="67"/>
  <c r="F2851" i="67"/>
  <c r="C2850" i="67" l="1"/>
  <c r="D2851" i="67"/>
  <c r="E2851" i="67"/>
  <c r="F2852" i="67"/>
  <c r="A2853" i="67"/>
  <c r="B2852" i="67"/>
  <c r="C2851" i="67" l="1"/>
  <c r="D2852" i="67"/>
  <c r="E2852" i="67"/>
  <c r="B2853" i="67"/>
  <c r="F2853" i="67"/>
  <c r="A2854" i="67"/>
  <c r="C2852" i="67" l="1"/>
  <c r="D2853" i="67"/>
  <c r="E2853" i="67"/>
  <c r="A2855" i="67"/>
  <c r="B2854" i="67"/>
  <c r="F2854" i="67"/>
  <c r="C2853" i="67" l="1"/>
  <c r="D2854" i="67"/>
  <c r="E2854" i="67"/>
  <c r="B2855" i="67"/>
  <c r="A2856" i="67"/>
  <c r="F2855" i="67"/>
  <c r="C2854" i="67" l="1"/>
  <c r="A2857" i="67"/>
  <c r="B2856" i="67"/>
  <c r="F2856" i="67"/>
  <c r="D2855" i="67"/>
  <c r="E2855" i="67"/>
  <c r="C2855" i="67" l="1"/>
  <c r="D2856" i="67"/>
  <c r="E2856" i="67"/>
  <c r="F2857" i="67"/>
  <c r="B2857" i="67"/>
  <c r="A2858" i="67"/>
  <c r="C2856" i="67" l="1"/>
  <c r="A2859" i="67"/>
  <c r="F2858" i="67"/>
  <c r="B2858" i="67"/>
  <c r="D2857" i="67"/>
  <c r="E2857" i="67"/>
  <c r="C2857" i="67" l="1"/>
  <c r="D2858" i="67"/>
  <c r="E2858" i="67"/>
  <c r="F2859" i="67"/>
  <c r="B2859" i="67"/>
  <c r="A2860" i="67"/>
  <c r="C2858" i="67" l="1"/>
  <c r="A2861" i="67"/>
  <c r="F2860" i="67"/>
  <c r="B2860" i="67"/>
  <c r="D2859" i="67"/>
  <c r="E2859" i="67"/>
  <c r="C2859" i="67" l="1"/>
  <c r="D2860" i="67"/>
  <c r="E2860" i="67"/>
  <c r="F2861" i="67"/>
  <c r="B2861" i="67"/>
  <c r="A2862" i="67"/>
  <c r="C2860" i="67" l="1"/>
  <c r="D2861" i="67"/>
  <c r="E2861" i="67"/>
  <c r="F2862" i="67"/>
  <c r="A2863" i="67"/>
  <c r="B2862" i="67"/>
  <c r="C2861" i="67" l="1"/>
  <c r="D2862" i="67"/>
  <c r="E2862" i="67"/>
  <c r="F2863" i="67"/>
  <c r="A2864" i="67"/>
  <c r="B2863" i="67"/>
  <c r="C2862" i="67" l="1"/>
  <c r="D2863" i="67"/>
  <c r="E2863" i="67"/>
  <c r="F2864" i="67"/>
  <c r="A2865" i="67"/>
  <c r="B2864" i="67"/>
  <c r="C2863" i="67" l="1"/>
  <c r="D2864" i="67"/>
  <c r="E2864" i="67"/>
  <c r="B2865" i="67"/>
  <c r="A2866" i="67"/>
  <c r="F2865" i="67"/>
  <c r="C2864" i="67" l="1"/>
  <c r="B2866" i="67"/>
  <c r="A2867" i="67"/>
  <c r="F2866" i="67"/>
  <c r="D2865" i="67"/>
  <c r="E2865" i="67"/>
  <c r="C2865" i="67" l="1"/>
  <c r="B2867" i="67"/>
  <c r="A2868" i="67"/>
  <c r="F2867" i="67"/>
  <c r="D2866" i="67"/>
  <c r="E2866" i="67"/>
  <c r="C2866" i="67" l="1"/>
  <c r="F2868" i="67"/>
  <c r="A2869" i="67"/>
  <c r="B2868" i="67"/>
  <c r="D2867" i="67"/>
  <c r="E2867" i="67"/>
  <c r="C2867" i="67" l="1"/>
  <c r="D2868" i="67"/>
  <c r="E2868" i="67"/>
  <c r="A2870" i="67"/>
  <c r="F2869" i="67"/>
  <c r="B2869" i="67"/>
  <c r="C2868" i="67" l="1"/>
  <c r="D2869" i="67"/>
  <c r="E2869" i="67"/>
  <c r="F2870" i="67"/>
  <c r="A2871" i="67"/>
  <c r="B2870" i="67"/>
  <c r="C2869" i="67" l="1"/>
  <c r="D2870" i="67"/>
  <c r="E2870" i="67"/>
  <c r="F2871" i="67"/>
  <c r="A2872" i="67"/>
  <c r="B2871" i="67"/>
  <c r="C2870" i="67" l="1"/>
  <c r="B2872" i="67"/>
  <c r="F2872" i="67"/>
  <c r="A2873" i="67"/>
  <c r="D2871" i="67"/>
  <c r="E2871" i="67"/>
  <c r="C2871" i="67" l="1"/>
  <c r="B2873" i="67"/>
  <c r="F2873" i="67"/>
  <c r="A2874" i="67"/>
  <c r="D2872" i="67"/>
  <c r="E2872" i="67"/>
  <c r="C2872" i="67" l="1"/>
  <c r="F2874" i="67"/>
  <c r="B2874" i="67"/>
  <c r="A2875" i="67"/>
  <c r="D2873" i="67"/>
  <c r="E2873" i="67"/>
  <c r="C2873" i="67" l="1"/>
  <c r="F2875" i="67"/>
  <c r="B2875" i="67"/>
  <c r="A2876" i="67"/>
  <c r="D2874" i="67"/>
  <c r="E2874" i="67"/>
  <c r="C2874" i="67" l="1"/>
  <c r="F2876" i="67"/>
  <c r="A2877" i="67"/>
  <c r="B2876" i="67"/>
  <c r="D2875" i="67"/>
  <c r="E2875" i="67"/>
  <c r="C2875" i="67" l="1"/>
  <c r="F2877" i="67"/>
  <c r="B2877" i="67"/>
  <c r="A2878" i="67"/>
  <c r="D2876" i="67"/>
  <c r="E2876" i="67"/>
  <c r="C2876" i="67" l="1"/>
  <c r="B2878" i="67"/>
  <c r="F2878" i="67"/>
  <c r="A2879" i="67"/>
  <c r="D2877" i="67"/>
  <c r="E2877" i="67"/>
  <c r="C2877" i="67" l="1"/>
  <c r="A2880" i="67"/>
  <c r="B2879" i="67"/>
  <c r="F2879" i="67"/>
  <c r="D2878" i="67"/>
  <c r="E2878" i="67"/>
  <c r="C2878" i="67" l="1"/>
  <c r="D2879" i="67"/>
  <c r="E2879" i="67"/>
  <c r="B2880" i="67"/>
  <c r="A2881" i="67"/>
  <c r="F2880" i="67"/>
  <c r="C2879" i="67" l="1"/>
  <c r="F2881" i="67"/>
  <c r="B2881" i="67"/>
  <c r="A2882" i="67"/>
  <c r="D2880" i="67"/>
  <c r="E2880" i="67"/>
  <c r="C2880" i="67" l="1"/>
  <c r="B2882" i="67"/>
  <c r="A2883" i="67"/>
  <c r="F2882" i="67"/>
  <c r="D2881" i="67"/>
  <c r="E2881" i="67"/>
  <c r="C2881" i="67" l="1"/>
  <c r="B2883" i="67"/>
  <c r="A2884" i="67"/>
  <c r="F2883" i="67"/>
  <c r="D2882" i="67"/>
  <c r="E2882" i="67"/>
  <c r="C2882" i="67" l="1"/>
  <c r="B2884" i="67"/>
  <c r="F2884" i="67"/>
  <c r="A2885" i="67"/>
  <c r="D2883" i="67"/>
  <c r="E2883" i="67"/>
  <c r="C2883" i="67" l="1"/>
  <c r="B2885" i="67"/>
  <c r="A2886" i="67"/>
  <c r="F2885" i="67"/>
  <c r="D2884" i="67"/>
  <c r="E2884" i="67"/>
  <c r="C2884" i="67" l="1"/>
  <c r="F2886" i="67"/>
  <c r="B2886" i="67"/>
  <c r="A2887" i="67"/>
  <c r="D2885" i="67"/>
  <c r="E2885" i="67"/>
  <c r="C2885" i="67" l="1"/>
  <c r="A2888" i="67"/>
  <c r="F2887" i="67"/>
  <c r="B2887" i="67"/>
  <c r="D2886" i="67"/>
  <c r="E2886" i="67"/>
  <c r="C2886" i="67" l="1"/>
  <c r="D2887" i="67"/>
  <c r="E2887" i="67"/>
  <c r="B2888" i="67"/>
  <c r="A2889" i="67"/>
  <c r="F2888" i="67"/>
  <c r="C2887" i="67" l="1"/>
  <c r="B2889" i="67"/>
  <c r="A2890" i="67"/>
  <c r="F2889" i="67"/>
  <c r="D2888" i="67"/>
  <c r="E2888" i="67"/>
  <c r="C2888" i="67" l="1"/>
  <c r="B2890" i="67"/>
  <c r="F2890" i="67"/>
  <c r="A2891" i="67"/>
  <c r="D2889" i="67"/>
  <c r="E2889" i="67"/>
  <c r="C2889" i="67" l="1"/>
  <c r="D2890" i="67"/>
  <c r="E2890" i="67"/>
  <c r="F2891" i="67"/>
  <c r="B2891" i="67"/>
  <c r="A2892" i="67"/>
  <c r="C2890" i="67" l="1"/>
  <c r="F2892" i="67"/>
  <c r="A2893" i="67"/>
  <c r="B2892" i="67"/>
  <c r="D2891" i="67"/>
  <c r="E2891" i="67"/>
  <c r="C2891" i="67" l="1"/>
  <c r="D2892" i="67"/>
  <c r="E2892" i="67"/>
  <c r="A2894" i="67"/>
  <c r="B2893" i="67"/>
  <c r="F2893" i="67"/>
  <c r="C2892" i="67" l="1"/>
  <c r="D2893" i="67"/>
  <c r="E2893" i="67"/>
  <c r="B2894" i="67"/>
  <c r="A2895" i="67"/>
  <c r="F2894" i="67"/>
  <c r="C2893" i="67" l="1"/>
  <c r="B2895" i="67"/>
  <c r="A2896" i="67"/>
  <c r="F2895" i="67"/>
  <c r="D2894" i="67"/>
  <c r="E2894" i="67"/>
  <c r="C2894" i="67" l="1"/>
  <c r="D2895" i="67"/>
  <c r="E2895" i="67"/>
  <c r="B2896" i="67"/>
  <c r="F2896" i="67"/>
  <c r="A2897" i="67"/>
  <c r="C2895" i="67" l="1"/>
  <c r="F2897" i="67"/>
  <c r="B2897" i="67"/>
  <c r="A2898" i="67"/>
  <c r="D2896" i="67"/>
  <c r="E2896" i="67"/>
  <c r="C2896" i="67" l="1"/>
  <c r="F2898" i="67"/>
  <c r="B2898" i="67"/>
  <c r="A2899" i="67"/>
  <c r="D2897" i="67"/>
  <c r="E2897" i="67"/>
  <c r="C2897" i="67" l="1"/>
  <c r="B2899" i="67"/>
  <c r="F2899" i="67"/>
  <c r="A2900" i="67"/>
  <c r="D2898" i="67"/>
  <c r="E2898" i="67"/>
  <c r="C2898" i="67" l="1"/>
  <c r="F2900" i="67"/>
  <c r="A2901" i="67"/>
  <c r="B2900" i="67"/>
  <c r="D2899" i="67"/>
  <c r="E2899" i="67"/>
  <c r="C2899" i="67" l="1"/>
  <c r="D2900" i="67"/>
  <c r="E2900" i="67"/>
  <c r="F2901" i="67"/>
  <c r="A2902" i="67"/>
  <c r="B2901" i="67"/>
  <c r="C2900" i="67" l="1"/>
  <c r="D2901" i="67"/>
  <c r="E2901" i="67"/>
  <c r="F2902" i="67"/>
  <c r="A2903" i="67"/>
  <c r="B2902" i="67"/>
  <c r="C2901" i="67" l="1"/>
  <c r="D2902" i="67"/>
  <c r="E2902" i="67"/>
  <c r="A2904" i="67"/>
  <c r="F2903" i="67"/>
  <c r="B2903" i="67"/>
  <c r="C2902" i="67" l="1"/>
  <c r="D2903" i="67"/>
  <c r="E2903" i="67"/>
  <c r="B2904" i="67"/>
  <c r="F2904" i="67"/>
  <c r="A2905" i="67"/>
  <c r="C2903" i="67" l="1"/>
  <c r="D2904" i="67"/>
  <c r="E2904" i="67"/>
  <c r="F2905" i="67"/>
  <c r="B2905" i="67"/>
  <c r="A2906" i="67"/>
  <c r="C2904" i="67" l="1"/>
  <c r="D2905" i="67"/>
  <c r="E2905" i="67"/>
  <c r="B2906" i="67"/>
  <c r="F2906" i="67"/>
  <c r="A2907" i="67"/>
  <c r="C2905" i="67" l="1"/>
  <c r="D2906" i="67"/>
  <c r="E2906" i="67"/>
  <c r="F2907" i="67"/>
  <c r="B2907" i="67"/>
  <c r="A2908" i="67"/>
  <c r="C2906" i="67" l="1"/>
  <c r="B2908" i="67"/>
  <c r="F2908" i="67"/>
  <c r="A2909" i="67"/>
  <c r="D2907" i="67"/>
  <c r="E2907" i="67"/>
  <c r="C2907" i="67" l="1"/>
  <c r="B2909" i="67"/>
  <c r="F2909" i="67"/>
  <c r="A2910" i="67"/>
  <c r="D2908" i="67"/>
  <c r="E2908" i="67"/>
  <c r="C2908" i="67" l="1"/>
  <c r="A2911" i="67"/>
  <c r="F2910" i="67"/>
  <c r="B2910" i="67"/>
  <c r="D2909" i="67"/>
  <c r="E2909" i="67"/>
  <c r="C2909" i="67" l="1"/>
  <c r="D2910" i="67"/>
  <c r="E2910" i="67"/>
  <c r="F2911" i="67"/>
  <c r="B2911" i="67"/>
  <c r="A2912" i="67"/>
  <c r="C2910" i="67" l="1"/>
  <c r="D2911" i="67"/>
  <c r="E2911" i="67"/>
  <c r="F2912" i="67"/>
  <c r="A2913" i="67"/>
  <c r="B2912" i="67"/>
  <c r="C2911" i="67" l="1"/>
  <c r="D2912" i="67"/>
  <c r="E2912" i="67"/>
  <c r="F2913" i="67"/>
  <c r="A2914" i="67"/>
  <c r="B2913" i="67"/>
  <c r="C2912" i="67" l="1"/>
  <c r="F2914" i="67"/>
  <c r="A2915" i="67"/>
  <c r="B2914" i="67"/>
  <c r="D2913" i="67"/>
  <c r="E2913" i="67"/>
  <c r="C2913" i="67" l="1"/>
  <c r="D2914" i="67"/>
  <c r="E2914" i="67"/>
  <c r="F2915" i="67"/>
  <c r="B2915" i="67"/>
  <c r="A2916" i="67"/>
  <c r="C2914" i="67" l="1"/>
  <c r="D2915" i="67"/>
  <c r="E2915" i="67"/>
  <c r="F2916" i="67"/>
  <c r="A2917" i="67"/>
  <c r="B2916" i="67"/>
  <c r="C2915" i="67" l="1"/>
  <c r="D2916" i="67"/>
  <c r="E2916" i="67"/>
  <c r="F2917" i="67"/>
  <c r="B2917" i="67"/>
  <c r="A2918" i="67"/>
  <c r="C2916" i="67" l="1"/>
  <c r="F2918" i="67"/>
  <c r="B2918" i="67"/>
  <c r="A2919" i="67"/>
  <c r="D2917" i="67"/>
  <c r="E2917" i="67"/>
  <c r="C2917" i="67" l="1"/>
  <c r="B2919" i="67"/>
  <c r="F2919" i="67"/>
  <c r="A2920" i="67"/>
  <c r="D2918" i="67"/>
  <c r="E2918" i="67"/>
  <c r="C2918" i="67" l="1"/>
  <c r="F2920" i="67"/>
  <c r="B2920" i="67"/>
  <c r="A2921" i="67"/>
  <c r="D2919" i="67"/>
  <c r="E2919" i="67"/>
  <c r="C2919" i="67" l="1"/>
  <c r="F2921" i="67"/>
  <c r="A2922" i="67"/>
  <c r="B2921" i="67"/>
  <c r="D2920" i="67"/>
  <c r="E2920" i="67"/>
  <c r="C2920" i="67" l="1"/>
  <c r="D2921" i="67"/>
  <c r="E2921" i="67"/>
  <c r="F2922" i="67"/>
  <c r="A2923" i="67"/>
  <c r="B2922" i="67"/>
  <c r="C2921" i="67" l="1"/>
  <c r="D2922" i="67"/>
  <c r="E2922" i="67"/>
  <c r="F2923" i="67"/>
  <c r="B2923" i="67"/>
  <c r="A2924" i="67"/>
  <c r="C2922" i="67" l="1"/>
  <c r="F2924" i="67"/>
  <c r="B2924" i="67"/>
  <c r="A2925" i="67"/>
  <c r="D2923" i="67"/>
  <c r="E2923" i="67"/>
  <c r="C2923" i="67" l="1"/>
  <c r="F2925" i="67"/>
  <c r="B2925" i="67"/>
  <c r="A2926" i="67"/>
  <c r="D2924" i="67"/>
  <c r="E2924" i="67"/>
  <c r="C2924" i="67" l="1"/>
  <c r="B2926" i="67"/>
  <c r="A2927" i="67"/>
  <c r="F2926" i="67"/>
  <c r="D2925" i="67"/>
  <c r="E2925" i="67"/>
  <c r="C2925" i="67" l="1"/>
  <c r="F2927" i="67"/>
  <c r="A2928" i="67"/>
  <c r="B2927" i="67"/>
  <c r="D2926" i="67"/>
  <c r="E2926" i="67"/>
  <c r="C2926" i="67" l="1"/>
  <c r="D2927" i="67"/>
  <c r="E2927" i="67"/>
  <c r="B2928" i="67"/>
  <c r="F2928" i="67"/>
  <c r="A2929" i="67"/>
  <c r="C2927" i="67" l="1"/>
  <c r="B2929" i="67"/>
  <c r="A2930" i="67"/>
  <c r="F2929" i="67"/>
  <c r="D2928" i="67"/>
  <c r="E2928" i="67"/>
  <c r="C2928" i="67" l="1"/>
  <c r="F2930" i="67"/>
  <c r="A2931" i="67"/>
  <c r="B2930" i="67"/>
  <c r="D2929" i="67"/>
  <c r="E2929" i="67"/>
  <c r="C2929" i="67" l="1"/>
  <c r="D2930" i="67"/>
  <c r="E2930" i="67"/>
  <c r="F2931" i="67"/>
  <c r="B2931" i="67"/>
  <c r="A2932" i="67"/>
  <c r="C2930" i="67" l="1"/>
  <c r="F2932" i="67"/>
  <c r="A2933" i="67"/>
  <c r="B2932" i="67"/>
  <c r="D2931" i="67"/>
  <c r="E2931" i="67"/>
  <c r="C2931" i="67" l="1"/>
  <c r="D2932" i="67"/>
  <c r="E2932" i="67"/>
  <c r="A2934" i="67"/>
  <c r="F2933" i="67"/>
  <c r="B2933" i="67"/>
  <c r="C2932" i="67" l="1"/>
  <c r="F2934" i="67"/>
  <c r="B2934" i="67"/>
  <c r="A2935" i="67"/>
  <c r="D2933" i="67"/>
  <c r="E2933" i="67"/>
  <c r="C2933" i="67" l="1"/>
  <c r="A2936" i="67"/>
  <c r="F2935" i="67"/>
  <c r="B2935" i="67"/>
  <c r="D2934" i="67"/>
  <c r="E2934" i="67"/>
  <c r="C2934" i="67" l="1"/>
  <c r="D2935" i="67"/>
  <c r="E2935" i="67"/>
  <c r="F2936" i="67"/>
  <c r="B2936" i="67"/>
  <c r="A2937" i="67"/>
  <c r="C2935" i="67" l="1"/>
  <c r="A2938" i="67"/>
  <c r="F2937" i="67"/>
  <c r="B2937" i="67"/>
  <c r="D2936" i="67"/>
  <c r="E2936" i="67"/>
  <c r="C2936" i="67" l="1"/>
  <c r="D2937" i="67"/>
  <c r="E2937" i="67"/>
  <c r="F2938" i="67"/>
  <c r="A2939" i="67"/>
  <c r="B2938" i="67"/>
  <c r="C2937" i="67" l="1"/>
  <c r="D2938" i="67"/>
  <c r="E2938" i="67"/>
  <c r="F2939" i="67"/>
  <c r="A2940" i="67"/>
  <c r="B2939" i="67"/>
  <c r="C2938" i="67" l="1"/>
  <c r="B2940" i="67"/>
  <c r="F2940" i="67"/>
  <c r="A2941" i="67"/>
  <c r="D2939" i="67"/>
  <c r="E2939" i="67"/>
  <c r="C2939" i="67" l="1"/>
  <c r="B2941" i="67"/>
  <c r="F2941" i="67"/>
  <c r="A2942" i="67"/>
  <c r="D2940" i="67"/>
  <c r="E2940" i="67"/>
  <c r="C2940" i="67" l="1"/>
  <c r="F2942" i="67"/>
  <c r="A2943" i="67"/>
  <c r="B2942" i="67"/>
  <c r="D2941" i="67"/>
  <c r="E2941" i="67"/>
  <c r="C2941" i="67" l="1"/>
  <c r="D2942" i="67"/>
  <c r="E2942" i="67"/>
  <c r="B2943" i="67"/>
  <c r="F2943" i="67"/>
  <c r="A2944" i="67"/>
  <c r="C2942" i="67" l="1"/>
  <c r="F2944" i="67"/>
  <c r="A2945" i="67"/>
  <c r="B2944" i="67"/>
  <c r="D2943" i="67"/>
  <c r="E2943" i="67"/>
  <c r="C2943" i="67" l="1"/>
  <c r="D2944" i="67"/>
  <c r="E2944" i="67"/>
  <c r="B2945" i="67"/>
  <c r="F2945" i="67"/>
  <c r="A2946" i="67"/>
  <c r="C2944" i="67" l="1"/>
  <c r="B2946" i="67"/>
  <c r="F2946" i="67"/>
  <c r="A2947" i="67"/>
  <c r="D2945" i="67"/>
  <c r="E2945" i="67"/>
  <c r="C2945" i="67" l="1"/>
  <c r="F2947" i="67"/>
  <c r="A2948" i="67"/>
  <c r="B2947" i="67"/>
  <c r="D2946" i="67"/>
  <c r="E2946" i="67"/>
  <c r="C2946" i="67" l="1"/>
  <c r="D2947" i="67"/>
  <c r="E2947" i="67"/>
  <c r="F2948" i="67"/>
  <c r="B2948" i="67"/>
  <c r="A2949" i="67"/>
  <c r="C2947" i="67" l="1"/>
  <c r="B2949" i="67"/>
  <c r="F2949" i="67"/>
  <c r="A2950" i="67"/>
  <c r="D2948" i="67"/>
  <c r="E2948" i="67"/>
  <c r="C2948" i="67" l="1"/>
  <c r="F2950" i="67"/>
  <c r="B2950" i="67"/>
  <c r="A2951" i="67"/>
  <c r="D2949" i="67"/>
  <c r="E2949" i="67"/>
  <c r="C2949" i="67" l="1"/>
  <c r="F2951" i="67"/>
  <c r="A2952" i="67"/>
  <c r="B2951" i="67"/>
  <c r="D2950" i="67"/>
  <c r="E2950" i="67"/>
  <c r="C2950" i="67" l="1"/>
  <c r="D2951" i="67"/>
  <c r="E2951" i="67"/>
  <c r="F2952" i="67"/>
  <c r="A2953" i="67"/>
  <c r="B2952" i="67"/>
  <c r="C2951" i="67" l="1"/>
  <c r="D2952" i="67"/>
  <c r="E2952" i="67"/>
  <c r="F2953" i="67"/>
  <c r="B2953" i="67"/>
  <c r="A2954" i="67"/>
  <c r="C2952" i="67" l="1"/>
  <c r="B2954" i="67"/>
  <c r="F2954" i="67"/>
  <c r="A2955" i="67"/>
  <c r="D2953" i="67"/>
  <c r="E2953" i="67"/>
  <c r="C2953" i="67" l="1"/>
  <c r="A2956" i="67"/>
  <c r="B2955" i="67"/>
  <c r="F2955" i="67"/>
  <c r="D2954" i="67"/>
  <c r="E2954" i="67"/>
  <c r="C2954" i="67" l="1"/>
  <c r="D2955" i="67"/>
  <c r="E2955" i="67"/>
  <c r="F2956" i="67"/>
  <c r="A2957" i="67"/>
  <c r="B2956" i="67"/>
  <c r="C2955" i="67" l="1"/>
  <c r="D2956" i="67"/>
  <c r="E2956" i="67"/>
  <c r="B2957" i="67"/>
  <c r="A2958" i="67"/>
  <c r="F2957" i="67"/>
  <c r="C2956" i="67" l="1"/>
  <c r="F2958" i="67"/>
  <c r="B2958" i="67"/>
  <c r="A2959" i="67"/>
  <c r="D2957" i="67"/>
  <c r="E2957" i="67"/>
  <c r="C2957" i="67" l="1"/>
  <c r="D2958" i="67"/>
  <c r="E2958" i="67"/>
  <c r="F2959" i="67"/>
  <c r="A2960" i="67"/>
  <c r="B2959" i="67"/>
  <c r="C2958" i="67" l="1"/>
  <c r="D2959" i="67"/>
  <c r="E2959" i="67"/>
  <c r="F2960" i="67"/>
  <c r="A2961" i="67"/>
  <c r="B2960" i="67"/>
  <c r="C2959" i="67" l="1"/>
  <c r="D2960" i="67"/>
  <c r="E2960" i="67"/>
  <c r="F2961" i="67"/>
  <c r="B2961" i="67"/>
  <c r="A2962" i="67"/>
  <c r="C2960" i="67" l="1"/>
  <c r="F2962" i="67"/>
  <c r="B2962" i="67"/>
  <c r="A2963" i="67"/>
  <c r="D2961" i="67"/>
  <c r="E2961" i="67"/>
  <c r="C2961" i="67" l="1"/>
  <c r="F2963" i="67"/>
  <c r="B2963" i="67"/>
  <c r="A2964" i="67"/>
  <c r="D2962" i="67"/>
  <c r="E2962" i="67"/>
  <c r="C2962" i="67" l="1"/>
  <c r="D2963" i="67"/>
  <c r="E2963" i="67"/>
  <c r="F2964" i="67"/>
  <c r="A2965" i="67"/>
  <c r="B2964" i="67"/>
  <c r="C2963" i="67" l="1"/>
  <c r="D2964" i="67"/>
  <c r="E2964" i="67"/>
  <c r="F2965" i="67"/>
  <c r="A2966" i="67"/>
  <c r="B2965" i="67"/>
  <c r="C2964" i="67" l="1"/>
  <c r="D2965" i="67"/>
  <c r="E2965" i="67"/>
  <c r="F2966" i="67"/>
  <c r="A2967" i="67"/>
  <c r="B2966" i="67"/>
  <c r="C2965" i="67" l="1"/>
  <c r="D2966" i="67"/>
  <c r="E2966" i="67"/>
  <c r="F2967" i="67"/>
  <c r="A2968" i="67"/>
  <c r="B2967" i="67"/>
  <c r="C2966" i="67" l="1"/>
  <c r="B2968" i="67"/>
  <c r="F2968" i="67"/>
  <c r="A2969" i="67"/>
  <c r="D2967" i="67"/>
  <c r="E2967" i="67"/>
  <c r="C2967" i="67" l="1"/>
  <c r="F2969" i="67"/>
  <c r="B2969" i="67"/>
  <c r="A2970" i="67"/>
  <c r="D2968" i="67"/>
  <c r="E2968" i="67"/>
  <c r="C2968" i="67" l="1"/>
  <c r="F2970" i="67"/>
  <c r="A2971" i="67"/>
  <c r="B2970" i="67"/>
  <c r="D2969" i="67"/>
  <c r="E2969" i="67"/>
  <c r="C2969" i="67" l="1"/>
  <c r="D2970" i="67"/>
  <c r="E2970" i="67"/>
  <c r="B2971" i="67"/>
  <c r="F2971" i="67"/>
  <c r="A2972" i="67"/>
  <c r="C2970" i="67" l="1"/>
  <c r="F2972" i="67"/>
  <c r="A2973" i="67"/>
  <c r="B2972" i="67"/>
  <c r="D2971" i="67"/>
  <c r="E2971" i="67"/>
  <c r="C2971" i="67" l="1"/>
  <c r="B2973" i="67"/>
  <c r="F2973" i="67"/>
  <c r="A2974" i="67"/>
  <c r="D2972" i="67"/>
  <c r="E2972" i="67"/>
  <c r="C2972" i="67" l="1"/>
  <c r="A2975" i="67"/>
  <c r="F2974" i="67"/>
  <c r="B2974" i="67"/>
  <c r="D2973" i="67"/>
  <c r="E2973" i="67"/>
  <c r="C2973" i="67" l="1"/>
  <c r="D2974" i="67"/>
  <c r="E2974" i="67"/>
  <c r="B2975" i="67"/>
  <c r="F2975" i="67"/>
  <c r="A2976" i="67"/>
  <c r="C2974" i="67" l="1"/>
  <c r="F2976" i="67"/>
  <c r="B2976" i="67"/>
  <c r="A2977" i="67"/>
  <c r="D2975" i="67"/>
  <c r="E2975" i="67"/>
  <c r="C2975" i="67" l="1"/>
  <c r="A2978" i="67"/>
  <c r="B2977" i="67"/>
  <c r="F2977" i="67"/>
  <c r="D2976" i="67"/>
  <c r="E2976" i="67"/>
  <c r="C2976" i="67" l="1"/>
  <c r="D2977" i="67"/>
  <c r="E2977" i="67"/>
  <c r="B2978" i="67"/>
  <c r="A2979" i="67"/>
  <c r="F2978" i="67"/>
  <c r="C2977" i="67" l="1"/>
  <c r="D2978" i="67"/>
  <c r="E2978" i="67"/>
  <c r="F2979" i="67"/>
  <c r="A2980" i="67"/>
  <c r="B2979" i="67"/>
  <c r="C2978" i="67" l="1"/>
  <c r="D2979" i="67"/>
  <c r="E2979" i="67"/>
  <c r="F2980" i="67"/>
  <c r="B2980" i="67"/>
  <c r="A2981" i="67"/>
  <c r="C2979" i="67" l="1"/>
  <c r="A2982" i="67"/>
  <c r="F2981" i="67"/>
  <c r="B2981" i="67"/>
  <c r="D2980" i="67"/>
  <c r="E2980" i="67"/>
  <c r="C2980" i="67" l="1"/>
  <c r="D2981" i="67"/>
  <c r="E2981" i="67"/>
  <c r="A2983" i="67"/>
  <c r="B2982" i="67"/>
  <c r="F2982" i="67"/>
  <c r="C2981" i="67" l="1"/>
  <c r="D2982" i="67"/>
  <c r="E2982" i="67"/>
  <c r="F2983" i="67"/>
  <c r="A2984" i="67"/>
  <c r="B2983" i="67"/>
  <c r="C2982" i="67" l="1"/>
  <c r="D2983" i="67"/>
  <c r="E2983" i="67"/>
  <c r="B2984" i="67"/>
  <c r="F2984" i="67"/>
  <c r="A2985" i="67"/>
  <c r="C2983" i="67" l="1"/>
  <c r="B2985" i="67"/>
  <c r="A2986" i="67"/>
  <c r="F2985" i="67"/>
  <c r="D2984" i="67"/>
  <c r="E2984" i="67"/>
  <c r="C2984" i="67" l="1"/>
  <c r="A2987" i="67"/>
  <c r="B2986" i="67"/>
  <c r="F2986" i="67"/>
  <c r="D2985" i="67"/>
  <c r="E2985" i="67"/>
  <c r="C2985" i="67" l="1"/>
  <c r="D2986" i="67"/>
  <c r="E2986" i="67"/>
  <c r="F2987" i="67"/>
  <c r="A2988" i="67"/>
  <c r="B2987" i="67"/>
  <c r="C2986" i="67" l="1"/>
  <c r="D2987" i="67"/>
  <c r="E2987" i="67"/>
  <c r="F2988" i="67"/>
  <c r="A2989" i="67"/>
  <c r="B2988" i="67"/>
  <c r="C2987" i="67" l="1"/>
  <c r="F2989" i="67"/>
  <c r="B2989" i="67"/>
  <c r="A2990" i="67"/>
  <c r="D2988" i="67"/>
  <c r="E2988" i="67"/>
  <c r="C2988" i="67" l="1"/>
  <c r="F2990" i="67"/>
  <c r="A2991" i="67"/>
  <c r="B2990" i="67"/>
  <c r="D2989" i="67"/>
  <c r="E2989" i="67"/>
  <c r="C2989" i="67" l="1"/>
  <c r="D2990" i="67"/>
  <c r="E2990" i="67"/>
  <c r="B2991" i="67"/>
  <c r="F2991" i="67"/>
  <c r="A2992" i="67"/>
  <c r="C2990" i="67" l="1"/>
  <c r="B2992" i="67"/>
  <c r="F2992" i="67"/>
  <c r="A2993" i="67"/>
  <c r="D2991" i="67"/>
  <c r="E2991" i="67"/>
  <c r="C2991" i="67" l="1"/>
  <c r="A2994" i="67"/>
  <c r="F2993" i="67"/>
  <c r="B2993" i="67"/>
  <c r="D2992" i="67"/>
  <c r="E2992" i="67"/>
  <c r="C2992" i="67" l="1"/>
  <c r="D2993" i="67"/>
  <c r="E2993" i="67"/>
  <c r="F2994" i="67"/>
  <c r="A2995" i="67"/>
  <c r="B2994" i="67"/>
  <c r="C2993" i="67" l="1"/>
  <c r="F2995" i="67"/>
  <c r="B2995" i="67"/>
  <c r="A2996" i="67"/>
  <c r="D2994" i="67"/>
  <c r="E2994" i="67"/>
  <c r="C2994" i="67" l="1"/>
  <c r="A2997" i="67"/>
  <c r="F2996" i="67"/>
  <c r="B2996" i="67"/>
  <c r="D2995" i="67"/>
  <c r="E2995" i="67"/>
  <c r="C2995" i="67" l="1"/>
  <c r="D2996" i="67"/>
  <c r="E2996" i="67"/>
  <c r="F2997" i="67"/>
  <c r="B2997" i="67"/>
  <c r="A2998" i="67"/>
  <c r="C2996" i="67" l="1"/>
  <c r="A2999" i="67"/>
  <c r="F2998" i="67"/>
  <c r="B2998" i="67"/>
  <c r="D2997" i="67"/>
  <c r="E2997" i="67"/>
  <c r="C2997" i="67" l="1"/>
  <c r="D2998" i="67"/>
  <c r="E2998" i="67"/>
  <c r="F2999" i="67"/>
  <c r="A3000" i="67"/>
  <c r="B2999" i="67"/>
  <c r="C2998" i="67" l="1"/>
  <c r="B3000" i="67"/>
  <c r="F3000" i="67"/>
  <c r="A3001" i="67"/>
  <c r="D2999" i="67"/>
  <c r="E2999" i="67"/>
  <c r="C2999" i="67" l="1"/>
  <c r="F3001" i="67"/>
  <c r="A3002" i="67"/>
  <c r="B3001" i="67"/>
  <c r="D3000" i="67"/>
  <c r="E3000" i="67"/>
  <c r="C3000" i="67" l="1"/>
  <c r="D3001" i="67"/>
  <c r="E3001" i="67"/>
  <c r="F3002" i="67"/>
  <c r="A3003" i="67"/>
  <c r="B3002" i="67"/>
  <c r="C3001" i="67" l="1"/>
  <c r="D3002" i="67"/>
  <c r="E3002" i="67"/>
  <c r="F3003" i="67"/>
  <c r="B3003" i="67"/>
  <c r="A3004" i="67"/>
  <c r="C3002" i="67" l="1"/>
  <c r="F3004" i="67"/>
  <c r="A3005" i="67"/>
  <c r="B3004" i="67"/>
  <c r="D3003" i="67"/>
  <c r="E3003" i="67"/>
  <c r="C3003" i="67" l="1"/>
  <c r="D3004" i="67"/>
  <c r="E3004" i="67"/>
  <c r="F3005" i="67"/>
  <c r="A3006" i="67"/>
  <c r="B3005" i="67"/>
  <c r="C3004" i="67" l="1"/>
  <c r="D3005" i="67"/>
  <c r="E3005" i="67"/>
  <c r="F3006" i="67"/>
  <c r="A3007" i="67"/>
  <c r="B3006" i="67"/>
  <c r="C3005" i="67" l="1"/>
  <c r="A3008" i="67"/>
  <c r="F3007" i="67"/>
  <c r="B3007" i="67"/>
  <c r="D3006" i="67"/>
  <c r="E3006" i="67"/>
  <c r="C3006" i="67" l="1"/>
  <c r="F3008" i="67"/>
  <c r="A3009" i="67"/>
  <c r="B3008" i="67"/>
  <c r="D3007" i="67"/>
  <c r="E3007" i="67"/>
  <c r="C3007" i="67" l="1"/>
  <c r="D3008" i="67"/>
  <c r="E3008" i="67"/>
  <c r="B3009" i="67"/>
  <c r="F3009" i="67"/>
  <c r="A3010" i="67"/>
  <c r="C3008" i="67" l="1"/>
  <c r="A3011" i="67"/>
  <c r="B3010" i="67"/>
  <c r="F3010" i="67"/>
  <c r="D3009" i="67"/>
  <c r="E3009" i="67"/>
  <c r="C3009" i="67" l="1"/>
  <c r="D3010" i="67"/>
  <c r="E3010" i="67"/>
  <c r="B3011" i="67"/>
  <c r="F3011" i="67"/>
  <c r="A3012" i="67"/>
  <c r="C3010" i="67" l="1"/>
  <c r="F3012" i="67"/>
  <c r="B3012" i="67"/>
  <c r="A3013" i="67"/>
  <c r="D3011" i="67"/>
  <c r="E3011" i="67"/>
  <c r="C3011" i="67" l="1"/>
  <c r="F3013" i="67"/>
  <c r="A3014" i="67"/>
  <c r="B3013" i="67"/>
  <c r="D3012" i="67"/>
  <c r="E3012" i="67"/>
  <c r="C3012" i="67" l="1"/>
  <c r="D3013" i="67"/>
  <c r="E3013" i="67"/>
  <c r="F3014" i="67"/>
  <c r="A3015" i="67"/>
  <c r="B3014" i="67"/>
  <c r="C3013" i="67" l="1"/>
  <c r="F3015" i="67"/>
  <c r="A3016" i="67"/>
  <c r="B3015" i="67"/>
  <c r="D3014" i="67"/>
  <c r="E3014" i="67"/>
  <c r="C3014" i="67" l="1"/>
  <c r="D3015" i="67"/>
  <c r="E3015" i="67"/>
  <c r="B3016" i="67"/>
  <c r="F3016" i="67"/>
  <c r="A3017" i="67"/>
  <c r="C3015" i="67" l="1"/>
  <c r="F3017" i="67"/>
  <c r="B3017" i="67"/>
  <c r="A3018" i="67"/>
  <c r="D3016" i="67"/>
  <c r="E3016" i="67"/>
  <c r="C3016" i="67" l="1"/>
  <c r="D3017" i="67"/>
  <c r="E3017" i="67"/>
  <c r="F3018" i="67"/>
  <c r="A3019" i="67"/>
  <c r="B3018" i="67"/>
  <c r="C3017" i="67" l="1"/>
  <c r="D3018" i="67"/>
  <c r="E3018" i="67"/>
  <c r="B3019" i="67"/>
  <c r="F3019" i="67"/>
  <c r="A3020" i="67"/>
  <c r="C3018" i="67" l="1"/>
  <c r="D3019" i="67"/>
  <c r="E3019" i="67"/>
  <c r="F3020" i="67"/>
  <c r="A3021" i="67"/>
  <c r="B3020" i="67"/>
  <c r="C3019" i="67" l="1"/>
  <c r="D3020" i="67"/>
  <c r="E3020" i="67"/>
  <c r="F3021" i="67"/>
  <c r="A3022" i="67"/>
  <c r="B3021" i="67"/>
  <c r="C3020" i="67" l="1"/>
  <c r="D3021" i="67"/>
  <c r="E3021" i="67"/>
  <c r="F3022" i="67"/>
  <c r="B3022" i="67"/>
  <c r="A3023" i="67"/>
  <c r="C3021" i="67" l="1"/>
  <c r="B3023" i="67"/>
  <c r="A3024" i="67"/>
  <c r="F3023" i="67"/>
  <c r="D3022" i="67"/>
  <c r="E3022" i="67"/>
  <c r="C3022" i="67" l="1"/>
  <c r="F3024" i="67"/>
  <c r="B3024" i="67"/>
  <c r="A3025" i="67"/>
  <c r="D3023" i="67"/>
  <c r="E3023" i="67"/>
  <c r="C3023" i="67" l="1"/>
  <c r="F3025" i="67"/>
  <c r="B3025" i="67"/>
  <c r="A3026" i="67"/>
  <c r="D3024" i="67"/>
  <c r="E3024" i="67"/>
  <c r="C3024" i="67" l="1"/>
  <c r="F3026" i="67"/>
  <c r="A3027" i="67"/>
  <c r="B3026" i="67"/>
  <c r="D3025" i="67"/>
  <c r="E3025" i="67"/>
  <c r="C3025" i="67" l="1"/>
  <c r="D3026" i="67"/>
  <c r="E3026" i="67"/>
  <c r="F3027" i="67"/>
  <c r="B3027" i="67"/>
  <c r="A3028" i="67"/>
  <c r="C3026" i="67" l="1"/>
  <c r="B3028" i="67"/>
  <c r="A3029" i="67"/>
  <c r="F3028" i="67"/>
  <c r="D3027" i="67"/>
  <c r="E3027" i="67"/>
  <c r="C3027" i="67" l="1"/>
  <c r="A3030" i="67"/>
  <c r="B3029" i="67"/>
  <c r="F3029" i="67"/>
  <c r="D3028" i="67"/>
  <c r="E3028" i="67"/>
  <c r="C3028" i="67" l="1"/>
  <c r="D3029" i="67"/>
  <c r="E3029" i="67"/>
  <c r="A3031" i="67"/>
  <c r="F3030" i="67"/>
  <c r="B3030" i="67"/>
  <c r="C3029" i="67" l="1"/>
  <c r="D3030" i="67"/>
  <c r="E3030" i="67"/>
  <c r="F3031" i="67"/>
  <c r="A3032" i="67"/>
  <c r="B3031" i="67"/>
  <c r="C3030" i="67" l="1"/>
  <c r="B3032" i="67"/>
  <c r="A3033" i="67"/>
  <c r="F3032" i="67"/>
  <c r="D3031" i="67"/>
  <c r="E3031" i="67"/>
  <c r="C3031" i="67" l="1"/>
  <c r="F3033" i="67"/>
  <c r="A3034" i="67"/>
  <c r="B3033" i="67"/>
  <c r="D3032" i="67"/>
  <c r="E3032" i="67"/>
  <c r="C3032" i="67" l="1"/>
  <c r="B3034" i="67"/>
  <c r="A3035" i="67"/>
  <c r="F3034" i="67"/>
  <c r="D3033" i="67"/>
  <c r="E3033" i="67"/>
  <c r="C3033" i="67" l="1"/>
  <c r="A3036" i="67"/>
  <c r="B3035" i="67"/>
  <c r="F3035" i="67"/>
  <c r="D3034" i="67"/>
  <c r="E3034" i="67"/>
  <c r="C3034" i="67" l="1"/>
  <c r="D3035" i="67"/>
  <c r="E3035" i="67"/>
  <c r="B3036" i="67"/>
  <c r="F3036" i="67"/>
  <c r="A3037" i="67"/>
  <c r="C3035" i="67" l="1"/>
  <c r="B3037" i="67"/>
  <c r="F3037" i="67"/>
  <c r="A3038" i="67"/>
  <c r="D3036" i="67"/>
  <c r="E3036" i="67"/>
  <c r="C3036" i="67" l="1"/>
  <c r="F3038" i="67"/>
  <c r="A3039" i="67"/>
  <c r="B3038" i="67"/>
  <c r="D3037" i="67"/>
  <c r="E3037" i="67"/>
  <c r="C3037" i="67" l="1"/>
  <c r="D3038" i="67"/>
  <c r="E3038" i="67"/>
  <c r="F3039" i="67"/>
  <c r="A3040" i="67"/>
  <c r="B3039" i="67"/>
  <c r="C3038" i="67" l="1"/>
  <c r="D3039" i="67"/>
  <c r="E3039" i="67"/>
  <c r="A3041" i="67"/>
  <c r="F3040" i="67"/>
  <c r="B3040" i="67"/>
  <c r="C3039" i="67" l="1"/>
  <c r="B3041" i="67"/>
  <c r="F3041" i="67"/>
  <c r="A3042" i="67"/>
  <c r="D3040" i="67"/>
  <c r="E3040" i="67"/>
  <c r="C3040" i="67" l="1"/>
  <c r="A3043" i="67"/>
  <c r="F3042" i="67"/>
  <c r="B3042" i="67"/>
  <c r="D3041" i="67"/>
  <c r="E3041" i="67"/>
  <c r="C3041" i="67" l="1"/>
  <c r="D3042" i="67"/>
  <c r="E3042" i="67"/>
  <c r="B3043" i="67"/>
  <c r="F3043" i="67"/>
  <c r="A3044" i="67"/>
  <c r="C3042" i="67" l="1"/>
  <c r="F3044" i="67"/>
  <c r="A3045" i="67"/>
  <c r="B3044" i="67"/>
  <c r="D3043" i="67"/>
  <c r="E3043" i="67"/>
  <c r="C3043" i="67" l="1"/>
  <c r="D3044" i="67"/>
  <c r="E3044" i="67"/>
  <c r="F3045" i="67"/>
  <c r="A3046" i="67"/>
  <c r="B3045" i="67"/>
  <c r="C3044" i="67" l="1"/>
  <c r="D3045" i="67"/>
  <c r="E3045" i="67"/>
  <c r="F3046" i="67"/>
  <c r="A3047" i="67"/>
  <c r="B3046" i="67"/>
  <c r="C3045" i="67" l="1"/>
  <c r="D3046" i="67"/>
  <c r="E3046" i="67"/>
  <c r="F3047" i="67"/>
  <c r="A3048" i="67"/>
  <c r="B3047" i="67"/>
  <c r="C3046" i="67" l="1"/>
  <c r="D3047" i="67"/>
  <c r="E3047" i="67"/>
  <c r="A3049" i="67"/>
  <c r="B3048" i="67"/>
  <c r="F3048" i="67"/>
  <c r="C3047" i="67" l="1"/>
  <c r="F3049" i="67"/>
  <c r="A3050" i="67"/>
  <c r="B3049" i="67"/>
  <c r="D3048" i="67"/>
  <c r="E3048" i="67"/>
  <c r="C3048" i="67" l="1"/>
  <c r="B3050" i="67"/>
  <c r="F3050" i="67"/>
  <c r="A3051" i="67"/>
  <c r="D3049" i="67"/>
  <c r="E3049" i="67"/>
  <c r="C3049" i="67" l="1"/>
  <c r="F3051" i="67"/>
  <c r="B3051" i="67"/>
  <c r="A3052" i="67"/>
  <c r="D3050" i="67"/>
  <c r="E3050" i="67"/>
  <c r="C3050" i="67" l="1"/>
  <c r="D3051" i="67"/>
  <c r="E3051" i="67"/>
  <c r="F3052" i="67"/>
  <c r="B3052" i="67"/>
  <c r="A3053" i="67"/>
  <c r="C3051" i="67" l="1"/>
  <c r="F3053" i="67"/>
  <c r="B3053" i="67"/>
  <c r="A3054" i="67"/>
  <c r="D3052" i="67"/>
  <c r="E3052" i="67"/>
  <c r="C3052" i="67" l="1"/>
  <c r="A3055" i="67"/>
  <c r="B3054" i="67"/>
  <c r="F3054" i="67"/>
  <c r="D3053" i="67"/>
  <c r="E3053" i="67"/>
  <c r="C3053" i="67" l="1"/>
  <c r="D3054" i="67"/>
  <c r="E3054" i="67"/>
  <c r="F3055" i="67"/>
  <c r="A3056" i="67"/>
  <c r="B3055" i="67"/>
  <c r="C3054" i="67" l="1"/>
  <c r="A3057" i="67"/>
  <c r="F3056" i="67"/>
  <c r="B3056" i="67"/>
  <c r="D3055" i="67"/>
  <c r="E3055" i="67"/>
  <c r="C3055" i="67" l="1"/>
  <c r="D3056" i="67"/>
  <c r="E3056" i="67"/>
  <c r="B3057" i="67"/>
  <c r="A3058" i="67"/>
  <c r="F3057" i="67"/>
  <c r="C3056" i="67" l="1"/>
  <c r="D3057" i="67"/>
  <c r="E3057" i="67"/>
  <c r="B3058" i="67"/>
  <c r="F3058" i="67"/>
  <c r="A3059" i="67"/>
  <c r="C3057" i="67" l="1"/>
  <c r="B3059" i="67"/>
  <c r="F3059" i="67"/>
  <c r="A3060" i="67"/>
  <c r="D3058" i="67"/>
  <c r="E3058" i="67"/>
  <c r="C3058" i="67" l="1"/>
  <c r="F3060" i="67"/>
  <c r="A3061" i="67"/>
  <c r="B3060" i="67"/>
  <c r="D3059" i="67"/>
  <c r="E3059" i="67"/>
  <c r="C3059" i="67" l="1"/>
  <c r="D3060" i="67"/>
  <c r="E3060" i="67"/>
  <c r="F3061" i="67"/>
  <c r="A3062" i="67"/>
  <c r="B3061" i="67"/>
  <c r="C3060" i="67" l="1"/>
  <c r="D3061" i="67"/>
  <c r="E3061" i="67"/>
  <c r="F3062" i="67"/>
  <c r="A3063" i="67"/>
  <c r="B3062" i="67"/>
  <c r="C3061" i="67" l="1"/>
  <c r="D3062" i="67"/>
  <c r="E3062" i="67"/>
  <c r="F3063" i="67"/>
  <c r="A3064" i="67"/>
  <c r="B3063" i="67"/>
  <c r="C3062" i="67" l="1"/>
  <c r="D3063" i="67"/>
  <c r="E3063" i="67"/>
  <c r="B3064" i="67"/>
  <c r="F3064" i="67"/>
  <c r="A3065" i="67"/>
  <c r="C3063" i="67" l="1"/>
  <c r="F3065" i="67"/>
  <c r="B3065" i="67"/>
  <c r="A3066" i="67"/>
  <c r="D3064" i="67"/>
  <c r="E3064" i="67"/>
  <c r="C3064" i="67" l="1"/>
  <c r="B3066" i="67"/>
  <c r="F3066" i="67"/>
  <c r="A3067" i="67"/>
  <c r="D3065" i="67"/>
  <c r="E3065" i="67"/>
  <c r="C3065" i="67" l="1"/>
  <c r="B3067" i="67"/>
  <c r="F3067" i="67"/>
  <c r="A3068" i="67"/>
  <c r="D3066" i="67"/>
  <c r="E3066" i="67"/>
  <c r="C3066" i="67" l="1"/>
  <c r="F3068" i="67"/>
  <c r="B3068" i="67"/>
  <c r="A3069" i="67"/>
  <c r="D3067" i="67"/>
  <c r="E3067" i="67"/>
  <c r="C3067" i="67" l="1"/>
  <c r="B3069" i="67"/>
  <c r="A3070" i="67"/>
  <c r="F3069" i="67"/>
  <c r="D3068" i="67"/>
  <c r="E3068" i="67"/>
  <c r="C3068" i="67" l="1"/>
  <c r="F3070" i="67"/>
  <c r="A3071" i="67"/>
  <c r="B3070" i="67"/>
  <c r="D3069" i="67"/>
  <c r="E3069" i="67"/>
  <c r="C3069" i="67" l="1"/>
  <c r="D3070" i="67"/>
  <c r="E3070" i="67"/>
  <c r="A3072" i="67"/>
  <c r="F3071" i="67"/>
  <c r="B3071" i="67"/>
  <c r="C3070" i="67" l="1"/>
  <c r="D3071" i="67"/>
  <c r="E3071" i="67"/>
  <c r="B3072" i="67"/>
  <c r="F3072" i="67"/>
  <c r="A3073" i="67"/>
  <c r="C3071" i="67" l="1"/>
  <c r="D3072" i="67"/>
  <c r="E3072" i="67"/>
  <c r="B3073" i="67"/>
  <c r="A3074" i="67"/>
  <c r="F3073" i="67"/>
  <c r="C3072" i="67" l="1"/>
  <c r="F3074" i="67"/>
  <c r="B3074" i="67"/>
  <c r="A3075" i="67"/>
  <c r="D3073" i="67"/>
  <c r="E3073" i="67"/>
  <c r="C3073" i="67" l="1"/>
  <c r="F3075" i="67"/>
  <c r="B3075" i="67"/>
  <c r="A3076" i="67"/>
  <c r="D3074" i="67"/>
  <c r="E3074" i="67"/>
  <c r="C3074" i="67" l="1"/>
  <c r="B3076" i="67"/>
  <c r="F3076" i="67"/>
  <c r="A3077" i="67"/>
  <c r="D3075" i="67"/>
  <c r="E3075" i="67"/>
  <c r="C3075" i="67" l="1"/>
  <c r="B3077" i="67"/>
  <c r="F3077" i="67"/>
  <c r="A3078" i="67"/>
  <c r="D3076" i="67"/>
  <c r="E3076" i="67"/>
  <c r="C3076" i="67" l="1"/>
  <c r="A3079" i="67"/>
  <c r="B3078" i="67"/>
  <c r="F3078" i="67"/>
  <c r="D3077" i="67"/>
  <c r="E3077" i="67"/>
  <c r="C3077" i="67" l="1"/>
  <c r="D3078" i="67"/>
  <c r="E3078" i="67"/>
  <c r="A3080" i="67"/>
  <c r="F3079" i="67"/>
  <c r="B3079" i="67"/>
  <c r="C3078" i="67" l="1"/>
  <c r="F3080" i="67"/>
  <c r="A3081" i="67"/>
  <c r="B3080" i="67"/>
  <c r="D3079" i="67"/>
  <c r="E3079" i="67"/>
  <c r="C3079" i="67" l="1"/>
  <c r="D3080" i="67"/>
  <c r="E3080" i="67"/>
  <c r="F3081" i="67"/>
  <c r="B3081" i="67"/>
  <c r="A3082" i="67"/>
  <c r="C3080" i="67" l="1"/>
  <c r="D3081" i="67"/>
  <c r="E3081" i="67"/>
  <c r="C3081" i="67" s="1"/>
  <c r="F3082" i="67"/>
  <c r="A3083" i="67"/>
  <c r="B3082" i="67"/>
  <c r="B3083" i="67" l="1"/>
  <c r="F3083" i="67"/>
  <c r="A3084" i="67"/>
  <c r="D3082" i="67"/>
  <c r="E3082" i="67"/>
  <c r="C3082" i="67" l="1"/>
  <c r="F3084" i="67"/>
  <c r="A3085" i="67"/>
  <c r="B3084" i="67"/>
  <c r="D3083" i="67"/>
  <c r="E3083" i="67"/>
  <c r="C3083" i="67" l="1"/>
  <c r="D3084" i="67"/>
  <c r="E3084" i="67"/>
  <c r="A3086" i="67"/>
  <c r="B3085" i="67"/>
  <c r="F3085" i="67"/>
  <c r="C3084" i="67" l="1"/>
  <c r="D3085" i="67"/>
  <c r="E3085" i="67"/>
  <c r="F3086" i="67"/>
  <c r="B3086" i="67"/>
  <c r="A3087" i="67"/>
  <c r="C3085" i="67" l="1"/>
  <c r="F3087" i="67"/>
  <c r="A3088" i="67"/>
  <c r="B3087" i="67"/>
  <c r="D3086" i="67"/>
  <c r="E3086" i="67"/>
  <c r="C3086" i="67" l="1"/>
  <c r="D3087" i="67"/>
  <c r="E3087" i="67"/>
  <c r="B3088" i="67"/>
  <c r="A3089" i="67"/>
  <c r="F3088" i="67"/>
  <c r="C3087" i="67" l="1"/>
  <c r="A3090" i="67"/>
  <c r="F3089" i="67"/>
  <c r="B3089" i="67"/>
  <c r="D3088" i="67"/>
  <c r="E3088" i="67"/>
  <c r="C3088" i="67" l="1"/>
  <c r="D3089" i="67"/>
  <c r="E3089" i="67"/>
  <c r="A3091" i="67"/>
  <c r="F3090" i="67"/>
  <c r="B3090" i="67"/>
  <c r="C3089" i="67" l="1"/>
  <c r="D3090" i="67"/>
  <c r="E3090" i="67"/>
  <c r="B3091" i="67"/>
  <c r="A3092" i="67"/>
  <c r="F3091" i="67"/>
  <c r="C3090" i="67" l="1"/>
  <c r="F3092" i="67"/>
  <c r="A3093" i="67"/>
  <c r="B3092" i="67"/>
  <c r="D3091" i="67"/>
  <c r="E3091" i="67"/>
  <c r="C3091" i="67" l="1"/>
  <c r="D3092" i="67"/>
  <c r="E3092" i="67"/>
  <c r="B3093" i="67"/>
  <c r="F3093" i="67"/>
  <c r="A3094" i="67"/>
  <c r="C3092" i="67" l="1"/>
  <c r="B3094" i="67"/>
  <c r="F3094" i="67"/>
  <c r="A3095" i="67"/>
  <c r="D3093" i="67"/>
  <c r="E3093" i="67"/>
  <c r="C3093" i="67" l="1"/>
  <c r="B3095" i="67"/>
  <c r="F3095" i="67"/>
  <c r="A3096" i="67"/>
  <c r="D3094" i="67"/>
  <c r="E3094" i="67"/>
  <c r="C3094" i="67" l="1"/>
  <c r="F3096" i="67"/>
  <c r="A3097" i="67"/>
  <c r="B3096" i="67"/>
  <c r="D3095" i="67"/>
  <c r="E3095" i="67"/>
  <c r="C3095" i="67" l="1"/>
  <c r="D3096" i="67"/>
  <c r="E3096" i="67"/>
  <c r="B3097" i="67"/>
  <c r="F3097" i="67"/>
  <c r="A3098" i="67"/>
  <c r="C3096" i="67" l="1"/>
  <c r="A3099" i="67"/>
  <c r="B3098" i="67"/>
  <c r="F3098" i="67"/>
  <c r="D3097" i="67"/>
  <c r="E3097" i="67"/>
  <c r="C3097" i="67" l="1"/>
  <c r="D3098" i="67"/>
  <c r="E3098" i="67"/>
  <c r="F3099" i="67"/>
  <c r="B3099" i="67"/>
  <c r="A3100" i="67"/>
  <c r="C3098" i="67" l="1"/>
  <c r="F3100" i="67"/>
  <c r="B3100" i="67"/>
  <c r="A3101" i="67"/>
  <c r="D3099" i="67"/>
  <c r="E3099" i="67"/>
  <c r="C3099" i="67" l="1"/>
  <c r="F3101" i="67"/>
  <c r="A3102" i="67"/>
  <c r="B3101" i="67"/>
  <c r="D3100" i="67"/>
  <c r="E3100" i="67"/>
  <c r="C3100" i="67" l="1"/>
  <c r="D3101" i="67"/>
  <c r="E3101" i="67"/>
  <c r="B3102" i="67"/>
  <c r="F3102" i="67"/>
  <c r="A3103" i="67"/>
  <c r="C3101" i="67" l="1"/>
  <c r="F3103" i="67"/>
  <c r="A3104" i="67"/>
  <c r="B3103" i="67"/>
  <c r="D3102" i="67"/>
  <c r="E3102" i="67"/>
  <c r="C3102" i="67" l="1"/>
  <c r="D3103" i="67"/>
  <c r="E3103" i="67"/>
  <c r="F3104" i="67"/>
  <c r="A3105" i="67"/>
  <c r="B3104" i="67"/>
  <c r="C3103" i="67" l="1"/>
  <c r="D3104" i="67"/>
  <c r="E3104" i="67"/>
  <c r="A3106" i="67"/>
  <c r="B3105" i="67"/>
  <c r="F3105" i="67"/>
  <c r="C3104" i="67" l="1"/>
  <c r="D3105" i="67"/>
  <c r="E3105" i="67"/>
  <c r="B3106" i="67"/>
  <c r="A3107" i="67"/>
  <c r="F3106" i="67"/>
  <c r="C3105" i="67" l="1"/>
  <c r="F3107" i="67"/>
  <c r="A3108" i="67"/>
  <c r="B3107" i="67"/>
  <c r="D3106" i="67"/>
  <c r="E3106" i="67"/>
  <c r="C3106" i="67" l="1"/>
  <c r="D3107" i="67"/>
  <c r="E3107" i="67"/>
  <c r="F3108" i="67"/>
  <c r="B3108" i="67"/>
  <c r="A3109" i="67"/>
  <c r="C3107" i="67" l="1"/>
  <c r="B3109" i="67"/>
  <c r="F3109" i="67"/>
  <c r="A3110" i="67"/>
  <c r="D3108" i="67"/>
  <c r="E3108" i="67"/>
  <c r="C3108" i="67" l="1"/>
  <c r="F3110" i="67"/>
  <c r="B3110" i="67"/>
  <c r="A3111" i="67"/>
  <c r="D3109" i="67"/>
  <c r="E3109" i="67"/>
  <c r="C3109" i="67" l="1"/>
  <c r="A3112" i="67"/>
  <c r="B3111" i="67"/>
  <c r="F3111" i="67"/>
  <c r="D3110" i="67"/>
  <c r="E3110" i="67"/>
  <c r="C3110" i="67" l="1"/>
  <c r="D3111" i="67"/>
  <c r="E3111" i="67"/>
  <c r="B3112" i="67"/>
  <c r="F3112" i="67"/>
  <c r="A3113" i="67"/>
  <c r="C3111" i="67" l="1"/>
  <c r="F3113" i="67"/>
  <c r="A3114" i="67"/>
  <c r="B3113" i="67"/>
  <c r="D3112" i="67"/>
  <c r="E3112" i="67"/>
  <c r="C3112" i="67" l="1"/>
  <c r="D3113" i="67"/>
  <c r="E3113" i="67"/>
  <c r="A3115" i="67"/>
  <c r="B3114" i="67"/>
  <c r="F3114" i="67"/>
  <c r="C3113" i="67" l="1"/>
  <c r="D3114" i="67"/>
  <c r="E3114" i="67"/>
  <c r="A3116" i="67"/>
  <c r="B3115" i="67"/>
  <c r="F3115" i="67"/>
  <c r="C3114" i="67" l="1"/>
  <c r="D3115" i="67"/>
  <c r="E3115" i="67"/>
  <c r="B3116" i="67"/>
  <c r="F3116" i="67"/>
  <c r="A3117" i="67"/>
  <c r="C3115" i="67" l="1"/>
  <c r="A3118" i="67"/>
  <c r="B3117" i="67"/>
  <c r="F3117" i="67"/>
  <c r="D3116" i="67"/>
  <c r="E3116" i="67"/>
  <c r="C3116" i="67" l="1"/>
  <c r="D3117" i="67"/>
  <c r="E3117" i="67"/>
  <c r="B3118" i="67"/>
  <c r="F3118" i="67"/>
  <c r="A3119" i="67"/>
  <c r="C3117" i="67" l="1"/>
  <c r="F3119" i="67"/>
  <c r="A3120" i="67"/>
  <c r="B3119" i="67"/>
  <c r="D3118" i="67"/>
  <c r="E3118" i="67"/>
  <c r="C3118" i="67" l="1"/>
  <c r="D3119" i="67"/>
  <c r="E3119" i="67"/>
  <c r="B3120" i="67"/>
  <c r="F3120" i="67"/>
  <c r="A3121" i="67"/>
  <c r="C3119" i="67" l="1"/>
  <c r="D3120" i="67"/>
  <c r="E3120" i="67"/>
  <c r="F3121" i="67"/>
  <c r="A3122" i="67"/>
  <c r="B3121" i="67"/>
  <c r="C3120" i="67" l="1"/>
  <c r="D3121" i="67"/>
  <c r="E3121" i="67"/>
  <c r="B3122" i="67"/>
  <c r="A3123" i="67"/>
  <c r="F3122" i="67"/>
  <c r="C3121" i="67" l="1"/>
  <c r="F3123" i="67"/>
  <c r="A3124" i="67"/>
  <c r="B3123" i="67"/>
  <c r="D3122" i="67"/>
  <c r="E3122" i="67"/>
  <c r="C3122" i="67" l="1"/>
  <c r="D3123" i="67"/>
  <c r="E3123" i="67"/>
  <c r="F3124" i="67"/>
  <c r="B3124" i="67"/>
  <c r="A3125" i="67"/>
  <c r="C3123" i="67" l="1"/>
  <c r="F3125" i="67"/>
  <c r="B3125" i="67"/>
  <c r="A3126" i="67"/>
  <c r="D3124" i="67"/>
  <c r="E3124" i="67"/>
  <c r="C3124" i="67" l="1"/>
  <c r="F3126" i="67"/>
  <c r="A3127" i="67"/>
  <c r="B3126" i="67"/>
  <c r="D3125" i="67"/>
  <c r="E3125" i="67"/>
  <c r="C3125" i="67" l="1"/>
  <c r="A3128" i="67"/>
  <c r="B3127" i="67"/>
  <c r="F3127" i="67"/>
  <c r="D3126" i="67"/>
  <c r="E3126" i="67"/>
  <c r="C3126" i="67" l="1"/>
  <c r="D3127" i="67"/>
  <c r="E3127" i="67"/>
  <c r="B3128" i="67"/>
  <c r="F3128" i="67"/>
  <c r="A3129" i="67"/>
  <c r="C3127" i="67" l="1"/>
  <c r="F3129" i="67"/>
  <c r="B3129" i="67"/>
  <c r="A3130" i="67"/>
  <c r="D3128" i="67"/>
  <c r="E3128" i="67"/>
  <c r="C3128" i="67" l="1"/>
  <c r="F3130" i="67"/>
  <c r="B3130" i="67"/>
  <c r="A3131" i="67"/>
  <c r="D3129" i="67"/>
  <c r="E3129" i="67"/>
  <c r="C3129" i="67" l="1"/>
  <c r="A3132" i="67"/>
  <c r="F3131" i="67"/>
  <c r="B3131" i="67"/>
  <c r="D3130" i="67"/>
  <c r="E3130" i="67"/>
  <c r="C3130" i="67" l="1"/>
  <c r="D3131" i="67"/>
  <c r="E3131" i="67"/>
  <c r="F3132" i="67"/>
  <c r="B3132" i="67"/>
  <c r="A3133" i="67"/>
  <c r="C3131" i="67" l="1"/>
  <c r="F3133" i="67"/>
  <c r="A3134" i="67"/>
  <c r="B3133" i="67"/>
  <c r="D3132" i="67"/>
  <c r="E3132" i="67"/>
  <c r="C3132" i="67" l="1"/>
  <c r="D3133" i="67"/>
  <c r="E3133" i="67"/>
  <c r="A3135" i="67"/>
  <c r="B3134" i="67"/>
  <c r="F3134" i="67"/>
  <c r="C3133" i="67" l="1"/>
  <c r="D3134" i="67"/>
  <c r="E3134" i="67"/>
  <c r="A3136" i="67"/>
  <c r="F3135" i="67"/>
  <c r="B3135" i="67"/>
  <c r="C3134" i="67" l="1"/>
  <c r="D3135" i="67"/>
  <c r="E3135" i="67"/>
  <c r="B3136" i="67"/>
  <c r="A3137" i="67"/>
  <c r="F3136" i="67"/>
  <c r="C3135" i="67" l="1"/>
  <c r="D3136" i="67"/>
  <c r="E3136" i="67"/>
  <c r="F3137" i="67"/>
  <c r="A3138" i="67"/>
  <c r="B3137" i="67"/>
  <c r="C3136" i="67" l="1"/>
  <c r="D3137" i="67"/>
  <c r="E3137" i="67"/>
  <c r="F3138" i="67"/>
  <c r="B3138" i="67"/>
  <c r="A3139" i="67"/>
  <c r="C3137" i="67" l="1"/>
  <c r="A3140" i="67"/>
  <c r="B3139" i="67"/>
  <c r="F3139" i="67"/>
  <c r="D3138" i="67"/>
  <c r="E3138" i="67"/>
  <c r="C3138" i="67" l="1"/>
  <c r="D3139" i="67"/>
  <c r="E3139" i="67"/>
  <c r="B3140" i="67"/>
  <c r="A3141" i="67"/>
  <c r="F3140" i="67"/>
  <c r="C3139" i="67" l="1"/>
  <c r="F3141" i="67"/>
  <c r="A3142" i="67"/>
  <c r="B3141" i="67"/>
  <c r="D3140" i="67"/>
  <c r="E3140" i="67"/>
  <c r="C3140" i="67" l="1"/>
  <c r="D3141" i="67"/>
  <c r="E3141" i="67"/>
  <c r="A3143" i="67"/>
  <c r="F3142" i="67"/>
  <c r="B3142" i="67"/>
  <c r="C3141" i="67" l="1"/>
  <c r="F3143" i="67"/>
  <c r="B3143" i="67"/>
  <c r="A3144" i="67"/>
  <c r="D3142" i="67"/>
  <c r="E3142" i="67"/>
  <c r="C3142" i="67" l="1"/>
  <c r="F3144" i="67"/>
  <c r="B3144" i="67"/>
  <c r="A3145" i="67"/>
  <c r="D3143" i="67"/>
  <c r="E3143" i="67"/>
  <c r="C3143" i="67" l="1"/>
  <c r="F3145" i="67"/>
  <c r="B3145" i="67"/>
  <c r="A3146" i="67"/>
  <c r="D3144" i="67"/>
  <c r="E3144" i="67"/>
  <c r="C3144" i="67" l="1"/>
  <c r="F3146" i="67"/>
  <c r="B3146" i="67"/>
  <c r="A3147" i="67"/>
  <c r="D3145" i="67"/>
  <c r="E3145" i="67"/>
  <c r="C3145" i="67" l="1"/>
  <c r="F3147" i="67"/>
  <c r="A3148" i="67"/>
  <c r="B3147" i="67"/>
  <c r="D3146" i="67"/>
  <c r="E3146" i="67"/>
  <c r="C3146" i="67" l="1"/>
  <c r="D3147" i="67"/>
  <c r="E3147" i="67"/>
  <c r="F3148" i="67"/>
  <c r="B3148" i="67"/>
  <c r="A3149" i="67"/>
  <c r="C3147" i="67" l="1"/>
  <c r="B3149" i="67"/>
  <c r="F3149" i="67"/>
  <c r="A3150" i="67"/>
  <c r="D3148" i="67"/>
  <c r="E3148" i="67"/>
  <c r="C3148" i="67" l="1"/>
  <c r="A3151" i="67"/>
  <c r="F3150" i="67"/>
  <c r="B3150" i="67"/>
  <c r="D3149" i="67"/>
  <c r="E3149" i="67"/>
  <c r="C3149" i="67" l="1"/>
  <c r="D3150" i="67"/>
  <c r="E3150" i="67"/>
  <c r="F3151" i="67"/>
  <c r="B3151" i="67"/>
  <c r="A3152" i="67"/>
  <c r="C3150" i="67" l="1"/>
  <c r="D3151" i="67"/>
  <c r="E3151" i="67"/>
  <c r="F3152" i="67"/>
  <c r="B3152" i="67"/>
  <c r="A3153" i="67"/>
  <c r="C3151" i="67" l="1"/>
  <c r="A3154" i="67"/>
  <c r="F3153" i="67"/>
  <c r="B3153" i="67"/>
  <c r="D3152" i="67"/>
  <c r="E3152" i="67"/>
  <c r="C3152" i="67" l="1"/>
  <c r="D3153" i="67"/>
  <c r="E3153" i="67"/>
  <c r="A3155" i="67"/>
  <c r="F3154" i="67"/>
  <c r="B3154" i="67"/>
  <c r="C3153" i="67" l="1"/>
  <c r="D3154" i="67"/>
  <c r="E3154" i="67"/>
  <c r="F3155" i="67"/>
  <c r="B3155" i="67"/>
  <c r="A3156" i="67"/>
  <c r="C3154" i="67" l="1"/>
  <c r="D3155" i="67"/>
  <c r="E3155" i="67"/>
  <c r="A3157" i="67"/>
  <c r="F3156" i="67"/>
  <c r="B3156" i="67"/>
  <c r="C3155" i="67" l="1"/>
  <c r="D3156" i="67"/>
  <c r="E3156" i="67"/>
  <c r="B3157" i="67"/>
  <c r="F3157" i="67"/>
  <c r="A3158" i="67"/>
  <c r="C3156" i="67" l="1"/>
  <c r="F3158" i="67"/>
  <c r="A3159" i="67"/>
  <c r="B3158" i="67"/>
  <c r="D3157" i="67"/>
  <c r="E3157" i="67"/>
  <c r="C3157" i="67" l="1"/>
  <c r="F3159" i="67"/>
  <c r="B3159" i="67"/>
  <c r="A3160" i="67"/>
  <c r="D3158" i="67"/>
  <c r="E3158" i="67"/>
  <c r="C3158" i="67" l="1"/>
  <c r="D3159" i="67"/>
  <c r="E3159" i="67"/>
  <c r="F3160" i="67"/>
  <c r="A3161" i="67"/>
  <c r="B3160" i="67"/>
  <c r="C3159" i="67" l="1"/>
  <c r="D3160" i="67"/>
  <c r="E3160" i="67"/>
  <c r="B3161" i="67"/>
  <c r="A3162" i="67"/>
  <c r="F3161" i="67"/>
  <c r="C3160" i="67" l="1"/>
  <c r="D3161" i="67"/>
  <c r="E3161" i="67"/>
  <c r="A3163" i="67"/>
  <c r="F3162" i="67"/>
  <c r="B3162" i="67"/>
  <c r="C3161" i="67" l="1"/>
  <c r="D3162" i="67"/>
  <c r="E3162" i="67"/>
  <c r="F3163" i="67"/>
  <c r="A3164" i="67"/>
  <c r="B3163" i="67"/>
  <c r="C3162" i="67" l="1"/>
  <c r="D3163" i="67"/>
  <c r="E3163" i="67"/>
  <c r="B3164" i="67"/>
  <c r="F3164" i="67"/>
  <c r="A3165" i="67"/>
  <c r="C3163" i="67" l="1"/>
  <c r="F3165" i="67"/>
  <c r="A3166" i="67"/>
  <c r="B3165" i="67"/>
  <c r="D3164" i="67"/>
  <c r="E3164" i="67"/>
  <c r="C3164" i="67" l="1"/>
  <c r="D3165" i="67"/>
  <c r="E3165" i="67"/>
  <c r="B3166" i="67"/>
  <c r="F3166" i="67"/>
  <c r="A3167" i="67"/>
  <c r="C3165" i="67" l="1"/>
  <c r="F3167" i="67"/>
  <c r="A3168" i="67"/>
  <c r="B3167" i="67"/>
  <c r="D3166" i="67"/>
  <c r="E3166" i="67"/>
  <c r="C3166" i="67" l="1"/>
  <c r="D3167" i="67"/>
  <c r="E3167" i="67"/>
  <c r="B3168" i="67"/>
  <c r="F3168" i="67"/>
  <c r="A3169" i="67"/>
  <c r="C3167" i="67" l="1"/>
  <c r="F3169" i="67"/>
  <c r="A3170" i="67"/>
  <c r="B3169" i="67"/>
  <c r="D3168" i="67"/>
  <c r="E3168" i="67"/>
  <c r="C3168" i="67" l="1"/>
  <c r="D3169" i="67"/>
  <c r="E3169" i="67"/>
  <c r="F3170" i="67"/>
  <c r="A3171" i="67"/>
  <c r="B3170" i="67"/>
  <c r="C3169" i="67" l="1"/>
  <c r="D3170" i="67"/>
  <c r="E3170" i="67"/>
  <c r="F3171" i="67"/>
  <c r="A3172" i="67"/>
  <c r="B3171" i="67"/>
  <c r="C3170" i="67" l="1"/>
  <c r="D3171" i="67"/>
  <c r="E3171" i="67"/>
  <c r="F3172" i="67"/>
  <c r="A3173" i="67"/>
  <c r="B3172" i="67"/>
  <c r="C3171" i="67" l="1"/>
  <c r="D3172" i="67"/>
  <c r="E3172" i="67"/>
  <c r="F3173" i="67"/>
  <c r="A3174" i="67"/>
  <c r="B3173" i="67"/>
  <c r="C3172" i="67" l="1"/>
  <c r="D3173" i="67"/>
  <c r="E3173" i="67"/>
  <c r="B3174" i="67"/>
  <c r="F3174" i="67"/>
  <c r="A3175" i="67"/>
  <c r="C3173" i="67" l="1"/>
  <c r="F3175" i="67"/>
  <c r="B3175" i="67"/>
  <c r="A3176" i="67"/>
  <c r="D3174" i="67"/>
  <c r="E3174" i="67"/>
  <c r="C3174" i="67" l="1"/>
  <c r="B3176" i="67"/>
  <c r="F3176" i="67"/>
  <c r="A3177" i="67"/>
  <c r="D3175" i="67"/>
  <c r="E3175" i="67"/>
  <c r="C3175" i="67" l="1"/>
  <c r="B3177" i="67"/>
  <c r="F3177" i="67"/>
  <c r="A3178" i="67"/>
  <c r="D3176" i="67"/>
  <c r="E3176" i="67"/>
  <c r="C3176" i="67" l="1"/>
  <c r="B3178" i="67"/>
  <c r="F3178" i="67"/>
  <c r="A3179" i="67"/>
  <c r="D3177" i="67"/>
  <c r="E3177" i="67"/>
  <c r="C3177" i="67" l="1"/>
  <c r="A3180" i="67"/>
  <c r="F3179" i="67"/>
  <c r="B3179" i="67"/>
  <c r="D3178" i="67"/>
  <c r="E3178" i="67"/>
  <c r="C3178" i="67" l="1"/>
  <c r="D3179" i="67"/>
  <c r="E3179" i="67"/>
  <c r="B3180" i="67"/>
  <c r="F3180" i="67"/>
  <c r="A3181" i="67"/>
  <c r="C3179" i="67" l="1"/>
  <c r="B3181" i="67"/>
  <c r="F3181" i="67"/>
  <c r="A3182" i="67"/>
  <c r="D3180" i="67"/>
  <c r="E3180" i="67"/>
  <c r="C3180" i="67" l="1"/>
  <c r="F3182" i="67"/>
  <c r="A3183" i="67"/>
  <c r="B3182" i="67"/>
  <c r="D3181" i="67"/>
  <c r="E3181" i="67"/>
  <c r="C3181" i="67" l="1"/>
  <c r="D3182" i="67"/>
  <c r="E3182" i="67"/>
  <c r="F3183" i="67"/>
  <c r="B3183" i="67"/>
  <c r="A3184" i="67"/>
  <c r="C3182" i="67" l="1"/>
  <c r="D3183" i="67"/>
  <c r="E3183" i="67"/>
  <c r="A3185" i="67"/>
  <c r="B3184" i="67"/>
  <c r="F3184" i="67"/>
  <c r="C3183" i="67" l="1"/>
  <c r="D3184" i="67"/>
  <c r="E3184" i="67"/>
  <c r="A3186" i="67"/>
  <c r="F3185" i="67"/>
  <c r="B3185" i="67"/>
  <c r="C3184" i="67" l="1"/>
  <c r="D3185" i="67"/>
  <c r="E3185" i="67"/>
  <c r="F3186" i="67"/>
  <c r="B3186" i="67"/>
  <c r="A3187" i="67"/>
  <c r="C3185" i="67" l="1"/>
  <c r="B3187" i="67"/>
  <c r="F3187" i="67"/>
  <c r="A3188" i="67"/>
  <c r="D3186" i="67"/>
  <c r="E3186" i="67"/>
  <c r="C3186" i="67" l="1"/>
  <c r="F3188" i="67"/>
  <c r="A3189" i="67"/>
  <c r="B3188" i="67"/>
  <c r="D3187" i="67"/>
  <c r="E3187" i="67"/>
  <c r="C3187" i="67" l="1"/>
  <c r="D3188" i="67"/>
  <c r="E3188" i="67"/>
  <c r="B3189" i="67"/>
  <c r="A3190" i="67"/>
  <c r="F3189" i="67"/>
  <c r="C3188" i="67" l="1"/>
  <c r="F3190" i="67"/>
  <c r="A3191" i="67"/>
  <c r="B3190" i="67"/>
  <c r="D3189" i="67"/>
  <c r="E3189" i="67"/>
  <c r="C3189" i="67" l="1"/>
  <c r="F3191" i="67"/>
  <c r="A3192" i="67"/>
  <c r="B3191" i="67"/>
  <c r="D3190" i="67"/>
  <c r="E3190" i="67"/>
  <c r="C3190" i="67" l="1"/>
  <c r="D3191" i="67"/>
  <c r="E3191" i="67"/>
  <c r="A3193" i="67"/>
  <c r="F3192" i="67"/>
  <c r="B3192" i="67"/>
  <c r="C3191" i="67" l="1"/>
  <c r="D3192" i="67"/>
  <c r="E3192" i="67"/>
  <c r="B3193" i="67"/>
  <c r="F3193" i="67"/>
  <c r="A3194" i="67"/>
  <c r="C3192" i="67" l="1"/>
  <c r="A3195" i="67"/>
  <c r="F3194" i="67"/>
  <c r="B3194" i="67"/>
  <c r="D3193" i="67"/>
  <c r="E3193" i="67"/>
  <c r="C3193" i="67" l="1"/>
  <c r="D3194" i="67"/>
  <c r="E3194" i="67"/>
  <c r="A3196" i="67"/>
  <c r="F3195" i="67"/>
  <c r="B3195" i="67"/>
  <c r="C3194" i="67" l="1"/>
  <c r="D3195" i="67"/>
  <c r="E3195" i="67"/>
  <c r="F3196" i="67"/>
  <c r="A3197" i="67"/>
  <c r="B3196" i="67"/>
  <c r="C3195" i="67" l="1"/>
  <c r="D3196" i="67"/>
  <c r="E3196" i="67"/>
  <c r="B3197" i="67"/>
  <c r="F3197" i="67"/>
  <c r="A3198" i="67"/>
  <c r="C3196" i="67" l="1"/>
  <c r="A3199" i="67"/>
  <c r="F3198" i="67"/>
  <c r="B3198" i="67"/>
  <c r="D3197" i="67"/>
  <c r="E3197" i="67"/>
  <c r="C3197" i="67" l="1"/>
  <c r="D3198" i="67"/>
  <c r="E3198" i="67"/>
  <c r="F3199" i="67"/>
  <c r="A3200" i="67"/>
  <c r="B3199" i="67"/>
  <c r="C3198" i="67" l="1"/>
  <c r="D3199" i="67"/>
  <c r="E3199" i="67"/>
  <c r="F3200" i="67"/>
  <c r="B3200" i="67"/>
  <c r="A3201" i="67"/>
  <c r="C3199" i="67" l="1"/>
  <c r="F3201" i="67"/>
  <c r="A3202" i="67"/>
  <c r="B3201" i="67"/>
  <c r="D3200" i="67"/>
  <c r="E3200" i="67"/>
  <c r="C3200" i="67" l="1"/>
  <c r="D3201" i="67"/>
  <c r="E3201" i="67"/>
  <c r="F3202" i="67"/>
  <c r="B3202" i="67"/>
  <c r="A3203" i="67"/>
  <c r="C3201" i="67" l="1"/>
  <c r="A3204" i="67"/>
  <c r="F3203" i="67"/>
  <c r="B3203" i="67"/>
  <c r="D3202" i="67"/>
  <c r="E3202" i="67"/>
  <c r="C3202" i="67" l="1"/>
  <c r="D3203" i="67"/>
  <c r="E3203" i="67"/>
  <c r="F3204" i="67"/>
  <c r="A3205" i="67"/>
  <c r="B3204" i="67"/>
  <c r="C3203" i="67" l="1"/>
  <c r="B3205" i="67"/>
  <c r="F3205" i="67"/>
  <c r="A3206" i="67"/>
  <c r="D3204" i="67"/>
  <c r="E3204" i="67"/>
  <c r="C3204" i="67" l="1"/>
  <c r="F3206" i="67"/>
  <c r="A3207" i="67"/>
  <c r="B3206" i="67"/>
  <c r="D3205" i="67"/>
  <c r="E3205" i="67"/>
  <c r="C3205" i="67" l="1"/>
  <c r="D3206" i="67"/>
  <c r="E3206" i="67"/>
  <c r="B3207" i="67"/>
  <c r="F3207" i="67"/>
  <c r="A3208" i="67"/>
  <c r="C3206" i="67" l="1"/>
  <c r="F3208" i="67"/>
  <c r="A3209" i="67"/>
  <c r="B3208" i="67"/>
  <c r="D3207" i="67"/>
  <c r="E3207" i="67"/>
  <c r="C3207" i="67" l="1"/>
  <c r="D3208" i="67"/>
  <c r="E3208" i="67"/>
  <c r="F3209" i="67"/>
  <c r="B3209" i="67"/>
  <c r="A3210" i="67"/>
  <c r="C3208" i="67" l="1"/>
  <c r="B3210" i="67"/>
  <c r="F3210" i="67"/>
  <c r="A3211" i="67"/>
  <c r="D3209" i="67"/>
  <c r="E3209" i="67"/>
  <c r="C3209" i="67" l="1"/>
  <c r="F3211" i="67"/>
  <c r="A3212" i="67"/>
  <c r="B3211" i="67"/>
  <c r="D3210" i="67"/>
  <c r="E3210" i="67"/>
  <c r="C3210" i="67" l="1"/>
  <c r="D3211" i="67"/>
  <c r="E3211" i="67"/>
  <c r="F3212" i="67"/>
  <c r="A3213" i="67"/>
  <c r="B3212" i="67"/>
  <c r="C3211" i="67" l="1"/>
  <c r="D3212" i="67"/>
  <c r="E3212" i="67"/>
  <c r="B3213" i="67"/>
  <c r="A3214" i="67"/>
  <c r="F3213" i="67"/>
  <c r="C3212" i="67" l="1"/>
  <c r="F3214" i="67"/>
  <c r="A3215" i="67"/>
  <c r="B3214" i="67"/>
  <c r="D3213" i="67"/>
  <c r="E3213" i="67"/>
  <c r="C3213" i="67" l="1"/>
  <c r="D3214" i="67"/>
  <c r="E3214" i="67"/>
  <c r="B3215" i="67"/>
  <c r="A3216" i="67"/>
  <c r="F3215" i="67"/>
  <c r="C3214" i="67" l="1"/>
  <c r="F3216" i="67"/>
  <c r="B3216" i="67"/>
  <c r="A3217" i="67"/>
  <c r="D3215" i="67"/>
  <c r="E3215" i="67"/>
  <c r="C3215" i="67" l="1"/>
  <c r="D3216" i="67"/>
  <c r="E3216" i="67"/>
  <c r="A3218" i="67"/>
  <c r="B3217" i="67"/>
  <c r="F3217" i="67"/>
  <c r="C3216" i="67" l="1"/>
  <c r="D3217" i="67"/>
  <c r="E3217" i="67"/>
  <c r="B3218" i="67"/>
  <c r="A3219" i="67"/>
  <c r="F3218" i="67"/>
  <c r="C3217" i="67" l="1"/>
  <c r="F3219" i="67"/>
  <c r="A3220" i="67"/>
  <c r="B3219" i="67"/>
  <c r="D3218" i="67"/>
  <c r="E3218" i="67"/>
  <c r="C3218" i="67" l="1"/>
  <c r="D3219" i="67"/>
  <c r="E3219" i="67"/>
  <c r="F3220" i="67"/>
  <c r="A3221" i="67"/>
  <c r="B3220" i="67"/>
  <c r="C3219" i="67" l="1"/>
  <c r="D3220" i="67"/>
  <c r="E3220" i="67"/>
  <c r="B3221" i="67"/>
  <c r="A3222" i="67"/>
  <c r="F3221" i="67"/>
  <c r="C3220" i="67" l="1"/>
  <c r="F3222" i="67"/>
  <c r="A3223" i="67"/>
  <c r="B3222" i="67"/>
  <c r="D3221" i="67"/>
  <c r="E3221" i="67"/>
  <c r="C3221" i="67" l="1"/>
  <c r="D3222" i="67"/>
  <c r="E3222" i="67"/>
  <c r="B3223" i="67"/>
  <c r="F3223" i="67"/>
  <c r="A3224" i="67"/>
  <c r="C3222" i="67" l="1"/>
  <c r="D3223" i="67"/>
  <c r="E3223" i="67"/>
  <c r="F3224" i="67"/>
  <c r="A3225" i="67"/>
  <c r="B3224" i="67"/>
  <c r="C3223" i="67" l="1"/>
  <c r="F3225" i="67"/>
  <c r="B3225" i="67"/>
  <c r="A3226" i="67"/>
  <c r="D3224" i="67"/>
  <c r="E3224" i="67"/>
  <c r="C3224" i="67" l="1"/>
  <c r="B3226" i="67"/>
  <c r="A3227" i="67"/>
  <c r="F3226" i="67"/>
  <c r="D3225" i="67"/>
  <c r="E3225" i="67"/>
  <c r="C3225" i="67" l="1"/>
  <c r="F3227" i="67"/>
  <c r="B3227" i="67"/>
  <c r="A3228" i="67"/>
  <c r="D3226" i="67"/>
  <c r="E3226" i="67"/>
  <c r="C3226" i="67" l="1"/>
  <c r="F3228" i="67"/>
  <c r="A3229" i="67"/>
  <c r="B3228" i="67"/>
  <c r="D3227" i="67"/>
  <c r="E3227" i="67"/>
  <c r="C3227" i="67" l="1"/>
  <c r="D3228" i="67"/>
  <c r="E3228" i="67"/>
  <c r="F3229" i="67"/>
  <c r="A3230" i="67"/>
  <c r="B3229" i="67"/>
  <c r="C3228" i="67" l="1"/>
  <c r="B3230" i="67"/>
  <c r="F3230" i="67"/>
  <c r="A3231" i="67"/>
  <c r="D3229" i="67"/>
  <c r="E3229" i="67"/>
  <c r="C3229" i="67" l="1"/>
  <c r="F3231" i="67"/>
  <c r="A3232" i="67"/>
  <c r="B3231" i="67"/>
  <c r="D3230" i="67"/>
  <c r="E3230" i="67"/>
  <c r="C3230" i="67" l="1"/>
  <c r="D3231" i="67"/>
  <c r="E3231" i="67"/>
  <c r="A3233" i="67"/>
  <c r="F3232" i="67"/>
  <c r="B3232" i="67"/>
  <c r="C3231" i="67" l="1"/>
  <c r="D3232" i="67"/>
  <c r="E3232" i="67"/>
  <c r="B3233" i="67"/>
  <c r="F3233" i="67"/>
  <c r="A3234" i="67"/>
  <c r="C3232" i="67" l="1"/>
  <c r="F3234" i="67"/>
  <c r="A3235" i="67"/>
  <c r="B3234" i="67"/>
  <c r="D3233" i="67"/>
  <c r="E3233" i="67"/>
  <c r="C3233" i="67" l="1"/>
  <c r="D3234" i="67"/>
  <c r="E3234" i="67"/>
  <c r="B3235" i="67"/>
  <c r="A3236" i="67"/>
  <c r="F3235" i="67"/>
  <c r="C3234" i="67" l="1"/>
  <c r="B3236" i="67"/>
  <c r="F3236" i="67"/>
  <c r="A3237" i="67"/>
  <c r="D3235" i="67"/>
  <c r="E3235" i="67"/>
  <c r="C3235" i="67" l="1"/>
  <c r="F3237" i="67"/>
  <c r="A3238" i="67"/>
  <c r="B3237" i="67"/>
  <c r="D3236" i="67"/>
  <c r="E3236" i="67"/>
  <c r="C3236" i="67" l="1"/>
  <c r="D3237" i="67"/>
  <c r="E3237" i="67"/>
  <c r="F3238" i="67"/>
  <c r="A3239" i="67"/>
  <c r="B3238" i="67"/>
  <c r="C3237" i="67" l="1"/>
  <c r="D3238" i="67"/>
  <c r="E3238" i="67"/>
  <c r="B3239" i="67"/>
  <c r="F3239" i="67"/>
  <c r="A3240" i="67"/>
  <c r="C3238" i="67" l="1"/>
  <c r="D3239" i="67"/>
  <c r="E3239" i="67"/>
  <c r="B3240" i="67"/>
  <c r="F3240" i="67"/>
  <c r="A3241" i="67"/>
  <c r="C3239" i="67" l="1"/>
  <c r="F3241" i="67"/>
  <c r="B3241" i="67"/>
  <c r="A3242" i="67"/>
  <c r="D3240" i="67"/>
  <c r="E3240" i="67"/>
  <c r="C3240" i="67" l="1"/>
  <c r="B3242" i="67"/>
  <c r="F3242" i="67"/>
  <c r="A3243" i="67"/>
  <c r="D3241" i="67"/>
  <c r="E3241" i="67"/>
  <c r="C3241" i="67" l="1"/>
  <c r="F3243" i="67"/>
  <c r="A3244" i="67"/>
  <c r="B3243" i="67"/>
  <c r="D3242" i="67"/>
  <c r="E3242" i="67"/>
  <c r="C3242" i="67" l="1"/>
  <c r="F3244" i="67"/>
  <c r="A3245" i="67"/>
  <c r="B3244" i="67"/>
  <c r="D3243" i="67"/>
  <c r="E3243" i="67"/>
  <c r="C3243" i="67" l="1"/>
  <c r="D3244" i="67"/>
  <c r="E3244" i="67"/>
  <c r="F3245" i="67"/>
  <c r="A3246" i="67"/>
  <c r="B3245" i="67"/>
  <c r="C3244" i="67" l="1"/>
  <c r="D3245" i="67"/>
  <c r="E3245" i="67"/>
  <c r="F3246" i="67"/>
  <c r="A3247" i="67"/>
  <c r="B3246" i="67"/>
  <c r="C3245" i="67" l="1"/>
  <c r="D3246" i="67"/>
  <c r="E3246" i="67"/>
  <c r="F3247" i="67"/>
  <c r="B3247" i="67"/>
  <c r="A3248" i="67"/>
  <c r="C3246" i="67" l="1"/>
  <c r="B3248" i="67"/>
  <c r="F3248" i="67"/>
  <c r="A3249" i="67"/>
  <c r="D3247" i="67"/>
  <c r="E3247" i="67"/>
  <c r="C3247" i="67" l="1"/>
  <c r="F3249" i="67"/>
  <c r="B3249" i="67"/>
  <c r="A3250" i="67"/>
  <c r="D3248" i="67"/>
  <c r="E3248" i="67"/>
  <c r="C3248" i="67" l="1"/>
  <c r="A3251" i="67"/>
  <c r="F3250" i="67"/>
  <c r="B3250" i="67"/>
  <c r="D3249" i="67"/>
  <c r="E3249" i="67"/>
  <c r="C3249" i="67" l="1"/>
  <c r="D3250" i="67"/>
  <c r="E3250" i="67"/>
  <c r="F3251" i="67"/>
  <c r="A3252" i="67"/>
  <c r="B3251" i="67"/>
  <c r="C3250" i="67" l="1"/>
  <c r="D3251" i="67"/>
  <c r="E3251" i="67"/>
  <c r="F3252" i="67"/>
  <c r="B3252" i="67"/>
  <c r="A3253" i="67"/>
  <c r="C3251" i="67" l="1"/>
  <c r="B3253" i="67"/>
  <c r="F3253" i="67"/>
  <c r="A3254" i="67"/>
  <c r="D3252" i="67"/>
  <c r="E3252" i="67"/>
  <c r="C3252" i="67" l="1"/>
  <c r="F3254" i="67"/>
  <c r="A3255" i="67"/>
  <c r="B3254" i="67"/>
  <c r="D3253" i="67"/>
  <c r="E3253" i="67"/>
  <c r="C3253" i="67" l="1"/>
  <c r="D3254" i="67"/>
  <c r="E3254" i="67"/>
  <c r="B3255" i="67"/>
  <c r="F3255" i="67"/>
  <c r="A3256" i="67"/>
  <c r="C3254" i="67" l="1"/>
  <c r="F3256" i="67"/>
  <c r="A3257" i="67"/>
  <c r="B3256" i="67"/>
  <c r="D3255" i="67"/>
  <c r="E3255" i="67"/>
  <c r="C3255" i="67" l="1"/>
  <c r="D3256" i="67"/>
  <c r="E3256" i="67"/>
  <c r="F3257" i="67"/>
  <c r="B3257" i="67"/>
  <c r="A3258" i="67"/>
  <c r="C3256" i="67" l="1"/>
  <c r="B3258" i="67"/>
  <c r="F3258" i="67"/>
  <c r="A3259" i="67"/>
  <c r="D3257" i="67"/>
  <c r="E3257" i="67"/>
  <c r="C3257" i="67" l="1"/>
  <c r="A3260" i="67"/>
  <c r="F3259" i="67"/>
  <c r="B3259" i="67"/>
  <c r="D3258" i="67"/>
  <c r="E3258" i="67"/>
  <c r="C3258" i="67" l="1"/>
  <c r="D3259" i="67"/>
  <c r="E3259" i="67"/>
  <c r="B3260" i="67"/>
  <c r="A3261" i="67"/>
  <c r="F3260" i="67"/>
  <c r="C3259" i="67" l="1"/>
  <c r="F3261" i="67"/>
  <c r="B3261" i="67"/>
  <c r="A3262" i="67"/>
  <c r="D3260" i="67"/>
  <c r="E3260" i="67"/>
  <c r="C3260" i="67" l="1"/>
  <c r="F3262" i="67"/>
  <c r="A3263" i="67"/>
  <c r="B3262" i="67"/>
  <c r="D3261" i="67"/>
  <c r="E3261" i="67"/>
  <c r="C3261" i="67" l="1"/>
  <c r="D3262" i="67"/>
  <c r="E3262" i="67"/>
  <c r="F3263" i="67"/>
  <c r="A3264" i="67"/>
  <c r="B3263" i="67"/>
  <c r="C3262" i="67" l="1"/>
  <c r="D3263" i="67"/>
  <c r="E3263" i="67"/>
  <c r="A3265" i="67"/>
  <c r="F3264" i="67"/>
  <c r="B3264" i="67"/>
  <c r="C3263" i="67" l="1"/>
  <c r="D3264" i="67"/>
  <c r="E3264" i="67"/>
  <c r="B3265" i="67"/>
  <c r="A3266" i="67"/>
  <c r="F3265" i="67"/>
  <c r="C3264" i="67" l="1"/>
  <c r="D3265" i="67"/>
  <c r="E3265" i="67"/>
  <c r="F3266" i="67"/>
  <c r="B3266" i="67"/>
  <c r="A3267" i="67"/>
  <c r="C3265" i="67" l="1"/>
  <c r="F3267" i="67"/>
  <c r="A3268" i="67"/>
  <c r="B3267" i="67"/>
  <c r="D3266" i="67"/>
  <c r="E3266" i="67"/>
  <c r="C3266" i="67" l="1"/>
  <c r="D3267" i="67"/>
  <c r="E3267" i="67"/>
  <c r="F3268" i="67"/>
  <c r="A3269" i="67"/>
  <c r="B3268" i="67"/>
  <c r="C3267" i="67" l="1"/>
  <c r="D3268" i="67"/>
  <c r="E3268" i="67"/>
  <c r="B3269" i="67"/>
  <c r="F3269" i="67"/>
  <c r="A3270" i="67"/>
  <c r="C3268" i="67" l="1"/>
  <c r="F3270" i="67"/>
  <c r="A3271" i="67"/>
  <c r="B3270" i="67"/>
  <c r="D3269" i="67"/>
  <c r="E3269" i="67"/>
  <c r="C3269" i="67" l="1"/>
  <c r="F3271" i="67"/>
  <c r="A3272" i="67"/>
  <c r="B3271" i="67"/>
  <c r="D3270" i="67"/>
  <c r="E3270" i="67"/>
  <c r="C3270" i="67" l="1"/>
  <c r="D3271" i="67"/>
  <c r="E3271" i="67"/>
  <c r="B3272" i="67"/>
  <c r="F3272" i="67"/>
  <c r="A3273" i="67"/>
  <c r="C3271" i="67" l="1"/>
  <c r="B3273" i="67"/>
  <c r="F3273" i="67"/>
  <c r="A3274" i="67"/>
  <c r="D3272" i="67"/>
  <c r="E3272" i="67"/>
  <c r="C3272" i="67" l="1"/>
  <c r="F3274" i="67"/>
  <c r="A3275" i="67"/>
  <c r="B3274" i="67"/>
  <c r="D3273" i="67"/>
  <c r="E3273" i="67"/>
  <c r="C3273" i="67" l="1"/>
  <c r="B3275" i="67"/>
  <c r="F3275" i="67"/>
  <c r="A3276" i="67"/>
  <c r="D3274" i="67"/>
  <c r="E3274" i="67"/>
  <c r="C3274" i="67" l="1"/>
  <c r="A3277" i="67"/>
  <c r="F3276" i="67"/>
  <c r="B3276" i="67"/>
  <c r="D3275" i="67"/>
  <c r="E3275" i="67"/>
  <c r="C3275" i="67" l="1"/>
  <c r="D3276" i="67"/>
  <c r="E3276" i="67"/>
  <c r="A3278" i="67"/>
  <c r="B3277" i="67"/>
  <c r="F3277" i="67"/>
  <c r="C3276" i="67" l="1"/>
  <c r="F3278" i="67"/>
  <c r="B3278" i="67"/>
  <c r="A3279" i="67"/>
  <c r="D3277" i="67"/>
  <c r="E3277" i="67"/>
  <c r="C3277" i="67" l="1"/>
  <c r="B3279" i="67"/>
  <c r="F3279" i="67"/>
  <c r="A3280" i="67"/>
  <c r="D3278" i="67"/>
  <c r="E3278" i="67"/>
  <c r="C3278" i="67" l="1"/>
  <c r="F3280" i="67"/>
  <c r="A3281" i="67"/>
  <c r="B3280" i="67"/>
  <c r="D3279" i="67"/>
  <c r="E3279" i="67"/>
  <c r="C3279" i="67" l="1"/>
  <c r="D3280" i="67"/>
  <c r="E3280" i="67"/>
  <c r="F3281" i="67"/>
  <c r="A3282" i="67"/>
  <c r="B3281" i="67"/>
  <c r="C3280" i="67" l="1"/>
  <c r="D3281" i="67"/>
  <c r="E3281" i="67"/>
  <c r="F3282" i="67"/>
  <c r="B3282" i="67"/>
  <c r="A3283" i="67"/>
  <c r="C3281" i="67" l="1"/>
  <c r="F3283" i="67"/>
  <c r="A3284" i="67"/>
  <c r="B3283" i="67"/>
  <c r="D3282" i="67"/>
  <c r="E3282" i="67"/>
  <c r="C3282" i="67" l="1"/>
  <c r="D3283" i="67"/>
  <c r="E3283" i="67"/>
  <c r="B3284" i="67"/>
  <c r="F3284" i="67"/>
  <c r="A3285" i="67"/>
  <c r="C3283" i="67" l="1"/>
  <c r="B3285" i="67"/>
  <c r="A3286" i="67"/>
  <c r="F3285" i="67"/>
  <c r="D3284" i="67"/>
  <c r="E3284" i="67"/>
  <c r="C3284" i="67" l="1"/>
  <c r="A3287" i="67"/>
  <c r="F3286" i="67"/>
  <c r="B3286" i="67"/>
  <c r="D3285" i="67"/>
  <c r="E3285" i="67"/>
  <c r="C3285" i="67" l="1"/>
  <c r="D3286" i="67"/>
  <c r="E3286" i="67"/>
  <c r="F3287" i="67"/>
  <c r="B3287" i="67"/>
  <c r="A3288" i="67"/>
  <c r="C3286" i="67" l="1"/>
  <c r="F3288" i="67"/>
  <c r="B3288" i="67"/>
  <c r="A3289" i="67"/>
  <c r="D3287" i="67"/>
  <c r="E3287" i="67"/>
  <c r="C3287" i="67" l="1"/>
  <c r="F3289" i="67"/>
  <c r="A3290" i="67"/>
  <c r="B3289" i="67"/>
  <c r="D3288" i="67"/>
  <c r="E3288" i="67"/>
  <c r="C3288" i="67" l="1"/>
  <c r="A3291" i="67"/>
  <c r="F3290" i="67"/>
  <c r="B3290" i="67"/>
  <c r="D3289" i="67"/>
  <c r="E3289" i="67"/>
  <c r="C3289" i="67" l="1"/>
  <c r="D3290" i="67"/>
  <c r="E3290" i="67"/>
  <c r="B3291" i="67"/>
  <c r="F3291" i="67"/>
  <c r="A3292" i="67"/>
  <c r="C3290" i="67" l="1"/>
  <c r="D3291" i="67"/>
  <c r="E3291" i="67"/>
  <c r="F3292" i="67"/>
  <c r="A3293" i="67"/>
  <c r="B3292" i="67"/>
  <c r="C3291" i="67" l="1"/>
  <c r="D3292" i="67"/>
  <c r="E3292" i="67"/>
  <c r="B3293" i="67"/>
  <c r="F3293" i="67"/>
  <c r="A3294" i="67"/>
  <c r="C3292" i="67" l="1"/>
  <c r="D3293" i="67"/>
  <c r="E3293" i="67"/>
  <c r="F3294" i="67"/>
  <c r="B3294" i="67"/>
  <c r="A3295" i="67"/>
  <c r="C3293" i="67" l="1"/>
  <c r="B3295" i="67"/>
  <c r="F3295" i="67"/>
  <c r="A3296" i="67"/>
  <c r="D3294" i="67"/>
  <c r="E3294" i="67"/>
  <c r="C3294" i="67" l="1"/>
  <c r="A3297" i="67"/>
  <c r="F3296" i="67"/>
  <c r="B3296" i="67"/>
  <c r="D3295" i="67"/>
  <c r="E3295" i="67"/>
  <c r="C3295" i="67" l="1"/>
  <c r="D3296" i="67"/>
  <c r="E3296" i="67"/>
  <c r="F3297" i="67"/>
  <c r="A3298" i="67"/>
  <c r="B3297" i="67"/>
  <c r="C3296" i="67" l="1"/>
  <c r="D3297" i="67"/>
  <c r="E3297" i="67"/>
  <c r="F3298" i="67"/>
  <c r="A3299" i="67"/>
  <c r="B3298" i="67"/>
  <c r="C3297" i="67" l="1"/>
  <c r="D3298" i="67"/>
  <c r="E3298" i="67"/>
  <c r="F3299" i="67"/>
  <c r="A3300" i="67"/>
  <c r="B3299" i="67"/>
  <c r="C3298" i="67" l="1"/>
  <c r="B3300" i="67"/>
  <c r="F3300" i="67"/>
  <c r="A3301" i="67"/>
  <c r="D3299" i="67"/>
  <c r="E3299" i="67"/>
  <c r="C3299" i="67" l="1"/>
  <c r="F3301" i="67"/>
  <c r="A3302" i="67"/>
  <c r="B3301" i="67"/>
  <c r="D3300" i="67"/>
  <c r="E3300" i="67"/>
  <c r="C3300" i="67" l="1"/>
  <c r="D3301" i="67"/>
  <c r="E3301" i="67"/>
  <c r="B3302" i="67"/>
  <c r="F3302" i="67"/>
  <c r="A3303" i="67"/>
  <c r="C3301" i="67" l="1"/>
  <c r="D3302" i="67"/>
  <c r="E3302" i="67"/>
  <c r="A3304" i="67"/>
  <c r="F3303" i="67"/>
  <c r="B3303" i="67"/>
  <c r="C3302" i="67" l="1"/>
  <c r="D3303" i="67"/>
  <c r="E3303" i="67"/>
  <c r="B3304" i="67"/>
  <c r="A3305" i="67"/>
  <c r="F3304" i="67"/>
  <c r="C3303" i="67" l="1"/>
  <c r="F3305" i="67"/>
  <c r="B3305" i="67"/>
  <c r="A3306" i="67"/>
  <c r="D3304" i="67"/>
  <c r="E3304" i="67"/>
  <c r="C3304" i="67" l="1"/>
  <c r="F3306" i="67"/>
  <c r="B3306" i="67"/>
  <c r="A3307" i="67"/>
  <c r="D3305" i="67"/>
  <c r="E3305" i="67"/>
  <c r="C3305" i="67" l="1"/>
  <c r="F3307" i="67"/>
  <c r="A3308" i="67"/>
  <c r="B3307" i="67"/>
  <c r="D3306" i="67"/>
  <c r="E3306" i="67"/>
  <c r="C3306" i="67" l="1"/>
  <c r="A3309" i="67"/>
  <c r="B3308" i="67"/>
  <c r="F3308" i="67"/>
  <c r="D3307" i="67"/>
  <c r="E3307" i="67"/>
  <c r="C3307" i="67" l="1"/>
  <c r="D3308" i="67"/>
  <c r="E3308" i="67"/>
  <c r="A3310" i="67"/>
  <c r="F3309" i="67"/>
  <c r="B3309" i="67"/>
  <c r="C3308" i="67" l="1"/>
  <c r="D3309" i="67"/>
  <c r="E3309" i="67"/>
  <c r="F3310" i="67"/>
  <c r="A3311" i="67"/>
  <c r="B3310" i="67"/>
  <c r="C3309" i="67" l="1"/>
  <c r="D3310" i="67"/>
  <c r="E3310" i="67"/>
  <c r="F3311" i="67"/>
  <c r="A3312" i="67"/>
  <c r="B3311" i="67"/>
  <c r="C3310" i="67" l="1"/>
  <c r="D3311" i="67"/>
  <c r="E3311" i="67"/>
  <c r="B3312" i="67"/>
  <c r="F3312" i="67"/>
  <c r="A3313" i="67"/>
  <c r="C3311" i="67" l="1"/>
  <c r="B3313" i="67"/>
  <c r="F3313" i="67"/>
  <c r="A3314" i="67"/>
  <c r="D3312" i="67"/>
  <c r="E3312" i="67"/>
  <c r="C3312" i="67" l="1"/>
  <c r="A3315" i="67"/>
  <c r="F3314" i="67"/>
  <c r="B3314" i="67"/>
  <c r="D3313" i="67"/>
  <c r="E3313" i="67"/>
  <c r="C3313" i="67" l="1"/>
  <c r="D3314" i="67"/>
  <c r="E3314" i="67"/>
  <c r="A3316" i="67"/>
  <c r="B3315" i="67"/>
  <c r="F3315" i="67"/>
  <c r="C3314" i="67" l="1"/>
  <c r="D3315" i="67"/>
  <c r="E3315" i="67"/>
  <c r="A3317" i="67"/>
  <c r="B3316" i="67"/>
  <c r="F3316" i="67"/>
  <c r="C3315" i="67" l="1"/>
  <c r="D3316" i="67"/>
  <c r="E3316" i="67"/>
  <c r="F3317" i="67"/>
  <c r="A3318" i="67"/>
  <c r="B3317" i="67"/>
  <c r="C3316" i="67" l="1"/>
  <c r="D3317" i="67"/>
  <c r="E3317" i="67"/>
  <c r="F3318" i="67"/>
  <c r="B3318" i="67"/>
  <c r="A3319" i="67"/>
  <c r="C3317" i="67" l="1"/>
  <c r="A3320" i="67"/>
  <c r="F3319" i="67"/>
  <c r="B3319" i="67"/>
  <c r="D3318" i="67"/>
  <c r="E3318" i="67"/>
  <c r="C3318" i="67" l="1"/>
  <c r="D3319" i="67"/>
  <c r="E3319" i="67"/>
  <c r="F3320" i="67"/>
  <c r="A3321" i="67"/>
  <c r="B3320" i="67"/>
  <c r="C3319" i="67" l="1"/>
  <c r="D3320" i="67"/>
  <c r="E3320" i="67"/>
  <c r="B3321" i="67"/>
  <c r="A3322" i="67"/>
  <c r="F3321" i="67"/>
  <c r="C3320" i="67" l="1"/>
  <c r="D3321" i="67"/>
  <c r="E3321" i="67"/>
  <c r="F3322" i="67"/>
  <c r="A3323" i="67"/>
  <c r="B3322" i="67"/>
  <c r="C3321" i="67" l="1"/>
  <c r="F3323" i="67"/>
  <c r="A3324" i="67"/>
  <c r="B3323" i="67"/>
  <c r="D3322" i="67"/>
  <c r="E3322" i="67"/>
  <c r="C3322" i="67" l="1"/>
  <c r="D3323" i="67"/>
  <c r="E3323" i="67"/>
  <c r="F3324" i="67"/>
  <c r="A3325" i="67"/>
  <c r="B3324" i="67"/>
  <c r="C3323" i="67" l="1"/>
  <c r="B3325" i="67"/>
  <c r="F3325" i="67"/>
  <c r="A3326" i="67"/>
  <c r="D3324" i="67"/>
  <c r="E3324" i="67"/>
  <c r="C3324" i="67" l="1"/>
  <c r="B3326" i="67"/>
  <c r="F3326" i="67"/>
  <c r="A3327" i="67"/>
  <c r="D3325" i="67"/>
  <c r="E3325" i="67"/>
  <c r="C3325" i="67" l="1"/>
  <c r="B3327" i="67"/>
  <c r="A3328" i="67"/>
  <c r="F3327" i="67"/>
  <c r="D3326" i="67"/>
  <c r="E3326" i="67"/>
  <c r="C3326" i="67" l="1"/>
  <c r="F3328" i="67"/>
  <c r="A3329" i="67"/>
  <c r="B3328" i="67"/>
  <c r="D3327" i="67"/>
  <c r="E3327" i="67"/>
  <c r="C3327" i="67" l="1"/>
  <c r="F3329" i="67"/>
  <c r="A3330" i="67"/>
  <c r="B3329" i="67"/>
  <c r="D3328" i="67"/>
  <c r="E3328" i="67"/>
  <c r="C3328" i="67" l="1"/>
  <c r="D3329" i="67"/>
  <c r="E3329" i="67"/>
  <c r="F3330" i="67"/>
  <c r="A3331" i="67"/>
  <c r="B3330" i="67"/>
  <c r="C3329" i="67" l="1"/>
  <c r="F3331" i="67"/>
  <c r="A3332" i="67"/>
  <c r="B3331" i="67"/>
  <c r="D3330" i="67"/>
  <c r="E3330" i="67"/>
  <c r="C3330" i="67" l="1"/>
  <c r="D3331" i="67"/>
  <c r="E3331" i="67"/>
  <c r="B3332" i="67"/>
  <c r="F3332" i="67"/>
  <c r="A3333" i="67"/>
  <c r="C3331" i="67" l="1"/>
  <c r="F3333" i="67"/>
  <c r="A3334" i="67"/>
  <c r="B3333" i="67"/>
  <c r="D3332" i="67"/>
  <c r="E3332" i="67"/>
  <c r="C3332" i="67" l="1"/>
  <c r="D3333" i="67"/>
  <c r="E3333" i="67"/>
  <c r="A3335" i="67"/>
  <c r="F3334" i="67"/>
  <c r="B3334" i="67"/>
  <c r="C3333" i="67" l="1"/>
  <c r="D3334" i="67"/>
  <c r="E3334" i="67"/>
  <c r="A3336" i="67"/>
  <c r="F3335" i="67"/>
  <c r="B3335" i="67"/>
  <c r="C3334" i="67" l="1"/>
  <c r="D3335" i="67"/>
  <c r="E3335" i="67"/>
  <c r="A3337" i="67"/>
  <c r="F3336" i="67"/>
  <c r="B3336" i="67"/>
  <c r="C3335" i="67" l="1"/>
  <c r="D3336" i="67"/>
  <c r="E3336" i="67"/>
  <c r="F3337" i="67"/>
  <c r="B3337" i="67"/>
  <c r="A3338" i="67"/>
  <c r="C3336" i="67" l="1"/>
  <c r="A3339" i="67"/>
  <c r="B3338" i="67"/>
  <c r="F3338" i="67"/>
  <c r="D3337" i="67"/>
  <c r="E3337" i="67"/>
  <c r="C3337" i="67" l="1"/>
  <c r="D3338" i="67"/>
  <c r="E3338" i="67"/>
  <c r="A3340" i="67"/>
  <c r="F3339" i="67"/>
  <c r="B3339" i="67"/>
  <c r="C3338" i="67" l="1"/>
  <c r="A3341" i="67"/>
  <c r="B3340" i="67"/>
  <c r="F3340" i="67"/>
  <c r="D3339" i="67"/>
  <c r="E3339" i="67"/>
  <c r="C3339" i="67" l="1"/>
  <c r="D3340" i="67"/>
  <c r="E3340" i="67"/>
  <c r="F3341" i="67"/>
  <c r="A3342" i="67"/>
  <c r="B3341" i="67"/>
  <c r="C3340" i="67" l="1"/>
  <c r="F3342" i="67"/>
  <c r="A3343" i="67"/>
  <c r="B3342" i="67"/>
  <c r="D3341" i="67"/>
  <c r="E3341" i="67"/>
  <c r="C3341" i="67" l="1"/>
  <c r="D3342" i="67"/>
  <c r="E3342" i="67"/>
  <c r="F3343" i="67"/>
  <c r="B3343" i="67"/>
  <c r="A3344" i="67"/>
  <c r="C3342" i="67" l="1"/>
  <c r="B3344" i="67"/>
  <c r="F3344" i="67"/>
  <c r="A3345" i="67"/>
  <c r="D3343" i="67"/>
  <c r="E3343" i="67"/>
  <c r="C3343" i="67" l="1"/>
  <c r="F3345" i="67"/>
  <c r="A3346" i="67"/>
  <c r="B3345" i="67"/>
  <c r="D3344" i="67"/>
  <c r="E3344" i="67"/>
  <c r="C3344" i="67" l="1"/>
  <c r="D3345" i="67"/>
  <c r="E3345" i="67"/>
  <c r="F3346" i="67"/>
  <c r="A3347" i="67"/>
  <c r="B3346" i="67"/>
  <c r="C3345" i="67" l="1"/>
  <c r="A3348" i="67"/>
  <c r="F3347" i="67"/>
  <c r="B3347" i="67"/>
  <c r="D3346" i="67"/>
  <c r="E3346" i="67"/>
  <c r="C3346" i="67" l="1"/>
  <c r="D3347" i="67"/>
  <c r="E3347" i="67"/>
  <c r="F3348" i="67"/>
  <c r="B3348" i="67"/>
  <c r="A3349" i="67"/>
  <c r="C3347" i="67" l="1"/>
  <c r="B3349" i="67"/>
  <c r="F3349" i="67"/>
  <c r="A3350" i="67"/>
  <c r="D3348" i="67"/>
  <c r="E3348" i="67"/>
  <c r="C3348" i="67" l="1"/>
  <c r="F3350" i="67"/>
  <c r="B3350" i="67"/>
  <c r="A3351" i="67"/>
  <c r="D3349" i="67"/>
  <c r="E3349" i="67"/>
  <c r="C3349" i="67" l="1"/>
  <c r="A3352" i="67"/>
  <c r="F3351" i="67"/>
  <c r="B3351" i="67"/>
  <c r="D3350" i="67"/>
  <c r="E3350" i="67"/>
  <c r="C3350" i="67" l="1"/>
  <c r="D3351" i="67"/>
  <c r="E3351" i="67"/>
  <c r="B3352" i="67"/>
  <c r="F3352" i="67"/>
  <c r="A3353" i="67"/>
  <c r="C3351" i="67" l="1"/>
  <c r="A3354" i="67"/>
  <c r="F3353" i="67"/>
  <c r="B3353" i="67"/>
  <c r="D3352" i="67"/>
  <c r="E3352" i="67"/>
  <c r="C3352" i="67" l="1"/>
  <c r="D3353" i="67"/>
  <c r="E3353" i="67"/>
  <c r="B3354" i="67"/>
  <c r="F3354" i="67"/>
  <c r="A3355" i="67"/>
  <c r="C3353" i="67" l="1"/>
  <c r="D3354" i="67"/>
  <c r="E3354" i="67"/>
  <c r="F3355" i="67"/>
  <c r="B3355" i="67"/>
  <c r="A3356" i="67"/>
  <c r="C3354" i="67" l="1"/>
  <c r="D3355" i="67"/>
  <c r="E3355" i="67"/>
  <c r="B3356" i="67"/>
  <c r="A3357" i="67"/>
  <c r="F3356" i="67"/>
  <c r="C3355" i="67" l="1"/>
  <c r="F3357" i="67"/>
  <c r="B3357" i="67"/>
  <c r="A3358" i="67"/>
  <c r="D3356" i="67"/>
  <c r="E3356" i="67"/>
  <c r="C3356" i="67" l="1"/>
  <c r="F3358" i="67"/>
  <c r="A3359" i="67"/>
  <c r="B3358" i="67"/>
  <c r="D3357" i="67"/>
  <c r="E3357" i="67"/>
  <c r="C3357" i="67" l="1"/>
  <c r="D3358" i="67"/>
  <c r="E3358" i="67"/>
  <c r="F3359" i="67"/>
  <c r="B3359" i="67"/>
  <c r="A3360" i="67"/>
  <c r="C3358" i="67" l="1"/>
  <c r="D3359" i="67"/>
  <c r="E3359" i="67"/>
  <c r="F3360" i="67"/>
  <c r="B3360" i="67"/>
  <c r="A3361" i="67"/>
  <c r="C3359" i="67" l="1"/>
  <c r="F3361" i="67"/>
  <c r="B3361" i="67"/>
  <c r="A3362" i="67"/>
  <c r="D3360" i="67"/>
  <c r="E3360" i="67"/>
  <c r="C3360" i="67" l="1"/>
  <c r="B3362" i="67"/>
  <c r="F3362" i="67"/>
  <c r="A3363" i="67"/>
  <c r="D3361" i="67"/>
  <c r="E3361" i="67"/>
  <c r="C3361" i="67" l="1"/>
  <c r="F3363" i="67"/>
  <c r="B3363" i="67"/>
  <c r="A3364" i="67"/>
  <c r="D3362" i="67"/>
  <c r="E3362" i="67"/>
  <c r="C3362" i="67" l="1"/>
  <c r="D3363" i="67"/>
  <c r="E3363" i="67"/>
  <c r="B3364" i="67"/>
  <c r="F3364" i="67"/>
  <c r="A3365" i="67"/>
  <c r="C3363" i="67" l="1"/>
  <c r="A3366" i="67"/>
  <c r="F3365" i="67"/>
  <c r="B3365" i="67"/>
  <c r="D3364" i="67"/>
  <c r="E3364" i="67"/>
  <c r="C3364" i="67" l="1"/>
  <c r="D3365" i="67"/>
  <c r="E3365" i="67"/>
  <c r="A3367" i="67"/>
  <c r="F3366" i="67"/>
  <c r="B3366" i="67"/>
  <c r="C3365" i="67" l="1"/>
  <c r="F3367" i="67"/>
  <c r="A3368" i="67"/>
  <c r="B3367" i="67"/>
  <c r="D3366" i="67"/>
  <c r="E3366" i="67"/>
  <c r="C3366" i="67" l="1"/>
  <c r="D3367" i="67"/>
  <c r="E3367" i="67"/>
  <c r="F3368" i="67"/>
  <c r="A3369" i="67"/>
  <c r="B3368" i="67"/>
  <c r="C3367" i="67" l="1"/>
  <c r="A3370" i="67"/>
  <c r="B3369" i="67"/>
  <c r="F3369" i="67"/>
  <c r="D3368" i="67"/>
  <c r="E3368" i="67"/>
  <c r="C3368" i="67" l="1"/>
  <c r="D3369" i="67"/>
  <c r="E3369" i="67"/>
  <c r="F3370" i="67"/>
  <c r="B3370" i="67"/>
  <c r="A3371" i="67"/>
  <c r="C3369" i="67" l="1"/>
  <c r="F3371" i="67"/>
  <c r="A3372" i="67"/>
  <c r="B3371" i="67"/>
  <c r="D3370" i="67"/>
  <c r="E3370" i="67"/>
  <c r="C3370" i="67" l="1"/>
  <c r="D3371" i="67"/>
  <c r="E3371" i="67"/>
  <c r="F3372" i="67"/>
  <c r="A3373" i="67"/>
  <c r="B3372" i="67"/>
  <c r="C3371" i="67" l="1"/>
  <c r="B3373" i="67"/>
  <c r="F3373" i="67"/>
  <c r="A3374" i="67"/>
  <c r="D3372" i="67"/>
  <c r="E3372" i="67"/>
  <c r="C3372" i="67" l="1"/>
  <c r="F3374" i="67"/>
  <c r="A3375" i="67"/>
  <c r="B3374" i="67"/>
  <c r="D3373" i="67"/>
  <c r="E3373" i="67"/>
  <c r="C3373" i="67" l="1"/>
  <c r="D3374" i="67"/>
  <c r="E3374" i="67"/>
  <c r="F3375" i="67"/>
  <c r="B3375" i="67"/>
  <c r="A3376" i="67"/>
  <c r="C3374" i="67" l="1"/>
  <c r="F3376" i="67"/>
  <c r="A3377" i="67"/>
  <c r="B3376" i="67"/>
  <c r="D3375" i="67"/>
  <c r="E3375" i="67"/>
  <c r="C3375" i="67" l="1"/>
  <c r="B3377" i="67"/>
  <c r="F3377" i="67"/>
  <c r="A3378" i="67"/>
  <c r="D3376" i="67"/>
  <c r="E3376" i="67"/>
  <c r="C3376" i="67" l="1"/>
  <c r="B3378" i="67"/>
  <c r="A3379" i="67"/>
  <c r="F3378" i="67"/>
  <c r="D3377" i="67"/>
  <c r="E3377" i="67"/>
  <c r="C3377" i="67" l="1"/>
  <c r="B3379" i="67"/>
  <c r="A3380" i="67"/>
  <c r="F3379" i="67"/>
  <c r="D3378" i="67"/>
  <c r="E3378" i="67"/>
  <c r="C3378" i="67" l="1"/>
  <c r="A3381" i="67"/>
  <c r="F3380" i="67"/>
  <c r="B3380" i="67"/>
  <c r="D3379" i="67"/>
  <c r="E3379" i="67"/>
  <c r="C3379" i="67" l="1"/>
  <c r="D3380" i="67"/>
  <c r="E3380" i="67"/>
  <c r="A3382" i="67"/>
  <c r="F3381" i="67"/>
  <c r="B3381" i="67"/>
  <c r="C3380" i="67" l="1"/>
  <c r="D3381" i="67"/>
  <c r="E3381" i="67"/>
  <c r="F3382" i="67"/>
  <c r="B3382" i="67"/>
  <c r="A3383" i="67"/>
  <c r="C3381" i="67" l="1"/>
  <c r="A3384" i="67"/>
  <c r="B3383" i="67"/>
  <c r="F3383" i="67"/>
  <c r="D3382" i="67"/>
  <c r="E3382" i="67"/>
  <c r="C3382" i="67" l="1"/>
  <c r="D3383" i="67"/>
  <c r="E3383" i="67"/>
  <c r="F3384" i="67"/>
  <c r="B3384" i="67"/>
  <c r="A3385" i="67"/>
  <c r="C3383" i="67" l="1"/>
  <c r="F3385" i="67"/>
  <c r="B3385" i="67"/>
  <c r="A3386" i="67"/>
  <c r="D3384" i="67"/>
  <c r="E3384" i="67"/>
  <c r="C3384" i="67" l="1"/>
  <c r="A3387" i="67"/>
  <c r="B3386" i="67"/>
  <c r="F3386" i="67"/>
  <c r="D3385" i="67"/>
  <c r="E3385" i="67"/>
  <c r="C3385" i="67" l="1"/>
  <c r="D3386" i="67"/>
  <c r="E3386" i="67"/>
  <c r="C3386" i="67" s="1"/>
  <c r="A3388" i="67"/>
  <c r="B3387" i="67"/>
  <c r="F3387" i="67"/>
  <c r="D3387" i="67" l="1"/>
  <c r="E3387" i="67"/>
  <c r="F3388" i="67"/>
  <c r="A3389" i="67"/>
  <c r="B3388" i="67"/>
  <c r="C3387" i="67" l="1"/>
  <c r="F3389" i="67"/>
  <c r="A3390" i="67"/>
  <c r="B3389" i="67"/>
  <c r="D3388" i="67"/>
  <c r="E3388" i="67"/>
  <c r="C3388" i="67" l="1"/>
  <c r="D3389" i="67"/>
  <c r="E3389" i="67"/>
  <c r="F3390" i="67"/>
  <c r="B3390" i="67"/>
  <c r="A3391" i="67"/>
  <c r="C3389" i="67" l="1"/>
  <c r="D3390" i="67"/>
  <c r="E3390" i="67"/>
  <c r="C3390" i="67" s="1"/>
  <c r="B3391" i="67"/>
  <c r="F3391" i="67"/>
  <c r="A3392" i="67"/>
  <c r="A3393" i="67" l="1"/>
  <c r="F3392" i="67"/>
  <c r="B3392" i="67"/>
  <c r="D3391" i="67"/>
  <c r="E3391" i="67"/>
  <c r="C3391" i="67" l="1"/>
  <c r="A3394" i="67"/>
  <c r="F3393" i="67"/>
  <c r="B3393" i="67"/>
  <c r="D3392" i="67"/>
  <c r="E3392" i="67"/>
  <c r="C3392" i="67" l="1"/>
  <c r="D3393" i="67"/>
  <c r="E3393" i="67"/>
  <c r="F3394" i="67"/>
  <c r="A3395" i="67"/>
  <c r="B3394" i="67"/>
  <c r="C3393" i="67" l="1"/>
  <c r="F3395" i="67"/>
  <c r="A3396" i="67"/>
  <c r="B3395" i="67"/>
  <c r="D3394" i="67"/>
  <c r="E3394" i="67"/>
  <c r="C3394" i="67" l="1"/>
  <c r="D3395" i="67"/>
  <c r="E3395" i="67"/>
  <c r="F3396" i="67"/>
  <c r="A3397" i="67"/>
  <c r="B3396" i="67"/>
  <c r="C3395" i="67" l="1"/>
  <c r="F3397" i="67"/>
  <c r="B3397" i="67"/>
  <c r="A3398" i="67"/>
  <c r="D3396" i="67"/>
  <c r="E3396" i="67"/>
  <c r="C3396" i="67" l="1"/>
  <c r="A3399" i="67"/>
  <c r="F3398" i="67"/>
  <c r="B3398" i="67"/>
  <c r="D3397" i="67"/>
  <c r="E3397" i="67"/>
  <c r="C3397" i="67" l="1"/>
  <c r="D3398" i="67"/>
  <c r="E3398" i="67"/>
  <c r="B3399" i="67"/>
  <c r="A3400" i="67"/>
  <c r="F3399" i="67"/>
  <c r="C3398" i="67" l="1"/>
  <c r="D3399" i="67"/>
  <c r="E3399" i="67"/>
  <c r="A3401" i="67"/>
  <c r="B3400" i="67"/>
  <c r="F3400" i="67"/>
  <c r="C3399" i="67" l="1"/>
  <c r="D3400" i="67"/>
  <c r="E3400" i="67"/>
  <c r="A3402" i="67"/>
  <c r="B3401" i="67"/>
  <c r="F3401" i="67"/>
  <c r="C3400" i="67" l="1"/>
  <c r="A3403" i="67"/>
  <c r="F3402" i="67"/>
  <c r="B3402" i="67"/>
  <c r="D3401" i="67"/>
  <c r="E3401" i="67"/>
  <c r="C3401" i="67" l="1"/>
  <c r="D3402" i="67"/>
  <c r="E3402" i="67"/>
  <c r="B3403" i="67"/>
  <c r="A3404" i="67"/>
  <c r="F3403" i="67"/>
  <c r="C3402" i="67" l="1"/>
  <c r="F3404" i="67"/>
  <c r="B3404" i="67"/>
  <c r="A3405" i="67"/>
  <c r="D3403" i="67"/>
  <c r="E3403" i="67"/>
  <c r="C3403" i="67" l="1"/>
  <c r="F3405" i="67"/>
  <c r="A3406" i="67"/>
  <c r="B3405" i="67"/>
  <c r="D3404" i="67"/>
  <c r="E3404" i="67"/>
  <c r="C3404" i="67" l="1"/>
  <c r="D3405" i="67"/>
  <c r="E3405" i="67"/>
  <c r="B3406" i="67"/>
  <c r="F3406" i="67"/>
  <c r="A3407" i="67"/>
  <c r="C3405" i="67" l="1"/>
  <c r="A3408" i="67"/>
  <c r="F3407" i="67"/>
  <c r="B3407" i="67"/>
  <c r="D3406" i="67"/>
  <c r="E3406" i="67"/>
  <c r="C3406" i="67" l="1"/>
  <c r="D3407" i="67"/>
  <c r="E3407" i="67"/>
  <c r="F3408" i="67"/>
  <c r="B3408" i="67"/>
  <c r="A3409" i="67"/>
  <c r="C3407" i="67" l="1"/>
  <c r="D3408" i="67"/>
  <c r="E3408" i="67"/>
  <c r="A3410" i="67"/>
  <c r="F3409" i="67"/>
  <c r="B3409" i="67"/>
  <c r="C3408" i="67" l="1"/>
  <c r="A3411" i="67"/>
  <c r="B3410" i="67"/>
  <c r="F3410" i="67"/>
  <c r="D3409" i="67"/>
  <c r="E3409" i="67"/>
  <c r="C3409" i="67" l="1"/>
  <c r="D3410" i="67"/>
  <c r="E3410" i="67"/>
  <c r="F3411" i="67"/>
  <c r="B3411" i="67"/>
  <c r="A3412" i="67"/>
  <c r="C3410" i="67" l="1"/>
  <c r="D3411" i="67"/>
  <c r="E3411" i="67"/>
  <c r="F3412" i="67"/>
  <c r="A3413" i="67"/>
  <c r="B3412" i="67"/>
  <c r="C3411" i="67" l="1"/>
  <c r="D3412" i="67"/>
  <c r="E3412" i="67"/>
  <c r="F3413" i="67"/>
  <c r="A3414" i="67"/>
  <c r="B3413" i="67"/>
  <c r="C3412" i="67" l="1"/>
  <c r="A3415" i="67"/>
  <c r="F3414" i="67"/>
  <c r="B3414" i="67"/>
  <c r="D3413" i="67"/>
  <c r="E3413" i="67"/>
  <c r="C3413" i="67" l="1"/>
  <c r="D3414" i="67"/>
  <c r="E3414" i="67"/>
  <c r="B3415" i="67"/>
  <c r="F3415" i="67"/>
  <c r="A3416" i="67"/>
  <c r="C3414" i="67" l="1"/>
  <c r="F3416" i="67"/>
  <c r="B3416" i="67"/>
  <c r="A3417" i="67"/>
  <c r="D3415" i="67"/>
  <c r="E3415" i="67"/>
  <c r="C3415" i="67" l="1"/>
  <c r="B3417" i="67"/>
  <c r="A3418" i="67"/>
  <c r="F3417" i="67"/>
  <c r="D3416" i="67"/>
  <c r="E3416" i="67"/>
  <c r="C3416" i="67" l="1"/>
  <c r="F3418" i="67"/>
  <c r="A3419" i="67"/>
  <c r="B3418" i="67"/>
  <c r="D3417" i="67"/>
  <c r="E3417" i="67"/>
  <c r="C3417" i="67" l="1"/>
  <c r="D3418" i="67"/>
  <c r="E3418" i="67"/>
  <c r="F3419" i="67"/>
  <c r="A3420" i="67"/>
  <c r="B3419" i="67"/>
  <c r="C3418" i="67" l="1"/>
  <c r="D3419" i="67"/>
  <c r="E3419" i="67"/>
  <c r="B3420" i="67"/>
  <c r="A3421" i="67"/>
  <c r="F3420" i="67"/>
  <c r="C3419" i="67" l="1"/>
  <c r="A3422" i="67"/>
  <c r="F3421" i="67"/>
  <c r="B3421" i="67"/>
  <c r="D3420" i="67"/>
  <c r="E3420" i="67"/>
  <c r="C3420" i="67" l="1"/>
  <c r="D3421" i="67"/>
  <c r="E3421" i="67"/>
  <c r="F3422" i="67"/>
  <c r="B3422" i="67"/>
  <c r="A3423" i="67"/>
  <c r="C3421" i="67" l="1"/>
  <c r="A3424" i="67"/>
  <c r="B3423" i="67"/>
  <c r="F3423" i="67"/>
  <c r="D3422" i="67"/>
  <c r="E3422" i="67"/>
  <c r="C3422" i="67" l="1"/>
  <c r="D3423" i="67"/>
  <c r="E3423" i="67"/>
  <c r="F3424" i="67"/>
  <c r="B3424" i="67"/>
  <c r="A3425" i="67"/>
  <c r="C3423" i="67" l="1"/>
  <c r="D3424" i="67"/>
  <c r="E3424" i="67"/>
  <c r="B3425" i="67"/>
  <c r="A3426" i="67"/>
  <c r="F3425" i="67"/>
  <c r="C3424" i="67" l="1"/>
  <c r="F3426" i="67"/>
  <c r="B3426" i="67"/>
  <c r="A3427" i="67"/>
  <c r="D3425" i="67"/>
  <c r="E3425" i="67"/>
  <c r="C3425" i="67" l="1"/>
  <c r="F3427" i="67"/>
  <c r="B3427" i="67"/>
  <c r="A3428" i="67"/>
  <c r="D3426" i="67"/>
  <c r="E3426" i="67"/>
  <c r="C3426" i="67" l="1"/>
  <c r="F3428" i="67"/>
  <c r="B3428" i="67"/>
  <c r="A3429" i="67"/>
  <c r="D3427" i="67"/>
  <c r="E3427" i="67"/>
  <c r="C3427" i="67" l="1"/>
  <c r="F3429" i="67"/>
  <c r="B3429" i="67"/>
  <c r="A3430" i="67"/>
  <c r="D3428" i="67"/>
  <c r="E3428" i="67"/>
  <c r="C3428" i="67" l="1"/>
  <c r="B3430" i="67"/>
  <c r="F3430" i="67"/>
  <c r="A3431" i="67"/>
  <c r="D3429" i="67"/>
  <c r="E3429" i="67"/>
  <c r="C3429" i="67" l="1"/>
  <c r="F3431" i="67"/>
  <c r="B3431" i="67"/>
  <c r="A3432" i="67"/>
  <c r="D3430" i="67"/>
  <c r="E3430" i="67"/>
  <c r="C3430" i="67" l="1"/>
  <c r="A3433" i="67"/>
  <c r="B3432" i="67"/>
  <c r="F3432" i="67"/>
  <c r="D3431" i="67"/>
  <c r="E3431" i="67"/>
  <c r="C3431" i="67" l="1"/>
  <c r="D3432" i="67"/>
  <c r="E3432" i="67"/>
  <c r="F3433" i="67"/>
  <c r="B3433" i="67"/>
  <c r="A3434" i="67"/>
  <c r="C3432" i="67" l="1"/>
  <c r="F3434" i="67"/>
  <c r="A3435" i="67"/>
  <c r="B3434" i="67"/>
  <c r="D3433" i="67"/>
  <c r="E3433" i="67"/>
  <c r="C3433" i="67" l="1"/>
  <c r="D3434" i="67"/>
  <c r="E3434" i="67"/>
  <c r="B3435" i="67"/>
  <c r="F3435" i="67"/>
  <c r="A3436" i="67"/>
  <c r="C3434" i="67" l="1"/>
  <c r="F3436" i="67"/>
  <c r="A3437" i="67"/>
  <c r="B3436" i="67"/>
  <c r="D3435" i="67"/>
  <c r="E3435" i="67"/>
  <c r="C3435" i="67" l="1"/>
  <c r="D3436" i="67"/>
  <c r="E3436" i="67"/>
  <c r="F3437" i="67"/>
  <c r="B3437" i="67"/>
  <c r="A3438" i="67"/>
  <c r="C3436" i="67" l="1"/>
  <c r="B3438" i="67"/>
  <c r="A3439" i="67"/>
  <c r="F3438" i="67"/>
  <c r="D3437" i="67"/>
  <c r="E3437" i="67"/>
  <c r="C3437" i="67" l="1"/>
  <c r="B3439" i="67"/>
  <c r="F3439" i="67"/>
  <c r="A3440" i="67"/>
  <c r="D3438" i="67"/>
  <c r="E3438" i="67"/>
  <c r="C3438" i="67" l="1"/>
  <c r="F3440" i="67"/>
  <c r="B3440" i="67"/>
  <c r="A3441" i="67"/>
  <c r="D3439" i="67"/>
  <c r="E3439" i="67"/>
  <c r="C3439" i="67" l="1"/>
  <c r="D3440" i="67"/>
  <c r="E3440" i="67"/>
  <c r="F3441" i="67"/>
  <c r="A3442" i="67"/>
  <c r="B3441" i="67"/>
  <c r="C3440" i="67" l="1"/>
  <c r="D3441" i="67"/>
  <c r="E3441" i="67"/>
  <c r="A3443" i="67"/>
  <c r="B3442" i="67"/>
  <c r="F3442" i="67"/>
  <c r="C3441" i="67" l="1"/>
  <c r="F3443" i="67"/>
  <c r="A3444" i="67"/>
  <c r="B3443" i="67"/>
  <c r="D3442" i="67"/>
  <c r="E3442" i="67"/>
  <c r="C3442" i="67" l="1"/>
  <c r="A3445" i="67"/>
  <c r="F3444" i="67"/>
  <c r="B3444" i="67"/>
  <c r="D3443" i="67"/>
  <c r="E3443" i="67"/>
  <c r="C3443" i="67" l="1"/>
  <c r="D3444" i="67"/>
  <c r="E3444" i="67"/>
  <c r="A3446" i="67"/>
  <c r="F3445" i="67"/>
  <c r="B3445" i="67"/>
  <c r="C3444" i="67" l="1"/>
  <c r="D3445" i="67"/>
  <c r="E3445" i="67"/>
  <c r="A3447" i="67"/>
  <c r="F3446" i="67"/>
  <c r="B3446" i="67"/>
  <c r="C3445" i="67" l="1"/>
  <c r="D3446" i="67"/>
  <c r="E3446" i="67"/>
  <c r="B3447" i="67"/>
  <c r="A3448" i="67"/>
  <c r="F3447" i="67"/>
  <c r="C3446" i="67" l="1"/>
  <c r="F3448" i="67"/>
  <c r="B3448" i="67"/>
  <c r="A3449" i="67"/>
  <c r="D3447" i="67"/>
  <c r="E3447" i="67"/>
  <c r="C3447" i="67" l="1"/>
  <c r="B3449" i="67"/>
  <c r="F3449" i="67"/>
  <c r="A3450" i="67"/>
  <c r="D3448" i="67"/>
  <c r="E3448" i="67"/>
  <c r="C3448" i="67" l="1"/>
  <c r="B3450" i="67"/>
  <c r="A3451" i="67"/>
  <c r="F3450" i="67"/>
  <c r="D3449" i="67"/>
  <c r="E3449" i="67"/>
  <c r="C3449" i="67" l="1"/>
  <c r="B3451" i="67"/>
  <c r="F3451" i="67"/>
  <c r="A3452" i="67"/>
  <c r="D3450" i="67"/>
  <c r="E3450" i="67"/>
  <c r="C3450" i="67" l="1"/>
  <c r="D3451" i="67"/>
  <c r="E3451" i="67"/>
  <c r="F3452" i="67"/>
  <c r="A3453" i="67"/>
  <c r="B3452" i="67"/>
  <c r="C3451" i="67" l="1"/>
  <c r="D3452" i="67"/>
  <c r="E3452" i="67"/>
  <c r="F3453" i="67"/>
  <c r="A3454" i="67"/>
  <c r="B3453" i="67"/>
  <c r="C3452" i="67" l="1"/>
  <c r="F3454" i="67"/>
  <c r="A3455" i="67"/>
  <c r="B3454" i="67"/>
  <c r="D3453" i="67"/>
  <c r="E3453" i="67"/>
  <c r="C3453" i="67" l="1"/>
  <c r="A3456" i="67"/>
  <c r="F3455" i="67"/>
  <c r="B3455" i="67"/>
  <c r="D3454" i="67"/>
  <c r="E3454" i="67"/>
  <c r="C3454" i="67" l="1"/>
  <c r="D3455" i="67"/>
  <c r="E3455" i="67"/>
  <c r="F3456" i="67"/>
  <c r="B3456" i="67"/>
  <c r="A3457" i="67"/>
  <c r="C3455" i="67" l="1"/>
  <c r="D3456" i="67"/>
  <c r="E3456" i="67"/>
  <c r="F3457" i="67"/>
  <c r="A3458" i="67"/>
  <c r="B3457" i="67"/>
  <c r="C3456" i="67" l="1"/>
  <c r="A3459" i="67"/>
  <c r="F3458" i="67"/>
  <c r="B3458" i="67"/>
  <c r="D3457" i="67"/>
  <c r="E3457" i="67"/>
  <c r="C3457" i="67" l="1"/>
  <c r="D3458" i="67"/>
  <c r="E3458" i="67"/>
  <c r="F3459" i="67"/>
  <c r="B3459" i="67"/>
  <c r="A3460" i="67"/>
  <c r="C3458" i="67" l="1"/>
  <c r="F3460" i="67"/>
  <c r="B3460" i="67"/>
  <c r="A3461" i="67"/>
  <c r="D3459" i="67"/>
  <c r="E3459" i="67"/>
  <c r="C3459" i="67" l="1"/>
  <c r="F3461" i="67"/>
  <c r="A3462" i="67"/>
  <c r="B3461" i="67"/>
  <c r="D3460" i="67"/>
  <c r="E3460" i="67"/>
  <c r="C3460" i="67" l="1"/>
  <c r="F3462" i="67"/>
  <c r="A3463" i="67"/>
  <c r="B3462" i="67"/>
  <c r="D3461" i="67"/>
  <c r="E3461" i="67"/>
  <c r="C3461" i="67" l="1"/>
  <c r="D3462" i="67"/>
  <c r="E3462" i="67"/>
  <c r="F3463" i="67"/>
  <c r="A3464" i="67"/>
  <c r="B3463" i="67"/>
  <c r="C3462" i="67" l="1"/>
  <c r="D3463" i="67"/>
  <c r="E3463" i="67"/>
  <c r="F3464" i="67"/>
  <c r="A3465" i="67"/>
  <c r="B3464" i="67"/>
  <c r="C3463" i="67" l="1"/>
  <c r="D3464" i="67"/>
  <c r="E3464" i="67"/>
  <c r="F3465" i="67"/>
  <c r="A3466" i="67"/>
  <c r="B3465" i="67"/>
  <c r="C3464" i="67" l="1"/>
  <c r="D3465" i="67"/>
  <c r="E3465" i="67"/>
  <c r="F3466" i="67"/>
  <c r="B3466" i="67"/>
  <c r="A3467" i="67"/>
  <c r="C3465" i="67" l="1"/>
  <c r="A3468" i="67"/>
  <c r="F3467" i="67"/>
  <c r="B3467" i="67"/>
  <c r="D3466" i="67"/>
  <c r="E3466" i="67"/>
  <c r="C3466" i="67" l="1"/>
  <c r="D3467" i="67"/>
  <c r="E3467" i="67"/>
  <c r="B3468" i="67"/>
  <c r="F3468" i="67"/>
  <c r="A3469" i="67"/>
  <c r="C3467" i="67" l="1"/>
  <c r="D3468" i="67"/>
  <c r="E3468" i="67"/>
  <c r="F3469" i="67"/>
  <c r="A3470" i="67"/>
  <c r="B3469" i="67"/>
  <c r="C3468" i="67" l="1"/>
  <c r="B3470" i="67"/>
  <c r="F3470" i="67"/>
  <c r="A3471" i="67"/>
  <c r="D3469" i="67"/>
  <c r="E3469" i="67"/>
  <c r="C3469" i="67" l="1"/>
  <c r="A3472" i="67"/>
  <c r="F3471" i="67"/>
  <c r="B3471" i="67"/>
  <c r="D3470" i="67"/>
  <c r="E3470" i="67"/>
  <c r="C3470" i="67" l="1"/>
  <c r="D3471" i="67"/>
  <c r="E3471" i="67"/>
  <c r="F3472" i="67"/>
  <c r="B3472" i="67"/>
  <c r="A3473" i="67"/>
  <c r="C3471" i="67" l="1"/>
  <c r="A3474" i="67"/>
  <c r="B3473" i="67"/>
  <c r="F3473" i="67"/>
  <c r="D3472" i="67"/>
  <c r="E3472" i="67"/>
  <c r="C3472" i="67" l="1"/>
  <c r="D3473" i="67"/>
  <c r="E3473" i="67"/>
  <c r="F3474" i="67"/>
  <c r="A3475" i="67"/>
  <c r="B3474" i="67"/>
  <c r="C3473" i="67" l="1"/>
  <c r="D3474" i="67"/>
  <c r="E3474" i="67"/>
  <c r="A3476" i="67"/>
  <c r="F3475" i="67"/>
  <c r="B3475" i="67"/>
  <c r="C3474" i="67" l="1"/>
  <c r="F3476" i="67"/>
  <c r="B3476" i="67"/>
  <c r="A3477" i="67"/>
  <c r="D3475" i="67"/>
  <c r="E3475" i="67"/>
  <c r="C3475" i="67" l="1"/>
  <c r="D3476" i="67"/>
  <c r="E3476" i="67"/>
  <c r="B3477" i="67"/>
  <c r="F3477" i="67"/>
  <c r="A3478" i="67"/>
  <c r="C3476" i="67" l="1"/>
  <c r="F3478" i="67"/>
  <c r="A3479" i="67"/>
  <c r="B3478" i="67"/>
  <c r="D3477" i="67"/>
  <c r="E3477" i="67"/>
  <c r="C3477" i="67" l="1"/>
  <c r="D3478" i="67"/>
  <c r="E3478" i="67"/>
  <c r="B3479" i="67"/>
  <c r="F3479" i="67"/>
  <c r="A3480" i="67"/>
  <c r="C3478" i="67" l="1"/>
  <c r="F3480" i="67"/>
  <c r="A3481" i="67"/>
  <c r="B3480" i="67"/>
  <c r="D3479" i="67"/>
  <c r="E3479" i="67"/>
  <c r="C3479" i="67" l="1"/>
  <c r="D3480" i="67"/>
  <c r="E3480" i="67"/>
  <c r="F3481" i="67"/>
  <c r="B3481" i="67"/>
  <c r="A3482" i="67"/>
  <c r="C3480" i="67" l="1"/>
  <c r="B3482" i="67"/>
  <c r="F3482" i="67"/>
  <c r="A3483" i="67"/>
  <c r="D3481" i="67"/>
  <c r="E3481" i="67"/>
  <c r="C3481" i="67" l="1"/>
  <c r="F3483" i="67"/>
  <c r="A3484" i="67"/>
  <c r="B3483" i="67"/>
  <c r="D3482" i="67"/>
  <c r="E3482" i="67"/>
  <c r="C3482" i="67" l="1"/>
  <c r="D3483" i="67"/>
  <c r="E3483" i="67"/>
  <c r="F3484" i="67"/>
  <c r="A3485" i="67"/>
  <c r="B3484" i="67"/>
  <c r="C3483" i="67" l="1"/>
  <c r="D3484" i="67"/>
  <c r="E3484" i="67"/>
  <c r="A3486" i="67"/>
  <c r="F3485" i="67"/>
  <c r="B3485" i="67"/>
  <c r="C3484" i="67" l="1"/>
  <c r="D3485" i="67"/>
  <c r="E3485" i="67"/>
  <c r="F3486" i="67"/>
  <c r="A3487" i="67"/>
  <c r="B3486" i="67"/>
  <c r="C3485" i="67" l="1"/>
  <c r="D3486" i="67"/>
  <c r="E3486" i="67"/>
  <c r="A3488" i="67"/>
  <c r="B3487" i="67"/>
  <c r="F3487" i="67"/>
  <c r="C3486" i="67" l="1"/>
  <c r="D3487" i="67"/>
  <c r="E3487" i="67"/>
  <c r="F3488" i="67"/>
  <c r="A3489" i="67"/>
  <c r="B3488" i="67"/>
  <c r="C3487" i="67" l="1"/>
  <c r="D3488" i="67"/>
  <c r="E3488" i="67"/>
  <c r="A3490" i="67"/>
  <c r="F3489" i="67"/>
  <c r="B3489" i="67"/>
  <c r="C3488" i="67" l="1"/>
  <c r="D3489" i="67"/>
  <c r="E3489" i="67"/>
  <c r="C3489" i="67" s="1"/>
  <c r="F3490" i="67"/>
  <c r="A3491" i="67"/>
  <c r="B3490" i="67"/>
  <c r="F3491" i="67" l="1"/>
  <c r="B3491" i="67"/>
  <c r="A3492" i="67"/>
  <c r="D3490" i="67"/>
  <c r="E3490" i="67"/>
  <c r="C3490" i="67" l="1"/>
  <c r="F3492" i="67"/>
  <c r="B3492" i="67"/>
  <c r="A3493" i="67"/>
  <c r="D3491" i="67"/>
  <c r="E3491" i="67"/>
  <c r="C3491" i="67" l="1"/>
  <c r="B3493" i="67"/>
  <c r="F3493" i="67"/>
  <c r="A3494" i="67"/>
  <c r="D3492" i="67"/>
  <c r="E3492" i="67"/>
  <c r="C3492" i="67" l="1"/>
  <c r="A3495" i="67"/>
  <c r="F3494" i="67"/>
  <c r="B3494" i="67"/>
  <c r="D3493" i="67"/>
  <c r="E3493" i="67"/>
  <c r="C3493" i="67" l="1"/>
  <c r="D3494" i="67"/>
  <c r="E3494" i="67"/>
  <c r="F3495" i="67"/>
  <c r="A3496" i="67"/>
  <c r="B3495" i="67"/>
  <c r="C3494" i="67" l="1"/>
  <c r="F3496" i="67"/>
  <c r="A3497" i="67"/>
  <c r="B3496" i="67"/>
  <c r="D3495" i="67"/>
  <c r="E3495" i="67"/>
  <c r="C3495" i="67" l="1"/>
  <c r="D3496" i="67"/>
  <c r="E3496" i="67"/>
  <c r="A3498" i="67"/>
  <c r="F3497" i="67"/>
  <c r="B3497" i="67"/>
  <c r="C3496" i="67" l="1"/>
  <c r="A3499" i="67"/>
  <c r="F3498" i="67"/>
  <c r="B3498" i="67"/>
  <c r="D3497" i="67"/>
  <c r="E3497" i="67"/>
  <c r="C3497" i="67" l="1"/>
  <c r="D3498" i="67"/>
  <c r="E3498" i="67"/>
  <c r="B3499" i="67"/>
  <c r="F3499" i="67"/>
  <c r="A3500" i="67"/>
  <c r="C3498" i="67" l="1"/>
  <c r="D3499" i="67"/>
  <c r="E3499" i="67"/>
  <c r="C3499" i="67" s="1"/>
  <c r="B3500" i="67"/>
  <c r="F3500" i="67"/>
  <c r="A3501" i="67"/>
  <c r="F3501" i="67" l="1"/>
  <c r="A3502" i="67"/>
  <c r="B3501" i="67"/>
  <c r="D3500" i="67"/>
  <c r="E3500" i="67"/>
  <c r="C3500" i="67" l="1"/>
  <c r="D3501" i="67"/>
  <c r="E3501" i="67"/>
  <c r="F3502" i="67"/>
  <c r="A3503" i="67"/>
  <c r="B3502" i="67"/>
  <c r="C3501" i="67" l="1"/>
  <c r="F3503" i="67"/>
  <c r="B3503" i="67"/>
  <c r="A3504" i="67"/>
  <c r="D3502" i="67"/>
  <c r="E3502" i="67"/>
  <c r="C3502" i="67" l="1"/>
  <c r="A3505" i="67"/>
  <c r="F3504" i="67"/>
  <c r="B3504" i="67"/>
  <c r="D3503" i="67"/>
  <c r="E3503" i="67"/>
  <c r="C3503" i="67" l="1"/>
  <c r="D3504" i="67"/>
  <c r="E3504" i="67"/>
  <c r="B3505" i="67"/>
  <c r="F3505" i="67"/>
  <c r="A3506" i="67"/>
  <c r="C3504" i="67" l="1"/>
  <c r="A3507" i="67"/>
  <c r="B3506" i="67"/>
  <c r="F3506" i="67"/>
  <c r="D3505" i="67"/>
  <c r="E3505" i="67"/>
  <c r="C3505" i="67" l="1"/>
  <c r="D3506" i="67"/>
  <c r="E3506" i="67"/>
  <c r="B3507" i="67"/>
  <c r="F3507" i="67"/>
  <c r="A3508" i="67"/>
  <c r="C3506" i="67" l="1"/>
  <c r="B3508" i="67"/>
  <c r="A3509" i="67"/>
  <c r="F3508" i="67"/>
  <c r="D3507" i="67"/>
  <c r="E3507" i="67"/>
  <c r="C3507" i="67" l="1"/>
  <c r="F3509" i="67"/>
  <c r="A3510" i="67"/>
  <c r="B3509" i="67"/>
  <c r="D3508" i="67"/>
  <c r="E3508" i="67"/>
  <c r="C3508" i="67" l="1"/>
  <c r="D3509" i="67"/>
  <c r="E3509" i="67"/>
  <c r="A3511" i="67"/>
  <c r="F3510" i="67"/>
  <c r="B3510" i="67"/>
  <c r="C3509" i="67" l="1"/>
  <c r="D3510" i="67"/>
  <c r="E3510" i="67"/>
  <c r="B3511" i="67"/>
  <c r="A3512" i="67"/>
  <c r="F3511" i="67"/>
  <c r="C3510" i="67" l="1"/>
  <c r="A3513" i="67"/>
  <c r="B3512" i="67"/>
  <c r="F3512" i="67"/>
  <c r="D3511" i="67"/>
  <c r="E3511" i="67"/>
  <c r="C3511" i="67" l="1"/>
  <c r="D3512" i="67"/>
  <c r="E3512" i="67"/>
  <c r="A3514" i="67"/>
  <c r="B3513" i="67"/>
  <c r="F3513" i="67"/>
  <c r="C3512" i="67" l="1"/>
  <c r="D3513" i="67"/>
  <c r="E3513" i="67"/>
  <c r="F3514" i="67"/>
  <c r="A3515" i="67"/>
  <c r="B3514" i="67"/>
  <c r="C3513" i="67" l="1"/>
  <c r="F3515" i="67"/>
  <c r="B3515" i="67"/>
  <c r="A3516" i="67"/>
  <c r="D3514" i="67"/>
  <c r="E3514" i="67"/>
  <c r="C3514" i="67" l="1"/>
  <c r="B3516" i="67"/>
  <c r="F3516" i="67"/>
  <c r="A3517" i="67"/>
  <c r="D3515" i="67"/>
  <c r="E3515" i="67"/>
  <c r="C3515" i="67" l="1"/>
  <c r="A3518" i="67"/>
  <c r="F3517" i="67"/>
  <c r="B3517" i="67"/>
  <c r="D3516" i="67"/>
  <c r="E3516" i="67"/>
  <c r="C3516" i="67" l="1"/>
  <c r="D3517" i="67"/>
  <c r="E3517" i="67"/>
  <c r="F3518" i="67"/>
  <c r="A3519" i="67"/>
  <c r="B3518" i="67"/>
  <c r="C3517" i="67" l="1"/>
  <c r="D3518" i="67"/>
  <c r="E3518" i="67"/>
  <c r="A3520" i="67"/>
  <c r="F3519" i="67"/>
  <c r="B3519" i="67"/>
  <c r="C3518" i="67" l="1"/>
  <c r="D3519" i="67"/>
  <c r="E3519" i="67"/>
  <c r="A3521" i="67"/>
  <c r="F3520" i="67"/>
  <c r="B3520" i="67"/>
  <c r="C3519" i="67" l="1"/>
  <c r="D3520" i="67"/>
  <c r="E3520" i="67"/>
  <c r="F3521" i="67"/>
  <c r="A3522" i="67"/>
  <c r="B3521" i="67"/>
  <c r="C3520" i="67" l="1"/>
  <c r="A3523" i="67"/>
  <c r="F3522" i="67"/>
  <c r="B3522" i="67"/>
  <c r="D3521" i="67"/>
  <c r="E3521" i="67"/>
  <c r="C3521" i="67" l="1"/>
  <c r="D3522" i="67"/>
  <c r="E3522" i="67"/>
  <c r="F3523" i="67"/>
  <c r="A3524" i="67"/>
  <c r="B3523" i="67"/>
  <c r="C3522" i="67" l="1"/>
  <c r="D3523" i="67"/>
  <c r="E3523" i="67"/>
  <c r="B3524" i="67"/>
  <c r="F3524" i="67"/>
  <c r="A3525" i="67"/>
  <c r="C3523" i="67" l="1"/>
  <c r="B3525" i="67"/>
  <c r="F3525" i="67"/>
  <c r="A3526" i="67"/>
  <c r="D3524" i="67"/>
  <c r="E3524" i="67"/>
  <c r="C3524" i="67" l="1"/>
  <c r="B3526" i="67"/>
  <c r="F3526" i="67"/>
  <c r="A3527" i="67"/>
  <c r="D3525" i="67"/>
  <c r="E3525" i="67"/>
  <c r="C3525" i="67" l="1"/>
  <c r="F3527" i="67"/>
  <c r="A3528" i="67"/>
  <c r="B3527" i="67"/>
  <c r="D3526" i="67"/>
  <c r="E3526" i="67"/>
  <c r="C3526" i="67" l="1"/>
  <c r="D3527" i="67"/>
  <c r="E3527" i="67"/>
  <c r="B3528" i="67"/>
  <c r="F3528" i="67"/>
  <c r="A3529" i="67"/>
  <c r="C3527" i="67" l="1"/>
  <c r="F3529" i="67"/>
  <c r="A3530" i="67"/>
  <c r="B3529" i="67"/>
  <c r="D3528" i="67"/>
  <c r="E3528" i="67"/>
  <c r="C3528" i="67" l="1"/>
  <c r="D3529" i="67"/>
  <c r="E3529" i="67"/>
  <c r="F3530" i="67"/>
  <c r="A3531" i="67"/>
  <c r="B3530" i="67"/>
  <c r="C3529" i="67" l="1"/>
  <c r="D3530" i="67"/>
  <c r="E3530" i="67"/>
  <c r="B3531" i="67"/>
  <c r="F3531" i="67"/>
  <c r="A3532" i="67"/>
  <c r="C3530" i="67" l="1"/>
  <c r="D3531" i="67"/>
  <c r="E3531" i="67"/>
  <c r="F3532" i="67"/>
  <c r="A3533" i="67"/>
  <c r="B3532" i="67"/>
  <c r="C3531" i="67" l="1"/>
  <c r="D3532" i="67"/>
  <c r="E3532" i="67"/>
  <c r="A3534" i="67"/>
  <c r="F3533" i="67"/>
  <c r="B3533" i="67"/>
  <c r="C3532" i="67" l="1"/>
  <c r="D3533" i="67"/>
  <c r="E3533" i="67"/>
  <c r="A3535" i="67"/>
  <c r="F3534" i="67"/>
  <c r="B3534" i="67"/>
  <c r="C3533" i="67" l="1"/>
  <c r="D3534" i="67"/>
  <c r="E3534" i="67"/>
  <c r="B3535" i="67"/>
  <c r="F3535" i="67"/>
  <c r="A3536" i="67"/>
  <c r="C3534" i="67" l="1"/>
  <c r="D3535" i="67"/>
  <c r="E3535" i="67"/>
  <c r="B3536" i="67"/>
  <c r="F3536" i="67"/>
  <c r="A3537" i="67"/>
  <c r="C3535" i="67" l="1"/>
  <c r="B3537" i="67"/>
  <c r="F3537" i="67"/>
  <c r="A3538" i="67"/>
  <c r="D3536" i="67"/>
  <c r="E3536" i="67"/>
  <c r="C3536" i="67" l="1"/>
  <c r="A3539" i="67"/>
  <c r="F3538" i="67"/>
  <c r="B3538" i="67"/>
  <c r="D3537" i="67"/>
  <c r="E3537" i="67"/>
  <c r="C3537" i="67" l="1"/>
  <c r="D3538" i="67"/>
  <c r="E3538" i="67"/>
  <c r="F3539" i="67"/>
  <c r="B3539" i="67"/>
  <c r="A3540" i="67"/>
  <c r="C3538" i="67" l="1"/>
  <c r="F3540" i="67"/>
  <c r="A3541" i="67"/>
  <c r="B3540" i="67"/>
  <c r="D3539" i="67"/>
  <c r="E3539" i="67"/>
  <c r="C3539" i="67" l="1"/>
  <c r="D3540" i="67"/>
  <c r="E3540" i="67"/>
  <c r="F3541" i="67"/>
  <c r="B3541" i="67"/>
  <c r="A3542" i="67"/>
  <c r="C3540" i="67" l="1"/>
  <c r="D3541" i="67"/>
  <c r="E3541" i="67"/>
  <c r="F3542" i="67"/>
  <c r="A3543" i="67"/>
  <c r="B3542" i="67"/>
  <c r="C3541" i="67" l="1"/>
  <c r="D3542" i="67"/>
  <c r="E3542" i="67"/>
  <c r="F3543" i="67"/>
  <c r="A3544" i="67"/>
  <c r="B3543" i="67"/>
  <c r="C3542" i="67" l="1"/>
  <c r="D3543" i="67"/>
  <c r="E3543" i="67"/>
  <c r="A3545" i="67"/>
  <c r="F3544" i="67"/>
  <c r="B3544" i="67"/>
  <c r="C3543" i="67" l="1"/>
  <c r="D3544" i="67"/>
  <c r="E3544" i="67"/>
  <c r="A3546" i="67"/>
  <c r="B3545" i="67"/>
  <c r="F3545" i="67"/>
  <c r="C3544" i="67" l="1"/>
  <c r="D3545" i="67"/>
  <c r="E3545" i="67"/>
  <c r="A3547" i="67"/>
  <c r="F3546" i="67"/>
  <c r="B3546" i="67"/>
  <c r="C3545" i="67" l="1"/>
  <c r="D3546" i="67"/>
  <c r="E3546" i="67"/>
  <c r="B3547" i="67"/>
  <c r="A3548" i="67"/>
  <c r="F3547" i="67"/>
  <c r="C3546" i="67" l="1"/>
  <c r="D3547" i="67"/>
  <c r="E3547" i="67"/>
  <c r="F3548" i="67"/>
  <c r="B3548" i="67"/>
  <c r="A3549" i="67"/>
  <c r="C3547" i="67" l="1"/>
  <c r="D3548" i="67"/>
  <c r="E3548" i="67"/>
  <c r="A3550" i="67"/>
  <c r="B3549" i="67"/>
  <c r="F3549" i="67"/>
  <c r="C3548" i="67" l="1"/>
  <c r="D3549" i="67"/>
  <c r="E3549" i="67"/>
  <c r="F3550" i="67"/>
  <c r="B3550" i="67"/>
  <c r="A3551" i="67"/>
  <c r="C3549" i="67" l="1"/>
  <c r="D3550" i="67"/>
  <c r="E3550" i="67"/>
  <c r="F3551" i="67"/>
  <c r="A3552" i="67"/>
  <c r="B3551" i="67"/>
  <c r="C3550" i="67" l="1"/>
  <c r="D3551" i="67"/>
  <c r="E3551" i="67"/>
  <c r="A3553" i="67"/>
  <c r="B3552" i="67"/>
  <c r="F3552" i="67"/>
  <c r="C3551" i="67" l="1"/>
  <c r="D3552" i="67"/>
  <c r="E3552" i="67"/>
  <c r="F3553" i="67"/>
  <c r="B3553" i="67"/>
  <c r="A3554" i="67"/>
  <c r="C3552" i="67" l="1"/>
  <c r="D3553" i="67"/>
  <c r="E3553" i="67"/>
  <c r="F3554" i="67"/>
  <c r="B3554" i="67"/>
  <c r="A3555" i="67"/>
  <c r="C3553" i="67" l="1"/>
  <c r="A3556" i="67"/>
  <c r="F3555" i="67"/>
  <c r="B3555" i="67"/>
  <c r="D3554" i="67"/>
  <c r="E3554" i="67"/>
  <c r="C3554" i="67" l="1"/>
  <c r="D3555" i="67"/>
  <c r="E3555" i="67"/>
  <c r="F3556" i="67"/>
  <c r="B3556" i="67"/>
  <c r="A3557" i="67"/>
  <c r="C3555" i="67" l="1"/>
  <c r="B3557" i="67"/>
  <c r="F3557" i="67"/>
  <c r="A3558" i="67"/>
  <c r="D3556" i="67"/>
  <c r="E3556" i="67"/>
  <c r="C3556" i="67" l="1"/>
  <c r="F3558" i="67"/>
  <c r="A3559" i="67"/>
  <c r="B3558" i="67"/>
  <c r="D3557" i="67"/>
  <c r="E3557" i="67"/>
  <c r="C3557" i="67" l="1"/>
  <c r="D3558" i="67"/>
  <c r="E3558" i="67"/>
  <c r="F3559" i="67"/>
  <c r="A3560" i="67"/>
  <c r="B3559" i="67"/>
  <c r="C3558" i="67" l="1"/>
  <c r="D3559" i="67"/>
  <c r="E3559" i="67"/>
  <c r="A3561" i="67"/>
  <c r="B3560" i="67"/>
  <c r="F3560" i="67"/>
  <c r="C3559" i="67" l="1"/>
  <c r="D3560" i="67"/>
  <c r="E3560" i="67"/>
  <c r="A3562" i="67"/>
  <c r="F3561" i="67"/>
  <c r="B3561" i="67"/>
  <c r="C3560" i="67" l="1"/>
  <c r="D3561" i="67"/>
  <c r="E3561" i="67"/>
  <c r="B3562" i="67"/>
  <c r="F3562" i="67"/>
  <c r="A3563" i="67"/>
  <c r="C3561" i="67" l="1"/>
  <c r="F3563" i="67"/>
  <c r="B3563" i="67"/>
  <c r="A3564" i="67"/>
  <c r="D3562" i="67"/>
  <c r="E3562" i="67"/>
  <c r="C3562" i="67" l="1"/>
  <c r="B3564" i="67"/>
  <c r="F3564" i="67"/>
  <c r="A3565" i="67"/>
  <c r="D3563" i="67"/>
  <c r="E3563" i="67"/>
  <c r="C3563" i="67" l="1"/>
  <c r="B3565" i="67"/>
  <c r="F3565" i="67"/>
  <c r="A3566" i="67"/>
  <c r="D3564" i="67"/>
  <c r="E3564" i="67"/>
  <c r="C3564" i="67" l="1"/>
  <c r="F3566" i="67"/>
  <c r="B3566" i="67"/>
  <c r="A3567" i="67"/>
  <c r="D3565" i="67"/>
  <c r="E3565" i="67"/>
  <c r="C3565" i="67" l="1"/>
  <c r="D3566" i="67"/>
  <c r="E3566" i="67"/>
  <c r="B3567" i="67"/>
  <c r="F3567" i="67"/>
  <c r="A3568" i="67"/>
  <c r="C3566" i="67" l="1"/>
  <c r="F3568" i="67"/>
  <c r="B3568" i="67"/>
  <c r="A3569" i="67"/>
  <c r="D3567" i="67"/>
  <c r="E3567" i="67"/>
  <c r="C3567" i="67" l="1"/>
  <c r="B3569" i="67"/>
  <c r="A3570" i="67"/>
  <c r="F3569" i="67"/>
  <c r="D3568" i="67"/>
  <c r="E3568" i="67"/>
  <c r="C3568" i="67" l="1"/>
  <c r="F3570" i="67"/>
  <c r="B3570" i="67"/>
  <c r="A3571" i="67"/>
  <c r="D3569" i="67"/>
  <c r="E3569" i="67"/>
  <c r="C3569" i="67" l="1"/>
  <c r="D3570" i="67"/>
  <c r="E3570" i="67"/>
  <c r="B3571" i="67"/>
  <c r="F3571" i="67"/>
  <c r="A3572" i="67"/>
  <c r="C3570" i="67" l="1"/>
  <c r="F3572" i="67"/>
  <c r="A3573" i="67"/>
  <c r="B3572" i="67"/>
  <c r="D3571" i="67"/>
  <c r="E3571" i="67"/>
  <c r="C3571" i="67" l="1"/>
  <c r="D3572" i="67"/>
  <c r="E3572" i="67"/>
  <c r="A3574" i="67"/>
  <c r="F3573" i="67"/>
  <c r="B3573" i="67"/>
  <c r="C3572" i="67" l="1"/>
  <c r="D3573" i="67"/>
  <c r="E3573" i="67"/>
  <c r="F3574" i="67"/>
  <c r="A3575" i="67"/>
  <c r="B3574" i="67"/>
  <c r="C3573" i="67" l="1"/>
  <c r="D3574" i="67"/>
  <c r="E3574" i="67"/>
  <c r="A3576" i="67"/>
  <c r="F3575" i="67"/>
  <c r="B3575" i="67"/>
  <c r="C3574" i="67" l="1"/>
  <c r="D3575" i="67"/>
  <c r="E3575" i="67"/>
  <c r="A3577" i="67"/>
  <c r="F3576" i="67"/>
  <c r="B3576" i="67"/>
  <c r="C3575" i="67" l="1"/>
  <c r="D3576" i="67"/>
  <c r="E3576" i="67"/>
  <c r="F3577" i="67"/>
  <c r="A3578" i="67"/>
  <c r="B3577" i="67"/>
  <c r="C3576" i="67" l="1"/>
  <c r="D3577" i="67"/>
  <c r="E3577" i="67"/>
  <c r="F3578" i="67"/>
  <c r="A3579" i="67"/>
  <c r="B3578" i="67"/>
  <c r="C3577" i="67" l="1"/>
  <c r="D3578" i="67"/>
  <c r="E3578" i="67"/>
  <c r="A3580" i="67"/>
  <c r="B3579" i="67"/>
  <c r="F3579" i="67"/>
  <c r="C3578" i="67" l="1"/>
  <c r="D3579" i="67"/>
  <c r="E3579" i="67"/>
  <c r="F3580" i="67"/>
  <c r="B3580" i="67"/>
  <c r="A3581" i="67"/>
  <c r="C3579" i="67" l="1"/>
  <c r="B3581" i="67"/>
  <c r="F3581" i="67"/>
  <c r="A3582" i="67"/>
  <c r="D3580" i="67"/>
  <c r="E3580" i="67"/>
  <c r="C3580" i="67" l="1"/>
  <c r="B3582" i="67"/>
  <c r="F3582" i="67"/>
  <c r="A3583" i="67"/>
  <c r="D3581" i="67"/>
  <c r="E3581" i="67"/>
  <c r="C3581" i="67" l="1"/>
  <c r="A3584" i="67"/>
  <c r="F3583" i="67"/>
  <c r="B3583" i="67"/>
  <c r="D3582" i="67"/>
  <c r="E3582" i="67"/>
  <c r="C3582" i="67" l="1"/>
  <c r="D3583" i="67"/>
  <c r="E3583" i="67"/>
  <c r="F3584" i="67"/>
  <c r="A3585" i="67"/>
  <c r="B3584" i="67"/>
  <c r="C3583" i="67" l="1"/>
  <c r="D3584" i="67"/>
  <c r="E3584" i="67"/>
  <c r="F3585" i="67"/>
  <c r="B3585" i="67"/>
  <c r="A3586" i="67"/>
  <c r="C3584" i="67" l="1"/>
  <c r="F3586" i="67"/>
  <c r="B3586" i="67"/>
  <c r="A3587" i="67"/>
  <c r="D3585" i="67"/>
  <c r="E3585" i="67"/>
  <c r="C3585" i="67" l="1"/>
  <c r="F3587" i="67"/>
  <c r="A3588" i="67"/>
  <c r="B3587" i="67"/>
  <c r="D3586" i="67"/>
  <c r="E3586" i="67"/>
  <c r="C3586" i="67" l="1"/>
  <c r="A3589" i="67"/>
  <c r="B3588" i="67"/>
  <c r="F3588" i="67"/>
  <c r="D3587" i="67"/>
  <c r="E3587" i="67"/>
  <c r="C3587" i="67" l="1"/>
  <c r="D3588" i="67"/>
  <c r="E3588" i="67"/>
  <c r="B3589" i="67"/>
  <c r="F3589" i="67"/>
  <c r="A3590" i="67"/>
  <c r="C3588" i="67" l="1"/>
  <c r="B3590" i="67"/>
  <c r="F3590" i="67"/>
  <c r="A3591" i="67"/>
  <c r="D3589" i="67"/>
  <c r="E3589" i="67"/>
  <c r="C3589" i="67" l="1"/>
  <c r="A3592" i="67"/>
  <c r="B3591" i="67"/>
  <c r="F3591" i="67"/>
  <c r="D3590" i="67"/>
  <c r="E3590" i="67"/>
  <c r="C3590" i="67" l="1"/>
  <c r="D3591" i="67"/>
  <c r="E3591" i="67"/>
  <c r="B3592" i="67"/>
  <c r="F3592" i="67"/>
  <c r="A3593" i="67"/>
  <c r="C3591" i="67" l="1"/>
  <c r="B3593" i="67"/>
  <c r="F3593" i="67"/>
  <c r="A3594" i="67"/>
  <c r="D3592" i="67"/>
  <c r="E3592" i="67"/>
  <c r="C3592" i="67" l="1"/>
  <c r="A3595" i="67"/>
  <c r="F3594" i="67"/>
  <c r="B3594" i="67"/>
  <c r="D3593" i="67"/>
  <c r="E3593" i="67"/>
  <c r="C3593" i="67" l="1"/>
  <c r="D3594" i="67"/>
  <c r="E3594" i="67"/>
  <c r="F3595" i="67"/>
  <c r="A3596" i="67"/>
  <c r="B3595" i="67"/>
  <c r="C3594" i="67" l="1"/>
  <c r="D3595" i="67"/>
  <c r="E3595" i="67"/>
  <c r="F3596" i="67"/>
  <c r="B3596" i="67"/>
  <c r="A3597" i="67"/>
  <c r="C3595" i="67" l="1"/>
  <c r="A3598" i="67"/>
  <c r="F3597" i="67"/>
  <c r="B3597" i="67"/>
  <c r="D3596" i="67"/>
  <c r="E3596" i="67"/>
  <c r="C3596" i="67" l="1"/>
  <c r="D3597" i="67"/>
  <c r="E3597" i="67"/>
  <c r="F3598" i="67"/>
  <c r="A3599" i="67"/>
  <c r="B3598" i="67"/>
  <c r="C3597" i="67" l="1"/>
  <c r="D3598" i="67"/>
  <c r="E3598" i="67"/>
  <c r="F3599" i="67"/>
  <c r="A3600" i="67"/>
  <c r="B3599" i="67"/>
  <c r="C3598" i="67" l="1"/>
  <c r="A3601" i="67"/>
  <c r="B3600" i="67"/>
  <c r="F3600" i="67"/>
  <c r="D3599" i="67"/>
  <c r="E3599" i="67"/>
  <c r="C3599" i="67" l="1"/>
  <c r="D3600" i="67"/>
  <c r="E3600" i="67"/>
  <c r="F3601" i="67"/>
  <c r="A3602" i="67"/>
  <c r="B3601" i="67"/>
  <c r="C3600" i="67" l="1"/>
  <c r="F3602" i="67"/>
  <c r="B3602" i="67"/>
  <c r="A3603" i="67"/>
  <c r="D3601" i="67"/>
  <c r="E3601" i="67"/>
  <c r="C3601" i="67" l="1"/>
  <c r="F3603" i="67"/>
  <c r="B3603" i="67"/>
  <c r="A3604" i="67"/>
  <c r="D3602" i="67"/>
  <c r="E3602" i="67"/>
  <c r="C3602" i="67" l="1"/>
  <c r="F3604" i="67"/>
  <c r="A3605" i="67"/>
  <c r="B3604" i="67"/>
  <c r="D3603" i="67"/>
  <c r="E3603" i="67"/>
  <c r="C3603" i="67" l="1"/>
  <c r="D3604" i="67"/>
  <c r="E3604" i="67"/>
  <c r="F3605" i="67"/>
  <c r="B3605" i="67"/>
  <c r="A3606" i="67"/>
  <c r="C3604" i="67" l="1"/>
  <c r="D3605" i="67"/>
  <c r="E3605" i="67"/>
  <c r="F3606" i="67"/>
  <c r="B3606" i="67"/>
  <c r="A3607" i="67"/>
  <c r="C3605" i="67" l="1"/>
  <c r="F3607" i="67"/>
  <c r="B3607" i="67"/>
  <c r="A3608" i="67"/>
  <c r="D3606" i="67"/>
  <c r="E3606" i="67"/>
  <c r="C3606" i="67" l="1"/>
  <c r="D3607" i="67"/>
  <c r="E3607" i="67"/>
  <c r="F3608" i="67"/>
  <c r="B3608" i="67"/>
  <c r="A3609" i="67"/>
  <c r="C3607" i="67" l="1"/>
  <c r="A3610" i="67"/>
  <c r="F3609" i="67"/>
  <c r="B3609" i="67"/>
  <c r="D3608" i="67"/>
  <c r="E3608" i="67"/>
  <c r="C3608" i="67" l="1"/>
  <c r="D3609" i="67"/>
  <c r="E3609" i="67"/>
  <c r="F3610" i="67"/>
  <c r="A3611" i="67"/>
  <c r="B3610" i="67"/>
  <c r="C3609" i="67" l="1"/>
  <c r="F3611" i="67"/>
  <c r="A3612" i="67"/>
  <c r="B3611" i="67"/>
  <c r="D3610" i="67"/>
  <c r="E3610" i="67"/>
  <c r="C3610" i="67" l="1"/>
  <c r="A3613" i="67"/>
  <c r="B3612" i="67"/>
  <c r="F3612" i="67"/>
  <c r="D3611" i="67"/>
  <c r="E3611" i="67"/>
  <c r="C3611" i="67" l="1"/>
  <c r="D3612" i="67"/>
  <c r="E3612" i="67"/>
  <c r="B3613" i="67"/>
  <c r="F3613" i="67"/>
  <c r="A3614" i="67"/>
  <c r="C3612" i="67" l="1"/>
  <c r="F3614" i="67"/>
  <c r="A3615" i="67"/>
  <c r="B3614" i="67"/>
  <c r="D3613" i="67"/>
  <c r="E3613" i="67"/>
  <c r="C3613" i="67" l="1"/>
  <c r="D3614" i="67"/>
  <c r="E3614" i="67"/>
  <c r="F3615" i="67"/>
  <c r="B3615" i="67"/>
  <c r="A3616" i="67"/>
  <c r="C3614" i="67" l="1"/>
  <c r="D3615" i="67"/>
  <c r="E3615" i="67"/>
  <c r="A3617" i="67"/>
  <c r="F3616" i="67"/>
  <c r="B3616" i="67"/>
  <c r="C3615" i="67" l="1"/>
  <c r="F3617" i="67"/>
  <c r="A3618" i="67"/>
  <c r="B3617" i="67"/>
  <c r="D3616" i="67"/>
  <c r="E3616" i="67"/>
  <c r="C3616" i="67" l="1"/>
  <c r="F3618" i="67"/>
  <c r="A3619" i="67"/>
  <c r="B3618" i="67"/>
  <c r="D3617" i="67"/>
  <c r="E3617" i="67"/>
  <c r="C3617" i="67" l="1"/>
  <c r="D3618" i="67"/>
  <c r="E3618" i="67"/>
  <c r="F3619" i="67"/>
  <c r="A3620" i="67"/>
  <c r="B3619" i="67"/>
  <c r="C3618" i="67" l="1"/>
  <c r="D3619" i="67"/>
  <c r="E3619" i="67"/>
  <c r="F3620" i="67"/>
  <c r="B3620" i="67"/>
  <c r="A3621" i="67"/>
  <c r="C3619" i="67" l="1"/>
  <c r="A3622" i="67"/>
  <c r="F3621" i="67"/>
  <c r="B3621" i="67"/>
  <c r="D3620" i="67"/>
  <c r="E3620" i="67"/>
  <c r="C3620" i="67" l="1"/>
  <c r="D3621" i="67"/>
  <c r="E3621" i="67"/>
  <c r="F3622" i="67"/>
  <c r="B3622" i="67"/>
  <c r="A3623" i="67"/>
  <c r="C3621" i="67" l="1"/>
  <c r="A3624" i="67"/>
  <c r="F3623" i="67"/>
  <c r="B3623" i="67"/>
  <c r="D3622" i="67"/>
  <c r="E3622" i="67"/>
  <c r="C3622" i="67" l="1"/>
  <c r="D3623" i="67"/>
  <c r="E3623" i="67"/>
  <c r="B3624" i="67"/>
  <c r="F3624" i="67"/>
  <c r="A3625" i="67"/>
  <c r="C3623" i="67" l="1"/>
  <c r="F3625" i="67"/>
  <c r="A3626" i="67"/>
  <c r="B3625" i="67"/>
  <c r="D3624" i="67"/>
  <c r="E3624" i="67"/>
  <c r="C3624" i="67" l="1"/>
  <c r="D3625" i="67"/>
  <c r="E3625" i="67"/>
  <c r="A3627" i="67"/>
  <c r="B3626" i="67"/>
  <c r="F3626" i="67"/>
  <c r="C3625" i="67" l="1"/>
  <c r="D3626" i="67"/>
  <c r="E3626" i="67"/>
  <c r="F3627" i="67"/>
  <c r="A3628" i="67"/>
  <c r="B3627" i="67"/>
  <c r="C3626" i="67" l="1"/>
  <c r="F3628" i="67"/>
  <c r="A3629" i="67"/>
  <c r="B3628" i="67"/>
  <c r="D3627" i="67"/>
  <c r="E3627" i="67"/>
  <c r="C3627" i="67" l="1"/>
  <c r="D3628" i="67"/>
  <c r="E3628" i="67"/>
  <c r="F3629" i="67"/>
  <c r="B3629" i="67"/>
  <c r="A3630" i="67"/>
  <c r="C3628" i="67" l="1"/>
  <c r="D3629" i="67"/>
  <c r="E3629" i="67"/>
  <c r="F3630" i="67"/>
  <c r="B3630" i="67"/>
  <c r="A3631" i="67"/>
  <c r="C3629" i="67" l="1"/>
  <c r="A3632" i="67"/>
  <c r="F3631" i="67"/>
  <c r="B3631" i="67"/>
  <c r="D3630" i="67"/>
  <c r="E3630" i="67"/>
  <c r="C3630" i="67" l="1"/>
  <c r="D3631" i="67"/>
  <c r="E3631" i="67"/>
  <c r="B3632" i="67"/>
  <c r="F3632" i="67"/>
  <c r="A3633" i="67"/>
  <c r="C3631" i="67" l="1"/>
  <c r="F3633" i="67"/>
  <c r="A3634" i="67"/>
  <c r="B3633" i="67"/>
  <c r="D3632" i="67"/>
  <c r="E3632" i="67"/>
  <c r="C3632" i="67" l="1"/>
  <c r="F3634" i="67"/>
  <c r="B3634" i="67"/>
  <c r="A3635" i="67"/>
  <c r="D3633" i="67"/>
  <c r="E3633" i="67"/>
  <c r="C3633" i="67" l="1"/>
  <c r="F3635" i="67"/>
  <c r="B3635" i="67"/>
  <c r="A3636" i="67"/>
  <c r="D3634" i="67"/>
  <c r="E3634" i="67"/>
  <c r="C3634" i="67" l="1"/>
  <c r="B3636" i="67"/>
  <c r="F3636" i="67"/>
  <c r="A3637" i="67"/>
  <c r="D3635" i="67"/>
  <c r="E3635" i="67"/>
  <c r="C3635" i="67" l="1"/>
  <c r="F3637" i="67"/>
  <c r="A3638" i="67"/>
  <c r="B3637" i="67"/>
  <c r="D3636" i="67"/>
  <c r="E3636" i="67"/>
  <c r="C3636" i="67" l="1"/>
  <c r="D3637" i="67"/>
  <c r="E3637" i="67"/>
  <c r="A3639" i="67"/>
  <c r="B3638" i="67"/>
  <c r="F3638" i="67"/>
  <c r="C3637" i="67" l="1"/>
  <c r="D3638" i="67"/>
  <c r="E3638" i="67"/>
  <c r="F3639" i="67"/>
  <c r="A3640" i="67"/>
  <c r="B3639" i="67"/>
  <c r="C3638" i="67" l="1"/>
  <c r="D3639" i="67"/>
  <c r="E3639" i="67"/>
  <c r="F3640" i="67"/>
  <c r="B3640" i="67"/>
  <c r="A3641" i="67"/>
  <c r="C3639" i="67" l="1"/>
  <c r="F3641" i="67"/>
  <c r="A3642" i="67"/>
  <c r="B3641" i="67"/>
  <c r="D3640" i="67"/>
  <c r="E3640" i="67"/>
  <c r="C3640" i="67" l="1"/>
  <c r="F3642" i="67"/>
  <c r="B3642" i="67"/>
  <c r="A3643" i="67"/>
  <c r="D3641" i="67"/>
  <c r="E3641" i="67"/>
  <c r="C3641" i="67" l="1"/>
  <c r="F3643" i="67"/>
  <c r="A3644" i="67"/>
  <c r="B3643" i="67"/>
  <c r="D3642" i="67"/>
  <c r="E3642" i="67"/>
  <c r="C3642" i="67" l="1"/>
  <c r="D3643" i="67"/>
  <c r="E3643" i="67"/>
  <c r="F3644" i="67"/>
  <c r="A3645" i="67"/>
  <c r="B3644" i="67"/>
  <c r="C3643" i="67" l="1"/>
  <c r="D3644" i="67"/>
  <c r="E3644" i="67"/>
  <c r="F3645" i="67"/>
  <c r="A3646" i="67"/>
  <c r="B3645" i="67"/>
  <c r="C3644" i="67" l="1"/>
  <c r="D3645" i="67"/>
  <c r="E3645" i="67"/>
  <c r="F3646" i="67"/>
  <c r="A3647" i="67"/>
  <c r="B3646" i="67"/>
  <c r="C3645" i="67" l="1"/>
  <c r="D3646" i="67"/>
  <c r="E3646" i="67"/>
  <c r="B3647" i="67"/>
  <c r="A3648" i="67"/>
  <c r="F3647" i="67"/>
  <c r="C3646" i="67" l="1"/>
  <c r="A3649" i="67"/>
  <c r="F3648" i="67"/>
  <c r="B3648" i="67"/>
  <c r="D3647" i="67"/>
  <c r="E3647" i="67"/>
  <c r="C3647" i="67" l="1"/>
  <c r="D3648" i="67"/>
  <c r="E3648" i="67"/>
  <c r="F3649" i="67"/>
  <c r="B3649" i="67"/>
  <c r="A3650" i="67"/>
  <c r="C3648" i="67" l="1"/>
  <c r="A3651" i="67"/>
  <c r="F3650" i="67"/>
  <c r="B3650" i="67"/>
  <c r="D3649" i="67"/>
  <c r="E3649" i="67"/>
  <c r="C3649" i="67" l="1"/>
  <c r="D3650" i="67"/>
  <c r="E3650" i="67"/>
  <c r="A3652" i="67"/>
  <c r="B3651" i="67"/>
  <c r="F3651" i="67"/>
  <c r="C3650" i="67" l="1"/>
  <c r="D3651" i="67"/>
  <c r="E3651" i="67"/>
  <c r="F3652" i="67"/>
  <c r="B3652" i="67"/>
  <c r="A3653" i="67"/>
  <c r="C3651" i="67" l="1"/>
  <c r="D3652" i="67"/>
  <c r="E3652" i="67"/>
  <c r="F3653" i="67"/>
  <c r="A3654" i="67"/>
  <c r="B3653" i="67"/>
  <c r="C3652" i="67" l="1"/>
  <c r="F3654" i="67"/>
  <c r="B3654" i="67"/>
  <c r="A3655" i="67"/>
  <c r="D3653" i="67"/>
  <c r="E3653" i="67"/>
  <c r="C3653" i="67" l="1"/>
  <c r="F3655" i="67"/>
  <c r="A3656" i="67"/>
  <c r="B3655" i="67"/>
  <c r="D3654" i="67"/>
  <c r="E3654" i="67"/>
  <c r="C3654" i="67" l="1"/>
  <c r="D3655" i="67"/>
  <c r="E3655" i="67"/>
  <c r="F3656" i="67"/>
  <c r="B3656" i="67"/>
  <c r="A3657" i="67"/>
  <c r="C3655" i="67" l="1"/>
  <c r="B3657" i="67"/>
  <c r="F3657" i="67"/>
  <c r="A3658" i="67"/>
  <c r="D3656" i="67"/>
  <c r="E3656" i="67"/>
  <c r="C3656" i="67" l="1"/>
  <c r="A3659" i="67"/>
  <c r="F3658" i="67"/>
  <c r="B3658" i="67"/>
  <c r="D3657" i="67"/>
  <c r="E3657" i="67"/>
  <c r="C3657" i="67" l="1"/>
  <c r="D3658" i="67"/>
  <c r="E3658" i="67"/>
  <c r="A3660" i="67"/>
  <c r="F3659" i="67"/>
  <c r="B3659" i="67"/>
  <c r="C3658" i="67" l="1"/>
  <c r="D3659" i="67"/>
  <c r="E3659" i="67"/>
  <c r="A3661" i="67"/>
  <c r="B3660" i="67"/>
  <c r="F3660" i="67"/>
  <c r="C3659" i="67" l="1"/>
  <c r="B3661" i="67"/>
  <c r="A3662" i="67"/>
  <c r="F3661" i="67"/>
  <c r="D3660" i="67"/>
  <c r="E3660" i="67"/>
  <c r="C3660" i="67" l="1"/>
  <c r="B3662" i="67"/>
  <c r="F3662" i="67"/>
  <c r="A3663" i="67"/>
  <c r="D3661" i="67"/>
  <c r="E3661" i="67"/>
  <c r="C3661" i="67" l="1"/>
  <c r="F3663" i="67"/>
  <c r="A3664" i="67"/>
  <c r="B3663" i="67"/>
  <c r="D3662" i="67"/>
  <c r="E3662" i="67"/>
  <c r="C3662" i="67" l="1"/>
  <c r="D3663" i="67"/>
  <c r="E3663" i="67"/>
  <c r="A3665" i="67"/>
  <c r="F3664" i="67"/>
  <c r="B3664" i="67"/>
  <c r="C3663" i="67" l="1"/>
  <c r="D3664" i="67"/>
  <c r="E3664" i="67"/>
  <c r="F3665" i="67"/>
  <c r="B3665" i="67"/>
  <c r="A3666" i="67"/>
  <c r="C3664" i="67" l="1"/>
  <c r="F3666" i="67"/>
  <c r="B3666" i="67"/>
  <c r="A3667" i="67"/>
  <c r="D3665" i="67"/>
  <c r="E3665" i="67"/>
  <c r="C3665" i="67" l="1"/>
  <c r="D3666" i="67"/>
  <c r="E3666" i="67"/>
  <c r="F3667" i="67"/>
  <c r="A3668" i="67"/>
  <c r="B3667" i="67"/>
  <c r="C3666" i="67" l="1"/>
  <c r="A3669" i="67"/>
  <c r="B3668" i="67"/>
  <c r="F3668" i="67"/>
  <c r="D3667" i="67"/>
  <c r="E3667" i="67"/>
  <c r="C3667" i="67" l="1"/>
  <c r="D3668" i="67"/>
  <c r="E3668" i="67"/>
  <c r="F3669" i="67"/>
  <c r="A3670" i="67"/>
  <c r="B3669" i="67"/>
  <c r="C3668" i="67" l="1"/>
  <c r="D3669" i="67"/>
  <c r="E3669" i="67"/>
  <c r="A3671" i="67"/>
  <c r="B3670" i="67"/>
  <c r="F3670" i="67"/>
  <c r="C3669" i="67" l="1"/>
  <c r="D3670" i="67"/>
  <c r="E3670" i="67"/>
  <c r="B3671" i="67"/>
  <c r="F3671" i="67"/>
  <c r="A3672" i="67"/>
  <c r="C3670" i="67" l="1"/>
  <c r="A3673" i="67"/>
  <c r="B3672" i="67"/>
  <c r="F3672" i="67"/>
  <c r="D3671" i="67"/>
  <c r="E3671" i="67"/>
  <c r="C3671" i="67" l="1"/>
  <c r="D3672" i="67"/>
  <c r="E3672" i="67"/>
  <c r="F3673" i="67"/>
  <c r="B3673" i="67"/>
  <c r="A3674" i="67"/>
  <c r="C3672" i="67" l="1"/>
  <c r="A3675" i="67"/>
  <c r="B3674" i="67"/>
  <c r="F3674" i="67"/>
  <c r="D3673" i="67"/>
  <c r="E3673" i="67"/>
  <c r="C3673" i="67" l="1"/>
  <c r="D3674" i="67"/>
  <c r="E3674" i="67"/>
  <c r="B3675" i="67"/>
  <c r="F3675" i="67"/>
  <c r="A3676" i="67"/>
  <c r="C3674" i="67" l="1"/>
  <c r="F3676" i="67"/>
  <c r="A3677" i="67"/>
  <c r="B3676" i="67"/>
  <c r="D3675" i="67"/>
  <c r="E3675" i="67"/>
  <c r="C3675" i="67" l="1"/>
  <c r="D3676" i="67"/>
  <c r="E3676" i="67"/>
  <c r="B3677" i="67"/>
  <c r="F3677" i="67"/>
  <c r="A3678" i="67"/>
  <c r="C3676" i="67" l="1"/>
  <c r="A3679" i="67"/>
  <c r="F3678" i="67"/>
  <c r="B3678" i="67"/>
  <c r="D3677" i="67"/>
  <c r="E3677" i="67"/>
  <c r="C3677" i="67" l="1"/>
  <c r="D3678" i="67"/>
  <c r="E3678" i="67"/>
  <c r="F3679" i="67"/>
  <c r="B3679" i="67"/>
  <c r="A3680" i="67"/>
  <c r="C3678" i="67" l="1"/>
  <c r="D3679" i="67"/>
  <c r="E3679" i="67"/>
  <c r="F3680" i="67"/>
  <c r="A3681" i="67"/>
  <c r="B3680" i="67"/>
  <c r="C3679" i="67" l="1"/>
  <c r="D3680" i="67"/>
  <c r="E3680" i="67"/>
  <c r="B3681" i="67"/>
  <c r="F3681" i="67"/>
  <c r="A3682" i="67"/>
  <c r="C3680" i="67" l="1"/>
  <c r="F3682" i="67"/>
  <c r="A3683" i="67"/>
  <c r="B3682" i="67"/>
  <c r="D3681" i="67"/>
  <c r="E3681" i="67"/>
  <c r="C3681" i="67" l="1"/>
  <c r="D3682" i="67"/>
  <c r="E3682" i="67"/>
  <c r="F3683" i="67"/>
  <c r="A3684" i="67"/>
  <c r="B3683" i="67"/>
  <c r="C3682" i="67" l="1"/>
  <c r="F3684" i="67"/>
  <c r="A3685" i="67"/>
  <c r="B3684" i="67"/>
  <c r="D3683" i="67"/>
  <c r="E3683" i="67"/>
  <c r="C3683" i="67" l="1"/>
  <c r="D3684" i="67"/>
  <c r="E3684" i="67"/>
  <c r="F3685" i="67"/>
  <c r="B3685" i="67"/>
  <c r="A3686" i="67"/>
  <c r="C3684" i="67" l="1"/>
  <c r="A3687" i="67"/>
  <c r="F3686" i="67"/>
  <c r="B3686" i="67"/>
  <c r="D3685" i="67"/>
  <c r="E3685" i="67"/>
  <c r="C3685" i="67" l="1"/>
  <c r="D3686" i="67"/>
  <c r="E3686" i="67"/>
  <c r="F3687" i="67"/>
  <c r="A3688" i="67"/>
  <c r="B3687" i="67"/>
  <c r="C3686" i="67" l="1"/>
  <c r="F3688" i="67"/>
  <c r="B3688" i="67"/>
  <c r="A3689" i="67"/>
  <c r="D3687" i="67"/>
  <c r="E3687" i="67"/>
  <c r="C3687" i="67" l="1"/>
  <c r="D3688" i="67"/>
  <c r="E3688" i="67"/>
  <c r="C3688" i="67" s="1"/>
  <c r="F3689" i="67"/>
  <c r="A3690" i="67"/>
  <c r="B3689" i="67"/>
  <c r="D3689" i="67" l="1"/>
  <c r="E3689" i="67"/>
  <c r="A3691" i="67"/>
  <c r="F3690" i="67"/>
  <c r="B3690" i="67"/>
  <c r="C3689" i="67" l="1"/>
  <c r="F3691" i="67"/>
  <c r="A3692" i="67"/>
  <c r="B3691" i="67"/>
  <c r="D3690" i="67"/>
  <c r="E3690" i="67"/>
  <c r="C3690" i="67" l="1"/>
  <c r="D3691" i="67"/>
  <c r="E3691" i="67"/>
  <c r="F3692" i="67"/>
  <c r="A3693" i="67"/>
  <c r="B3692" i="67"/>
  <c r="C3691" i="67" l="1"/>
  <c r="D3692" i="67"/>
  <c r="E3692" i="67"/>
  <c r="A3694" i="67"/>
  <c r="F3693" i="67"/>
  <c r="B3693" i="67"/>
  <c r="C3692" i="67" l="1"/>
  <c r="D3693" i="67"/>
  <c r="E3693" i="67"/>
  <c r="A3695" i="67"/>
  <c r="F3694" i="67"/>
  <c r="B3694" i="67"/>
  <c r="C3693" i="67" l="1"/>
  <c r="D3694" i="67"/>
  <c r="E3694" i="67"/>
  <c r="F3695" i="67"/>
  <c r="A3696" i="67"/>
  <c r="B3695" i="67"/>
  <c r="C3694" i="67" l="1"/>
  <c r="D3695" i="67"/>
  <c r="E3695" i="67"/>
  <c r="B3696" i="67"/>
  <c r="F3696" i="67"/>
  <c r="A3697" i="67"/>
  <c r="C3695" i="67" l="1"/>
  <c r="B3697" i="67"/>
  <c r="A3698" i="67"/>
  <c r="F3697" i="67"/>
  <c r="D3696" i="67"/>
  <c r="E3696" i="67"/>
  <c r="C3696" i="67" l="1"/>
  <c r="F3698" i="67"/>
  <c r="A3699" i="67"/>
  <c r="B3698" i="67"/>
  <c r="D3697" i="67"/>
  <c r="E3697" i="67"/>
  <c r="C3697" i="67" l="1"/>
  <c r="D3698" i="67"/>
  <c r="E3698" i="67"/>
  <c r="F3699" i="67"/>
  <c r="B3699" i="67"/>
  <c r="A3700" i="67"/>
  <c r="C3698" i="67" l="1"/>
  <c r="A3701" i="67"/>
  <c r="B3700" i="67"/>
  <c r="F3700" i="67"/>
  <c r="D3699" i="67"/>
  <c r="E3699" i="67"/>
  <c r="C3699" i="67" l="1"/>
  <c r="D3700" i="67"/>
  <c r="E3700" i="67"/>
  <c r="F3701" i="67"/>
  <c r="A3702" i="67"/>
  <c r="B3701" i="67"/>
  <c r="C3700" i="67" l="1"/>
  <c r="D3701" i="67"/>
  <c r="E3701" i="67"/>
  <c r="F3702" i="67"/>
  <c r="B3702" i="67"/>
  <c r="A3703" i="67"/>
  <c r="C3701" i="67" l="1"/>
  <c r="B3703" i="67"/>
  <c r="F3703" i="67"/>
  <c r="A3704" i="67"/>
  <c r="D3702" i="67"/>
  <c r="E3702" i="67"/>
  <c r="C3702" i="67" l="1"/>
  <c r="A3705" i="67"/>
  <c r="B3704" i="67"/>
  <c r="F3704" i="67"/>
  <c r="D3703" i="67"/>
  <c r="E3703" i="67"/>
  <c r="C3703" i="67" l="1"/>
  <c r="D3704" i="67"/>
  <c r="E3704" i="67"/>
  <c r="A3706" i="67"/>
  <c r="B3705" i="67"/>
  <c r="F3705" i="67"/>
  <c r="C3704" i="67" l="1"/>
  <c r="F3706" i="67"/>
  <c r="B3706" i="67"/>
  <c r="A3707" i="67"/>
  <c r="D3705" i="67"/>
  <c r="E3705" i="67"/>
  <c r="C3705" i="67" l="1"/>
  <c r="F3707" i="67"/>
  <c r="A3708" i="67"/>
  <c r="B3707" i="67"/>
  <c r="D3706" i="67"/>
  <c r="E3706" i="67"/>
  <c r="C3706" i="67" l="1"/>
  <c r="D3707" i="67"/>
  <c r="E3707" i="67"/>
  <c r="F3708" i="67"/>
  <c r="A3709" i="67"/>
  <c r="B3708" i="67"/>
  <c r="C3707" i="67" l="1"/>
  <c r="D3708" i="67"/>
  <c r="E3708" i="67"/>
  <c r="C3708" i="67" s="1"/>
  <c r="B3709" i="67"/>
  <c r="F3709" i="67"/>
  <c r="A3710" i="67"/>
  <c r="B3710" i="67" l="1"/>
  <c r="F3710" i="67"/>
  <c r="A3711" i="67"/>
  <c r="D3709" i="67"/>
  <c r="E3709" i="67"/>
  <c r="C3709" i="67" l="1"/>
  <c r="B3711" i="67"/>
  <c r="F3711" i="67"/>
  <c r="A3712" i="67"/>
  <c r="D3710" i="67"/>
  <c r="E3710" i="67"/>
  <c r="C3710" i="67" l="1"/>
  <c r="F3712" i="67"/>
  <c r="A3713" i="67"/>
  <c r="B3712" i="67"/>
  <c r="D3711" i="67"/>
  <c r="E3711" i="67"/>
  <c r="C3711" i="67" l="1"/>
  <c r="B3713" i="67"/>
  <c r="A3714" i="67"/>
  <c r="F3713" i="67"/>
  <c r="D3712" i="67"/>
  <c r="E3712" i="67"/>
  <c r="C3712" i="67" l="1"/>
  <c r="B3714" i="67"/>
  <c r="F3714" i="67"/>
  <c r="A3715" i="67"/>
  <c r="D3713" i="67"/>
  <c r="E3713" i="67"/>
  <c r="C3713" i="67" l="1"/>
  <c r="F3715" i="67"/>
  <c r="B3715" i="67"/>
  <c r="A3716" i="67"/>
  <c r="D3714" i="67"/>
  <c r="E3714" i="67"/>
  <c r="C3714" i="67" l="1"/>
  <c r="B3716" i="67"/>
  <c r="F3716" i="67"/>
  <c r="A3717" i="67"/>
  <c r="D3715" i="67"/>
  <c r="E3715" i="67"/>
  <c r="C3715" i="67" l="1"/>
  <c r="F3717" i="67"/>
  <c r="B3717" i="67"/>
  <c r="A3718" i="67"/>
  <c r="D3716" i="67"/>
  <c r="E3716" i="67"/>
  <c r="C3716" i="67" l="1"/>
  <c r="F3718" i="67"/>
  <c r="B3718" i="67"/>
  <c r="A3719" i="67"/>
  <c r="D3717" i="67"/>
  <c r="E3717" i="67"/>
  <c r="C3717" i="67" l="1"/>
  <c r="B3719" i="67"/>
  <c r="F3719" i="67"/>
  <c r="A3720" i="67"/>
  <c r="D3718" i="67"/>
  <c r="E3718" i="67"/>
  <c r="C3718" i="67" l="1"/>
  <c r="B3720" i="67"/>
  <c r="F3720" i="67"/>
  <c r="A3721" i="67"/>
  <c r="D3719" i="67"/>
  <c r="E3719" i="67"/>
  <c r="C3719" i="67" l="1"/>
  <c r="F3721" i="67"/>
  <c r="A3722" i="67"/>
  <c r="B3721" i="67"/>
  <c r="D3720" i="67"/>
  <c r="E3720" i="67"/>
  <c r="C3720" i="67" l="1"/>
  <c r="D3721" i="67"/>
  <c r="E3721" i="67"/>
  <c r="F3722" i="67"/>
  <c r="B3722" i="67"/>
  <c r="A3723" i="67"/>
  <c r="C3721" i="67" l="1"/>
  <c r="D3722" i="67"/>
  <c r="E3722" i="67"/>
  <c r="F3723" i="67"/>
  <c r="A3724" i="67"/>
  <c r="B3723" i="67"/>
  <c r="C3722" i="67" l="1"/>
  <c r="D3723" i="67"/>
  <c r="E3723" i="67"/>
  <c r="A3725" i="67"/>
  <c r="F3724" i="67"/>
  <c r="B3724" i="67"/>
  <c r="C3723" i="67" l="1"/>
  <c r="D3724" i="67"/>
  <c r="E3724" i="67"/>
  <c r="F3725" i="67"/>
  <c r="A3726" i="67"/>
  <c r="B3725" i="67"/>
  <c r="C3724" i="67" l="1"/>
  <c r="D3725" i="67"/>
  <c r="E3725" i="67"/>
  <c r="A3727" i="67"/>
  <c r="F3726" i="67"/>
  <c r="B3726" i="67"/>
  <c r="C3725" i="67" l="1"/>
  <c r="D3726" i="67"/>
  <c r="E3726" i="67"/>
  <c r="F3727" i="67"/>
  <c r="A3728" i="67"/>
  <c r="B3727" i="67"/>
  <c r="C3726" i="67" l="1"/>
  <c r="A3729" i="67"/>
  <c r="B3728" i="67"/>
  <c r="F3728" i="67"/>
  <c r="D3727" i="67"/>
  <c r="E3727" i="67"/>
  <c r="C3727" i="67" l="1"/>
  <c r="D3728" i="67"/>
  <c r="E3728" i="67"/>
  <c r="F3729" i="67"/>
  <c r="A3730" i="67"/>
  <c r="B3729" i="67"/>
  <c r="C3728" i="67" l="1"/>
  <c r="D3729" i="67"/>
  <c r="E3729" i="67"/>
  <c r="F3730" i="67"/>
  <c r="B3730" i="67"/>
  <c r="A3731" i="67"/>
  <c r="C3729" i="67" l="1"/>
  <c r="F3731" i="67"/>
  <c r="A3732" i="67"/>
  <c r="B3731" i="67"/>
  <c r="D3730" i="67"/>
  <c r="E3730" i="67"/>
  <c r="C3730" i="67" l="1"/>
  <c r="D3731" i="67"/>
  <c r="E3731" i="67"/>
  <c r="F3732" i="67"/>
  <c r="A3733" i="67"/>
  <c r="B3732" i="67"/>
  <c r="C3731" i="67" l="1"/>
  <c r="D3732" i="67"/>
  <c r="E3732" i="67"/>
  <c r="B3733" i="67"/>
  <c r="F3733" i="67"/>
  <c r="A3734" i="67"/>
  <c r="C3732" i="67" l="1"/>
  <c r="A3735" i="67"/>
  <c r="B3734" i="67"/>
  <c r="F3734" i="67"/>
  <c r="D3733" i="67"/>
  <c r="E3733" i="67"/>
  <c r="C3733" i="67" l="1"/>
  <c r="D3734" i="67"/>
  <c r="E3734" i="67"/>
  <c r="B3735" i="67"/>
  <c r="F3735" i="67"/>
  <c r="A3736" i="67"/>
  <c r="C3734" i="67" l="1"/>
  <c r="F3736" i="67"/>
  <c r="A3737" i="67"/>
  <c r="B3736" i="67"/>
  <c r="D3735" i="67"/>
  <c r="E3735" i="67"/>
  <c r="C3735" i="67" l="1"/>
  <c r="D3736" i="67"/>
  <c r="E3736" i="67"/>
  <c r="B3737" i="67"/>
  <c r="F3737" i="67"/>
  <c r="A3738" i="67"/>
  <c r="C3736" i="67" l="1"/>
  <c r="F3738" i="67"/>
  <c r="A3739" i="67"/>
  <c r="B3738" i="67"/>
  <c r="D3737" i="67"/>
  <c r="E3737" i="67"/>
  <c r="C3737" i="67" l="1"/>
  <c r="D3738" i="67"/>
  <c r="E3738" i="67"/>
  <c r="B3739" i="67"/>
  <c r="F3739" i="67"/>
  <c r="A3740" i="67"/>
  <c r="C3738" i="67" l="1"/>
  <c r="B3740" i="67"/>
  <c r="F3740" i="67"/>
  <c r="A3741" i="67"/>
  <c r="D3739" i="67"/>
  <c r="E3739" i="67"/>
  <c r="C3739" i="67" l="1"/>
  <c r="F3741" i="67"/>
  <c r="A3742" i="67"/>
  <c r="B3741" i="67"/>
  <c r="D3740" i="67"/>
  <c r="E3740" i="67"/>
  <c r="C3740" i="67" l="1"/>
  <c r="D3741" i="67"/>
  <c r="E3741" i="67"/>
  <c r="A3743" i="67"/>
  <c r="F3742" i="67"/>
  <c r="B3742" i="67"/>
  <c r="C3741" i="67" l="1"/>
  <c r="D3742" i="67"/>
  <c r="E3742" i="67"/>
  <c r="A3744" i="67"/>
  <c r="F3743" i="67"/>
  <c r="B3743" i="67"/>
  <c r="C3742" i="67" l="1"/>
  <c r="D3743" i="67"/>
  <c r="E3743" i="67"/>
  <c r="F3744" i="67"/>
  <c r="A3745" i="67"/>
  <c r="B3744" i="67"/>
  <c r="C3743" i="67" l="1"/>
  <c r="D3744" i="67"/>
  <c r="E3744" i="67"/>
  <c r="F3745" i="67"/>
  <c r="A3746" i="67"/>
  <c r="B3745" i="67"/>
  <c r="C3744" i="67" l="1"/>
  <c r="F3746" i="67"/>
  <c r="A3747" i="67"/>
  <c r="B3746" i="67"/>
  <c r="D3745" i="67"/>
  <c r="E3745" i="67"/>
  <c r="C3745" i="67" l="1"/>
  <c r="D3746" i="67"/>
  <c r="E3746" i="67"/>
  <c r="F3747" i="67"/>
  <c r="B3747" i="67"/>
  <c r="A3748" i="67"/>
  <c r="C3746" i="67" l="1"/>
  <c r="F3748" i="67"/>
  <c r="A3749" i="67"/>
  <c r="B3748" i="67"/>
  <c r="D3747" i="67"/>
  <c r="E3747" i="67"/>
  <c r="C3747" i="67" l="1"/>
  <c r="D3748" i="67"/>
  <c r="E3748" i="67"/>
  <c r="F3749" i="67"/>
  <c r="A3750" i="67"/>
  <c r="B3749" i="67"/>
  <c r="C3748" i="67" l="1"/>
  <c r="D3749" i="67"/>
  <c r="E3749" i="67"/>
  <c r="F3750" i="67"/>
  <c r="A3751" i="67"/>
  <c r="B3750" i="67"/>
  <c r="C3749" i="67" l="1"/>
  <c r="D3750" i="67"/>
  <c r="E3750" i="67"/>
  <c r="F3751" i="67"/>
  <c r="A3752" i="67"/>
  <c r="B3751" i="67"/>
  <c r="C3750" i="67" l="1"/>
  <c r="F3752" i="67"/>
  <c r="A3753" i="67"/>
  <c r="B3752" i="67"/>
  <c r="D3751" i="67"/>
  <c r="E3751" i="67"/>
  <c r="C3751" i="67" l="1"/>
  <c r="D3752" i="67"/>
  <c r="E3752" i="67"/>
  <c r="F3753" i="67"/>
  <c r="A3754" i="67"/>
  <c r="B3753" i="67"/>
  <c r="C3752" i="67" l="1"/>
  <c r="D3753" i="67"/>
  <c r="E3753" i="67"/>
  <c r="C3753" i="67" s="1"/>
  <c r="F3754" i="67"/>
  <c r="A3755" i="67"/>
  <c r="B3754" i="67"/>
  <c r="D3754" i="67" l="1"/>
  <c r="E3754" i="67"/>
  <c r="F3755" i="67"/>
  <c r="A3756" i="67"/>
  <c r="B3755" i="67"/>
  <c r="C3754" i="67" l="1"/>
  <c r="D3755" i="67"/>
  <c r="E3755" i="67"/>
  <c r="F3756" i="67"/>
  <c r="A3757" i="67"/>
  <c r="B3756" i="67"/>
  <c r="C3755" i="67" l="1"/>
  <c r="F3757" i="67"/>
  <c r="A3758" i="67"/>
  <c r="B3757" i="67"/>
  <c r="D3756" i="67"/>
  <c r="E3756" i="67"/>
  <c r="C3756" i="67" l="1"/>
  <c r="D3757" i="67"/>
  <c r="E3757" i="67"/>
  <c r="F3758" i="67"/>
  <c r="A3759" i="67"/>
  <c r="B3758" i="67"/>
  <c r="C3757" i="67" l="1"/>
  <c r="B3759" i="67"/>
  <c r="F3759" i="67"/>
  <c r="A3760" i="67"/>
  <c r="D3758" i="67"/>
  <c r="E3758" i="67"/>
  <c r="C3758" i="67" l="1"/>
  <c r="F3760" i="67"/>
  <c r="B3760" i="67"/>
  <c r="A3761" i="67"/>
  <c r="D3759" i="67"/>
  <c r="E3759" i="67"/>
  <c r="C3759" i="67" l="1"/>
  <c r="F3761" i="67"/>
  <c r="B3761" i="67"/>
  <c r="A3762" i="67"/>
  <c r="D3760" i="67"/>
  <c r="E3760" i="67"/>
  <c r="C3760" i="67" l="1"/>
  <c r="D3761" i="67"/>
  <c r="E3761" i="67"/>
  <c r="F3762" i="67"/>
  <c r="A3763" i="67"/>
  <c r="B3762" i="67"/>
  <c r="C3761" i="67" l="1"/>
  <c r="D3762" i="67"/>
  <c r="E3762" i="67"/>
  <c r="A3764" i="67"/>
  <c r="F3763" i="67"/>
  <c r="B3763" i="67"/>
  <c r="C3762" i="67" l="1"/>
  <c r="D3763" i="67"/>
  <c r="E3763" i="67"/>
  <c r="F3764" i="67"/>
  <c r="A3765" i="67"/>
  <c r="B3764" i="67"/>
  <c r="C3763" i="67" l="1"/>
  <c r="D3764" i="67"/>
  <c r="E3764" i="67"/>
  <c r="F3765" i="67"/>
  <c r="A3766" i="67"/>
  <c r="B3765" i="67"/>
  <c r="C3764" i="67" l="1"/>
  <c r="F3766" i="67"/>
  <c r="A3767" i="67"/>
  <c r="B3766" i="67"/>
  <c r="D3765" i="67"/>
  <c r="E3765" i="67"/>
  <c r="C3765" i="67" l="1"/>
  <c r="D3766" i="67"/>
  <c r="E3766" i="67"/>
  <c r="F3767" i="67"/>
  <c r="A3768" i="67"/>
  <c r="B3767" i="67"/>
  <c r="C3766" i="67" l="1"/>
  <c r="D3767" i="67"/>
  <c r="E3767" i="67"/>
  <c r="F3768" i="67"/>
  <c r="A3769" i="67"/>
  <c r="B3768" i="67"/>
  <c r="C3767" i="67" l="1"/>
  <c r="D3768" i="67"/>
  <c r="E3768" i="67"/>
  <c r="F3769" i="67"/>
  <c r="B3769" i="67"/>
  <c r="A3770" i="67"/>
  <c r="C3768" i="67" l="1"/>
  <c r="D3769" i="67"/>
  <c r="E3769" i="67"/>
  <c r="F3770" i="67"/>
  <c r="A3771" i="67"/>
  <c r="B3770" i="67"/>
  <c r="C3769" i="67" l="1"/>
  <c r="A3772" i="67"/>
  <c r="F3771" i="67"/>
  <c r="B3771" i="67"/>
  <c r="D3770" i="67"/>
  <c r="E3770" i="67"/>
  <c r="C3770" i="67" l="1"/>
  <c r="D3771" i="67"/>
  <c r="E3771" i="67"/>
  <c r="F3772" i="67"/>
  <c r="B3772" i="67"/>
  <c r="A3773" i="67"/>
  <c r="C3771" i="67" l="1"/>
  <c r="F3773" i="67"/>
  <c r="B3773" i="67"/>
  <c r="A3774" i="67"/>
  <c r="D3772" i="67"/>
  <c r="E3772" i="67"/>
  <c r="C3772" i="67" l="1"/>
  <c r="F3774" i="67"/>
  <c r="A3775" i="67"/>
  <c r="B3774" i="67"/>
  <c r="D3773" i="67"/>
  <c r="E3773" i="67"/>
  <c r="C3773" i="67" l="1"/>
  <c r="D3774" i="67"/>
  <c r="E3774" i="67"/>
  <c r="A3776" i="67"/>
  <c r="F3775" i="67"/>
  <c r="B3775" i="67"/>
  <c r="C3774" i="67" l="1"/>
  <c r="D3775" i="67"/>
  <c r="E3775" i="67"/>
  <c r="F3776" i="67"/>
  <c r="B3776" i="67"/>
  <c r="A3777" i="67"/>
  <c r="C3775" i="67" l="1"/>
  <c r="B3777" i="67"/>
  <c r="A3778" i="67"/>
  <c r="F3777" i="67"/>
  <c r="D3776" i="67"/>
  <c r="E3776" i="67"/>
  <c r="C3776" i="67" l="1"/>
  <c r="B3778" i="67"/>
  <c r="A3779" i="67"/>
  <c r="F3778" i="67"/>
  <c r="D3777" i="67"/>
  <c r="E3777" i="67"/>
  <c r="C3777" i="67" l="1"/>
  <c r="F3779" i="67"/>
  <c r="B3779" i="67"/>
  <c r="A3780" i="67"/>
  <c r="D3778" i="67"/>
  <c r="E3778" i="67"/>
  <c r="C3778" i="67" l="1"/>
  <c r="D3779" i="67"/>
  <c r="E3779" i="67"/>
  <c r="B3780" i="67"/>
  <c r="F3780" i="67"/>
  <c r="A3781" i="67"/>
  <c r="C3779" i="67" l="1"/>
  <c r="F3781" i="67"/>
  <c r="B3781" i="67"/>
  <c r="A3782" i="67"/>
  <c r="D3780" i="67"/>
  <c r="E3780" i="67"/>
  <c r="C3780" i="67" l="1"/>
  <c r="F3782" i="67"/>
  <c r="B3782" i="67"/>
  <c r="A3783" i="67"/>
  <c r="D3781" i="67"/>
  <c r="E3781" i="67"/>
  <c r="C3781" i="67" l="1"/>
  <c r="D3782" i="67"/>
  <c r="E3782" i="67"/>
  <c r="F3783" i="67"/>
  <c r="B3783" i="67"/>
  <c r="A3784" i="67"/>
  <c r="C3782" i="67" l="1"/>
  <c r="D3783" i="67"/>
  <c r="E3783" i="67"/>
  <c r="F3784" i="67"/>
  <c r="A3785" i="67"/>
  <c r="B3784" i="67"/>
  <c r="C3783" i="67" l="1"/>
  <c r="D3784" i="67"/>
  <c r="E3784" i="67"/>
  <c r="F3785" i="67"/>
  <c r="B3785" i="67"/>
  <c r="A3786" i="67"/>
  <c r="C3784" i="67" l="1"/>
  <c r="F3786" i="67"/>
  <c r="B3786" i="67"/>
  <c r="A3787" i="67"/>
  <c r="D3785" i="67"/>
  <c r="E3785" i="67"/>
  <c r="C3785" i="67" l="1"/>
  <c r="A3788" i="67"/>
  <c r="F3787" i="67"/>
  <c r="B3787" i="67"/>
  <c r="D3786" i="67"/>
  <c r="E3786" i="67"/>
  <c r="C3786" i="67" l="1"/>
  <c r="D3787" i="67"/>
  <c r="E3787" i="67"/>
  <c r="B3788" i="67"/>
  <c r="A3789" i="67"/>
  <c r="F3788" i="67"/>
  <c r="C3787" i="67" l="1"/>
  <c r="A3790" i="67"/>
  <c r="B3789" i="67"/>
  <c r="F3789" i="67"/>
  <c r="D3788" i="67"/>
  <c r="E3788" i="67"/>
  <c r="C3788" i="67" l="1"/>
  <c r="D3789" i="67"/>
  <c r="E3789" i="67"/>
  <c r="B3790" i="67"/>
  <c r="F3790" i="67"/>
  <c r="A3791" i="67"/>
  <c r="C3789" i="67" l="1"/>
  <c r="F3791" i="67"/>
  <c r="A3792" i="67"/>
  <c r="B3791" i="67"/>
  <c r="D3790" i="67"/>
  <c r="E3790" i="67"/>
  <c r="C3790" i="67" l="1"/>
  <c r="D3791" i="67"/>
  <c r="E3791" i="67"/>
  <c r="B3792" i="67"/>
  <c r="F3792" i="67"/>
  <c r="A3793" i="67"/>
  <c r="C3791" i="67" l="1"/>
  <c r="D3792" i="67"/>
  <c r="E3792" i="67"/>
  <c r="F3793" i="67"/>
  <c r="A3794" i="67"/>
  <c r="B3793" i="67"/>
  <c r="C3792" i="67" l="1"/>
  <c r="D3793" i="67"/>
  <c r="E3793" i="67"/>
  <c r="F3794" i="67"/>
  <c r="B3794" i="67"/>
  <c r="A3795" i="67"/>
  <c r="C3793" i="67" l="1"/>
  <c r="A3796" i="67"/>
  <c r="F3795" i="67"/>
  <c r="B3795" i="67"/>
  <c r="D3794" i="67"/>
  <c r="E3794" i="67"/>
  <c r="C3794" i="67" l="1"/>
  <c r="D3795" i="67"/>
  <c r="E3795" i="67"/>
  <c r="B3796" i="67"/>
  <c r="F3796" i="67"/>
  <c r="A3797" i="67"/>
  <c r="C3795" i="67" l="1"/>
  <c r="F3797" i="67"/>
  <c r="A3798" i="67"/>
  <c r="B3797" i="67"/>
  <c r="D3796" i="67"/>
  <c r="E3796" i="67"/>
  <c r="C3796" i="67" l="1"/>
  <c r="D3797" i="67"/>
  <c r="E3797" i="67"/>
  <c r="B3798" i="67"/>
  <c r="F3798" i="67"/>
  <c r="A3799" i="67"/>
  <c r="C3797" i="67" l="1"/>
  <c r="F3799" i="67"/>
  <c r="A3800" i="67"/>
  <c r="B3799" i="67"/>
  <c r="D3798" i="67"/>
  <c r="E3798" i="67"/>
  <c r="C3798" i="67" l="1"/>
  <c r="D3799" i="67"/>
  <c r="E3799" i="67"/>
  <c r="F3800" i="67"/>
  <c r="A3801" i="67"/>
  <c r="B3800" i="67"/>
  <c r="C3799" i="67" l="1"/>
  <c r="D3800" i="67"/>
  <c r="E3800" i="67"/>
  <c r="F3801" i="67"/>
  <c r="B3801" i="67"/>
  <c r="A3802" i="67"/>
  <c r="C3800" i="67" l="1"/>
  <c r="F3802" i="67"/>
  <c r="B3802" i="67"/>
  <c r="A3803" i="67"/>
  <c r="D3801" i="67"/>
  <c r="E3801" i="67"/>
  <c r="C3801" i="67" l="1"/>
  <c r="B3803" i="67"/>
  <c r="A3804" i="67"/>
  <c r="F3803" i="67"/>
  <c r="D3802" i="67"/>
  <c r="E3802" i="67"/>
  <c r="C3802" i="67" l="1"/>
  <c r="F3804" i="67"/>
  <c r="B3804" i="67"/>
  <c r="A3805" i="67"/>
  <c r="D3803" i="67"/>
  <c r="E3803" i="67"/>
  <c r="C3803" i="67" l="1"/>
  <c r="A3806" i="67"/>
  <c r="B3805" i="67"/>
  <c r="F3805" i="67"/>
  <c r="D3804" i="67"/>
  <c r="E3804" i="67"/>
  <c r="C3804" i="67" l="1"/>
  <c r="D3805" i="67"/>
  <c r="E3805" i="67"/>
  <c r="A3807" i="67"/>
  <c r="B3806" i="67"/>
  <c r="F3806" i="67"/>
  <c r="C3805" i="67" l="1"/>
  <c r="D3806" i="67"/>
  <c r="E3806" i="67"/>
  <c r="A3808" i="67"/>
  <c r="B3807" i="67"/>
  <c r="F3807" i="67"/>
  <c r="C3806" i="67" l="1"/>
  <c r="D3807" i="67"/>
  <c r="E3807" i="67"/>
  <c r="A3809" i="67"/>
  <c r="B3808" i="67"/>
  <c r="F3808" i="67"/>
  <c r="C3807" i="67" l="1"/>
  <c r="D3808" i="67"/>
  <c r="E3808" i="67"/>
  <c r="F3809" i="67"/>
  <c r="B3809" i="67"/>
  <c r="A3810" i="67"/>
  <c r="C3808" i="67" l="1"/>
  <c r="B3810" i="67"/>
  <c r="A3811" i="67"/>
  <c r="F3810" i="67"/>
  <c r="D3809" i="67"/>
  <c r="E3809" i="67"/>
  <c r="C3809" i="67" l="1"/>
  <c r="A3812" i="67"/>
  <c r="F3811" i="67"/>
  <c r="B3811" i="67"/>
  <c r="D3810" i="67"/>
  <c r="E3810" i="67"/>
  <c r="C3810" i="67" l="1"/>
  <c r="D3811" i="67"/>
  <c r="E3811" i="67"/>
  <c r="F3812" i="67"/>
  <c r="A3813" i="67"/>
  <c r="B3812" i="67"/>
  <c r="C3811" i="67" l="1"/>
  <c r="D3812" i="67"/>
  <c r="E3812" i="67"/>
  <c r="A3814" i="67"/>
  <c r="F3813" i="67"/>
  <c r="B3813" i="67"/>
  <c r="C3812" i="67" l="1"/>
  <c r="D3813" i="67"/>
  <c r="E3813" i="67"/>
  <c r="F3814" i="67"/>
  <c r="B3814" i="67"/>
  <c r="A3815" i="67"/>
  <c r="C3813" i="67" l="1"/>
  <c r="D3814" i="67"/>
  <c r="E3814" i="67"/>
  <c r="F3815" i="67"/>
  <c r="A3816" i="67"/>
  <c r="B3815" i="67"/>
  <c r="C3814" i="67" l="1"/>
  <c r="D3815" i="67"/>
  <c r="E3815" i="67"/>
  <c r="F3816" i="67"/>
  <c r="A3817" i="67"/>
  <c r="B3816" i="67"/>
  <c r="C3815" i="67" l="1"/>
  <c r="D3816" i="67"/>
  <c r="E3816" i="67"/>
  <c r="F3817" i="67"/>
  <c r="A3818" i="67"/>
  <c r="B3817" i="67"/>
  <c r="C3816" i="67" l="1"/>
  <c r="D3817" i="67"/>
  <c r="E3817" i="67"/>
  <c r="A3819" i="67"/>
  <c r="B3818" i="67"/>
  <c r="F3818" i="67"/>
  <c r="C3817" i="67" l="1"/>
  <c r="D3818" i="67"/>
  <c r="E3818" i="67"/>
  <c r="F3819" i="67"/>
  <c r="A3820" i="67"/>
  <c r="B3819" i="67"/>
  <c r="C3818" i="67" l="1"/>
  <c r="F3820" i="67"/>
  <c r="B3820" i="67"/>
  <c r="A3821" i="67"/>
  <c r="D3819" i="67"/>
  <c r="E3819" i="67"/>
  <c r="C3819" i="67" l="1"/>
  <c r="B3821" i="67"/>
  <c r="F3821" i="67"/>
  <c r="A3822" i="67"/>
  <c r="D3820" i="67"/>
  <c r="E3820" i="67"/>
  <c r="C3820" i="67" l="1"/>
  <c r="B3822" i="67"/>
  <c r="F3822" i="67"/>
  <c r="A3823" i="67"/>
  <c r="D3821" i="67"/>
  <c r="E3821" i="67"/>
  <c r="C3821" i="67" l="1"/>
  <c r="B3823" i="67"/>
  <c r="F3823" i="67"/>
  <c r="A3824" i="67"/>
  <c r="D3822" i="67"/>
  <c r="E3822" i="67"/>
  <c r="C3822" i="67" l="1"/>
  <c r="F3824" i="67"/>
  <c r="A3825" i="67"/>
  <c r="B3824" i="67"/>
  <c r="D3823" i="67"/>
  <c r="E3823" i="67"/>
  <c r="C3823" i="67" l="1"/>
  <c r="D3824" i="67"/>
  <c r="E3824" i="67"/>
  <c r="F3825" i="67"/>
  <c r="A3826" i="67"/>
  <c r="B3825" i="67"/>
  <c r="C3824" i="67" l="1"/>
  <c r="D3825" i="67"/>
  <c r="E3825" i="67"/>
  <c r="F3826" i="67"/>
  <c r="A3827" i="67"/>
  <c r="B3826" i="67"/>
  <c r="C3825" i="67" l="1"/>
  <c r="D3826" i="67"/>
  <c r="E3826" i="67"/>
  <c r="F3827" i="67"/>
  <c r="A3828" i="67"/>
  <c r="B3827" i="67"/>
  <c r="C3826" i="67" l="1"/>
  <c r="D3827" i="67"/>
  <c r="E3827" i="67"/>
  <c r="F3828" i="67"/>
  <c r="A3829" i="67"/>
  <c r="B3828" i="67"/>
  <c r="C3827" i="67" l="1"/>
  <c r="D3828" i="67"/>
  <c r="E3828" i="67"/>
  <c r="F3829" i="67"/>
  <c r="A3830" i="67"/>
  <c r="B3829" i="67"/>
  <c r="C3828" i="67" l="1"/>
  <c r="D3829" i="67"/>
  <c r="E3829" i="67"/>
  <c r="F3830" i="67"/>
  <c r="A3831" i="67"/>
  <c r="B3830" i="67"/>
  <c r="C3829" i="67" l="1"/>
  <c r="D3830" i="67"/>
  <c r="E3830" i="67"/>
  <c r="B3831" i="67"/>
  <c r="F3831" i="67"/>
  <c r="A3832" i="67"/>
  <c r="C3830" i="67" l="1"/>
  <c r="D3831" i="67"/>
  <c r="E3831" i="67"/>
  <c r="F3832" i="67"/>
  <c r="B3832" i="67"/>
  <c r="A3833" i="67"/>
  <c r="C3831" i="67" l="1"/>
  <c r="B3833" i="67"/>
  <c r="F3833" i="67"/>
  <c r="A3834" i="67"/>
  <c r="D3832" i="67"/>
  <c r="E3832" i="67"/>
  <c r="C3832" i="67" l="1"/>
  <c r="B3834" i="67"/>
  <c r="F3834" i="67"/>
  <c r="A3835" i="67"/>
  <c r="D3833" i="67"/>
  <c r="E3833" i="67"/>
  <c r="C3833" i="67" l="1"/>
  <c r="F3835" i="67"/>
  <c r="A3836" i="67"/>
  <c r="B3835" i="67"/>
  <c r="D3834" i="67"/>
  <c r="E3834" i="67"/>
  <c r="C3834" i="67" l="1"/>
  <c r="D3835" i="67"/>
  <c r="E3835" i="67"/>
  <c r="F3836" i="67"/>
  <c r="A3837" i="67"/>
  <c r="B3836" i="67"/>
  <c r="C3835" i="67" l="1"/>
  <c r="D3836" i="67"/>
  <c r="E3836" i="67"/>
  <c r="F3837" i="67"/>
  <c r="A3838" i="67"/>
  <c r="B3837" i="67"/>
  <c r="C3836" i="67" l="1"/>
  <c r="D3837" i="67"/>
  <c r="E3837" i="67"/>
  <c r="F3838" i="67"/>
  <c r="A3839" i="67"/>
  <c r="B3838" i="67"/>
  <c r="C3837" i="67" l="1"/>
  <c r="D3838" i="67"/>
  <c r="E3838" i="67"/>
  <c r="F3839" i="67"/>
  <c r="A3840" i="67"/>
  <c r="B3839" i="67"/>
  <c r="C3838" i="67" l="1"/>
  <c r="D3839" i="67"/>
  <c r="E3839" i="67"/>
  <c r="F3840" i="67"/>
  <c r="A3841" i="67"/>
  <c r="B3840" i="67"/>
  <c r="C3839" i="67" l="1"/>
  <c r="F3841" i="67"/>
  <c r="A3842" i="67"/>
  <c r="B3841" i="67"/>
  <c r="D3840" i="67"/>
  <c r="E3840" i="67"/>
  <c r="C3840" i="67" l="1"/>
  <c r="D3841" i="67"/>
  <c r="E3841" i="67"/>
  <c r="F3842" i="67"/>
  <c r="A3843" i="67"/>
  <c r="B3842" i="67"/>
  <c r="C3841" i="67" l="1"/>
  <c r="F3843" i="67"/>
  <c r="A3844" i="67"/>
  <c r="B3843" i="67"/>
  <c r="D3842" i="67"/>
  <c r="E3842" i="67"/>
  <c r="C3842" i="67" l="1"/>
  <c r="D3843" i="67"/>
  <c r="E3843" i="67"/>
  <c r="B3844" i="67"/>
  <c r="F3844" i="67"/>
  <c r="A3845" i="67"/>
  <c r="C3843" i="67" l="1"/>
  <c r="F3845" i="67"/>
  <c r="A3846" i="67"/>
  <c r="B3845" i="67"/>
  <c r="D3844" i="67"/>
  <c r="E3844" i="67"/>
  <c r="C3844" i="67" l="1"/>
  <c r="D3845" i="67"/>
  <c r="E3845" i="67"/>
  <c r="B3846" i="67"/>
  <c r="F3846" i="67"/>
  <c r="A3847" i="67"/>
  <c r="C3845" i="67" l="1"/>
  <c r="B3847" i="67"/>
  <c r="F3847" i="67"/>
  <c r="A3848" i="67"/>
  <c r="D3846" i="67"/>
  <c r="E3846" i="67"/>
  <c r="C3846" i="67" l="1"/>
  <c r="B3848" i="67"/>
  <c r="F3848" i="67"/>
  <c r="A3849" i="67"/>
  <c r="D3847" i="67"/>
  <c r="E3847" i="67"/>
  <c r="C3847" i="67" l="1"/>
  <c r="F3849" i="67"/>
  <c r="A3850" i="67"/>
  <c r="B3849" i="67"/>
  <c r="D3848" i="67"/>
  <c r="E3848" i="67"/>
  <c r="C3848" i="67" l="1"/>
  <c r="D3849" i="67"/>
  <c r="E3849" i="67"/>
  <c r="A3851" i="67"/>
  <c r="F3850" i="67"/>
  <c r="B3850" i="67"/>
  <c r="C3849" i="67" l="1"/>
  <c r="D3850" i="67"/>
  <c r="E3850" i="67"/>
  <c r="F3851" i="67"/>
  <c r="A3852" i="67"/>
  <c r="B3851" i="67"/>
  <c r="C3850" i="67" l="1"/>
  <c r="D3851" i="67"/>
  <c r="E3851" i="67"/>
  <c r="B3852" i="67"/>
  <c r="A3853" i="67"/>
  <c r="F3852" i="67"/>
  <c r="C3851" i="67" l="1"/>
  <c r="D3852" i="67"/>
  <c r="E3852" i="67"/>
  <c r="F3853" i="67"/>
  <c r="A3854" i="67"/>
  <c r="B3853" i="67"/>
  <c r="C3852" i="67" l="1"/>
  <c r="D3853" i="67"/>
  <c r="E3853" i="67"/>
  <c r="A3855" i="67"/>
  <c r="F3854" i="67"/>
  <c r="B3854" i="67"/>
  <c r="C3853" i="67" l="1"/>
  <c r="D3854" i="67"/>
  <c r="E3854" i="67"/>
  <c r="B3855" i="67"/>
  <c r="F3855" i="67"/>
  <c r="A3856" i="67"/>
  <c r="C3854" i="67" l="1"/>
  <c r="F3856" i="67"/>
  <c r="A3857" i="67"/>
  <c r="B3856" i="67"/>
  <c r="D3855" i="67"/>
  <c r="E3855" i="67"/>
  <c r="C3855" i="67" l="1"/>
  <c r="F3857" i="67"/>
  <c r="B3857" i="67"/>
  <c r="A3858" i="67"/>
  <c r="D3856" i="67"/>
  <c r="E3856" i="67"/>
  <c r="C3856" i="67" l="1"/>
  <c r="F3858" i="67"/>
  <c r="B3858" i="67"/>
  <c r="A3859" i="67"/>
  <c r="D3857" i="67"/>
  <c r="E3857" i="67"/>
  <c r="C3857" i="67" l="1"/>
  <c r="F3859" i="67"/>
  <c r="B3859" i="67"/>
  <c r="A3860" i="67"/>
  <c r="D3858" i="67"/>
  <c r="E3858" i="67"/>
  <c r="C3858" i="67" l="1"/>
  <c r="A3861" i="67"/>
  <c r="F3860" i="67"/>
  <c r="B3860" i="67"/>
  <c r="D3859" i="67"/>
  <c r="E3859" i="67"/>
  <c r="C3859" i="67" l="1"/>
  <c r="D3860" i="67"/>
  <c r="E3860" i="67"/>
  <c r="F3861" i="67"/>
  <c r="A3862" i="67"/>
  <c r="B3861" i="67"/>
  <c r="C3860" i="67" l="1"/>
  <c r="D3861" i="67"/>
  <c r="E3861" i="67"/>
  <c r="F3862" i="67"/>
  <c r="A3863" i="67"/>
  <c r="B3862" i="67"/>
  <c r="C3861" i="67" l="1"/>
  <c r="A3864" i="67"/>
  <c r="F3863" i="67"/>
  <c r="B3863" i="67"/>
  <c r="D3862" i="67"/>
  <c r="E3862" i="67"/>
  <c r="C3862" i="67" l="1"/>
  <c r="D3863" i="67"/>
  <c r="E3863" i="67"/>
  <c r="F3864" i="67"/>
  <c r="B3864" i="67"/>
  <c r="A3865" i="67"/>
  <c r="C3863" i="67" l="1"/>
  <c r="F3865" i="67"/>
  <c r="B3865" i="67"/>
  <c r="A3866" i="67"/>
  <c r="D3864" i="67"/>
  <c r="E3864" i="67"/>
  <c r="C3864" i="67" l="1"/>
  <c r="B3866" i="67"/>
  <c r="F3866" i="67"/>
  <c r="A3867" i="67"/>
  <c r="D3865" i="67"/>
  <c r="E3865" i="67"/>
  <c r="C3865" i="67" l="1"/>
  <c r="F3867" i="67"/>
  <c r="A3868" i="67"/>
  <c r="B3867" i="67"/>
  <c r="D3866" i="67"/>
  <c r="E3866" i="67"/>
  <c r="C3866" i="67" l="1"/>
  <c r="D3867" i="67"/>
  <c r="E3867" i="67"/>
  <c r="F3868" i="67"/>
  <c r="A3869" i="67"/>
  <c r="B3868" i="67"/>
  <c r="C3867" i="67" l="1"/>
  <c r="D3868" i="67"/>
  <c r="E3868" i="67"/>
  <c r="F3869" i="67"/>
  <c r="A3870" i="67"/>
  <c r="B3869" i="67"/>
  <c r="C3868" i="67" l="1"/>
  <c r="A3871" i="67"/>
  <c r="B3870" i="67"/>
  <c r="F3870" i="67"/>
  <c r="D3869" i="67"/>
  <c r="E3869" i="67"/>
  <c r="C3869" i="67" l="1"/>
  <c r="D3870" i="67"/>
  <c r="E3870" i="67"/>
  <c r="F3871" i="67"/>
  <c r="B3871" i="67"/>
  <c r="A3872" i="67"/>
  <c r="C3870" i="67" l="1"/>
  <c r="B3872" i="67"/>
  <c r="F3872" i="67"/>
  <c r="A3873" i="67"/>
  <c r="D3871" i="67"/>
  <c r="E3871" i="67"/>
  <c r="C3871" i="67" l="1"/>
  <c r="B3873" i="67"/>
  <c r="F3873" i="67"/>
  <c r="A3874" i="67"/>
  <c r="D3872" i="67"/>
  <c r="E3872" i="67"/>
  <c r="C3872" i="67" l="1"/>
  <c r="F3874" i="67"/>
  <c r="A3875" i="67"/>
  <c r="B3874" i="67"/>
  <c r="D3873" i="67"/>
  <c r="E3873" i="67"/>
  <c r="C3873" i="67" l="1"/>
  <c r="D3874" i="67"/>
  <c r="E3874" i="67"/>
  <c r="F3875" i="67"/>
  <c r="B3875" i="67"/>
  <c r="A3876" i="67"/>
  <c r="C3874" i="67" l="1"/>
  <c r="A3877" i="67"/>
  <c r="F3876" i="67"/>
  <c r="B3876" i="67"/>
  <c r="D3875" i="67"/>
  <c r="E3875" i="67"/>
  <c r="C3875" i="67" l="1"/>
  <c r="D3876" i="67"/>
  <c r="E3876" i="67"/>
  <c r="A3878" i="67"/>
  <c r="B3877" i="67"/>
  <c r="F3877" i="67"/>
  <c r="C3876" i="67" l="1"/>
  <c r="F3878" i="67"/>
  <c r="A3879" i="67"/>
  <c r="B3878" i="67"/>
  <c r="D3877" i="67"/>
  <c r="E3877" i="67"/>
  <c r="C3877" i="67" l="1"/>
  <c r="D3878" i="67"/>
  <c r="E3878" i="67"/>
  <c r="F3879" i="67"/>
  <c r="A3880" i="67"/>
  <c r="B3879" i="67"/>
  <c r="C3878" i="67" l="1"/>
  <c r="D3879" i="67"/>
  <c r="E3879" i="67"/>
  <c r="B3880" i="67"/>
  <c r="F3880" i="67"/>
  <c r="A3881" i="67"/>
  <c r="C3879" i="67" l="1"/>
  <c r="B3881" i="67"/>
  <c r="F3881" i="67"/>
  <c r="A3882" i="67"/>
  <c r="D3880" i="67"/>
  <c r="E3880" i="67"/>
  <c r="C3880" i="67" l="1"/>
  <c r="F3882" i="67"/>
  <c r="B3882" i="67"/>
  <c r="A3883" i="67"/>
  <c r="D3881" i="67"/>
  <c r="E3881" i="67"/>
  <c r="C3881" i="67" l="1"/>
  <c r="D3882" i="67"/>
  <c r="E3882" i="67"/>
  <c r="F3883" i="67"/>
  <c r="A3884" i="67"/>
  <c r="B3883" i="67"/>
  <c r="C3882" i="67" l="1"/>
  <c r="F3884" i="67"/>
  <c r="A3885" i="67"/>
  <c r="B3884" i="67"/>
  <c r="D3883" i="67"/>
  <c r="E3883" i="67"/>
  <c r="C3883" i="67" l="1"/>
  <c r="D3884" i="67"/>
  <c r="E3884" i="67"/>
  <c r="B3885" i="67"/>
  <c r="A3886" i="67"/>
  <c r="F3885" i="67"/>
  <c r="C3884" i="67" l="1"/>
  <c r="F3886" i="67"/>
  <c r="B3886" i="67"/>
  <c r="A3887" i="67"/>
  <c r="D3885" i="67"/>
  <c r="E3885" i="67"/>
  <c r="C3885" i="67" s="1"/>
  <c r="B3887" i="67" l="1"/>
  <c r="F3887" i="67"/>
  <c r="A3888" i="67"/>
  <c r="D3886" i="67"/>
  <c r="E3886" i="67"/>
  <c r="C3886" i="67" l="1"/>
  <c r="F3888" i="67"/>
  <c r="B3888" i="67"/>
  <c r="A3889" i="67"/>
  <c r="D3887" i="67"/>
  <c r="E3887" i="67"/>
  <c r="C3887" i="67" l="1"/>
  <c r="A3890" i="67"/>
  <c r="F3889" i="67"/>
  <c r="B3889" i="67"/>
  <c r="D3888" i="67"/>
  <c r="E3888" i="67"/>
  <c r="C3888" i="67" l="1"/>
  <c r="D3889" i="67"/>
  <c r="E3889" i="67"/>
  <c r="F3890" i="67"/>
  <c r="A3891" i="67"/>
  <c r="B3890" i="67"/>
  <c r="C3889" i="67" l="1"/>
  <c r="D3890" i="67"/>
  <c r="E3890" i="67"/>
  <c r="F3891" i="67"/>
  <c r="A3892" i="67"/>
  <c r="B3891" i="67"/>
  <c r="C3890" i="67" l="1"/>
  <c r="F3892" i="67"/>
  <c r="A3893" i="67"/>
  <c r="B3892" i="67"/>
  <c r="D3891" i="67"/>
  <c r="E3891" i="67"/>
  <c r="C3891" i="67" l="1"/>
  <c r="D3892" i="67"/>
  <c r="E3892" i="67"/>
  <c r="B3893" i="67"/>
  <c r="F3893" i="67"/>
  <c r="A3894" i="67"/>
  <c r="C3892" i="67" l="1"/>
  <c r="A3895" i="67"/>
  <c r="F3894" i="67"/>
  <c r="B3894" i="67"/>
  <c r="D3893" i="67"/>
  <c r="E3893" i="67"/>
  <c r="C3893" i="67" l="1"/>
  <c r="D3894" i="67"/>
  <c r="E3894" i="67"/>
  <c r="B3895" i="67"/>
  <c r="A3896" i="67"/>
  <c r="F3895" i="67"/>
  <c r="C3894" i="67" l="1"/>
  <c r="F3896" i="67"/>
  <c r="B3896" i="67"/>
  <c r="A3897" i="67"/>
  <c r="D3895" i="67"/>
  <c r="E3895" i="67"/>
  <c r="C3895" i="67" l="1"/>
  <c r="F3897" i="67"/>
  <c r="A3898" i="67"/>
  <c r="B3897" i="67"/>
  <c r="D3896" i="67"/>
  <c r="E3896" i="67"/>
  <c r="C3896" i="67" l="1"/>
  <c r="D3897" i="67"/>
  <c r="E3897" i="67"/>
  <c r="F3898" i="67"/>
  <c r="B3898" i="67"/>
  <c r="A3899" i="67"/>
  <c r="C3897" i="67" l="1"/>
  <c r="D3898" i="67"/>
  <c r="E3898" i="67"/>
  <c r="A3900" i="67"/>
  <c r="F3899" i="67"/>
  <c r="B3899" i="67"/>
  <c r="C3898" i="67" l="1"/>
  <c r="D3899" i="67"/>
  <c r="E3899" i="67"/>
  <c r="A3901" i="67"/>
  <c r="F3900" i="67"/>
  <c r="B3900" i="67"/>
  <c r="C3899" i="67" l="1"/>
  <c r="D3900" i="67"/>
  <c r="E3900" i="67"/>
  <c r="F3901" i="67"/>
  <c r="A3902" i="67"/>
  <c r="B3901" i="67"/>
  <c r="C3900" i="67" l="1"/>
  <c r="D3901" i="67"/>
  <c r="E3901" i="67"/>
  <c r="F3902" i="67"/>
  <c r="B3902" i="67"/>
  <c r="A3903" i="67"/>
  <c r="C3901" i="67" l="1"/>
  <c r="B3903" i="67"/>
  <c r="F3903" i="67"/>
  <c r="A3904" i="67"/>
  <c r="D3902" i="67"/>
  <c r="E3902" i="67"/>
  <c r="C3902" i="67" l="1"/>
  <c r="F3904" i="67"/>
  <c r="B3904" i="67"/>
  <c r="A3905" i="67"/>
  <c r="D3903" i="67"/>
  <c r="E3903" i="67"/>
  <c r="C3903" i="67" l="1"/>
  <c r="F3905" i="67"/>
  <c r="A3906" i="67"/>
  <c r="B3905" i="67"/>
  <c r="D3904" i="67"/>
  <c r="E3904" i="67"/>
  <c r="C3904" i="67" l="1"/>
  <c r="D3905" i="67"/>
  <c r="E3905" i="67"/>
  <c r="B3906" i="67"/>
  <c r="F3906" i="67"/>
  <c r="A3907" i="67"/>
  <c r="C3905" i="67" l="1"/>
  <c r="F3907" i="67"/>
  <c r="A3908" i="67"/>
  <c r="B3907" i="67"/>
  <c r="D3906" i="67"/>
  <c r="E3906" i="67"/>
  <c r="C3906" i="67" l="1"/>
  <c r="F3908" i="67"/>
  <c r="A3909" i="67"/>
  <c r="B3908" i="67"/>
  <c r="D3907" i="67"/>
  <c r="E3907" i="67"/>
  <c r="C3907" i="67" l="1"/>
  <c r="D3908" i="67"/>
  <c r="E3908" i="67"/>
  <c r="A3910" i="67"/>
  <c r="F3909" i="67"/>
  <c r="B3909" i="67"/>
  <c r="C3908" i="67" l="1"/>
  <c r="D3909" i="67"/>
  <c r="E3909" i="67"/>
  <c r="F3910" i="67"/>
  <c r="B3910" i="67"/>
  <c r="A3911" i="67"/>
  <c r="C3909" i="67" l="1"/>
  <c r="F3911" i="67"/>
  <c r="B3911" i="67"/>
  <c r="A3912" i="67"/>
  <c r="D3910" i="67"/>
  <c r="E3910" i="67"/>
  <c r="C3910" i="67" l="1"/>
  <c r="F3912" i="67"/>
  <c r="A3913" i="67"/>
  <c r="B3912" i="67"/>
  <c r="D3911" i="67"/>
  <c r="E3911" i="67"/>
  <c r="C3911" i="67" l="1"/>
  <c r="D3912" i="67"/>
  <c r="E3912" i="67"/>
  <c r="F3913" i="67"/>
  <c r="A3914" i="67"/>
  <c r="B3913" i="67"/>
  <c r="C3912" i="67" l="1"/>
  <c r="D3913" i="67"/>
  <c r="E3913" i="67"/>
  <c r="F3914" i="67"/>
  <c r="A3915" i="67"/>
  <c r="B3914" i="67"/>
  <c r="C3913" i="67" l="1"/>
  <c r="F3915" i="67"/>
  <c r="A3916" i="67"/>
  <c r="B3915" i="67"/>
  <c r="D3914" i="67"/>
  <c r="E3914" i="67"/>
  <c r="C3914" i="67" l="1"/>
  <c r="D3915" i="67"/>
  <c r="E3915" i="67"/>
  <c r="F3916" i="67"/>
  <c r="A3917" i="67"/>
  <c r="B3916" i="67"/>
  <c r="C3915" i="67" l="1"/>
  <c r="F3917" i="67"/>
  <c r="B3917" i="67"/>
  <c r="A3918" i="67"/>
  <c r="D3916" i="67"/>
  <c r="E3916" i="67"/>
  <c r="C3916" i="67" l="1"/>
  <c r="F3918" i="67"/>
  <c r="A3919" i="67"/>
  <c r="B3918" i="67"/>
  <c r="D3917" i="67"/>
  <c r="E3917" i="67"/>
  <c r="C3917" i="67" l="1"/>
  <c r="D3918" i="67"/>
  <c r="E3918" i="67"/>
  <c r="F3919" i="67"/>
  <c r="A3920" i="67"/>
  <c r="B3919" i="67"/>
  <c r="C3918" i="67" l="1"/>
  <c r="D3919" i="67"/>
  <c r="E3919" i="67"/>
  <c r="F3920" i="67"/>
  <c r="A3921" i="67"/>
  <c r="B3920" i="67"/>
  <c r="C3919" i="67" l="1"/>
  <c r="D3920" i="67"/>
  <c r="E3920" i="67"/>
  <c r="F3921" i="67"/>
  <c r="A3922" i="67"/>
  <c r="B3921" i="67"/>
  <c r="C3920" i="67" l="1"/>
  <c r="D3921" i="67"/>
  <c r="E3921" i="67"/>
  <c r="F3922" i="67"/>
  <c r="A3923" i="67"/>
  <c r="B3922" i="67"/>
  <c r="C3921" i="67" l="1"/>
  <c r="D3922" i="67"/>
  <c r="E3922" i="67"/>
  <c r="B3923" i="67"/>
  <c r="F3923" i="67"/>
  <c r="A3924" i="67"/>
  <c r="C3922" i="67" l="1"/>
  <c r="F3924" i="67"/>
  <c r="A3925" i="67"/>
  <c r="B3924" i="67"/>
  <c r="D3923" i="67"/>
  <c r="E3923" i="67"/>
  <c r="C3923" i="67" l="1"/>
  <c r="F3925" i="67"/>
  <c r="A3926" i="67"/>
  <c r="B3925" i="67"/>
  <c r="D3924" i="67"/>
  <c r="E3924" i="67"/>
  <c r="C3924" i="67" l="1"/>
  <c r="D3925" i="67"/>
  <c r="E3925" i="67"/>
  <c r="A3927" i="67"/>
  <c r="F3926" i="67"/>
  <c r="B3926" i="67"/>
  <c r="C3925" i="67" l="1"/>
  <c r="D3926" i="67"/>
  <c r="E3926" i="67"/>
  <c r="F3927" i="67"/>
  <c r="A3928" i="67"/>
  <c r="B3927" i="67"/>
  <c r="C3926" i="67" l="1"/>
  <c r="F3928" i="67"/>
  <c r="A3929" i="67"/>
  <c r="B3928" i="67"/>
  <c r="D3927" i="67"/>
  <c r="E3927" i="67"/>
  <c r="C3927" i="67" l="1"/>
  <c r="D3928" i="67"/>
  <c r="E3928" i="67"/>
  <c r="B3929" i="67"/>
  <c r="F3929" i="67"/>
  <c r="A3930" i="67"/>
  <c r="C3928" i="67" l="1"/>
  <c r="F3930" i="67"/>
  <c r="A3931" i="67"/>
  <c r="B3930" i="67"/>
  <c r="D3929" i="67"/>
  <c r="E3929" i="67"/>
  <c r="C3929" i="67" l="1"/>
  <c r="F3931" i="67"/>
  <c r="A3932" i="67"/>
  <c r="B3931" i="67"/>
  <c r="D3930" i="67"/>
  <c r="E3930" i="67"/>
  <c r="C3930" i="67" l="1"/>
  <c r="D3931" i="67"/>
  <c r="E3931" i="67"/>
  <c r="B3932" i="67"/>
  <c r="F3932" i="67"/>
  <c r="A3933" i="67"/>
  <c r="C3931" i="67" l="1"/>
  <c r="B3933" i="67"/>
  <c r="F3933" i="67"/>
  <c r="A3934" i="67"/>
  <c r="D3932" i="67"/>
  <c r="E3932" i="67"/>
  <c r="C3932" i="67" l="1"/>
  <c r="F3934" i="67"/>
  <c r="A3935" i="67"/>
  <c r="B3934" i="67"/>
  <c r="D3933" i="67"/>
  <c r="E3933" i="67"/>
  <c r="C3933" i="67" l="1"/>
  <c r="D3934" i="67"/>
  <c r="E3934" i="67"/>
  <c r="A3936" i="67"/>
  <c r="B3935" i="67"/>
  <c r="F3935" i="67"/>
  <c r="C3934" i="67" l="1"/>
  <c r="B3936" i="67"/>
  <c r="F3936" i="67"/>
  <c r="A3937" i="67"/>
  <c r="D3935" i="67"/>
  <c r="E3935" i="67"/>
  <c r="C3935" i="67" l="1"/>
  <c r="F3937" i="67"/>
  <c r="B3937" i="67"/>
  <c r="A3938" i="67"/>
  <c r="D3936" i="67"/>
  <c r="E3936" i="67"/>
  <c r="C3936" i="67" l="1"/>
  <c r="D3937" i="67"/>
  <c r="E3937" i="67"/>
  <c r="B3938" i="67"/>
  <c r="F3938" i="67"/>
  <c r="A3939" i="67"/>
  <c r="C3937" i="67" l="1"/>
  <c r="B3939" i="67"/>
  <c r="F3939" i="67"/>
  <c r="A3940" i="67"/>
  <c r="D3938" i="67"/>
  <c r="E3938" i="67"/>
  <c r="C3938" i="67" l="1"/>
  <c r="F3940" i="67"/>
  <c r="A3941" i="67"/>
  <c r="B3940" i="67"/>
  <c r="D3939" i="67"/>
  <c r="E3939" i="67"/>
  <c r="C3939" i="67" l="1"/>
  <c r="B3941" i="67"/>
  <c r="F3941" i="67"/>
  <c r="A3942" i="67"/>
  <c r="D3940" i="67"/>
  <c r="E3940" i="67"/>
  <c r="C3940" i="67" l="1"/>
  <c r="B3942" i="67"/>
  <c r="A3943" i="67"/>
  <c r="F3942" i="67"/>
  <c r="D3941" i="67"/>
  <c r="E3941" i="67"/>
  <c r="C3941" i="67" l="1"/>
  <c r="F3943" i="67"/>
  <c r="A3944" i="67"/>
  <c r="B3943" i="67"/>
  <c r="D3942" i="67"/>
  <c r="E3942" i="67"/>
  <c r="C3942" i="67" l="1"/>
  <c r="D3943" i="67"/>
  <c r="E3943" i="67"/>
  <c r="B3944" i="67"/>
  <c r="F3944" i="67"/>
  <c r="A3945" i="67"/>
  <c r="C3943" i="67" l="1"/>
  <c r="F3945" i="67"/>
  <c r="B3945" i="67"/>
  <c r="A3946" i="67"/>
  <c r="D3944" i="67"/>
  <c r="E3944" i="67"/>
  <c r="C3944" i="67" l="1"/>
  <c r="B3946" i="67"/>
  <c r="F3946" i="67"/>
  <c r="A3947" i="67"/>
  <c r="D3945" i="67"/>
  <c r="E3945" i="67"/>
  <c r="C3945" i="67" l="1"/>
  <c r="B3947" i="67"/>
  <c r="F3947" i="67"/>
  <c r="A3948" i="67"/>
  <c r="D3946" i="67"/>
  <c r="E3946" i="67"/>
  <c r="C3946" i="67" l="1"/>
  <c r="F3948" i="67"/>
  <c r="A3949" i="67"/>
  <c r="B3948" i="67"/>
  <c r="D3947" i="67"/>
  <c r="E3947" i="67"/>
  <c r="C3947" i="67" l="1"/>
  <c r="B3949" i="67"/>
  <c r="F3949" i="67"/>
  <c r="A3950" i="67"/>
  <c r="D3948" i="67"/>
  <c r="E3948" i="67"/>
  <c r="C3948" i="67" l="1"/>
  <c r="B3950" i="67"/>
  <c r="F3950" i="67"/>
  <c r="A3951" i="67"/>
  <c r="D3949" i="67"/>
  <c r="E3949" i="67"/>
  <c r="C3949" i="67" l="1"/>
  <c r="F3951" i="67"/>
  <c r="A3952" i="67"/>
  <c r="B3951" i="67"/>
  <c r="D3950" i="67"/>
  <c r="E3950" i="67"/>
  <c r="C3950" i="67" l="1"/>
  <c r="D3951" i="67"/>
  <c r="E3951" i="67"/>
  <c r="B3952" i="67"/>
  <c r="F3952" i="67"/>
  <c r="A3953" i="67"/>
  <c r="C3951" i="67" l="1"/>
  <c r="A3954" i="67"/>
  <c r="F3953" i="67"/>
  <c r="B3953" i="67"/>
  <c r="D3952" i="67"/>
  <c r="E3952" i="67"/>
  <c r="C3952" i="67" l="1"/>
  <c r="D3953" i="67"/>
  <c r="E3953" i="67"/>
  <c r="F3954" i="67"/>
  <c r="A3955" i="67"/>
  <c r="B3954" i="67"/>
  <c r="C3953" i="67" l="1"/>
  <c r="D3954" i="67"/>
  <c r="E3954" i="67"/>
  <c r="A3956" i="67"/>
  <c r="F3955" i="67"/>
  <c r="B3955" i="67"/>
  <c r="C3954" i="67" l="1"/>
  <c r="D3955" i="67"/>
  <c r="E3955" i="67"/>
  <c r="F3956" i="67"/>
  <c r="B3956" i="67"/>
  <c r="A3957" i="67"/>
  <c r="C3955" i="67" l="1"/>
  <c r="D3956" i="67"/>
  <c r="E3956" i="67"/>
  <c r="A3958" i="67"/>
  <c r="B3957" i="67"/>
  <c r="F3957" i="67"/>
  <c r="C3956" i="67" l="1"/>
  <c r="F3958" i="67"/>
  <c r="B3958" i="67"/>
  <c r="A3959" i="67"/>
  <c r="D3957" i="67"/>
  <c r="E3957" i="67"/>
  <c r="C3957" i="67" l="1"/>
  <c r="B3959" i="67"/>
  <c r="F3959" i="67"/>
  <c r="A3960" i="67"/>
  <c r="D3958" i="67"/>
  <c r="E3958" i="67"/>
  <c r="C3958" i="67" l="1"/>
  <c r="A3961" i="67"/>
  <c r="F3960" i="67"/>
  <c r="B3960" i="67"/>
  <c r="D3959" i="67"/>
  <c r="E3959" i="67"/>
  <c r="C3959" i="67" l="1"/>
  <c r="D3960" i="67"/>
  <c r="E3960" i="67"/>
  <c r="F3961" i="67"/>
  <c r="A3962" i="67"/>
  <c r="B3961" i="67"/>
  <c r="C3960" i="67" l="1"/>
  <c r="F3962" i="67"/>
  <c r="A3963" i="67"/>
  <c r="B3962" i="67"/>
  <c r="D3961" i="67"/>
  <c r="E3961" i="67"/>
  <c r="C3961" i="67" l="1"/>
  <c r="D3962" i="67"/>
  <c r="E3962" i="67"/>
  <c r="F3963" i="67"/>
  <c r="A3964" i="67"/>
  <c r="B3963" i="67"/>
  <c r="C3962" i="67" l="1"/>
  <c r="D3963" i="67"/>
  <c r="E3963" i="67"/>
  <c r="F3964" i="67"/>
  <c r="B3964" i="67"/>
  <c r="A3965" i="67"/>
  <c r="C3963" i="67" l="1"/>
  <c r="A3966" i="67"/>
  <c r="B3965" i="67"/>
  <c r="F3965" i="67"/>
  <c r="D3964" i="67"/>
  <c r="E3964" i="67"/>
  <c r="C3964" i="67" l="1"/>
  <c r="D3965" i="67"/>
  <c r="E3965" i="67"/>
  <c r="A3967" i="67"/>
  <c r="F3966" i="67"/>
  <c r="B3966" i="67"/>
  <c r="C3965" i="67" l="1"/>
  <c r="D3966" i="67"/>
  <c r="E3966" i="67"/>
  <c r="F3967" i="67"/>
  <c r="A3968" i="67"/>
  <c r="B3967" i="67"/>
  <c r="C3966" i="67" l="1"/>
  <c r="D3967" i="67"/>
  <c r="E3967" i="67"/>
  <c r="A3969" i="67"/>
  <c r="B3968" i="67"/>
  <c r="F3968" i="67"/>
  <c r="C3967" i="67" l="1"/>
  <c r="A3970" i="67"/>
  <c r="F3969" i="67"/>
  <c r="B3969" i="67"/>
  <c r="D3968" i="67"/>
  <c r="E3968" i="67"/>
  <c r="C3968" i="67" l="1"/>
  <c r="A3971" i="67"/>
  <c r="F3970" i="67"/>
  <c r="B3970" i="67"/>
  <c r="D3969" i="67"/>
  <c r="E3969" i="67"/>
  <c r="C3969" i="67" l="1"/>
  <c r="D3970" i="67"/>
  <c r="E3970" i="67"/>
  <c r="F3971" i="67"/>
  <c r="B3971" i="67"/>
  <c r="A3972" i="67"/>
  <c r="C3970" i="67" l="1"/>
  <c r="D3971" i="67"/>
  <c r="E3971" i="67"/>
  <c r="B3972" i="67"/>
  <c r="A3973" i="67"/>
  <c r="F3972" i="67"/>
  <c r="C3971" i="67" l="1"/>
  <c r="A3974" i="67"/>
  <c r="F3973" i="67"/>
  <c r="B3973" i="67"/>
  <c r="D3972" i="67"/>
  <c r="E3972" i="67"/>
  <c r="C3972" i="67" l="1"/>
  <c r="D3973" i="67"/>
  <c r="E3973" i="67"/>
  <c r="F3974" i="67"/>
  <c r="A3975" i="67"/>
  <c r="B3974" i="67"/>
  <c r="C3973" i="67" l="1"/>
  <c r="F3975" i="67"/>
  <c r="B3975" i="67"/>
  <c r="A3976" i="67"/>
  <c r="D3974" i="67"/>
  <c r="E3974" i="67"/>
  <c r="C3974" i="67" l="1"/>
  <c r="A3977" i="67"/>
  <c r="F3976" i="67"/>
  <c r="B3976" i="67"/>
  <c r="D3975" i="67"/>
  <c r="E3975" i="67"/>
  <c r="C3975" i="67" l="1"/>
  <c r="D3976" i="67"/>
  <c r="E3976" i="67"/>
  <c r="F3977" i="67"/>
  <c r="B3977" i="67"/>
  <c r="A3978" i="67"/>
  <c r="C3976" i="67" l="1"/>
  <c r="D3977" i="67"/>
  <c r="E3977" i="67"/>
  <c r="A3979" i="67"/>
  <c r="B3978" i="67"/>
  <c r="F3978" i="67"/>
  <c r="C3977" i="67" l="1"/>
  <c r="D3978" i="67"/>
  <c r="E3978" i="67"/>
  <c r="F3979" i="67"/>
  <c r="A3980" i="67"/>
  <c r="B3979" i="67"/>
  <c r="C3978" i="67" l="1"/>
  <c r="D3979" i="67"/>
  <c r="E3979" i="67"/>
  <c r="F3980" i="67"/>
  <c r="A3981" i="67"/>
  <c r="B3980" i="67"/>
  <c r="C3979" i="67" l="1"/>
  <c r="F3981" i="67"/>
  <c r="B3981" i="67"/>
  <c r="A3982" i="67"/>
  <c r="D3980" i="67"/>
  <c r="E3980" i="67"/>
  <c r="C3980" i="67" l="1"/>
  <c r="F3982" i="67"/>
  <c r="A3983" i="67"/>
  <c r="B3982" i="67"/>
  <c r="D3981" i="67"/>
  <c r="E3981" i="67"/>
  <c r="C3981" i="67" l="1"/>
  <c r="D3982" i="67"/>
  <c r="E3982" i="67"/>
  <c r="A3984" i="67"/>
  <c r="F3983" i="67"/>
  <c r="B3983" i="67"/>
  <c r="C3982" i="67" l="1"/>
  <c r="F3984" i="67"/>
  <c r="A3985" i="67"/>
  <c r="B3984" i="67"/>
  <c r="D3983" i="67"/>
  <c r="E3983" i="67"/>
  <c r="C3983" i="67" l="1"/>
  <c r="D3984" i="67"/>
  <c r="E3984" i="67"/>
  <c r="A3986" i="67"/>
  <c r="B3985" i="67"/>
  <c r="F3985" i="67"/>
  <c r="C3984" i="67" l="1"/>
  <c r="D3985" i="67"/>
  <c r="E3985" i="67"/>
  <c r="F3986" i="67"/>
  <c r="A3987" i="67"/>
  <c r="B3986" i="67"/>
  <c r="C3985" i="67" l="1"/>
  <c r="F3987" i="67"/>
  <c r="B3987" i="67"/>
  <c r="A3988" i="67"/>
  <c r="D3986" i="67"/>
  <c r="E3986" i="67"/>
  <c r="C3986" i="67" l="1"/>
  <c r="F3988" i="67"/>
  <c r="A3989" i="67"/>
  <c r="B3988" i="67"/>
  <c r="D3987" i="67"/>
  <c r="E3987" i="67"/>
  <c r="C3987" i="67" l="1"/>
  <c r="D3988" i="67"/>
  <c r="E3988" i="67"/>
  <c r="F3989" i="67"/>
  <c r="A3990" i="67"/>
  <c r="B3989" i="67"/>
  <c r="C3988" i="67" l="1"/>
  <c r="D3989" i="67"/>
  <c r="E3989" i="67"/>
  <c r="F3990" i="67"/>
  <c r="A3991" i="67"/>
  <c r="B3990" i="67"/>
  <c r="C3989" i="67" l="1"/>
  <c r="D3990" i="67"/>
  <c r="E3990" i="67"/>
  <c r="F3991" i="67"/>
  <c r="A3992" i="67"/>
  <c r="B3991" i="67"/>
  <c r="C3990" i="67" l="1"/>
  <c r="D3991" i="67"/>
  <c r="E3991" i="67"/>
  <c r="A3993" i="67"/>
  <c r="F3992" i="67"/>
  <c r="B3992" i="67"/>
  <c r="C3991" i="67" l="1"/>
  <c r="B3993" i="67"/>
  <c r="F3993" i="67"/>
  <c r="A3994" i="67"/>
  <c r="D3992" i="67"/>
  <c r="E3992" i="67"/>
  <c r="C3992" i="67" l="1"/>
  <c r="B3994" i="67"/>
  <c r="F3994" i="67"/>
  <c r="A3995" i="67"/>
  <c r="D3993" i="67"/>
  <c r="E3993" i="67"/>
  <c r="C3993" i="67" l="1"/>
  <c r="F3995" i="67"/>
  <c r="B3995" i="67"/>
  <c r="A3996" i="67"/>
  <c r="D3994" i="67"/>
  <c r="E3994" i="67"/>
  <c r="C3994" i="67" l="1"/>
  <c r="A3997" i="67"/>
  <c r="F3996" i="67"/>
  <c r="B3996" i="67"/>
  <c r="D3995" i="67"/>
  <c r="E3995" i="67"/>
  <c r="C3995" i="67" l="1"/>
  <c r="D3996" i="67"/>
  <c r="E3996" i="67"/>
  <c r="F3997" i="67"/>
  <c r="B3997" i="67"/>
  <c r="A3998" i="67"/>
  <c r="C3996" i="67" l="1"/>
  <c r="F3998" i="67"/>
  <c r="A3999" i="67"/>
  <c r="B3998" i="67"/>
  <c r="D3997" i="67"/>
  <c r="E3997" i="67"/>
  <c r="C3997" i="67" l="1"/>
  <c r="D3998" i="67"/>
  <c r="E3998" i="67"/>
  <c r="B3999" i="67"/>
  <c r="F3999" i="67"/>
  <c r="A4000" i="67"/>
  <c r="C3998" i="67" l="1"/>
  <c r="A4001" i="67"/>
  <c r="F4000" i="67"/>
  <c r="B4000" i="67"/>
  <c r="D3999" i="67"/>
  <c r="E3999" i="67"/>
  <c r="C3999" i="67" l="1"/>
  <c r="D4000" i="67"/>
  <c r="E4000" i="67"/>
  <c r="F4001" i="67"/>
  <c r="A4002" i="67"/>
  <c r="B4001" i="67"/>
  <c r="C4000" i="67" l="1"/>
  <c r="D4001" i="67"/>
  <c r="E4001" i="67"/>
  <c r="F4002" i="67"/>
  <c r="A4003" i="67"/>
  <c r="B4002" i="67"/>
  <c r="C4001" i="67" l="1"/>
  <c r="D4002" i="67"/>
  <c r="E4002" i="67"/>
  <c r="B4003" i="67"/>
  <c r="F4003" i="67"/>
  <c r="A4004" i="67"/>
  <c r="C4002" i="67" l="1"/>
  <c r="D4003" i="67"/>
  <c r="E4003" i="67"/>
  <c r="F4004" i="67"/>
  <c r="A4005" i="67"/>
  <c r="B4004" i="67"/>
  <c r="C4003" i="67" l="1"/>
  <c r="D4004" i="67"/>
  <c r="E4004" i="67"/>
  <c r="F4005" i="67"/>
  <c r="A4006" i="67"/>
  <c r="B4005" i="67"/>
  <c r="C4004" i="67" l="1"/>
  <c r="F4006" i="67"/>
  <c r="B4006" i="67"/>
  <c r="A4007" i="67"/>
  <c r="D4005" i="67"/>
  <c r="E4005" i="67"/>
  <c r="C4005" i="67" l="1"/>
  <c r="F4007" i="67"/>
  <c r="A4008" i="67"/>
  <c r="B4007" i="67"/>
  <c r="D4006" i="67"/>
  <c r="E4006" i="67"/>
  <c r="C4006" i="67" l="1"/>
  <c r="D4007" i="67"/>
  <c r="E4007" i="67"/>
  <c r="B4008" i="67"/>
  <c r="F4008" i="67"/>
  <c r="A4009" i="67"/>
  <c r="C4007" i="67" l="1"/>
  <c r="F4009" i="67"/>
  <c r="B4009" i="67"/>
  <c r="A4010" i="67"/>
  <c r="D4008" i="67"/>
  <c r="E4008" i="67"/>
  <c r="C4008" i="67" l="1"/>
  <c r="F4010" i="67"/>
  <c r="B4010" i="67"/>
  <c r="A4011" i="67"/>
  <c r="D4009" i="67"/>
  <c r="E4009" i="67"/>
  <c r="C4009" i="67" l="1"/>
  <c r="B4011" i="67"/>
  <c r="F4011" i="67"/>
  <c r="A4012" i="67"/>
  <c r="D4010" i="67"/>
  <c r="E4010" i="67"/>
  <c r="C4010" i="67" l="1"/>
  <c r="F4012" i="67"/>
  <c r="A4013" i="67"/>
  <c r="B4012" i="67"/>
  <c r="D4011" i="67"/>
  <c r="E4011" i="67"/>
  <c r="C4011" i="67" l="1"/>
  <c r="D4012" i="67"/>
  <c r="E4012" i="67"/>
  <c r="A4014" i="67"/>
  <c r="B4013" i="67"/>
  <c r="F4013" i="67"/>
  <c r="C4012" i="67" l="1"/>
  <c r="F4014" i="67"/>
  <c r="A4015" i="67"/>
  <c r="B4014" i="67"/>
  <c r="D4013" i="67"/>
  <c r="E4013" i="67"/>
  <c r="C4013" i="67" l="1"/>
  <c r="D4014" i="67"/>
  <c r="E4014" i="67"/>
  <c r="F4015" i="67"/>
  <c r="A4016" i="67"/>
  <c r="B4015" i="67"/>
  <c r="C4014" i="67" l="1"/>
  <c r="F4016" i="67"/>
  <c r="A4017" i="67"/>
  <c r="B4016" i="67"/>
  <c r="D4015" i="67"/>
  <c r="E4015" i="67"/>
  <c r="C4015" i="67" l="1"/>
  <c r="D4016" i="67"/>
  <c r="E4016" i="67"/>
  <c r="B4017" i="67"/>
  <c r="F4017" i="67"/>
  <c r="A4018" i="67"/>
  <c r="C4016" i="67" l="1"/>
  <c r="B4018" i="67"/>
  <c r="F4018" i="67"/>
  <c r="A4019" i="67"/>
  <c r="D4017" i="67"/>
  <c r="E4017" i="67"/>
  <c r="C4017" i="67" l="1"/>
  <c r="F4019" i="67"/>
  <c r="A4020" i="67"/>
  <c r="B4019" i="67"/>
  <c r="D4018" i="67"/>
  <c r="E4018" i="67"/>
  <c r="C4018" i="67" l="1"/>
  <c r="B4020" i="67"/>
  <c r="F4020" i="67"/>
  <c r="A4021" i="67"/>
  <c r="D4019" i="67"/>
  <c r="E4019" i="67"/>
  <c r="C4019" i="67" l="1"/>
  <c r="F4021" i="67"/>
  <c r="A4022" i="67"/>
  <c r="B4021" i="67"/>
  <c r="D4020" i="67"/>
  <c r="E4020" i="67"/>
  <c r="C4020" i="67" l="1"/>
  <c r="D4021" i="67"/>
  <c r="E4021" i="67"/>
  <c r="F4022" i="67"/>
  <c r="B4022" i="67"/>
  <c r="A4023" i="67"/>
  <c r="C4021" i="67" l="1"/>
  <c r="A4024" i="67"/>
  <c r="F4023" i="67"/>
  <c r="B4023" i="67"/>
  <c r="D4022" i="67"/>
  <c r="E4022" i="67"/>
  <c r="C4022" i="67" l="1"/>
  <c r="D4023" i="67"/>
  <c r="E4023" i="67"/>
  <c r="A4025" i="67"/>
  <c r="F4024" i="67"/>
  <c r="B4024" i="67"/>
  <c r="C4023" i="67" l="1"/>
  <c r="D4024" i="67"/>
  <c r="E4024" i="67"/>
  <c r="F4025" i="67"/>
  <c r="B4025" i="67"/>
  <c r="A4026" i="67"/>
  <c r="C4024" i="67" l="1"/>
  <c r="D4025" i="67"/>
  <c r="E4025" i="67"/>
  <c r="F4026" i="67"/>
  <c r="A4027" i="67"/>
  <c r="B4026" i="67"/>
  <c r="C4025" i="67" l="1"/>
  <c r="D4026" i="67"/>
  <c r="E4026" i="67"/>
  <c r="A4028" i="67"/>
  <c r="F4027" i="67"/>
  <c r="B4027" i="67"/>
  <c r="C4026" i="67" l="1"/>
  <c r="D4027" i="67"/>
  <c r="E4027" i="67"/>
  <c r="A4029" i="67"/>
  <c r="F4028" i="67"/>
  <c r="B4028" i="67"/>
  <c r="C4027" i="67" l="1"/>
  <c r="D4028" i="67"/>
  <c r="E4028" i="67"/>
  <c r="B4029" i="67"/>
  <c r="A4030" i="67"/>
  <c r="F4029" i="67"/>
  <c r="C4028" i="67" l="1"/>
  <c r="F4030" i="67"/>
  <c r="A4031" i="67"/>
  <c r="B4030" i="67"/>
  <c r="D4029" i="67"/>
  <c r="E4029" i="67"/>
  <c r="C4029" i="67" l="1"/>
  <c r="D4030" i="67"/>
  <c r="E4030" i="67"/>
  <c r="B4031" i="67"/>
  <c r="F4031" i="67"/>
  <c r="A4032" i="67"/>
  <c r="C4030" i="67" l="1"/>
  <c r="D4031" i="67"/>
  <c r="E4031" i="67"/>
  <c r="B4032" i="67"/>
  <c r="F4032" i="67"/>
  <c r="A4033" i="67"/>
  <c r="C4031" i="67" l="1"/>
  <c r="F4033" i="67"/>
  <c r="A4034" i="67"/>
  <c r="B4033" i="67"/>
  <c r="D4032" i="67"/>
  <c r="E4032" i="67"/>
  <c r="C4032" i="67" l="1"/>
  <c r="F4034" i="67"/>
  <c r="A4035" i="67"/>
  <c r="B4034" i="67"/>
  <c r="D4033" i="67"/>
  <c r="E4033" i="67"/>
  <c r="C4033" i="67" l="1"/>
  <c r="B4035" i="67"/>
  <c r="A4036" i="67"/>
  <c r="F4035" i="67"/>
  <c r="D4034" i="67"/>
  <c r="E4034" i="67"/>
  <c r="C4034" i="67" l="1"/>
  <c r="B4036" i="67"/>
  <c r="F4036" i="67"/>
  <c r="A4037" i="67"/>
  <c r="D4035" i="67"/>
  <c r="E4035" i="67"/>
  <c r="C4035" i="67" l="1"/>
  <c r="B4037" i="67"/>
  <c r="F4037" i="67"/>
  <c r="A4038" i="67"/>
  <c r="D4036" i="67"/>
  <c r="E4036" i="67"/>
  <c r="C4036" i="67" l="1"/>
  <c r="A4039" i="67"/>
  <c r="F4038" i="67"/>
  <c r="B4038" i="67"/>
  <c r="D4037" i="67"/>
  <c r="E4037" i="67"/>
  <c r="C4037" i="67" l="1"/>
  <c r="D4038" i="67"/>
  <c r="E4038" i="67"/>
  <c r="F4039" i="67"/>
  <c r="A4040" i="67"/>
  <c r="B4039" i="67"/>
  <c r="C4038" i="67" l="1"/>
  <c r="D4039" i="67"/>
  <c r="E4039" i="67"/>
  <c r="F4040" i="67"/>
  <c r="A4041" i="67"/>
  <c r="B4040" i="67"/>
  <c r="C4039" i="67" l="1"/>
  <c r="D4040" i="67"/>
  <c r="E4040" i="67"/>
  <c r="B4041" i="67"/>
  <c r="F4041" i="67"/>
  <c r="A4042" i="67"/>
  <c r="C4040" i="67" l="1"/>
  <c r="A4043" i="67"/>
  <c r="F4042" i="67"/>
  <c r="B4042" i="67"/>
  <c r="D4041" i="67"/>
  <c r="E4041" i="67"/>
  <c r="C4041" i="67" l="1"/>
  <c r="D4042" i="67"/>
  <c r="E4042" i="67"/>
  <c r="F4043" i="67"/>
  <c r="A4044" i="67"/>
  <c r="B4043" i="67"/>
  <c r="C4042" i="67" l="1"/>
  <c r="D4043" i="67"/>
  <c r="E4043" i="67"/>
  <c r="B4044" i="67"/>
  <c r="A4045" i="67"/>
  <c r="F4044" i="67"/>
  <c r="C4043" i="67" l="1"/>
  <c r="F4045" i="67"/>
  <c r="B4045" i="67"/>
  <c r="A4046" i="67"/>
  <c r="D4044" i="67"/>
  <c r="E4044" i="67"/>
  <c r="C4044" i="67" l="1"/>
  <c r="A4047" i="67"/>
  <c r="F4046" i="67"/>
  <c r="B4046" i="67"/>
  <c r="D4045" i="67"/>
  <c r="E4045" i="67"/>
  <c r="C4045" i="67" l="1"/>
  <c r="D4046" i="67"/>
  <c r="E4046" i="67"/>
  <c r="F4047" i="67"/>
  <c r="A4048" i="67"/>
  <c r="B4047" i="67"/>
  <c r="C4046" i="67" l="1"/>
  <c r="F4048" i="67"/>
  <c r="A4049" i="67"/>
  <c r="B4048" i="67"/>
  <c r="D4047" i="67"/>
  <c r="E4047" i="67"/>
  <c r="C4047" i="67" l="1"/>
  <c r="D4048" i="67"/>
  <c r="E4048" i="67"/>
  <c r="B4049" i="67"/>
  <c r="F4049" i="67"/>
  <c r="A4050" i="67"/>
  <c r="C4048" i="67" l="1"/>
  <c r="F4050" i="67"/>
  <c r="B4050" i="67"/>
  <c r="A4051" i="67"/>
  <c r="D4049" i="67"/>
  <c r="E4049" i="67"/>
  <c r="C4049" i="67" l="1"/>
  <c r="F4051" i="67"/>
  <c r="A4052" i="67"/>
  <c r="B4051" i="67"/>
  <c r="D4050" i="67"/>
  <c r="E4050" i="67"/>
  <c r="C4050" i="67" l="1"/>
  <c r="D4051" i="67"/>
  <c r="E4051" i="67"/>
  <c r="F4052" i="67"/>
  <c r="A4053" i="67"/>
  <c r="B4052" i="67"/>
  <c r="C4051" i="67" l="1"/>
  <c r="B4053" i="67"/>
  <c r="F4053" i="67"/>
  <c r="A4054" i="67"/>
  <c r="D4052" i="67"/>
  <c r="E4052" i="67"/>
  <c r="C4052" i="67" l="1"/>
  <c r="F4054" i="67"/>
  <c r="B4054" i="67"/>
  <c r="A4055" i="67"/>
  <c r="D4053" i="67"/>
  <c r="E4053" i="67"/>
  <c r="C4053" i="67" l="1"/>
  <c r="A4056" i="67"/>
  <c r="F4055" i="67"/>
  <c r="B4055" i="67"/>
  <c r="D4054" i="67"/>
  <c r="E4054" i="67"/>
  <c r="C4054" i="67" l="1"/>
  <c r="D4055" i="67"/>
  <c r="E4055" i="67"/>
  <c r="F4056" i="67"/>
  <c r="B4056" i="67"/>
  <c r="A4057" i="67"/>
  <c r="C4055" i="67" l="1"/>
  <c r="F4057" i="67"/>
  <c r="A4058" i="67"/>
  <c r="B4057" i="67"/>
  <c r="D4056" i="67"/>
  <c r="E4056" i="67"/>
  <c r="C4056" i="67" l="1"/>
  <c r="D4057" i="67"/>
  <c r="E4057" i="67"/>
  <c r="B4058" i="67"/>
  <c r="F4058" i="67"/>
  <c r="A4059" i="67"/>
  <c r="C4057" i="67" l="1"/>
  <c r="F4059" i="67"/>
  <c r="B4059" i="67"/>
  <c r="A4060" i="67"/>
  <c r="D4058" i="67"/>
  <c r="E4058" i="67"/>
  <c r="C4058" i="67" l="1"/>
  <c r="A4061" i="67"/>
  <c r="F4060" i="67"/>
  <c r="B4060" i="67"/>
  <c r="D4059" i="67"/>
  <c r="E4059" i="67"/>
  <c r="C4059" i="67" l="1"/>
  <c r="D4060" i="67"/>
  <c r="E4060" i="67"/>
  <c r="B4061" i="67"/>
  <c r="F4061" i="67"/>
  <c r="A4062" i="67"/>
  <c r="C4060" i="67" l="1"/>
  <c r="B4062" i="67"/>
  <c r="F4062" i="67"/>
  <c r="A4063" i="67"/>
  <c r="D4061" i="67"/>
  <c r="E4061" i="67"/>
  <c r="C4061" i="67" l="1"/>
  <c r="F4063" i="67"/>
  <c r="B4063" i="67"/>
  <c r="A4064" i="67"/>
  <c r="D4062" i="67"/>
  <c r="E4062" i="67"/>
  <c r="C4062" i="67" l="1"/>
  <c r="F4064" i="67"/>
  <c r="A4065" i="67"/>
  <c r="B4064" i="67"/>
  <c r="D4063" i="67"/>
  <c r="E4063" i="67"/>
  <c r="C4063" i="67" l="1"/>
  <c r="D4064" i="67"/>
  <c r="E4064" i="67"/>
  <c r="F4065" i="67"/>
  <c r="A4066" i="67"/>
  <c r="B4065" i="67"/>
  <c r="C4064" i="67" l="1"/>
  <c r="D4065" i="67"/>
  <c r="E4065" i="67"/>
  <c r="F4066" i="67"/>
  <c r="B4066" i="67"/>
  <c r="A4067" i="67"/>
  <c r="C4065" i="67" l="1"/>
  <c r="A4068" i="67"/>
  <c r="F4067" i="67"/>
  <c r="B4067" i="67"/>
  <c r="D4066" i="67"/>
  <c r="E4066" i="67"/>
  <c r="C4066" i="67" l="1"/>
  <c r="D4067" i="67"/>
  <c r="E4067" i="67"/>
  <c r="F4068" i="67"/>
  <c r="A4069" i="67"/>
  <c r="B4068" i="67"/>
  <c r="C4067" i="67" l="1"/>
  <c r="D4068" i="67"/>
  <c r="E4068" i="67"/>
  <c r="F4069" i="67"/>
  <c r="B4069" i="67"/>
  <c r="A4070" i="67"/>
  <c r="C4068" i="67" l="1"/>
  <c r="F4070" i="67"/>
  <c r="B4070" i="67"/>
  <c r="A4071" i="67"/>
  <c r="D4069" i="67"/>
  <c r="E4069" i="67"/>
  <c r="C4069" i="67" l="1"/>
  <c r="F4071" i="67"/>
  <c r="A4072" i="67"/>
  <c r="B4071" i="67"/>
  <c r="D4070" i="67"/>
  <c r="E4070" i="67"/>
  <c r="C4070" i="67" l="1"/>
  <c r="D4071" i="67"/>
  <c r="E4071" i="67"/>
  <c r="C4071" i="67" s="1"/>
  <c r="F4072" i="67"/>
  <c r="A4073" i="67"/>
  <c r="B4072" i="67"/>
  <c r="A4074" i="67" l="1"/>
  <c r="F4073" i="67"/>
  <c r="B4073" i="67"/>
  <c r="D4072" i="67"/>
  <c r="E4072" i="67"/>
  <c r="C4072" i="67" l="1"/>
  <c r="D4073" i="67"/>
  <c r="E4073" i="67"/>
  <c r="B4074" i="67"/>
  <c r="F4074" i="67"/>
  <c r="A4075" i="67"/>
  <c r="C4073" i="67" l="1"/>
  <c r="F4075" i="67"/>
  <c r="A4076" i="67"/>
  <c r="B4075" i="67"/>
  <c r="D4074" i="67"/>
  <c r="E4074" i="67"/>
  <c r="C4074" i="67" l="1"/>
  <c r="D4075" i="67"/>
  <c r="E4075" i="67"/>
  <c r="F4076" i="67"/>
  <c r="A4077" i="67"/>
  <c r="B4076" i="67"/>
  <c r="C4075" i="67" l="1"/>
  <c r="B4077" i="67"/>
  <c r="F4077" i="67"/>
  <c r="A4078" i="67"/>
  <c r="D4076" i="67"/>
  <c r="E4076" i="67"/>
  <c r="C4076" i="67" l="1"/>
  <c r="F4078" i="67"/>
  <c r="A4079" i="67"/>
  <c r="B4078" i="67"/>
  <c r="D4077" i="67"/>
  <c r="E4077" i="67"/>
  <c r="C4077" i="67" l="1"/>
  <c r="D4078" i="67"/>
  <c r="E4078" i="67"/>
  <c r="F4079" i="67"/>
  <c r="A4080" i="67"/>
  <c r="B4079" i="67"/>
  <c r="C4078" i="67" l="1"/>
  <c r="D4079" i="67"/>
  <c r="E4079" i="67"/>
  <c r="B4080" i="67"/>
  <c r="F4080" i="67"/>
  <c r="A4081" i="67"/>
  <c r="C4079" i="67" l="1"/>
  <c r="A4082" i="67"/>
  <c r="F4081" i="67"/>
  <c r="B4081" i="67"/>
  <c r="D4080" i="67"/>
  <c r="E4080" i="67"/>
  <c r="C4080" i="67" l="1"/>
  <c r="D4081" i="67"/>
  <c r="E4081" i="67"/>
  <c r="F4082" i="67"/>
  <c r="B4082" i="67"/>
  <c r="A4083" i="67"/>
  <c r="C4081" i="67" l="1"/>
  <c r="F4083" i="67"/>
  <c r="A4084" i="67"/>
  <c r="B4083" i="67"/>
  <c r="D4082" i="67"/>
  <c r="E4082" i="67"/>
  <c r="C4082" i="67" l="1"/>
  <c r="D4083" i="67"/>
  <c r="E4083" i="67"/>
  <c r="A4085" i="67"/>
  <c r="F4084" i="67"/>
  <c r="B4084" i="67"/>
  <c r="C4083" i="67" l="1"/>
  <c r="D4084" i="67"/>
  <c r="E4084" i="67"/>
  <c r="B4085" i="67"/>
  <c r="F4085" i="67"/>
  <c r="A4086" i="67"/>
  <c r="C4084" i="67" l="1"/>
  <c r="F4086" i="67"/>
  <c r="B4086" i="67"/>
  <c r="A4087" i="67"/>
  <c r="D4085" i="67"/>
  <c r="E4085" i="67"/>
  <c r="C4085" i="67" l="1"/>
  <c r="A4088" i="67"/>
  <c r="F4087" i="67"/>
  <c r="B4087" i="67"/>
  <c r="D4086" i="67"/>
  <c r="E4086" i="67"/>
  <c r="C4086" i="67" l="1"/>
  <c r="D4087" i="67"/>
  <c r="E4087" i="67"/>
  <c r="F4088" i="67"/>
  <c r="B4088" i="67"/>
  <c r="A4089" i="67"/>
  <c r="C4087" i="67" l="1"/>
  <c r="F4089" i="67"/>
  <c r="A4090" i="67"/>
  <c r="B4089" i="67"/>
  <c r="D4088" i="67"/>
  <c r="E4088" i="67"/>
  <c r="C4088" i="67" l="1"/>
  <c r="D4089" i="67"/>
  <c r="E4089" i="67"/>
  <c r="F4090" i="67"/>
  <c r="A4091" i="67"/>
  <c r="B4090" i="67"/>
  <c r="C4089" i="67" l="1"/>
  <c r="D4090" i="67"/>
  <c r="E4090" i="67"/>
  <c r="F4091" i="67"/>
  <c r="B4091" i="67"/>
  <c r="A4092" i="67"/>
  <c r="C4090" i="67" l="1"/>
  <c r="B4092" i="67"/>
  <c r="F4092" i="67"/>
  <c r="A4093" i="67"/>
  <c r="D4091" i="67"/>
  <c r="E4091" i="67"/>
  <c r="C4091" i="67" l="1"/>
  <c r="F4093" i="67"/>
  <c r="A4094" i="67"/>
  <c r="B4093" i="67"/>
  <c r="D4092" i="67"/>
  <c r="E4092" i="67"/>
  <c r="C4092" i="67" l="1"/>
  <c r="D4093" i="67"/>
  <c r="E4093" i="67"/>
  <c r="B4094" i="67"/>
  <c r="F4094" i="67"/>
  <c r="A4095" i="67"/>
  <c r="C4093" i="67" l="1"/>
  <c r="F4095" i="67"/>
  <c r="A4096" i="67"/>
  <c r="B4095" i="67"/>
  <c r="D4094" i="67"/>
  <c r="E4094" i="67"/>
  <c r="C4094" i="67" l="1"/>
  <c r="D4095" i="67"/>
  <c r="E4095" i="67"/>
  <c r="F4096" i="67"/>
  <c r="A4097" i="67"/>
  <c r="B4096" i="67"/>
  <c r="C4095" i="67" l="1"/>
  <c r="D4096" i="67"/>
  <c r="E4096" i="67"/>
  <c r="F4097" i="67"/>
  <c r="A4098" i="67"/>
  <c r="B4097" i="67"/>
  <c r="C4096" i="67" l="1"/>
  <c r="F4098" i="67"/>
  <c r="B4098" i="67"/>
  <c r="A4099" i="67"/>
  <c r="D4097" i="67"/>
  <c r="E4097" i="67"/>
  <c r="C4097" i="67" l="1"/>
  <c r="F4099" i="67"/>
  <c r="B4099" i="67"/>
  <c r="A4100" i="67"/>
  <c r="D4098" i="67"/>
  <c r="E4098" i="67"/>
  <c r="C4098" i="67" l="1"/>
  <c r="F4100" i="67"/>
  <c r="B4100" i="67"/>
  <c r="A4101" i="67"/>
  <c r="D4099" i="67"/>
  <c r="E4099" i="67"/>
  <c r="C4099" i="67" l="1"/>
  <c r="F4101" i="67"/>
  <c r="A4102" i="67"/>
  <c r="B4101" i="67"/>
  <c r="D4100" i="67"/>
  <c r="E4100" i="67"/>
  <c r="C4100" i="67" l="1"/>
  <c r="D4101" i="67"/>
  <c r="E4101" i="67"/>
  <c r="B4102" i="67"/>
  <c r="F4102" i="67"/>
  <c r="A4103" i="67"/>
  <c r="C4101" i="67" l="1"/>
  <c r="F4103" i="67"/>
  <c r="A4104" i="67"/>
  <c r="B4103" i="67"/>
  <c r="D4102" i="67"/>
  <c r="E4102" i="67"/>
  <c r="C4102" i="67" l="1"/>
  <c r="A4105" i="67"/>
  <c r="F4104" i="67"/>
  <c r="B4104" i="67"/>
  <c r="D4103" i="67"/>
  <c r="E4103" i="67"/>
  <c r="C4103" i="67" l="1"/>
  <c r="D4104" i="67"/>
  <c r="E4104" i="67"/>
  <c r="B4105" i="67"/>
  <c r="F4105" i="67"/>
  <c r="A4106" i="67"/>
  <c r="C4104" i="67" l="1"/>
  <c r="F4106" i="67"/>
  <c r="A4107" i="67"/>
  <c r="B4106" i="67"/>
  <c r="D4105" i="67"/>
  <c r="E4105" i="67"/>
  <c r="C4105" i="67" l="1"/>
  <c r="B4107" i="67"/>
  <c r="F4107" i="67"/>
  <c r="A4108" i="67"/>
  <c r="D4106" i="67"/>
  <c r="E4106" i="67"/>
  <c r="C4106" i="67" l="1"/>
  <c r="B4108" i="67"/>
  <c r="F4108" i="67"/>
  <c r="A4109" i="67"/>
  <c r="D4107" i="67"/>
  <c r="E4107" i="67"/>
  <c r="C4107" i="67" l="1"/>
  <c r="A4110" i="67"/>
  <c r="F4109" i="67"/>
  <c r="B4109" i="67"/>
  <c r="D4108" i="67"/>
  <c r="E4108" i="67"/>
  <c r="C4108" i="67" l="1"/>
  <c r="D4109" i="67"/>
  <c r="E4109" i="67"/>
  <c r="F4110" i="67"/>
  <c r="B4110" i="67"/>
  <c r="A4111" i="67"/>
  <c r="C4109" i="67" l="1"/>
  <c r="A4112" i="67"/>
  <c r="F4111" i="67"/>
  <c r="B4111" i="67"/>
  <c r="D4110" i="67"/>
  <c r="E4110" i="67"/>
  <c r="C4110" i="67" l="1"/>
  <c r="D4111" i="67"/>
  <c r="E4111" i="67"/>
  <c r="F4112" i="67"/>
  <c r="B4112" i="67"/>
  <c r="A4113" i="67"/>
  <c r="C4111" i="67" l="1"/>
  <c r="F4113" i="67"/>
  <c r="B4113" i="67"/>
  <c r="A4114" i="67"/>
  <c r="D4112" i="67"/>
  <c r="E4112" i="67"/>
  <c r="C4112" i="67" l="1"/>
  <c r="D4113" i="67"/>
  <c r="E4113" i="67"/>
  <c r="A4115" i="67"/>
  <c r="F4114" i="67"/>
  <c r="B4114" i="67"/>
  <c r="C4113" i="67" l="1"/>
  <c r="D4114" i="67"/>
  <c r="E4114" i="67"/>
  <c r="A4116" i="67"/>
  <c r="B4115" i="67"/>
  <c r="F4115" i="67"/>
  <c r="C4114" i="67" l="1"/>
  <c r="D4115" i="67"/>
  <c r="E4115" i="67"/>
  <c r="F4116" i="67"/>
  <c r="B4116" i="67"/>
  <c r="A4117" i="67"/>
  <c r="C4115" i="67" l="1"/>
  <c r="F4117" i="67"/>
  <c r="A4118" i="67"/>
  <c r="B4117" i="67"/>
  <c r="D4116" i="67"/>
  <c r="E4116" i="67"/>
  <c r="C4116" i="67" l="1"/>
  <c r="D4117" i="67"/>
  <c r="E4117" i="67"/>
  <c r="F4118" i="67"/>
  <c r="A4119" i="67"/>
  <c r="B4118" i="67"/>
  <c r="C4117" i="67" l="1"/>
  <c r="D4118" i="67"/>
  <c r="E4118" i="67"/>
  <c r="F4119" i="67"/>
  <c r="A4120" i="67"/>
  <c r="B4119" i="67"/>
  <c r="C4118" i="67" l="1"/>
  <c r="D4119" i="67"/>
  <c r="E4119" i="67"/>
  <c r="F4120" i="67"/>
  <c r="B4120" i="67"/>
  <c r="A4121" i="67"/>
  <c r="C4119" i="67" l="1"/>
  <c r="F4121" i="67"/>
  <c r="A4122" i="67"/>
  <c r="B4121" i="67"/>
  <c r="D4120" i="67"/>
  <c r="E4120" i="67"/>
  <c r="C4120" i="67" l="1"/>
  <c r="A4123" i="67"/>
  <c r="F4122" i="67"/>
  <c r="B4122" i="67"/>
  <c r="D4121" i="67"/>
  <c r="E4121" i="67"/>
  <c r="C4121" i="67" l="1"/>
  <c r="D4122" i="67"/>
  <c r="E4122" i="67"/>
  <c r="A4124" i="67"/>
  <c r="F4123" i="67"/>
  <c r="B4123" i="67"/>
  <c r="C4122" i="67" l="1"/>
  <c r="A4125" i="67"/>
  <c r="F4124" i="67"/>
  <c r="B4124" i="67"/>
  <c r="D4123" i="67"/>
  <c r="E4123" i="67"/>
  <c r="C4123" i="67" l="1"/>
  <c r="D4124" i="67"/>
  <c r="E4124" i="67"/>
  <c r="F4125" i="67"/>
  <c r="B4125" i="67"/>
  <c r="A4126" i="67"/>
  <c r="C4124" i="67" l="1"/>
  <c r="D4125" i="67"/>
  <c r="E4125" i="67"/>
  <c r="F4126" i="67"/>
  <c r="A4127" i="67"/>
  <c r="B4126" i="67"/>
  <c r="C4125" i="67" l="1"/>
  <c r="F4127" i="67"/>
  <c r="B4127" i="67"/>
  <c r="A4128" i="67"/>
  <c r="D4126" i="67"/>
  <c r="E4126" i="67"/>
  <c r="C4126" i="67" l="1"/>
  <c r="B4128" i="67"/>
  <c r="A4129" i="67"/>
  <c r="F4128" i="67"/>
  <c r="D4127" i="67"/>
  <c r="E4127" i="67"/>
  <c r="C4127" i="67" l="1"/>
  <c r="A4130" i="67"/>
  <c r="B4129" i="67"/>
  <c r="F4129" i="67"/>
  <c r="D4128" i="67"/>
  <c r="E4128" i="67"/>
  <c r="C4128" i="67" l="1"/>
  <c r="D4129" i="67"/>
  <c r="E4129" i="67"/>
  <c r="F4130" i="67"/>
  <c r="B4130" i="67"/>
  <c r="A4131" i="67"/>
  <c r="C4129" i="67" l="1"/>
  <c r="D4130" i="67"/>
  <c r="E4130" i="67"/>
  <c r="A4132" i="67"/>
  <c r="B4131" i="67"/>
  <c r="F4131" i="67"/>
  <c r="C4130" i="67" l="1"/>
  <c r="D4131" i="67"/>
  <c r="E4131" i="67"/>
  <c r="F4132" i="67"/>
  <c r="A4133" i="67"/>
  <c r="B4132" i="67"/>
  <c r="C4131" i="67" l="1"/>
  <c r="D4132" i="67"/>
  <c r="E4132" i="67"/>
  <c r="F4133" i="67"/>
  <c r="A4134" i="67"/>
  <c r="B4133" i="67"/>
  <c r="C4132" i="67" l="1"/>
  <c r="F4134" i="67"/>
  <c r="A4135" i="67"/>
  <c r="B4134" i="67"/>
  <c r="D4133" i="67"/>
  <c r="E4133" i="67"/>
  <c r="C4133" i="67" l="1"/>
  <c r="D4134" i="67"/>
  <c r="E4134" i="67"/>
  <c r="F4135" i="67"/>
  <c r="A4136" i="67"/>
  <c r="B4135" i="67"/>
  <c r="C4134" i="67" l="1"/>
  <c r="D4135" i="67"/>
  <c r="E4135" i="67"/>
  <c r="F4136" i="67"/>
  <c r="B4136" i="67"/>
  <c r="A4137" i="67"/>
  <c r="C4135" i="67" l="1"/>
  <c r="F4137" i="67"/>
  <c r="A4138" i="67"/>
  <c r="B4137" i="67"/>
  <c r="D4136" i="67"/>
  <c r="E4136" i="67"/>
  <c r="C4136" i="67" l="1"/>
  <c r="D4137" i="67"/>
  <c r="E4137" i="67"/>
  <c r="F4138" i="67"/>
  <c r="A4139" i="67"/>
  <c r="B4138" i="67"/>
  <c r="C4137" i="67" l="1"/>
  <c r="D4138" i="67"/>
  <c r="E4138" i="67"/>
  <c r="F4139" i="67"/>
  <c r="A4140" i="67"/>
  <c r="B4139" i="67"/>
  <c r="C4138" i="67" l="1"/>
  <c r="D4139" i="67"/>
  <c r="E4139" i="67"/>
  <c r="F4140" i="67"/>
  <c r="B4140" i="67"/>
  <c r="A4141" i="67"/>
  <c r="C4139" i="67" l="1"/>
  <c r="A4142" i="67"/>
  <c r="F4141" i="67"/>
  <c r="B4141" i="67"/>
  <c r="D4140" i="67"/>
  <c r="E4140" i="67"/>
  <c r="C4140" i="67" l="1"/>
  <c r="D4141" i="67"/>
  <c r="E4141" i="67"/>
  <c r="F4142" i="67"/>
  <c r="A4143" i="67"/>
  <c r="B4142" i="67"/>
  <c r="C4141" i="67" l="1"/>
  <c r="D4142" i="67"/>
  <c r="E4142" i="67"/>
  <c r="A4144" i="67"/>
  <c r="F4143" i="67"/>
  <c r="B4143" i="67"/>
  <c r="C4142" i="67" l="1"/>
  <c r="D4143" i="67"/>
  <c r="E4143" i="67"/>
  <c r="B4144" i="67"/>
  <c r="F4144" i="67"/>
  <c r="A4145" i="67"/>
  <c r="C4143" i="67" l="1"/>
  <c r="A4146" i="67"/>
  <c r="F4145" i="67"/>
  <c r="B4145" i="67"/>
  <c r="D4144" i="67"/>
  <c r="E4144" i="67"/>
  <c r="C4144" i="67" l="1"/>
  <c r="D4145" i="67"/>
  <c r="E4145" i="67"/>
  <c r="A4147" i="67"/>
  <c r="F4146" i="67"/>
  <c r="B4146" i="67"/>
  <c r="C4145" i="67" l="1"/>
  <c r="D4146" i="67"/>
  <c r="E4146" i="67"/>
  <c r="B4147" i="67"/>
  <c r="F4147" i="67"/>
  <c r="A4148" i="67"/>
  <c r="C4146" i="67" l="1"/>
  <c r="B4148" i="67"/>
  <c r="A4149" i="67"/>
  <c r="F4148" i="67"/>
  <c r="D4147" i="67"/>
  <c r="E4147" i="67"/>
  <c r="C4147" i="67" l="1"/>
  <c r="F4149" i="67"/>
  <c r="A4150" i="67"/>
  <c r="B4149" i="67"/>
  <c r="D4148" i="67"/>
  <c r="E4148" i="67"/>
  <c r="C4148" i="67" l="1"/>
  <c r="D4149" i="67"/>
  <c r="E4149" i="67"/>
  <c r="A4151" i="67"/>
  <c r="F4150" i="67"/>
  <c r="B4150" i="67"/>
  <c r="C4149" i="67" l="1"/>
  <c r="F4151" i="67"/>
  <c r="A4152" i="67"/>
  <c r="B4151" i="67"/>
  <c r="D4150" i="67"/>
  <c r="E4150" i="67"/>
  <c r="C4150" i="67" l="1"/>
  <c r="F4152" i="67"/>
  <c r="B4152" i="67"/>
  <c r="A4153" i="67"/>
  <c r="D4151" i="67"/>
  <c r="E4151" i="67"/>
  <c r="C4151" i="67" l="1"/>
  <c r="A4154" i="67"/>
  <c r="B4153" i="67"/>
  <c r="F4153" i="67"/>
  <c r="D4152" i="67"/>
  <c r="E4152" i="67"/>
  <c r="C4152" i="67" l="1"/>
  <c r="D4153" i="67"/>
  <c r="E4153" i="67"/>
  <c r="F4154" i="67"/>
  <c r="A4155" i="67"/>
  <c r="B4154" i="67"/>
  <c r="C4153" i="67" l="1"/>
  <c r="D4154" i="67"/>
  <c r="E4154" i="67"/>
  <c r="B4155" i="67"/>
  <c r="F4155" i="67"/>
  <c r="A4156" i="67"/>
  <c r="C4154" i="67" l="1"/>
  <c r="B4156" i="67"/>
  <c r="F4156" i="67"/>
  <c r="A4157" i="67"/>
  <c r="D4155" i="67"/>
  <c r="E4155" i="67"/>
  <c r="C4155" i="67" l="1"/>
  <c r="F4157" i="67"/>
  <c r="B4157" i="67"/>
  <c r="A4158" i="67"/>
  <c r="D4156" i="67"/>
  <c r="E4156" i="67"/>
  <c r="C4156" i="67" l="1"/>
  <c r="A4159" i="67"/>
  <c r="F4158" i="67"/>
  <c r="B4158" i="67"/>
  <c r="D4157" i="67"/>
  <c r="E4157" i="67"/>
  <c r="C4157" i="67" l="1"/>
  <c r="D4158" i="67"/>
  <c r="E4158" i="67"/>
  <c r="A4160" i="67"/>
  <c r="B4159" i="67"/>
  <c r="F4159" i="67"/>
  <c r="C4158" i="67" l="1"/>
  <c r="D4159" i="67"/>
  <c r="E4159" i="67"/>
  <c r="B4160" i="67"/>
  <c r="F4160" i="67"/>
  <c r="A4161" i="67"/>
  <c r="C4159" i="67" l="1"/>
  <c r="D4160" i="67"/>
  <c r="E4160" i="67"/>
  <c r="A4162" i="67"/>
  <c r="F4161" i="67"/>
  <c r="B4161" i="67"/>
  <c r="C4160" i="67" l="1"/>
  <c r="D4161" i="67"/>
  <c r="E4161" i="67"/>
  <c r="F4162" i="67"/>
  <c r="B4162" i="67"/>
  <c r="A4163" i="67"/>
  <c r="C4161" i="67" l="1"/>
  <c r="A4164" i="67"/>
  <c r="B4163" i="67"/>
  <c r="F4163" i="67"/>
  <c r="D4162" i="67"/>
  <c r="E4162" i="67"/>
  <c r="C4162" i="67" l="1"/>
  <c r="D4163" i="67"/>
  <c r="E4163" i="67"/>
  <c r="A4165" i="67"/>
  <c r="F4164" i="67"/>
  <c r="B4164" i="67"/>
  <c r="C4163" i="67" l="1"/>
  <c r="F4165" i="67"/>
  <c r="B4165" i="67"/>
  <c r="A4166" i="67"/>
  <c r="D4164" i="67"/>
  <c r="E4164" i="67"/>
  <c r="C4164" i="67" l="1"/>
  <c r="F4166" i="67"/>
  <c r="A4167" i="67"/>
  <c r="B4166" i="67"/>
  <c r="D4165" i="67"/>
  <c r="E4165" i="67"/>
  <c r="C4165" i="67" l="1"/>
  <c r="D4166" i="67"/>
  <c r="E4166" i="67"/>
  <c r="B4167" i="67"/>
  <c r="F4167" i="67"/>
  <c r="A4168" i="67"/>
  <c r="C4166" i="67" l="1"/>
  <c r="B4168" i="67"/>
  <c r="F4168" i="67"/>
  <c r="A4169" i="67"/>
  <c r="D4167" i="67"/>
  <c r="E4167" i="67"/>
  <c r="C4167" i="67" l="1"/>
  <c r="D4168" i="67"/>
  <c r="E4168" i="67"/>
  <c r="F4169" i="67"/>
  <c r="A4170" i="67"/>
  <c r="B4169" i="67"/>
  <c r="C4168" i="67" l="1"/>
  <c r="D4169" i="67"/>
  <c r="E4169" i="67"/>
  <c r="F4170" i="67"/>
  <c r="A4171" i="67"/>
  <c r="B4170" i="67"/>
  <c r="C4169" i="67" l="1"/>
  <c r="D4170" i="67"/>
  <c r="E4170" i="67"/>
  <c r="A4172" i="67"/>
  <c r="B4171" i="67"/>
  <c r="F4171" i="67"/>
  <c r="C4170" i="67" l="1"/>
  <c r="B4172" i="67"/>
  <c r="F4172" i="67"/>
  <c r="A4173" i="67"/>
  <c r="D4171" i="67"/>
  <c r="E4171" i="67"/>
  <c r="C4171" i="67" l="1"/>
  <c r="B4173" i="67"/>
  <c r="F4173" i="67"/>
  <c r="A4174" i="67"/>
  <c r="D4172" i="67"/>
  <c r="E4172" i="67"/>
  <c r="C4172" i="67" l="1"/>
  <c r="B4174" i="67"/>
  <c r="F4174" i="67"/>
  <c r="A4175" i="67"/>
  <c r="D4173" i="67"/>
  <c r="E4173" i="67"/>
  <c r="C4173" i="67" l="1"/>
  <c r="A4176" i="67"/>
  <c r="F4175" i="67"/>
  <c r="B4175" i="67"/>
  <c r="D4174" i="67"/>
  <c r="E4174" i="67"/>
  <c r="C4174" i="67" l="1"/>
  <c r="D4175" i="67"/>
  <c r="E4175" i="67"/>
  <c r="F4176" i="67"/>
  <c r="A4177" i="67"/>
  <c r="B4176" i="67"/>
  <c r="C4175" i="67" l="1"/>
  <c r="D4176" i="67"/>
  <c r="E4176" i="67"/>
  <c r="A4178" i="67"/>
  <c r="F4177" i="67"/>
  <c r="B4177" i="67"/>
  <c r="C4176" i="67" l="1"/>
  <c r="F4178" i="67"/>
  <c r="A4179" i="67"/>
  <c r="B4178" i="67"/>
  <c r="D4177" i="67"/>
  <c r="E4177" i="67"/>
  <c r="C4177" i="67" l="1"/>
  <c r="D4178" i="67"/>
  <c r="E4178" i="67"/>
  <c r="F4179" i="67"/>
  <c r="A4180" i="67"/>
  <c r="B4179" i="67"/>
  <c r="C4178" i="67" l="1"/>
  <c r="B4180" i="67"/>
  <c r="F4180" i="67"/>
  <c r="A4181" i="67"/>
  <c r="D4179" i="67"/>
  <c r="E4179" i="67"/>
  <c r="C4179" i="67" l="1"/>
  <c r="F4181" i="67"/>
  <c r="B4181" i="67"/>
  <c r="A4182" i="67"/>
  <c r="D4180" i="67"/>
  <c r="E4180" i="67"/>
  <c r="C4180" i="67" l="1"/>
  <c r="F4182" i="67"/>
  <c r="A4183" i="67"/>
  <c r="B4182" i="67"/>
  <c r="D4181" i="67"/>
  <c r="E4181" i="67"/>
  <c r="C4181" i="67" l="1"/>
  <c r="D4182" i="67"/>
  <c r="E4182" i="67"/>
  <c r="F4183" i="67"/>
  <c r="A4184" i="67"/>
  <c r="B4183" i="67"/>
  <c r="C4182" i="67" l="1"/>
  <c r="D4183" i="67"/>
  <c r="E4183" i="67"/>
  <c r="F4184" i="67"/>
  <c r="B4184" i="67"/>
  <c r="A4185" i="67"/>
  <c r="C4183" i="67" l="1"/>
  <c r="F4185" i="67"/>
  <c r="A4186" i="67"/>
  <c r="B4185" i="67"/>
  <c r="D4184" i="67"/>
  <c r="E4184" i="67"/>
  <c r="C4184" i="67" l="1"/>
  <c r="D4185" i="67"/>
  <c r="E4185" i="67"/>
  <c r="A4187" i="67"/>
  <c r="F4186" i="67"/>
  <c r="B4186" i="67"/>
  <c r="C4185" i="67" l="1"/>
  <c r="D4186" i="67"/>
  <c r="E4186" i="67"/>
  <c r="A4188" i="67"/>
  <c r="F4187" i="67"/>
  <c r="B4187" i="67"/>
  <c r="C4186" i="67" l="1"/>
  <c r="D4187" i="67"/>
  <c r="E4187" i="67"/>
  <c r="A4189" i="67"/>
  <c r="F4188" i="67"/>
  <c r="B4188" i="67"/>
  <c r="C4187" i="67" l="1"/>
  <c r="D4188" i="67"/>
  <c r="E4188" i="67"/>
  <c r="F4189" i="67"/>
  <c r="A4190" i="67"/>
  <c r="B4189" i="67"/>
  <c r="C4188" i="67" l="1"/>
  <c r="D4189" i="67"/>
  <c r="E4189" i="67"/>
  <c r="B4190" i="67"/>
  <c r="F4190" i="67"/>
  <c r="A4191" i="67"/>
  <c r="C4189" i="67" l="1"/>
  <c r="F4191" i="67"/>
  <c r="A4192" i="67"/>
  <c r="B4191" i="67"/>
  <c r="D4190" i="67"/>
  <c r="E4190" i="67"/>
  <c r="C4190" i="67" l="1"/>
  <c r="D4191" i="67"/>
  <c r="E4191" i="67"/>
  <c r="B4192" i="67"/>
  <c r="F4192" i="67"/>
  <c r="A4193" i="67"/>
  <c r="C4191" i="67" l="1"/>
  <c r="B4193" i="67"/>
  <c r="F4193" i="67"/>
  <c r="A4194" i="67"/>
  <c r="D4192" i="67"/>
  <c r="E4192" i="67"/>
  <c r="C4192" i="67" l="1"/>
  <c r="F4194" i="67"/>
  <c r="A4195" i="67"/>
  <c r="B4194" i="67"/>
  <c r="D4193" i="67"/>
  <c r="E4193" i="67"/>
  <c r="C4193" i="67" l="1"/>
  <c r="D4194" i="67"/>
  <c r="E4194" i="67"/>
  <c r="F4195" i="67"/>
  <c r="B4195" i="67"/>
  <c r="A4196" i="67"/>
  <c r="C4194" i="67" l="1"/>
  <c r="B4196" i="67"/>
  <c r="A4197" i="67"/>
  <c r="F4196" i="67"/>
  <c r="D4195" i="67"/>
  <c r="E4195" i="67"/>
  <c r="C4195" i="67" l="1"/>
  <c r="B4197" i="67"/>
  <c r="F4197" i="67"/>
  <c r="A4198" i="67"/>
  <c r="D4196" i="67"/>
  <c r="E4196" i="67"/>
  <c r="C4196" i="67" l="1"/>
  <c r="F4198" i="67"/>
  <c r="B4198" i="67"/>
  <c r="A4199" i="67"/>
  <c r="D4197" i="67"/>
  <c r="E4197" i="67"/>
  <c r="C4197" i="67" l="1"/>
  <c r="A4200" i="67"/>
  <c r="B4199" i="67"/>
  <c r="F4199" i="67"/>
  <c r="D4198" i="67"/>
  <c r="E4198" i="67"/>
  <c r="C4198" i="67" l="1"/>
  <c r="D4199" i="67"/>
  <c r="E4199" i="67"/>
  <c r="F4200" i="67"/>
  <c r="A4201" i="67"/>
  <c r="B4200" i="67"/>
  <c r="C4199" i="67" l="1"/>
  <c r="D4200" i="67"/>
  <c r="E4200" i="67"/>
  <c r="B4201" i="67"/>
  <c r="F4201" i="67"/>
  <c r="A4202" i="67"/>
  <c r="C4200" i="67" l="1"/>
  <c r="F4202" i="67"/>
  <c r="A4203" i="67"/>
  <c r="B4202" i="67"/>
  <c r="D4201" i="67"/>
  <c r="E4201" i="67"/>
  <c r="C4201" i="67" l="1"/>
  <c r="B4203" i="67"/>
  <c r="F4203" i="67"/>
  <c r="A4204" i="67"/>
  <c r="D4202" i="67"/>
  <c r="E4202" i="67"/>
  <c r="C4202" i="67" l="1"/>
  <c r="A4205" i="67"/>
  <c r="F4204" i="67"/>
  <c r="B4204" i="67"/>
  <c r="D4203" i="67"/>
  <c r="E4203" i="67"/>
  <c r="C4203" i="67" l="1"/>
  <c r="D4204" i="67"/>
  <c r="E4204" i="67"/>
  <c r="B4205" i="67"/>
  <c r="A4206" i="67"/>
  <c r="F4205" i="67"/>
  <c r="C4204" i="67" l="1"/>
  <c r="F4206" i="67"/>
  <c r="B4206" i="67"/>
  <c r="A4207" i="67"/>
  <c r="D4205" i="67"/>
  <c r="E4205" i="67"/>
  <c r="C4205" i="67" l="1"/>
  <c r="D4206" i="67"/>
  <c r="E4206" i="67"/>
  <c r="F4207" i="67"/>
  <c r="A4208" i="67"/>
  <c r="B4207" i="67"/>
  <c r="C4206" i="67" l="1"/>
  <c r="D4207" i="67"/>
  <c r="E4207" i="67"/>
  <c r="F4208" i="67"/>
  <c r="B4208" i="67"/>
  <c r="A4209" i="67"/>
  <c r="C4207" i="67" l="1"/>
  <c r="B4209" i="67"/>
  <c r="A4210" i="67"/>
  <c r="F4209" i="67"/>
  <c r="D4208" i="67"/>
  <c r="E4208" i="67"/>
  <c r="C4208" i="67" l="1"/>
  <c r="F4210" i="67"/>
  <c r="B4210" i="67"/>
  <c r="A4211" i="67"/>
  <c r="D4209" i="67"/>
  <c r="E4209" i="67"/>
  <c r="C4209" i="67" l="1"/>
  <c r="B4211" i="67"/>
  <c r="A4212" i="67"/>
  <c r="F4211" i="67"/>
  <c r="D4210" i="67"/>
  <c r="E4210" i="67"/>
  <c r="C4210" i="67" l="1"/>
  <c r="F4212" i="67"/>
  <c r="B4212" i="67"/>
  <c r="A4213" i="67"/>
  <c r="D4211" i="67"/>
  <c r="E4211" i="67"/>
  <c r="C4211" i="67" l="1"/>
  <c r="D4212" i="67"/>
  <c r="E4212" i="67"/>
  <c r="C4212" i="67" s="1"/>
  <c r="B4213" i="67"/>
  <c r="F4213" i="67"/>
  <c r="A4214" i="67"/>
  <c r="F4214" i="67" l="1"/>
  <c r="A4215" i="67"/>
  <c r="B4214" i="67"/>
  <c r="D4213" i="67"/>
  <c r="E4213" i="67"/>
  <c r="C4213" i="67" l="1"/>
  <c r="D4214" i="67"/>
  <c r="E4214" i="67"/>
  <c r="F4215" i="67"/>
  <c r="A4216" i="67"/>
  <c r="B4215" i="67"/>
  <c r="C4214" i="67" l="1"/>
  <c r="D4215" i="67"/>
  <c r="E4215" i="67"/>
  <c r="F4216" i="67"/>
  <c r="A4217" i="67"/>
  <c r="B4216" i="67"/>
  <c r="C4215" i="67" l="1"/>
  <c r="D4216" i="67"/>
  <c r="E4216" i="67"/>
  <c r="F4217" i="67"/>
  <c r="A4218" i="67"/>
  <c r="B4217" i="67"/>
  <c r="C4216" i="67" l="1"/>
  <c r="D4217" i="67"/>
  <c r="E4217" i="67"/>
  <c r="F4218" i="67"/>
  <c r="B4218" i="67"/>
  <c r="A4219" i="67"/>
  <c r="C4217" i="67" l="1"/>
  <c r="F4219" i="67"/>
  <c r="A4220" i="67"/>
  <c r="B4219" i="67"/>
  <c r="D4218" i="67"/>
  <c r="E4218" i="67"/>
  <c r="C4218" i="67" l="1"/>
  <c r="D4219" i="67"/>
  <c r="E4219" i="67"/>
  <c r="F4220" i="67"/>
  <c r="B4220" i="67"/>
  <c r="A4221" i="67"/>
  <c r="C4219" i="67" l="1"/>
  <c r="F4221" i="67"/>
  <c r="A4222" i="67"/>
  <c r="B4221" i="67"/>
  <c r="D4220" i="67"/>
  <c r="E4220" i="67"/>
  <c r="C4220" i="67" l="1"/>
  <c r="F4222" i="67"/>
  <c r="B4222" i="67"/>
  <c r="A4223" i="67"/>
  <c r="D4221" i="67"/>
  <c r="E4221" i="67"/>
  <c r="C4221" i="67" l="1"/>
  <c r="F4223" i="67"/>
  <c r="A4224" i="67"/>
  <c r="B4223" i="67"/>
  <c r="D4222" i="67"/>
  <c r="E4222" i="67"/>
  <c r="C4222" i="67" l="1"/>
  <c r="D4223" i="67"/>
  <c r="E4223" i="67"/>
  <c r="B4224" i="67"/>
  <c r="A4225" i="67"/>
  <c r="F4224" i="67"/>
  <c r="C4223" i="67" l="1"/>
  <c r="B4225" i="67"/>
  <c r="F4225" i="67"/>
  <c r="A4226" i="67"/>
  <c r="D4224" i="67"/>
  <c r="E4224" i="67"/>
  <c r="C4224" i="67" l="1"/>
  <c r="B4226" i="67"/>
  <c r="A4227" i="67"/>
  <c r="F4226" i="67"/>
  <c r="D4225" i="67"/>
  <c r="E4225" i="67"/>
  <c r="C4225" i="67" l="1"/>
  <c r="A4228" i="67"/>
  <c r="B4227" i="67"/>
  <c r="F4227" i="67"/>
  <c r="D4226" i="67"/>
  <c r="E4226" i="67"/>
  <c r="C4226" i="67" l="1"/>
  <c r="D4227" i="67"/>
  <c r="E4227" i="67"/>
  <c r="A4229" i="67"/>
  <c r="F4228" i="67"/>
  <c r="B4228" i="67"/>
  <c r="C4227" i="67" l="1"/>
  <c r="D4228" i="67"/>
  <c r="E4228" i="67"/>
  <c r="A4230" i="67"/>
  <c r="B4229" i="67"/>
  <c r="F4229" i="67"/>
  <c r="C4228" i="67" l="1"/>
  <c r="D4229" i="67"/>
  <c r="E4229" i="67"/>
  <c r="B4230" i="67"/>
  <c r="F4230" i="67"/>
  <c r="A4231" i="67"/>
  <c r="C4229" i="67" l="1"/>
  <c r="F4231" i="67"/>
  <c r="A4232" i="67"/>
  <c r="B4231" i="67"/>
  <c r="D4230" i="67"/>
  <c r="E4230" i="67"/>
  <c r="C4230" i="67" l="1"/>
  <c r="D4231" i="67"/>
  <c r="E4231" i="67"/>
  <c r="F4232" i="67"/>
  <c r="A4233" i="67"/>
  <c r="B4232" i="67"/>
  <c r="C4231" i="67" l="1"/>
  <c r="D4232" i="67"/>
  <c r="E4232" i="67"/>
  <c r="B4233" i="67"/>
  <c r="F4233" i="67"/>
  <c r="A4234" i="67"/>
  <c r="C4232" i="67" l="1"/>
  <c r="B4234" i="67"/>
  <c r="F4234" i="67"/>
  <c r="A4235" i="67"/>
  <c r="D4233" i="67"/>
  <c r="E4233" i="67"/>
  <c r="C4233" i="67" l="1"/>
  <c r="A4236" i="67"/>
  <c r="F4235" i="67"/>
  <c r="B4235" i="67"/>
  <c r="D4234" i="67"/>
  <c r="E4234" i="67"/>
  <c r="C4234" i="67" l="1"/>
  <c r="D4235" i="67"/>
  <c r="E4235" i="67"/>
  <c r="A4237" i="67"/>
  <c r="F4236" i="67"/>
  <c r="B4236" i="67"/>
  <c r="C4235" i="67" l="1"/>
  <c r="F4237" i="67"/>
  <c r="A4238" i="67"/>
  <c r="B4237" i="67"/>
  <c r="D4236" i="67"/>
  <c r="E4236" i="67"/>
  <c r="C4236" i="67" l="1"/>
  <c r="B4238" i="67"/>
  <c r="A4239" i="67"/>
  <c r="F4238" i="67"/>
  <c r="D4237" i="67"/>
  <c r="E4237" i="67"/>
  <c r="C4237" i="67" l="1"/>
  <c r="A4240" i="67"/>
  <c r="B4239" i="67"/>
  <c r="F4239" i="67"/>
  <c r="D4238" i="67"/>
  <c r="E4238" i="67"/>
  <c r="C4238" i="67" l="1"/>
  <c r="D4239" i="67"/>
  <c r="E4239" i="67"/>
  <c r="F4240" i="67"/>
  <c r="B4240" i="67"/>
  <c r="A4241" i="67"/>
  <c r="C4239" i="67" l="1"/>
  <c r="D4240" i="67"/>
  <c r="E4240" i="67"/>
  <c r="F4241" i="67"/>
  <c r="B4241" i="67"/>
  <c r="A4242" i="67"/>
  <c r="C4240" i="67" l="1"/>
  <c r="B4242" i="67"/>
  <c r="F4242" i="67"/>
  <c r="A4243" i="67"/>
  <c r="D4241" i="67"/>
  <c r="E4241" i="67"/>
  <c r="C4241" i="67" l="1"/>
  <c r="B4243" i="67"/>
  <c r="F4243" i="67"/>
  <c r="A4244" i="67"/>
  <c r="D4242" i="67"/>
  <c r="E4242" i="67"/>
  <c r="C4242" i="67" l="1"/>
  <c r="F4244" i="67"/>
  <c r="B4244" i="67"/>
  <c r="A4245" i="67"/>
  <c r="D4243" i="67"/>
  <c r="E4243" i="67"/>
  <c r="C4243" i="67" l="1"/>
  <c r="B4245" i="67"/>
  <c r="A4246" i="67"/>
  <c r="F4245" i="67"/>
  <c r="D4244" i="67"/>
  <c r="E4244" i="67"/>
  <c r="C4244" i="67" l="1"/>
  <c r="A4247" i="67"/>
  <c r="B4246" i="67"/>
  <c r="F4246" i="67"/>
  <c r="D4245" i="67"/>
  <c r="E4245" i="67"/>
  <c r="C4245" i="67" l="1"/>
  <c r="D4246" i="67"/>
  <c r="E4246" i="67"/>
  <c r="A4248" i="67"/>
  <c r="F4247" i="67"/>
  <c r="B4247" i="67"/>
  <c r="C4246" i="67" l="1"/>
  <c r="D4247" i="67"/>
  <c r="E4247" i="67"/>
  <c r="A4249" i="67"/>
  <c r="F4248" i="67"/>
  <c r="B4248" i="67"/>
  <c r="C4247" i="67" l="1"/>
  <c r="D4248" i="67"/>
  <c r="E4248" i="67"/>
  <c r="B4249" i="67"/>
  <c r="F4249" i="67"/>
  <c r="A4250" i="67"/>
  <c r="C4248" i="67" l="1"/>
  <c r="D4249" i="67"/>
  <c r="E4249" i="67"/>
  <c r="B4250" i="67"/>
  <c r="F4250" i="67"/>
  <c r="A4251" i="67"/>
  <c r="C4249" i="67" l="1"/>
  <c r="D4250" i="67"/>
  <c r="E4250" i="67"/>
  <c r="F4251" i="67"/>
  <c r="A4252" i="67"/>
  <c r="B4251" i="67"/>
  <c r="C4250" i="67" l="1"/>
  <c r="D4251" i="67"/>
  <c r="E4251" i="67"/>
  <c r="A4253" i="67"/>
  <c r="F4252" i="67"/>
  <c r="B4252" i="67"/>
  <c r="C4251" i="67" l="1"/>
  <c r="D4252" i="67"/>
  <c r="E4252" i="67"/>
  <c r="F4253" i="67"/>
  <c r="B4253" i="67"/>
  <c r="A4254" i="67"/>
  <c r="C4252" i="67" l="1"/>
  <c r="F4254" i="67"/>
  <c r="B4254" i="67"/>
  <c r="A4255" i="67"/>
  <c r="D4253" i="67"/>
  <c r="E4253" i="67"/>
  <c r="C4253" i="67" l="1"/>
  <c r="D4254" i="67"/>
  <c r="E4254" i="67"/>
  <c r="A4256" i="67"/>
  <c r="F4255" i="67"/>
  <c r="B4255" i="67"/>
  <c r="C4254" i="67" l="1"/>
  <c r="D4255" i="67"/>
  <c r="E4255" i="67"/>
  <c r="F4256" i="67"/>
  <c r="A4257" i="67"/>
  <c r="B4256" i="67"/>
  <c r="C4255" i="67" l="1"/>
  <c r="B4257" i="67"/>
  <c r="F4257" i="67"/>
  <c r="A4258" i="67"/>
  <c r="D4256" i="67"/>
  <c r="E4256" i="67"/>
  <c r="C4256" i="67" l="1"/>
  <c r="B4258" i="67"/>
  <c r="F4258" i="67"/>
  <c r="A4259" i="67"/>
  <c r="D4257" i="67"/>
  <c r="E4257" i="67"/>
  <c r="C4257" i="67" l="1"/>
  <c r="F4259" i="67"/>
  <c r="A4260" i="67"/>
  <c r="B4259" i="67"/>
  <c r="D4258" i="67"/>
  <c r="E4258" i="67"/>
  <c r="C4258" i="67" l="1"/>
  <c r="D4259" i="67"/>
  <c r="E4259" i="67"/>
  <c r="A4261" i="67"/>
  <c r="F4260" i="67"/>
  <c r="B4260" i="67"/>
  <c r="C4259" i="67" l="1"/>
  <c r="D4260" i="67"/>
  <c r="E4260" i="67"/>
  <c r="F4261" i="67"/>
  <c r="B4261" i="67"/>
  <c r="A4262" i="67"/>
  <c r="C4260" i="67" l="1"/>
  <c r="D4261" i="67"/>
  <c r="E4261" i="67"/>
  <c r="F4262" i="67"/>
  <c r="B4262" i="67"/>
  <c r="A4263" i="67"/>
  <c r="C4261" i="67" l="1"/>
  <c r="A4264" i="67"/>
  <c r="F4263" i="67"/>
  <c r="B4263" i="67"/>
  <c r="D4262" i="67"/>
  <c r="E4262" i="67"/>
  <c r="C4262" i="67" l="1"/>
  <c r="D4263" i="67"/>
  <c r="E4263" i="67"/>
  <c r="F4264" i="67"/>
  <c r="A4265" i="67"/>
  <c r="B4264" i="67"/>
  <c r="C4263" i="67" l="1"/>
  <c r="F4265" i="67"/>
  <c r="B4265" i="67"/>
  <c r="A4266" i="67"/>
  <c r="D4264" i="67"/>
  <c r="E4264" i="67"/>
  <c r="C4264" i="67" l="1"/>
  <c r="A4267" i="67"/>
  <c r="F4266" i="67"/>
  <c r="B4266" i="67"/>
  <c r="D4265" i="67"/>
  <c r="E4265" i="67"/>
  <c r="C4265" i="67" l="1"/>
  <c r="D4266" i="67"/>
  <c r="E4266" i="67"/>
  <c r="F4267" i="67"/>
  <c r="A4268" i="67"/>
  <c r="B4267" i="67"/>
  <c r="C4266" i="67" l="1"/>
  <c r="D4267" i="67"/>
  <c r="E4267" i="67"/>
  <c r="A4269" i="67"/>
  <c r="F4268" i="67"/>
  <c r="B4268" i="67"/>
  <c r="C4267" i="67" l="1"/>
  <c r="D4268" i="67"/>
  <c r="E4268" i="67"/>
  <c r="B4269" i="67"/>
  <c r="A4270" i="67"/>
  <c r="F4269" i="67"/>
  <c r="C4268" i="67" l="1"/>
  <c r="F4270" i="67"/>
  <c r="A4271" i="67"/>
  <c r="B4270" i="67"/>
  <c r="D4269" i="67"/>
  <c r="E4269" i="67"/>
  <c r="C4269" i="67" l="1"/>
  <c r="D4270" i="67"/>
  <c r="E4270" i="67"/>
  <c r="F4271" i="67"/>
  <c r="B4271" i="67"/>
  <c r="A4272" i="67"/>
  <c r="C4270" i="67" l="1"/>
  <c r="F4272" i="67"/>
  <c r="A4273" i="67"/>
  <c r="B4272" i="67"/>
  <c r="D4271" i="67"/>
  <c r="E4271" i="67"/>
  <c r="C4271" i="67" l="1"/>
  <c r="D4272" i="67"/>
  <c r="E4272" i="67"/>
  <c r="B4273" i="67"/>
  <c r="A4274" i="67"/>
  <c r="F4273" i="67"/>
  <c r="C4272" i="67" l="1"/>
  <c r="F4274" i="67"/>
  <c r="B4274" i="67"/>
  <c r="A4275" i="67"/>
  <c r="D4273" i="67"/>
  <c r="E4273" i="67"/>
  <c r="C4273" i="67" l="1"/>
  <c r="D4274" i="67"/>
  <c r="E4274" i="67"/>
  <c r="B4275" i="67"/>
  <c r="A4276" i="67"/>
  <c r="F4275" i="67"/>
  <c r="C4274" i="67" l="1"/>
  <c r="A4277" i="67"/>
  <c r="B4276" i="67"/>
  <c r="F4276" i="67"/>
  <c r="D4275" i="67"/>
  <c r="E4275" i="67"/>
  <c r="C4275" i="67" l="1"/>
  <c r="D4276" i="67"/>
  <c r="E4276" i="67"/>
  <c r="A4278" i="67"/>
  <c r="B4277" i="67"/>
  <c r="F4277" i="67"/>
  <c r="C4276" i="67" l="1"/>
  <c r="D4277" i="67"/>
  <c r="E4277" i="67"/>
  <c r="A4279" i="67"/>
  <c r="F4278" i="67"/>
  <c r="B4278" i="67"/>
  <c r="C4277" i="67" l="1"/>
  <c r="F4279" i="67"/>
  <c r="B4279" i="67"/>
  <c r="A4280" i="67"/>
  <c r="D4278" i="67"/>
  <c r="E4278" i="67"/>
  <c r="C4278" i="67" l="1"/>
  <c r="F4280" i="67"/>
  <c r="B4280" i="67"/>
  <c r="A4281" i="67"/>
  <c r="D4279" i="67"/>
  <c r="E4279" i="67"/>
  <c r="C4279" i="67" l="1"/>
  <c r="A4282" i="67"/>
  <c r="F4281" i="67"/>
  <c r="B4281" i="67"/>
  <c r="D4280" i="67"/>
  <c r="E4280" i="67"/>
  <c r="C4280" i="67" l="1"/>
  <c r="D4281" i="67"/>
  <c r="E4281" i="67"/>
  <c r="F4282" i="67"/>
  <c r="A4283" i="67"/>
  <c r="B4282" i="67"/>
  <c r="C4281" i="67" l="1"/>
  <c r="D4282" i="67"/>
  <c r="E4282" i="67"/>
  <c r="B4283" i="67"/>
  <c r="F4283" i="67"/>
  <c r="A4284" i="67"/>
  <c r="C4282" i="67" l="1"/>
  <c r="F4284" i="67"/>
  <c r="A4285" i="67"/>
  <c r="B4284" i="67"/>
  <c r="D4283" i="67"/>
  <c r="E4283" i="67"/>
  <c r="C4283" i="67" l="1"/>
  <c r="B4285" i="67"/>
  <c r="F4285" i="67"/>
  <c r="A4286" i="67"/>
  <c r="D4284" i="67"/>
  <c r="E4284" i="67"/>
  <c r="C4284" i="67" l="1"/>
  <c r="F4286" i="67"/>
  <c r="A4287" i="67"/>
  <c r="B4286" i="67"/>
  <c r="D4285" i="67"/>
  <c r="E4285" i="67"/>
  <c r="C4285" i="67" l="1"/>
  <c r="D4286" i="67"/>
  <c r="E4286" i="67"/>
  <c r="B4287" i="67"/>
  <c r="A4288" i="67"/>
  <c r="F4287" i="67"/>
  <c r="C4286" i="67" l="1"/>
  <c r="D4287" i="67"/>
  <c r="E4287" i="67"/>
  <c r="F4288" i="67"/>
  <c r="A4289" i="67"/>
  <c r="B4288" i="67"/>
  <c r="C4287" i="67" l="1"/>
  <c r="B4289" i="67"/>
  <c r="A4290" i="67"/>
  <c r="F4289" i="67"/>
  <c r="D4288" i="67"/>
  <c r="E4288" i="67"/>
  <c r="C4288" i="67" l="1"/>
  <c r="B4290" i="67"/>
  <c r="F4290" i="67"/>
  <c r="A4291" i="67"/>
  <c r="D4289" i="67"/>
  <c r="E4289" i="67"/>
  <c r="C4289" i="67" l="1"/>
  <c r="B4291" i="67"/>
  <c r="F4291" i="67"/>
  <c r="A4292" i="67"/>
  <c r="D4290" i="67"/>
  <c r="E4290" i="67"/>
  <c r="C4290" i="67" l="1"/>
  <c r="F4292" i="67"/>
  <c r="A4293" i="67"/>
  <c r="B4292" i="67"/>
  <c r="D4291" i="67"/>
  <c r="E4291" i="67"/>
  <c r="C4291" i="67" l="1"/>
  <c r="D4292" i="67"/>
  <c r="E4292" i="67"/>
  <c r="F4293" i="67"/>
  <c r="A4294" i="67"/>
  <c r="B4293" i="67"/>
  <c r="C4292" i="67" l="1"/>
  <c r="D4293" i="67"/>
  <c r="E4293" i="67"/>
  <c r="F4294" i="67"/>
  <c r="B4294" i="67"/>
  <c r="A4295" i="67"/>
  <c r="C4293" i="67" l="1"/>
  <c r="B4295" i="67"/>
  <c r="F4295" i="67"/>
  <c r="A4296" i="67"/>
  <c r="D4294" i="67"/>
  <c r="E4294" i="67"/>
  <c r="C4294" i="67" l="1"/>
  <c r="A4297" i="67"/>
  <c r="F4296" i="67"/>
  <c r="B4296" i="67"/>
  <c r="D4295" i="67"/>
  <c r="E4295" i="67"/>
  <c r="C4295" i="67" l="1"/>
  <c r="D4296" i="67"/>
  <c r="E4296" i="67"/>
  <c r="A4298" i="67"/>
  <c r="B4297" i="67"/>
  <c r="F4297" i="67"/>
  <c r="C4296" i="67" l="1"/>
  <c r="D4297" i="67"/>
  <c r="E4297" i="67"/>
  <c r="A4299" i="67"/>
  <c r="F4298" i="67"/>
  <c r="B4298" i="67"/>
  <c r="C4297" i="67" l="1"/>
  <c r="D4298" i="67"/>
  <c r="E4298" i="67"/>
  <c r="F4299" i="67"/>
  <c r="B4299" i="67"/>
  <c r="A4300" i="67"/>
  <c r="C4298" i="67" l="1"/>
  <c r="F4300" i="67"/>
  <c r="B4300" i="67"/>
  <c r="A4301" i="67"/>
  <c r="D4299" i="67"/>
  <c r="E4299" i="67"/>
  <c r="C4299" i="67" l="1"/>
  <c r="B4301" i="67"/>
  <c r="F4301" i="67"/>
  <c r="A4302" i="67"/>
  <c r="D4300" i="67"/>
  <c r="E4300" i="67"/>
  <c r="C4300" i="67" l="1"/>
  <c r="B4302" i="67"/>
  <c r="A4303" i="67"/>
  <c r="F4302" i="67"/>
  <c r="D4301" i="67"/>
  <c r="E4301" i="67"/>
  <c r="C4301" i="67" l="1"/>
  <c r="A4304" i="67"/>
  <c r="F4303" i="67"/>
  <c r="B4303" i="67"/>
  <c r="D4302" i="67"/>
  <c r="E4302" i="67"/>
  <c r="C4302" i="67" l="1"/>
  <c r="D4303" i="67"/>
  <c r="E4303" i="67"/>
  <c r="F4304" i="67"/>
  <c r="B4304" i="67"/>
  <c r="A4305" i="67"/>
  <c r="C4303" i="67" l="1"/>
  <c r="A4306" i="67"/>
  <c r="B4305" i="67"/>
  <c r="F4305" i="67"/>
  <c r="D4304" i="67"/>
  <c r="E4304" i="67"/>
  <c r="C4304" i="67" l="1"/>
  <c r="D4305" i="67"/>
  <c r="E4305" i="67"/>
  <c r="F4306" i="67"/>
  <c r="A4307" i="67"/>
  <c r="B4306" i="67"/>
  <c r="C4305" i="67" l="1"/>
  <c r="D4306" i="67"/>
  <c r="E4306" i="67"/>
  <c r="B4307" i="67"/>
  <c r="F4307" i="67"/>
  <c r="A4308" i="67"/>
  <c r="C4306" i="67" l="1"/>
  <c r="F4308" i="67"/>
  <c r="A4309" i="67"/>
  <c r="B4308" i="67"/>
  <c r="D4307" i="67"/>
  <c r="E4307" i="67"/>
  <c r="C4307" i="67" l="1"/>
  <c r="D4308" i="67"/>
  <c r="E4308" i="67"/>
  <c r="F4309" i="67"/>
  <c r="B4309" i="67"/>
  <c r="A4310" i="67"/>
  <c r="C4308" i="67" l="1"/>
  <c r="B4310" i="67"/>
  <c r="F4310" i="67"/>
  <c r="A4311" i="67"/>
  <c r="D4309" i="67"/>
  <c r="E4309" i="67"/>
  <c r="C4309" i="67" l="1"/>
  <c r="A4312" i="67"/>
  <c r="B4311" i="67"/>
  <c r="F4311" i="67"/>
  <c r="D4310" i="67"/>
  <c r="E4310" i="67"/>
  <c r="C4310" i="67" l="1"/>
  <c r="D4311" i="67"/>
  <c r="E4311" i="67"/>
  <c r="F4312" i="67"/>
  <c r="B4312" i="67"/>
  <c r="A4313" i="67"/>
  <c r="C4311" i="67" l="1"/>
  <c r="F4313" i="67"/>
  <c r="A4314" i="67"/>
  <c r="B4313" i="67"/>
  <c r="D4312" i="67"/>
  <c r="E4312" i="67"/>
  <c r="C4312" i="67" l="1"/>
  <c r="D4313" i="67"/>
  <c r="E4313" i="67"/>
  <c r="B4314" i="67"/>
  <c r="F4314" i="67"/>
  <c r="A4315" i="67"/>
  <c r="C4313" i="67" l="1"/>
  <c r="A4316" i="67"/>
  <c r="F4315" i="67"/>
  <c r="B4315" i="67"/>
  <c r="D4314" i="67"/>
  <c r="E4314" i="67"/>
  <c r="C4314" i="67" l="1"/>
  <c r="D4315" i="67"/>
  <c r="E4315" i="67"/>
  <c r="B4316" i="67"/>
  <c r="F4316" i="67"/>
  <c r="A4317" i="67"/>
  <c r="C4315" i="67" l="1"/>
  <c r="F4317" i="67"/>
  <c r="B4317" i="67"/>
  <c r="A4318" i="67"/>
  <c r="D4316" i="67"/>
  <c r="E4316" i="67"/>
  <c r="C4316" i="67" l="1"/>
  <c r="F4318" i="67"/>
  <c r="A4319" i="67"/>
  <c r="B4318" i="67"/>
  <c r="D4317" i="67"/>
  <c r="E4317" i="67"/>
  <c r="C4317" i="67" l="1"/>
  <c r="D4318" i="67"/>
  <c r="E4318" i="67"/>
  <c r="F4319" i="67"/>
  <c r="A4320" i="67"/>
  <c r="B4319" i="67"/>
  <c r="C4318" i="67" l="1"/>
  <c r="D4319" i="67"/>
  <c r="E4319" i="67"/>
  <c r="B4320" i="67"/>
  <c r="F4320" i="67"/>
  <c r="A4321" i="67"/>
  <c r="C4319" i="67" l="1"/>
  <c r="F4321" i="67"/>
  <c r="A4322" i="67"/>
  <c r="B4321" i="67"/>
  <c r="D4320" i="67"/>
  <c r="E4320" i="67"/>
  <c r="C4320" i="67" l="1"/>
  <c r="D4321" i="67"/>
  <c r="E4321" i="67"/>
  <c r="B4322" i="67"/>
  <c r="F4322" i="67"/>
  <c r="A4323" i="67"/>
  <c r="C4321" i="67" l="1"/>
  <c r="F4323" i="67"/>
  <c r="A4324" i="67"/>
  <c r="B4323" i="67"/>
  <c r="D4322" i="67"/>
  <c r="E4322" i="67"/>
  <c r="C4322" i="67" l="1"/>
  <c r="D4323" i="67"/>
  <c r="E4323" i="67"/>
  <c r="F4324" i="67"/>
  <c r="B4324" i="67"/>
  <c r="A4325" i="67"/>
  <c r="C4323" i="67" l="1"/>
  <c r="A4326" i="67"/>
  <c r="F4325" i="67"/>
  <c r="B4325" i="67"/>
  <c r="D4324" i="67"/>
  <c r="E4324" i="67"/>
  <c r="C4324" i="67" l="1"/>
  <c r="D4325" i="67"/>
  <c r="E4325" i="67"/>
  <c r="F4326" i="67"/>
  <c r="A4327" i="67"/>
  <c r="B4326" i="67"/>
  <c r="C4325" i="67" l="1"/>
  <c r="A4328" i="67"/>
  <c r="B4327" i="67"/>
  <c r="F4327" i="67"/>
  <c r="D4326" i="67"/>
  <c r="E4326" i="67"/>
  <c r="C4326" i="67" l="1"/>
  <c r="D4327" i="67"/>
  <c r="E4327" i="67"/>
  <c r="F4328" i="67"/>
  <c r="B4328" i="67"/>
  <c r="A4329" i="67"/>
  <c r="C4327" i="67" l="1"/>
  <c r="B4329" i="67"/>
  <c r="F4329" i="67"/>
  <c r="A4330" i="67"/>
  <c r="D4328" i="67"/>
  <c r="E4328" i="67"/>
  <c r="C4328" i="67" l="1"/>
  <c r="A4331" i="67"/>
  <c r="F4330" i="67"/>
  <c r="B4330" i="67"/>
  <c r="D4329" i="67"/>
  <c r="E4329" i="67"/>
  <c r="C4329" i="67" l="1"/>
  <c r="D4330" i="67"/>
  <c r="E4330" i="67"/>
  <c r="A4332" i="67"/>
  <c r="F4331" i="67"/>
  <c r="B4331" i="67"/>
  <c r="C4330" i="67" l="1"/>
  <c r="D4331" i="67"/>
  <c r="E4331" i="67"/>
  <c r="F4332" i="67"/>
  <c r="A4333" i="67"/>
  <c r="B4332" i="67"/>
  <c r="C4331" i="67" l="1"/>
  <c r="D4332" i="67"/>
  <c r="E4332" i="67"/>
  <c r="F4333" i="67"/>
  <c r="A4334" i="67"/>
  <c r="B4333" i="67"/>
  <c r="C4332" i="67" l="1"/>
  <c r="D4333" i="67"/>
  <c r="E4333" i="67"/>
  <c r="B4334" i="67"/>
  <c r="F4334" i="67"/>
  <c r="A4335" i="67"/>
  <c r="C4333" i="67" l="1"/>
  <c r="F4335" i="67"/>
  <c r="B4335" i="67"/>
  <c r="A4336" i="67"/>
  <c r="D4334" i="67"/>
  <c r="E4334" i="67"/>
  <c r="C4334" i="67" l="1"/>
  <c r="B4336" i="67"/>
  <c r="F4336" i="67"/>
  <c r="A4337" i="67"/>
  <c r="D4335" i="67"/>
  <c r="E4335" i="67"/>
  <c r="C4335" i="67" l="1"/>
  <c r="F4337" i="67"/>
  <c r="A4338" i="67"/>
  <c r="B4337" i="67"/>
  <c r="D4336" i="67"/>
  <c r="E4336" i="67"/>
  <c r="C4336" i="67" l="1"/>
  <c r="D4337" i="67"/>
  <c r="E4337" i="67"/>
  <c r="F4338" i="67"/>
  <c r="A4339" i="67"/>
  <c r="B4338" i="67"/>
  <c r="C4337" i="67" l="1"/>
  <c r="F4339" i="67"/>
  <c r="A4340" i="67"/>
  <c r="B4339" i="67"/>
  <c r="D4338" i="67"/>
  <c r="E4338" i="67"/>
  <c r="C4338" i="67" l="1"/>
  <c r="F4340" i="67"/>
  <c r="A4341" i="67"/>
  <c r="B4340" i="67"/>
  <c r="D4339" i="67"/>
  <c r="E4339" i="67"/>
  <c r="C4339" i="67" l="1"/>
  <c r="A4342" i="67"/>
  <c r="F4341" i="67"/>
  <c r="B4341" i="67"/>
  <c r="D4340" i="67"/>
  <c r="E4340" i="67"/>
  <c r="C4340" i="67" l="1"/>
  <c r="D4341" i="67"/>
  <c r="E4341" i="67"/>
  <c r="F4342" i="67"/>
  <c r="A4343" i="67"/>
  <c r="B4342" i="67"/>
  <c r="C4341" i="67" l="1"/>
  <c r="D4342" i="67"/>
  <c r="E4342" i="67"/>
  <c r="B4343" i="67"/>
  <c r="F4343" i="67"/>
  <c r="A4344" i="67"/>
  <c r="C4342" i="67" l="1"/>
  <c r="F4344" i="67"/>
  <c r="B4344" i="67"/>
  <c r="A4345" i="67"/>
  <c r="D4343" i="67"/>
  <c r="E4343" i="67"/>
  <c r="C4343" i="67" l="1"/>
  <c r="F4345" i="67"/>
  <c r="A4346" i="67"/>
  <c r="B4345" i="67"/>
  <c r="D4344" i="67"/>
  <c r="E4344" i="67"/>
  <c r="C4344" i="67" l="1"/>
  <c r="D4345" i="67"/>
  <c r="E4345" i="67"/>
  <c r="F4346" i="67"/>
  <c r="A4347" i="67"/>
  <c r="B4346" i="67"/>
  <c r="C4345" i="67" l="1"/>
  <c r="D4346" i="67"/>
  <c r="E4346" i="67"/>
  <c r="A4348" i="67"/>
  <c r="B4347" i="67"/>
  <c r="F4347" i="67"/>
  <c r="C4346" i="67" l="1"/>
  <c r="D4347" i="67"/>
  <c r="E4347" i="67"/>
  <c r="F4348" i="67"/>
  <c r="A4349" i="67"/>
  <c r="B4348" i="67"/>
  <c r="C4347" i="67" l="1"/>
  <c r="D4348" i="67"/>
  <c r="E4348" i="67"/>
  <c r="F4349" i="67"/>
  <c r="A4350" i="67"/>
  <c r="B4349" i="67"/>
  <c r="C4348" i="67" l="1"/>
  <c r="D4349" i="67"/>
  <c r="E4349" i="67"/>
  <c r="F4350" i="67"/>
  <c r="A4351" i="67"/>
  <c r="B4350" i="67"/>
  <c r="C4349" i="67" l="1"/>
  <c r="D4350" i="67"/>
  <c r="E4350" i="67"/>
  <c r="F4351" i="67"/>
  <c r="B4351" i="67"/>
  <c r="A4352" i="67"/>
  <c r="C4350" i="67" l="1"/>
  <c r="F4352" i="67"/>
  <c r="A4353" i="67"/>
  <c r="B4352" i="67"/>
  <c r="D4351" i="67"/>
  <c r="E4351" i="67"/>
  <c r="C4351" i="67" l="1"/>
  <c r="D4352" i="67"/>
  <c r="E4352" i="67"/>
  <c r="B4353" i="67"/>
  <c r="F4353" i="67"/>
  <c r="A4354" i="67"/>
  <c r="C4352" i="67" l="1"/>
  <c r="B4354" i="67"/>
  <c r="F4354" i="67"/>
  <c r="A4355" i="67"/>
  <c r="D4353" i="67"/>
  <c r="E4353" i="67"/>
  <c r="C4353" i="67" l="1"/>
  <c r="F4355" i="67"/>
  <c r="B4355" i="67"/>
  <c r="A4356" i="67"/>
  <c r="D4354" i="67"/>
  <c r="E4354" i="67"/>
  <c r="C4354" i="67" l="1"/>
  <c r="F4356" i="67"/>
  <c r="B4356" i="67"/>
  <c r="A4357" i="67"/>
  <c r="D4355" i="67"/>
  <c r="E4355" i="67"/>
  <c r="C4355" i="67" l="1"/>
  <c r="F4357" i="67"/>
  <c r="A4358" i="67"/>
  <c r="B4357" i="67"/>
  <c r="D4356" i="67"/>
  <c r="E4356" i="67"/>
  <c r="C4356" i="67" l="1"/>
  <c r="D4357" i="67"/>
  <c r="E4357" i="67"/>
  <c r="F4358" i="67"/>
  <c r="A4359" i="67"/>
  <c r="B4358" i="67"/>
  <c r="C4357" i="67" l="1"/>
  <c r="D4358" i="67"/>
  <c r="E4358" i="67"/>
  <c r="B4359" i="67"/>
  <c r="F4359" i="67"/>
  <c r="A4360" i="67"/>
  <c r="C4358" i="67" l="1"/>
  <c r="A4361" i="67"/>
  <c r="F4360" i="67"/>
  <c r="B4360" i="67"/>
  <c r="D4359" i="67"/>
  <c r="E4359" i="67"/>
  <c r="C4359" i="67" l="1"/>
  <c r="D4360" i="67"/>
  <c r="E4360" i="67"/>
  <c r="B4361" i="67"/>
  <c r="A4362" i="67"/>
  <c r="F4361" i="67"/>
  <c r="C4360" i="67" l="1"/>
  <c r="F4362" i="67"/>
  <c r="A4363" i="67"/>
  <c r="B4362" i="67"/>
  <c r="D4361" i="67"/>
  <c r="E4361" i="67"/>
  <c r="C4361" i="67" l="1"/>
  <c r="D4362" i="67"/>
  <c r="E4362" i="67"/>
  <c r="B4363" i="67"/>
  <c r="F4363" i="67"/>
  <c r="A4364" i="67"/>
  <c r="C4362" i="67" l="1"/>
  <c r="F4364" i="67"/>
  <c r="A4365" i="67"/>
  <c r="B4364" i="67"/>
  <c r="D4363" i="67"/>
  <c r="E4363" i="67"/>
  <c r="C4363" i="67" l="1"/>
  <c r="D4364" i="67"/>
  <c r="E4364" i="67"/>
  <c r="B4365" i="67"/>
  <c r="A4366" i="67"/>
  <c r="F4365" i="67"/>
  <c r="C4364" i="67" l="1"/>
  <c r="F4366" i="67"/>
  <c r="B4366" i="67"/>
  <c r="A4367" i="67"/>
  <c r="D4365" i="67"/>
  <c r="E4365" i="67"/>
  <c r="C4365" i="67" l="1"/>
  <c r="B4367" i="67"/>
  <c r="A4368" i="67"/>
  <c r="F4367" i="67"/>
  <c r="D4366" i="67"/>
  <c r="E4366" i="67"/>
  <c r="C4366" i="67" l="1"/>
  <c r="B4368" i="67"/>
  <c r="A4369" i="67"/>
  <c r="F4368" i="67"/>
  <c r="D4367" i="67"/>
  <c r="E4367" i="67"/>
  <c r="C4367" i="67" l="1"/>
  <c r="B4369" i="67"/>
  <c r="A4370" i="67"/>
  <c r="F4369" i="67"/>
  <c r="D4368" i="67"/>
  <c r="E4368" i="67"/>
  <c r="C4368" i="67" l="1"/>
  <c r="F4370" i="67"/>
  <c r="A4371" i="67"/>
  <c r="B4370" i="67"/>
  <c r="D4369" i="67"/>
  <c r="E4369" i="67"/>
  <c r="C4369" i="67" l="1"/>
  <c r="D4370" i="67"/>
  <c r="E4370" i="67"/>
  <c r="B4371" i="67"/>
  <c r="F4371" i="67"/>
  <c r="A4372" i="67"/>
  <c r="C4370" i="67" l="1"/>
  <c r="F4372" i="67"/>
  <c r="A4373" i="67"/>
  <c r="B4372" i="67"/>
  <c r="D4371" i="67"/>
  <c r="E4371" i="67"/>
  <c r="C4371" i="67" l="1"/>
  <c r="B4373" i="67"/>
  <c r="F4373" i="67"/>
  <c r="A4374" i="67"/>
  <c r="D4372" i="67"/>
  <c r="E4372" i="67"/>
  <c r="C4372" i="67" l="1"/>
  <c r="F4374" i="67"/>
  <c r="A4375" i="67"/>
  <c r="B4374" i="67"/>
  <c r="D4373" i="67"/>
  <c r="E4373" i="67"/>
  <c r="C4373" i="67" l="1"/>
  <c r="D4374" i="67"/>
  <c r="E4374" i="67"/>
  <c r="B4375" i="67"/>
  <c r="A4376" i="67"/>
  <c r="F4375" i="67"/>
  <c r="C4374" i="67" l="1"/>
  <c r="F4376" i="67"/>
  <c r="B4376" i="67"/>
  <c r="A4377" i="67"/>
  <c r="D4375" i="67"/>
  <c r="E4375" i="67"/>
  <c r="C4375" i="67" s="1"/>
  <c r="B4377" i="67" l="1"/>
  <c r="F4377" i="67"/>
  <c r="A4378" i="67"/>
  <c r="D4376" i="67"/>
  <c r="E4376" i="67"/>
  <c r="C4376" i="67" l="1"/>
  <c r="F4378" i="67"/>
  <c r="A4379" i="67"/>
  <c r="B4378" i="67"/>
  <c r="D4377" i="67"/>
  <c r="E4377" i="67"/>
  <c r="C4377" i="67" l="1"/>
  <c r="B4379" i="67"/>
  <c r="F4379" i="67"/>
  <c r="A4380" i="67"/>
  <c r="D4378" i="67"/>
  <c r="E4378" i="67"/>
  <c r="C4378" i="67" l="1"/>
  <c r="F4380" i="67"/>
  <c r="A4381" i="67"/>
  <c r="B4380" i="67"/>
  <c r="D4379" i="67"/>
  <c r="E4379" i="67"/>
  <c r="C4379" i="67" l="1"/>
  <c r="D4380" i="67"/>
  <c r="E4380" i="67"/>
  <c r="A4382" i="67"/>
  <c r="F4381" i="67"/>
  <c r="B4381" i="67"/>
  <c r="C4380" i="67" l="1"/>
  <c r="D4381" i="67"/>
  <c r="E4381" i="67"/>
  <c r="F4382" i="67"/>
  <c r="A4383" i="67"/>
  <c r="B4382" i="67"/>
  <c r="C4381" i="67" l="1"/>
  <c r="D4382" i="67"/>
  <c r="E4382" i="67"/>
  <c r="F4383" i="67"/>
  <c r="A4384" i="67"/>
  <c r="B4383" i="67"/>
  <c r="C4382" i="67" l="1"/>
  <c r="D4383" i="67"/>
  <c r="E4383" i="67"/>
  <c r="B4384" i="67"/>
  <c r="F4384" i="67"/>
  <c r="A4385" i="67"/>
  <c r="C4383" i="67" l="1"/>
  <c r="D4384" i="67"/>
  <c r="E4384" i="67"/>
  <c r="F4385" i="67"/>
  <c r="A4386" i="67"/>
  <c r="B4385" i="67"/>
  <c r="C4384" i="67" l="1"/>
  <c r="D4385" i="67"/>
  <c r="E4385" i="67"/>
  <c r="F4386" i="67"/>
  <c r="A4387" i="67"/>
  <c r="B4386" i="67"/>
  <c r="C4385" i="67" l="1"/>
  <c r="D4386" i="67"/>
  <c r="E4386" i="67"/>
  <c r="F4387" i="67"/>
  <c r="A4388" i="67"/>
  <c r="B4387" i="67"/>
  <c r="C4386" i="67" l="1"/>
  <c r="D4387" i="67"/>
  <c r="E4387" i="67"/>
  <c r="F4388" i="67"/>
  <c r="B4388" i="67"/>
  <c r="A4389" i="67"/>
  <c r="C4387" i="67" l="1"/>
  <c r="F4389" i="67"/>
  <c r="A4390" i="67"/>
  <c r="B4389" i="67"/>
  <c r="D4388" i="67"/>
  <c r="E4388" i="67"/>
  <c r="C4388" i="67" l="1"/>
  <c r="D4389" i="67"/>
  <c r="E4389" i="67"/>
  <c r="B4390" i="67"/>
  <c r="F4390" i="67"/>
  <c r="A4391" i="67"/>
  <c r="C4389" i="67" l="1"/>
  <c r="D4390" i="67"/>
  <c r="E4390" i="67"/>
  <c r="A4392" i="67"/>
  <c r="F4391" i="67"/>
  <c r="B4391" i="67"/>
  <c r="C4390" i="67" l="1"/>
  <c r="D4391" i="67"/>
  <c r="E4391" i="67"/>
  <c r="F4392" i="67"/>
  <c r="B4392" i="67"/>
  <c r="A4393" i="67"/>
  <c r="C4391" i="67" l="1"/>
  <c r="D4392" i="67"/>
  <c r="E4392" i="67"/>
  <c r="F4393" i="67"/>
  <c r="A4394" i="67"/>
  <c r="B4393" i="67"/>
  <c r="C4392" i="67" l="1"/>
  <c r="D4393" i="67"/>
  <c r="E4393" i="67"/>
  <c r="F4394" i="67"/>
  <c r="A4395" i="67"/>
  <c r="B4394" i="67"/>
  <c r="C4393" i="67" l="1"/>
  <c r="F4395" i="67"/>
  <c r="A4396" i="67"/>
  <c r="B4395" i="67"/>
  <c r="D4394" i="67"/>
  <c r="E4394" i="67"/>
  <c r="C4394" i="67" l="1"/>
  <c r="F4396" i="67"/>
  <c r="A4397" i="67"/>
  <c r="B4396" i="67"/>
  <c r="D4395" i="67"/>
  <c r="E4395" i="67"/>
  <c r="C4395" i="67" l="1"/>
  <c r="F4397" i="67"/>
  <c r="A4398" i="67"/>
  <c r="B4397" i="67"/>
  <c r="D4396" i="67"/>
  <c r="E4396" i="67"/>
  <c r="C4396" i="67" l="1"/>
  <c r="D4397" i="67"/>
  <c r="E4397" i="67"/>
  <c r="F4398" i="67"/>
  <c r="A4399" i="67"/>
  <c r="B4398" i="67"/>
  <c r="C4397" i="67" l="1"/>
  <c r="D4398" i="67"/>
  <c r="E4398" i="67"/>
  <c r="F4399" i="67"/>
  <c r="A4400" i="67"/>
  <c r="B4399" i="67"/>
  <c r="C4398" i="67" l="1"/>
  <c r="D4399" i="67"/>
  <c r="E4399" i="67"/>
  <c r="F4400" i="67"/>
  <c r="A4401" i="67"/>
  <c r="B4400" i="67"/>
  <c r="C4399" i="67" l="1"/>
  <c r="D4400" i="67"/>
  <c r="E4400" i="67"/>
  <c r="A4402" i="67"/>
  <c r="B4401" i="67"/>
  <c r="F4401" i="67"/>
  <c r="C4400" i="67" l="1"/>
  <c r="F4402" i="67"/>
  <c r="A4403" i="67"/>
  <c r="B4402" i="67"/>
  <c r="D4401" i="67"/>
  <c r="E4401" i="67"/>
  <c r="C4401" i="67" l="1"/>
  <c r="A4404" i="67"/>
  <c r="F4403" i="67"/>
  <c r="B4403" i="67"/>
  <c r="D4402" i="67"/>
  <c r="E4402" i="67"/>
  <c r="C4402" i="67" l="1"/>
  <c r="D4403" i="67"/>
  <c r="E4403" i="67"/>
  <c r="C4403" i="67" s="1"/>
  <c r="F4404" i="67"/>
  <c r="B4404" i="67"/>
  <c r="A4405" i="67"/>
  <c r="F4405" i="67" l="1"/>
  <c r="A4406" i="67"/>
  <c r="B4405" i="67"/>
  <c r="D4404" i="67"/>
  <c r="E4404" i="67"/>
  <c r="C4404" i="67" l="1"/>
  <c r="D4405" i="67"/>
  <c r="E4405" i="67"/>
  <c r="F4406" i="67"/>
  <c r="B4406" i="67"/>
  <c r="A4407" i="67"/>
  <c r="C4405" i="67" l="1"/>
  <c r="A4408" i="67"/>
  <c r="F4407" i="67"/>
  <c r="B4407" i="67"/>
  <c r="D4406" i="67"/>
  <c r="E4406" i="67"/>
  <c r="C4406" i="67" l="1"/>
  <c r="D4407" i="67"/>
  <c r="E4407" i="67"/>
  <c r="F4408" i="67"/>
  <c r="A4409" i="67"/>
  <c r="B4408" i="67"/>
  <c r="C4407" i="67" l="1"/>
  <c r="D4408" i="67"/>
  <c r="E4408" i="67"/>
  <c r="F4409" i="67"/>
  <c r="A4410" i="67"/>
  <c r="B4409" i="67"/>
  <c r="C4408" i="67" l="1"/>
  <c r="D4409" i="67"/>
  <c r="E4409" i="67"/>
  <c r="F4410" i="67"/>
  <c r="B4410" i="67"/>
  <c r="A4411" i="67"/>
  <c r="C4409" i="67" l="1"/>
  <c r="F4411" i="67"/>
  <c r="A4412" i="67"/>
  <c r="B4411" i="67"/>
  <c r="D4410" i="67"/>
  <c r="E4410" i="67"/>
  <c r="C4410" i="67" l="1"/>
  <c r="D4411" i="67"/>
  <c r="E4411" i="67"/>
  <c r="F4412" i="67"/>
  <c r="B4412" i="67"/>
  <c r="A4413" i="67"/>
  <c r="C4411" i="67" l="1"/>
  <c r="F4413" i="67"/>
  <c r="B4413" i="67"/>
  <c r="A4414" i="67"/>
  <c r="D4412" i="67"/>
  <c r="E4412" i="67"/>
  <c r="C4412" i="67" l="1"/>
  <c r="D4413" i="67"/>
  <c r="E4413" i="67"/>
  <c r="A4415" i="67"/>
  <c r="B4414" i="67"/>
  <c r="F4414" i="67"/>
  <c r="C4413" i="67" l="1"/>
  <c r="D4414" i="67"/>
  <c r="E4414" i="67"/>
  <c r="F4415" i="67"/>
  <c r="B4415" i="67"/>
  <c r="A4416" i="67"/>
  <c r="C4414" i="67" l="1"/>
  <c r="D4415" i="67"/>
  <c r="E4415" i="67"/>
  <c r="B4416" i="67"/>
  <c r="F4416" i="67"/>
  <c r="A4417" i="67"/>
  <c r="C4415" i="67" l="1"/>
  <c r="D4416" i="67"/>
  <c r="E4416" i="67"/>
  <c r="A4418" i="67"/>
  <c r="F4417" i="67"/>
  <c r="B4417" i="67"/>
  <c r="C4416" i="67" l="1"/>
  <c r="D4417" i="67"/>
  <c r="E4417" i="67"/>
  <c r="A4419" i="67"/>
  <c r="F4418" i="67"/>
  <c r="B4418" i="67"/>
  <c r="C4417" i="67" l="1"/>
  <c r="D4418" i="67"/>
  <c r="E4418" i="67"/>
  <c r="F4419" i="67"/>
  <c r="A4420" i="67"/>
  <c r="B4419" i="67"/>
  <c r="C4418" i="67" l="1"/>
  <c r="D4419" i="67"/>
  <c r="E4419" i="67"/>
  <c r="F4420" i="67"/>
  <c r="B4420" i="67"/>
  <c r="A4421" i="67"/>
  <c r="C4419" i="67" l="1"/>
  <c r="F4421" i="67"/>
  <c r="A4422" i="67"/>
  <c r="B4421" i="67"/>
  <c r="D4420" i="67"/>
  <c r="E4420" i="67"/>
  <c r="C4420" i="67" l="1"/>
  <c r="D4421" i="67"/>
  <c r="E4421" i="67"/>
  <c r="A4423" i="67"/>
  <c r="F4422" i="67"/>
  <c r="B4422" i="67"/>
  <c r="C4421" i="67" l="1"/>
  <c r="D4422" i="67"/>
  <c r="E4422" i="67"/>
  <c r="B4423" i="67"/>
  <c r="A4424" i="67"/>
  <c r="F4423" i="67"/>
  <c r="C4422" i="67" l="1"/>
  <c r="F4424" i="67"/>
  <c r="A4425" i="67"/>
  <c r="B4424" i="67"/>
  <c r="D4423" i="67"/>
  <c r="E4423" i="67"/>
  <c r="C4423" i="67" l="1"/>
  <c r="D4424" i="67"/>
  <c r="E4424" i="67"/>
  <c r="A4426" i="67"/>
  <c r="F4425" i="67"/>
  <c r="B4425" i="67"/>
  <c r="C4424" i="67" l="1"/>
  <c r="D4425" i="67"/>
  <c r="E4425" i="67"/>
  <c r="B4426" i="67"/>
  <c r="F4426" i="67"/>
  <c r="A4427" i="67"/>
  <c r="C4425" i="67" l="1"/>
  <c r="B4427" i="67"/>
  <c r="F4427" i="67"/>
  <c r="A4428" i="67"/>
  <c r="D4426" i="67"/>
  <c r="E4426" i="67"/>
  <c r="C4426" i="67" l="1"/>
  <c r="F4428" i="67"/>
  <c r="A4429" i="67"/>
  <c r="B4428" i="67"/>
  <c r="D4427" i="67"/>
  <c r="E4427" i="67"/>
  <c r="C4427" i="67" l="1"/>
  <c r="D4428" i="67"/>
  <c r="E4428" i="67"/>
  <c r="B4429" i="67"/>
  <c r="F4429" i="67"/>
  <c r="A4430" i="67"/>
  <c r="C4428" i="67" l="1"/>
  <c r="F4430" i="67"/>
  <c r="B4430" i="67"/>
  <c r="A4431" i="67"/>
  <c r="D4429" i="67"/>
  <c r="E4429" i="67"/>
  <c r="C4429" i="67" l="1"/>
  <c r="F4431" i="67"/>
  <c r="A4432" i="67"/>
  <c r="B4431" i="67"/>
  <c r="D4430" i="67"/>
  <c r="E4430" i="67"/>
  <c r="C4430" i="67" l="1"/>
  <c r="D4431" i="67"/>
  <c r="E4431" i="67"/>
  <c r="A4433" i="67"/>
  <c r="B4432" i="67"/>
  <c r="F4432" i="67"/>
  <c r="C4431" i="67" l="1"/>
  <c r="D4432" i="67"/>
  <c r="E4432" i="67"/>
  <c r="F4433" i="67"/>
  <c r="B4433" i="67"/>
  <c r="A4434" i="67"/>
  <c r="C4432" i="67" l="1"/>
  <c r="F4434" i="67"/>
  <c r="A4435" i="67"/>
  <c r="B4434" i="67"/>
  <c r="D4433" i="67"/>
  <c r="E4433" i="67"/>
  <c r="C4433" i="67" l="1"/>
  <c r="D4434" i="67"/>
  <c r="E4434" i="67"/>
  <c r="B4435" i="67"/>
  <c r="F4435" i="67"/>
  <c r="A4436" i="67"/>
  <c r="C4434" i="67" l="1"/>
  <c r="A4437" i="67"/>
  <c r="F4436" i="67"/>
  <c r="B4436" i="67"/>
  <c r="D4435" i="67"/>
  <c r="E4435" i="67"/>
  <c r="C4435" i="67" l="1"/>
  <c r="D4436" i="67"/>
  <c r="E4436" i="67"/>
  <c r="A4438" i="67"/>
  <c r="F4437" i="67"/>
  <c r="B4437" i="67"/>
  <c r="C4436" i="67" l="1"/>
  <c r="D4437" i="67"/>
  <c r="E4437" i="67"/>
  <c r="A4439" i="67"/>
  <c r="F4438" i="67"/>
  <c r="B4438" i="67"/>
  <c r="C4437" i="67" l="1"/>
  <c r="D4438" i="67"/>
  <c r="E4438" i="67"/>
  <c r="F4439" i="67"/>
  <c r="B4439" i="67"/>
  <c r="A4440" i="67"/>
  <c r="C4438" i="67" l="1"/>
  <c r="B4440" i="67"/>
  <c r="F4440" i="67"/>
  <c r="A4441" i="67"/>
  <c r="D4439" i="67"/>
  <c r="E4439" i="67"/>
  <c r="C4439" i="67" l="1"/>
  <c r="F4441" i="67"/>
  <c r="A4442" i="67"/>
  <c r="B4441" i="67"/>
  <c r="D4440" i="67"/>
  <c r="E4440" i="67"/>
  <c r="C4440" i="67" l="1"/>
  <c r="D4441" i="67"/>
  <c r="E4441" i="67"/>
  <c r="F4442" i="67"/>
  <c r="B4442" i="67"/>
  <c r="A4443" i="67"/>
  <c r="C4441" i="67" l="1"/>
  <c r="F4443" i="67"/>
  <c r="B4443" i="67"/>
  <c r="A4444" i="67"/>
  <c r="D4442" i="67"/>
  <c r="E4442" i="67"/>
  <c r="C4442" i="67" l="1"/>
  <c r="F4444" i="67"/>
  <c r="B4444" i="67"/>
  <c r="A4445" i="67"/>
  <c r="D4443" i="67"/>
  <c r="E4443" i="67"/>
  <c r="C4443" i="67" l="1"/>
  <c r="A4446" i="67"/>
  <c r="B4445" i="67"/>
  <c r="F4445" i="67"/>
  <c r="D4444" i="67"/>
  <c r="E4444" i="67"/>
  <c r="C4444" i="67" l="1"/>
  <c r="D4445" i="67"/>
  <c r="E4445" i="67"/>
  <c r="F4446" i="67"/>
  <c r="A4447" i="67"/>
  <c r="B4446" i="67"/>
  <c r="C4445" i="67" l="1"/>
  <c r="D4446" i="67"/>
  <c r="E4446" i="67"/>
  <c r="F4447" i="67"/>
  <c r="B4447" i="67"/>
  <c r="A4448" i="67"/>
  <c r="C4446" i="67" l="1"/>
  <c r="F4448" i="67"/>
  <c r="A4449" i="67"/>
  <c r="B4448" i="67"/>
  <c r="D4447" i="67"/>
  <c r="E4447" i="67"/>
  <c r="C4447" i="67" l="1"/>
  <c r="D4448" i="67"/>
  <c r="E4448" i="67"/>
  <c r="F4449" i="67"/>
  <c r="A4450" i="67"/>
  <c r="B4449" i="67"/>
  <c r="C4448" i="67" l="1"/>
  <c r="D4449" i="67"/>
  <c r="E4449" i="67"/>
  <c r="F4450" i="67"/>
  <c r="A4451" i="67"/>
  <c r="B4450" i="67"/>
  <c r="C4449" i="67" l="1"/>
  <c r="D4450" i="67"/>
  <c r="E4450" i="67"/>
  <c r="F4451" i="67"/>
  <c r="A4452" i="67"/>
  <c r="B4451" i="67"/>
  <c r="C4450" i="67" l="1"/>
  <c r="D4451" i="67"/>
  <c r="E4451" i="67"/>
  <c r="A4453" i="67"/>
  <c r="F4452" i="67"/>
  <c r="B4452" i="67"/>
  <c r="C4451" i="67" l="1"/>
  <c r="D4452" i="67"/>
  <c r="E4452" i="67"/>
  <c r="A4454" i="67"/>
  <c r="B4453" i="67"/>
  <c r="F4453" i="67"/>
  <c r="C4452" i="67" l="1"/>
  <c r="D4453" i="67"/>
  <c r="E4453" i="67"/>
  <c r="B4454" i="67"/>
  <c r="F4454" i="67"/>
  <c r="A4455" i="67"/>
  <c r="C4453" i="67" l="1"/>
  <c r="D4454" i="67"/>
  <c r="E4454" i="67"/>
  <c r="B4455" i="67"/>
  <c r="F4455" i="67"/>
  <c r="A4456" i="67"/>
  <c r="C4454" i="67" l="1"/>
  <c r="F4456" i="67"/>
  <c r="A4457" i="67"/>
  <c r="B4456" i="67"/>
  <c r="D4455" i="67"/>
  <c r="E4455" i="67"/>
  <c r="C4455" i="67" l="1"/>
  <c r="D4456" i="67"/>
  <c r="E4456" i="67"/>
  <c r="F4457" i="67"/>
  <c r="A4458" i="67"/>
  <c r="B4457" i="67"/>
  <c r="C4456" i="67" l="1"/>
  <c r="D4457" i="67"/>
  <c r="E4457" i="67"/>
  <c r="C4457" i="67" s="1"/>
  <c r="F4458" i="67"/>
  <c r="A4459" i="67"/>
  <c r="B4458" i="67"/>
  <c r="B4459" i="67" l="1"/>
  <c r="F4459" i="67"/>
  <c r="A4460" i="67"/>
  <c r="D4458" i="67"/>
  <c r="E4458" i="67"/>
  <c r="C4458" i="67" l="1"/>
  <c r="F4460" i="67"/>
  <c r="A4461" i="67"/>
  <c r="B4460" i="67"/>
  <c r="D4459" i="67"/>
  <c r="E4459" i="67"/>
  <c r="C4459" i="67" l="1"/>
  <c r="D4460" i="67"/>
  <c r="E4460" i="67"/>
  <c r="F4461" i="67"/>
  <c r="A4462" i="67"/>
  <c r="B4461" i="67"/>
  <c r="C4460" i="67" l="1"/>
  <c r="F4462" i="67"/>
  <c r="A4463" i="67"/>
  <c r="B4462" i="67"/>
  <c r="D4461" i="67"/>
  <c r="E4461" i="67"/>
  <c r="C4461" i="67" l="1"/>
  <c r="B4463" i="67"/>
  <c r="F4463" i="67"/>
  <c r="A4464" i="67"/>
  <c r="D4462" i="67"/>
  <c r="E4462" i="67"/>
  <c r="C4462" i="67" l="1"/>
  <c r="F4464" i="67"/>
  <c r="A4465" i="67"/>
  <c r="B4464" i="67"/>
  <c r="D4463" i="67"/>
  <c r="E4463" i="67"/>
  <c r="C4463" i="67" l="1"/>
  <c r="D4464" i="67"/>
  <c r="E4464" i="67"/>
  <c r="B4465" i="67"/>
  <c r="F4465" i="67"/>
  <c r="A4466" i="67"/>
  <c r="C4464" i="67" l="1"/>
  <c r="F4466" i="67"/>
  <c r="B4466" i="67"/>
  <c r="A4467" i="67"/>
  <c r="D4465" i="67"/>
  <c r="E4465" i="67"/>
  <c r="C4465" i="67" l="1"/>
  <c r="F4467" i="67"/>
  <c r="A4468" i="67"/>
  <c r="B4467" i="67"/>
  <c r="D4466" i="67"/>
  <c r="E4466" i="67"/>
  <c r="C4466" i="67" l="1"/>
  <c r="D4467" i="67"/>
  <c r="E4467" i="67"/>
  <c r="F4468" i="67"/>
  <c r="A4469" i="67"/>
  <c r="B4468" i="67"/>
  <c r="C4467" i="67" l="1"/>
  <c r="F4469" i="67"/>
  <c r="A4470" i="67"/>
  <c r="B4469" i="67"/>
  <c r="D4468" i="67"/>
  <c r="E4468" i="67"/>
  <c r="C4468" i="67" l="1"/>
  <c r="D4469" i="67"/>
  <c r="E4469" i="67"/>
  <c r="B4470" i="67"/>
  <c r="F4470" i="67"/>
  <c r="A4471" i="67"/>
  <c r="C4469" i="67" l="1"/>
  <c r="A4472" i="67"/>
  <c r="F4471" i="67"/>
  <c r="B4471" i="67"/>
  <c r="D4470" i="67"/>
  <c r="E4470" i="67"/>
  <c r="C4470" i="67" l="1"/>
  <c r="D4471" i="67"/>
  <c r="E4471" i="67"/>
  <c r="F4472" i="67"/>
  <c r="A4473" i="67"/>
  <c r="B4472" i="67"/>
  <c r="C4471" i="67" l="1"/>
  <c r="D4472" i="67"/>
  <c r="E4472" i="67"/>
  <c r="F4473" i="67"/>
  <c r="B4473" i="67"/>
  <c r="A4474" i="67"/>
  <c r="C4472" i="67" l="1"/>
  <c r="B4474" i="67"/>
  <c r="F4474" i="67"/>
  <c r="A4475" i="67"/>
  <c r="D4473" i="67"/>
  <c r="E4473" i="67"/>
  <c r="C4473" i="67" l="1"/>
  <c r="F4475" i="67"/>
  <c r="A4476" i="67"/>
  <c r="B4475" i="67"/>
  <c r="D4474" i="67"/>
  <c r="E4474" i="67"/>
  <c r="C4474" i="67" l="1"/>
  <c r="F4476" i="67"/>
  <c r="B4476" i="67"/>
  <c r="A4477" i="67"/>
  <c r="D4475" i="67"/>
  <c r="E4475" i="67"/>
  <c r="C4475" i="67" l="1"/>
  <c r="B4477" i="67"/>
  <c r="F4477" i="67"/>
  <c r="A4478" i="67"/>
  <c r="D4476" i="67"/>
  <c r="E4476" i="67"/>
  <c r="C4476" i="67" l="1"/>
  <c r="F4478" i="67"/>
  <c r="A4479" i="67"/>
  <c r="B4478" i="67"/>
  <c r="D4477" i="67"/>
  <c r="E4477" i="67"/>
  <c r="C4477" i="67" l="1"/>
  <c r="D4478" i="67"/>
  <c r="E4478" i="67"/>
  <c r="F4479" i="67"/>
  <c r="B4479" i="67"/>
  <c r="A4480" i="67"/>
  <c r="C4478" i="67" l="1"/>
  <c r="D4479" i="67"/>
  <c r="E4479" i="67"/>
  <c r="F4480" i="67"/>
  <c r="A4481" i="67"/>
  <c r="B4480" i="67"/>
  <c r="C4479" i="67" l="1"/>
  <c r="D4480" i="67"/>
  <c r="E4480" i="67"/>
  <c r="A4482" i="67"/>
  <c r="B4481" i="67"/>
  <c r="F4481" i="67"/>
  <c r="C4480" i="67" l="1"/>
  <c r="B4482" i="67"/>
  <c r="F4482" i="67"/>
  <c r="A4483" i="67"/>
  <c r="D4481" i="67"/>
  <c r="E4481" i="67"/>
  <c r="C4481" i="67" l="1"/>
  <c r="B4483" i="67"/>
  <c r="F4483" i="67"/>
  <c r="A4484" i="67"/>
  <c r="D4482" i="67"/>
  <c r="E4482" i="67"/>
  <c r="C4482" i="67" l="1"/>
  <c r="F4484" i="67"/>
  <c r="B4484" i="67"/>
  <c r="A4485" i="67"/>
  <c r="D4483" i="67"/>
  <c r="E4483" i="67"/>
  <c r="C4483" i="67" l="1"/>
  <c r="B4485" i="67"/>
  <c r="A4486" i="67"/>
  <c r="F4485" i="67"/>
  <c r="D4484" i="67"/>
  <c r="E4484" i="67"/>
  <c r="C4484" i="67" l="1"/>
  <c r="F4486" i="67"/>
  <c r="B4486" i="67"/>
  <c r="A4487" i="67"/>
  <c r="D4485" i="67"/>
  <c r="E4485" i="67"/>
  <c r="C4485" i="67" l="1"/>
  <c r="A4488" i="67"/>
  <c r="F4487" i="67"/>
  <c r="B4487" i="67"/>
  <c r="D4486" i="67"/>
  <c r="E4486" i="67"/>
  <c r="C4486" i="67" l="1"/>
  <c r="D4487" i="67"/>
  <c r="E4487" i="67"/>
  <c r="B4488" i="67"/>
  <c r="F4488" i="67"/>
  <c r="A4489" i="67"/>
  <c r="C4487" i="67" l="1"/>
  <c r="A4490" i="67"/>
  <c r="F4489" i="67"/>
  <c r="B4489" i="67"/>
  <c r="D4488" i="67"/>
  <c r="E4488" i="67"/>
  <c r="C4488" i="67" l="1"/>
  <c r="D4489" i="67"/>
  <c r="E4489" i="67"/>
  <c r="A4491" i="67"/>
  <c r="F4490" i="67"/>
  <c r="B4490" i="67"/>
  <c r="C4489" i="67" l="1"/>
  <c r="D4490" i="67"/>
  <c r="E4490" i="67"/>
  <c r="F4491" i="67"/>
  <c r="A4492" i="67"/>
  <c r="B4491" i="67"/>
  <c r="C4490" i="67" l="1"/>
  <c r="D4491" i="67"/>
  <c r="E4491" i="67"/>
  <c r="F4492" i="67"/>
  <c r="A4493" i="67"/>
  <c r="B4492" i="67"/>
  <c r="C4491" i="67" l="1"/>
  <c r="D4492" i="67"/>
  <c r="E4492" i="67"/>
  <c r="C4492" i="67" s="1"/>
  <c r="A4494" i="67"/>
  <c r="F4493" i="67"/>
  <c r="B4493" i="67"/>
  <c r="B4494" i="67" l="1"/>
  <c r="F4494" i="67"/>
  <c r="A4495" i="67"/>
  <c r="D4493" i="67"/>
  <c r="E4493" i="67"/>
  <c r="C4493" i="67" l="1"/>
  <c r="F4495" i="67"/>
  <c r="A4496" i="67"/>
  <c r="B4495" i="67"/>
  <c r="D4494" i="67"/>
  <c r="E4494" i="67"/>
  <c r="C4494" i="67" l="1"/>
  <c r="D4495" i="67"/>
  <c r="E4495" i="67"/>
  <c r="F4496" i="67"/>
  <c r="A4497" i="67"/>
  <c r="B4496" i="67"/>
  <c r="C4495" i="67" l="1"/>
  <c r="D4496" i="67"/>
  <c r="E4496" i="67"/>
  <c r="F4497" i="67"/>
  <c r="A4498" i="67"/>
  <c r="B4497" i="67"/>
  <c r="C4496" i="67" l="1"/>
  <c r="F4498" i="67"/>
  <c r="A4499" i="67"/>
  <c r="B4498" i="67"/>
  <c r="D4497" i="67"/>
  <c r="E4497" i="67"/>
  <c r="C4497" i="67" l="1"/>
  <c r="D4498" i="67"/>
  <c r="E4498" i="67"/>
  <c r="F4499" i="67"/>
  <c r="A4500" i="67"/>
  <c r="B4499" i="67"/>
  <c r="C4498" i="67" l="1"/>
  <c r="D4499" i="67"/>
  <c r="E4499" i="67"/>
  <c r="B4500" i="67"/>
  <c r="A4501" i="67"/>
  <c r="F4500" i="67"/>
  <c r="C4499" i="67" l="1"/>
  <c r="D4500" i="67"/>
  <c r="E4500" i="67"/>
  <c r="F4501" i="67"/>
  <c r="A4502" i="67"/>
  <c r="B4501" i="67"/>
  <c r="C4500" i="67" l="1"/>
  <c r="D4501" i="67"/>
  <c r="E4501" i="67"/>
  <c r="B4502" i="67"/>
  <c r="F4502" i="67"/>
  <c r="A4503" i="67"/>
  <c r="C4501" i="67" l="1"/>
  <c r="D4502" i="67"/>
  <c r="E4502" i="67"/>
  <c r="B4503" i="67"/>
  <c r="F4503" i="67"/>
  <c r="A4504" i="67"/>
  <c r="C4502" i="67" l="1"/>
  <c r="F4504" i="67"/>
  <c r="B4504" i="67"/>
  <c r="A4505" i="67"/>
  <c r="D4503" i="67"/>
  <c r="E4503" i="67"/>
  <c r="C4503" i="67" l="1"/>
  <c r="B4505" i="67"/>
  <c r="A4506" i="67"/>
  <c r="F4505" i="67"/>
  <c r="D4504" i="67"/>
  <c r="E4504" i="67"/>
  <c r="C4504" i="67" l="1"/>
  <c r="F4506" i="67"/>
  <c r="B4506" i="67"/>
  <c r="A4507" i="67"/>
  <c r="D4505" i="67"/>
  <c r="E4505" i="67"/>
  <c r="C4505" i="67" l="1"/>
  <c r="F4507" i="67"/>
  <c r="A4508" i="67"/>
  <c r="B4507" i="67"/>
  <c r="D4506" i="67"/>
  <c r="E4506" i="67"/>
  <c r="C4506" i="67" l="1"/>
  <c r="D4507" i="67"/>
  <c r="E4507" i="67"/>
  <c r="A4509" i="67"/>
  <c r="B4508" i="67"/>
  <c r="F4508" i="67"/>
  <c r="C4507" i="67" l="1"/>
  <c r="F4509" i="67"/>
  <c r="B4509" i="67"/>
  <c r="A4510" i="67"/>
  <c r="D4508" i="67"/>
  <c r="E4508" i="67"/>
  <c r="C4508" i="67" l="1"/>
  <c r="D4509" i="67"/>
  <c r="E4509" i="67"/>
  <c r="F4510" i="67"/>
  <c r="B4510" i="67"/>
  <c r="A4511" i="67"/>
  <c r="C4509" i="67" l="1"/>
  <c r="D4510" i="67"/>
  <c r="E4510" i="67"/>
  <c r="F4511" i="67"/>
  <c r="A4512" i="67"/>
  <c r="B4511" i="67"/>
  <c r="C4510" i="67" l="1"/>
  <c r="D4511" i="67"/>
  <c r="E4511" i="67"/>
  <c r="A4513" i="67"/>
  <c r="F4512" i="67"/>
  <c r="B4512" i="67"/>
  <c r="C4511" i="67" l="1"/>
  <c r="D4512" i="67"/>
  <c r="E4512" i="67"/>
  <c r="F4513" i="67"/>
  <c r="B4513" i="67"/>
  <c r="A4514" i="67"/>
  <c r="C4512" i="67" l="1"/>
  <c r="F4514" i="67"/>
  <c r="A4515" i="67"/>
  <c r="B4514" i="67"/>
  <c r="D4513" i="67"/>
  <c r="E4513" i="67"/>
  <c r="C4513" i="67" l="1"/>
  <c r="D4514" i="67"/>
  <c r="E4514" i="67"/>
  <c r="F4515" i="67"/>
  <c r="B4515" i="67"/>
  <c r="A4516" i="67"/>
  <c r="C4514" i="67" l="1"/>
  <c r="F4516" i="67"/>
  <c r="B4516" i="67"/>
  <c r="A4517" i="67"/>
  <c r="D4515" i="67"/>
  <c r="E4515" i="67"/>
  <c r="C4515" i="67" l="1"/>
  <c r="F4517" i="67"/>
  <c r="A4518" i="67"/>
  <c r="B4517" i="67"/>
  <c r="D4516" i="67"/>
  <c r="E4516" i="67"/>
  <c r="C4516" i="67" l="1"/>
  <c r="D4517" i="67"/>
  <c r="E4517" i="67"/>
  <c r="A4519" i="67"/>
  <c r="F4518" i="67"/>
  <c r="B4518" i="67"/>
  <c r="C4517" i="67" l="1"/>
  <c r="D4518" i="67"/>
  <c r="E4518" i="67"/>
  <c r="F4519" i="67"/>
  <c r="B4519" i="67"/>
  <c r="A4520" i="67"/>
  <c r="C4518" i="67" l="1"/>
  <c r="D4519" i="67"/>
  <c r="E4519" i="67"/>
  <c r="F4520" i="67"/>
  <c r="A4521" i="67"/>
  <c r="B4520" i="67"/>
  <c r="C4519" i="67" l="1"/>
  <c r="F4521" i="67"/>
  <c r="B4521" i="67"/>
  <c r="A4522" i="67"/>
  <c r="D4520" i="67"/>
  <c r="E4520" i="67"/>
  <c r="C4520" i="67" l="1"/>
  <c r="F4522" i="67"/>
  <c r="A4523" i="67"/>
  <c r="B4522" i="67"/>
  <c r="D4521" i="67"/>
  <c r="E4521" i="67"/>
  <c r="C4521" i="67" l="1"/>
  <c r="D4522" i="67"/>
  <c r="E4522" i="67"/>
  <c r="F4523" i="67"/>
  <c r="A4524" i="67"/>
  <c r="B4523" i="67"/>
  <c r="C4522" i="67" l="1"/>
  <c r="D4523" i="67"/>
  <c r="E4523" i="67"/>
  <c r="A4525" i="67"/>
  <c r="F4524" i="67"/>
  <c r="B4524" i="67"/>
  <c r="C4523" i="67" l="1"/>
  <c r="F4525" i="67"/>
  <c r="B4525" i="67"/>
  <c r="A4526" i="67"/>
  <c r="D4524" i="67"/>
  <c r="E4524" i="67"/>
  <c r="C4524" i="67" l="1"/>
  <c r="F4526" i="67"/>
  <c r="A4527" i="67"/>
  <c r="B4526" i="67"/>
  <c r="D4525" i="67"/>
  <c r="E4525" i="67"/>
  <c r="C4525" i="67" l="1"/>
  <c r="F4527" i="67"/>
  <c r="B4527" i="67"/>
  <c r="A4528" i="67"/>
  <c r="D4526" i="67"/>
  <c r="E4526" i="67"/>
  <c r="C4526" i="67" l="1"/>
  <c r="F4528" i="67"/>
  <c r="B4528" i="67"/>
  <c r="A4529" i="67"/>
  <c r="D4527" i="67"/>
  <c r="E4527" i="67"/>
  <c r="C4527" i="67" l="1"/>
  <c r="F4529" i="67"/>
  <c r="A4530" i="67"/>
  <c r="B4529" i="67"/>
  <c r="D4528" i="67"/>
  <c r="E4528" i="67"/>
  <c r="C4528" i="67" l="1"/>
  <c r="F4530" i="67"/>
  <c r="A4531" i="67"/>
  <c r="B4530" i="67"/>
  <c r="D4529" i="67"/>
  <c r="E4529" i="67"/>
  <c r="C4529" i="67" l="1"/>
  <c r="D4530" i="67"/>
  <c r="E4530" i="67"/>
  <c r="B4531" i="67"/>
  <c r="F4531" i="67"/>
  <c r="A4532" i="67"/>
  <c r="C4530" i="67" l="1"/>
  <c r="F4532" i="67"/>
  <c r="A4533" i="67"/>
  <c r="B4532" i="67"/>
  <c r="D4531" i="67"/>
  <c r="E4531" i="67"/>
  <c r="C4531" i="67" l="1"/>
  <c r="D4532" i="67"/>
  <c r="E4532" i="67"/>
  <c r="B4533" i="67"/>
  <c r="A4534" i="67"/>
  <c r="F4533" i="67"/>
  <c r="C4532" i="67" l="1"/>
  <c r="A4535" i="67"/>
  <c r="B4534" i="67"/>
  <c r="F4534" i="67"/>
  <c r="D4533" i="67"/>
  <c r="E4533" i="67"/>
  <c r="C4533" i="67" l="1"/>
  <c r="D4534" i="67"/>
  <c r="E4534" i="67"/>
  <c r="A4536" i="67"/>
  <c r="B4535" i="67"/>
  <c r="F4535" i="67"/>
  <c r="C4534" i="67" l="1"/>
  <c r="D4535" i="67"/>
  <c r="E4535" i="67"/>
  <c r="F4536" i="67"/>
  <c r="A4537" i="67"/>
  <c r="B4536" i="67"/>
  <c r="C4535" i="67" l="1"/>
  <c r="D4536" i="67"/>
  <c r="E4536" i="67"/>
  <c r="F4537" i="67"/>
  <c r="A4538" i="67"/>
  <c r="B4537" i="67"/>
  <c r="C4536" i="67" l="1"/>
  <c r="A4539" i="67"/>
  <c r="F4538" i="67"/>
  <c r="B4538" i="67"/>
  <c r="D4537" i="67"/>
  <c r="E4537" i="67"/>
  <c r="C4537" i="67" l="1"/>
  <c r="D4538" i="67"/>
  <c r="E4538" i="67"/>
  <c r="C4538" i="67" s="1"/>
  <c r="F4539" i="67"/>
  <c r="B4539" i="67"/>
  <c r="A4540" i="67"/>
  <c r="B4540" i="67" l="1"/>
  <c r="F4540" i="67"/>
  <c r="A4541" i="67"/>
  <c r="D4539" i="67"/>
  <c r="E4539" i="67"/>
  <c r="C4539" i="67" l="1"/>
  <c r="A4542" i="67"/>
  <c r="B4541" i="67"/>
  <c r="F4541" i="67"/>
  <c r="D4540" i="67"/>
  <c r="E4540" i="67"/>
  <c r="C4540" i="67" l="1"/>
  <c r="D4541" i="67"/>
  <c r="E4541" i="67"/>
  <c r="F4542" i="67"/>
  <c r="B4542" i="67"/>
  <c r="A4543" i="67"/>
  <c r="C4541" i="67" l="1"/>
  <c r="D4542" i="67"/>
  <c r="E4542" i="67"/>
  <c r="F4543" i="67"/>
  <c r="A4544" i="67"/>
  <c r="B4543" i="67"/>
  <c r="C4542" i="67" l="1"/>
  <c r="D4543" i="67"/>
  <c r="E4543" i="67"/>
  <c r="B4544" i="67"/>
  <c r="F4544" i="67"/>
  <c r="A4545" i="67"/>
  <c r="C4543" i="67" l="1"/>
  <c r="F4545" i="67"/>
  <c r="B4545" i="67"/>
  <c r="A4546" i="67"/>
  <c r="D4544" i="67"/>
  <c r="E4544" i="67"/>
  <c r="C4544" i="67" l="1"/>
  <c r="F4546" i="67"/>
  <c r="A4547" i="67"/>
  <c r="B4546" i="67"/>
  <c r="D4545" i="67"/>
  <c r="E4545" i="67"/>
  <c r="C4545" i="67" l="1"/>
  <c r="D4546" i="67"/>
  <c r="E4546" i="67"/>
  <c r="A4548" i="67"/>
  <c r="F4547" i="67"/>
  <c r="B4547" i="67"/>
  <c r="C4546" i="67" l="1"/>
  <c r="D4547" i="67"/>
  <c r="E4547" i="67"/>
  <c r="B4548" i="67"/>
  <c r="A4549" i="67"/>
  <c r="F4548" i="67"/>
  <c r="C4547" i="67" l="1"/>
  <c r="F4549" i="67"/>
  <c r="A4550" i="67"/>
  <c r="B4549" i="67"/>
  <c r="D4548" i="67"/>
  <c r="E4548" i="67"/>
  <c r="C4548" i="67" l="1"/>
  <c r="D4549" i="67"/>
  <c r="E4549" i="67"/>
  <c r="C4549" i="67" s="1"/>
  <c r="F4550" i="67"/>
  <c r="B4550" i="67"/>
  <c r="A4551" i="67"/>
  <c r="B4551" i="67" l="1"/>
  <c r="A4552" i="67"/>
  <c r="F4551" i="67"/>
  <c r="D4550" i="67"/>
  <c r="E4550" i="67"/>
  <c r="C4550" i="67" l="1"/>
  <c r="F4552" i="67"/>
  <c r="A4553" i="67"/>
  <c r="B4552" i="67"/>
  <c r="D4551" i="67"/>
  <c r="E4551" i="67"/>
  <c r="C4551" i="67" l="1"/>
  <c r="D4552" i="67"/>
  <c r="E4552" i="67"/>
  <c r="A4554" i="67"/>
  <c r="F4553" i="67"/>
  <c r="B4553" i="67"/>
  <c r="C4552" i="67" l="1"/>
  <c r="D4553" i="67"/>
  <c r="E4553" i="67"/>
  <c r="F4554" i="67"/>
  <c r="B4554" i="67"/>
  <c r="A4555" i="67"/>
  <c r="C4553" i="67" l="1"/>
  <c r="B4555" i="67"/>
  <c r="F4555" i="67"/>
  <c r="A4556" i="67"/>
  <c r="D4554" i="67"/>
  <c r="E4554" i="67"/>
  <c r="C4554" i="67" l="1"/>
  <c r="A4557" i="67"/>
  <c r="F4556" i="67"/>
  <c r="B4556" i="67"/>
  <c r="D4555" i="67"/>
  <c r="E4555" i="67"/>
  <c r="C4555" i="67" l="1"/>
  <c r="D4556" i="67"/>
  <c r="E4556" i="67"/>
  <c r="A4558" i="67"/>
  <c r="B4557" i="67"/>
  <c r="F4557" i="67"/>
  <c r="C4556" i="67" l="1"/>
  <c r="D4557" i="67"/>
  <c r="E4557" i="67"/>
  <c r="B4558" i="67"/>
  <c r="F4558" i="67"/>
  <c r="A4559" i="67"/>
  <c r="C4557" i="67" l="1"/>
  <c r="D4558" i="67"/>
  <c r="E4558" i="67"/>
  <c r="F4559" i="67"/>
  <c r="A4560" i="67"/>
  <c r="B4559" i="67"/>
  <c r="C4558" i="67" l="1"/>
  <c r="D4559" i="67"/>
  <c r="E4559" i="67"/>
  <c r="F4560" i="67"/>
  <c r="B4560" i="67"/>
  <c r="A4561" i="67"/>
  <c r="C4559" i="67" l="1"/>
  <c r="F4561" i="67"/>
  <c r="A4562" i="67"/>
  <c r="B4561" i="67"/>
  <c r="D4560" i="67"/>
  <c r="E4560" i="67"/>
  <c r="C4560" i="67" l="1"/>
  <c r="F4562" i="67"/>
  <c r="A4563" i="67"/>
  <c r="B4562" i="67"/>
  <c r="D4561" i="67"/>
  <c r="E4561" i="67"/>
  <c r="C4561" i="67" l="1"/>
  <c r="D4562" i="67"/>
  <c r="E4562" i="67"/>
  <c r="A4564" i="67"/>
  <c r="F4563" i="67"/>
  <c r="B4563" i="67"/>
  <c r="C4562" i="67" l="1"/>
  <c r="F4564" i="67"/>
  <c r="A4565" i="67"/>
  <c r="B4564" i="67"/>
  <c r="D4563" i="67"/>
  <c r="E4563" i="67"/>
  <c r="C4563" i="67" l="1"/>
  <c r="D4564" i="67"/>
  <c r="E4564" i="67"/>
  <c r="F4565" i="67"/>
  <c r="A4566" i="67"/>
  <c r="B4565" i="67"/>
  <c r="C4564" i="67" l="1"/>
  <c r="F4566" i="67"/>
  <c r="A4567" i="67"/>
  <c r="B4566" i="67"/>
  <c r="D4565" i="67"/>
  <c r="E4565" i="67"/>
  <c r="C4565" i="67" l="1"/>
  <c r="D4566" i="67"/>
  <c r="E4566" i="67"/>
  <c r="F4567" i="67"/>
  <c r="A4568" i="67"/>
  <c r="B4567" i="67"/>
  <c r="C4566" i="67" l="1"/>
  <c r="D4567" i="67"/>
  <c r="E4567" i="67"/>
  <c r="F4568" i="67"/>
  <c r="A4569" i="67"/>
  <c r="B4568" i="67"/>
  <c r="C4567" i="67" l="1"/>
  <c r="D4568" i="67"/>
  <c r="E4568" i="67"/>
  <c r="F4569" i="67"/>
  <c r="A4570" i="67"/>
  <c r="B4569" i="67"/>
  <c r="C4568" i="67" l="1"/>
  <c r="D4569" i="67"/>
  <c r="E4569" i="67"/>
  <c r="F4570" i="67"/>
  <c r="A4571" i="67"/>
  <c r="B4570" i="67"/>
  <c r="C4569" i="67" l="1"/>
  <c r="D4570" i="67"/>
  <c r="E4570" i="67"/>
  <c r="B4571" i="67"/>
  <c r="F4571" i="67"/>
  <c r="A4572" i="67"/>
  <c r="C4570" i="67" l="1"/>
  <c r="D4571" i="67"/>
  <c r="E4571" i="67"/>
  <c r="B4572" i="67"/>
  <c r="F4572" i="67"/>
  <c r="A4573" i="67"/>
  <c r="C4571" i="67" l="1"/>
  <c r="A4574" i="67"/>
  <c r="B4573" i="67"/>
  <c r="F4573" i="67"/>
  <c r="D4572" i="67"/>
  <c r="E4572" i="67"/>
  <c r="C4572" i="67" l="1"/>
  <c r="D4573" i="67"/>
  <c r="E4573" i="67"/>
  <c r="A4575" i="67"/>
  <c r="F4574" i="67"/>
  <c r="B4574" i="67"/>
  <c r="C4573" i="67" l="1"/>
  <c r="D4574" i="67"/>
  <c r="E4574" i="67"/>
  <c r="A4576" i="67"/>
  <c r="F4575" i="67"/>
  <c r="B4575" i="67"/>
  <c r="C4574" i="67" l="1"/>
  <c r="D4575" i="67"/>
  <c r="E4575" i="67"/>
  <c r="F4576" i="67"/>
  <c r="A4577" i="67"/>
  <c r="B4576" i="67"/>
  <c r="C4575" i="67" l="1"/>
  <c r="D4576" i="67"/>
  <c r="E4576" i="67"/>
  <c r="A4578" i="67"/>
  <c r="F4577" i="67"/>
  <c r="B4577" i="67"/>
  <c r="C4576" i="67" l="1"/>
  <c r="D4577" i="67"/>
  <c r="E4577" i="67"/>
  <c r="F4578" i="67"/>
  <c r="A4579" i="67"/>
  <c r="B4578" i="67"/>
  <c r="C4577" i="67" l="1"/>
  <c r="D4578" i="67"/>
  <c r="E4578" i="67"/>
  <c r="F4579" i="67"/>
  <c r="A4580" i="67"/>
  <c r="B4579" i="67"/>
  <c r="C4578" i="67" l="1"/>
  <c r="D4579" i="67"/>
  <c r="E4579" i="67"/>
  <c r="F4580" i="67"/>
  <c r="A4581" i="67"/>
  <c r="B4580" i="67"/>
  <c r="C4579" i="67" l="1"/>
  <c r="F4581" i="67"/>
  <c r="A4582" i="67"/>
  <c r="B4581" i="67"/>
  <c r="D4580" i="67"/>
  <c r="E4580" i="67"/>
  <c r="C4580" i="67" l="1"/>
  <c r="D4581" i="67"/>
  <c r="E4581" i="67"/>
  <c r="B4582" i="67"/>
  <c r="F4582" i="67"/>
  <c r="A4583" i="67"/>
  <c r="C4581" i="67" l="1"/>
  <c r="A4584" i="67"/>
  <c r="B4583" i="67"/>
  <c r="F4583" i="67"/>
  <c r="D4582" i="67"/>
  <c r="E4582" i="67"/>
  <c r="C4582" i="67" l="1"/>
  <c r="D4583" i="67"/>
  <c r="E4583" i="67"/>
  <c r="F4584" i="67"/>
  <c r="A4585" i="67"/>
  <c r="B4584" i="67"/>
  <c r="C4583" i="67" l="1"/>
  <c r="D4584" i="67"/>
  <c r="E4584" i="67"/>
  <c r="F4585" i="67"/>
  <c r="A4586" i="67"/>
  <c r="B4585" i="67"/>
  <c r="C4584" i="67" l="1"/>
  <c r="A4587" i="67"/>
  <c r="F4586" i="67"/>
  <c r="B4586" i="67"/>
  <c r="D4585" i="67"/>
  <c r="E4585" i="67"/>
  <c r="C4585" i="67" l="1"/>
  <c r="D4586" i="67"/>
  <c r="E4586" i="67"/>
  <c r="F4587" i="67"/>
  <c r="B4587" i="67"/>
  <c r="A4588" i="67"/>
  <c r="C4586" i="67" l="1"/>
  <c r="A4589" i="67"/>
  <c r="F4588" i="67"/>
  <c r="B4588" i="67"/>
  <c r="D4587" i="67"/>
  <c r="E4587" i="67"/>
  <c r="C4587" i="67" l="1"/>
  <c r="D4588" i="67"/>
  <c r="E4588" i="67"/>
  <c r="B4589" i="67"/>
  <c r="A4590" i="67"/>
  <c r="F4589" i="67"/>
  <c r="C4588" i="67" l="1"/>
  <c r="F4590" i="67"/>
  <c r="A4591" i="67"/>
  <c r="B4590" i="67"/>
  <c r="D4589" i="67"/>
  <c r="E4589" i="67"/>
  <c r="C4589" i="67" l="1"/>
  <c r="D4590" i="67"/>
  <c r="E4590" i="67"/>
  <c r="F4591" i="67"/>
  <c r="A4592" i="67"/>
  <c r="B4591" i="67"/>
  <c r="C4590" i="67" l="1"/>
  <c r="F4592" i="67"/>
  <c r="A4593" i="67"/>
  <c r="B4592" i="67"/>
  <c r="D4591" i="67"/>
  <c r="E4591" i="67"/>
  <c r="C4591" i="67" l="1"/>
  <c r="D4592" i="67"/>
  <c r="E4592" i="67"/>
  <c r="B4593" i="67"/>
  <c r="F4593" i="67"/>
  <c r="A4594" i="67"/>
  <c r="C4592" i="67" l="1"/>
  <c r="B4594" i="67"/>
  <c r="F4594" i="67"/>
  <c r="A4595" i="67"/>
  <c r="D4593" i="67"/>
  <c r="E4593" i="67"/>
  <c r="C4593" i="67" l="1"/>
  <c r="B4595" i="67"/>
  <c r="F4595" i="67"/>
  <c r="A4596" i="67"/>
  <c r="D4594" i="67"/>
  <c r="E4594" i="67"/>
  <c r="C4594" i="67" l="1"/>
  <c r="F4596" i="67"/>
  <c r="A4597" i="67"/>
  <c r="B4596" i="67"/>
  <c r="D4595" i="67"/>
  <c r="E4595" i="67"/>
  <c r="C4595" i="67" l="1"/>
  <c r="D4596" i="67"/>
  <c r="E4596" i="67"/>
  <c r="F4597" i="67"/>
  <c r="A4598" i="67"/>
  <c r="B4597" i="67"/>
  <c r="C4596" i="67" l="1"/>
  <c r="D4597" i="67"/>
  <c r="E4597" i="67"/>
  <c r="B4598" i="67"/>
  <c r="F4598" i="67"/>
  <c r="A4599" i="67"/>
  <c r="C4597" i="67" l="1"/>
  <c r="F4599" i="67"/>
  <c r="A4600" i="67"/>
  <c r="B4599" i="67"/>
  <c r="D4598" i="67"/>
  <c r="E4598" i="67"/>
  <c r="C4598" i="67" l="1"/>
  <c r="D4599" i="67"/>
  <c r="E4599" i="67"/>
  <c r="F4600" i="67"/>
  <c r="A4601" i="67"/>
  <c r="B4600" i="67"/>
  <c r="C4599" i="67" l="1"/>
  <c r="D4600" i="67"/>
  <c r="E4600" i="67"/>
  <c r="F4601" i="67"/>
  <c r="A4602" i="67"/>
  <c r="B4601" i="67"/>
  <c r="C4600" i="67" l="1"/>
  <c r="D4601" i="67"/>
  <c r="E4601" i="67"/>
  <c r="F4602" i="67"/>
  <c r="B4602" i="67"/>
  <c r="A4603" i="67"/>
  <c r="C4601" i="67" l="1"/>
  <c r="A4604" i="67"/>
  <c r="F4603" i="67"/>
  <c r="B4603" i="67"/>
  <c r="D4602" i="67"/>
  <c r="E4602" i="67"/>
  <c r="C4602" i="67" l="1"/>
  <c r="D4603" i="67"/>
  <c r="E4603" i="67"/>
  <c r="F4604" i="67"/>
  <c r="A4605" i="67"/>
  <c r="B4604" i="67"/>
  <c r="C4603" i="67" l="1"/>
  <c r="F4605" i="67"/>
  <c r="B4605" i="67"/>
  <c r="A4606" i="67"/>
  <c r="D4604" i="67"/>
  <c r="E4604" i="67"/>
  <c r="C4604" i="67" l="1"/>
  <c r="A4607" i="67"/>
  <c r="F4606" i="67"/>
  <c r="B4606" i="67"/>
  <c r="D4605" i="67"/>
  <c r="E4605" i="67"/>
  <c r="C4605" i="67" l="1"/>
  <c r="D4606" i="67"/>
  <c r="E4606" i="67"/>
  <c r="A4608" i="67"/>
  <c r="F4607" i="67"/>
  <c r="B4607" i="67"/>
  <c r="C4606" i="67" l="1"/>
  <c r="D4607" i="67"/>
  <c r="E4607" i="67"/>
  <c r="F4608" i="67"/>
  <c r="B4608" i="67"/>
  <c r="A4609" i="67"/>
  <c r="C4607" i="67" l="1"/>
  <c r="B4609" i="67"/>
  <c r="F4609" i="67"/>
  <c r="A4610" i="67"/>
  <c r="D4608" i="67"/>
  <c r="E4608" i="67"/>
  <c r="C4608" i="67" l="1"/>
  <c r="A4611" i="67"/>
  <c r="F4610" i="67"/>
  <c r="B4610" i="67"/>
  <c r="D4609" i="67"/>
  <c r="E4609" i="67"/>
  <c r="C4609" i="67" l="1"/>
  <c r="D4610" i="67"/>
  <c r="E4610" i="67"/>
  <c r="A4612" i="67"/>
  <c r="F4611" i="67"/>
  <c r="B4611" i="67"/>
  <c r="C4610" i="67" l="1"/>
  <c r="D4611" i="67"/>
  <c r="E4611" i="67"/>
  <c r="F4612" i="67"/>
  <c r="A4613" i="67"/>
  <c r="B4612" i="67"/>
  <c r="C4611" i="67" l="1"/>
  <c r="A4614" i="67"/>
  <c r="F4613" i="67"/>
  <c r="B4613" i="67"/>
  <c r="D4612" i="67"/>
  <c r="E4612" i="67"/>
  <c r="C4612" i="67" l="1"/>
  <c r="D4613" i="67"/>
  <c r="E4613" i="67"/>
  <c r="F4614" i="67"/>
  <c r="A4615" i="67"/>
  <c r="B4614" i="67"/>
  <c r="C4613" i="67" l="1"/>
  <c r="D4614" i="67"/>
  <c r="E4614" i="67"/>
  <c r="F4615" i="67"/>
  <c r="A4616" i="67"/>
  <c r="B4615" i="67"/>
  <c r="C4614" i="67" l="1"/>
  <c r="F4616" i="67"/>
  <c r="A4617" i="67"/>
  <c r="B4616" i="67"/>
  <c r="D4615" i="67"/>
  <c r="E4615" i="67"/>
  <c r="C4615" i="67" l="1"/>
  <c r="D4616" i="67"/>
  <c r="E4616" i="67"/>
  <c r="A4618" i="67"/>
  <c r="F4617" i="67"/>
  <c r="B4617" i="67"/>
  <c r="C4616" i="67" l="1"/>
  <c r="F4618" i="67"/>
  <c r="A4619" i="67"/>
  <c r="B4618" i="67"/>
  <c r="D4617" i="67"/>
  <c r="E4617" i="67"/>
  <c r="C4617" i="67" l="1"/>
  <c r="D4618" i="67"/>
  <c r="E4618" i="67"/>
  <c r="F4619" i="67"/>
  <c r="A4620" i="67"/>
  <c r="B4619" i="67"/>
  <c r="C4618" i="67" l="1"/>
  <c r="B4620" i="67"/>
  <c r="F4620" i="67"/>
  <c r="A4621" i="67"/>
  <c r="D4619" i="67"/>
  <c r="E4619" i="67"/>
  <c r="C4619" i="67" l="1"/>
  <c r="B4621" i="67"/>
  <c r="F4621" i="67"/>
  <c r="A4622" i="67"/>
  <c r="D4620" i="67"/>
  <c r="E4620" i="67"/>
  <c r="C4620" i="67" l="1"/>
  <c r="F4622" i="67"/>
  <c r="A4623" i="67"/>
  <c r="B4622" i="67"/>
  <c r="D4621" i="67"/>
  <c r="E4621" i="67"/>
  <c r="C4621" i="67" l="1"/>
  <c r="F4623" i="67"/>
  <c r="A4624" i="67"/>
  <c r="B4623" i="67"/>
  <c r="D4622" i="67"/>
  <c r="E4622" i="67"/>
  <c r="C4622" i="67" l="1"/>
  <c r="D4623" i="67"/>
  <c r="E4623" i="67"/>
  <c r="B4624" i="67"/>
  <c r="F4624" i="67"/>
  <c r="A4625" i="67"/>
  <c r="C4623" i="67" l="1"/>
  <c r="F4625" i="67"/>
  <c r="A4626" i="67"/>
  <c r="B4625" i="67"/>
  <c r="D4624" i="67"/>
  <c r="E4624" i="67"/>
  <c r="C4624" i="67" l="1"/>
  <c r="D4625" i="67"/>
  <c r="E4625" i="67"/>
  <c r="F4626" i="67"/>
  <c r="A4627" i="67"/>
  <c r="B4626" i="67"/>
  <c r="C4625" i="67" l="1"/>
  <c r="D4626" i="67"/>
  <c r="E4626" i="67"/>
  <c r="F4627" i="67"/>
  <c r="A4628" i="67"/>
  <c r="B4627" i="67"/>
  <c r="C4626" i="67" l="1"/>
  <c r="D4627" i="67"/>
  <c r="E4627" i="67"/>
  <c r="F4628" i="67"/>
  <c r="A4629" i="67"/>
  <c r="B4628" i="67"/>
  <c r="C4627" i="67" l="1"/>
  <c r="D4628" i="67"/>
  <c r="E4628" i="67"/>
  <c r="F4629" i="67"/>
  <c r="A4630" i="67"/>
  <c r="B4629" i="67"/>
  <c r="C4628" i="67" l="1"/>
  <c r="F4630" i="67"/>
  <c r="A4631" i="67"/>
  <c r="B4630" i="67"/>
  <c r="D4629" i="67"/>
  <c r="E4629" i="67"/>
  <c r="C4629" i="67" l="1"/>
  <c r="D4630" i="67"/>
  <c r="E4630" i="67"/>
  <c r="F4631" i="67"/>
  <c r="A4632" i="67"/>
  <c r="B4631" i="67"/>
  <c r="C4630" i="67" l="1"/>
  <c r="D4631" i="67"/>
  <c r="E4631" i="67"/>
  <c r="F4632" i="67"/>
  <c r="A4633" i="67"/>
  <c r="B4632" i="67"/>
  <c r="C4631" i="67" l="1"/>
  <c r="D4632" i="67"/>
  <c r="E4632" i="67"/>
  <c r="F4633" i="67"/>
  <c r="A4634" i="67"/>
  <c r="B4633" i="67"/>
  <c r="C4632" i="67" l="1"/>
  <c r="D4633" i="67"/>
  <c r="E4633" i="67"/>
  <c r="F4634" i="67"/>
  <c r="A4635" i="67"/>
  <c r="B4634" i="67"/>
  <c r="C4633" i="67" l="1"/>
  <c r="D4634" i="67"/>
  <c r="E4634" i="67"/>
  <c r="F4635" i="67"/>
  <c r="A4636" i="67"/>
  <c r="B4635" i="67"/>
  <c r="C4634" i="67" l="1"/>
  <c r="D4635" i="67"/>
  <c r="E4635" i="67"/>
  <c r="F4636" i="67"/>
  <c r="A4637" i="67"/>
  <c r="B4636" i="67"/>
  <c r="C4635" i="67" l="1"/>
  <c r="D4636" i="67"/>
  <c r="E4636" i="67"/>
  <c r="F4637" i="67"/>
  <c r="A4638" i="67"/>
  <c r="B4637" i="67"/>
  <c r="C4636" i="67" l="1"/>
  <c r="F4638" i="67"/>
  <c r="A4639" i="67"/>
  <c r="B4638" i="67"/>
  <c r="D4637" i="67"/>
  <c r="E4637" i="67"/>
  <c r="C4637" i="67" l="1"/>
  <c r="D4638" i="67"/>
  <c r="E4638" i="67"/>
  <c r="F4639" i="67"/>
  <c r="A4640" i="67"/>
  <c r="B4639" i="67"/>
  <c r="C4638" i="67" l="1"/>
  <c r="D4639" i="67"/>
  <c r="E4639" i="67"/>
  <c r="F4640" i="67"/>
  <c r="A4641" i="67"/>
  <c r="B4640" i="67"/>
  <c r="C4639" i="67" l="1"/>
  <c r="D4640" i="67"/>
  <c r="E4640" i="67"/>
  <c r="F4641" i="67"/>
  <c r="A4642" i="67"/>
  <c r="B4641" i="67"/>
  <c r="C4640" i="67" l="1"/>
  <c r="D4641" i="67"/>
  <c r="E4641" i="67"/>
  <c r="F4642" i="67"/>
  <c r="A4643" i="67"/>
  <c r="B4642" i="67"/>
  <c r="C4641" i="67" l="1"/>
  <c r="D4642" i="67"/>
  <c r="E4642" i="67"/>
  <c r="F4643" i="67"/>
  <c r="A4644" i="67"/>
  <c r="B4643" i="67"/>
  <c r="C4642" i="67" l="1"/>
  <c r="D4643" i="67"/>
  <c r="E4643" i="67"/>
  <c r="F4644" i="67"/>
  <c r="B4644" i="67"/>
  <c r="A4645" i="67"/>
  <c r="C4643" i="67" l="1"/>
  <c r="B4645" i="67"/>
  <c r="F4645" i="67"/>
  <c r="A4646" i="67"/>
  <c r="D4644" i="67"/>
  <c r="E4644" i="67"/>
  <c r="C4644" i="67" l="1"/>
  <c r="F4646" i="67"/>
  <c r="B4646" i="67"/>
  <c r="A4647" i="67"/>
  <c r="D4645" i="67"/>
  <c r="E4645" i="67"/>
  <c r="C4645" i="67" l="1"/>
  <c r="D4646" i="67"/>
  <c r="E4646" i="67"/>
  <c r="A4648" i="67"/>
  <c r="F4647" i="67"/>
  <c r="B4647" i="67"/>
  <c r="C4646" i="67" l="1"/>
  <c r="B4648" i="67"/>
  <c r="F4648" i="67"/>
  <c r="A4649" i="67"/>
  <c r="D4647" i="67"/>
  <c r="E4647" i="67"/>
  <c r="C4647" i="67" l="1"/>
  <c r="A4650" i="67"/>
  <c r="F4649" i="67"/>
  <c r="B4649" i="67"/>
  <c r="D4648" i="67"/>
  <c r="E4648" i="67"/>
  <c r="C4648" i="67" l="1"/>
  <c r="D4649" i="67"/>
  <c r="E4649" i="67"/>
  <c r="A4651" i="67"/>
  <c r="F4650" i="67"/>
  <c r="B4650" i="67"/>
  <c r="C4649" i="67" l="1"/>
  <c r="D4650" i="67"/>
  <c r="E4650" i="67"/>
  <c r="F4651" i="67"/>
  <c r="B4651" i="67"/>
  <c r="A4652" i="67"/>
  <c r="C4650" i="67" l="1"/>
  <c r="B4652" i="67"/>
  <c r="F4652" i="67"/>
  <c r="A4653" i="67"/>
  <c r="D4651" i="67"/>
  <c r="E4651" i="67"/>
  <c r="C4651" i="67" l="1"/>
  <c r="B4653" i="67"/>
  <c r="F4653" i="67"/>
  <c r="A4654" i="67"/>
  <c r="D4652" i="67"/>
  <c r="E4652" i="67"/>
  <c r="C4652" i="67" l="1"/>
  <c r="B4654" i="67"/>
  <c r="F4654" i="67"/>
  <c r="A4655" i="67"/>
  <c r="D4653" i="67"/>
  <c r="E4653" i="67"/>
  <c r="C4653" i="67" l="1"/>
  <c r="F4655" i="67"/>
  <c r="A4656" i="67"/>
  <c r="B4655" i="67"/>
  <c r="D4654" i="67"/>
  <c r="E4654" i="67"/>
  <c r="C4654" i="67" l="1"/>
  <c r="D4655" i="67"/>
  <c r="E4655" i="67"/>
  <c r="A4657" i="67"/>
  <c r="F4656" i="67"/>
  <c r="B4656" i="67"/>
  <c r="C4655" i="67" l="1"/>
  <c r="A4658" i="67"/>
  <c r="F4657" i="67"/>
  <c r="B4657" i="67"/>
  <c r="D4656" i="67"/>
  <c r="E4656" i="67"/>
  <c r="C4656" i="67" l="1"/>
  <c r="D4657" i="67"/>
  <c r="E4657" i="67"/>
  <c r="B4658" i="67"/>
  <c r="A4659" i="67"/>
  <c r="F4658" i="67"/>
  <c r="C4657" i="67" l="1"/>
  <c r="F4659" i="67"/>
  <c r="A4660" i="67"/>
  <c r="B4659" i="67"/>
  <c r="D4658" i="67"/>
  <c r="E4658" i="67"/>
  <c r="C4658" i="67" l="1"/>
  <c r="D4659" i="67"/>
  <c r="E4659" i="67"/>
  <c r="B4660" i="67"/>
  <c r="F4660" i="67"/>
  <c r="A4661" i="67"/>
  <c r="C4659" i="67" l="1"/>
  <c r="F4661" i="67"/>
  <c r="A4662" i="67"/>
  <c r="B4661" i="67"/>
  <c r="D4660" i="67"/>
  <c r="E4660" i="67"/>
  <c r="C4660" i="67" l="1"/>
  <c r="D4661" i="67"/>
  <c r="E4661" i="67"/>
  <c r="B4662" i="67"/>
  <c r="F4662" i="67"/>
  <c r="A4663" i="67"/>
  <c r="C4661" i="67" l="1"/>
  <c r="F4663" i="67"/>
  <c r="A4664" i="67"/>
  <c r="B4663" i="67"/>
  <c r="D4662" i="67"/>
  <c r="E4662" i="67"/>
  <c r="C4662" i="67" l="1"/>
  <c r="A4665" i="67"/>
  <c r="F4664" i="67"/>
  <c r="B4664" i="67"/>
  <c r="D4663" i="67"/>
  <c r="E4663" i="67"/>
  <c r="C4663" i="67" l="1"/>
  <c r="D4664" i="67"/>
  <c r="E4664" i="67"/>
  <c r="B4665" i="67"/>
  <c r="F4665" i="67"/>
  <c r="A4666" i="67"/>
  <c r="C4664" i="67" l="1"/>
  <c r="F4666" i="67"/>
  <c r="A4667" i="67"/>
  <c r="B4666" i="67"/>
  <c r="D4665" i="67"/>
  <c r="E4665" i="67"/>
  <c r="C4665" i="67" l="1"/>
  <c r="D4666" i="67"/>
  <c r="E4666" i="67"/>
  <c r="F4667" i="67"/>
  <c r="A4668" i="67"/>
  <c r="B4667" i="67"/>
  <c r="C4666" i="67" l="1"/>
  <c r="D4667" i="67"/>
  <c r="E4667" i="67"/>
  <c r="F4668" i="67"/>
  <c r="A4669" i="67"/>
  <c r="B4668" i="67"/>
  <c r="C4667" i="67" l="1"/>
  <c r="A4670" i="67"/>
  <c r="F4669" i="67"/>
  <c r="B4669" i="67"/>
  <c r="D4668" i="67"/>
  <c r="E4668" i="67"/>
  <c r="C4668" i="67" l="1"/>
  <c r="D4669" i="67"/>
  <c r="E4669" i="67"/>
  <c r="A4671" i="67"/>
  <c r="F4670" i="67"/>
  <c r="B4670" i="67"/>
  <c r="C4669" i="67" l="1"/>
  <c r="B4671" i="67"/>
  <c r="F4671" i="67"/>
  <c r="A4672" i="67"/>
  <c r="D4670" i="67"/>
  <c r="E4670" i="67"/>
  <c r="C4670" i="67" l="1"/>
  <c r="B4672" i="67"/>
  <c r="F4672" i="67"/>
  <c r="A4673" i="67"/>
  <c r="D4671" i="67"/>
  <c r="E4671" i="67"/>
  <c r="C4671" i="67" l="1"/>
  <c r="F4673" i="67"/>
  <c r="B4673" i="67"/>
  <c r="A4674" i="67"/>
  <c r="D4672" i="67"/>
  <c r="E4672" i="67"/>
  <c r="C4672" i="67" l="1"/>
  <c r="B4674" i="67"/>
  <c r="A4675" i="67"/>
  <c r="F4674" i="67"/>
  <c r="D4673" i="67"/>
  <c r="E4673" i="67"/>
  <c r="C4673" i="67" l="1"/>
  <c r="F4675" i="67"/>
  <c r="B4675" i="67"/>
  <c r="A4676" i="67"/>
  <c r="D4674" i="67"/>
  <c r="E4674" i="67"/>
  <c r="C4674" i="67" l="1"/>
  <c r="F4676" i="67"/>
  <c r="A4677" i="67"/>
  <c r="B4676" i="67"/>
  <c r="D4675" i="67"/>
  <c r="E4675" i="67"/>
  <c r="C4675" i="67" l="1"/>
  <c r="D4676" i="67"/>
  <c r="E4676" i="67"/>
  <c r="F4677" i="67"/>
  <c r="B4677" i="67"/>
  <c r="A4678" i="67"/>
  <c r="C4676" i="67" l="1"/>
  <c r="A4679" i="67"/>
  <c r="B4678" i="67"/>
  <c r="F4678" i="67"/>
  <c r="D4677" i="67"/>
  <c r="E4677" i="67"/>
  <c r="C4677" i="67" l="1"/>
  <c r="D4678" i="67"/>
  <c r="E4678" i="67"/>
  <c r="A4680" i="67"/>
  <c r="F4679" i="67"/>
  <c r="B4679" i="67"/>
  <c r="C4678" i="67" l="1"/>
  <c r="D4679" i="67"/>
  <c r="E4679" i="67"/>
  <c r="F4680" i="67"/>
  <c r="A4681" i="67"/>
  <c r="B4680" i="67"/>
  <c r="C4679" i="67" l="1"/>
  <c r="B4681" i="67"/>
  <c r="F4681" i="67"/>
  <c r="A4682" i="67"/>
  <c r="D4680" i="67"/>
  <c r="E4680" i="67"/>
  <c r="C4680" i="67" l="1"/>
  <c r="F4682" i="67"/>
  <c r="A4683" i="67"/>
  <c r="B4682" i="67"/>
  <c r="D4681" i="67"/>
  <c r="E4681" i="67"/>
  <c r="C4681" i="67" l="1"/>
  <c r="D4682" i="67"/>
  <c r="E4682" i="67"/>
  <c r="F4683" i="67"/>
  <c r="A4684" i="67"/>
  <c r="B4683" i="67"/>
  <c r="C4682" i="67" l="1"/>
  <c r="D4683" i="67"/>
  <c r="E4683" i="67"/>
  <c r="A4685" i="67"/>
  <c r="F4684" i="67"/>
  <c r="B4684" i="67"/>
  <c r="C4683" i="67" l="1"/>
  <c r="D4684" i="67"/>
  <c r="E4684" i="67"/>
  <c r="F4685" i="67"/>
  <c r="A4686" i="67"/>
  <c r="B4685" i="67"/>
  <c r="C4684" i="67" l="1"/>
  <c r="D4685" i="67"/>
  <c r="E4685" i="67"/>
  <c r="F4686" i="67"/>
  <c r="B4686" i="67"/>
  <c r="A4687" i="67"/>
  <c r="C4685" i="67" l="1"/>
  <c r="F4687" i="67"/>
  <c r="B4687" i="67"/>
  <c r="A4688" i="67"/>
  <c r="D4686" i="67"/>
  <c r="E4686" i="67"/>
  <c r="C4686" i="67" l="1"/>
  <c r="A4689" i="67"/>
  <c r="F4688" i="67"/>
  <c r="B4688" i="67"/>
  <c r="D4687" i="67"/>
  <c r="E4687" i="67"/>
  <c r="C4687" i="67" l="1"/>
  <c r="D4688" i="67"/>
  <c r="E4688" i="67"/>
  <c r="B4689" i="67"/>
  <c r="A4690" i="67"/>
  <c r="F4689" i="67"/>
  <c r="C4688" i="67" l="1"/>
  <c r="D4689" i="67"/>
  <c r="E4689" i="67"/>
  <c r="A4691" i="67"/>
  <c r="F4690" i="67"/>
  <c r="B4690" i="67"/>
  <c r="C4689" i="67" l="1"/>
  <c r="D4690" i="67"/>
  <c r="E4690" i="67"/>
  <c r="F4691" i="67"/>
  <c r="B4691" i="67"/>
  <c r="A4692" i="67"/>
  <c r="C4690" i="67" l="1"/>
  <c r="F4692" i="67"/>
  <c r="B4692" i="67"/>
  <c r="A4693" i="67"/>
  <c r="D4691" i="67"/>
  <c r="E4691" i="67"/>
  <c r="C4691" i="67" l="1"/>
  <c r="F4693" i="67"/>
  <c r="A4694" i="67"/>
  <c r="B4693" i="67"/>
  <c r="D4692" i="67"/>
  <c r="E4692" i="67"/>
  <c r="C4692" i="67" l="1"/>
  <c r="D4693" i="67"/>
  <c r="E4693" i="67"/>
  <c r="F4694" i="67"/>
  <c r="A4695" i="67"/>
  <c r="B4694" i="67"/>
  <c r="C4693" i="67" l="1"/>
  <c r="F4695" i="67"/>
  <c r="A4696" i="67"/>
  <c r="B4695" i="67"/>
  <c r="D4694" i="67"/>
  <c r="E4694" i="67"/>
  <c r="C4694" i="67" l="1"/>
  <c r="D4695" i="67"/>
  <c r="E4695" i="67"/>
  <c r="B4696" i="67"/>
  <c r="F4696" i="67"/>
  <c r="A4697" i="67"/>
  <c r="C4695" i="67" l="1"/>
  <c r="F4697" i="67"/>
  <c r="A4698" i="67"/>
  <c r="B4697" i="67"/>
  <c r="D4696" i="67"/>
  <c r="E4696" i="67"/>
  <c r="C4696" i="67" l="1"/>
  <c r="F4698" i="67"/>
  <c r="A4699" i="67"/>
  <c r="B4698" i="67"/>
  <c r="D4697" i="67"/>
  <c r="E4697" i="67"/>
  <c r="C4697" i="67" l="1"/>
  <c r="D4698" i="67"/>
  <c r="E4698" i="67"/>
  <c r="B4699" i="67"/>
  <c r="F4699" i="67"/>
  <c r="A4700" i="67"/>
  <c r="C4698" i="67" l="1"/>
  <c r="F4700" i="67"/>
  <c r="A4701" i="67"/>
  <c r="B4700" i="67"/>
  <c r="D4699" i="67"/>
  <c r="E4699" i="67"/>
  <c r="C4699" i="67" l="1"/>
  <c r="D4700" i="67"/>
  <c r="E4700" i="67"/>
  <c r="F4701" i="67"/>
  <c r="A4702" i="67"/>
  <c r="B4701" i="67"/>
  <c r="C4700" i="67" l="1"/>
  <c r="D4701" i="67"/>
  <c r="E4701" i="67"/>
  <c r="F4702" i="67"/>
  <c r="A4703" i="67"/>
  <c r="B4702" i="67"/>
  <c r="C4701" i="67" l="1"/>
  <c r="D4702" i="67"/>
  <c r="E4702" i="67"/>
  <c r="F4703" i="67"/>
  <c r="A4704" i="67"/>
  <c r="B4703" i="67"/>
  <c r="C4702" i="67" l="1"/>
  <c r="D4703" i="67"/>
  <c r="E4703" i="67"/>
  <c r="F4704" i="67"/>
  <c r="A4705" i="67"/>
  <c r="B4704" i="67"/>
  <c r="C4703" i="67" l="1"/>
  <c r="B4705" i="67"/>
  <c r="F4705" i="67"/>
  <c r="A4706" i="67"/>
  <c r="D4704" i="67"/>
  <c r="E4704" i="67"/>
  <c r="C4704" i="67" l="1"/>
  <c r="B4706" i="67"/>
  <c r="F4706" i="67"/>
  <c r="A4707" i="67"/>
  <c r="D4705" i="67"/>
  <c r="E4705" i="67"/>
  <c r="C4705" i="67" l="1"/>
  <c r="F4707" i="67"/>
  <c r="B4707" i="67"/>
  <c r="A4708" i="67"/>
  <c r="D4706" i="67"/>
  <c r="E4706" i="67"/>
  <c r="C4706" i="67" l="1"/>
  <c r="F4708" i="67"/>
  <c r="A4709" i="67"/>
  <c r="B4708" i="67"/>
  <c r="D4707" i="67"/>
  <c r="E4707" i="67"/>
  <c r="C4707" i="67" l="1"/>
  <c r="D4708" i="67"/>
  <c r="E4708" i="67"/>
  <c r="A4710" i="67"/>
  <c r="B4709" i="67"/>
  <c r="F4709" i="67"/>
  <c r="C4708" i="67" l="1"/>
  <c r="D4709" i="67"/>
  <c r="E4709" i="67"/>
  <c r="A4711" i="67"/>
  <c r="F4710" i="67"/>
  <c r="B4710" i="67"/>
  <c r="C4709" i="67" l="1"/>
  <c r="D4710" i="67"/>
  <c r="E4710" i="67"/>
  <c r="B4711" i="67"/>
  <c r="F4711" i="67"/>
  <c r="A4712" i="67"/>
  <c r="C4710" i="67" l="1"/>
  <c r="D4711" i="67"/>
  <c r="E4711" i="67"/>
  <c r="A4713" i="67"/>
  <c r="B4712" i="67"/>
  <c r="F4712" i="67"/>
  <c r="C4711" i="67" l="1"/>
  <c r="D4712" i="67"/>
  <c r="E4712" i="67"/>
  <c r="F4713" i="67"/>
  <c r="B4713" i="67"/>
  <c r="A4714" i="67"/>
  <c r="C4712" i="67" l="1"/>
  <c r="F4714" i="67"/>
  <c r="A4715" i="67"/>
  <c r="B4714" i="67"/>
  <c r="D4713" i="67"/>
  <c r="E4713" i="67"/>
  <c r="C4713" i="67" l="1"/>
  <c r="D4714" i="67"/>
  <c r="E4714" i="67"/>
  <c r="F4715" i="67"/>
  <c r="A4716" i="67"/>
  <c r="B4715" i="67"/>
  <c r="C4714" i="67" l="1"/>
  <c r="D4715" i="67"/>
  <c r="E4715" i="67"/>
  <c r="F4716" i="67"/>
  <c r="B4716" i="67"/>
  <c r="A4717" i="67"/>
  <c r="C4715" i="67" l="1"/>
  <c r="F4717" i="67"/>
  <c r="A4718" i="67"/>
  <c r="B4717" i="67"/>
  <c r="D4716" i="67"/>
  <c r="E4716" i="67"/>
  <c r="C4716" i="67" l="1"/>
  <c r="D4717" i="67"/>
  <c r="E4717" i="67"/>
  <c r="F4718" i="67"/>
  <c r="A4719" i="67"/>
  <c r="B4718" i="67"/>
  <c r="C4717" i="67" l="1"/>
  <c r="D4718" i="67"/>
  <c r="E4718" i="67"/>
  <c r="F4719" i="67"/>
  <c r="A4720" i="67"/>
  <c r="B4719" i="67"/>
  <c r="C4718" i="67" l="1"/>
  <c r="D4719" i="67"/>
  <c r="E4719" i="67"/>
  <c r="A4721" i="67"/>
  <c r="F4720" i="67"/>
  <c r="B4720" i="67"/>
  <c r="C4719" i="67" l="1"/>
  <c r="D4720" i="67"/>
  <c r="E4720" i="67"/>
  <c r="F4721" i="67"/>
  <c r="A4722" i="67"/>
  <c r="B4721" i="67"/>
  <c r="C4720" i="67" l="1"/>
  <c r="D4721" i="67"/>
  <c r="E4721" i="67"/>
  <c r="F4722" i="67"/>
  <c r="A4723" i="67"/>
  <c r="B4722" i="67"/>
  <c r="C4721" i="67" l="1"/>
  <c r="B4723" i="67"/>
  <c r="F4723" i="67"/>
  <c r="A4724" i="67"/>
  <c r="D4722" i="67"/>
  <c r="E4722" i="67"/>
  <c r="C4722" i="67" l="1"/>
  <c r="F4724" i="67"/>
  <c r="A4725" i="67"/>
  <c r="B4724" i="67"/>
  <c r="D4723" i="67"/>
  <c r="E4723" i="67"/>
  <c r="C4723" i="67" l="1"/>
  <c r="D4724" i="67"/>
  <c r="E4724" i="67"/>
  <c r="B4725" i="67"/>
  <c r="F4725" i="67"/>
  <c r="A4726" i="67"/>
  <c r="C4724" i="67" l="1"/>
  <c r="F4726" i="67"/>
  <c r="A4727" i="67"/>
  <c r="B4726" i="67"/>
  <c r="D4725" i="67"/>
  <c r="E4725" i="67"/>
  <c r="C4725" i="67" l="1"/>
  <c r="D4726" i="67"/>
  <c r="E4726" i="67"/>
  <c r="A4728" i="67"/>
  <c r="F4727" i="67"/>
  <c r="B4727" i="67"/>
  <c r="C4726" i="67" l="1"/>
  <c r="D4727" i="67"/>
  <c r="E4727" i="67"/>
  <c r="B4728" i="67"/>
  <c r="F4728" i="67"/>
  <c r="A4729" i="67"/>
  <c r="C4727" i="67" l="1"/>
  <c r="A4730" i="67"/>
  <c r="F4729" i="67"/>
  <c r="B4729" i="67"/>
  <c r="D4728" i="67"/>
  <c r="E4728" i="67"/>
  <c r="C4728" i="67" l="1"/>
  <c r="D4729" i="67"/>
  <c r="E4729" i="67"/>
  <c r="B4730" i="67"/>
  <c r="F4730" i="67"/>
  <c r="A4731" i="67"/>
  <c r="C4729" i="67" l="1"/>
  <c r="D4730" i="67"/>
  <c r="E4730" i="67"/>
  <c r="F4731" i="67"/>
  <c r="A4732" i="67"/>
  <c r="B4731" i="67"/>
  <c r="C4730" i="67" l="1"/>
  <c r="D4731" i="67"/>
  <c r="E4731" i="67"/>
  <c r="F4732" i="67"/>
  <c r="A4733" i="67"/>
  <c r="B4732" i="67"/>
  <c r="C4731" i="67" l="1"/>
  <c r="F4733" i="67"/>
  <c r="A4734" i="67"/>
  <c r="B4733" i="67"/>
  <c r="D4732" i="67"/>
  <c r="E4732" i="67"/>
  <c r="C4732" i="67" l="1"/>
  <c r="D4733" i="67"/>
  <c r="E4733" i="67"/>
  <c r="B4734" i="67"/>
  <c r="F4734" i="67"/>
  <c r="A4735" i="67"/>
  <c r="C4733" i="67" l="1"/>
  <c r="F4735" i="67"/>
  <c r="A4736" i="67"/>
  <c r="B4735" i="67"/>
  <c r="D4734" i="67"/>
  <c r="E4734" i="67"/>
  <c r="C4734" i="67" l="1"/>
  <c r="D4735" i="67"/>
  <c r="E4735" i="67"/>
  <c r="F4736" i="67"/>
  <c r="A4737" i="67"/>
  <c r="B4736" i="67"/>
  <c r="C4735" i="67" l="1"/>
  <c r="D4736" i="67"/>
  <c r="E4736" i="67"/>
  <c r="F4737" i="67"/>
  <c r="A4738" i="67"/>
  <c r="B4737" i="67"/>
  <c r="C4736" i="67" l="1"/>
  <c r="B4738" i="67"/>
  <c r="F4738" i="67"/>
  <c r="A4739" i="67"/>
  <c r="D4737" i="67"/>
  <c r="E4737" i="67"/>
  <c r="C4737" i="67" l="1"/>
  <c r="B4739" i="67"/>
  <c r="F4739" i="67"/>
  <c r="A4740" i="67"/>
  <c r="D4738" i="67"/>
  <c r="E4738" i="67"/>
  <c r="C4738" i="67" l="1"/>
  <c r="F4740" i="67"/>
  <c r="A4741" i="67"/>
  <c r="B4740" i="67"/>
  <c r="D4739" i="67"/>
  <c r="E4739" i="67"/>
  <c r="C4739" i="67" l="1"/>
  <c r="D4740" i="67"/>
  <c r="E4740" i="67"/>
  <c r="F4741" i="67"/>
  <c r="A4742" i="67"/>
  <c r="B4741" i="67"/>
  <c r="C4740" i="67" l="1"/>
  <c r="D4741" i="67"/>
  <c r="E4741" i="67"/>
  <c r="F4742" i="67"/>
  <c r="A4743" i="67"/>
  <c r="B4742" i="67"/>
  <c r="C4741" i="67" l="1"/>
  <c r="D4742" i="67"/>
  <c r="E4742" i="67"/>
  <c r="F4743" i="67"/>
  <c r="A4744" i="67"/>
  <c r="B4743" i="67"/>
  <c r="C4742" i="67" l="1"/>
  <c r="D4743" i="67"/>
  <c r="E4743" i="67"/>
  <c r="C4743" i="67" s="1"/>
  <c r="F4744" i="67"/>
  <c r="B4744" i="67"/>
  <c r="A4745" i="67"/>
  <c r="B4745" i="67" l="1"/>
  <c r="F4745" i="67"/>
  <c r="A4746" i="67"/>
  <c r="D4744" i="67"/>
  <c r="E4744" i="67"/>
  <c r="C4744" i="67" l="1"/>
  <c r="A4747" i="67"/>
  <c r="B4746" i="67"/>
  <c r="F4746" i="67"/>
  <c r="D4745" i="67"/>
  <c r="E4745" i="67"/>
  <c r="C4745" i="67" l="1"/>
  <c r="D4746" i="67"/>
  <c r="E4746" i="67"/>
  <c r="A4748" i="67"/>
  <c r="B4747" i="67"/>
  <c r="F4747" i="67"/>
  <c r="C4746" i="67" l="1"/>
  <c r="D4747" i="67"/>
  <c r="E4747" i="67"/>
  <c r="F4748" i="67"/>
  <c r="A4749" i="67"/>
  <c r="B4748" i="67"/>
  <c r="C4747" i="67" l="1"/>
  <c r="D4748" i="67"/>
  <c r="E4748" i="67"/>
  <c r="B4749" i="67"/>
  <c r="F4749" i="67"/>
  <c r="A4750" i="67"/>
  <c r="C4748" i="67" l="1"/>
  <c r="B4750" i="67"/>
  <c r="F4750" i="67"/>
  <c r="A4751" i="67"/>
  <c r="D4749" i="67"/>
  <c r="E4749" i="67"/>
  <c r="C4749" i="67" l="1"/>
  <c r="B4751" i="67"/>
  <c r="F4751" i="67"/>
  <c r="A4752" i="67"/>
  <c r="D4750" i="67"/>
  <c r="E4750" i="67"/>
  <c r="C4750" i="67" l="1"/>
  <c r="F4752" i="67"/>
  <c r="A4753" i="67"/>
  <c r="B4752" i="67"/>
  <c r="D4751" i="67"/>
  <c r="E4751" i="67"/>
  <c r="C4751" i="67" l="1"/>
  <c r="D4752" i="67"/>
  <c r="E4752" i="67"/>
  <c r="F4753" i="67"/>
  <c r="A4754" i="67"/>
  <c r="B4753" i="67"/>
  <c r="C4752" i="67" l="1"/>
  <c r="D4753" i="67"/>
  <c r="E4753" i="67"/>
  <c r="F4754" i="67"/>
  <c r="A4755" i="67"/>
  <c r="B4754" i="67"/>
  <c r="C4753" i="67" l="1"/>
  <c r="D4754" i="67"/>
  <c r="E4754" i="67"/>
  <c r="B4755" i="67"/>
  <c r="F4755" i="67"/>
  <c r="A4756" i="67"/>
  <c r="C4754" i="67" l="1"/>
  <c r="F4756" i="67"/>
  <c r="A4757" i="67"/>
  <c r="B4756" i="67"/>
  <c r="D4755" i="67"/>
  <c r="E4755" i="67"/>
  <c r="C4755" i="67" l="1"/>
  <c r="D4756" i="67"/>
  <c r="E4756" i="67"/>
  <c r="F4757" i="67"/>
  <c r="A4758" i="67"/>
  <c r="B4757" i="67"/>
  <c r="C4756" i="67" l="1"/>
  <c r="D4757" i="67"/>
  <c r="E4757" i="67"/>
  <c r="F4758" i="67"/>
  <c r="B4758" i="67"/>
  <c r="A4759" i="67"/>
  <c r="C4757" i="67" l="1"/>
  <c r="F4759" i="67"/>
  <c r="B4759" i="67"/>
  <c r="A4760" i="67"/>
  <c r="D4758" i="67"/>
  <c r="E4758" i="67"/>
  <c r="C4758" i="67" l="1"/>
  <c r="F4760" i="67"/>
  <c r="A4761" i="67"/>
  <c r="B4760" i="67"/>
  <c r="D4759" i="67"/>
  <c r="E4759" i="67"/>
  <c r="C4759" i="67" l="1"/>
  <c r="D4760" i="67"/>
  <c r="E4760" i="67"/>
  <c r="B4761" i="67"/>
  <c r="F4761" i="67"/>
  <c r="A4762" i="67"/>
  <c r="C4760" i="67" l="1"/>
  <c r="F4762" i="67"/>
  <c r="A4763" i="67"/>
  <c r="B4762" i="67"/>
  <c r="D4761" i="67"/>
  <c r="E4761" i="67"/>
  <c r="C4761" i="67" l="1"/>
  <c r="D4762" i="67"/>
  <c r="E4762" i="67"/>
  <c r="F4763" i="67"/>
  <c r="B4763" i="67"/>
  <c r="A4764" i="67"/>
  <c r="C4762" i="67" l="1"/>
  <c r="D4763" i="67"/>
  <c r="E4763" i="67"/>
  <c r="A4765" i="67"/>
  <c r="B4764" i="67"/>
  <c r="F4764" i="67"/>
  <c r="C4763" i="67" l="1"/>
  <c r="D4764" i="67"/>
  <c r="E4764" i="67"/>
  <c r="F4765" i="67"/>
  <c r="B4765" i="67"/>
  <c r="A4766" i="67"/>
  <c r="C4764" i="67" l="1"/>
  <c r="D4765" i="67"/>
  <c r="E4765" i="67"/>
  <c r="F4766" i="67"/>
  <c r="B4766" i="67"/>
  <c r="A4767" i="67"/>
  <c r="C4765" i="67" l="1"/>
  <c r="B4767" i="67"/>
  <c r="F4767" i="67"/>
  <c r="A4768" i="67"/>
  <c r="D4766" i="67"/>
  <c r="E4766" i="67"/>
  <c r="C4766" i="67" l="1"/>
  <c r="F4768" i="67"/>
  <c r="A4769" i="67"/>
  <c r="B4768" i="67"/>
  <c r="D4767" i="67"/>
  <c r="E4767" i="67"/>
  <c r="C4767" i="67" l="1"/>
  <c r="D4768" i="67"/>
  <c r="E4768" i="67"/>
  <c r="F4769" i="67"/>
  <c r="A4770" i="67"/>
  <c r="B4769" i="67"/>
  <c r="C4768" i="67" l="1"/>
  <c r="D4769" i="67"/>
  <c r="E4769" i="67"/>
  <c r="B4770" i="67"/>
  <c r="F4770" i="67"/>
  <c r="A4771" i="67"/>
  <c r="C4769" i="67" l="1"/>
  <c r="F4771" i="67"/>
  <c r="A4772" i="67"/>
  <c r="B4771" i="67"/>
  <c r="D4770" i="67"/>
  <c r="E4770" i="67"/>
  <c r="C4770" i="67" l="1"/>
  <c r="D4771" i="67"/>
  <c r="E4771" i="67"/>
  <c r="A4773" i="67"/>
  <c r="F4772" i="67"/>
  <c r="B4772" i="67"/>
  <c r="C4771" i="67" l="1"/>
  <c r="D4772" i="67"/>
  <c r="E4772" i="67"/>
  <c r="C4772" i="67" s="1"/>
  <c r="A4774" i="67"/>
  <c r="F4773" i="67"/>
  <c r="B4773" i="67"/>
  <c r="D4773" i="67" l="1"/>
  <c r="E4773" i="67"/>
  <c r="A4775" i="67"/>
  <c r="F4774" i="67"/>
  <c r="B4774" i="67"/>
  <c r="C4773" i="67" l="1"/>
  <c r="D4774" i="67"/>
  <c r="E4774" i="67"/>
  <c r="A4776" i="67"/>
  <c r="B4775" i="67"/>
  <c r="F4775" i="67"/>
  <c r="C4774" i="67" l="1"/>
  <c r="F4776" i="67"/>
  <c r="A4777" i="67"/>
  <c r="B4776" i="67"/>
  <c r="D4775" i="67"/>
  <c r="E4775" i="67"/>
  <c r="C4775" i="67" l="1"/>
  <c r="D4776" i="67"/>
  <c r="E4776" i="67"/>
  <c r="F4777" i="67"/>
  <c r="B4777" i="67"/>
  <c r="A4778" i="67"/>
  <c r="C4776" i="67" l="1"/>
  <c r="F4778" i="67"/>
  <c r="B4778" i="67"/>
  <c r="A4779" i="67"/>
  <c r="D4777" i="67"/>
  <c r="E4777" i="67"/>
  <c r="C4777" i="67" l="1"/>
  <c r="F4779" i="67"/>
  <c r="A4780" i="67"/>
  <c r="B4779" i="67"/>
  <c r="D4778" i="67"/>
  <c r="E4778" i="67"/>
  <c r="C4778" i="67" l="1"/>
  <c r="D4779" i="67"/>
  <c r="E4779" i="67"/>
  <c r="B4780" i="67"/>
  <c r="F4780" i="67"/>
  <c r="A4781" i="67"/>
  <c r="C4779" i="67" l="1"/>
  <c r="B4781" i="67"/>
  <c r="F4781" i="67"/>
  <c r="A4782" i="67"/>
  <c r="D4780" i="67"/>
  <c r="E4780" i="67"/>
  <c r="C4780" i="67" l="1"/>
  <c r="F4782" i="67"/>
  <c r="A4783" i="67"/>
  <c r="B4782" i="67"/>
  <c r="D4781" i="67"/>
  <c r="E4781" i="67"/>
  <c r="C4781" i="67" l="1"/>
  <c r="D4782" i="67"/>
  <c r="E4782" i="67"/>
  <c r="F4783" i="67"/>
  <c r="A4784" i="67"/>
  <c r="B4783" i="67"/>
  <c r="C4782" i="67" l="1"/>
  <c r="F4784" i="67"/>
  <c r="A4785" i="67"/>
  <c r="B4784" i="67"/>
  <c r="D4783" i="67"/>
  <c r="E4783" i="67"/>
  <c r="C4783" i="67" l="1"/>
  <c r="D4784" i="67"/>
  <c r="E4784" i="67"/>
  <c r="F4785" i="67"/>
  <c r="A4786" i="67"/>
  <c r="B4785" i="67"/>
  <c r="C4784" i="67" l="1"/>
  <c r="D4785" i="67"/>
  <c r="E4785" i="67"/>
  <c r="F4786" i="67"/>
  <c r="A4787" i="67"/>
  <c r="B4786" i="67"/>
  <c r="C4785" i="67" l="1"/>
  <c r="B4787" i="67"/>
  <c r="F4787" i="67"/>
  <c r="A4788" i="67"/>
  <c r="D4786" i="67"/>
  <c r="E4786" i="67"/>
  <c r="C4786" i="67" l="1"/>
  <c r="F4788" i="67"/>
  <c r="A4789" i="67"/>
  <c r="B4788" i="67"/>
  <c r="D4787" i="67"/>
  <c r="E4787" i="67"/>
  <c r="C4787" i="67" l="1"/>
  <c r="D4788" i="67"/>
  <c r="E4788" i="67"/>
  <c r="F4789" i="67"/>
  <c r="A4790" i="67"/>
  <c r="B4789" i="67"/>
  <c r="C4788" i="67" l="1"/>
  <c r="D4789" i="67"/>
  <c r="E4789" i="67"/>
  <c r="B4790" i="67"/>
  <c r="F4790" i="67"/>
  <c r="A4791" i="67"/>
  <c r="C4789" i="67" l="1"/>
  <c r="F4791" i="67"/>
  <c r="A4792" i="67"/>
  <c r="B4791" i="67"/>
  <c r="D4790" i="67"/>
  <c r="E4790" i="67"/>
  <c r="C4790" i="67" l="1"/>
  <c r="D4791" i="67"/>
  <c r="E4791" i="67"/>
  <c r="A4793" i="67"/>
  <c r="F4792" i="67"/>
  <c r="B4792" i="67"/>
  <c r="C4791" i="67" l="1"/>
  <c r="D4792" i="67"/>
  <c r="E4792" i="67"/>
  <c r="B4793" i="67"/>
  <c r="F4793" i="67"/>
  <c r="A4794" i="67"/>
  <c r="C4792" i="67" l="1"/>
  <c r="D4793" i="67"/>
  <c r="E4793" i="67"/>
  <c r="A4795" i="67"/>
  <c r="F4794" i="67"/>
  <c r="B4794" i="67"/>
  <c r="C4793" i="67" l="1"/>
  <c r="D4794" i="67"/>
  <c r="E4794" i="67"/>
  <c r="F4795" i="67"/>
  <c r="A4796" i="67"/>
  <c r="B4795" i="67"/>
  <c r="C4794" i="67" l="1"/>
  <c r="D4795" i="67"/>
  <c r="E4795" i="67"/>
  <c r="F4796" i="67"/>
  <c r="B4796" i="67"/>
  <c r="A4797" i="67"/>
  <c r="C4795" i="67" l="1"/>
  <c r="F4797" i="67"/>
  <c r="A4798" i="67"/>
  <c r="B4797" i="67"/>
  <c r="D4796" i="67"/>
  <c r="E4796" i="67"/>
  <c r="C4796" i="67" l="1"/>
  <c r="D4797" i="67"/>
  <c r="E4797" i="67"/>
  <c r="F4798" i="67"/>
  <c r="A4799" i="67"/>
  <c r="B4798" i="67"/>
  <c r="C4797" i="67" l="1"/>
  <c r="D4798" i="67"/>
  <c r="E4798" i="67"/>
  <c r="F4799" i="67"/>
  <c r="A4800" i="67"/>
  <c r="B4799" i="67"/>
  <c r="C4798" i="67" l="1"/>
  <c r="D4799" i="67"/>
  <c r="E4799" i="67"/>
  <c r="F4800" i="67"/>
  <c r="B4800" i="67"/>
  <c r="A4801" i="67"/>
  <c r="C4799" i="67" l="1"/>
  <c r="A4802" i="67"/>
  <c r="F4801" i="67"/>
  <c r="B4801" i="67"/>
  <c r="D4800" i="67"/>
  <c r="E4800" i="67"/>
  <c r="C4800" i="67" l="1"/>
  <c r="D4801" i="67"/>
  <c r="E4801" i="67"/>
  <c r="F4802" i="67"/>
  <c r="A4803" i="67"/>
  <c r="B4802" i="67"/>
  <c r="C4801" i="67" l="1"/>
  <c r="D4802" i="67"/>
  <c r="E4802" i="67"/>
  <c r="F4803" i="67"/>
  <c r="B4803" i="67"/>
  <c r="A4804" i="67"/>
  <c r="C4802" i="67" l="1"/>
  <c r="D4803" i="67"/>
  <c r="E4803" i="67"/>
  <c r="F4804" i="67"/>
  <c r="A4805" i="67"/>
  <c r="B4804" i="67"/>
  <c r="C4803" i="67" l="1"/>
  <c r="D4804" i="67"/>
  <c r="E4804" i="67"/>
  <c r="F4805" i="67"/>
  <c r="A4806" i="67"/>
  <c r="B4805" i="67"/>
  <c r="C4804" i="67" l="1"/>
  <c r="D4805" i="67"/>
  <c r="E4805" i="67"/>
  <c r="F4806" i="67"/>
  <c r="A4807" i="67"/>
  <c r="B4806" i="67"/>
  <c r="C4805" i="67" l="1"/>
  <c r="D4806" i="67"/>
  <c r="E4806" i="67"/>
  <c r="B4807" i="67"/>
  <c r="F4807" i="67"/>
  <c r="A4808" i="67"/>
  <c r="C4806" i="67" l="1"/>
  <c r="F4808" i="67"/>
  <c r="A4809" i="67"/>
  <c r="B4808" i="67"/>
  <c r="D4807" i="67"/>
  <c r="E4807" i="67"/>
  <c r="C4807" i="67" l="1"/>
  <c r="D4808" i="67"/>
  <c r="E4808" i="67"/>
  <c r="F4809" i="67"/>
  <c r="B4809" i="67"/>
  <c r="A4810" i="67"/>
  <c r="C4808" i="67" l="1"/>
  <c r="D4809" i="67"/>
  <c r="E4809" i="67"/>
  <c r="F4810" i="67"/>
  <c r="A4811" i="67"/>
  <c r="B4810" i="67"/>
  <c r="C4809" i="67" l="1"/>
  <c r="D4810" i="67"/>
  <c r="E4810" i="67"/>
  <c r="F4811" i="67"/>
  <c r="A4812" i="67"/>
  <c r="B4811" i="67"/>
  <c r="C4810" i="67" l="1"/>
  <c r="D4811" i="67"/>
  <c r="E4811" i="67"/>
  <c r="F4812" i="67"/>
  <c r="A4813" i="67"/>
  <c r="B4812" i="67"/>
  <c r="C4811" i="67" l="1"/>
  <c r="D4812" i="67"/>
  <c r="E4812" i="67"/>
  <c r="F4813" i="67"/>
  <c r="A4814" i="67"/>
  <c r="B4813" i="67"/>
  <c r="C4812" i="67" l="1"/>
  <c r="F4814" i="67"/>
  <c r="A4815" i="67"/>
  <c r="B4814" i="67"/>
  <c r="D4813" i="67"/>
  <c r="E4813" i="67"/>
  <c r="C4813" i="67" l="1"/>
  <c r="F4815" i="67"/>
  <c r="A4816" i="67"/>
  <c r="B4815" i="67"/>
  <c r="D4814" i="67"/>
  <c r="E4814" i="67"/>
  <c r="C4814" i="67" l="1"/>
  <c r="D4815" i="67"/>
  <c r="E4815" i="67"/>
  <c r="F4816" i="67"/>
  <c r="A4817" i="67"/>
  <c r="B4816" i="67"/>
  <c r="C4815" i="67" l="1"/>
  <c r="D4816" i="67"/>
  <c r="E4816" i="67"/>
  <c r="F4817" i="67"/>
  <c r="A4818" i="67"/>
  <c r="B4817" i="67"/>
  <c r="C4816" i="67" l="1"/>
  <c r="D4817" i="67"/>
  <c r="E4817" i="67"/>
  <c r="B4818" i="67"/>
  <c r="F4818" i="67"/>
  <c r="A4819" i="67"/>
  <c r="C4817" i="67" l="1"/>
  <c r="B4819" i="67"/>
  <c r="F4819" i="67"/>
  <c r="A4820" i="67"/>
  <c r="D4818" i="67"/>
  <c r="E4818" i="67"/>
  <c r="C4818" i="67" l="1"/>
  <c r="F4820" i="67"/>
  <c r="A4821" i="67"/>
  <c r="B4820" i="67"/>
  <c r="D4819" i="67"/>
  <c r="E4819" i="67"/>
  <c r="C4819" i="67" l="1"/>
  <c r="D4820" i="67"/>
  <c r="E4820" i="67"/>
  <c r="F4821" i="67"/>
  <c r="B4821" i="67"/>
  <c r="A4822" i="67"/>
  <c r="C4820" i="67" l="1"/>
  <c r="A4823" i="67"/>
  <c r="B4822" i="67"/>
  <c r="F4822" i="67"/>
  <c r="D4821" i="67"/>
  <c r="E4821" i="67"/>
  <c r="C4821" i="67" l="1"/>
  <c r="D4822" i="67"/>
  <c r="E4822" i="67"/>
  <c r="B4823" i="67"/>
  <c r="F4823" i="67"/>
  <c r="A4824" i="67"/>
  <c r="C4822" i="67" l="1"/>
  <c r="F4824" i="67"/>
  <c r="A4825" i="67"/>
  <c r="B4824" i="67"/>
  <c r="D4823" i="67"/>
  <c r="E4823" i="67"/>
  <c r="C4823" i="67" l="1"/>
  <c r="D4824" i="67"/>
  <c r="E4824" i="67"/>
  <c r="F4825" i="67"/>
  <c r="A4826" i="67"/>
  <c r="B4825" i="67"/>
  <c r="C4824" i="67" l="1"/>
  <c r="D4825" i="67"/>
  <c r="E4825" i="67"/>
  <c r="F4826" i="67"/>
  <c r="A4827" i="67"/>
  <c r="B4826" i="67"/>
  <c r="C4825" i="67" l="1"/>
  <c r="D4826" i="67"/>
  <c r="E4826" i="67"/>
  <c r="F4827" i="67"/>
  <c r="A4828" i="67"/>
  <c r="B4827" i="67"/>
  <c r="C4826" i="67" l="1"/>
  <c r="D4827" i="67"/>
  <c r="E4827" i="67"/>
  <c r="A4829" i="67"/>
  <c r="F4828" i="67"/>
  <c r="B4828" i="67"/>
  <c r="C4827" i="67" l="1"/>
  <c r="D4828" i="67"/>
  <c r="E4828" i="67"/>
  <c r="B4829" i="67"/>
  <c r="A4830" i="67"/>
  <c r="F4829" i="67"/>
  <c r="C4828" i="67" l="1"/>
  <c r="F4830" i="67"/>
  <c r="B4830" i="67"/>
  <c r="A4831" i="67"/>
  <c r="D4829" i="67"/>
  <c r="E4829" i="67"/>
  <c r="C4829" i="67" l="1"/>
  <c r="F4831" i="67"/>
  <c r="A4832" i="67"/>
  <c r="B4831" i="67"/>
  <c r="D4830" i="67"/>
  <c r="E4830" i="67"/>
  <c r="C4830" i="67" l="1"/>
  <c r="D4831" i="67"/>
  <c r="E4831" i="67"/>
  <c r="A4833" i="67"/>
  <c r="B4832" i="67"/>
  <c r="F4832" i="67"/>
  <c r="C4831" i="67" l="1"/>
  <c r="D4832" i="67"/>
  <c r="E4832" i="67"/>
  <c r="F4833" i="67"/>
  <c r="B4833" i="67"/>
  <c r="A4834" i="67"/>
  <c r="C4832" i="67" l="1"/>
  <c r="D4833" i="67"/>
  <c r="E4833" i="67"/>
  <c r="A4835" i="67"/>
  <c r="F4834" i="67"/>
  <c r="B4834" i="67"/>
  <c r="C4833" i="67" l="1"/>
  <c r="F4835" i="67"/>
  <c r="A4836" i="67"/>
  <c r="B4835" i="67"/>
  <c r="D4834" i="67"/>
  <c r="E4834" i="67"/>
  <c r="C4834" i="67" l="1"/>
  <c r="D4835" i="67"/>
  <c r="E4835" i="67"/>
  <c r="F4836" i="67"/>
  <c r="A4837" i="67"/>
  <c r="B4836" i="67"/>
  <c r="C4835" i="67" l="1"/>
  <c r="D4836" i="67"/>
  <c r="E4836" i="67"/>
  <c r="F4837" i="67"/>
  <c r="A4838" i="67"/>
  <c r="B4837" i="67"/>
  <c r="C4836" i="67" l="1"/>
  <c r="D4837" i="67"/>
  <c r="E4837" i="67"/>
  <c r="F4838" i="67"/>
  <c r="A4839" i="67"/>
  <c r="B4838" i="67"/>
  <c r="C4837" i="67" l="1"/>
  <c r="D4838" i="67"/>
  <c r="E4838" i="67"/>
  <c r="F4839" i="67"/>
  <c r="A4840" i="67"/>
  <c r="B4839" i="67"/>
  <c r="C4838" i="67" l="1"/>
  <c r="D4839" i="67"/>
  <c r="E4839" i="67"/>
  <c r="F4840" i="67"/>
  <c r="A4841" i="67"/>
  <c r="B4840" i="67"/>
  <c r="C4839" i="67" l="1"/>
  <c r="F4841" i="67"/>
  <c r="A4842" i="67"/>
  <c r="B4841" i="67"/>
  <c r="D4840" i="67"/>
  <c r="E4840" i="67"/>
  <c r="C4840" i="67" l="1"/>
  <c r="D4841" i="67"/>
  <c r="E4841" i="67"/>
  <c r="B4842" i="67"/>
  <c r="F4842" i="67"/>
  <c r="A4843" i="67"/>
  <c r="C4841" i="67" l="1"/>
  <c r="F4843" i="67"/>
  <c r="A4844" i="67"/>
  <c r="B4843" i="67"/>
  <c r="D4842" i="67"/>
  <c r="E4842" i="67"/>
  <c r="C4842" i="67" l="1"/>
  <c r="D4843" i="67"/>
  <c r="E4843" i="67"/>
  <c r="A4845" i="67"/>
  <c r="B4844" i="67"/>
  <c r="F4844" i="67"/>
  <c r="C4843" i="67" l="1"/>
  <c r="D4844" i="67"/>
  <c r="E4844" i="67"/>
  <c r="A4846" i="67"/>
  <c r="F4845" i="67"/>
  <c r="B4845" i="67"/>
  <c r="C4844" i="67" l="1"/>
  <c r="D4845" i="67"/>
  <c r="E4845" i="67"/>
  <c r="B4846" i="67"/>
  <c r="A4847" i="67"/>
  <c r="F4846" i="67"/>
  <c r="C4845" i="67" l="1"/>
  <c r="F4847" i="67"/>
  <c r="A4848" i="67"/>
  <c r="B4847" i="67"/>
  <c r="D4846" i="67"/>
  <c r="E4846" i="67"/>
  <c r="C4846" i="67" l="1"/>
  <c r="D4847" i="67"/>
  <c r="E4847" i="67"/>
  <c r="F4848" i="67"/>
  <c r="A4849" i="67"/>
  <c r="B4848" i="67"/>
  <c r="C4847" i="67" l="1"/>
  <c r="A4850" i="67"/>
  <c r="F4849" i="67"/>
  <c r="B4849" i="67"/>
  <c r="D4848" i="67"/>
  <c r="E4848" i="67"/>
  <c r="C4848" i="67" l="1"/>
  <c r="D4849" i="67"/>
  <c r="E4849" i="67"/>
  <c r="F4850" i="67"/>
  <c r="A4851" i="67"/>
  <c r="B4850" i="67"/>
  <c r="C4849" i="67" l="1"/>
  <c r="D4850" i="67"/>
  <c r="E4850" i="67"/>
  <c r="F4851" i="67"/>
  <c r="A4852" i="67"/>
  <c r="B4851" i="67"/>
  <c r="C4850" i="67" l="1"/>
  <c r="F4852" i="67"/>
  <c r="A4853" i="67"/>
  <c r="B4852" i="67"/>
  <c r="D4851" i="67"/>
  <c r="E4851" i="67"/>
  <c r="C4851" i="67" l="1"/>
  <c r="D4852" i="67"/>
  <c r="E4852" i="67"/>
  <c r="F4853" i="67"/>
  <c r="A4854" i="67"/>
  <c r="B4853" i="67"/>
  <c r="C4852" i="67" l="1"/>
  <c r="D4853" i="67"/>
  <c r="E4853" i="67"/>
  <c r="F4854" i="67"/>
  <c r="A4855" i="67"/>
  <c r="B4854" i="67"/>
  <c r="C4853" i="67" l="1"/>
  <c r="D4854" i="67"/>
  <c r="E4854" i="67"/>
  <c r="F4855" i="67"/>
  <c r="A4856" i="67"/>
  <c r="B4855" i="67"/>
  <c r="C4854" i="67" l="1"/>
  <c r="D4855" i="67"/>
  <c r="E4855" i="67"/>
  <c r="F4856" i="67"/>
  <c r="A4857" i="67"/>
  <c r="B4856" i="67"/>
  <c r="C4855" i="67" l="1"/>
  <c r="F4857" i="67"/>
  <c r="A4858" i="67"/>
  <c r="B4857" i="67"/>
  <c r="D4856" i="67"/>
  <c r="E4856" i="67"/>
  <c r="C4856" i="67" l="1"/>
  <c r="A4859" i="67"/>
  <c r="B4858" i="67"/>
  <c r="F4858" i="67"/>
  <c r="D4857" i="67"/>
  <c r="E4857" i="67"/>
  <c r="C4857" i="67" l="1"/>
  <c r="D4858" i="67"/>
  <c r="E4858" i="67"/>
  <c r="C4858" i="67" s="1"/>
  <c r="F4859" i="67"/>
  <c r="A4860" i="67"/>
  <c r="B4859" i="67"/>
  <c r="D4859" i="67" l="1"/>
  <c r="E4859" i="67"/>
  <c r="F4860" i="67"/>
  <c r="A4861" i="67"/>
  <c r="B4860" i="67"/>
  <c r="C4859" i="67" l="1"/>
  <c r="F4861" i="67"/>
  <c r="A4862" i="67"/>
  <c r="B4861" i="67"/>
  <c r="D4860" i="67"/>
  <c r="E4860" i="67"/>
  <c r="C4860" i="67" l="1"/>
  <c r="D4861" i="67"/>
  <c r="E4861" i="67"/>
  <c r="F4862" i="67"/>
  <c r="A4863" i="67"/>
  <c r="B4862" i="67"/>
  <c r="C4861" i="67" l="1"/>
  <c r="D4862" i="67"/>
  <c r="E4862" i="67"/>
  <c r="F4863" i="67"/>
  <c r="A4864" i="67"/>
  <c r="B4863" i="67"/>
  <c r="C4862" i="67" l="1"/>
  <c r="D4863" i="67"/>
  <c r="E4863" i="67"/>
  <c r="F4864" i="67"/>
  <c r="A4865" i="67"/>
  <c r="B4864" i="67"/>
  <c r="C4863" i="67" l="1"/>
  <c r="F4865" i="67"/>
  <c r="A4866" i="67"/>
  <c r="B4865" i="67"/>
  <c r="D4864" i="67"/>
  <c r="E4864" i="67"/>
  <c r="C4864" i="67" l="1"/>
  <c r="F4866" i="67"/>
  <c r="A4867" i="67"/>
  <c r="B4866" i="67"/>
  <c r="D4865" i="67"/>
  <c r="E4865" i="67"/>
  <c r="C4865" i="67" l="1"/>
  <c r="F4867" i="67"/>
  <c r="B4867" i="67"/>
  <c r="A4868" i="67"/>
  <c r="D4866" i="67"/>
  <c r="E4866" i="67"/>
  <c r="C4866" i="67" l="1"/>
  <c r="F4868" i="67"/>
  <c r="A4869" i="67"/>
  <c r="B4868" i="67"/>
  <c r="D4867" i="67"/>
  <c r="E4867" i="67"/>
  <c r="C4867" i="67" l="1"/>
  <c r="D4868" i="67"/>
  <c r="E4868" i="67"/>
  <c r="F4869" i="67"/>
  <c r="A4870" i="67"/>
  <c r="B4869" i="67"/>
  <c r="C4868" i="67" l="1"/>
  <c r="D4869" i="67"/>
  <c r="E4869" i="67"/>
  <c r="F4870" i="67"/>
  <c r="B4870" i="67"/>
  <c r="A4871" i="67"/>
  <c r="C4869" i="67" l="1"/>
  <c r="F4871" i="67"/>
  <c r="A4872" i="67"/>
  <c r="B4871" i="67"/>
  <c r="D4870" i="67"/>
  <c r="E4870" i="67"/>
  <c r="C4870" i="67" l="1"/>
  <c r="D4871" i="67"/>
  <c r="E4871" i="67"/>
  <c r="F4872" i="67"/>
  <c r="A4873" i="67"/>
  <c r="B4872" i="67"/>
  <c r="C4871" i="67" l="1"/>
  <c r="D4872" i="67"/>
  <c r="E4872" i="67"/>
  <c r="F4873" i="67"/>
  <c r="A4874" i="67"/>
  <c r="B4873" i="67"/>
  <c r="C4872" i="67" l="1"/>
  <c r="D4873" i="67"/>
  <c r="E4873" i="67"/>
  <c r="C4873" i="67" s="1"/>
  <c r="A4875" i="67"/>
  <c r="F4874" i="67"/>
  <c r="B4874" i="67"/>
  <c r="D4874" i="67" l="1"/>
  <c r="E4874" i="67"/>
  <c r="A4876" i="67"/>
  <c r="B4875" i="67"/>
  <c r="F4875" i="67"/>
  <c r="C4874" i="67" l="1"/>
  <c r="F4876" i="67"/>
  <c r="A4877" i="67"/>
  <c r="B4876" i="67"/>
  <c r="D4875" i="67"/>
  <c r="E4875" i="67"/>
  <c r="C4875" i="67" l="1"/>
  <c r="D4876" i="67"/>
  <c r="E4876" i="67"/>
  <c r="C4876" i="67" s="1"/>
  <c r="F4877" i="67"/>
  <c r="A4878" i="67"/>
  <c r="B4877" i="67"/>
  <c r="F4878" i="67" l="1"/>
  <c r="A4879" i="67"/>
  <c r="B4878" i="67"/>
  <c r="D4877" i="67"/>
  <c r="E4877" i="67"/>
  <c r="C4877" i="67" l="1"/>
  <c r="D4878" i="67"/>
  <c r="E4878" i="67"/>
  <c r="F4879" i="67"/>
  <c r="A4880" i="67"/>
  <c r="B4879" i="67"/>
  <c r="C4878" i="67" l="1"/>
  <c r="D4879" i="67"/>
  <c r="E4879" i="67"/>
  <c r="F4880" i="67"/>
  <c r="A4881" i="67"/>
  <c r="B4880" i="67"/>
  <c r="C4879" i="67" l="1"/>
  <c r="F4881" i="67"/>
  <c r="A4882" i="67"/>
  <c r="B4881" i="67"/>
  <c r="D4880" i="67"/>
  <c r="E4880" i="67"/>
  <c r="C4880" i="67" l="1"/>
  <c r="D4881" i="67"/>
  <c r="E4881" i="67"/>
  <c r="F4882" i="67"/>
  <c r="A4883" i="67"/>
  <c r="B4882" i="67"/>
  <c r="C4881" i="67" l="1"/>
  <c r="D4882" i="67"/>
  <c r="E4882" i="67"/>
  <c r="F4883" i="67"/>
  <c r="A4884" i="67"/>
  <c r="B4883" i="67"/>
  <c r="C4882" i="67" l="1"/>
  <c r="F4884" i="67"/>
  <c r="A4885" i="67"/>
  <c r="B4884" i="67"/>
  <c r="D4883" i="67"/>
  <c r="E4883" i="67"/>
  <c r="C4883" i="67" l="1"/>
  <c r="D4884" i="67"/>
  <c r="E4884" i="67"/>
  <c r="F4885" i="67"/>
  <c r="A4886" i="67"/>
  <c r="B4885" i="67"/>
  <c r="C4884" i="67" l="1"/>
  <c r="D4885" i="67"/>
  <c r="E4885" i="67"/>
  <c r="A4887" i="67"/>
  <c r="B4886" i="67"/>
  <c r="F4886" i="67"/>
  <c r="C4885" i="67" l="1"/>
  <c r="D4886" i="67"/>
  <c r="E4886" i="67"/>
  <c r="B4887" i="67"/>
  <c r="F4887" i="67"/>
  <c r="A4888" i="67"/>
  <c r="C4886" i="67" l="1"/>
  <c r="B4888" i="67"/>
  <c r="A4889" i="67"/>
  <c r="F4888" i="67"/>
  <c r="D4887" i="67"/>
  <c r="E4887" i="67"/>
  <c r="C4887" i="67" l="1"/>
  <c r="F4889" i="67"/>
  <c r="B4889" i="67"/>
  <c r="A4890" i="67"/>
  <c r="D4888" i="67"/>
  <c r="E4888" i="67"/>
  <c r="C4888" i="67" l="1"/>
  <c r="D4889" i="67"/>
  <c r="E4889" i="67"/>
  <c r="F4890" i="67"/>
  <c r="A4891" i="67"/>
  <c r="B4890" i="67"/>
  <c r="C4889" i="67" l="1"/>
  <c r="A4892" i="67"/>
  <c r="F4891" i="67"/>
  <c r="B4891" i="67"/>
  <c r="D4890" i="67"/>
  <c r="E4890" i="67"/>
  <c r="C4890" i="67" l="1"/>
  <c r="D4891" i="67"/>
  <c r="E4891" i="67"/>
  <c r="B4892" i="67"/>
  <c r="A4893" i="67"/>
  <c r="F4892" i="67"/>
  <c r="C4891" i="67" l="1"/>
  <c r="F4893" i="67"/>
  <c r="A4894" i="67"/>
  <c r="B4893" i="67"/>
  <c r="D4892" i="67"/>
  <c r="E4892" i="67"/>
  <c r="C4892" i="67" l="1"/>
  <c r="D4893" i="67"/>
  <c r="E4893" i="67"/>
  <c r="F4894" i="67"/>
  <c r="B4894" i="67"/>
  <c r="A4895" i="67"/>
  <c r="C4893" i="67" l="1"/>
  <c r="D4894" i="67"/>
  <c r="E4894" i="67"/>
  <c r="B4895" i="67"/>
  <c r="F4895" i="67"/>
  <c r="A4896" i="67"/>
  <c r="C4894" i="67" l="1"/>
  <c r="A4897" i="67"/>
  <c r="F4896" i="67"/>
  <c r="B4896" i="67"/>
  <c r="D4895" i="67"/>
  <c r="E4895" i="67"/>
  <c r="C4895" i="67" l="1"/>
  <c r="D4896" i="67"/>
  <c r="E4896" i="67"/>
  <c r="F4897" i="67"/>
  <c r="A4898" i="67"/>
  <c r="B4897" i="67"/>
  <c r="C4896" i="67" l="1"/>
  <c r="F4898" i="67"/>
  <c r="B4898" i="67"/>
  <c r="A4899" i="67"/>
  <c r="D4897" i="67"/>
  <c r="E4897" i="67"/>
  <c r="C4897" i="67" l="1"/>
  <c r="F4899" i="67"/>
  <c r="A4900" i="67"/>
  <c r="B4899" i="67"/>
  <c r="D4898" i="67"/>
  <c r="E4898" i="67"/>
  <c r="C4898" i="67" l="1"/>
  <c r="D4899" i="67"/>
  <c r="E4899" i="67"/>
  <c r="A4901" i="67"/>
  <c r="F4900" i="67"/>
  <c r="B4900" i="67"/>
  <c r="C4899" i="67" l="1"/>
  <c r="A4902" i="67"/>
  <c r="B4901" i="67"/>
  <c r="F4901" i="67"/>
  <c r="D4900" i="67"/>
  <c r="E4900" i="67"/>
  <c r="C4900" i="67" l="1"/>
  <c r="D4901" i="67"/>
  <c r="E4901" i="67"/>
  <c r="B4902" i="67"/>
  <c r="F4902" i="67"/>
  <c r="A4903" i="67"/>
  <c r="C4901" i="67" l="1"/>
  <c r="F4903" i="67"/>
  <c r="A4904" i="67"/>
  <c r="B4903" i="67"/>
  <c r="D4902" i="67"/>
  <c r="E4902" i="67"/>
  <c r="C4902" i="67" l="1"/>
  <c r="D4903" i="67"/>
  <c r="E4903" i="67"/>
  <c r="F4904" i="67"/>
  <c r="A4905" i="67"/>
  <c r="B4904" i="67"/>
  <c r="C4903" i="67" l="1"/>
  <c r="D4904" i="67"/>
  <c r="E4904" i="67"/>
  <c r="F4905" i="67"/>
  <c r="B4905" i="67"/>
  <c r="A4906" i="67"/>
  <c r="C4904" i="67" l="1"/>
  <c r="D4905" i="67"/>
  <c r="E4905" i="67"/>
  <c r="B4906" i="67"/>
  <c r="A4907" i="67"/>
  <c r="F4906" i="67"/>
  <c r="C4905" i="67" l="1"/>
  <c r="A4908" i="67"/>
  <c r="F4907" i="67"/>
  <c r="B4907" i="67"/>
  <c r="D4906" i="67"/>
  <c r="E4906" i="67"/>
  <c r="C4906" i="67" l="1"/>
  <c r="D4907" i="67"/>
  <c r="E4907" i="67"/>
  <c r="B4908" i="67"/>
  <c r="F4908" i="67"/>
  <c r="A4909" i="67"/>
  <c r="C4907" i="67" l="1"/>
  <c r="F4909" i="67"/>
  <c r="A4910" i="67"/>
  <c r="B4909" i="67"/>
  <c r="D4908" i="67"/>
  <c r="E4908" i="67"/>
  <c r="C4908" i="67" l="1"/>
  <c r="B4910" i="67"/>
  <c r="F4910" i="67"/>
  <c r="A4911" i="67"/>
  <c r="D4909" i="67"/>
  <c r="E4909" i="67"/>
  <c r="C4909" i="67" l="1"/>
  <c r="F4911" i="67"/>
  <c r="A4912" i="67"/>
  <c r="B4911" i="67"/>
  <c r="D4910" i="67"/>
  <c r="E4910" i="67"/>
  <c r="C4910" i="67" l="1"/>
  <c r="D4911" i="67"/>
  <c r="E4911" i="67"/>
  <c r="F4912" i="67"/>
  <c r="A4913" i="67"/>
  <c r="B4912" i="67"/>
  <c r="C4911" i="67" l="1"/>
  <c r="D4912" i="67"/>
  <c r="E4912" i="67"/>
  <c r="F4913" i="67"/>
  <c r="A4914" i="67"/>
  <c r="B4913" i="67"/>
  <c r="C4912" i="67" l="1"/>
  <c r="F4914" i="67"/>
  <c r="B4914" i="67"/>
  <c r="A4915" i="67"/>
  <c r="D4913" i="67"/>
  <c r="E4913" i="67"/>
  <c r="C4913" i="67" l="1"/>
  <c r="F4915" i="67"/>
  <c r="A4916" i="67"/>
  <c r="B4915" i="67"/>
  <c r="D4914" i="67"/>
  <c r="E4914" i="67"/>
  <c r="C4914" i="67" l="1"/>
  <c r="D4915" i="67"/>
  <c r="E4915" i="67"/>
  <c r="A4917" i="67"/>
  <c r="B4916" i="67"/>
  <c r="F4916" i="67"/>
  <c r="C4915" i="67" l="1"/>
  <c r="D4916" i="67"/>
  <c r="E4916" i="67"/>
  <c r="F4917" i="67"/>
  <c r="A4918" i="67"/>
  <c r="B4917" i="67"/>
  <c r="C4916" i="67" l="1"/>
  <c r="D4917" i="67"/>
  <c r="E4917" i="67"/>
  <c r="B4918" i="67"/>
  <c r="F4918" i="67"/>
  <c r="A4919" i="67"/>
  <c r="C4917" i="67" l="1"/>
  <c r="D4918" i="67"/>
  <c r="E4918" i="67"/>
  <c r="F4919" i="67"/>
  <c r="A4920" i="67"/>
  <c r="B4919" i="67"/>
  <c r="C4918" i="67" l="1"/>
  <c r="D4919" i="67"/>
  <c r="E4919" i="67"/>
  <c r="B4920" i="67"/>
  <c r="F4920" i="67"/>
  <c r="A4921" i="67"/>
  <c r="C4919" i="67" l="1"/>
  <c r="B4921" i="67"/>
  <c r="F4921" i="67"/>
  <c r="A4922" i="67"/>
  <c r="D4920" i="67"/>
  <c r="E4920" i="67"/>
  <c r="C4920" i="67" l="1"/>
  <c r="B4922" i="67"/>
  <c r="F4922" i="67"/>
  <c r="A4923" i="67"/>
  <c r="D4921" i="67"/>
  <c r="E4921" i="67"/>
  <c r="C4921" i="67" l="1"/>
  <c r="F4923" i="67"/>
  <c r="A4924" i="67"/>
  <c r="B4923" i="67"/>
  <c r="D4922" i="67"/>
  <c r="E4922" i="67"/>
  <c r="C4922" i="67" l="1"/>
  <c r="D4923" i="67"/>
  <c r="E4923" i="67"/>
  <c r="F4924" i="67"/>
  <c r="A4925" i="67"/>
  <c r="B4924" i="67"/>
  <c r="C4923" i="67" l="1"/>
  <c r="F4925" i="67"/>
  <c r="B4925" i="67"/>
  <c r="A4926" i="67"/>
  <c r="D4924" i="67"/>
  <c r="E4924" i="67"/>
  <c r="C4924" i="67" l="1"/>
  <c r="F4926" i="67"/>
  <c r="A4927" i="67"/>
  <c r="B4926" i="67"/>
  <c r="D4925" i="67"/>
  <c r="E4925" i="67"/>
  <c r="C4925" i="67" l="1"/>
  <c r="D4926" i="67"/>
  <c r="E4926" i="67"/>
  <c r="B4927" i="67"/>
  <c r="F4927" i="67"/>
  <c r="A4928" i="67"/>
  <c r="C4926" i="67" l="1"/>
  <c r="F4928" i="67"/>
  <c r="A4929" i="67"/>
  <c r="B4928" i="67"/>
  <c r="D4927" i="67"/>
  <c r="E4927" i="67"/>
  <c r="C4927" i="67" l="1"/>
  <c r="D4928" i="67"/>
  <c r="E4928" i="67"/>
  <c r="F4929" i="67"/>
  <c r="A4930" i="67"/>
  <c r="B4929" i="67"/>
  <c r="C4928" i="67" l="1"/>
  <c r="D4929" i="67"/>
  <c r="E4929" i="67"/>
  <c r="F4930" i="67"/>
  <c r="A4931" i="67"/>
  <c r="B4930" i="67"/>
  <c r="C4929" i="67" l="1"/>
  <c r="F4931" i="67"/>
  <c r="A4932" i="67"/>
  <c r="B4931" i="67"/>
  <c r="D4930" i="67"/>
  <c r="E4930" i="67"/>
  <c r="C4930" i="67" l="1"/>
  <c r="F4932" i="67"/>
  <c r="A4933" i="67"/>
  <c r="B4932" i="67"/>
  <c r="D4931" i="67"/>
  <c r="E4931" i="67"/>
  <c r="C4931" i="67" l="1"/>
  <c r="D4932" i="67"/>
  <c r="E4932" i="67"/>
  <c r="B4933" i="67"/>
  <c r="F4933" i="67"/>
  <c r="A4934" i="67"/>
  <c r="C4932" i="67" l="1"/>
  <c r="D4933" i="67"/>
  <c r="E4933" i="67"/>
  <c r="B4934" i="67"/>
  <c r="F4934" i="67"/>
  <c r="A4935" i="67"/>
  <c r="C4933" i="67" l="1"/>
  <c r="F4935" i="67"/>
  <c r="A4936" i="67"/>
  <c r="B4935" i="67"/>
  <c r="D4934" i="67"/>
  <c r="E4934" i="67"/>
  <c r="C4934" i="67" l="1"/>
  <c r="D4935" i="67"/>
  <c r="E4935" i="67"/>
  <c r="F4936" i="67"/>
  <c r="A4937" i="67"/>
  <c r="B4936" i="67"/>
  <c r="C4935" i="67" l="1"/>
  <c r="B4937" i="67"/>
  <c r="F4937" i="67"/>
  <c r="A4938" i="67"/>
  <c r="D4936" i="67"/>
  <c r="E4936" i="67"/>
  <c r="C4936" i="67" l="1"/>
  <c r="F4938" i="67"/>
  <c r="A4939" i="67"/>
  <c r="B4938" i="67"/>
  <c r="D4937" i="67"/>
  <c r="E4937" i="67"/>
  <c r="C4937" i="67" l="1"/>
  <c r="B4939" i="67"/>
  <c r="F4939" i="67"/>
  <c r="A4940" i="67"/>
  <c r="D4938" i="67"/>
  <c r="E4938" i="67"/>
  <c r="C4938" i="67" l="1"/>
  <c r="F4940" i="67"/>
  <c r="B4940" i="67"/>
  <c r="A4941" i="67"/>
  <c r="D4939" i="67"/>
  <c r="E4939" i="67"/>
  <c r="C4939" i="67" l="1"/>
  <c r="B4941" i="67"/>
  <c r="A4942" i="67"/>
  <c r="F4941" i="67"/>
  <c r="D4940" i="67"/>
  <c r="E4940" i="67"/>
  <c r="C4940" i="67" l="1"/>
  <c r="F4942" i="67"/>
  <c r="A4943" i="67"/>
  <c r="B4942" i="67"/>
  <c r="D4941" i="67"/>
  <c r="E4941" i="67"/>
  <c r="C4941" i="67" l="1"/>
  <c r="D4942" i="67"/>
  <c r="E4942" i="67"/>
  <c r="F4943" i="67"/>
  <c r="B4943" i="67"/>
  <c r="A4944" i="67"/>
  <c r="C4942" i="67" l="1"/>
  <c r="F4944" i="67"/>
  <c r="B4944" i="67"/>
  <c r="A4945" i="67"/>
  <c r="D4943" i="67"/>
  <c r="E4943" i="67"/>
  <c r="C4943" i="67" l="1"/>
  <c r="F4945" i="67"/>
  <c r="A4946" i="67"/>
  <c r="B4945" i="67"/>
  <c r="D4944" i="67"/>
  <c r="E4944" i="67"/>
  <c r="C4944" i="67" l="1"/>
  <c r="D4945" i="67"/>
  <c r="E4945" i="67"/>
  <c r="F4946" i="67"/>
  <c r="A4947" i="67"/>
  <c r="B4946" i="67"/>
  <c r="C4945" i="67" l="1"/>
  <c r="D4946" i="67"/>
  <c r="E4946" i="67"/>
  <c r="F4947" i="67"/>
  <c r="B4947" i="67"/>
  <c r="A4948" i="67"/>
  <c r="C4946" i="67" l="1"/>
  <c r="B4948" i="67"/>
  <c r="F4948" i="67"/>
  <c r="A4949" i="67"/>
  <c r="D4947" i="67"/>
  <c r="E4947" i="67"/>
  <c r="C4947" i="67" l="1"/>
  <c r="A4950" i="67"/>
  <c r="F4949" i="67"/>
  <c r="B4949" i="67"/>
  <c r="D4948" i="67"/>
  <c r="E4948" i="67"/>
  <c r="C4948" i="67" l="1"/>
  <c r="D4949" i="67"/>
  <c r="E4949" i="67"/>
  <c r="B4950" i="67"/>
  <c r="F4950" i="67"/>
  <c r="A4951" i="67"/>
  <c r="C4949" i="67" l="1"/>
  <c r="F4951" i="67"/>
  <c r="B4951" i="67"/>
  <c r="A4952" i="67"/>
  <c r="D4950" i="67"/>
  <c r="E4950" i="67"/>
  <c r="C4950" i="67" l="1"/>
  <c r="A4953" i="67"/>
  <c r="F4952" i="67"/>
  <c r="B4952" i="67"/>
  <c r="D4951" i="67"/>
  <c r="E4951" i="67"/>
  <c r="C4951" i="67" l="1"/>
  <c r="D4952" i="67"/>
  <c r="E4952" i="67"/>
  <c r="F4953" i="67"/>
  <c r="A4954" i="67"/>
  <c r="B4953" i="67"/>
  <c r="C4952" i="67" l="1"/>
  <c r="D4953" i="67"/>
  <c r="E4953" i="67"/>
  <c r="B4954" i="67"/>
  <c r="F4954" i="67"/>
  <c r="A4955" i="67"/>
  <c r="C4953" i="67" l="1"/>
  <c r="B4955" i="67"/>
  <c r="F4955" i="67"/>
  <c r="A4956" i="67"/>
  <c r="D4954" i="67"/>
  <c r="E4954" i="67"/>
  <c r="C4954" i="67" l="1"/>
  <c r="A4957" i="67"/>
  <c r="F4956" i="67"/>
  <c r="B4956" i="67"/>
  <c r="D4955" i="67"/>
  <c r="E4955" i="67"/>
  <c r="C4955" i="67" l="1"/>
  <c r="D4956" i="67"/>
  <c r="E4956" i="67"/>
  <c r="F4957" i="67"/>
  <c r="B4957" i="67"/>
  <c r="A4958" i="67"/>
  <c r="C4956" i="67" l="1"/>
  <c r="B4958" i="67"/>
  <c r="F4958" i="67"/>
  <c r="A4959" i="67"/>
  <c r="D4957" i="67"/>
  <c r="E4957" i="67"/>
  <c r="C4957" i="67" l="1"/>
  <c r="F4959" i="67"/>
  <c r="A4960" i="67"/>
  <c r="B4959" i="67"/>
  <c r="D4958" i="67"/>
  <c r="E4958" i="67"/>
  <c r="C4958" i="67" l="1"/>
  <c r="D4959" i="67"/>
  <c r="E4959" i="67"/>
  <c r="F4960" i="67"/>
  <c r="B4960" i="67"/>
  <c r="A4961" i="67"/>
  <c r="C4959" i="67" l="1"/>
  <c r="A4962" i="67"/>
  <c r="F4961" i="67"/>
  <c r="B4961" i="67"/>
  <c r="D4960" i="67"/>
  <c r="E4960" i="67"/>
  <c r="C4960" i="67" l="1"/>
  <c r="D4961" i="67"/>
  <c r="E4961" i="67"/>
  <c r="F4962" i="67"/>
  <c r="A4963" i="67"/>
  <c r="B4962" i="67"/>
  <c r="C4961" i="67" l="1"/>
  <c r="D4962" i="67"/>
  <c r="E4962" i="67"/>
  <c r="F4963" i="67"/>
  <c r="A4964" i="67"/>
  <c r="B4963" i="67"/>
  <c r="C4962" i="67" l="1"/>
  <c r="F4964" i="67"/>
  <c r="B4964" i="67"/>
  <c r="A4965" i="67"/>
  <c r="D4963" i="67"/>
  <c r="E4963" i="67"/>
  <c r="C4963" i="67" l="1"/>
  <c r="F4965" i="67"/>
  <c r="A4966" i="67"/>
  <c r="B4965" i="67"/>
  <c r="D4964" i="67"/>
  <c r="E4964" i="67"/>
  <c r="C4964" i="67" l="1"/>
  <c r="A4967" i="67"/>
  <c r="F4966" i="67"/>
  <c r="B4966" i="67"/>
  <c r="D4965" i="67"/>
  <c r="E4965" i="67"/>
  <c r="C4965" i="67" l="1"/>
  <c r="D4966" i="67"/>
  <c r="E4966" i="67"/>
  <c r="F4967" i="67"/>
  <c r="A4968" i="67"/>
  <c r="B4967" i="67"/>
  <c r="C4966" i="67" l="1"/>
  <c r="F4968" i="67"/>
  <c r="B4968" i="67"/>
  <c r="A4969" i="67"/>
  <c r="D4967" i="67"/>
  <c r="E4967" i="67"/>
  <c r="C4967" i="67" l="1"/>
  <c r="B4969" i="67"/>
  <c r="F4969" i="67"/>
  <c r="A4970" i="67"/>
  <c r="D4968" i="67"/>
  <c r="E4968" i="67"/>
  <c r="C4968" i="67" l="1"/>
  <c r="B4970" i="67"/>
  <c r="F4970" i="67"/>
  <c r="A4971" i="67"/>
  <c r="D4969" i="67"/>
  <c r="E4969" i="67"/>
  <c r="C4969" i="67" l="1"/>
  <c r="F4971" i="67"/>
  <c r="A4972" i="67"/>
  <c r="B4971" i="67"/>
  <c r="D4970" i="67"/>
  <c r="E4970" i="67"/>
  <c r="C4970" i="67" l="1"/>
  <c r="D4971" i="67"/>
  <c r="E4971" i="67"/>
  <c r="B4972" i="67"/>
  <c r="A4973" i="67"/>
  <c r="F4972" i="67"/>
  <c r="C4971" i="67" l="1"/>
  <c r="D4972" i="67"/>
  <c r="E4972" i="67"/>
  <c r="F4973" i="67"/>
  <c r="B4973" i="67"/>
  <c r="A4974" i="67"/>
  <c r="C4972" i="67" l="1"/>
  <c r="B4974" i="67"/>
  <c r="F4974" i="67"/>
  <c r="A4975" i="67"/>
  <c r="D4973" i="67"/>
  <c r="E4973" i="67"/>
  <c r="C4973" i="67" l="1"/>
  <c r="B4975" i="67"/>
  <c r="A4976" i="67"/>
  <c r="F4975" i="67"/>
  <c r="D4974" i="67"/>
  <c r="E4974" i="67"/>
  <c r="C4974" i="67" l="1"/>
  <c r="F4976" i="67"/>
  <c r="A4977" i="67"/>
  <c r="B4976" i="67"/>
  <c r="D4975" i="67"/>
  <c r="E4975" i="67"/>
  <c r="C4975" i="67" l="1"/>
  <c r="D4976" i="67"/>
  <c r="E4976" i="67"/>
  <c r="F4977" i="67"/>
  <c r="A4978" i="67"/>
  <c r="B4977" i="67"/>
  <c r="C4976" i="67" l="1"/>
  <c r="D4977" i="67"/>
  <c r="E4977" i="67"/>
  <c r="A4979" i="67"/>
  <c r="B4978" i="67"/>
  <c r="F4978" i="67"/>
  <c r="C4977" i="67" l="1"/>
  <c r="D4978" i="67"/>
  <c r="E4978" i="67"/>
  <c r="A4980" i="67"/>
  <c r="B4979" i="67"/>
  <c r="F4979" i="67"/>
  <c r="C4978" i="67" l="1"/>
  <c r="B4980" i="67"/>
  <c r="F4980" i="67"/>
  <c r="A4981" i="67"/>
  <c r="D4979" i="67"/>
  <c r="E4979" i="67"/>
  <c r="C4979" i="67" l="1"/>
  <c r="F4981" i="67"/>
  <c r="B4981" i="67"/>
  <c r="A4982" i="67"/>
  <c r="D4980" i="67"/>
  <c r="E4980" i="67"/>
  <c r="C4980" i="67" l="1"/>
  <c r="F4982" i="67"/>
  <c r="A4983" i="67"/>
  <c r="B4982" i="67"/>
  <c r="D4981" i="67"/>
  <c r="E4981" i="67"/>
  <c r="C4981" i="67" l="1"/>
  <c r="D4982" i="67"/>
  <c r="E4982" i="67"/>
  <c r="F4983" i="67"/>
  <c r="B4983" i="67"/>
  <c r="A4984" i="67"/>
  <c r="C4982" i="67" l="1"/>
  <c r="A4985" i="67"/>
  <c r="F4984" i="67"/>
  <c r="B4984" i="67"/>
  <c r="D4983" i="67"/>
  <c r="E4983" i="67"/>
  <c r="C4983" i="67" l="1"/>
  <c r="D4984" i="67"/>
  <c r="E4984" i="67"/>
  <c r="A4986" i="67"/>
  <c r="B4985" i="67"/>
  <c r="F4985" i="67"/>
  <c r="C4984" i="67" l="1"/>
  <c r="D4985" i="67"/>
  <c r="E4985" i="67"/>
  <c r="B4986" i="67"/>
  <c r="F4986" i="67"/>
  <c r="A4987" i="67"/>
  <c r="C4985" i="67" l="1"/>
  <c r="B4987" i="67"/>
  <c r="F4987" i="67"/>
  <c r="A4988" i="67"/>
  <c r="D4986" i="67"/>
  <c r="E4986" i="67"/>
  <c r="C4986" i="67" l="1"/>
  <c r="F4988" i="67"/>
  <c r="A4989" i="67"/>
  <c r="B4988" i="67"/>
  <c r="D4987" i="67"/>
  <c r="E4987" i="67"/>
  <c r="C4987" i="67" l="1"/>
  <c r="D4988" i="67"/>
  <c r="E4988" i="67"/>
  <c r="A4990" i="67"/>
  <c r="F4989" i="67"/>
  <c r="B4989" i="67"/>
  <c r="C4988" i="67" l="1"/>
  <c r="D4989" i="67"/>
  <c r="E4989" i="67"/>
  <c r="B4990" i="67"/>
  <c r="A4991" i="67"/>
  <c r="F4990" i="67"/>
  <c r="C4989" i="67" l="1"/>
  <c r="F4991" i="67"/>
  <c r="A4992" i="67"/>
  <c r="B4991" i="67"/>
  <c r="D4990" i="67"/>
  <c r="E4990" i="67"/>
  <c r="C4990" i="67" l="1"/>
  <c r="D4991" i="67"/>
  <c r="E4991" i="67"/>
  <c r="A4993" i="67"/>
  <c r="B4992" i="67"/>
  <c r="F4992" i="67"/>
  <c r="C4991" i="67" l="1"/>
  <c r="D4992" i="67"/>
  <c r="E4992" i="67"/>
  <c r="F4993" i="67"/>
  <c r="B4993" i="67"/>
  <c r="A4994" i="67"/>
  <c r="C4992" i="67" l="1"/>
  <c r="B4994" i="67"/>
  <c r="F4994" i="67"/>
  <c r="A4995" i="67"/>
  <c r="D4993" i="67"/>
  <c r="E4993" i="67"/>
  <c r="C4993" i="67" l="1"/>
  <c r="F4995" i="67"/>
  <c r="B4995" i="67"/>
  <c r="A4996" i="67"/>
  <c r="D4994" i="67"/>
  <c r="E4994" i="67"/>
  <c r="C4994" i="67" l="1"/>
  <c r="B4996" i="67"/>
  <c r="F4996" i="67"/>
  <c r="A4997" i="67"/>
  <c r="D4995" i="67"/>
  <c r="E4995" i="67"/>
  <c r="C4995" i="67" l="1"/>
  <c r="F4997" i="67"/>
  <c r="A4998" i="67"/>
  <c r="B4997" i="67"/>
  <c r="D4996" i="67"/>
  <c r="E4996" i="67"/>
  <c r="C4996" i="67" l="1"/>
  <c r="D4997" i="67"/>
  <c r="E4997" i="67"/>
  <c r="B4998" i="67"/>
  <c r="F4998" i="67"/>
  <c r="A4999" i="67"/>
  <c r="C4997" i="67" l="1"/>
  <c r="F4999" i="67"/>
  <c r="A5000" i="67"/>
  <c r="B4999" i="67"/>
  <c r="D4998" i="67"/>
  <c r="E4998" i="67"/>
  <c r="C4998" i="67" l="1"/>
  <c r="D4999" i="67"/>
  <c r="E4999" i="67"/>
  <c r="F5000" i="67"/>
  <c r="A5001" i="67"/>
  <c r="B5000" i="67"/>
  <c r="C4999" i="67" l="1"/>
  <c r="D5000" i="67"/>
  <c r="E5000" i="67"/>
  <c r="B5001" i="67"/>
  <c r="F5001" i="67"/>
  <c r="A5002" i="67"/>
  <c r="C5000" i="67" l="1"/>
  <c r="F5002" i="67"/>
  <c r="A5003" i="67"/>
  <c r="B5002" i="67"/>
  <c r="D5001" i="67"/>
  <c r="E5001" i="67"/>
  <c r="C5001" i="67" l="1"/>
  <c r="D5002" i="67"/>
  <c r="E5002" i="67"/>
  <c r="F5003" i="67"/>
  <c r="A5004" i="67"/>
  <c r="B5003" i="67"/>
  <c r="C5002" i="67" l="1"/>
  <c r="D5003" i="67"/>
  <c r="E5003" i="67"/>
  <c r="F5004" i="67"/>
  <c r="A5005" i="67"/>
  <c r="B5004" i="67"/>
  <c r="C5003" i="67" l="1"/>
  <c r="D5004" i="67"/>
  <c r="E5004" i="67"/>
  <c r="B5005" i="67"/>
  <c r="F5005" i="67"/>
  <c r="A5006" i="67"/>
  <c r="C5004" i="67" l="1"/>
  <c r="B5006" i="67"/>
  <c r="F5006" i="67"/>
  <c r="A5007" i="67"/>
  <c r="D5005" i="67"/>
  <c r="E5005" i="67"/>
  <c r="C5005" i="67" l="1"/>
  <c r="F5007" i="67"/>
  <c r="A5008" i="67"/>
  <c r="B5007" i="67"/>
  <c r="D5006" i="67"/>
  <c r="E5006" i="67"/>
  <c r="C5006" i="67" l="1"/>
  <c r="D5007" i="67"/>
  <c r="E5007" i="67"/>
  <c r="F5008" i="67"/>
  <c r="A5009" i="67"/>
  <c r="B5008" i="67"/>
  <c r="C5007" i="67" l="1"/>
  <c r="D5008" i="67"/>
  <c r="E5008" i="67"/>
  <c r="F5009" i="67"/>
  <c r="A5010" i="67"/>
  <c r="B5009" i="67"/>
  <c r="C5008" i="67" l="1"/>
  <c r="B5010" i="67"/>
  <c r="F5010" i="67"/>
  <c r="A5011" i="67"/>
  <c r="D5009" i="67"/>
  <c r="E5009" i="67"/>
  <c r="C5009" i="67" l="1"/>
  <c r="F5011" i="67"/>
  <c r="A5012" i="67"/>
  <c r="B5011" i="67"/>
  <c r="D5010" i="67"/>
  <c r="E5010" i="67"/>
  <c r="C5010" i="67" l="1"/>
  <c r="F5012" i="67"/>
  <c r="A5013" i="67"/>
  <c r="B5012" i="67"/>
  <c r="D5011" i="67"/>
  <c r="E5011" i="67"/>
  <c r="C5011" i="67" l="1"/>
  <c r="D5012" i="67"/>
  <c r="E5012" i="67"/>
  <c r="F5013" i="67"/>
  <c r="A5014" i="67"/>
  <c r="B5013" i="67"/>
  <c r="C5012" i="67" l="1"/>
  <c r="D5013" i="67"/>
  <c r="E5013" i="67"/>
  <c r="F5014" i="67"/>
  <c r="A5015" i="67"/>
  <c r="B5014" i="67"/>
  <c r="C5013" i="67" l="1"/>
  <c r="D5014" i="67"/>
  <c r="E5014" i="67"/>
  <c r="F5015" i="67"/>
  <c r="B5015" i="67"/>
  <c r="A5016" i="67"/>
  <c r="C5014" i="67" l="1"/>
  <c r="A5017" i="67"/>
  <c r="F5016" i="67"/>
  <c r="B5016" i="67"/>
  <c r="D5015" i="67"/>
  <c r="E5015" i="67"/>
  <c r="C5015" i="67" l="1"/>
  <c r="D5016" i="67"/>
  <c r="E5016" i="67"/>
  <c r="F5017" i="67"/>
  <c r="A5018" i="67"/>
  <c r="B5017" i="67"/>
  <c r="C5016" i="67" l="1"/>
  <c r="D5017" i="67"/>
  <c r="E5017" i="67"/>
  <c r="F5018" i="67"/>
  <c r="B5018" i="67"/>
  <c r="A5019" i="67"/>
  <c r="C5017" i="67" l="1"/>
  <c r="F5019" i="67"/>
  <c r="A5020" i="67"/>
  <c r="B5019" i="67"/>
  <c r="D5018" i="67"/>
  <c r="E5018" i="67"/>
  <c r="C5018" i="67" l="1"/>
  <c r="D5019" i="67"/>
  <c r="E5019" i="67"/>
  <c r="A5021" i="67"/>
  <c r="B5020" i="67"/>
  <c r="F5020" i="67"/>
  <c r="C5019" i="67" l="1"/>
  <c r="D5020" i="67"/>
  <c r="E5020" i="67"/>
  <c r="F5021" i="67"/>
  <c r="A5022" i="67"/>
  <c r="B5021" i="67"/>
  <c r="C5020" i="67" l="1"/>
  <c r="B5022" i="67"/>
  <c r="F5022" i="67"/>
  <c r="A5023" i="67"/>
  <c r="D5021" i="67"/>
  <c r="E5021" i="67"/>
  <c r="C5021" i="67" l="1"/>
  <c r="F5023" i="67"/>
  <c r="B5023" i="67"/>
  <c r="A5024" i="67"/>
  <c r="D5022" i="67"/>
  <c r="E5022" i="67"/>
  <c r="C5022" i="67" l="1"/>
  <c r="A5025" i="67"/>
  <c r="F5024" i="67"/>
  <c r="B5024" i="67"/>
  <c r="D5023" i="67"/>
  <c r="E5023" i="67"/>
  <c r="C5023" i="67" l="1"/>
  <c r="D5024" i="67"/>
  <c r="E5024" i="67"/>
  <c r="A5026" i="67"/>
  <c r="B5025" i="67"/>
  <c r="F5025" i="67"/>
  <c r="C5024" i="67" l="1"/>
  <c r="D5025" i="67"/>
  <c r="E5025" i="67"/>
  <c r="A5027" i="67"/>
  <c r="F5026" i="67"/>
  <c r="B5026" i="67"/>
  <c r="C5025" i="67" l="1"/>
  <c r="D5026" i="67"/>
  <c r="E5026" i="67"/>
  <c r="A5028" i="67"/>
  <c r="F5027" i="67"/>
  <c r="B5027" i="67"/>
  <c r="C5026" i="67" l="1"/>
  <c r="A5029" i="67"/>
  <c r="F5028" i="67"/>
  <c r="B5028" i="67"/>
  <c r="D5027" i="67"/>
  <c r="E5027" i="67"/>
  <c r="C5027" i="67" l="1"/>
  <c r="D5028" i="67"/>
  <c r="E5028" i="67"/>
  <c r="F5029" i="67"/>
  <c r="A5030" i="67"/>
  <c r="B5029" i="67"/>
  <c r="C5028" i="67" l="1"/>
  <c r="D5029" i="67"/>
  <c r="E5029" i="67"/>
  <c r="F5030" i="67"/>
  <c r="B5030" i="67"/>
  <c r="A5031" i="67"/>
  <c r="C5029" i="67" l="1"/>
  <c r="D5030" i="67"/>
  <c r="E5030" i="67"/>
  <c r="F5031" i="67"/>
  <c r="B5031" i="67"/>
  <c r="A5032" i="67"/>
  <c r="C5030" i="67" l="1"/>
  <c r="F5032" i="67"/>
  <c r="A5033" i="67"/>
  <c r="B5032" i="67"/>
  <c r="D5031" i="67"/>
  <c r="E5031" i="67"/>
  <c r="C5031" i="67" l="1"/>
  <c r="D5032" i="67"/>
  <c r="E5032" i="67"/>
  <c r="F5033" i="67"/>
  <c r="A5034" i="67"/>
  <c r="B5033" i="67"/>
  <c r="C5032" i="67" l="1"/>
  <c r="D5033" i="67"/>
  <c r="E5033" i="67"/>
  <c r="B5034" i="67"/>
  <c r="F5034" i="67"/>
  <c r="A5035" i="67"/>
  <c r="C5033" i="67" l="1"/>
  <c r="D5034" i="67"/>
  <c r="E5034" i="67"/>
  <c r="B5035" i="67"/>
  <c r="F5035" i="67"/>
  <c r="A5036" i="67"/>
  <c r="C5034" i="67" l="1"/>
  <c r="F5036" i="67"/>
  <c r="B5036" i="67"/>
  <c r="A5037" i="67"/>
  <c r="D5035" i="67"/>
  <c r="E5035" i="67"/>
  <c r="C5035" i="67" l="1"/>
  <c r="F5037" i="67"/>
  <c r="B5037" i="67"/>
  <c r="A5038" i="67"/>
  <c r="D5036" i="67"/>
  <c r="E5036" i="67"/>
  <c r="C5036" i="67" l="1"/>
  <c r="F5038" i="67"/>
  <c r="A5039" i="67"/>
  <c r="B5038" i="67"/>
  <c r="D5037" i="67"/>
  <c r="E5037" i="67"/>
  <c r="C5037" i="67" l="1"/>
  <c r="D5038" i="67"/>
  <c r="E5038" i="67"/>
  <c r="F5039" i="67"/>
  <c r="B5039" i="67"/>
  <c r="A5040" i="67"/>
  <c r="C5038" i="67" l="1"/>
  <c r="B5040" i="67"/>
  <c r="F5040" i="67"/>
  <c r="A5041" i="67"/>
  <c r="D5039" i="67"/>
  <c r="E5039" i="67"/>
  <c r="C5039" i="67" l="1"/>
  <c r="F5041" i="67"/>
  <c r="A5042" i="67"/>
  <c r="B5041" i="67"/>
  <c r="D5040" i="67"/>
  <c r="E5040" i="67"/>
  <c r="C5040" i="67" l="1"/>
  <c r="D5041" i="67"/>
  <c r="E5041" i="67"/>
  <c r="F5042" i="67"/>
  <c r="B5042" i="67"/>
  <c r="A5043" i="67"/>
  <c r="C5041" i="67" l="1"/>
  <c r="D5042" i="67"/>
  <c r="E5042" i="67"/>
  <c r="F5043" i="67"/>
  <c r="B5043" i="67"/>
  <c r="A5044" i="67"/>
  <c r="C5042" i="67" l="1"/>
  <c r="D5043" i="67"/>
  <c r="E5043" i="67"/>
  <c r="F5044" i="67"/>
  <c r="B5044" i="67"/>
  <c r="A5045" i="67"/>
  <c r="C5043" i="67" l="1"/>
  <c r="F5045" i="67"/>
  <c r="B5045" i="67"/>
  <c r="A5046" i="67"/>
  <c r="D5044" i="67"/>
  <c r="E5044" i="67"/>
  <c r="C5044" i="67" l="1"/>
  <c r="F5046" i="67"/>
  <c r="B5046" i="67"/>
  <c r="A5047" i="67"/>
  <c r="D5045" i="67"/>
  <c r="E5045" i="67"/>
  <c r="C5045" i="67" l="1"/>
  <c r="B5047" i="67"/>
  <c r="F5047" i="67"/>
  <c r="A5048" i="67"/>
  <c r="D5046" i="67"/>
  <c r="E5046" i="67"/>
  <c r="C5046" i="67" l="1"/>
  <c r="F5048" i="67"/>
  <c r="B5048" i="67"/>
  <c r="A5049" i="67"/>
  <c r="D5047" i="67"/>
  <c r="E5047" i="67"/>
  <c r="C5047" i="67" l="1"/>
  <c r="F5049" i="67"/>
  <c r="A5050" i="67"/>
  <c r="B5049" i="67"/>
  <c r="D5048" i="67"/>
  <c r="E5048" i="67"/>
  <c r="C5048" i="67" l="1"/>
  <c r="D5049" i="67"/>
  <c r="E5049" i="67"/>
  <c r="F5050" i="67"/>
  <c r="B5050" i="67"/>
  <c r="A5051" i="67"/>
  <c r="C5049" i="67" l="1"/>
  <c r="A5052" i="67"/>
  <c r="B5051" i="67"/>
  <c r="F5051" i="67"/>
  <c r="D5050" i="67"/>
  <c r="E5050" i="67"/>
  <c r="C5050" i="67" l="1"/>
  <c r="D5051" i="67"/>
  <c r="E5051" i="67"/>
  <c r="B5052" i="67"/>
  <c r="F5052" i="67"/>
  <c r="A5053" i="67"/>
  <c r="C5051" i="67" l="1"/>
  <c r="A5054" i="67"/>
  <c r="B5053" i="67"/>
  <c r="F5053" i="67"/>
  <c r="D5052" i="67"/>
  <c r="E5052" i="67"/>
  <c r="C5052" i="67" l="1"/>
  <c r="D5053" i="67"/>
  <c r="E5053" i="67"/>
  <c r="F5054" i="67"/>
  <c r="B5054" i="67"/>
  <c r="A5055" i="67"/>
  <c r="C5053" i="67" l="1"/>
  <c r="F5055" i="67"/>
  <c r="B5055" i="67"/>
  <c r="A5056" i="67"/>
  <c r="D5054" i="67"/>
  <c r="E5054" i="67"/>
  <c r="C5054" i="67" l="1"/>
  <c r="F5056" i="67"/>
  <c r="B5056" i="67"/>
  <c r="A5057" i="67"/>
  <c r="D5055" i="67"/>
  <c r="E5055" i="67"/>
  <c r="C5055" i="67" l="1"/>
  <c r="F5057" i="67"/>
  <c r="B5057" i="67"/>
  <c r="A5058" i="67"/>
  <c r="D5056" i="67"/>
  <c r="E5056" i="67"/>
  <c r="C5056" i="67" l="1"/>
  <c r="B5058" i="67"/>
  <c r="A5059" i="67"/>
  <c r="F5058" i="67"/>
  <c r="D5057" i="67"/>
  <c r="E5057" i="67"/>
  <c r="C5057" i="67" l="1"/>
  <c r="F5059" i="67"/>
  <c r="B5059" i="67"/>
  <c r="A5060" i="67"/>
  <c r="D5058" i="67"/>
  <c r="E5058" i="67"/>
  <c r="C5058" i="67" l="1"/>
  <c r="F5060" i="67"/>
  <c r="A5061" i="67"/>
  <c r="B5060" i="67"/>
  <c r="D5059" i="67"/>
  <c r="E5059" i="67"/>
  <c r="C5059" i="67" l="1"/>
  <c r="D5060" i="67"/>
  <c r="E5060" i="67"/>
  <c r="B5061" i="67"/>
  <c r="F5061" i="67"/>
  <c r="A5062" i="67"/>
  <c r="C5060" i="67" l="1"/>
  <c r="F5062" i="67"/>
  <c r="A5063" i="67"/>
  <c r="B5062" i="67"/>
  <c r="D5061" i="67"/>
  <c r="E5061" i="67"/>
  <c r="C5061" i="67" l="1"/>
  <c r="D5062" i="67"/>
  <c r="E5062" i="67"/>
  <c r="F5063" i="67"/>
  <c r="B5063" i="67"/>
  <c r="A5064" i="67"/>
  <c r="C5062" i="67" l="1"/>
  <c r="B5064" i="67"/>
  <c r="F5064" i="67"/>
  <c r="A5065" i="67"/>
  <c r="D5063" i="67"/>
  <c r="E5063" i="67"/>
  <c r="C5063" i="67" l="1"/>
  <c r="B5065" i="67"/>
  <c r="F5065" i="67"/>
  <c r="A5066" i="67"/>
  <c r="D5064" i="67"/>
  <c r="E5064" i="67"/>
  <c r="C5064" i="67" l="1"/>
  <c r="F5066" i="67"/>
  <c r="B5066" i="67"/>
  <c r="A5067" i="67"/>
  <c r="D5065" i="67"/>
  <c r="E5065" i="67"/>
  <c r="C5065" i="67" l="1"/>
  <c r="F5067" i="67"/>
  <c r="A5068" i="67"/>
  <c r="B5067" i="67"/>
  <c r="D5066" i="67"/>
  <c r="E5066" i="67"/>
  <c r="C5066" i="67" l="1"/>
  <c r="D5067" i="67"/>
  <c r="E5067" i="67"/>
  <c r="B5068" i="67"/>
  <c r="F5068" i="67"/>
  <c r="A5069" i="67"/>
  <c r="C5067" i="67" l="1"/>
  <c r="A5070" i="67"/>
  <c r="B5069" i="67"/>
  <c r="F5069" i="67"/>
  <c r="D5068" i="67"/>
  <c r="E5068" i="67"/>
  <c r="C5068" i="67" l="1"/>
  <c r="D5069" i="67"/>
  <c r="E5069" i="67"/>
  <c r="F5070" i="67"/>
  <c r="A5071" i="67"/>
  <c r="B5070" i="67"/>
  <c r="C5069" i="67" l="1"/>
  <c r="D5070" i="67"/>
  <c r="E5070" i="67"/>
  <c r="A5072" i="67"/>
  <c r="F5071" i="67"/>
  <c r="B5071" i="67"/>
  <c r="C5070" i="67" l="1"/>
  <c r="D5071" i="67"/>
  <c r="E5071" i="67"/>
  <c r="B5072" i="67"/>
  <c r="F5072" i="67"/>
  <c r="A5073" i="67"/>
  <c r="C5071" i="67" l="1"/>
  <c r="B5073" i="67"/>
  <c r="F5073" i="67"/>
  <c r="A5074" i="67"/>
  <c r="D5072" i="67"/>
  <c r="E5072" i="67"/>
  <c r="C5072" i="67" l="1"/>
  <c r="F5074" i="67"/>
  <c r="A5075" i="67"/>
  <c r="B5074" i="67"/>
  <c r="D5073" i="67"/>
  <c r="E5073" i="67"/>
  <c r="C5073" i="67" l="1"/>
  <c r="D5074" i="67"/>
  <c r="E5074" i="67"/>
  <c r="B5075" i="67"/>
  <c r="A5076" i="67"/>
  <c r="F5075" i="67"/>
  <c r="C5074" i="67" l="1"/>
  <c r="D5075" i="67"/>
  <c r="E5075" i="67"/>
  <c r="B5076" i="67"/>
  <c r="A5077" i="67"/>
  <c r="F5076" i="67"/>
  <c r="C5075" i="67" l="1"/>
  <c r="D5076" i="67"/>
  <c r="E5076" i="67"/>
  <c r="B5077" i="67"/>
  <c r="F5077" i="67"/>
  <c r="A5078" i="67"/>
  <c r="C5076" i="67" l="1"/>
  <c r="F5078" i="67"/>
  <c r="B5078" i="67"/>
  <c r="A5079" i="67"/>
  <c r="D5077" i="67"/>
  <c r="E5077" i="67"/>
  <c r="C5077" i="67" l="1"/>
  <c r="F5079" i="67"/>
  <c r="B5079" i="67"/>
  <c r="A5080" i="67"/>
  <c r="D5078" i="67"/>
  <c r="E5078" i="67"/>
  <c r="C5078" i="67" l="1"/>
  <c r="A5081" i="67"/>
  <c r="F5080" i="67"/>
  <c r="B5080" i="67"/>
  <c r="D5079" i="67"/>
  <c r="E5079" i="67"/>
  <c r="C5079" i="67" l="1"/>
  <c r="D5080" i="67"/>
  <c r="E5080" i="67"/>
  <c r="F5081" i="67"/>
  <c r="B5081" i="67"/>
  <c r="A5082" i="67"/>
  <c r="C5080" i="67" l="1"/>
  <c r="B5082" i="67"/>
  <c r="A5083" i="67"/>
  <c r="F5082" i="67"/>
  <c r="D5081" i="67"/>
  <c r="E5081" i="67"/>
  <c r="C5081" i="67" l="1"/>
  <c r="F5083" i="67"/>
  <c r="B5083" i="67"/>
  <c r="A5084" i="67"/>
  <c r="D5082" i="67"/>
  <c r="E5082" i="67"/>
  <c r="C5082" i="67" l="1"/>
  <c r="F5084" i="67"/>
  <c r="B5084" i="67"/>
  <c r="A5085" i="67"/>
  <c r="D5083" i="67"/>
  <c r="E5083" i="67"/>
  <c r="C5083" i="67" l="1"/>
  <c r="F5085" i="67"/>
  <c r="B5085" i="67"/>
  <c r="A5086" i="67"/>
  <c r="D5084" i="67"/>
  <c r="E5084" i="67"/>
  <c r="C5084" i="67" l="1"/>
  <c r="A5087" i="67"/>
  <c r="F5086" i="67"/>
  <c r="B5086" i="67"/>
  <c r="D5085" i="67"/>
  <c r="E5085" i="67"/>
  <c r="C5085" i="67" l="1"/>
  <c r="D5086" i="67"/>
  <c r="E5086" i="67"/>
  <c r="B5087" i="67"/>
  <c r="F5087" i="67"/>
  <c r="A5088" i="67"/>
  <c r="C5086" i="67" l="1"/>
  <c r="D5087" i="67"/>
  <c r="E5087" i="67"/>
  <c r="F5088" i="67"/>
  <c r="B5088" i="67"/>
  <c r="A5089" i="67"/>
  <c r="C5087" i="67" l="1"/>
  <c r="B5089" i="67"/>
  <c r="F5089" i="67"/>
  <c r="A5090" i="67"/>
  <c r="D5088" i="67"/>
  <c r="E5088" i="67"/>
  <c r="C5088" i="67" l="1"/>
  <c r="A5091" i="67"/>
  <c r="B5090" i="67"/>
  <c r="F5090" i="67"/>
  <c r="D5089" i="67"/>
  <c r="E5089" i="67"/>
  <c r="C5089" i="67" l="1"/>
  <c r="D5090" i="67"/>
  <c r="E5090" i="67"/>
  <c r="F5091" i="67"/>
  <c r="A5092" i="67"/>
  <c r="B5091" i="67"/>
  <c r="C5090" i="67" l="1"/>
  <c r="D5091" i="67"/>
  <c r="E5091" i="67"/>
  <c r="F5092" i="67"/>
  <c r="A5093" i="67"/>
  <c r="B5092" i="67"/>
  <c r="C5091" i="67" l="1"/>
  <c r="B5093" i="67"/>
  <c r="F5093" i="67"/>
  <c r="A5094" i="67"/>
  <c r="D5092" i="67"/>
  <c r="E5092" i="67"/>
  <c r="C5092" i="67" l="1"/>
  <c r="B5094" i="67"/>
  <c r="F5094" i="67"/>
  <c r="A5095" i="67"/>
  <c r="D5093" i="67"/>
  <c r="E5093" i="67"/>
  <c r="C5093" i="67" l="1"/>
  <c r="F5095" i="67"/>
  <c r="B5095" i="67"/>
  <c r="A5096" i="67"/>
  <c r="D5094" i="67"/>
  <c r="E5094" i="67"/>
  <c r="C5094" i="67" l="1"/>
  <c r="A5097" i="67"/>
  <c r="F5096" i="67"/>
  <c r="B5096" i="67"/>
  <c r="D5095" i="67"/>
  <c r="E5095" i="67"/>
  <c r="C5095" i="67" l="1"/>
  <c r="D5096" i="67"/>
  <c r="E5096" i="67"/>
  <c r="A5098" i="67"/>
  <c r="F5097" i="67"/>
  <c r="B5097" i="67"/>
  <c r="C5096" i="67" l="1"/>
  <c r="D5097" i="67"/>
  <c r="E5097" i="67"/>
  <c r="F5098" i="67"/>
  <c r="B5098" i="67"/>
  <c r="A5099" i="67"/>
  <c r="C5097" i="67" l="1"/>
  <c r="F5099" i="67"/>
  <c r="A5100" i="67"/>
  <c r="B5099" i="67"/>
  <c r="D5098" i="67"/>
  <c r="E5098" i="67"/>
  <c r="C5098" i="67" l="1"/>
  <c r="D5099" i="67"/>
  <c r="E5099" i="67"/>
  <c r="B5100" i="67"/>
  <c r="F5100" i="67"/>
  <c r="A5101" i="67"/>
  <c r="C5099" i="67" l="1"/>
  <c r="D5100" i="67"/>
  <c r="E5100" i="67"/>
  <c r="F5101" i="67"/>
  <c r="B5101" i="67"/>
  <c r="A5102" i="67"/>
  <c r="C5100" i="67" l="1"/>
  <c r="D5101" i="67"/>
  <c r="E5101" i="67"/>
  <c r="A5103" i="67"/>
  <c r="F5102" i="67"/>
  <c r="B5102" i="67"/>
  <c r="C5101" i="67" l="1"/>
  <c r="D5102" i="67"/>
  <c r="E5102" i="67"/>
  <c r="A5104" i="67"/>
  <c r="F5103" i="67"/>
  <c r="B5103" i="67"/>
  <c r="C5102" i="67" l="1"/>
  <c r="D5103" i="67"/>
  <c r="E5103" i="67"/>
  <c r="A5105" i="67"/>
  <c r="B5104" i="67"/>
  <c r="F5104" i="67"/>
  <c r="C5103" i="67" l="1"/>
  <c r="D5104" i="67"/>
  <c r="E5104" i="67"/>
  <c r="F5105" i="67"/>
  <c r="B5105" i="67"/>
  <c r="A5106" i="67"/>
  <c r="C5104" i="67" l="1"/>
  <c r="D5105" i="67"/>
  <c r="E5105" i="67"/>
  <c r="B5106" i="67"/>
  <c r="F5106" i="67"/>
  <c r="A5107" i="67"/>
  <c r="C5105" i="67" l="1"/>
  <c r="F5107" i="67"/>
  <c r="A5108" i="67"/>
  <c r="B5107" i="67"/>
  <c r="D5106" i="67"/>
  <c r="E5106" i="67"/>
  <c r="C5106" i="67" l="1"/>
  <c r="D5107" i="67"/>
  <c r="E5107" i="67"/>
  <c r="F5108" i="67"/>
  <c r="B5108" i="67"/>
  <c r="A5109" i="67"/>
  <c r="C5107" i="67" l="1"/>
  <c r="F5109" i="67"/>
  <c r="A5110" i="67"/>
  <c r="B5109" i="67"/>
  <c r="D5108" i="67"/>
  <c r="E5108" i="67"/>
  <c r="C5108" i="67" l="1"/>
  <c r="D5109" i="67"/>
  <c r="E5109" i="67"/>
  <c r="F5110" i="67"/>
  <c r="A5111" i="67"/>
  <c r="B5110" i="67"/>
  <c r="C5109" i="67" l="1"/>
  <c r="D5110" i="67"/>
  <c r="E5110" i="67"/>
  <c r="B5111" i="67"/>
  <c r="A5112" i="67"/>
  <c r="F5111" i="67"/>
  <c r="C5110" i="67" l="1"/>
  <c r="B5112" i="67"/>
  <c r="F5112" i="67"/>
  <c r="A5113" i="67"/>
  <c r="D5111" i="67"/>
  <c r="E5111" i="67"/>
  <c r="C5111" i="67" l="1"/>
  <c r="F5113" i="67"/>
  <c r="A5114" i="67"/>
  <c r="B5113" i="67"/>
  <c r="D5112" i="67"/>
  <c r="E5112" i="67"/>
  <c r="C5112" i="67" l="1"/>
  <c r="B5114" i="67"/>
  <c r="F5114" i="67"/>
  <c r="A5115" i="67"/>
  <c r="D5113" i="67"/>
  <c r="E5113" i="67"/>
  <c r="C5113" i="67" l="1"/>
  <c r="B5115" i="67"/>
  <c r="F5115" i="67"/>
  <c r="A5116" i="67"/>
  <c r="D5114" i="67"/>
  <c r="E5114" i="67"/>
  <c r="C5114" i="67" l="1"/>
  <c r="F5116" i="67"/>
  <c r="B5116" i="67"/>
  <c r="A5117" i="67"/>
  <c r="D5115" i="67"/>
  <c r="E5115" i="67"/>
  <c r="C5115" i="67" l="1"/>
  <c r="A5118" i="67"/>
  <c r="F5117" i="67"/>
  <c r="B5117" i="67"/>
  <c r="D5116" i="67"/>
  <c r="E5116" i="67"/>
  <c r="C5116" i="67" l="1"/>
  <c r="D5117" i="67"/>
  <c r="E5117" i="67"/>
  <c r="F5118" i="67"/>
  <c r="A5119" i="67"/>
  <c r="B5118" i="67"/>
  <c r="C5117" i="67" l="1"/>
  <c r="D5118" i="67"/>
  <c r="E5118" i="67"/>
  <c r="F5119" i="67"/>
  <c r="A5120" i="67"/>
  <c r="B5119" i="67"/>
  <c r="C5118" i="67" l="1"/>
  <c r="F5120" i="67"/>
  <c r="B5120" i="67"/>
  <c r="A5121" i="67"/>
  <c r="D5119" i="67"/>
  <c r="E5119" i="67"/>
  <c r="C5119" i="67" l="1"/>
  <c r="A5122" i="67"/>
  <c r="B5121" i="67"/>
  <c r="F5121" i="67"/>
  <c r="D5120" i="67"/>
  <c r="E5120" i="67"/>
  <c r="C5120" i="67" l="1"/>
  <c r="D5121" i="67"/>
  <c r="E5121" i="67"/>
  <c r="F5122" i="67"/>
  <c r="A5123" i="67"/>
  <c r="B5122" i="67"/>
  <c r="C5121" i="67" l="1"/>
  <c r="D5122" i="67"/>
  <c r="E5122" i="67"/>
  <c r="A5124" i="67"/>
  <c r="B5123" i="67"/>
  <c r="F5123" i="67"/>
  <c r="C5122" i="67" l="1"/>
  <c r="D5123" i="67"/>
  <c r="E5123" i="67"/>
  <c r="A5125" i="67"/>
  <c r="F5124" i="67"/>
  <c r="B5124" i="67"/>
  <c r="C5123" i="67" l="1"/>
  <c r="D5124" i="67"/>
  <c r="E5124" i="67"/>
  <c r="F5125" i="67"/>
  <c r="B5125" i="67"/>
  <c r="A5126" i="67"/>
  <c r="C5124" i="67" l="1"/>
  <c r="A5127" i="67"/>
  <c r="F5126" i="67"/>
  <c r="B5126" i="67"/>
  <c r="D5125" i="67"/>
  <c r="E5125" i="67"/>
  <c r="C5125" i="67" l="1"/>
  <c r="D5126" i="67"/>
  <c r="E5126" i="67"/>
  <c r="F5127" i="67"/>
  <c r="A5128" i="67"/>
  <c r="B5127" i="67"/>
  <c r="C5126" i="67" l="1"/>
  <c r="B5128" i="67"/>
  <c r="F5128" i="67"/>
  <c r="A5129" i="67"/>
  <c r="D5127" i="67"/>
  <c r="E5127" i="67"/>
  <c r="C5127" i="67" l="1"/>
  <c r="A5130" i="67"/>
  <c r="F5129" i="67"/>
  <c r="B5129" i="67"/>
  <c r="D5128" i="67"/>
  <c r="E5128" i="67"/>
  <c r="C5128" i="67" l="1"/>
  <c r="D5129" i="67"/>
  <c r="E5129" i="67"/>
  <c r="B5130" i="67"/>
  <c r="A5131" i="67"/>
  <c r="F5130" i="67"/>
  <c r="C5129" i="67" l="1"/>
  <c r="F5131" i="67"/>
  <c r="A5132" i="67"/>
  <c r="B5131" i="67"/>
  <c r="D5130" i="67"/>
  <c r="E5130" i="67"/>
  <c r="C5130" i="67" l="1"/>
  <c r="D5131" i="67"/>
  <c r="E5131" i="67"/>
  <c r="F5132" i="67"/>
  <c r="A5133" i="67"/>
  <c r="B5132" i="67"/>
  <c r="C5131" i="67" l="1"/>
  <c r="D5132" i="67"/>
  <c r="E5132" i="67"/>
  <c r="B5133" i="67"/>
  <c r="F5133" i="67"/>
  <c r="A5134" i="67"/>
  <c r="C5132" i="67" l="1"/>
  <c r="F5134" i="67"/>
  <c r="B5134" i="67"/>
  <c r="A5135" i="67"/>
  <c r="D5133" i="67"/>
  <c r="E5133" i="67"/>
  <c r="C5133" i="67" l="1"/>
  <c r="F5135" i="67"/>
  <c r="B5135" i="67"/>
  <c r="A5136" i="67"/>
  <c r="D5134" i="67"/>
  <c r="E5134" i="67"/>
  <c r="C5134" i="67" l="1"/>
  <c r="F5136" i="67"/>
  <c r="A5137" i="67"/>
  <c r="B5136" i="67"/>
  <c r="D5135" i="67"/>
  <c r="E5135" i="67"/>
  <c r="C5135" i="67" l="1"/>
  <c r="D5136" i="67"/>
  <c r="E5136" i="67"/>
  <c r="B5137" i="67"/>
  <c r="F5137" i="67"/>
  <c r="A5138" i="67"/>
  <c r="C5136" i="67" l="1"/>
  <c r="D5137" i="67"/>
  <c r="E5137" i="67"/>
  <c r="B5138" i="67"/>
  <c r="A5139" i="67"/>
  <c r="F5138" i="67"/>
  <c r="C5137" i="67" l="1"/>
  <c r="F5139" i="67"/>
  <c r="B5139" i="67"/>
  <c r="A5140" i="67"/>
  <c r="D5138" i="67"/>
  <c r="E5138" i="67"/>
  <c r="C5138" i="67" l="1"/>
  <c r="F5140" i="67"/>
  <c r="A5141" i="67"/>
  <c r="B5140" i="67"/>
  <c r="D5139" i="67"/>
  <c r="E5139" i="67"/>
  <c r="C5139" i="67" l="1"/>
  <c r="D5140" i="67"/>
  <c r="E5140" i="67"/>
  <c r="B5141" i="67"/>
  <c r="F5141" i="67"/>
  <c r="A5142" i="67"/>
  <c r="C5140" i="67" l="1"/>
  <c r="D5141" i="67"/>
  <c r="E5141" i="67"/>
  <c r="B5142" i="67"/>
  <c r="F5142" i="67"/>
  <c r="A5143" i="67"/>
  <c r="C5141" i="67" l="1"/>
  <c r="F5143" i="67"/>
  <c r="A5144" i="67"/>
  <c r="B5143" i="67"/>
  <c r="D5142" i="67"/>
  <c r="E5142" i="67"/>
  <c r="C5142" i="67" l="1"/>
  <c r="D5143" i="67"/>
  <c r="E5143" i="67"/>
  <c r="F5144" i="67"/>
  <c r="B5144" i="67"/>
  <c r="A5145" i="67"/>
  <c r="C5143" i="67" l="1"/>
  <c r="F5145" i="67"/>
  <c r="A5146" i="67"/>
  <c r="B5145" i="67"/>
  <c r="D5144" i="67"/>
  <c r="E5144" i="67"/>
  <c r="C5144" i="67" l="1"/>
  <c r="D5145" i="67"/>
  <c r="E5145" i="67"/>
  <c r="F5146" i="67"/>
  <c r="A5147" i="67"/>
  <c r="B5146" i="67"/>
  <c r="C5145" i="67" l="1"/>
  <c r="A5148" i="67"/>
  <c r="F5147" i="67"/>
  <c r="B5147" i="67"/>
  <c r="D5146" i="67"/>
  <c r="E5146" i="67"/>
  <c r="C5146" i="67" l="1"/>
  <c r="D5147" i="67"/>
  <c r="E5147" i="67"/>
  <c r="F5148" i="67"/>
  <c r="B5148" i="67"/>
  <c r="A5149" i="67"/>
  <c r="C5147" i="67" l="1"/>
  <c r="B5149" i="67"/>
  <c r="F5149" i="67"/>
  <c r="A5150" i="67"/>
  <c r="D5148" i="67"/>
  <c r="E5148" i="67"/>
  <c r="C5148" i="67" l="1"/>
  <c r="F5150" i="67"/>
  <c r="A5151" i="67"/>
  <c r="B5150" i="67"/>
  <c r="D5149" i="67"/>
  <c r="E5149" i="67"/>
  <c r="C5149" i="67" l="1"/>
  <c r="D5150" i="67"/>
  <c r="E5150" i="67"/>
  <c r="F5151" i="67"/>
  <c r="B5151" i="67"/>
  <c r="A5152" i="67"/>
  <c r="C5150" i="67" l="1"/>
  <c r="B5152" i="67"/>
  <c r="F5152" i="67"/>
  <c r="A5153" i="67"/>
  <c r="D5151" i="67"/>
  <c r="E5151" i="67"/>
  <c r="C5151" i="67" l="1"/>
  <c r="A5154" i="67"/>
  <c r="F5153" i="67"/>
  <c r="B5153" i="67"/>
  <c r="D5152" i="67"/>
  <c r="E5152" i="67"/>
  <c r="C5152" i="67" l="1"/>
  <c r="D5153" i="67"/>
  <c r="E5153" i="67"/>
  <c r="F5154" i="67"/>
  <c r="A5155" i="67"/>
  <c r="B5154" i="67"/>
  <c r="C5153" i="67" l="1"/>
  <c r="D5154" i="67"/>
  <c r="E5154" i="67"/>
  <c r="B5155" i="67"/>
  <c r="F5155" i="67"/>
  <c r="A5156" i="67"/>
  <c r="C5154" i="67" l="1"/>
  <c r="D5155" i="67"/>
  <c r="E5155" i="67"/>
  <c r="A5157" i="67"/>
  <c r="B5156" i="67"/>
  <c r="F5156" i="67"/>
  <c r="C5155" i="67" l="1"/>
  <c r="D5156" i="67"/>
  <c r="E5156" i="67"/>
  <c r="F5157" i="67"/>
  <c r="B5157" i="67"/>
  <c r="A5158" i="67"/>
  <c r="C5156" i="67" l="1"/>
  <c r="F5158" i="67"/>
  <c r="A5159" i="67"/>
  <c r="B5158" i="67"/>
  <c r="D5157" i="67"/>
  <c r="E5157" i="67"/>
  <c r="C5157" i="67" l="1"/>
  <c r="B5159" i="67"/>
  <c r="F5159" i="67"/>
  <c r="A5160" i="67"/>
  <c r="D5158" i="67"/>
  <c r="E5158" i="67"/>
  <c r="C5158" i="67" l="1"/>
  <c r="F5160" i="67"/>
  <c r="A5161" i="67"/>
  <c r="B5160" i="67"/>
  <c r="D5159" i="67"/>
  <c r="E5159" i="67"/>
  <c r="C5159" i="67" l="1"/>
  <c r="D5160" i="67"/>
  <c r="E5160" i="67"/>
  <c r="A5162" i="67"/>
  <c r="F5161" i="67"/>
  <c r="B5161" i="67"/>
  <c r="C5160" i="67" l="1"/>
  <c r="D5161" i="67"/>
  <c r="E5161" i="67"/>
  <c r="B5162" i="67"/>
  <c r="F5162" i="67"/>
  <c r="A5163" i="67"/>
  <c r="C5161" i="67" l="1"/>
  <c r="B5163" i="67"/>
  <c r="F5163" i="67"/>
  <c r="A5164" i="67"/>
  <c r="D5162" i="67"/>
  <c r="E5162" i="67"/>
  <c r="C5162" i="67" l="1"/>
  <c r="F5164" i="67"/>
  <c r="A5165" i="67"/>
  <c r="B5164" i="67"/>
  <c r="D5163" i="67"/>
  <c r="E5163" i="67"/>
  <c r="C5163" i="67" l="1"/>
  <c r="D5164" i="67"/>
  <c r="E5164" i="67"/>
  <c r="F5165" i="67"/>
  <c r="B5165" i="67"/>
  <c r="A5166" i="67"/>
  <c r="C5164" i="67" l="1"/>
  <c r="B5166" i="67"/>
  <c r="A5167" i="67"/>
  <c r="F5166" i="67"/>
  <c r="D5165" i="67"/>
  <c r="E5165" i="67"/>
  <c r="C5165" i="67" l="1"/>
  <c r="A5168" i="67"/>
  <c r="F5167" i="67"/>
  <c r="B5167" i="67"/>
  <c r="D5166" i="67"/>
  <c r="E5166" i="67"/>
  <c r="C5166" i="67" l="1"/>
  <c r="D5167" i="67"/>
  <c r="E5167" i="67"/>
  <c r="A5169" i="67"/>
  <c r="B5168" i="67"/>
  <c r="F5168" i="67"/>
  <c r="C5167" i="67" l="1"/>
  <c r="D5168" i="67"/>
  <c r="E5168" i="67"/>
  <c r="F5169" i="67"/>
  <c r="B5169" i="67"/>
  <c r="A5170" i="67"/>
  <c r="C5168" i="67" l="1"/>
  <c r="F5170" i="67"/>
  <c r="A5171" i="67"/>
  <c r="B5170" i="67"/>
  <c r="D5169" i="67"/>
  <c r="E5169" i="67"/>
  <c r="C5169" i="67" l="1"/>
  <c r="D5170" i="67"/>
  <c r="E5170" i="67"/>
  <c r="A5172" i="67"/>
  <c r="B5171" i="67"/>
  <c r="F5171" i="67"/>
  <c r="C5170" i="67" l="1"/>
  <c r="D5171" i="67"/>
  <c r="E5171" i="67"/>
  <c r="F5172" i="67"/>
  <c r="A5173" i="67"/>
  <c r="B5172" i="67"/>
  <c r="C5171" i="67" l="1"/>
  <c r="D5172" i="67"/>
  <c r="E5172" i="67"/>
  <c r="F5173" i="67"/>
  <c r="A5174" i="67"/>
  <c r="B5173" i="67"/>
  <c r="C5172" i="67" l="1"/>
  <c r="D5173" i="67"/>
  <c r="E5173" i="67"/>
  <c r="F5174" i="67"/>
  <c r="B5174" i="67"/>
  <c r="A5175" i="67"/>
  <c r="C5173" i="67" l="1"/>
  <c r="D5174" i="67"/>
  <c r="E5174" i="67"/>
  <c r="B5175" i="67"/>
  <c r="A5176" i="67"/>
  <c r="F5175" i="67"/>
  <c r="C5174" i="67" l="1"/>
  <c r="F5176" i="67"/>
  <c r="A5177" i="67"/>
  <c r="B5176" i="67"/>
  <c r="D5175" i="67"/>
  <c r="E5175" i="67"/>
  <c r="C5175" i="67" l="1"/>
  <c r="D5176" i="67"/>
  <c r="E5176" i="67"/>
  <c r="B5177" i="67"/>
  <c r="F5177" i="67"/>
  <c r="A5178" i="67"/>
  <c r="C5176" i="67" l="1"/>
  <c r="F5178" i="67"/>
  <c r="A5179" i="67"/>
  <c r="B5178" i="67"/>
  <c r="D5177" i="67"/>
  <c r="E5177" i="67"/>
  <c r="C5177" i="67" l="1"/>
  <c r="D5178" i="67"/>
  <c r="E5178" i="67"/>
  <c r="F5179" i="67"/>
  <c r="A5180" i="67"/>
  <c r="B5179" i="67"/>
  <c r="C5178" i="67" l="1"/>
  <c r="D5179" i="67"/>
  <c r="E5179" i="67"/>
  <c r="B5180" i="67"/>
  <c r="F5180" i="67"/>
  <c r="A5181" i="67"/>
  <c r="C5179" i="67" l="1"/>
  <c r="B5181" i="67"/>
  <c r="F5181" i="67"/>
  <c r="A5182" i="67"/>
  <c r="D5180" i="67"/>
  <c r="E5180" i="67"/>
  <c r="C5180" i="67" l="1"/>
  <c r="B5182" i="67"/>
  <c r="F5182" i="67"/>
  <c r="A5183" i="67"/>
  <c r="D5181" i="67"/>
  <c r="E5181" i="67"/>
  <c r="C5181" i="67" s="1"/>
  <c r="F5183" i="67" l="1"/>
  <c r="A5184" i="67"/>
  <c r="B5183" i="67"/>
  <c r="D5182" i="67"/>
  <c r="E5182" i="67"/>
  <c r="C5182" i="67" l="1"/>
  <c r="D5183" i="67"/>
  <c r="E5183" i="67"/>
  <c r="F5184" i="67"/>
  <c r="A5185" i="67"/>
  <c r="B5184" i="67"/>
  <c r="C5183" i="67" l="1"/>
  <c r="B5185" i="67"/>
  <c r="A5186" i="67"/>
  <c r="F5185" i="67"/>
  <c r="D5184" i="67"/>
  <c r="E5184" i="67"/>
  <c r="C5184" i="67" l="1"/>
  <c r="B5186" i="67"/>
  <c r="F5186" i="67"/>
  <c r="A5187" i="67"/>
  <c r="D5185" i="67"/>
  <c r="E5185" i="67"/>
  <c r="C5185" i="67" l="1"/>
  <c r="F5187" i="67"/>
  <c r="B5187" i="67"/>
  <c r="A5188" i="67"/>
  <c r="D5186" i="67"/>
  <c r="E5186" i="67"/>
  <c r="C5186" i="67" l="1"/>
  <c r="B5188" i="67"/>
  <c r="F5188" i="67"/>
  <c r="A5189" i="67"/>
  <c r="D5187" i="67"/>
  <c r="E5187" i="67"/>
  <c r="C5187" i="67" l="1"/>
  <c r="A5190" i="67"/>
  <c r="F5189" i="67"/>
  <c r="B5189" i="67"/>
  <c r="D5188" i="67"/>
  <c r="E5188" i="67"/>
  <c r="C5188" i="67" l="1"/>
  <c r="D5189" i="67"/>
  <c r="E5189" i="67"/>
  <c r="F5190" i="67"/>
  <c r="B5190" i="67"/>
  <c r="A5191" i="67"/>
  <c r="C5189" i="67" l="1"/>
  <c r="D5190" i="67"/>
  <c r="E5190" i="67"/>
  <c r="A5192" i="67"/>
  <c r="F5191" i="67"/>
  <c r="B5191" i="67"/>
  <c r="C5190" i="67" l="1"/>
  <c r="D5191" i="67"/>
  <c r="E5191" i="67"/>
  <c r="A5193" i="67"/>
  <c r="F5192" i="67"/>
  <c r="B5192" i="67"/>
  <c r="C5191" i="67" l="1"/>
  <c r="D5192" i="67"/>
  <c r="E5192" i="67"/>
  <c r="F5193" i="67"/>
  <c r="B5193" i="67"/>
  <c r="A5194" i="67"/>
  <c r="C5192" i="67" l="1"/>
  <c r="F5194" i="67"/>
  <c r="A5195" i="67"/>
  <c r="B5194" i="67"/>
  <c r="D5193" i="67"/>
  <c r="E5193" i="67"/>
  <c r="C5193" i="67" l="1"/>
  <c r="B5195" i="67"/>
  <c r="F5195" i="67"/>
  <c r="A5196" i="67"/>
  <c r="D5194" i="67"/>
  <c r="E5194" i="67"/>
  <c r="C5194" i="67" l="1"/>
  <c r="F5196" i="67"/>
  <c r="A5197" i="67"/>
  <c r="B5196" i="67"/>
  <c r="D5195" i="67"/>
  <c r="E5195" i="67"/>
  <c r="C5195" i="67" l="1"/>
  <c r="D5196" i="67"/>
  <c r="E5196" i="67"/>
  <c r="F5197" i="67"/>
  <c r="B5197" i="67"/>
  <c r="A5198" i="67"/>
  <c r="C5196" i="67" l="1"/>
  <c r="F5198" i="67"/>
  <c r="A5199" i="67"/>
  <c r="B5198" i="67"/>
  <c r="D5197" i="67"/>
  <c r="E5197" i="67"/>
  <c r="C5197" i="67" l="1"/>
  <c r="A5200" i="67"/>
  <c r="B5199" i="67"/>
  <c r="F5199" i="67"/>
  <c r="D5198" i="67"/>
  <c r="E5198" i="67"/>
  <c r="C5198" i="67" l="1"/>
  <c r="D5199" i="67"/>
  <c r="E5199" i="67"/>
  <c r="B5200" i="67"/>
  <c r="A5201" i="67"/>
  <c r="F5200" i="67"/>
  <c r="C5199" i="67" l="1"/>
  <c r="B5201" i="67"/>
  <c r="F5201" i="67"/>
  <c r="A5202" i="67"/>
  <c r="D5200" i="67"/>
  <c r="E5200" i="67"/>
  <c r="C5200" i="67" l="1"/>
  <c r="F5202" i="67"/>
  <c r="B5202" i="67"/>
  <c r="A5203" i="67"/>
  <c r="D5201" i="67"/>
  <c r="E5201" i="67"/>
  <c r="C5201" i="67" l="1"/>
  <c r="F5203" i="67"/>
  <c r="B5203" i="67"/>
  <c r="A5204" i="67"/>
  <c r="D5202" i="67"/>
  <c r="E5202" i="67"/>
  <c r="C5202" i="67" l="1"/>
  <c r="A5205" i="67"/>
  <c r="B5204" i="67"/>
  <c r="F5204" i="67"/>
  <c r="D5203" i="67"/>
  <c r="E5203" i="67"/>
  <c r="C5203" i="67" l="1"/>
  <c r="D5204" i="67"/>
  <c r="E5204" i="67"/>
  <c r="F5205" i="67"/>
  <c r="A5206" i="67"/>
  <c r="B5205" i="67"/>
  <c r="C5204" i="67" l="1"/>
  <c r="A5207" i="67"/>
  <c r="F5206" i="67"/>
  <c r="B5206" i="67"/>
  <c r="D5205" i="67"/>
  <c r="E5205" i="67"/>
  <c r="C5205" i="67" l="1"/>
  <c r="D5206" i="67"/>
  <c r="E5206" i="67"/>
  <c r="F5207" i="67"/>
  <c r="B5207" i="67"/>
  <c r="A5208" i="67"/>
  <c r="C5206" i="67" l="1"/>
  <c r="D5207" i="67"/>
  <c r="E5207" i="67"/>
  <c r="B5208" i="67"/>
  <c r="F5208" i="67"/>
  <c r="A5209" i="67"/>
  <c r="C5207" i="67" l="1"/>
  <c r="B5209" i="67"/>
  <c r="F5209" i="67"/>
  <c r="A5210" i="67"/>
  <c r="D5208" i="67"/>
  <c r="E5208" i="67"/>
  <c r="C5208" i="67" l="1"/>
  <c r="F5210" i="67"/>
  <c r="B5210" i="67"/>
  <c r="A5211" i="67"/>
  <c r="D5209" i="67"/>
  <c r="E5209" i="67"/>
  <c r="C5209" i="67" l="1"/>
  <c r="B5211" i="67"/>
  <c r="F5211" i="67"/>
  <c r="A5212" i="67"/>
  <c r="D5210" i="67"/>
  <c r="E5210" i="67"/>
  <c r="C5210" i="67" l="1"/>
  <c r="F5212" i="67"/>
  <c r="B5212" i="67"/>
  <c r="A5213" i="67"/>
  <c r="D5211" i="67"/>
  <c r="E5211" i="67"/>
  <c r="C5211" i="67" l="1"/>
  <c r="B5213" i="67"/>
  <c r="A5214" i="67"/>
  <c r="F5213" i="67"/>
  <c r="D5212" i="67"/>
  <c r="E5212" i="67"/>
  <c r="C5212" i="67" l="1"/>
  <c r="A5215" i="67"/>
  <c r="F5214" i="67"/>
  <c r="B5214" i="67"/>
  <c r="D5213" i="67"/>
  <c r="E5213" i="67"/>
  <c r="C5213" i="67" l="1"/>
  <c r="D5214" i="67"/>
  <c r="E5214" i="67"/>
  <c r="F5215" i="67"/>
  <c r="A5216" i="67"/>
  <c r="B5215" i="67"/>
  <c r="C5214" i="67" l="1"/>
  <c r="D5215" i="67"/>
  <c r="E5215" i="67"/>
  <c r="F5216" i="67"/>
  <c r="A5217" i="67"/>
  <c r="B5216" i="67"/>
  <c r="C5215" i="67" l="1"/>
  <c r="B5217" i="67"/>
  <c r="F5217" i="67"/>
  <c r="A5218" i="67"/>
  <c r="D5216" i="67"/>
  <c r="E5216" i="67"/>
  <c r="C5216" i="67" l="1"/>
  <c r="A5219" i="67"/>
  <c r="F5218" i="67"/>
  <c r="B5218" i="67"/>
  <c r="D5217" i="67"/>
  <c r="E5217" i="67"/>
  <c r="C5217" i="67" l="1"/>
  <c r="D5218" i="67"/>
  <c r="E5218" i="67"/>
  <c r="B5219" i="67"/>
  <c r="F5219" i="67"/>
  <c r="A5220" i="67"/>
  <c r="C5218" i="67" l="1"/>
  <c r="B5220" i="67"/>
  <c r="F5220" i="67"/>
  <c r="A5221" i="67"/>
  <c r="D5219" i="67"/>
  <c r="E5219" i="67"/>
  <c r="C5219" i="67" l="1"/>
  <c r="A5222" i="67"/>
  <c r="F5221" i="67"/>
  <c r="B5221" i="67"/>
  <c r="D5220" i="67"/>
  <c r="E5220" i="67"/>
  <c r="C5220" i="67" l="1"/>
  <c r="D5221" i="67"/>
  <c r="E5221" i="67"/>
  <c r="B5222" i="67"/>
  <c r="F5222" i="67"/>
  <c r="A5223" i="67"/>
  <c r="C5221" i="67" l="1"/>
  <c r="A5224" i="67"/>
  <c r="F5223" i="67"/>
  <c r="B5223" i="67"/>
  <c r="D5222" i="67"/>
  <c r="E5222" i="67"/>
  <c r="C5222" i="67" l="1"/>
  <c r="D5223" i="67"/>
  <c r="E5223" i="67"/>
  <c r="F5224" i="67"/>
  <c r="B5224" i="67"/>
  <c r="A5225" i="67"/>
  <c r="C5223" i="67" l="1"/>
  <c r="B5225" i="67"/>
  <c r="F5225" i="67"/>
  <c r="A5226" i="67"/>
  <c r="D5224" i="67"/>
  <c r="E5224" i="67"/>
  <c r="C5224" i="67" l="1"/>
  <c r="B5226" i="67"/>
  <c r="F5226" i="67"/>
  <c r="A5227" i="67"/>
  <c r="D5225" i="67"/>
  <c r="E5225" i="67"/>
  <c r="C5225" i="67" l="1"/>
  <c r="F5227" i="67"/>
  <c r="A5228" i="67"/>
  <c r="B5227" i="67"/>
  <c r="D5226" i="67"/>
  <c r="E5226" i="67"/>
  <c r="C5226" i="67" l="1"/>
  <c r="D5227" i="67"/>
  <c r="E5227" i="67"/>
  <c r="A5229" i="67"/>
  <c r="F5228" i="67"/>
  <c r="B5228" i="67"/>
  <c r="C5227" i="67" l="1"/>
  <c r="D5228" i="67"/>
  <c r="E5228" i="67"/>
  <c r="B5229" i="67"/>
  <c r="F5229" i="67"/>
  <c r="A5230" i="67"/>
  <c r="C5228" i="67" l="1"/>
  <c r="F5230" i="67"/>
  <c r="B5230" i="67"/>
  <c r="A5231" i="67"/>
  <c r="D5229" i="67"/>
  <c r="E5229" i="67"/>
  <c r="C5229" i="67" l="1"/>
  <c r="F5231" i="67"/>
  <c r="A5232" i="67"/>
  <c r="B5231" i="67"/>
  <c r="D5230" i="67"/>
  <c r="E5230" i="67"/>
  <c r="C5230" i="67" l="1"/>
  <c r="D5231" i="67"/>
  <c r="E5231" i="67"/>
  <c r="F5232" i="67"/>
  <c r="A5233" i="67"/>
  <c r="B5232" i="67"/>
  <c r="C5231" i="67" l="1"/>
  <c r="F5233" i="67"/>
  <c r="A5234" i="67"/>
  <c r="B5233" i="67"/>
  <c r="D5232" i="67"/>
  <c r="E5232" i="67"/>
  <c r="C5232" i="67" l="1"/>
  <c r="F5234" i="67"/>
  <c r="B5234" i="67"/>
  <c r="A5235" i="67"/>
  <c r="D5233" i="67"/>
  <c r="E5233" i="67"/>
  <c r="C5233" i="67" l="1"/>
  <c r="B5235" i="67"/>
  <c r="A5236" i="67"/>
  <c r="F5235" i="67"/>
  <c r="D5234" i="67"/>
  <c r="E5234" i="67"/>
  <c r="C5234" i="67" l="1"/>
  <c r="F5236" i="67"/>
  <c r="A5237" i="67"/>
  <c r="B5236" i="67"/>
  <c r="D5235" i="67"/>
  <c r="E5235" i="67"/>
  <c r="C5235" i="67" l="1"/>
  <c r="D5236" i="67"/>
  <c r="E5236" i="67"/>
  <c r="F5237" i="67"/>
  <c r="B5237" i="67"/>
  <c r="A5238" i="67"/>
  <c r="C5236" i="67" l="1"/>
  <c r="D5237" i="67"/>
  <c r="E5237" i="67"/>
  <c r="F5238" i="67"/>
  <c r="A5239" i="67"/>
  <c r="B5238" i="67"/>
  <c r="C5237" i="67" l="1"/>
  <c r="D5238" i="67"/>
  <c r="E5238" i="67"/>
  <c r="B5239" i="67"/>
  <c r="F5239" i="67"/>
  <c r="A5240" i="67"/>
  <c r="C5238" i="67" l="1"/>
  <c r="F5240" i="67"/>
  <c r="A5241" i="67"/>
  <c r="B5240" i="67"/>
  <c r="D5239" i="67"/>
  <c r="E5239" i="67"/>
  <c r="C5239" i="67" l="1"/>
  <c r="D5240" i="67"/>
  <c r="E5240" i="67"/>
  <c r="B5241" i="67"/>
  <c r="F5241" i="67"/>
  <c r="A5242" i="67"/>
  <c r="C5240" i="67" l="1"/>
  <c r="A5243" i="67"/>
  <c r="F5242" i="67"/>
  <c r="B5242" i="67"/>
  <c r="D5241" i="67"/>
  <c r="E5241" i="67"/>
  <c r="C5241" i="67" l="1"/>
  <c r="D5242" i="67"/>
  <c r="E5242" i="67"/>
  <c r="F5243" i="67"/>
  <c r="A5244" i="67"/>
  <c r="B5243" i="67"/>
  <c r="C5242" i="67" l="1"/>
  <c r="D5243" i="67"/>
  <c r="E5243" i="67"/>
  <c r="F5244" i="67"/>
  <c r="B5244" i="67"/>
  <c r="A5245" i="67"/>
  <c r="C5243" i="67" l="1"/>
  <c r="A5246" i="67"/>
  <c r="F5245" i="67"/>
  <c r="B5245" i="67"/>
  <c r="D5244" i="67"/>
  <c r="E5244" i="67"/>
  <c r="C5244" i="67" l="1"/>
  <c r="D5245" i="67"/>
  <c r="E5245" i="67"/>
  <c r="F5246" i="67"/>
  <c r="B5246" i="67"/>
  <c r="A5247" i="67"/>
  <c r="C5245" i="67" l="1"/>
  <c r="B5247" i="67"/>
  <c r="A5248" i="67"/>
  <c r="F5247" i="67"/>
  <c r="D5246" i="67"/>
  <c r="E5246" i="67"/>
  <c r="C5246" i="67" l="1"/>
  <c r="F5248" i="67"/>
  <c r="B5248" i="67"/>
  <c r="A5249" i="67"/>
  <c r="D5247" i="67"/>
  <c r="E5247" i="67"/>
  <c r="C5247" i="67" l="1"/>
  <c r="B5249" i="67"/>
  <c r="F5249" i="67"/>
  <c r="A5250" i="67"/>
  <c r="D5248" i="67"/>
  <c r="E5248" i="67"/>
  <c r="C5248" i="67" l="1"/>
  <c r="F5250" i="67"/>
  <c r="B5250" i="67"/>
  <c r="A5251" i="67"/>
  <c r="D5249" i="67"/>
  <c r="E5249" i="67"/>
  <c r="C5249" i="67" l="1"/>
  <c r="F5251" i="67"/>
  <c r="B5251" i="67"/>
  <c r="A5252" i="67"/>
  <c r="D5250" i="67"/>
  <c r="E5250" i="67"/>
  <c r="C5250" i="67" l="1"/>
  <c r="F5252" i="67"/>
  <c r="A5253" i="67"/>
  <c r="B5252" i="67"/>
  <c r="D5251" i="67"/>
  <c r="E5251" i="67"/>
  <c r="C5251" i="67" l="1"/>
  <c r="D5252" i="67"/>
  <c r="E5252" i="67"/>
  <c r="F5253" i="67"/>
  <c r="A5254" i="67"/>
  <c r="B5253" i="67"/>
  <c r="C5252" i="67" l="1"/>
  <c r="F5254" i="67"/>
  <c r="A5255" i="67"/>
  <c r="B5254" i="67"/>
  <c r="D5253" i="67"/>
  <c r="E5253" i="67"/>
  <c r="C5253" i="67" l="1"/>
  <c r="D5254" i="67"/>
  <c r="E5254" i="67"/>
  <c r="F5255" i="67"/>
  <c r="A5256" i="67"/>
  <c r="B5255" i="67"/>
  <c r="C5254" i="67" l="1"/>
  <c r="D5255" i="67"/>
  <c r="E5255" i="67"/>
  <c r="A5257" i="67"/>
  <c r="F5256" i="67"/>
  <c r="B5256" i="67"/>
  <c r="C5255" i="67" l="1"/>
  <c r="D5256" i="67"/>
  <c r="E5256" i="67"/>
  <c r="F5257" i="67"/>
  <c r="B5257" i="67"/>
  <c r="A5258" i="67"/>
  <c r="C5256" i="67" l="1"/>
  <c r="B5258" i="67"/>
  <c r="F5258" i="67"/>
  <c r="A5259" i="67"/>
  <c r="D5257" i="67"/>
  <c r="E5257" i="67"/>
  <c r="C5257" i="67" l="1"/>
  <c r="F5259" i="67"/>
  <c r="A5260" i="67"/>
  <c r="B5259" i="67"/>
  <c r="D5258" i="67"/>
  <c r="E5258" i="67"/>
  <c r="C5258" i="67" l="1"/>
  <c r="D5259" i="67"/>
  <c r="E5259" i="67"/>
  <c r="B5260" i="67"/>
  <c r="F5260" i="67"/>
  <c r="A5261" i="67"/>
  <c r="C5259" i="67" l="1"/>
  <c r="D5260" i="67"/>
  <c r="E5260" i="67"/>
  <c r="A5262" i="67"/>
  <c r="F5261" i="67"/>
  <c r="B5261" i="67"/>
  <c r="C5260" i="67" l="1"/>
  <c r="D5261" i="67"/>
  <c r="E5261" i="67"/>
  <c r="F5262" i="67"/>
  <c r="A5263" i="67"/>
  <c r="B5262" i="67"/>
  <c r="C5261" i="67" l="1"/>
  <c r="D5262" i="67"/>
  <c r="E5262" i="67"/>
  <c r="B5263" i="67"/>
  <c r="F5263" i="67"/>
  <c r="A5264" i="67"/>
  <c r="C5262" i="67" l="1"/>
  <c r="D5263" i="67"/>
  <c r="E5263" i="67"/>
  <c r="F5264" i="67"/>
  <c r="B5264" i="67"/>
  <c r="A5265" i="67"/>
  <c r="C5263" i="67" l="1"/>
  <c r="F5265" i="67"/>
  <c r="B5265" i="67"/>
  <c r="A5266" i="67"/>
  <c r="D5264" i="67"/>
  <c r="E5264" i="67"/>
  <c r="C5264" i="67" l="1"/>
  <c r="B5266" i="67"/>
  <c r="F5266" i="67"/>
  <c r="A5267" i="67"/>
  <c r="D5265" i="67"/>
  <c r="E5265" i="67"/>
  <c r="C5265" i="67" l="1"/>
  <c r="F5267" i="67"/>
  <c r="B5267" i="67"/>
  <c r="A5268" i="67"/>
  <c r="D5266" i="67"/>
  <c r="E5266" i="67"/>
  <c r="C5266" i="67" l="1"/>
  <c r="F5268" i="67"/>
  <c r="B5268" i="67"/>
  <c r="A5269" i="67"/>
  <c r="D5267" i="67"/>
  <c r="E5267" i="67"/>
  <c r="C5267" i="67" l="1"/>
  <c r="A5270" i="67"/>
  <c r="B5269" i="67"/>
  <c r="F5269" i="67"/>
  <c r="D5268" i="67"/>
  <c r="E5268" i="67"/>
  <c r="C5268" i="67" l="1"/>
  <c r="D5269" i="67"/>
  <c r="E5269" i="67"/>
  <c r="A5271" i="67"/>
  <c r="B5270" i="67"/>
  <c r="F5270" i="67"/>
  <c r="C5269" i="67" l="1"/>
  <c r="D5270" i="67"/>
  <c r="E5270" i="67"/>
  <c r="B5271" i="67"/>
  <c r="F5271" i="67"/>
  <c r="A5272" i="67"/>
  <c r="C5270" i="67" l="1"/>
  <c r="B5272" i="67"/>
  <c r="F5272" i="67"/>
  <c r="A5273" i="67"/>
  <c r="D5271" i="67"/>
  <c r="E5271" i="67"/>
  <c r="C5271" i="67" l="1"/>
  <c r="F5273" i="67"/>
  <c r="B5273" i="67"/>
  <c r="A5274" i="67"/>
  <c r="D5272" i="67"/>
  <c r="E5272" i="67"/>
  <c r="C5272" i="67" l="1"/>
  <c r="B5274" i="67"/>
  <c r="F5274" i="67"/>
  <c r="A5275" i="67"/>
  <c r="D5273" i="67"/>
  <c r="E5273" i="67"/>
  <c r="C5273" i="67" l="1"/>
  <c r="F5275" i="67"/>
  <c r="B5275" i="67"/>
  <c r="A5276" i="67"/>
  <c r="D5274" i="67"/>
  <c r="E5274" i="67"/>
  <c r="C5274" i="67" l="1"/>
  <c r="A5277" i="67"/>
  <c r="F5276" i="67"/>
  <c r="B5276" i="67"/>
  <c r="D5275" i="67"/>
  <c r="E5275" i="67"/>
  <c r="C5275" i="67" l="1"/>
  <c r="D5276" i="67"/>
  <c r="E5276" i="67"/>
  <c r="A5278" i="67"/>
  <c r="F5277" i="67"/>
  <c r="B5277" i="67"/>
  <c r="C5276" i="67" l="1"/>
  <c r="F5278" i="67"/>
  <c r="A5279" i="67"/>
  <c r="B5278" i="67"/>
  <c r="D5277" i="67"/>
  <c r="E5277" i="67"/>
  <c r="C5277" i="67" l="1"/>
  <c r="D5278" i="67"/>
  <c r="E5278" i="67"/>
  <c r="B5279" i="67"/>
  <c r="F5279" i="67"/>
  <c r="A5280" i="67"/>
  <c r="C5278" i="67" l="1"/>
  <c r="B5280" i="67"/>
  <c r="F5280" i="67"/>
  <c r="A5281" i="67"/>
  <c r="D5279" i="67"/>
  <c r="E5279" i="67"/>
  <c r="C5279" i="67" l="1"/>
  <c r="F5281" i="67"/>
  <c r="A5282" i="67"/>
  <c r="B5281" i="67"/>
  <c r="D5280" i="67"/>
  <c r="E5280" i="67"/>
  <c r="C5280" i="67" l="1"/>
  <c r="F5282" i="67"/>
  <c r="A5283" i="67"/>
  <c r="B5282" i="67"/>
  <c r="D5281" i="67"/>
  <c r="E5281" i="67"/>
  <c r="C5281" i="67" l="1"/>
  <c r="D5282" i="67"/>
  <c r="E5282" i="67"/>
  <c r="F5283" i="67"/>
  <c r="A5284" i="67"/>
  <c r="B5283" i="67"/>
  <c r="C5282" i="67" l="1"/>
  <c r="F5284" i="67"/>
  <c r="B5284" i="67"/>
  <c r="A5285" i="67"/>
  <c r="D5283" i="67"/>
  <c r="E5283" i="67"/>
  <c r="C5283" i="67" l="1"/>
  <c r="D5284" i="67"/>
  <c r="E5284" i="67"/>
  <c r="B5285" i="67"/>
  <c r="F5285" i="67"/>
  <c r="A5286" i="67"/>
  <c r="C5284" i="67" l="1"/>
  <c r="F5286" i="67"/>
  <c r="A5287" i="67"/>
  <c r="B5286" i="67"/>
  <c r="D5285" i="67"/>
  <c r="E5285" i="67"/>
  <c r="C5285" i="67" l="1"/>
  <c r="D5286" i="67"/>
  <c r="E5286" i="67"/>
  <c r="B5287" i="67"/>
  <c r="F5287" i="67"/>
  <c r="A5288" i="67"/>
  <c r="C5286" i="67" l="1"/>
  <c r="D5287" i="67"/>
  <c r="E5287" i="67"/>
  <c r="F5288" i="67"/>
  <c r="A5289" i="67"/>
  <c r="B5288" i="67"/>
  <c r="C5287" i="67" l="1"/>
  <c r="D5288" i="67"/>
  <c r="E5288" i="67"/>
  <c r="F5289" i="67"/>
  <c r="A5290" i="67"/>
  <c r="B5289" i="67"/>
  <c r="C5288" i="67" l="1"/>
  <c r="D5289" i="67"/>
  <c r="E5289" i="67"/>
  <c r="A5291" i="67"/>
  <c r="B5290" i="67"/>
  <c r="F5290" i="67"/>
  <c r="C5289" i="67" l="1"/>
  <c r="D5290" i="67"/>
  <c r="E5290" i="67"/>
  <c r="F5291" i="67"/>
  <c r="B5291" i="67"/>
  <c r="A5292" i="67"/>
  <c r="C5290" i="67" l="1"/>
  <c r="F5292" i="67"/>
  <c r="B5292" i="67"/>
  <c r="A5293" i="67"/>
  <c r="D5291" i="67"/>
  <c r="E5291" i="67"/>
  <c r="C5291" i="67" l="1"/>
  <c r="A5294" i="67"/>
  <c r="F5293" i="67"/>
  <c r="B5293" i="67"/>
  <c r="D5292" i="67"/>
  <c r="E5292" i="67"/>
  <c r="C5292" i="67" l="1"/>
  <c r="D5293" i="67"/>
  <c r="E5293" i="67"/>
  <c r="F5294" i="67"/>
  <c r="A5295" i="67"/>
  <c r="B5294" i="67"/>
  <c r="C5293" i="67" l="1"/>
  <c r="D5294" i="67"/>
  <c r="E5294" i="67"/>
  <c r="F5295" i="67"/>
  <c r="A5296" i="67"/>
  <c r="B5295" i="67"/>
  <c r="C5294" i="67" l="1"/>
  <c r="D5295" i="67"/>
  <c r="E5295" i="67"/>
  <c r="B5296" i="67"/>
  <c r="F5296" i="67"/>
  <c r="A5297" i="67"/>
  <c r="C5295" i="67" l="1"/>
  <c r="D5296" i="67"/>
  <c r="E5296" i="67"/>
  <c r="A5298" i="67"/>
  <c r="F5297" i="67"/>
  <c r="B5297" i="67"/>
  <c r="C5296" i="67" l="1"/>
  <c r="A5299" i="67"/>
  <c r="F5298" i="67"/>
  <c r="B5298" i="67"/>
  <c r="D5297" i="67"/>
  <c r="E5297" i="67"/>
  <c r="C5297" i="67" l="1"/>
  <c r="D5298" i="67"/>
  <c r="E5298" i="67"/>
  <c r="F5299" i="67"/>
  <c r="B5299" i="67"/>
  <c r="A5300" i="67"/>
  <c r="C5298" i="67" l="1"/>
  <c r="F5300" i="67"/>
  <c r="A5301" i="67"/>
  <c r="B5300" i="67"/>
  <c r="D5299" i="67"/>
  <c r="E5299" i="67"/>
  <c r="C5299" i="67" l="1"/>
  <c r="D5300" i="67"/>
  <c r="E5300" i="67"/>
  <c r="F5301" i="67"/>
  <c r="B5301" i="67"/>
  <c r="A5302" i="67"/>
  <c r="C5300" i="67" l="1"/>
  <c r="F5302" i="67"/>
  <c r="A5303" i="67"/>
  <c r="B5302" i="67"/>
  <c r="D5301" i="67"/>
  <c r="E5301" i="67"/>
  <c r="C5301" i="67" l="1"/>
  <c r="D5302" i="67"/>
  <c r="E5302" i="67"/>
  <c r="A5304" i="67"/>
  <c r="F5303" i="67"/>
  <c r="B5303" i="67"/>
  <c r="C5302" i="67" l="1"/>
  <c r="D5303" i="67"/>
  <c r="E5303" i="67"/>
  <c r="B5304" i="67"/>
  <c r="F5304" i="67"/>
  <c r="A5305" i="67"/>
  <c r="C5303" i="67" l="1"/>
  <c r="F5305" i="67"/>
  <c r="A5306" i="67"/>
  <c r="B5305" i="67"/>
  <c r="D5304" i="67"/>
  <c r="E5304" i="67"/>
  <c r="C5304" i="67" l="1"/>
  <c r="D5305" i="67"/>
  <c r="E5305" i="67"/>
  <c r="F5306" i="67"/>
  <c r="A5307" i="67"/>
  <c r="B5306" i="67"/>
  <c r="C5305" i="67" l="1"/>
  <c r="F5307" i="67"/>
  <c r="A5308" i="67"/>
  <c r="B5307" i="67"/>
  <c r="D5306" i="67"/>
  <c r="E5306" i="67"/>
  <c r="C5306" i="67" l="1"/>
  <c r="D5307" i="67"/>
  <c r="E5307" i="67"/>
  <c r="F5308" i="67"/>
  <c r="A5309" i="67"/>
  <c r="B5308" i="67"/>
  <c r="C5307" i="67" l="1"/>
  <c r="D5308" i="67"/>
  <c r="E5308" i="67"/>
  <c r="F5309" i="67"/>
  <c r="A5310" i="67"/>
  <c r="B5309" i="67"/>
  <c r="C5308" i="67" l="1"/>
  <c r="D5309" i="67"/>
  <c r="E5309" i="67"/>
  <c r="B5310" i="67"/>
  <c r="F5310" i="67"/>
  <c r="A5311" i="67"/>
  <c r="C5309" i="67" l="1"/>
  <c r="B5311" i="67"/>
  <c r="A5312" i="67"/>
  <c r="F5311" i="67"/>
  <c r="D5310" i="67"/>
  <c r="E5310" i="67"/>
  <c r="C5310" i="67" l="1"/>
  <c r="F5312" i="67"/>
  <c r="A5313" i="67"/>
  <c r="B5312" i="67"/>
  <c r="D5311" i="67"/>
  <c r="E5311" i="67"/>
  <c r="C5311" i="67" l="1"/>
  <c r="D5312" i="67"/>
  <c r="E5312" i="67"/>
  <c r="F5313" i="67"/>
  <c r="B5313" i="67"/>
  <c r="A5314" i="67"/>
  <c r="C5312" i="67" l="1"/>
  <c r="F5314" i="67"/>
  <c r="A5315" i="67"/>
  <c r="B5314" i="67"/>
  <c r="D5313" i="67"/>
  <c r="E5313" i="67"/>
  <c r="C5313" i="67" l="1"/>
  <c r="D5314" i="67"/>
  <c r="E5314" i="67"/>
  <c r="F5315" i="67"/>
  <c r="A5316" i="67"/>
  <c r="B5315" i="67"/>
  <c r="C5314" i="67" l="1"/>
  <c r="D5315" i="67"/>
  <c r="E5315" i="67"/>
  <c r="B5316" i="67"/>
  <c r="F5316" i="67"/>
  <c r="A5317" i="67"/>
  <c r="C5315" i="67" l="1"/>
  <c r="F5317" i="67"/>
  <c r="A5318" i="67"/>
  <c r="B5317" i="67"/>
  <c r="D5316" i="67"/>
  <c r="E5316" i="67"/>
  <c r="C5316" i="67" l="1"/>
  <c r="D5317" i="67"/>
  <c r="E5317" i="67"/>
  <c r="B5318" i="67"/>
  <c r="F5318" i="67"/>
  <c r="A5319" i="67"/>
  <c r="C5317" i="67" l="1"/>
  <c r="D5318" i="67"/>
  <c r="E5318" i="67"/>
  <c r="F5319" i="67"/>
  <c r="A5320" i="67"/>
  <c r="B5319" i="67"/>
  <c r="C5318" i="67" l="1"/>
  <c r="D5319" i="67"/>
  <c r="E5319" i="67"/>
  <c r="F5320" i="67"/>
  <c r="A5321" i="67"/>
  <c r="B5320" i="67"/>
  <c r="C5319" i="67" l="1"/>
  <c r="D5320" i="67"/>
  <c r="E5320" i="67"/>
  <c r="F5321" i="67"/>
  <c r="A5322" i="67"/>
  <c r="B5321" i="67"/>
  <c r="C5320" i="67" l="1"/>
  <c r="F5322" i="67"/>
  <c r="A5323" i="67"/>
  <c r="B5322" i="67"/>
  <c r="D5321" i="67"/>
  <c r="E5321" i="67"/>
  <c r="C5321" i="67" l="1"/>
  <c r="D5322" i="67"/>
  <c r="E5322" i="67"/>
  <c r="B5323" i="67"/>
  <c r="F5323" i="67"/>
  <c r="A5324" i="67"/>
  <c r="C5322" i="67" l="1"/>
  <c r="B5324" i="67"/>
  <c r="F5324" i="67"/>
  <c r="A5325" i="67"/>
  <c r="D5323" i="67"/>
  <c r="E5323" i="67"/>
  <c r="C5323" i="67" l="1"/>
  <c r="B5325" i="67"/>
  <c r="F5325" i="67"/>
  <c r="A5326" i="67"/>
  <c r="D5324" i="67"/>
  <c r="E5324" i="67"/>
  <c r="C5324" i="67" l="1"/>
  <c r="F5326" i="67"/>
  <c r="A5327" i="67"/>
  <c r="B5326" i="67"/>
  <c r="D5325" i="67"/>
  <c r="E5325" i="67"/>
  <c r="C5325" i="67" l="1"/>
  <c r="B5327" i="67"/>
  <c r="F5327" i="67"/>
  <c r="A5328" i="67"/>
  <c r="D5326" i="67"/>
  <c r="E5326" i="67"/>
  <c r="C5326" i="67" l="1"/>
  <c r="F5328" i="67"/>
  <c r="A5329" i="67"/>
  <c r="B5328" i="67"/>
  <c r="D5327" i="67"/>
  <c r="E5327" i="67"/>
  <c r="C5327" i="67" l="1"/>
  <c r="D5328" i="67"/>
  <c r="E5328" i="67"/>
  <c r="F5329" i="67"/>
  <c r="B5329" i="67"/>
  <c r="A5330" i="67"/>
  <c r="C5328" i="67" l="1"/>
  <c r="A5331" i="67"/>
  <c r="F5330" i="67"/>
  <c r="B5330" i="67"/>
  <c r="D5329" i="67"/>
  <c r="E5329" i="67"/>
  <c r="C5329" i="67" l="1"/>
  <c r="B5331" i="67"/>
  <c r="F5331" i="67"/>
  <c r="A5332" i="67"/>
  <c r="D5330" i="67"/>
  <c r="E5330" i="67"/>
  <c r="C5330" i="67" l="1"/>
  <c r="F5332" i="67"/>
  <c r="B5332" i="67"/>
  <c r="A5333" i="67"/>
  <c r="D5331" i="67"/>
  <c r="E5331" i="67"/>
  <c r="C5331" i="67" l="1"/>
  <c r="F5333" i="67"/>
  <c r="B5333" i="67"/>
  <c r="A5334" i="67"/>
  <c r="D5332" i="67"/>
  <c r="E5332" i="67"/>
  <c r="C5332" i="67" l="1"/>
  <c r="F5334" i="67"/>
  <c r="A5335" i="67"/>
  <c r="B5334" i="67"/>
  <c r="D5333" i="67"/>
  <c r="E5333" i="67"/>
  <c r="C5333" i="67" l="1"/>
  <c r="D5334" i="67"/>
  <c r="E5334" i="67"/>
  <c r="F5335" i="67"/>
  <c r="B5335" i="67"/>
  <c r="A5336" i="67"/>
  <c r="C5334" i="67" l="1"/>
  <c r="F5336" i="67"/>
  <c r="A5337" i="67"/>
  <c r="B5336" i="67"/>
  <c r="D5335" i="67"/>
  <c r="E5335" i="67"/>
  <c r="C5335" i="67" l="1"/>
  <c r="A5338" i="67"/>
  <c r="F5337" i="67"/>
  <c r="B5337" i="67"/>
  <c r="D5336" i="67"/>
  <c r="E5336" i="67"/>
  <c r="C5336" i="67" l="1"/>
  <c r="D5337" i="67"/>
  <c r="E5337" i="67"/>
  <c r="F5338" i="67"/>
  <c r="A5339" i="67"/>
  <c r="B5338" i="67"/>
  <c r="C5337" i="67" l="1"/>
  <c r="D5338" i="67"/>
  <c r="E5338" i="67"/>
  <c r="F5339" i="67"/>
  <c r="B5339" i="67"/>
  <c r="A5340" i="67"/>
  <c r="C5338" i="67" l="1"/>
  <c r="F5340" i="67"/>
  <c r="B5340" i="67"/>
  <c r="A5341" i="67"/>
  <c r="D5339" i="67"/>
  <c r="E5339" i="67"/>
  <c r="C5339" i="67" l="1"/>
  <c r="F5341" i="67"/>
  <c r="A5342" i="67"/>
  <c r="B5341" i="67"/>
  <c r="D5340" i="67"/>
  <c r="E5340" i="67"/>
  <c r="C5340" i="67" l="1"/>
  <c r="D5341" i="67"/>
  <c r="E5341" i="67"/>
  <c r="A5343" i="67"/>
  <c r="F5342" i="67"/>
  <c r="B5342" i="67"/>
  <c r="C5341" i="67" l="1"/>
  <c r="D5342" i="67"/>
  <c r="E5342" i="67"/>
  <c r="A5344" i="67"/>
  <c r="F5343" i="67"/>
  <c r="B5343" i="67"/>
  <c r="C5342" i="67" l="1"/>
  <c r="D5343" i="67"/>
  <c r="E5343" i="67"/>
  <c r="A5345" i="67"/>
  <c r="F5344" i="67"/>
  <c r="B5344" i="67"/>
  <c r="C5343" i="67" l="1"/>
  <c r="F5345" i="67"/>
  <c r="A5346" i="67"/>
  <c r="B5345" i="67"/>
  <c r="D5344" i="67"/>
  <c r="E5344" i="67"/>
  <c r="C5344" i="67" l="1"/>
  <c r="D5345" i="67"/>
  <c r="E5345" i="67"/>
  <c r="F5346" i="67"/>
  <c r="A5347" i="67"/>
  <c r="B5346" i="67"/>
  <c r="C5345" i="67" l="1"/>
  <c r="D5346" i="67"/>
  <c r="E5346" i="67"/>
  <c r="F5347" i="67"/>
  <c r="A5348" i="67"/>
  <c r="B5347" i="67"/>
  <c r="C5346" i="67" l="1"/>
  <c r="D5347" i="67"/>
  <c r="E5347" i="67"/>
  <c r="F5348" i="67"/>
  <c r="A5349" i="67"/>
  <c r="B5348" i="67"/>
  <c r="C5347" i="67" l="1"/>
  <c r="D5348" i="67"/>
  <c r="E5348" i="67"/>
  <c r="A5350" i="67"/>
  <c r="F5349" i="67"/>
  <c r="B5349" i="67"/>
  <c r="C5348" i="67" l="1"/>
  <c r="D5349" i="67"/>
  <c r="E5349" i="67"/>
  <c r="F5350" i="67"/>
  <c r="B5350" i="67"/>
  <c r="A5351" i="67"/>
  <c r="C5349" i="67" l="1"/>
  <c r="F5351" i="67"/>
  <c r="A5352" i="67"/>
  <c r="B5351" i="67"/>
  <c r="D5350" i="67"/>
  <c r="E5350" i="67"/>
  <c r="C5350" i="67" l="1"/>
  <c r="D5351" i="67"/>
  <c r="E5351" i="67"/>
  <c r="F5352" i="67"/>
  <c r="B5352" i="67"/>
  <c r="A5353" i="67"/>
  <c r="C5351" i="67" l="1"/>
  <c r="F5353" i="67"/>
  <c r="A5354" i="67"/>
  <c r="B5353" i="67"/>
  <c r="D5352" i="67"/>
  <c r="E5352" i="67"/>
  <c r="C5352" i="67" l="1"/>
  <c r="D5353" i="67"/>
  <c r="E5353" i="67"/>
  <c r="F5354" i="67"/>
  <c r="B5354" i="67"/>
  <c r="A5355" i="67"/>
  <c r="C5353" i="67" l="1"/>
  <c r="D5354" i="67"/>
  <c r="E5354" i="67"/>
  <c r="F5355" i="67"/>
  <c r="A5356" i="67"/>
  <c r="B5355" i="67"/>
  <c r="C5354" i="67" l="1"/>
  <c r="D5355" i="67"/>
  <c r="E5355" i="67"/>
  <c r="F5356" i="67"/>
  <c r="A5357" i="67"/>
  <c r="B5356" i="67"/>
  <c r="C5355" i="67" l="1"/>
  <c r="D5356" i="67"/>
  <c r="E5356" i="67"/>
  <c r="A5358" i="67"/>
  <c r="B5357" i="67"/>
  <c r="F5357" i="67"/>
  <c r="C5356" i="67" l="1"/>
  <c r="D5357" i="67"/>
  <c r="E5357" i="67"/>
  <c r="B5358" i="67"/>
  <c r="A5359" i="67"/>
  <c r="F5358" i="67"/>
  <c r="C5357" i="67" l="1"/>
  <c r="B5359" i="67"/>
  <c r="F5359" i="67"/>
  <c r="A5360" i="67"/>
  <c r="D5358" i="67"/>
  <c r="E5358" i="67"/>
  <c r="C5358" i="67" l="1"/>
  <c r="F5360" i="67"/>
  <c r="B5360" i="67"/>
  <c r="A5361" i="67"/>
  <c r="D5359" i="67"/>
  <c r="E5359" i="67"/>
  <c r="C5359" i="67" l="1"/>
  <c r="A5362" i="67"/>
  <c r="B5361" i="67"/>
  <c r="F5361" i="67"/>
  <c r="D5360" i="67"/>
  <c r="E5360" i="67"/>
  <c r="C5360" i="67" l="1"/>
  <c r="D5361" i="67"/>
  <c r="E5361" i="67"/>
  <c r="B5362" i="67"/>
  <c r="F5362" i="67"/>
  <c r="A5363" i="67"/>
  <c r="C5361" i="67" l="1"/>
  <c r="F5363" i="67"/>
  <c r="B5363" i="67"/>
  <c r="A5364" i="67"/>
  <c r="D5362" i="67"/>
  <c r="E5362" i="67"/>
  <c r="C5362" i="67" l="1"/>
  <c r="D5363" i="67"/>
  <c r="E5363" i="67"/>
  <c r="F5364" i="67"/>
  <c r="A5365" i="67"/>
  <c r="B5364" i="67"/>
  <c r="C5363" i="67" l="1"/>
  <c r="D5364" i="67"/>
  <c r="E5364" i="67"/>
  <c r="B5365" i="67"/>
  <c r="F5365" i="67"/>
  <c r="A5366" i="67"/>
  <c r="C5364" i="67" l="1"/>
  <c r="D5365" i="67"/>
  <c r="E5365" i="67"/>
  <c r="F5366" i="67"/>
  <c r="B5366" i="67"/>
  <c r="A5367" i="67"/>
  <c r="C5365" i="67" l="1"/>
  <c r="F5367" i="67"/>
  <c r="A5368" i="67"/>
  <c r="B5367" i="67"/>
  <c r="D5366" i="67"/>
  <c r="E5366" i="67"/>
  <c r="C5366" i="67" l="1"/>
  <c r="F5368" i="67"/>
  <c r="A5369" i="67"/>
  <c r="B5368" i="67"/>
  <c r="D5367" i="67"/>
  <c r="E5367" i="67"/>
  <c r="C5367" i="67" l="1"/>
  <c r="D5368" i="67"/>
  <c r="E5368" i="67"/>
  <c r="A5370" i="67"/>
  <c r="B5369" i="67"/>
  <c r="F5369" i="67"/>
  <c r="C5368" i="67" l="1"/>
  <c r="D5369" i="67"/>
  <c r="E5369" i="67"/>
  <c r="A5371" i="67"/>
  <c r="F5370" i="67"/>
  <c r="B5370" i="67"/>
  <c r="C5369" i="67" l="1"/>
  <c r="D5370" i="67"/>
  <c r="E5370" i="67"/>
  <c r="A5372" i="67"/>
  <c r="F5371" i="67"/>
  <c r="B5371" i="67"/>
  <c r="C5370" i="67" l="1"/>
  <c r="D5371" i="67"/>
  <c r="E5371" i="67"/>
  <c r="A5373" i="67"/>
  <c r="F5372" i="67"/>
  <c r="B5372" i="67"/>
  <c r="C5371" i="67" l="1"/>
  <c r="D5372" i="67"/>
  <c r="E5372" i="67"/>
  <c r="B5373" i="67"/>
  <c r="F5373" i="67"/>
  <c r="A5374" i="67"/>
  <c r="C5372" i="67" l="1"/>
  <c r="F5374" i="67"/>
  <c r="A5375" i="67"/>
  <c r="B5374" i="67"/>
  <c r="D5373" i="67"/>
  <c r="E5373" i="67"/>
  <c r="C5373" i="67" l="1"/>
  <c r="D5374" i="67"/>
  <c r="E5374" i="67"/>
  <c r="A5376" i="67"/>
  <c r="F5375" i="67"/>
  <c r="B5375" i="67"/>
  <c r="C5374" i="67" l="1"/>
  <c r="D5375" i="67"/>
  <c r="E5375" i="67"/>
  <c r="B5376" i="67"/>
  <c r="F5376" i="67"/>
  <c r="A5377" i="67"/>
  <c r="C5375" i="67" l="1"/>
  <c r="F5377" i="67"/>
  <c r="B5377" i="67"/>
  <c r="A5378" i="67"/>
  <c r="D5376" i="67"/>
  <c r="E5376" i="67"/>
  <c r="C5376" i="67" l="1"/>
  <c r="A5379" i="67"/>
  <c r="F5378" i="67"/>
  <c r="B5378" i="67"/>
  <c r="D5377" i="67"/>
  <c r="E5377" i="67"/>
  <c r="C5377" i="67" l="1"/>
  <c r="D5378" i="67"/>
  <c r="E5378" i="67"/>
  <c r="F5379" i="67"/>
  <c r="B5379" i="67"/>
  <c r="A5380" i="67"/>
  <c r="C5378" i="67" l="1"/>
  <c r="D5379" i="67"/>
  <c r="E5379" i="67"/>
  <c r="F5380" i="67"/>
  <c r="A5381" i="67"/>
  <c r="B5380" i="67"/>
  <c r="C5379" i="67" l="1"/>
  <c r="D5380" i="67"/>
  <c r="E5380" i="67"/>
  <c r="F5381" i="67"/>
  <c r="A5382" i="67"/>
  <c r="B5381" i="67"/>
  <c r="C5380" i="67" l="1"/>
  <c r="F5382" i="67"/>
  <c r="A5383" i="67"/>
  <c r="B5382" i="67"/>
  <c r="D5381" i="67"/>
  <c r="E5381" i="67"/>
  <c r="C5381" i="67" l="1"/>
  <c r="D5382" i="67"/>
  <c r="E5382" i="67"/>
  <c r="F5383" i="67"/>
  <c r="A5384" i="67"/>
  <c r="B5383" i="67"/>
  <c r="C5382" i="67" l="1"/>
  <c r="D5383" i="67"/>
  <c r="E5383" i="67"/>
  <c r="B5384" i="67"/>
  <c r="F5384" i="67"/>
  <c r="A5385" i="67"/>
  <c r="C5383" i="67" l="1"/>
  <c r="F5385" i="67"/>
  <c r="A5386" i="67"/>
  <c r="B5385" i="67"/>
  <c r="D5384" i="67"/>
  <c r="E5384" i="67"/>
  <c r="C5384" i="67" l="1"/>
  <c r="D5385" i="67"/>
  <c r="E5385" i="67"/>
  <c r="F5386" i="67"/>
  <c r="A5387" i="67"/>
  <c r="B5386" i="67"/>
  <c r="C5385" i="67" l="1"/>
  <c r="D5386" i="67"/>
  <c r="E5386" i="67"/>
  <c r="F5387" i="67"/>
  <c r="A5388" i="67"/>
  <c r="B5387" i="67"/>
  <c r="C5386" i="67" l="1"/>
  <c r="D5387" i="67"/>
  <c r="E5387" i="67"/>
  <c r="B5388" i="67"/>
  <c r="F5388" i="67"/>
  <c r="A5389" i="67"/>
  <c r="C5387" i="67" l="1"/>
  <c r="B5389" i="67"/>
  <c r="F5389" i="67"/>
  <c r="A5390" i="67"/>
  <c r="D5388" i="67"/>
  <c r="E5388" i="67"/>
  <c r="C5388" i="67" l="1"/>
  <c r="F5390" i="67"/>
  <c r="A5391" i="67"/>
  <c r="B5390" i="67"/>
  <c r="D5389" i="67"/>
  <c r="E5389" i="67"/>
  <c r="C5389" i="67" l="1"/>
  <c r="D5390" i="67"/>
  <c r="E5390" i="67"/>
  <c r="F5391" i="67"/>
  <c r="A5392" i="67"/>
  <c r="B5391" i="67"/>
  <c r="C5390" i="67" l="1"/>
  <c r="D5391" i="67"/>
  <c r="E5391" i="67"/>
  <c r="F5392" i="67"/>
  <c r="A5393" i="67"/>
  <c r="B5392" i="67"/>
  <c r="C5391" i="67" l="1"/>
  <c r="D5392" i="67"/>
  <c r="E5392" i="67"/>
  <c r="F5393" i="67"/>
  <c r="A5394" i="67"/>
  <c r="B5393" i="67"/>
  <c r="C5392" i="67" l="1"/>
  <c r="D5393" i="67"/>
  <c r="E5393" i="67"/>
  <c r="A5395" i="67"/>
  <c r="F5394" i="67"/>
  <c r="B5394" i="67"/>
  <c r="C5393" i="67" l="1"/>
  <c r="F5395" i="67"/>
  <c r="A5396" i="67"/>
  <c r="B5395" i="67"/>
  <c r="D5394" i="67"/>
  <c r="E5394" i="67"/>
  <c r="C5394" i="67" l="1"/>
  <c r="D5395" i="67"/>
  <c r="E5395" i="67"/>
  <c r="F5396" i="67"/>
  <c r="A5397" i="67"/>
  <c r="B5396" i="67"/>
  <c r="C5395" i="67" l="1"/>
  <c r="D5396" i="67"/>
  <c r="E5396" i="67"/>
  <c r="F5397" i="67"/>
  <c r="A5398" i="67"/>
  <c r="B5397" i="67"/>
  <c r="C5396" i="67" l="1"/>
  <c r="D5397" i="67"/>
  <c r="E5397" i="67"/>
  <c r="F5398" i="67"/>
  <c r="A5399" i="67"/>
  <c r="B5398" i="67"/>
  <c r="C5397" i="67" l="1"/>
  <c r="D5398" i="67"/>
  <c r="E5398" i="67"/>
  <c r="F5399" i="67"/>
  <c r="A5400" i="67"/>
  <c r="B5399" i="67"/>
  <c r="C5398" i="67" l="1"/>
  <c r="D5399" i="67"/>
  <c r="E5399" i="67"/>
  <c r="F5400" i="67"/>
  <c r="B5400" i="67"/>
  <c r="A5401" i="67"/>
  <c r="C5399" i="67" l="1"/>
  <c r="F5401" i="67"/>
  <c r="B5401" i="67"/>
  <c r="A5402" i="67"/>
  <c r="D5400" i="67"/>
  <c r="E5400" i="67"/>
  <c r="C5400" i="67" l="1"/>
  <c r="F5402" i="67"/>
  <c r="A5403" i="67"/>
  <c r="B5402" i="67"/>
  <c r="D5401" i="67"/>
  <c r="E5401" i="67"/>
  <c r="C5401" i="67" l="1"/>
  <c r="D5402" i="67"/>
  <c r="E5402" i="67"/>
  <c r="F5403" i="67"/>
  <c r="A5404" i="67"/>
  <c r="B5403" i="67"/>
  <c r="C5402" i="67" l="1"/>
  <c r="D5403" i="67"/>
  <c r="E5403" i="67"/>
  <c r="F5404" i="67"/>
  <c r="A5405" i="67"/>
  <c r="B5404" i="67"/>
  <c r="C5403" i="67" l="1"/>
  <c r="F5405" i="67"/>
  <c r="A5406" i="67"/>
  <c r="B5405" i="67"/>
  <c r="D5404" i="67"/>
  <c r="E5404" i="67"/>
  <c r="C5404" i="67" l="1"/>
  <c r="D5405" i="67"/>
  <c r="E5405" i="67"/>
  <c r="F5406" i="67"/>
  <c r="A5407" i="67"/>
  <c r="B5406" i="67"/>
  <c r="C5405" i="67" l="1"/>
  <c r="D5406" i="67"/>
  <c r="E5406" i="67"/>
  <c r="F5407" i="67"/>
  <c r="A5408" i="67"/>
  <c r="B5407" i="67"/>
  <c r="C5406" i="67" l="1"/>
  <c r="D5407" i="67"/>
  <c r="E5407" i="67"/>
  <c r="F5408" i="67"/>
  <c r="A5409" i="67"/>
  <c r="B5408" i="67"/>
  <c r="C5407" i="67" l="1"/>
  <c r="D5408" i="67"/>
  <c r="E5408" i="67"/>
  <c r="B5409" i="67"/>
  <c r="F5409" i="67"/>
  <c r="A5410" i="67"/>
  <c r="C5408" i="67" l="1"/>
  <c r="F5410" i="67"/>
  <c r="A5411" i="67"/>
  <c r="B5410" i="67"/>
  <c r="D5409" i="67"/>
  <c r="E5409" i="67"/>
  <c r="C5409" i="67" l="1"/>
  <c r="D5410" i="67"/>
  <c r="E5410" i="67"/>
  <c r="F5411" i="67"/>
  <c r="A5412" i="67"/>
  <c r="B5411" i="67"/>
  <c r="C5410" i="67" l="1"/>
  <c r="A5413" i="67"/>
  <c r="B5412" i="67"/>
  <c r="F5412" i="67"/>
  <c r="D5411" i="67"/>
  <c r="E5411" i="67"/>
  <c r="C5411" i="67" l="1"/>
  <c r="D5412" i="67"/>
  <c r="E5412" i="67"/>
  <c r="F5413" i="67"/>
  <c r="B5413" i="67"/>
  <c r="A5414" i="67"/>
  <c r="C5412" i="67" l="1"/>
  <c r="A5415" i="67"/>
  <c r="F5414" i="67"/>
  <c r="B5414" i="67"/>
  <c r="D5413" i="67"/>
  <c r="E5413" i="67"/>
  <c r="C5413" i="67" l="1"/>
  <c r="D5414" i="67"/>
  <c r="E5414" i="67"/>
  <c r="B5415" i="67"/>
  <c r="F5415" i="67"/>
  <c r="A5416" i="67"/>
  <c r="C5414" i="67" l="1"/>
  <c r="F5416" i="67"/>
  <c r="B5416" i="67"/>
  <c r="A5417" i="67"/>
  <c r="D5415" i="67"/>
  <c r="E5415" i="67"/>
  <c r="C5415" i="67" l="1"/>
  <c r="F5417" i="67"/>
  <c r="A5418" i="67"/>
  <c r="B5417" i="67"/>
  <c r="D5416" i="67"/>
  <c r="E5416" i="67"/>
  <c r="C5416" i="67" l="1"/>
  <c r="D5417" i="67"/>
  <c r="E5417" i="67"/>
  <c r="F5418" i="67"/>
  <c r="A5419" i="67"/>
  <c r="B5418" i="67"/>
  <c r="C5417" i="67" l="1"/>
  <c r="D5418" i="67"/>
  <c r="E5418" i="67"/>
  <c r="F5419" i="67"/>
  <c r="A5420" i="67"/>
  <c r="B5419" i="67"/>
  <c r="C5418" i="67" l="1"/>
  <c r="D5419" i="67"/>
  <c r="E5419" i="67"/>
  <c r="A5421" i="67"/>
  <c r="B5420" i="67"/>
  <c r="F5420" i="67"/>
  <c r="C5419" i="67" l="1"/>
  <c r="D5420" i="67"/>
  <c r="E5420" i="67"/>
  <c r="F5421" i="67"/>
  <c r="B5421" i="67"/>
  <c r="A5422" i="67"/>
  <c r="C5420" i="67" l="1"/>
  <c r="F5422" i="67"/>
  <c r="B5422" i="67"/>
  <c r="A5423" i="67"/>
  <c r="D5421" i="67"/>
  <c r="E5421" i="67"/>
  <c r="C5421" i="67" l="1"/>
  <c r="D5422" i="67"/>
  <c r="E5422" i="67"/>
  <c r="A5424" i="67"/>
  <c r="B5423" i="67"/>
  <c r="F5423" i="67"/>
  <c r="C5422" i="67" l="1"/>
  <c r="F5424" i="67"/>
  <c r="A5425" i="67"/>
  <c r="B5424" i="67"/>
  <c r="D5423" i="67"/>
  <c r="E5423" i="67"/>
  <c r="C5423" i="67" l="1"/>
  <c r="D5424" i="67"/>
  <c r="E5424" i="67"/>
  <c r="F5425" i="67"/>
  <c r="A5426" i="67"/>
  <c r="B5425" i="67"/>
  <c r="C5424" i="67" l="1"/>
  <c r="B5426" i="67"/>
  <c r="F5426" i="67"/>
  <c r="A5427" i="67"/>
  <c r="D5425" i="67"/>
  <c r="E5425" i="67"/>
  <c r="C5425" i="67" l="1"/>
  <c r="F5427" i="67"/>
  <c r="B5427" i="67"/>
  <c r="A5428" i="67"/>
  <c r="D5426" i="67"/>
  <c r="E5426" i="67"/>
  <c r="C5426" i="67" l="1"/>
  <c r="D5427" i="67"/>
  <c r="E5427" i="67"/>
  <c r="B5428" i="67"/>
  <c r="F5428" i="67"/>
  <c r="A5429" i="67"/>
  <c r="C5427" i="67" l="1"/>
  <c r="B5429" i="67"/>
  <c r="F5429" i="67"/>
  <c r="A5430" i="67"/>
  <c r="D5428" i="67"/>
  <c r="E5428" i="67"/>
  <c r="C5428" i="67" l="1"/>
  <c r="F5430" i="67"/>
  <c r="B5430" i="67"/>
  <c r="A5431" i="67"/>
  <c r="D5429" i="67"/>
  <c r="E5429" i="67"/>
  <c r="C5429" i="67" l="1"/>
  <c r="D5430" i="67"/>
  <c r="E5430" i="67"/>
  <c r="F5431" i="67"/>
  <c r="A5432" i="67"/>
  <c r="B5431" i="67"/>
  <c r="C5430" i="67" l="1"/>
  <c r="A5433" i="67"/>
  <c r="B5432" i="67"/>
  <c r="F5432" i="67"/>
  <c r="D5431" i="67"/>
  <c r="E5431" i="67"/>
  <c r="C5431" i="67" l="1"/>
  <c r="D5432" i="67"/>
  <c r="E5432" i="67"/>
  <c r="A5434" i="67"/>
  <c r="F5433" i="67"/>
  <c r="B5433" i="67"/>
  <c r="C5432" i="67" l="1"/>
  <c r="D5433" i="67"/>
  <c r="E5433" i="67"/>
  <c r="A5435" i="67"/>
  <c r="F5434" i="67"/>
  <c r="B5434" i="67"/>
  <c r="C5433" i="67" l="1"/>
  <c r="D5434" i="67"/>
  <c r="E5434" i="67"/>
  <c r="B5435" i="67"/>
  <c r="F5435" i="67"/>
  <c r="A5436" i="67"/>
  <c r="C5434" i="67" l="1"/>
  <c r="A5437" i="67"/>
  <c r="F5436" i="67"/>
  <c r="B5436" i="67"/>
  <c r="D5435" i="67"/>
  <c r="E5435" i="67"/>
  <c r="C5435" i="67" l="1"/>
  <c r="D5436" i="67"/>
  <c r="E5436" i="67"/>
  <c r="B5437" i="67"/>
  <c r="F5437" i="67"/>
  <c r="A5438" i="67"/>
  <c r="C5436" i="67" l="1"/>
  <c r="B5438" i="67"/>
  <c r="F5438" i="67"/>
  <c r="A5439" i="67"/>
  <c r="D5437" i="67"/>
  <c r="E5437" i="67"/>
  <c r="C5437" i="67" l="1"/>
  <c r="B5439" i="67"/>
  <c r="F5439" i="67"/>
  <c r="A5440" i="67"/>
  <c r="D5438" i="67"/>
  <c r="E5438" i="67"/>
  <c r="C5438" i="67" l="1"/>
  <c r="A5441" i="67"/>
  <c r="B5440" i="67"/>
  <c r="F5440" i="67"/>
  <c r="D5439" i="67"/>
  <c r="E5439" i="67"/>
  <c r="C5439" i="67" l="1"/>
  <c r="D5440" i="67"/>
  <c r="E5440" i="67"/>
  <c r="F5441" i="67"/>
  <c r="A5442" i="67"/>
  <c r="B5441" i="67"/>
  <c r="C5440" i="67" l="1"/>
  <c r="D5441" i="67"/>
  <c r="E5441" i="67"/>
  <c r="F5442" i="67"/>
  <c r="A5443" i="67"/>
  <c r="B5442" i="67"/>
  <c r="C5441" i="67" l="1"/>
  <c r="D5442" i="67"/>
  <c r="E5442" i="67"/>
  <c r="F5443" i="67"/>
  <c r="A5444" i="67"/>
  <c r="B5443" i="67"/>
  <c r="C5442" i="67" l="1"/>
  <c r="D5443" i="67"/>
  <c r="E5443" i="67"/>
  <c r="B5444" i="67"/>
  <c r="F5444" i="67"/>
  <c r="A5445" i="67"/>
  <c r="C5443" i="67" l="1"/>
  <c r="F5445" i="67"/>
  <c r="A5446" i="67"/>
  <c r="B5445" i="67"/>
  <c r="D5444" i="67"/>
  <c r="E5444" i="67"/>
  <c r="C5444" i="67" l="1"/>
  <c r="D5445" i="67"/>
  <c r="E5445" i="67"/>
  <c r="F5446" i="67"/>
  <c r="A5447" i="67"/>
  <c r="B5446" i="67"/>
  <c r="C5445" i="67" l="1"/>
  <c r="D5446" i="67"/>
  <c r="E5446" i="67"/>
  <c r="F5447" i="67"/>
  <c r="B5447" i="67"/>
  <c r="A5448" i="67"/>
  <c r="C5446" i="67" l="1"/>
  <c r="B5448" i="67"/>
  <c r="F5448" i="67"/>
  <c r="A5449" i="67"/>
  <c r="D5447" i="67"/>
  <c r="E5447" i="67"/>
  <c r="C5447" i="67" l="1"/>
  <c r="F5449" i="67"/>
  <c r="A5450" i="67"/>
  <c r="B5449" i="67"/>
  <c r="D5448" i="67"/>
  <c r="E5448" i="67"/>
  <c r="C5448" i="67" l="1"/>
  <c r="A5451" i="67"/>
  <c r="F5450" i="67"/>
  <c r="B5450" i="67"/>
  <c r="D5449" i="67"/>
  <c r="E5449" i="67"/>
  <c r="C5449" i="67" l="1"/>
  <c r="D5450" i="67"/>
  <c r="E5450" i="67"/>
  <c r="B5451" i="67"/>
  <c r="F5451" i="67"/>
  <c r="A5452" i="67"/>
  <c r="C5450" i="67" l="1"/>
  <c r="D5451" i="67"/>
  <c r="E5451" i="67"/>
  <c r="B5452" i="67"/>
  <c r="F5452" i="67"/>
  <c r="A5453" i="67"/>
  <c r="C5451" i="67" l="1"/>
  <c r="B5453" i="67"/>
  <c r="F5453" i="67"/>
  <c r="A5454" i="67"/>
  <c r="D5452" i="67"/>
  <c r="E5452" i="67"/>
  <c r="C5452" i="67" l="1"/>
  <c r="B5454" i="67"/>
  <c r="F5454" i="67"/>
  <c r="A5455" i="67"/>
  <c r="D5453" i="67"/>
  <c r="E5453" i="67"/>
  <c r="C5453" i="67" l="1"/>
  <c r="F5455" i="67"/>
  <c r="A5456" i="67"/>
  <c r="B5455" i="67"/>
  <c r="D5454" i="67"/>
  <c r="E5454" i="67"/>
  <c r="C5454" i="67" l="1"/>
  <c r="D5455" i="67"/>
  <c r="E5455" i="67"/>
  <c r="A5457" i="67"/>
  <c r="F5456" i="67"/>
  <c r="B5456" i="67"/>
  <c r="C5455" i="67" l="1"/>
  <c r="D5456" i="67"/>
  <c r="E5456" i="67"/>
  <c r="F5457" i="67"/>
  <c r="A5458" i="67"/>
  <c r="B5457" i="67"/>
  <c r="C5456" i="67" l="1"/>
  <c r="F5458" i="67"/>
  <c r="A5459" i="67"/>
  <c r="B5458" i="67"/>
  <c r="D5457" i="67"/>
  <c r="E5457" i="67"/>
  <c r="C5457" i="67" l="1"/>
  <c r="D5458" i="67"/>
  <c r="E5458" i="67"/>
  <c r="F5459" i="67"/>
  <c r="A5460" i="67"/>
  <c r="B5459" i="67"/>
  <c r="C5458" i="67" l="1"/>
  <c r="D5459" i="67"/>
  <c r="E5459" i="67"/>
  <c r="B5460" i="67"/>
  <c r="F5460" i="67"/>
  <c r="A5461" i="67"/>
  <c r="C5459" i="67" l="1"/>
  <c r="D5460" i="67"/>
  <c r="E5460" i="67"/>
  <c r="F5461" i="67"/>
  <c r="A5462" i="67"/>
  <c r="B5461" i="67"/>
  <c r="C5460" i="67" l="1"/>
  <c r="D5461" i="67"/>
  <c r="E5461" i="67"/>
  <c r="F5462" i="67"/>
  <c r="A5463" i="67"/>
  <c r="B5462" i="67"/>
  <c r="C5461" i="67" l="1"/>
  <c r="D5462" i="67"/>
  <c r="E5462" i="67"/>
  <c r="F5463" i="67"/>
  <c r="A5464" i="67"/>
  <c r="B5463" i="67"/>
  <c r="C5462" i="67" l="1"/>
  <c r="D5463" i="67"/>
  <c r="E5463" i="67"/>
  <c r="A5465" i="67"/>
  <c r="F5464" i="67"/>
  <c r="B5464" i="67"/>
  <c r="C5463" i="67" l="1"/>
  <c r="F5465" i="67"/>
  <c r="A5466" i="67"/>
  <c r="B5465" i="67"/>
  <c r="D5464" i="67"/>
  <c r="E5464" i="67"/>
  <c r="C5464" i="67" l="1"/>
  <c r="B5466" i="67"/>
  <c r="F5466" i="67"/>
  <c r="A5467" i="67"/>
  <c r="D5465" i="67"/>
  <c r="E5465" i="67"/>
  <c r="C5465" i="67" l="1"/>
  <c r="F5467" i="67"/>
  <c r="A5468" i="67"/>
  <c r="B5467" i="67"/>
  <c r="D5466" i="67"/>
  <c r="E5466" i="67"/>
  <c r="C5466" i="67" l="1"/>
  <c r="D5467" i="67"/>
  <c r="E5467" i="67"/>
  <c r="A5469" i="67"/>
  <c r="F5468" i="67"/>
  <c r="B5468" i="67"/>
  <c r="C5467" i="67" l="1"/>
  <c r="D5468" i="67"/>
  <c r="E5468" i="67"/>
  <c r="F5469" i="67"/>
  <c r="B5469" i="67"/>
  <c r="A5470" i="67"/>
  <c r="C5468" i="67" l="1"/>
  <c r="B5470" i="67"/>
  <c r="A5471" i="67"/>
  <c r="F5470" i="67"/>
  <c r="D5469" i="67"/>
  <c r="E5469" i="67"/>
  <c r="C5469" i="67" l="1"/>
  <c r="F5471" i="67"/>
  <c r="A5472" i="67"/>
  <c r="B5471" i="67"/>
  <c r="D5470" i="67"/>
  <c r="E5470" i="67"/>
  <c r="C5470" i="67" l="1"/>
  <c r="D5471" i="67"/>
  <c r="E5471" i="67"/>
  <c r="F5472" i="67"/>
  <c r="B5472" i="67"/>
  <c r="A5473" i="67"/>
  <c r="C5471" i="67" l="1"/>
  <c r="B5473" i="67"/>
  <c r="A5474" i="67"/>
  <c r="F5473" i="67"/>
  <c r="D5472" i="67"/>
  <c r="E5472" i="67"/>
  <c r="C5472" i="67" l="1"/>
  <c r="B5474" i="67"/>
  <c r="F5474" i="67"/>
  <c r="A5475" i="67"/>
  <c r="D5473" i="67"/>
  <c r="E5473" i="67"/>
  <c r="C5473" i="67" l="1"/>
  <c r="F5475" i="67"/>
  <c r="A5476" i="67"/>
  <c r="B5475" i="67"/>
  <c r="D5474" i="67"/>
  <c r="E5474" i="67"/>
  <c r="C5474" i="67" l="1"/>
  <c r="D5475" i="67"/>
  <c r="E5475" i="67"/>
  <c r="F5476" i="67"/>
  <c r="A5477" i="67"/>
  <c r="B5476" i="67"/>
  <c r="C5475" i="67" l="1"/>
  <c r="D5476" i="67"/>
  <c r="E5476" i="67"/>
  <c r="A5478" i="67"/>
  <c r="F5477" i="67"/>
  <c r="B5477" i="67"/>
  <c r="C5476" i="67" l="1"/>
  <c r="D5477" i="67"/>
  <c r="E5477" i="67"/>
  <c r="A5479" i="67"/>
  <c r="F5478" i="67"/>
  <c r="B5478" i="67"/>
  <c r="C5477" i="67" l="1"/>
  <c r="D5478" i="67"/>
  <c r="E5478" i="67"/>
  <c r="B5479" i="67"/>
  <c r="F5479" i="67"/>
  <c r="A5480" i="67"/>
  <c r="C5478" i="67" l="1"/>
  <c r="F5480" i="67"/>
  <c r="A5481" i="67"/>
  <c r="B5480" i="67"/>
  <c r="D5479" i="67"/>
  <c r="E5479" i="67"/>
  <c r="C5479" i="67" l="1"/>
  <c r="D5480" i="67"/>
  <c r="E5480" i="67"/>
  <c r="B5481" i="67"/>
  <c r="F5481" i="67"/>
  <c r="A5482" i="67"/>
  <c r="C5480" i="67" l="1"/>
  <c r="A5483" i="67"/>
  <c r="F5482" i="67"/>
  <c r="B5482" i="67"/>
  <c r="D5481" i="67"/>
  <c r="E5481" i="67"/>
  <c r="C5481" i="67" l="1"/>
  <c r="D5482" i="67"/>
  <c r="E5482" i="67"/>
  <c r="F5483" i="67"/>
  <c r="A5484" i="67"/>
  <c r="B5483" i="67"/>
  <c r="C5482" i="67" l="1"/>
  <c r="F5484" i="67"/>
  <c r="A5485" i="67"/>
  <c r="B5484" i="67"/>
  <c r="D5483" i="67"/>
  <c r="E5483" i="67"/>
  <c r="C5483" i="67" l="1"/>
  <c r="D5484" i="67"/>
  <c r="E5484" i="67"/>
  <c r="B5485" i="67"/>
  <c r="F5485" i="67"/>
  <c r="A5486" i="67"/>
  <c r="C5484" i="67" l="1"/>
  <c r="D5485" i="67"/>
  <c r="E5485" i="67"/>
  <c r="A5487" i="67"/>
  <c r="F5486" i="67"/>
  <c r="B5486" i="67"/>
  <c r="C5485" i="67" l="1"/>
  <c r="D5486" i="67"/>
  <c r="E5486" i="67"/>
  <c r="F5487" i="67"/>
  <c r="B5487" i="67"/>
  <c r="A5488" i="67"/>
  <c r="C5486" i="67" l="1"/>
  <c r="F5488" i="67"/>
  <c r="B5488" i="67"/>
  <c r="A5489" i="67"/>
  <c r="D5487" i="67"/>
  <c r="E5487" i="67"/>
  <c r="C5487" i="67" l="1"/>
  <c r="F5489" i="67"/>
  <c r="A5490" i="67"/>
  <c r="B5489" i="67"/>
  <c r="D5488" i="67"/>
  <c r="E5488" i="67"/>
  <c r="C5488" i="67" l="1"/>
  <c r="D5489" i="67"/>
  <c r="E5489" i="67"/>
  <c r="F5490" i="67"/>
  <c r="A5491" i="67"/>
  <c r="B5490" i="67"/>
  <c r="C5489" i="67" l="1"/>
  <c r="B5491" i="67"/>
  <c r="A5492" i="67"/>
  <c r="F5491" i="67"/>
  <c r="D5490" i="67"/>
  <c r="E5490" i="67"/>
  <c r="C5490" i="67" l="1"/>
  <c r="F5492" i="67"/>
  <c r="A5493" i="67"/>
  <c r="B5492" i="67"/>
  <c r="D5491" i="67"/>
  <c r="E5491" i="67"/>
  <c r="C5491" i="67" l="1"/>
  <c r="D5492" i="67"/>
  <c r="E5492" i="67"/>
  <c r="F5493" i="67"/>
  <c r="A5494" i="67"/>
  <c r="B5493" i="67"/>
  <c r="C5492" i="67" l="1"/>
  <c r="D5493" i="67"/>
  <c r="E5493" i="67"/>
  <c r="F5494" i="67"/>
  <c r="B5494" i="67"/>
  <c r="A5495" i="67"/>
  <c r="C5493" i="67" l="1"/>
  <c r="D5494" i="67"/>
  <c r="E5494" i="67"/>
  <c r="F5495" i="67"/>
  <c r="A5496" i="67"/>
  <c r="B5495" i="67"/>
  <c r="C5494" i="67" l="1"/>
  <c r="D5495" i="67"/>
  <c r="E5495" i="67"/>
  <c r="F5496" i="67"/>
  <c r="B5496" i="67"/>
  <c r="A5497" i="67"/>
  <c r="C5495" i="67" l="1"/>
  <c r="F5497" i="67"/>
  <c r="A5498" i="67"/>
  <c r="B5497" i="67"/>
  <c r="D5496" i="67"/>
  <c r="E5496" i="67"/>
  <c r="C5496" i="67" l="1"/>
  <c r="D5497" i="67"/>
  <c r="E5497" i="67"/>
  <c r="B5498" i="67"/>
  <c r="F5498" i="67"/>
  <c r="A5499" i="67"/>
  <c r="C5497" i="67" l="1"/>
  <c r="F5499" i="67"/>
  <c r="A5500" i="67"/>
  <c r="B5499" i="67"/>
  <c r="D5498" i="67"/>
  <c r="E5498" i="67"/>
  <c r="C5498" i="67" l="1"/>
  <c r="D5499" i="67"/>
  <c r="E5499" i="67"/>
  <c r="F5500" i="67"/>
  <c r="A5501" i="67"/>
  <c r="B5500" i="67"/>
  <c r="C5499" i="67" l="1"/>
  <c r="D5500" i="67"/>
  <c r="E5500" i="67"/>
  <c r="A5502" i="67"/>
  <c r="F5501" i="67"/>
  <c r="B5501" i="67"/>
  <c r="C5500" i="67" l="1"/>
  <c r="D5501" i="67"/>
  <c r="E5501" i="67"/>
  <c r="B5502" i="67"/>
  <c r="F5502" i="67"/>
  <c r="A5503" i="67"/>
  <c r="C5501" i="67" l="1"/>
  <c r="B5503" i="67"/>
  <c r="F5503" i="67"/>
  <c r="A5504" i="67"/>
  <c r="D5502" i="67"/>
  <c r="E5502" i="67"/>
  <c r="C5502" i="67" l="1"/>
  <c r="F5504" i="67"/>
  <c r="A5505" i="67"/>
  <c r="B5504" i="67"/>
  <c r="D5503" i="67"/>
  <c r="E5503" i="67"/>
  <c r="C5503" i="67" l="1"/>
  <c r="D5504" i="67"/>
  <c r="E5504" i="67"/>
  <c r="B5505" i="67"/>
  <c r="F5505" i="67"/>
  <c r="A5506" i="67"/>
  <c r="C5504" i="67" l="1"/>
  <c r="F5506" i="67"/>
  <c r="A5507" i="67"/>
  <c r="B5506" i="67"/>
  <c r="D5505" i="67"/>
  <c r="E5505" i="67"/>
  <c r="C5505" i="67" l="1"/>
  <c r="D5506" i="67"/>
  <c r="E5506" i="67"/>
  <c r="F5507" i="67"/>
  <c r="A5508" i="67"/>
  <c r="B5507" i="67"/>
  <c r="C5506" i="67" l="1"/>
  <c r="D5507" i="67"/>
  <c r="E5507" i="67"/>
  <c r="F5508" i="67"/>
  <c r="A5509" i="67"/>
  <c r="B5508" i="67"/>
  <c r="C5507" i="67" l="1"/>
  <c r="F5509" i="67"/>
  <c r="A5510" i="67"/>
  <c r="B5509" i="67"/>
  <c r="D5508" i="67"/>
  <c r="E5508" i="67"/>
  <c r="C5508" i="67" l="1"/>
  <c r="D5509" i="67"/>
  <c r="E5509" i="67"/>
  <c r="B5510" i="67"/>
  <c r="F5510" i="67"/>
  <c r="A5511" i="67"/>
  <c r="C5509" i="67" l="1"/>
  <c r="F5511" i="67"/>
  <c r="A5512" i="67"/>
  <c r="B5511" i="67"/>
  <c r="D5510" i="67"/>
  <c r="E5510" i="67"/>
  <c r="C5510" i="67" l="1"/>
  <c r="D5511" i="67"/>
  <c r="E5511" i="67"/>
  <c r="F5512" i="67"/>
  <c r="A5513" i="67"/>
  <c r="B5512" i="67"/>
  <c r="C5511" i="67" l="1"/>
  <c r="D5512" i="67"/>
  <c r="E5512" i="67"/>
  <c r="B5513" i="67"/>
  <c r="F5513" i="67"/>
  <c r="A5514" i="67"/>
  <c r="C5512" i="67" l="1"/>
  <c r="A5515" i="67"/>
  <c r="B5514" i="67"/>
  <c r="F5514" i="67"/>
  <c r="D5513" i="67"/>
  <c r="E5513" i="67"/>
  <c r="C5513" i="67" l="1"/>
  <c r="D5514" i="67"/>
  <c r="E5514" i="67"/>
  <c r="F5515" i="67"/>
  <c r="A5516" i="67"/>
  <c r="B5515" i="67"/>
  <c r="C5514" i="67" l="1"/>
  <c r="A5517" i="67"/>
  <c r="B5516" i="67"/>
  <c r="F5516" i="67"/>
  <c r="D5515" i="67"/>
  <c r="E5515" i="67"/>
  <c r="C5515" i="67" l="1"/>
  <c r="D5516" i="67"/>
  <c r="E5516" i="67"/>
  <c r="B5517" i="67"/>
  <c r="F5517" i="67"/>
  <c r="A5518" i="67"/>
  <c r="C5516" i="67" l="1"/>
  <c r="B5518" i="67"/>
  <c r="A5519" i="67"/>
  <c r="F5518" i="67"/>
  <c r="D5517" i="67"/>
  <c r="E5517" i="67"/>
  <c r="C5517" i="67" l="1"/>
  <c r="A5520" i="67"/>
  <c r="F5519" i="67"/>
  <c r="B5519" i="67"/>
  <c r="D5518" i="67"/>
  <c r="E5518" i="67"/>
  <c r="C5518" i="67" l="1"/>
  <c r="D5519" i="67"/>
  <c r="E5519" i="67"/>
  <c r="F5520" i="67"/>
  <c r="A5521" i="67"/>
  <c r="B5520" i="67"/>
  <c r="C5519" i="67" l="1"/>
  <c r="D5520" i="67"/>
  <c r="E5520" i="67"/>
  <c r="F5521" i="67"/>
  <c r="B5521" i="67"/>
  <c r="A5522" i="67"/>
  <c r="C5520" i="67" l="1"/>
  <c r="F5522" i="67"/>
  <c r="B5522" i="67"/>
  <c r="A5523" i="67"/>
  <c r="D5521" i="67"/>
  <c r="E5521" i="67"/>
  <c r="C5521" i="67" l="1"/>
  <c r="A5524" i="67"/>
  <c r="F5523" i="67"/>
  <c r="B5523" i="67"/>
  <c r="D5522" i="67"/>
  <c r="E5522" i="67"/>
  <c r="C5522" i="67" l="1"/>
  <c r="D5523" i="67"/>
  <c r="E5523" i="67"/>
  <c r="F5524" i="67"/>
  <c r="B5524" i="67"/>
  <c r="A5525" i="67"/>
  <c r="C5523" i="67" l="1"/>
  <c r="F5525" i="67"/>
  <c r="A5526" i="67"/>
  <c r="B5525" i="67"/>
  <c r="D5524" i="67"/>
  <c r="E5524" i="67"/>
  <c r="C5524" i="67" l="1"/>
  <c r="D5525" i="67"/>
  <c r="E5525" i="67"/>
  <c r="F5526" i="67"/>
  <c r="B5526" i="67"/>
  <c r="A5527" i="67"/>
  <c r="C5525" i="67" l="1"/>
  <c r="B5527" i="67"/>
  <c r="F5527" i="67"/>
  <c r="A5528" i="67"/>
  <c r="D5526" i="67"/>
  <c r="E5526" i="67"/>
  <c r="C5526" i="67" l="1"/>
  <c r="F5528" i="67"/>
  <c r="A5529" i="67"/>
  <c r="B5528" i="67"/>
  <c r="D5527" i="67"/>
  <c r="E5527" i="67"/>
  <c r="C5527" i="67" l="1"/>
  <c r="D5528" i="67"/>
  <c r="E5528" i="67"/>
  <c r="A5530" i="67"/>
  <c r="F5529" i="67"/>
  <c r="B5529" i="67"/>
  <c r="C5528" i="67" l="1"/>
  <c r="D5529" i="67"/>
  <c r="E5529" i="67"/>
  <c r="B5530" i="67"/>
  <c r="F5530" i="67"/>
  <c r="A5531" i="67"/>
  <c r="C5529" i="67" l="1"/>
  <c r="B5531" i="67"/>
  <c r="F5531" i="67"/>
  <c r="A5532" i="67"/>
  <c r="D5530" i="67"/>
  <c r="E5530" i="67"/>
  <c r="C5530" i="67" l="1"/>
  <c r="F5532" i="67"/>
  <c r="A5533" i="67"/>
  <c r="B5532" i="67"/>
  <c r="D5531" i="67"/>
  <c r="E5531" i="67"/>
  <c r="C5531" i="67" l="1"/>
  <c r="D5532" i="67"/>
  <c r="E5532" i="67"/>
  <c r="F5533" i="67"/>
  <c r="A5534" i="67"/>
  <c r="B5533" i="67"/>
  <c r="C5532" i="67" l="1"/>
  <c r="F5534" i="67"/>
  <c r="A5535" i="67"/>
  <c r="B5534" i="67"/>
  <c r="D5533" i="67"/>
  <c r="E5533" i="67"/>
  <c r="C5533" i="67" l="1"/>
  <c r="D5534" i="67"/>
  <c r="E5534" i="67"/>
  <c r="A5536" i="67"/>
  <c r="B5535" i="67"/>
  <c r="F5535" i="67"/>
  <c r="C5534" i="67" l="1"/>
  <c r="B5536" i="67"/>
  <c r="F5536" i="67"/>
  <c r="A5537" i="67"/>
  <c r="D5535" i="67"/>
  <c r="E5535" i="67"/>
  <c r="C5535" i="67" l="1"/>
  <c r="F5537" i="67"/>
  <c r="B5537" i="67"/>
  <c r="A5538" i="67"/>
  <c r="D5536" i="67"/>
  <c r="E5536" i="67"/>
  <c r="C5536" i="67" l="1"/>
  <c r="A5539" i="67"/>
  <c r="F5538" i="67"/>
  <c r="B5538" i="67"/>
  <c r="D5537" i="67"/>
  <c r="E5537" i="67"/>
  <c r="C5537" i="67" l="1"/>
  <c r="D5538" i="67"/>
  <c r="E5538" i="67"/>
  <c r="F5539" i="67"/>
  <c r="A5540" i="67"/>
  <c r="B5539" i="67"/>
  <c r="C5538" i="67" l="1"/>
  <c r="D5539" i="67"/>
  <c r="E5539" i="67"/>
  <c r="A5541" i="67"/>
  <c r="F5540" i="67"/>
  <c r="B5540" i="67"/>
  <c r="C5539" i="67" l="1"/>
  <c r="D5540" i="67"/>
  <c r="E5540" i="67"/>
  <c r="F5541" i="67"/>
  <c r="A5542" i="67"/>
  <c r="B5541" i="67"/>
  <c r="C5540" i="67" l="1"/>
  <c r="D5541" i="67"/>
  <c r="E5541" i="67"/>
  <c r="A5543" i="67"/>
  <c r="F5542" i="67"/>
  <c r="B5542" i="67"/>
  <c r="C5541" i="67" l="1"/>
  <c r="D5542" i="67"/>
  <c r="E5542" i="67"/>
  <c r="A5544" i="67"/>
  <c r="F5543" i="67"/>
  <c r="B5543" i="67"/>
  <c r="C5542" i="67" l="1"/>
  <c r="F5544" i="67"/>
  <c r="A5545" i="67"/>
  <c r="B5544" i="67"/>
  <c r="D5543" i="67"/>
  <c r="E5543" i="67"/>
  <c r="C5543" i="67" l="1"/>
  <c r="D5544" i="67"/>
  <c r="E5544" i="67"/>
  <c r="F5545" i="67"/>
  <c r="A5546" i="67"/>
  <c r="B5545" i="67"/>
  <c r="C5544" i="67" l="1"/>
  <c r="F5546" i="67"/>
  <c r="A5547" i="67"/>
  <c r="B5546" i="67"/>
  <c r="D5545" i="67"/>
  <c r="E5545" i="67"/>
  <c r="C5545" i="67" l="1"/>
  <c r="D5546" i="67"/>
  <c r="E5546" i="67"/>
  <c r="A5548" i="67"/>
  <c r="F5547" i="67"/>
  <c r="B5547" i="67"/>
  <c r="C5546" i="67" l="1"/>
  <c r="D5547" i="67"/>
  <c r="E5547" i="67"/>
  <c r="F5548" i="67"/>
  <c r="A5549" i="67"/>
  <c r="B5548" i="67"/>
  <c r="C5547" i="67" l="1"/>
  <c r="D5548" i="67"/>
  <c r="E5548" i="67"/>
  <c r="F5549" i="67"/>
  <c r="A5550" i="67"/>
  <c r="B5549" i="67"/>
  <c r="C5548" i="67" l="1"/>
  <c r="D5549" i="67"/>
  <c r="E5549" i="67"/>
  <c r="A5551" i="67"/>
  <c r="B5550" i="67"/>
  <c r="F5550" i="67"/>
  <c r="C5549" i="67" l="1"/>
  <c r="F5551" i="67"/>
  <c r="B5551" i="67"/>
  <c r="A5552" i="67"/>
  <c r="D5550" i="67"/>
  <c r="E5550" i="67"/>
  <c r="C5550" i="67" l="1"/>
  <c r="A5553" i="67"/>
  <c r="B5552" i="67"/>
  <c r="F5552" i="67"/>
  <c r="D5551" i="67"/>
  <c r="E5551" i="67"/>
  <c r="C5551" i="67" l="1"/>
  <c r="D5552" i="67"/>
  <c r="E5552" i="67"/>
  <c r="F5553" i="67"/>
  <c r="A5554" i="67"/>
  <c r="B5553" i="67"/>
  <c r="C5552" i="67" l="1"/>
  <c r="D5553" i="67"/>
  <c r="E5553" i="67"/>
  <c r="B5554" i="67"/>
  <c r="F5554" i="67"/>
  <c r="A5555" i="67"/>
  <c r="C5553" i="67" l="1"/>
  <c r="D5554" i="67"/>
  <c r="E5554" i="67"/>
  <c r="F5555" i="67"/>
  <c r="B5555" i="67"/>
  <c r="A5556" i="67"/>
  <c r="C5554" i="67" l="1"/>
  <c r="A5557" i="67"/>
  <c r="F5556" i="67"/>
  <c r="B5556" i="67"/>
  <c r="D5555" i="67"/>
  <c r="E5555" i="67"/>
  <c r="C5555" i="67" l="1"/>
  <c r="D5556" i="67"/>
  <c r="E5556" i="67"/>
  <c r="F5557" i="67"/>
  <c r="A5558" i="67"/>
  <c r="B5557" i="67"/>
  <c r="C5556" i="67" l="1"/>
  <c r="A5559" i="67"/>
  <c r="B5558" i="67"/>
  <c r="F5558" i="67"/>
  <c r="D5557" i="67"/>
  <c r="E5557" i="67"/>
  <c r="C5557" i="67" l="1"/>
  <c r="D5558" i="67"/>
  <c r="E5558" i="67"/>
  <c r="A5560" i="67"/>
  <c r="F5559" i="67"/>
  <c r="B5559" i="67"/>
  <c r="C5558" i="67" l="1"/>
  <c r="A5561" i="67"/>
  <c r="B5560" i="67"/>
  <c r="F5560" i="67"/>
  <c r="D5559" i="67"/>
  <c r="E5559" i="67"/>
  <c r="C5559" i="67" l="1"/>
  <c r="D5560" i="67"/>
  <c r="E5560" i="67"/>
  <c r="B5561" i="67"/>
  <c r="A5562" i="67"/>
  <c r="F5561" i="67"/>
  <c r="C5560" i="67" l="1"/>
  <c r="F5562" i="67"/>
  <c r="A5563" i="67"/>
  <c r="B5562" i="67"/>
  <c r="D5561" i="67"/>
  <c r="E5561" i="67"/>
  <c r="C5561" i="67" l="1"/>
  <c r="F5563" i="67"/>
  <c r="A5564" i="67"/>
  <c r="B5563" i="67"/>
  <c r="D5562" i="67"/>
  <c r="E5562" i="67"/>
  <c r="C5562" i="67" l="1"/>
  <c r="A5565" i="67"/>
  <c r="B5564" i="67"/>
  <c r="F5564" i="67"/>
  <c r="D5563" i="67"/>
  <c r="E5563" i="67"/>
  <c r="C5563" i="67" l="1"/>
  <c r="D5564" i="67"/>
  <c r="E5564" i="67"/>
  <c r="B5565" i="67"/>
  <c r="A5566" i="67"/>
  <c r="F5565" i="67"/>
  <c r="C5564" i="67" l="1"/>
  <c r="D5565" i="67"/>
  <c r="E5565" i="67"/>
  <c r="F5566" i="67"/>
  <c r="A5567" i="67"/>
  <c r="B5566" i="67"/>
  <c r="C5565" i="67" l="1"/>
  <c r="D5566" i="67"/>
  <c r="E5566" i="67"/>
  <c r="F5567" i="67"/>
  <c r="B5567" i="67"/>
  <c r="A5568" i="67"/>
  <c r="C5566" i="67" l="1"/>
  <c r="A5569" i="67"/>
  <c r="B5568" i="67"/>
  <c r="F5568" i="67"/>
  <c r="D5567" i="67"/>
  <c r="E5567" i="67"/>
  <c r="C5567" i="67" l="1"/>
  <c r="D5568" i="67"/>
  <c r="E5568" i="67"/>
  <c r="F5569" i="67"/>
  <c r="B5569" i="67"/>
  <c r="A5570" i="67"/>
  <c r="C5568" i="67" l="1"/>
  <c r="A5571" i="67"/>
  <c r="B5570" i="67"/>
  <c r="F5570" i="67"/>
  <c r="D5569" i="67"/>
  <c r="E5569" i="67"/>
  <c r="C5569" i="67" l="1"/>
  <c r="D5570" i="67"/>
  <c r="E5570" i="67"/>
  <c r="F5571" i="67"/>
  <c r="A5572" i="67"/>
  <c r="B5571" i="67"/>
  <c r="C5570" i="67" l="1"/>
  <c r="F5572" i="67"/>
  <c r="A5573" i="67"/>
  <c r="B5572" i="67"/>
  <c r="D5571" i="67"/>
  <c r="E5571" i="67"/>
  <c r="C5571" i="67" l="1"/>
  <c r="D5572" i="67"/>
  <c r="E5572" i="67"/>
  <c r="A5574" i="67"/>
  <c r="F5573" i="67"/>
  <c r="B5573" i="67"/>
  <c r="C5572" i="67" l="1"/>
  <c r="D5573" i="67"/>
  <c r="E5573" i="67"/>
  <c r="F5574" i="67"/>
  <c r="A5575" i="67"/>
  <c r="B5574" i="67"/>
  <c r="C5573" i="67" l="1"/>
  <c r="D5574" i="67"/>
  <c r="E5574" i="67"/>
  <c r="B5575" i="67"/>
  <c r="F5575" i="67"/>
  <c r="A5576" i="67"/>
  <c r="C5574" i="67" l="1"/>
  <c r="F5576" i="67"/>
  <c r="A5577" i="67"/>
  <c r="B5576" i="67"/>
  <c r="D5575" i="67"/>
  <c r="E5575" i="67"/>
  <c r="C5575" i="67" l="1"/>
  <c r="D5576" i="67"/>
  <c r="E5576" i="67"/>
  <c r="F5577" i="67"/>
  <c r="A5578" i="67"/>
  <c r="B5577" i="67"/>
  <c r="C5576" i="67" l="1"/>
  <c r="A5579" i="67"/>
  <c r="F5578" i="67"/>
  <c r="B5578" i="67"/>
  <c r="D5577" i="67"/>
  <c r="E5577" i="67"/>
  <c r="C5577" i="67" l="1"/>
  <c r="D5578" i="67"/>
  <c r="E5578" i="67"/>
  <c r="F5579" i="67"/>
  <c r="A5580" i="67"/>
  <c r="B5579" i="67"/>
  <c r="C5578" i="67" l="1"/>
  <c r="A5581" i="67"/>
  <c r="B5580" i="67"/>
  <c r="F5580" i="67"/>
  <c r="D5579" i="67"/>
  <c r="E5579" i="67"/>
  <c r="C5579" i="67" l="1"/>
  <c r="D5580" i="67"/>
  <c r="E5580" i="67"/>
  <c r="A5582" i="67"/>
  <c r="B5581" i="67"/>
  <c r="F5581" i="67"/>
  <c r="C5580" i="67" l="1"/>
  <c r="D5581" i="67"/>
  <c r="E5581" i="67"/>
  <c r="B5582" i="67"/>
  <c r="F5582" i="67"/>
  <c r="A5583" i="67"/>
  <c r="C5581" i="67" l="1"/>
  <c r="F5583" i="67"/>
  <c r="B5583" i="67"/>
  <c r="A5584" i="67"/>
  <c r="D5582" i="67"/>
  <c r="E5582" i="67"/>
  <c r="C5582" i="67" l="1"/>
  <c r="F5584" i="67"/>
  <c r="B5584" i="67"/>
  <c r="A5585" i="67"/>
  <c r="D5583" i="67"/>
  <c r="E5583" i="67"/>
  <c r="C5583" i="67" l="1"/>
  <c r="F5585" i="67"/>
  <c r="B5585" i="67"/>
  <c r="A5586" i="67"/>
  <c r="D5584" i="67"/>
  <c r="E5584" i="67"/>
  <c r="C5584" i="67" l="1"/>
  <c r="F5586" i="67"/>
  <c r="B5586" i="67"/>
  <c r="A5587" i="67"/>
  <c r="D5585" i="67"/>
  <c r="E5585" i="67"/>
  <c r="C5585" i="67" l="1"/>
  <c r="F5587" i="67"/>
  <c r="B5587" i="67"/>
  <c r="A5588" i="67"/>
  <c r="D5586" i="67"/>
  <c r="E5586" i="67"/>
  <c r="C5586" i="67" l="1"/>
  <c r="B5588" i="67"/>
  <c r="F5588" i="67"/>
  <c r="A5589" i="67"/>
  <c r="D5587" i="67"/>
  <c r="E5587" i="67"/>
  <c r="C5587" i="67" l="1"/>
  <c r="F5589" i="67"/>
  <c r="B5589" i="67"/>
  <c r="A5590" i="67"/>
  <c r="D5588" i="67"/>
  <c r="E5588" i="67"/>
  <c r="C5588" i="67" l="1"/>
  <c r="B5590" i="67"/>
  <c r="F5590" i="67"/>
  <c r="A5591" i="67"/>
  <c r="D5589" i="67"/>
  <c r="E5589" i="67"/>
  <c r="C5589" i="67" l="1"/>
  <c r="A5592" i="67"/>
  <c r="F5591" i="67"/>
  <c r="B5591" i="67"/>
  <c r="D5590" i="67"/>
  <c r="E5590" i="67"/>
  <c r="C5590" i="67" l="1"/>
  <c r="D5591" i="67"/>
  <c r="E5591" i="67"/>
  <c r="A5593" i="67"/>
  <c r="F5592" i="67"/>
  <c r="B5592" i="67"/>
  <c r="C5591" i="67" l="1"/>
  <c r="D5592" i="67"/>
  <c r="E5592" i="67"/>
  <c r="F5593" i="67"/>
  <c r="B5593" i="67"/>
  <c r="A5594" i="67"/>
  <c r="C5592" i="67" l="1"/>
  <c r="D5593" i="67"/>
  <c r="E5593" i="67"/>
  <c r="F5594" i="67"/>
  <c r="B5594" i="67"/>
  <c r="A5595" i="67"/>
  <c r="C5593" i="67" l="1"/>
  <c r="B5595" i="67"/>
  <c r="F5595" i="67"/>
  <c r="A5596" i="67"/>
  <c r="D5594" i="67"/>
  <c r="E5594" i="67"/>
  <c r="C5594" i="67" l="1"/>
  <c r="A5597" i="67"/>
  <c r="F5596" i="67"/>
  <c r="B5596" i="67"/>
  <c r="D5595" i="67"/>
  <c r="E5595" i="67"/>
  <c r="C5595" i="67" l="1"/>
  <c r="D5596" i="67"/>
  <c r="E5596" i="67"/>
  <c r="B5597" i="67"/>
  <c r="F5597" i="67"/>
  <c r="A5598" i="67"/>
  <c r="C5596" i="67" l="1"/>
  <c r="B5598" i="67"/>
  <c r="F5598" i="67"/>
  <c r="A5599" i="67"/>
  <c r="D5597" i="67"/>
  <c r="E5597" i="67"/>
  <c r="C5597" i="67" l="1"/>
  <c r="B5599" i="67"/>
  <c r="A5600" i="67"/>
  <c r="F5599" i="67"/>
  <c r="D5598" i="67"/>
  <c r="E5598" i="67"/>
  <c r="C5598" i="67" l="1"/>
  <c r="B5600" i="67"/>
  <c r="F5600" i="67"/>
  <c r="A5601" i="67"/>
  <c r="D5599" i="67"/>
  <c r="E5599" i="67"/>
  <c r="C5599" i="67" l="1"/>
  <c r="B5601" i="67"/>
  <c r="F5601" i="67"/>
  <c r="A5602" i="67"/>
  <c r="D5600" i="67"/>
  <c r="E5600" i="67"/>
  <c r="C5600" i="67" l="1"/>
  <c r="F5602" i="67"/>
  <c r="B5602" i="67"/>
  <c r="A5603" i="67"/>
  <c r="D5601" i="67"/>
  <c r="E5601" i="67"/>
  <c r="C5601" i="67" l="1"/>
  <c r="B5603" i="67"/>
  <c r="F5603" i="67"/>
  <c r="A5604" i="67"/>
  <c r="D5602" i="67"/>
  <c r="E5602" i="67"/>
  <c r="C5602" i="67" l="1"/>
  <c r="F5604" i="67"/>
  <c r="B5604" i="67"/>
  <c r="A5605" i="67"/>
  <c r="D5603" i="67"/>
  <c r="E5603" i="67"/>
  <c r="C5603" i="67" l="1"/>
  <c r="F5605" i="67"/>
  <c r="B5605" i="67"/>
  <c r="A5606" i="67"/>
  <c r="D5604" i="67"/>
  <c r="E5604" i="67"/>
  <c r="C5604" i="67" l="1"/>
  <c r="F5606" i="67"/>
  <c r="A5607" i="67"/>
  <c r="B5606" i="67"/>
  <c r="D5605" i="67"/>
  <c r="E5605" i="67"/>
  <c r="C5605" i="67" l="1"/>
  <c r="D5606" i="67"/>
  <c r="E5606" i="67"/>
  <c r="F5607" i="67"/>
  <c r="A5608" i="67"/>
  <c r="B5607" i="67"/>
  <c r="C5606" i="67" l="1"/>
  <c r="F5608" i="67"/>
  <c r="A5609" i="67"/>
  <c r="B5608" i="67"/>
  <c r="D5607" i="67"/>
  <c r="E5607" i="67"/>
  <c r="C5607" i="67" l="1"/>
  <c r="D5608" i="67"/>
  <c r="E5608" i="67"/>
  <c r="F5609" i="67"/>
  <c r="A5610" i="67"/>
  <c r="B5609" i="67"/>
  <c r="C5608" i="67" l="1"/>
  <c r="F5610" i="67"/>
  <c r="A5611" i="67"/>
  <c r="B5610" i="67"/>
  <c r="D5609" i="67"/>
  <c r="E5609" i="67"/>
  <c r="C5609" i="67" l="1"/>
  <c r="D5610" i="67"/>
  <c r="E5610" i="67"/>
  <c r="B5611" i="67"/>
  <c r="A5612" i="67"/>
  <c r="F5611" i="67"/>
  <c r="C5610" i="67" l="1"/>
  <c r="B5612" i="67"/>
  <c r="F5612" i="67"/>
  <c r="A5613" i="67"/>
  <c r="D5611" i="67"/>
  <c r="E5611" i="67"/>
  <c r="C5611" i="67" l="1"/>
  <c r="B5613" i="67"/>
  <c r="F5613" i="67"/>
  <c r="A5614" i="67"/>
  <c r="D5612" i="67"/>
  <c r="E5612" i="67"/>
  <c r="C5612" i="67" l="1"/>
  <c r="B5614" i="67"/>
  <c r="F5614" i="67"/>
  <c r="A5615" i="67"/>
  <c r="D5613" i="67"/>
  <c r="E5613" i="67"/>
  <c r="C5613" i="67" l="1"/>
  <c r="F5615" i="67"/>
  <c r="A5616" i="67"/>
  <c r="B5615" i="67"/>
  <c r="D5614" i="67"/>
  <c r="E5614" i="67"/>
  <c r="C5614" i="67" l="1"/>
  <c r="F5616" i="67"/>
  <c r="A5617" i="67"/>
  <c r="B5616" i="67"/>
  <c r="D5615" i="67"/>
  <c r="E5615" i="67"/>
  <c r="C5615" i="67" l="1"/>
  <c r="F5617" i="67"/>
  <c r="A5618" i="67"/>
  <c r="B5617" i="67"/>
  <c r="D5616" i="67"/>
  <c r="E5616" i="67"/>
  <c r="C5616" i="67" l="1"/>
  <c r="D5617" i="67"/>
  <c r="E5617" i="67"/>
  <c r="B5618" i="67"/>
  <c r="A5619" i="67"/>
  <c r="F5618" i="67"/>
  <c r="C5617" i="67" l="1"/>
  <c r="D5618" i="67"/>
  <c r="E5618" i="67"/>
  <c r="B5619" i="67"/>
  <c r="F5619" i="67"/>
  <c r="A5620" i="67"/>
  <c r="C5618" i="67" l="1"/>
  <c r="F5620" i="67"/>
  <c r="B5620" i="67"/>
  <c r="A5621" i="67"/>
  <c r="D5619" i="67"/>
  <c r="E5619" i="67"/>
  <c r="C5619" i="67" l="1"/>
  <c r="B5621" i="67"/>
  <c r="A5622" i="67"/>
  <c r="F5621" i="67"/>
  <c r="D5620" i="67"/>
  <c r="E5620" i="67"/>
  <c r="C5620" i="67" l="1"/>
  <c r="F5622" i="67"/>
  <c r="B5622" i="67"/>
  <c r="A5623" i="67"/>
  <c r="D5621" i="67"/>
  <c r="E5621" i="67"/>
  <c r="C5621" i="67" l="1"/>
  <c r="F5623" i="67"/>
  <c r="A5624" i="67"/>
  <c r="B5623" i="67"/>
  <c r="D5622" i="67"/>
  <c r="E5622" i="67"/>
  <c r="C5622" i="67" l="1"/>
  <c r="D5623" i="67"/>
  <c r="E5623" i="67"/>
  <c r="A5625" i="67"/>
  <c r="F5624" i="67"/>
  <c r="B5624" i="67"/>
  <c r="C5623" i="67" l="1"/>
  <c r="D5624" i="67"/>
  <c r="E5624" i="67"/>
  <c r="F5625" i="67"/>
  <c r="B5625" i="67"/>
  <c r="A5626" i="67"/>
  <c r="C5624" i="67" l="1"/>
  <c r="A5627" i="67"/>
  <c r="B5626" i="67"/>
  <c r="F5626" i="67"/>
  <c r="D5625" i="67"/>
  <c r="E5625" i="67"/>
  <c r="C5625" i="67" l="1"/>
  <c r="D5626" i="67"/>
  <c r="E5626" i="67"/>
  <c r="F5627" i="67"/>
  <c r="B5627" i="67"/>
  <c r="A5628" i="67"/>
  <c r="C5626" i="67" l="1"/>
  <c r="A5629" i="67"/>
  <c r="B5628" i="67"/>
  <c r="F5628" i="67"/>
  <c r="D5627" i="67"/>
  <c r="E5627" i="67"/>
  <c r="C5627" i="67" l="1"/>
  <c r="D5628" i="67"/>
  <c r="E5628" i="67"/>
  <c r="B5629" i="67"/>
  <c r="A5630" i="67"/>
  <c r="F5629" i="67"/>
  <c r="C5628" i="67" l="1"/>
  <c r="B5630" i="67"/>
  <c r="A5631" i="67"/>
  <c r="F5630" i="67"/>
  <c r="D5629" i="67"/>
  <c r="E5629" i="67"/>
  <c r="C5629" i="67" l="1"/>
  <c r="B5631" i="67"/>
  <c r="F5631" i="67"/>
  <c r="A5632" i="67"/>
  <c r="D5630" i="67"/>
  <c r="E5630" i="67"/>
  <c r="C5630" i="67" l="1"/>
  <c r="F5632" i="67"/>
  <c r="B5632" i="67"/>
  <c r="E2" i="58"/>
  <c r="D5631" i="67"/>
  <c r="E5631" i="67"/>
  <c r="C5631" i="67" l="1"/>
  <c r="D5632" i="67"/>
  <c r="E5632" i="67"/>
  <c r="C5632" i="6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<sst xmlns="http://schemas.openxmlformats.org/spreadsheetml/2006/main" count="276" uniqueCount="181">
  <si>
    <t>Configuration Parameter</t>
  </si>
  <si>
    <t>Value</t>
  </si>
  <si>
    <t>Description</t>
  </si>
  <si>
    <t>Strike Step Size</t>
  </si>
  <si>
    <t>Step between strikes</t>
  </si>
  <si>
    <t>Lot Size</t>
  </si>
  <si>
    <t>Contract multiplier</t>
  </si>
  <si>
    <t>Currency</t>
  </si>
  <si>
    <t>Date Start</t>
  </si>
  <si>
    <t>Start date for price data</t>
  </si>
  <si>
    <t>Date End</t>
  </si>
  <si>
    <t>End date for price data</t>
  </si>
  <si>
    <t>Batch Size</t>
  </si>
  <si>
    <t>Put Strike Min</t>
  </si>
  <si>
    <t>Minimum put strike</t>
  </si>
  <si>
    <t>Put Strike Max</t>
  </si>
  <si>
    <t>Maximum put strike</t>
  </si>
  <si>
    <t>Call Strike Min</t>
  </si>
  <si>
    <t>Minimum call strike</t>
  </si>
  <si>
    <t>Call Strike Max</t>
  </si>
  <si>
    <t>Maximum call strike</t>
  </si>
  <si>
    <t>Month</t>
  </si>
  <si>
    <t>Call Code</t>
  </si>
  <si>
    <t>Put Code</t>
  </si>
  <si>
    <t>A</t>
  </si>
  <si>
    <t>M</t>
  </si>
  <si>
    <t>B</t>
  </si>
  <si>
    <t>N</t>
  </si>
  <si>
    <t>C</t>
  </si>
  <si>
    <t>O</t>
  </si>
  <si>
    <t>D</t>
  </si>
  <si>
    <t>P</t>
  </si>
  <si>
    <t>E</t>
  </si>
  <si>
    <t>Q</t>
  </si>
  <si>
    <t>F</t>
  </si>
  <si>
    <t>R</t>
  </si>
  <si>
    <t>G</t>
  </si>
  <si>
    <t>S</t>
  </si>
  <si>
    <t>H</t>
  </si>
  <si>
    <t>T</t>
  </si>
  <si>
    <t>I</t>
  </si>
  <si>
    <t>U</t>
  </si>
  <si>
    <t>J</t>
  </si>
  <si>
    <t>V</t>
  </si>
  <si>
    <t>K</t>
  </si>
  <si>
    <t>W</t>
  </si>
  <si>
    <t>L</t>
  </si>
  <si>
    <t>X</t>
  </si>
  <si>
    <t>Maturity Dates to Process</t>
  </si>
  <si>
    <t>Maturity Date</t>
  </si>
  <si>
    <t>Status</t>
  </si>
  <si>
    <t>Reference</t>
  </si>
  <si>
    <t>Name</t>
  </si>
  <si>
    <t>Date</t>
  </si>
  <si>
    <t>Spot</t>
  </si>
  <si>
    <t>Maturity</t>
  </si>
  <si>
    <t>Type</t>
  </si>
  <si>
    <t>Spot_Date</t>
  </si>
  <si>
    <t>Premium</t>
  </si>
  <si>
    <t>Ticker</t>
  </si>
  <si>
    <t>Interest_rate</t>
  </si>
  <si>
    <t>Strike</t>
  </si>
  <si>
    <t>Implied_Volatility</t>
  </si>
  <si>
    <t>Delta</t>
  </si>
  <si>
    <t>Vega</t>
  </si>
  <si>
    <t>Gamma</t>
  </si>
  <si>
    <t>Theta</t>
  </si>
  <si>
    <t>Rho</t>
  </si>
  <si>
    <t>Lot_size</t>
  </si>
  <si>
    <t>ccy_pair</t>
  </si>
  <si>
    <t>Dividend</t>
  </si>
  <si>
    <t>DDELTA/DVOL</t>
  </si>
  <si>
    <t>DDELTA/DVOLDVOL</t>
  </si>
  <si>
    <t>DDELTA/DTIME</t>
  </si>
  <si>
    <t>DGAMMA/DSPOT</t>
  </si>
  <si>
    <t>DGAMMA/DVOL</t>
  </si>
  <si>
    <t>DVEGA/DVOL</t>
  </si>
  <si>
    <t>DVEGA/DVOLDVOL</t>
  </si>
  <si>
    <t>Start</t>
  </si>
  <si>
    <t>End</t>
  </si>
  <si>
    <t>RFR</t>
  </si>
  <si>
    <t>Last Price</t>
  </si>
  <si>
    <t>Ask Price</t>
  </si>
  <si>
    <t>Strike Ranges</t>
  </si>
  <si>
    <t>RIC</t>
  </si>
  <si>
    <t>Month Code</t>
  </si>
  <si>
    <t>Year</t>
  </si>
  <si>
    <t>Call</t>
  </si>
  <si>
    <t>Put</t>
  </si>
  <si>
    <t>Y</t>
  </si>
  <si>
    <t>Z</t>
  </si>
  <si>
    <t>Processed</t>
  </si>
  <si>
    <t>Interest_Rate</t>
  </si>
  <si>
    <t>RIC_Row_Ref</t>
  </si>
  <si>
    <t>Chain RIC</t>
  </si>
  <si>
    <t>Chain Data</t>
  </si>
  <si>
    <t>RATES</t>
  </si>
  <si>
    <t>UNDERLYINGS</t>
  </si>
  <si>
    <t>Name Prefix</t>
  </si>
  <si>
    <t>strikes/maturities</t>
  </si>
  <si>
    <t>combination</t>
  </si>
  <si>
    <t>Get from</t>
  </si>
  <si>
    <t>option chain</t>
  </si>
  <si>
    <t>START PROCESS</t>
  </si>
  <si>
    <t>Underlyings detected</t>
  </si>
  <si>
    <t>Chain Index</t>
  </si>
  <si>
    <t>Clean Chain RIC</t>
  </si>
  <si>
    <t>Option Column</t>
  </si>
  <si>
    <t>USD</t>
  </si>
  <si>
    <t>USD3MOIS=</t>
  </si>
  <si>
    <t>USD6MOIS=</t>
  </si>
  <si>
    <t>USDAM3L1Y=</t>
  </si>
  <si>
    <t>USDAM3L2Y=</t>
  </si>
  <si>
    <t>NON-EXPIRED PROCESS</t>
  </si>
  <si>
    <t>EXPIRED  OPTIONS</t>
  </si>
  <si>
    <t>tickers downloaded per batch</t>
  </si>
  <si>
    <t>COMMON PARAMETERS</t>
  </si>
  <si>
    <t>MONTHLY DOWNLOADS</t>
  </si>
  <si>
    <t>PREDEFINED VALUES</t>
  </si>
  <si>
    <t>LSEG root RIC for options - Use for chain</t>
  </si>
  <si>
    <t>Currency code - Used for RFR</t>
  </si>
  <si>
    <t>Name recorded in csv data</t>
  </si>
  <si>
    <t>Bloom_Ticker</t>
  </si>
  <si>
    <t>.BNSXFRXE</t>
  </si>
  <si>
    <t>EURIBOR3MD=</t>
  </si>
  <si>
    <t>EURIBOR6MD=</t>
  </si>
  <si>
    <t>EURAB6E1Y=</t>
  </si>
  <si>
    <t>RFR USD</t>
  </si>
  <si>
    <t>RFR EUR</t>
  </si>
  <si>
    <t>Underlying LSEG</t>
  </si>
  <si>
    <t>Opt Root RIC</t>
  </si>
  <si>
    <t>Underlying Root BB</t>
  </si>
  <si>
    <t>BB root for underlying</t>
  </si>
  <si>
    <t>RIC Daily Codes Reference</t>
  </si>
  <si>
    <t>RIC Weekly Codes Reference</t>
  </si>
  <si>
    <t>EUR</t>
  </si>
  <si>
    <t>Future</t>
  </si>
  <si>
    <t>Method to convert RIC to BB</t>
  </si>
  <si>
    <t>Opt Root BB (weekly only)</t>
  </si>
  <si>
    <t>Monthly</t>
  </si>
  <si>
    <t>BB root for options (use underlying If empty</t>
  </si>
  <si>
    <t>Method Underlying RIC/BB</t>
  </si>
  <si>
    <t>Chain 0 (0#/OGBMG26+)</t>
  </si>
  <si>
    <t>Chain 1 (0#/OGBMH26+)</t>
  </si>
  <si>
    <t>Chain 2 (0#/OGBMJ26+)</t>
  </si>
  <si>
    <t>Chain 3 (0#/OGBMM26+)</t>
  </si>
  <si>
    <t>FGBMM26</t>
  </si>
  <si>
    <t>FGBMH26</t>
  </si>
  <si>
    <t>OEH26 Comdty</t>
  </si>
  <si>
    <t>OGBM1112C6</t>
  </si>
  <si>
    <t>Underlying Root RIC</t>
  </si>
  <si>
    <t>LSEG underlying root ric (Expired only)</t>
  </si>
  <si>
    <t>RIC Month Codes - OPTIONS</t>
  </si>
  <si>
    <t>Bloom</t>
  </si>
  <si>
    <t>Delivery Same Month</t>
  </si>
  <si>
    <t>Use to estimate month code based of maturity</t>
  </si>
  <si>
    <t>Month Codes - FUTURES</t>
  </si>
  <si>
    <t>Added: 2025-12-22 16:53</t>
  </si>
  <si>
    <t>Process_Time</t>
  </si>
  <si>
    <t>IV</t>
  </si>
  <si>
    <t>Validation</t>
  </si>
  <si>
    <t>Error_Message</t>
  </si>
  <si>
    <t>RIC_Underlying</t>
  </si>
  <si>
    <t>OEH26 C111.25</t>
  </si>
  <si>
    <t>BOBL Future Option C 111.25 Feb-2026</t>
  </si>
  <si>
    <t>Internal Id</t>
  </si>
  <si>
    <t>Internal Id if any.</t>
  </si>
  <si>
    <t>Internal_ID</t>
  </si>
  <si>
    <t>XXX Future Option</t>
  </si>
  <si>
    <t>Next Month</t>
  </si>
  <si>
    <t>GBP</t>
  </si>
  <si>
    <t>GBP3MOIS=</t>
  </si>
  <si>
    <t>RFR GBP</t>
  </si>
  <si>
    <t>RIC strike multiplier</t>
  </si>
  <si>
    <t>Used to build option RIC and strike format</t>
  </si>
  <si>
    <t>Monthly or weekly</t>
  </si>
  <si>
    <t>In case of hard stop through Escape and Stop, click on button below to clean background execution</t>
  </si>
  <si>
    <t>No Longer used in this file version</t>
  </si>
  <si>
    <t>Underlying Month Code</t>
  </si>
  <si>
    <t>To adjust underlying month code</t>
  </si>
  <si>
    <t>Same 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</si>
</sst>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mm/dd/yyyy"/>
    <numFmt numFmtId="165" formatCode="0.0000"/>
    <numFmt numFmtId="166" formatCode="_(* #,##0.00_);_(* \(#,##0.00\);_(* &quot;-&quot;??_);_(@_)"/>
    <numFmt numFmtId="167" formatCode="yyyy\-mm\-dd\ hh:mm:ss"/>
    <numFmt numFmtId="168" formatCode="#,##0.0"/>
    <numFmt numFmtId="169" formatCode="0.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/>
      <top/>
      <bottom/>
      <diagonal/>
    </border>
    <border>
      <left/>
      <right/>
      <top style="dotted">
        <color auto="1"/>
      </top>
      <bottom/>
      <diagonal/>
    </border>
    <border>
      <left/>
      <right style="dotted">
        <color auto="1"/>
      </right>
      <top style="dotted">
        <color auto="1"/>
      </top>
      <bottom/>
      <diagonal/>
    </border>
    <border>
      <left/>
      <right style="dotted">
        <color auto="1"/>
      </right>
      <top/>
      <bottom/>
      <diagonal/>
    </border>
    <border>
      <left/>
      <right/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6" fontId="1" fillId="0" borderId="0" applyFont="0" applyFill="0" applyBorder="0" applyAlignment="0" applyProtection="0"/>
  </cellStyleXfs>
  <cellXfs count="65">
    <xf numFmtId="0" fontId="0" fillId="0" borderId="0" xfId="0"/>
    <xf numFmtId="14" fontId="0" fillId="0" borderId="0" xfId="0" applyNumberFormat="1"/>
    <xf numFmtId="0" fontId="2" fillId="0" borderId="0" xfId="0" applyFont="1"/>
    <xf numFmtId="0" fontId="2" fillId="2" borderId="0" xfId="0" applyFont="1" applyFill="1"/>
    <xf numFmtId="164" fontId="0" fillId="0" borderId="0" xfId="0" applyNumberFormat="1"/>
    <xf numFmtId="0" fontId="2" fillId="2" borderId="1" xfId="0" applyFont="1" applyFill="1" applyBorder="1"/>
    <xf numFmtId="0" fontId="0" fillId="0" borderId="1" xfId="0" applyBorder="1"/>
    <xf numFmtId="164" fontId="0" fillId="0" borderId="1" xfId="0" applyNumberFormat="1" applyBorder="1"/>
    <xf numFmtId="0" fontId="2" fillId="0" borderId="1" xfId="0" applyFont="1" applyBorder="1"/>
    <xf numFmtId="0" fontId="2" fillId="3" borderId="1" xfId="0" applyFont="1" applyFill="1" applyBorder="1"/>
    <xf numFmtId="10" fontId="0" fillId="0" borderId="0" xfId="0" applyNumberFormat="1"/>
    <xf numFmtId="0" fontId="2" fillId="4" borderId="0" xfId="0" applyFont="1" applyFill="1"/>
    <xf numFmtId="0" fontId="2" fillId="4" borderId="0" xfId="0" applyFont="1" applyFill="1" applyAlignment="1">
      <alignment wrapText="1"/>
    </xf>
    <xf numFmtId="165" fontId="2" fillId="4" borderId="0" xfId="0" applyNumberFormat="1" applyFont="1" applyFill="1" applyAlignment="1">
      <alignment wrapText="1"/>
    </xf>
    <xf numFmtId="165" fontId="0" fillId="0" borderId="0" xfId="0" applyNumberFormat="1"/>
    <xf numFmtId="0" fontId="0" fillId="0" borderId="0" xfId="0" quotePrefix="1"/>
    <xf numFmtId="14" fontId="0" fillId="0" borderId="1" xfId="0" applyNumberFormat="1" applyBorder="1"/>
    <xf numFmtId="2" fontId="0" fillId="0" borderId="0" xfId="0" applyNumberFormat="1"/>
    <xf numFmtId="0" fontId="3" fillId="0" borderId="0" xfId="2"/>
    <xf numFmtId="22" fontId="0" fillId="0" borderId="0" xfId="0" applyNumberFormat="1" applyAlignment="1">
      <alignment vertical="center" wrapText="1"/>
    </xf>
    <xf numFmtId="0" fontId="0" fillId="0" borderId="0" xfId="1" applyNumberFormat="1" applyFont="1"/>
    <xf numFmtId="165" fontId="0" fillId="0" borderId="0" xfId="1" applyNumberFormat="1" applyFont="1"/>
    <xf numFmtId="0" fontId="0" fillId="5" borderId="0" xfId="0" applyFill="1"/>
    <xf numFmtId="0" fontId="0" fillId="5" borderId="1" xfId="0" applyFill="1" applyBorder="1"/>
    <xf numFmtId="1" fontId="0" fillId="5" borderId="1" xfId="0" applyNumberFormat="1" applyFill="1" applyBorder="1"/>
    <xf numFmtId="14" fontId="0" fillId="5" borderId="1" xfId="0" applyNumberFormat="1" applyFill="1" applyBorder="1"/>
    <xf numFmtId="164" fontId="2" fillId="2" borderId="0" xfId="0" applyNumberFormat="1" applyFont="1" applyFill="1"/>
    <xf numFmtId="0" fontId="0" fillId="0" borderId="3" xfId="0" applyBorder="1"/>
    <xf numFmtId="19" fontId="0" fillId="0" borderId="0" xfId="0" applyNumberFormat="1"/>
    <xf numFmtId="0" fontId="0" fillId="6" borderId="0" xfId="0" applyFill="1"/>
    <xf numFmtId="167" fontId="2" fillId="4" borderId="0" xfId="0" applyNumberFormat="1" applyFont="1" applyFill="1" applyAlignment="1">
      <alignment wrapText="1"/>
    </xf>
    <xf numFmtId="167" fontId="0" fillId="0" borderId="0" xfId="0" applyNumberFormat="1"/>
    <xf numFmtId="167" fontId="2" fillId="0" borderId="0" xfId="0" applyNumberFormat="1" applyFont="1"/>
    <xf numFmtId="168" fontId="0" fillId="5" borderId="1" xfId="0" applyNumberFormat="1" applyFill="1" applyBorder="1"/>
    <xf numFmtId="0" fontId="6" fillId="0" borderId="0" xfId="0" applyFont="1"/>
    <xf numFmtId="169" fontId="0" fillId="5" borderId="1" xfId="0" applyNumberFormat="1" applyFill="1" applyBorder="1"/>
    <xf numFmtId="3" fontId="2" fillId="2" borderId="0" xfId="0" applyNumberFormat="1" applyFont="1" applyFill="1"/>
    <xf numFmtId="3" fontId="0" fillId="0" borderId="0" xfId="0" applyNumberFormat="1"/>
    <xf numFmtId="0" fontId="2" fillId="7" borderId="0" xfId="0" applyFont="1" applyFill="1"/>
    <xf numFmtId="0" fontId="0" fillId="7" borderId="0" xfId="0" applyFill="1"/>
    <xf numFmtId="0" fontId="5" fillId="6" borderId="0" xfId="0" applyFont="1" applyFill="1"/>
    <xf numFmtId="0" fontId="0" fillId="0" borderId="4" xfId="0" applyBorder="1"/>
    <xf numFmtId="0" fontId="2" fillId="8" borderId="0" xfId="0" applyFont="1" applyFill="1"/>
    <xf numFmtId="0" fontId="0" fillId="8" borderId="0" xfId="0" applyFill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9" borderId="5" xfId="0" applyFill="1" applyBorder="1"/>
    <xf numFmtId="0" fontId="0" fillId="9" borderId="0" xfId="0" applyFill="1"/>
    <xf numFmtId="0" fontId="0" fillId="9" borderId="8" xfId="0" applyFill="1" applyBorder="1"/>
    <xf numFmtId="0" fontId="0" fillId="9" borderId="6" xfId="0" applyFill="1" applyBorder="1"/>
    <xf numFmtId="0" fontId="0" fillId="9" borderId="7" xfId="0" applyFill="1" applyBorder="1"/>
    <xf numFmtId="0" fontId="0" fillId="9" borderId="9" xfId="0" applyFill="1" applyBorder="1"/>
    <xf numFmtId="0" fontId="6" fillId="9" borderId="0" xfId="0" applyFont="1" applyFill="1"/>
    <xf numFmtId="0" fontId="0" fillId="9" borderId="0" xfId="0" quotePrefix="1" applyFill="1" applyAlignment="1">
      <alignment horizontal="right"/>
    </xf>
    <xf numFmtId="0" fontId="8" fillId="9" borderId="0" xfId="0" applyFont="1" applyFill="1"/>
    <xf numFmtId="0" fontId="8" fillId="9" borderId="5" xfId="0" applyFont="1" applyFill="1" applyBorder="1"/>
    <xf numFmtId="0" fontId="0" fillId="9" borderId="2" xfId="0" applyFill="1" applyBorder="1"/>
    <xf numFmtId="0" fontId="0" fillId="9" borderId="10" xfId="0" applyFill="1" applyBorder="1"/>
    <xf numFmtId="0" fontId="0" fillId="10" borderId="1" xfId="0" applyFill="1" applyBorder="1"/>
    <xf numFmtId="0" fontId="0" fillId="11" borderId="1" xfId="0" applyFill="1" applyBorder="1"/>
    <xf numFmtId="22" fontId="0" fillId="0" borderId="0" xfId="0" applyNumberFormat="1"/>
    <xf numFmtId="10" fontId="0" fillId="0" borderId="0" xfId="1" applyNumberFormat="1" applyFont="1"/>
    <xf numFmtId="0" fontId="0" fillId="0" borderId="11" xfId="0" applyBorder="1"/>
  </cellXfs>
  <cellStyles count="4">
    <cellStyle name="Comma 2" xfId="3" xr:uid="{092BF0E6-F61F-4FF2-8657-2F76BC0BE087}"/>
    <cellStyle name="Hyperlink" xfId="2" builtinId="8"/>
    <cellStyle name="Normal" xfId="0" builtinId="0"/>
    <cellStyle name="Per cent" xfId="1" builtinId="5"/>
  </cellStyles>
  <dxfs count="3"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finitivshim.rtdserver.rhistory">
      <tp t="s">
        <v>Not Signed In</v>
        <stp/>
        <stp>12</stp>
        <stp>1047501593</stp>
        <tr r="AN11" s="67"/>
      </tp>
      <tp t="s">
        <v>Not Signed In</v>
        <stp/>
        <stp>10</stp>
        <stp>1047501593</stp>
        <tr r="AF11" s="67"/>
      </tp>
      <tp t="s">
        <v>Not Signed In</v>
        <stp/>
        <stp>11</stp>
        <stp>1047501593</stp>
        <tr r="V11" s="67"/>
      </tp>
      <tp t="s">
        <v>Not Signed In</v>
        <stp/>
        <stp>1</stp>
        <stp>1047501593</stp>
        <tr r="A2" s="58"/>
      </tp>
      <tp t="s">
        <v>Not Signed In</v>
        <stp/>
        <stp>3</stp>
        <stp>1047501593</stp>
        <tr r="BA11" s="67"/>
      </tp>
      <tp t="s">
        <v>Not Signed In</v>
        <stp/>
        <stp>2</stp>
        <stp>1047501593</stp>
        <tr r="AX11" s="67"/>
      </tp>
      <tp t="s">
        <v>Not Signed In</v>
        <stp/>
        <stp>5</stp>
        <stp>1047501593</stp>
        <tr r="J11" s="67"/>
      </tp>
      <tp t="s">
        <v>Not Signed In</v>
        <stp/>
        <stp>4</stp>
        <stp>1047501593</stp>
        <tr r="AJ11" s="67"/>
      </tp>
      <tp t="s">
        <v>Not Signed In</v>
        <stp/>
        <stp>7</stp>
        <stp>1047501593</stp>
        <tr r="R11" s="67"/>
      </tp>
      <tp t="s">
        <v>Not Signed In</v>
        <stp/>
        <stp>6</stp>
        <stp>1047501593</stp>
        <tr r="N11" s="67"/>
      </tp>
      <tp t="s">
        <v>Not Signed In</v>
        <stp/>
        <stp>9</stp>
        <stp>1047501593</stp>
        <tr r="AS11" s="67"/>
      </tp>
      <tp t="s">
        <v>Not Signed In</v>
        <stp/>
        <stp>8</stp>
        <stp>1047501593</stp>
        <tr r="AB11" s="67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'Future et co'!#REF!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'Future et co'!#REF!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C5E8-4FF0-8C3D-D40AA2CE4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112639"/>
        <c:axId val="693897952"/>
      </c:lineChart>
      <c:catAx>
        <c:axId val="29011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897952"/>
        <c:crosses val="autoZero"/>
        <c:auto val="1"/>
        <c:lblAlgn val="ctr"/>
        <c:lblOffset val="100"/>
        <c:noMultiLvlLbl val="1"/>
      </c:catAx>
      <c:valAx>
        <c:axId val="69389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11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'Future et co'!#REF!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'Future et co'!#REF!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880D-4D80-97E9-61644ACF4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27679"/>
        <c:axId val="693902528"/>
      </c:lineChart>
      <c:catAx>
        <c:axId val="2382767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02528"/>
        <c:crosses val="autoZero"/>
        <c:auto val="1"/>
        <c:lblAlgn val="ctr"/>
        <c:lblOffset val="100"/>
        <c:noMultiLvlLbl val="1"/>
      </c:catAx>
      <c:valAx>
        <c:axId val="6939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7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'Future et co'!#REF!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8E-4687-ABB3-B11522883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0231232"/>
        <c:axId val="693910848"/>
      </c:lineChart>
      <c:catAx>
        <c:axId val="690231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10848"/>
        <c:crosses val="autoZero"/>
        <c:auto val="1"/>
        <c:lblAlgn val="ctr"/>
        <c:lblOffset val="100"/>
        <c:noMultiLvlLbl val="0"/>
      </c:catAx>
      <c:valAx>
        <c:axId val="69391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23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C9E1-4B97-9AA7-32D0954E8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112639"/>
        <c:axId val="693897952"/>
      </c:lineChart>
      <c:catAx>
        <c:axId val="29011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897952"/>
        <c:crosses val="autoZero"/>
        <c:auto val="1"/>
        <c:lblAlgn val="ctr"/>
        <c:lblOffset val="100"/>
        <c:noMultiLvlLbl val="0"/>
      </c:catAx>
      <c:valAx>
        <c:axId val="69389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11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2B71-4B3D-BB6D-E5EEC2B3A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27679"/>
        <c:axId val="693902528"/>
      </c:lineChart>
      <c:catAx>
        <c:axId val="2382767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02528"/>
        <c:crosses val="autoZero"/>
        <c:auto val="1"/>
        <c:lblAlgn val="ctr"/>
        <c:lblOffset val="100"/>
        <c:noMultiLvlLbl val="0"/>
      </c:catAx>
      <c:valAx>
        <c:axId val="6939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7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9E35-443A-B7C7-F3A02B06E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112639"/>
        <c:axId val="693897952"/>
      </c:lineChart>
      <c:catAx>
        <c:axId val="29011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897952"/>
        <c:crosses val="autoZero"/>
        <c:auto val="1"/>
        <c:lblAlgn val="ctr"/>
        <c:lblOffset val="100"/>
        <c:noMultiLvlLbl val="0"/>
      </c:catAx>
      <c:valAx>
        <c:axId val="69389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11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7B10-44FA-A706-1984D3CB1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27679"/>
        <c:axId val="693902528"/>
      </c:lineChart>
      <c:catAx>
        <c:axId val="2382767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02528"/>
        <c:crosses val="autoZero"/>
        <c:auto val="1"/>
        <c:lblAlgn val="ctr"/>
        <c:lblOffset val="100"/>
        <c:noMultiLvlLbl val="0"/>
      </c:catAx>
      <c:valAx>
        <c:axId val="6939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7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89</xdr:row>
          <xdr:rowOff>99060</xdr:rowOff>
        </xdr:from>
        <xdr:to>
          <xdr:col>9</xdr:col>
          <xdr:colOff>403860</xdr:colOff>
          <xdr:row>92</xdr:row>
          <xdr:rowOff>99060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4- START DOWNLOAD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236220</xdr:colOff>
          <xdr:row>23</xdr:row>
          <xdr:rowOff>53340</xdr:rowOff>
        </xdr:from>
        <xdr:to>
          <xdr:col>9</xdr:col>
          <xdr:colOff>563880</xdr:colOff>
          <xdr:row>26</xdr:row>
          <xdr:rowOff>99060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1 -EXPIRED OPTIONS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RIC List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From LSEG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1607820</xdr:colOff>
          <xdr:row>23</xdr:row>
          <xdr:rowOff>175260</xdr:rowOff>
        </xdr:from>
        <xdr:to>
          <xdr:col>3</xdr:col>
          <xdr:colOff>30480</xdr:colOff>
          <xdr:row>27</xdr:row>
          <xdr:rowOff>38100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0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1- LIVE OPTIONS 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RIC List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From Option Chain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220980</xdr:colOff>
          <xdr:row>57</xdr:row>
          <xdr:rowOff>167640</xdr:rowOff>
        </xdr:from>
        <xdr:to>
          <xdr:col>3</xdr:col>
          <xdr:colOff>617220</xdr:colOff>
          <xdr:row>60</xdr:row>
          <xdr:rowOff>76200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0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2- DOWNLOAD UNDERLYINGS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</xdr:colOff>
          <xdr:row>89</xdr:row>
          <xdr:rowOff>91440</xdr:rowOff>
        </xdr:from>
        <xdr:to>
          <xdr:col>3</xdr:col>
          <xdr:colOff>632460</xdr:colOff>
          <xdr:row>92</xdr:row>
          <xdr:rowOff>91440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0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3- START DOWNLOAD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</xdr:colOff>
          <xdr:row>57</xdr:row>
          <xdr:rowOff>106680</xdr:rowOff>
        </xdr:from>
        <xdr:to>
          <xdr:col>9</xdr:col>
          <xdr:colOff>502920</xdr:colOff>
          <xdr:row>60</xdr:row>
          <xdr:rowOff>7620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0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3- DOWNLOAD UNDERLYINGS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</xdr:colOff>
          <xdr:row>4</xdr:row>
          <xdr:rowOff>68580</xdr:rowOff>
        </xdr:from>
        <xdr:to>
          <xdr:col>7</xdr:col>
          <xdr:colOff>617220</xdr:colOff>
          <xdr:row>6</xdr:row>
          <xdr:rowOff>152400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0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Emergency Stop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217</xdr:row>
      <xdr:rowOff>57150</xdr:rowOff>
    </xdr:from>
    <xdr:to>
      <xdr:col>12</xdr:col>
      <xdr:colOff>306160</xdr:colOff>
      <xdr:row>231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34AA47-4128-43C6-87E5-604E8833A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4156</xdr:row>
      <xdr:rowOff>57150</xdr:rowOff>
    </xdr:from>
    <xdr:to>
      <xdr:col>10</xdr:col>
      <xdr:colOff>340179</xdr:colOff>
      <xdr:row>4170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30A0335-2512-4303-B2FC-E2D7630BC1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4916</xdr:row>
      <xdr:rowOff>27214</xdr:rowOff>
    </xdr:from>
    <xdr:to>
      <xdr:col>10</xdr:col>
      <xdr:colOff>340179</xdr:colOff>
      <xdr:row>4945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4352828-E217-48F7-933A-B8F82B75B4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217</xdr:row>
      <xdr:rowOff>57150</xdr:rowOff>
    </xdr:from>
    <xdr:to>
      <xdr:col>30</xdr:col>
      <xdr:colOff>306160</xdr:colOff>
      <xdr:row>231</xdr:row>
      <xdr:rowOff>133350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373697E-B081-461A-BF89-FA007938A2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4156</xdr:row>
      <xdr:rowOff>57150</xdr:rowOff>
    </xdr:from>
    <xdr:to>
      <xdr:col>28</xdr:col>
      <xdr:colOff>340179</xdr:colOff>
      <xdr:row>4170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7384DAF-F695-4292-9310-543FF4B78D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43</xdr:col>
      <xdr:colOff>0</xdr:colOff>
      <xdr:row>217</xdr:row>
      <xdr:rowOff>57150</xdr:rowOff>
    </xdr:from>
    <xdr:to>
      <xdr:col>47</xdr:col>
      <xdr:colOff>306160</xdr:colOff>
      <xdr:row>231</xdr:row>
      <xdr:rowOff>133350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59D7F7F-857D-453E-A726-0FF651F529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43</xdr:col>
      <xdr:colOff>0</xdr:colOff>
      <xdr:row>4156</xdr:row>
      <xdr:rowOff>57150</xdr:rowOff>
    </xdr:from>
    <xdr:to>
      <xdr:col>47</xdr:col>
      <xdr:colOff>0</xdr:colOff>
      <xdr:row>4170</xdr:row>
      <xdr:rowOff>133350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6033E4F-45A9-4852-A5CA-9DC9734F3C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956C-BCC8-455B-92C4-AF481A7F31EC}">
  <sheetPr codeName="Sheet54">
    <tabColor rgb="FFFFC000"/>
  </sheetPr>
  <dimension ref="A1:W94"/>
  <sheetViews>
    <sheetView showGridLines="0" tabSelected="1" zoomScale="85" zoomScaleNormal="85" workbookViewId="0">
      <pane ySplit="19" topLeftCell="A20" activePane="bottomLeft" state="frozen"/>
      <selection pane="bottomLeft" activeCell="H13" sqref="H13"/>
    </sheetView>
  </sheetViews>
  <sheetFormatPr defaultRowHeight="14.4" x14ac:dyDescent="0.3"/>
  <cols>
    <col min="1" max="1" width="1.6640625" style="41" customWidth="1"/>
    <col min="2" max="2" width="23.88671875" bestFit="1" customWidth="1"/>
    <col min="3" max="3" width="26.6640625" bestFit="1" customWidth="1"/>
    <col min="4" max="4" width="41.33203125" customWidth="1"/>
    <col min="6" max="6" width="10.44140625" bestFit="1" customWidth="1"/>
    <col min="7" max="7" width="17.5546875" customWidth="1"/>
    <col min="8" max="8" width="14" customWidth="1"/>
    <col min="11" max="11" width="9" bestFit="1" customWidth="1"/>
    <col min="12" max="12" width="17.44140625" customWidth="1"/>
    <col min="13" max="13" width="11.5546875" customWidth="1"/>
    <col min="14" max="14" width="20.21875" bestFit="1" customWidth="1"/>
    <col min="16" max="16" width="1.77734375" style="41" customWidth="1"/>
    <col min="22" max="22" width="11.77734375" customWidth="1"/>
  </cols>
  <sheetData>
    <row r="1" spans="2:23" ht="18" x14ac:dyDescent="0.35">
      <c r="B1" s="34" t="s">
        <v>117</v>
      </c>
    </row>
    <row r="2" spans="2:23" x14ac:dyDescent="0.3">
      <c r="B2" s="38" t="s">
        <v>116</v>
      </c>
      <c r="C2" s="39"/>
      <c r="D2" s="39"/>
      <c r="E2" s="39"/>
      <c r="F2" s="39"/>
      <c r="G2" s="39"/>
      <c r="H2" s="39"/>
      <c r="I2" s="39"/>
      <c r="J2" s="39"/>
      <c r="K2" s="39"/>
      <c r="Q2" s="42" t="s">
        <v>118</v>
      </c>
      <c r="R2" s="43"/>
      <c r="S2" s="43"/>
      <c r="T2" s="43"/>
      <c r="U2" s="43"/>
      <c r="V2" s="43"/>
      <c r="W2" s="43"/>
    </row>
    <row r="4" spans="2:23" x14ac:dyDescent="0.3">
      <c r="B4" s="5" t="s">
        <v>0</v>
      </c>
      <c r="C4" s="5" t="s">
        <v>1</v>
      </c>
      <c r="D4" s="5" t="s">
        <v>2</v>
      </c>
      <c r="G4" s="2" t="s">
        <v>176</v>
      </c>
    </row>
    <row r="5" spans="2:23" x14ac:dyDescent="0.3">
      <c r="B5" s="60" t="s">
        <v>150</v>
      </c>
      <c r="C5" s="23"/>
      <c r="D5" s="6" t="s">
        <v>151</v>
      </c>
      <c r="E5" s="15"/>
      <c r="F5" s="15"/>
      <c r="Q5" s="8" t="s">
        <v>152</v>
      </c>
      <c r="R5" s="6"/>
      <c r="S5" s="6"/>
      <c r="U5" s="8" t="s">
        <v>133</v>
      </c>
      <c r="V5" s="27"/>
    </row>
    <row r="6" spans="2:23" x14ac:dyDescent="0.3">
      <c r="B6" s="60" t="s">
        <v>130</v>
      </c>
      <c r="C6" s="23"/>
      <c r="D6" s="6" t="s">
        <v>119</v>
      </c>
      <c r="E6" s="15"/>
      <c r="F6" s="15"/>
      <c r="Q6" s="9" t="s">
        <v>21</v>
      </c>
      <c r="R6" s="9" t="s">
        <v>22</v>
      </c>
      <c r="S6" s="9" t="s">
        <v>23</v>
      </c>
      <c r="U6" s="9" t="s">
        <v>87</v>
      </c>
      <c r="V6" s="6" t="s">
        <v>89</v>
      </c>
    </row>
    <row r="7" spans="2:23" x14ac:dyDescent="0.3">
      <c r="B7" s="61" t="s">
        <v>131</v>
      </c>
      <c r="C7" s="23"/>
      <c r="D7" s="6" t="s">
        <v>132</v>
      </c>
      <c r="E7" s="15"/>
      <c r="F7" s="15"/>
      <c r="Q7" s="6">
        <v>1</v>
      </c>
      <c r="R7" s="6" t="s">
        <v>24</v>
      </c>
      <c r="S7" s="6" t="s">
        <v>25</v>
      </c>
      <c r="U7" s="9" t="s">
        <v>88</v>
      </c>
      <c r="V7" s="6" t="s">
        <v>90</v>
      </c>
    </row>
    <row r="8" spans="2:23" x14ac:dyDescent="0.3">
      <c r="B8" s="61" t="s">
        <v>138</v>
      </c>
      <c r="C8" s="23"/>
      <c r="D8" s="6" t="s">
        <v>140</v>
      </c>
      <c r="E8" s="15"/>
      <c r="F8" s="15"/>
      <c r="Q8" s="6">
        <v>2</v>
      </c>
      <c r="R8" s="6" t="s">
        <v>26</v>
      </c>
      <c r="S8" s="6" t="s">
        <v>27</v>
      </c>
    </row>
    <row r="9" spans="2:23" x14ac:dyDescent="0.3">
      <c r="B9" s="6" t="s">
        <v>56</v>
      </c>
      <c r="C9" s="33" t="s">
        <v>139</v>
      </c>
      <c r="D9" s="6" t="s">
        <v>175</v>
      </c>
      <c r="E9" s="15"/>
      <c r="F9" s="15"/>
      <c r="Q9" s="6">
        <v>3</v>
      </c>
      <c r="R9" s="6" t="s">
        <v>28</v>
      </c>
      <c r="S9" s="6" t="s">
        <v>29</v>
      </c>
      <c r="U9" s="8" t="s">
        <v>134</v>
      </c>
      <c r="V9" s="27"/>
    </row>
    <row r="10" spans="2:23" x14ac:dyDescent="0.3">
      <c r="B10" s="6" t="s">
        <v>154</v>
      </c>
      <c r="C10" s="23" t="s">
        <v>169</v>
      </c>
      <c r="D10" s="6" t="s">
        <v>155</v>
      </c>
      <c r="E10" s="15"/>
      <c r="F10" s="15"/>
      <c r="Q10" s="6">
        <v>4</v>
      </c>
      <c r="R10" s="6" t="s">
        <v>30</v>
      </c>
      <c r="S10" s="6" t="s">
        <v>31</v>
      </c>
      <c r="U10" s="9" t="s">
        <v>87</v>
      </c>
      <c r="V10" s="6" t="s">
        <v>89</v>
      </c>
    </row>
    <row r="11" spans="2:23" x14ac:dyDescent="0.3">
      <c r="B11" s="6" t="s">
        <v>141</v>
      </c>
      <c r="C11" s="23" t="s">
        <v>136</v>
      </c>
      <c r="D11" s="6" t="s">
        <v>137</v>
      </c>
      <c r="E11" s="15"/>
      <c r="F11" s="15"/>
      <c r="Q11" s="6">
        <v>5</v>
      </c>
      <c r="R11" s="6" t="s">
        <v>32</v>
      </c>
      <c r="S11" s="6" t="s">
        <v>33</v>
      </c>
      <c r="U11" s="9" t="s">
        <v>88</v>
      </c>
      <c r="V11" s="6" t="s">
        <v>90</v>
      </c>
    </row>
    <row r="12" spans="2:23" x14ac:dyDescent="0.3">
      <c r="B12" s="6" t="s">
        <v>7</v>
      </c>
      <c r="C12" s="23" t="s">
        <v>108</v>
      </c>
      <c r="D12" s="6" t="s">
        <v>120</v>
      </c>
      <c r="Q12" s="6">
        <v>6</v>
      </c>
      <c r="R12" s="6" t="s">
        <v>34</v>
      </c>
      <c r="S12" s="6" t="s">
        <v>35</v>
      </c>
    </row>
    <row r="13" spans="2:23" x14ac:dyDescent="0.3">
      <c r="B13" s="6" t="s">
        <v>8</v>
      </c>
      <c r="C13" s="25">
        <v>45930</v>
      </c>
      <c r="D13" s="6" t="s">
        <v>9</v>
      </c>
      <c r="Q13" s="6">
        <v>7</v>
      </c>
      <c r="R13" s="6" t="s">
        <v>36</v>
      </c>
      <c r="S13" s="6" t="s">
        <v>37</v>
      </c>
    </row>
    <row r="14" spans="2:23" x14ac:dyDescent="0.3">
      <c r="B14" s="6" t="s">
        <v>10</v>
      </c>
      <c r="C14" s="25">
        <f ca="1">TODAY()</f>
        <v>46152</v>
      </c>
      <c r="D14" s="6" t="s">
        <v>11</v>
      </c>
      <c r="Q14" s="6">
        <v>8</v>
      </c>
      <c r="R14" s="6" t="s">
        <v>38</v>
      </c>
      <c r="S14" s="6" t="s">
        <v>39</v>
      </c>
    </row>
    <row r="15" spans="2:23" x14ac:dyDescent="0.3">
      <c r="B15" s="6" t="s">
        <v>12</v>
      </c>
      <c r="C15" s="23">
        <v>60</v>
      </c>
      <c r="D15" s="6" t="s">
        <v>115</v>
      </c>
      <c r="Q15" s="6">
        <v>9</v>
      </c>
      <c r="R15" s="6" t="s">
        <v>40</v>
      </c>
      <c r="S15" s="6" t="s">
        <v>41</v>
      </c>
    </row>
    <row r="16" spans="2:23" x14ac:dyDescent="0.3">
      <c r="B16" s="6" t="s">
        <v>98</v>
      </c>
      <c r="C16" s="23" t="s">
        <v>168</v>
      </c>
      <c r="D16" s="6" t="s">
        <v>121</v>
      </c>
      <c r="Q16" s="6">
        <v>10</v>
      </c>
      <c r="R16" s="6" t="s">
        <v>42</v>
      </c>
      <c r="S16" s="6" t="s">
        <v>43</v>
      </c>
    </row>
    <row r="17" spans="2:19" x14ac:dyDescent="0.3">
      <c r="B17" s="6" t="s">
        <v>5</v>
      </c>
      <c r="C17" s="24">
        <v>1000</v>
      </c>
      <c r="D17" s="6" t="s">
        <v>6</v>
      </c>
      <c r="Q17" s="6">
        <v>11</v>
      </c>
      <c r="R17" s="6" t="s">
        <v>44</v>
      </c>
      <c r="S17" s="6" t="s">
        <v>45</v>
      </c>
    </row>
    <row r="18" spans="2:19" x14ac:dyDescent="0.3">
      <c r="B18" s="6" t="s">
        <v>173</v>
      </c>
      <c r="C18" s="24">
        <v>100</v>
      </c>
      <c r="D18" s="6" t="s">
        <v>174</v>
      </c>
      <c r="Q18" s="6">
        <v>12</v>
      </c>
      <c r="R18" s="6" t="s">
        <v>46</v>
      </c>
      <c r="S18" s="6" t="s">
        <v>47</v>
      </c>
    </row>
    <row r="19" spans="2:19" x14ac:dyDescent="0.3">
      <c r="B19" s="6" t="s">
        <v>165</v>
      </c>
      <c r="C19" s="24"/>
      <c r="D19" s="6" t="s">
        <v>166</v>
      </c>
    </row>
    <row r="20" spans="2:19" x14ac:dyDescent="0.3">
      <c r="B20" s="64" t="s">
        <v>178</v>
      </c>
      <c r="C20" s="24" t="s">
        <v>180</v>
      </c>
      <c r="D20" s="6" t="s">
        <v>179</v>
      </c>
      <c r="Q20" s="8" t="s">
        <v>156</v>
      </c>
      <c r="R20" s="6"/>
      <c r="S20" s="6"/>
    </row>
    <row r="21" spans="2:19" x14ac:dyDescent="0.3">
      <c r="B21" s="40" t="s">
        <v>103</v>
      </c>
      <c r="C21" s="29"/>
      <c r="D21" s="29"/>
      <c r="E21" s="29"/>
      <c r="F21" s="29"/>
      <c r="G21" s="29"/>
      <c r="H21" s="29"/>
      <c r="I21" s="29"/>
      <c r="J21" s="29"/>
      <c r="K21" s="29"/>
      <c r="Q21" s="9" t="s">
        <v>21</v>
      </c>
      <c r="R21" s="9" t="s">
        <v>84</v>
      </c>
      <c r="S21" s="9" t="s">
        <v>153</v>
      </c>
    </row>
    <row r="22" spans="2:19" x14ac:dyDescent="0.3">
      <c r="Q22" s="6">
        <v>1</v>
      </c>
      <c r="R22" s="6" t="s">
        <v>34</v>
      </c>
      <c r="S22" s="6" t="s">
        <v>34</v>
      </c>
    </row>
    <row r="23" spans="2:19" ht="18" x14ac:dyDescent="0.35">
      <c r="B23" s="54" t="s">
        <v>113</v>
      </c>
      <c r="C23" s="56"/>
      <c r="D23" s="56"/>
      <c r="G23" s="54" t="s">
        <v>114</v>
      </c>
      <c r="H23" s="57"/>
      <c r="I23" s="48"/>
      <c r="J23" s="48"/>
      <c r="K23" s="48"/>
      <c r="L23" s="48"/>
      <c r="M23" s="48"/>
      <c r="N23" s="48"/>
      <c r="O23" s="45"/>
      <c r="Q23" s="6">
        <v>2</v>
      </c>
      <c r="R23" s="6" t="s">
        <v>36</v>
      </c>
      <c r="S23" s="6" t="s">
        <v>36</v>
      </c>
    </row>
    <row r="24" spans="2:19" x14ac:dyDescent="0.3">
      <c r="B24" s="49"/>
      <c r="C24" s="49"/>
      <c r="D24" s="49"/>
      <c r="G24" s="49"/>
      <c r="H24" s="49"/>
      <c r="I24" s="49"/>
      <c r="J24" s="49"/>
      <c r="K24" s="49"/>
      <c r="L24" s="48"/>
      <c r="M24" s="48"/>
      <c r="N24" s="49"/>
      <c r="O24" s="46"/>
      <c r="Q24" s="6">
        <v>3</v>
      </c>
      <c r="R24" s="6" t="s">
        <v>38</v>
      </c>
      <c r="S24" s="6" t="s">
        <v>38</v>
      </c>
    </row>
    <row r="25" spans="2:19" x14ac:dyDescent="0.3">
      <c r="B25" s="49" t="s">
        <v>101</v>
      </c>
      <c r="C25" s="49"/>
      <c r="D25" s="49"/>
      <c r="G25" s="49" t="s">
        <v>99</v>
      </c>
      <c r="H25" s="49"/>
      <c r="I25" s="49"/>
      <c r="J25" s="49"/>
      <c r="K25" s="49"/>
      <c r="L25" s="49"/>
      <c r="M25" s="49"/>
      <c r="N25" s="49"/>
      <c r="O25" s="46"/>
      <c r="Q25" s="6">
        <v>4</v>
      </c>
      <c r="R25" s="6" t="s">
        <v>42</v>
      </c>
      <c r="S25" s="6" t="s">
        <v>42</v>
      </c>
    </row>
    <row r="26" spans="2:19" x14ac:dyDescent="0.3">
      <c r="B26" s="49" t="s">
        <v>102</v>
      </c>
      <c r="C26" s="49"/>
      <c r="D26" s="49"/>
      <c r="G26" s="49" t="s">
        <v>100</v>
      </c>
      <c r="H26" s="49"/>
      <c r="I26" s="49"/>
      <c r="J26" s="49"/>
      <c r="K26" s="49"/>
      <c r="L26" s="8" t="s">
        <v>83</v>
      </c>
      <c r="M26" s="58"/>
      <c r="N26" s="59"/>
      <c r="O26" s="46"/>
      <c r="Q26" s="6">
        <v>5</v>
      </c>
      <c r="R26" s="6" t="s">
        <v>44</v>
      </c>
      <c r="S26" s="6" t="s">
        <v>44</v>
      </c>
    </row>
    <row r="27" spans="2:19" x14ac:dyDescent="0.3">
      <c r="B27" s="49"/>
      <c r="C27" s="49"/>
      <c r="D27" s="49"/>
      <c r="G27" s="49"/>
      <c r="H27" s="49"/>
      <c r="I27" s="49"/>
      <c r="J27" s="49"/>
      <c r="K27" s="49"/>
      <c r="L27" s="6" t="s">
        <v>13</v>
      </c>
      <c r="M27" s="33"/>
      <c r="N27" s="6" t="s">
        <v>14</v>
      </c>
      <c r="O27" s="46"/>
      <c r="Q27" s="6">
        <v>6</v>
      </c>
      <c r="R27" s="6" t="s">
        <v>25</v>
      </c>
      <c r="S27" s="6" t="s">
        <v>25</v>
      </c>
    </row>
    <row r="28" spans="2:19" x14ac:dyDescent="0.3">
      <c r="B28" s="49"/>
      <c r="C28" s="49"/>
      <c r="D28" s="49"/>
      <c r="G28" s="49"/>
      <c r="H28" s="49"/>
      <c r="I28" s="49"/>
      <c r="J28" s="49"/>
      <c r="K28" s="49"/>
      <c r="L28" s="6" t="s">
        <v>15</v>
      </c>
      <c r="M28" s="33"/>
      <c r="N28" s="6" t="s">
        <v>16</v>
      </c>
      <c r="O28" s="46"/>
      <c r="Q28" s="6">
        <v>7</v>
      </c>
      <c r="R28" s="6" t="s">
        <v>27</v>
      </c>
      <c r="S28" s="6" t="s">
        <v>27</v>
      </c>
    </row>
    <row r="29" spans="2:19" x14ac:dyDescent="0.3">
      <c r="B29" s="49"/>
      <c r="C29" s="49"/>
      <c r="D29" s="49"/>
      <c r="G29" s="55"/>
      <c r="H29" s="49"/>
      <c r="I29" s="49"/>
      <c r="J29" s="49"/>
      <c r="K29" s="49"/>
      <c r="L29" s="6" t="s">
        <v>17</v>
      </c>
      <c r="M29" s="33"/>
      <c r="N29" s="6" t="s">
        <v>18</v>
      </c>
      <c r="O29" s="46"/>
      <c r="Q29" s="6">
        <v>8</v>
      </c>
      <c r="R29" s="6" t="s">
        <v>33</v>
      </c>
      <c r="S29" s="6" t="s">
        <v>33</v>
      </c>
    </row>
    <row r="30" spans="2:19" x14ac:dyDescent="0.3">
      <c r="B30" s="49"/>
      <c r="C30" s="49"/>
      <c r="D30" s="49"/>
      <c r="G30" s="49"/>
      <c r="H30" s="49"/>
      <c r="I30" s="49"/>
      <c r="J30" s="49"/>
      <c r="K30" s="49"/>
      <c r="L30" s="6" t="s">
        <v>19</v>
      </c>
      <c r="M30" s="33"/>
      <c r="N30" s="6" t="s">
        <v>20</v>
      </c>
      <c r="O30" s="46"/>
      <c r="Q30" s="6">
        <v>9</v>
      </c>
      <c r="R30" s="6" t="s">
        <v>41</v>
      </c>
      <c r="S30" s="6" t="s">
        <v>41</v>
      </c>
    </row>
    <row r="31" spans="2:19" x14ac:dyDescent="0.3">
      <c r="B31" s="49"/>
      <c r="C31" s="49"/>
      <c r="D31" s="49"/>
      <c r="G31" s="49"/>
      <c r="H31" s="49"/>
      <c r="I31" s="49"/>
      <c r="J31" s="49"/>
      <c r="K31" s="49"/>
      <c r="L31" s="6" t="s">
        <v>3</v>
      </c>
      <c r="M31" s="35">
        <v>0.5</v>
      </c>
      <c r="N31" s="6" t="s">
        <v>4</v>
      </c>
      <c r="O31" s="46"/>
      <c r="Q31" s="6">
        <v>10</v>
      </c>
      <c r="R31" s="6" t="s">
        <v>43</v>
      </c>
      <c r="S31" s="6" t="s">
        <v>43</v>
      </c>
    </row>
    <row r="32" spans="2:19" x14ac:dyDescent="0.3">
      <c r="B32" s="49"/>
      <c r="C32" s="49"/>
      <c r="D32" s="49"/>
      <c r="G32" s="49"/>
      <c r="H32" s="49"/>
      <c r="I32" s="49"/>
      <c r="J32" s="49"/>
      <c r="K32" s="49"/>
      <c r="L32" s="49"/>
      <c r="M32" s="49"/>
      <c r="N32" s="49"/>
      <c r="O32" s="46"/>
      <c r="Q32" s="6">
        <v>11</v>
      </c>
      <c r="R32" s="6" t="s">
        <v>47</v>
      </c>
      <c r="S32" s="6" t="s">
        <v>47</v>
      </c>
    </row>
    <row r="33" spans="2:19" x14ac:dyDescent="0.3">
      <c r="B33" s="49"/>
      <c r="C33" s="49"/>
      <c r="D33" s="49"/>
      <c r="G33" s="49"/>
      <c r="H33" s="49"/>
      <c r="I33" s="49"/>
      <c r="J33" s="49"/>
      <c r="K33" s="49"/>
      <c r="L33" s="49"/>
      <c r="M33" s="49"/>
      <c r="N33" s="49"/>
      <c r="O33" s="46"/>
      <c r="Q33" s="6">
        <v>12</v>
      </c>
      <c r="R33" s="6" t="s">
        <v>90</v>
      </c>
      <c r="S33" s="6" t="s">
        <v>90</v>
      </c>
    </row>
    <row r="34" spans="2:19" x14ac:dyDescent="0.3">
      <c r="B34" s="49"/>
      <c r="C34" s="49"/>
      <c r="D34" s="49"/>
      <c r="G34" s="49"/>
      <c r="H34" s="49"/>
      <c r="I34" s="49"/>
      <c r="J34" s="49"/>
      <c r="K34" s="49"/>
      <c r="L34" s="49"/>
      <c r="M34" s="49"/>
      <c r="N34" s="49"/>
      <c r="O34" s="46"/>
    </row>
    <row r="35" spans="2:19" x14ac:dyDescent="0.3">
      <c r="B35" s="49"/>
      <c r="C35" s="49"/>
      <c r="D35" s="49"/>
      <c r="G35" s="49"/>
      <c r="H35" s="49"/>
      <c r="I35" s="49"/>
      <c r="J35" s="49"/>
      <c r="K35" s="49"/>
      <c r="L35" s="8" t="s">
        <v>48</v>
      </c>
      <c r="M35" s="6"/>
      <c r="N35" s="49"/>
      <c r="O35" s="46"/>
    </row>
    <row r="36" spans="2:19" x14ac:dyDescent="0.3">
      <c r="B36" s="49"/>
      <c r="C36" s="49"/>
      <c r="D36" s="49"/>
      <c r="G36" s="49"/>
      <c r="H36" s="49"/>
      <c r="I36" s="49"/>
      <c r="J36" s="49"/>
      <c r="K36" s="49"/>
      <c r="L36" s="9" t="s">
        <v>49</v>
      </c>
      <c r="M36" s="49"/>
      <c r="N36" s="49"/>
      <c r="O36" s="46"/>
    </row>
    <row r="37" spans="2:19" x14ac:dyDescent="0.3">
      <c r="B37" s="49"/>
      <c r="C37" s="49"/>
      <c r="D37" s="49"/>
      <c r="G37" s="49"/>
      <c r="H37" s="49"/>
      <c r="I37" s="49"/>
      <c r="J37" s="49"/>
      <c r="K37" s="49"/>
      <c r="L37" s="16">
        <v>46010</v>
      </c>
      <c r="M37" s="49"/>
      <c r="N37" s="49"/>
      <c r="O37" s="46"/>
    </row>
    <row r="38" spans="2:19" x14ac:dyDescent="0.3">
      <c r="B38" s="49"/>
      <c r="C38" s="49"/>
      <c r="D38" s="49"/>
      <c r="G38" s="49"/>
      <c r="H38" s="49"/>
      <c r="I38" s="49"/>
      <c r="J38" s="49"/>
      <c r="K38" s="49"/>
      <c r="L38" s="16"/>
      <c r="M38" s="49"/>
      <c r="N38" s="49"/>
      <c r="O38" s="46"/>
    </row>
    <row r="39" spans="2:19" x14ac:dyDescent="0.3">
      <c r="B39" s="49"/>
      <c r="C39" s="49"/>
      <c r="D39" s="49"/>
      <c r="G39" s="49"/>
      <c r="H39" s="49"/>
      <c r="I39" s="49"/>
      <c r="J39" s="49"/>
      <c r="K39" s="49"/>
      <c r="L39" s="16"/>
      <c r="M39" s="49"/>
      <c r="N39" s="49"/>
      <c r="O39" s="46"/>
    </row>
    <row r="40" spans="2:19" x14ac:dyDescent="0.3">
      <c r="B40" s="49"/>
      <c r="C40" s="49"/>
      <c r="D40" s="49"/>
      <c r="G40" s="49"/>
      <c r="H40" s="49"/>
      <c r="I40" s="49"/>
      <c r="J40" s="49"/>
      <c r="K40" s="49"/>
      <c r="L40" s="7"/>
      <c r="M40" s="49"/>
      <c r="N40" s="49"/>
      <c r="O40" s="46"/>
    </row>
    <row r="41" spans="2:19" x14ac:dyDescent="0.3">
      <c r="B41" s="49"/>
      <c r="C41" s="49"/>
      <c r="D41" s="49"/>
      <c r="G41" s="49"/>
      <c r="H41" s="49"/>
      <c r="I41" s="49"/>
      <c r="J41" s="49"/>
      <c r="K41" s="49"/>
      <c r="L41" s="7"/>
      <c r="M41" s="49"/>
      <c r="N41" s="49"/>
      <c r="O41" s="46"/>
    </row>
    <row r="42" spans="2:19" x14ac:dyDescent="0.3">
      <c r="B42" s="49"/>
      <c r="C42" s="49"/>
      <c r="D42" s="49"/>
      <c r="G42" s="49"/>
      <c r="H42" s="49"/>
      <c r="I42" s="49"/>
      <c r="J42" s="49"/>
      <c r="K42" s="49"/>
      <c r="L42" s="7"/>
      <c r="M42" s="49"/>
      <c r="N42" s="49"/>
      <c r="O42" s="46"/>
    </row>
    <row r="43" spans="2:19" x14ac:dyDescent="0.3">
      <c r="B43" s="49"/>
      <c r="C43" s="49"/>
      <c r="D43" s="49"/>
      <c r="G43" s="49"/>
      <c r="H43" s="49"/>
      <c r="I43" s="49"/>
      <c r="J43" s="49"/>
      <c r="K43" s="49"/>
      <c r="L43" s="7"/>
      <c r="M43" s="49"/>
      <c r="N43" s="49"/>
      <c r="O43" s="46"/>
    </row>
    <row r="44" spans="2:19" x14ac:dyDescent="0.3">
      <c r="B44" s="49"/>
      <c r="C44" s="49"/>
      <c r="D44" s="49"/>
      <c r="G44" s="49"/>
      <c r="H44" s="49"/>
      <c r="I44" s="49"/>
      <c r="J44" s="49"/>
      <c r="K44" s="49"/>
      <c r="L44" s="7"/>
      <c r="M44" s="49"/>
      <c r="N44" s="49"/>
      <c r="O44" s="46"/>
    </row>
    <row r="45" spans="2:19" x14ac:dyDescent="0.3">
      <c r="B45" s="49"/>
      <c r="C45" s="49"/>
      <c r="D45" s="49"/>
      <c r="G45" s="49"/>
      <c r="H45" s="49"/>
      <c r="I45" s="49"/>
      <c r="J45" s="49"/>
      <c r="K45" s="49"/>
      <c r="L45" s="7"/>
      <c r="M45" s="49"/>
      <c r="N45" s="49"/>
      <c r="O45" s="46"/>
    </row>
    <row r="46" spans="2:19" x14ac:dyDescent="0.3">
      <c r="B46" s="49"/>
      <c r="C46" s="49"/>
      <c r="D46" s="49"/>
      <c r="G46" s="49"/>
      <c r="H46" s="49"/>
      <c r="I46" s="49"/>
      <c r="J46" s="49"/>
      <c r="K46" s="49"/>
      <c r="L46" s="7"/>
      <c r="M46" s="49"/>
      <c r="N46" s="49"/>
      <c r="O46" s="46"/>
    </row>
    <row r="47" spans="2:19" x14ac:dyDescent="0.3">
      <c r="B47" s="49"/>
      <c r="C47" s="49"/>
      <c r="D47" s="49"/>
      <c r="G47" s="49"/>
      <c r="H47" s="49"/>
      <c r="I47" s="49"/>
      <c r="J47" s="49"/>
      <c r="K47" s="49"/>
      <c r="L47" s="7"/>
      <c r="M47" s="49"/>
      <c r="N47" s="49"/>
      <c r="O47" s="46"/>
    </row>
    <row r="48" spans="2:19" x14ac:dyDescent="0.3">
      <c r="B48" s="49"/>
      <c r="C48" s="49"/>
      <c r="D48" s="49"/>
      <c r="G48" s="49"/>
      <c r="H48" s="49"/>
      <c r="I48" s="49"/>
      <c r="J48" s="49"/>
      <c r="K48" s="49"/>
      <c r="L48" s="7"/>
      <c r="M48" s="49"/>
      <c r="N48" s="49"/>
      <c r="O48" s="46"/>
    </row>
    <row r="49" spans="2:15" x14ac:dyDescent="0.3">
      <c r="B49" s="49"/>
      <c r="C49" s="49"/>
      <c r="D49" s="49"/>
      <c r="G49" s="49"/>
      <c r="H49" s="49"/>
      <c r="I49" s="49"/>
      <c r="J49" s="49"/>
      <c r="K49" s="49"/>
      <c r="L49" s="7"/>
      <c r="M49" s="49"/>
      <c r="N49" s="49"/>
      <c r="O49" s="46"/>
    </row>
    <row r="50" spans="2:15" x14ac:dyDescent="0.3">
      <c r="B50" s="49"/>
      <c r="C50" s="49"/>
      <c r="D50" s="49"/>
      <c r="G50" s="49"/>
      <c r="H50" s="49"/>
      <c r="I50" s="49"/>
      <c r="J50" s="49"/>
      <c r="K50" s="49"/>
      <c r="L50" s="7"/>
      <c r="M50" s="49"/>
      <c r="N50" s="49"/>
      <c r="O50" s="46"/>
    </row>
    <row r="51" spans="2:15" x14ac:dyDescent="0.3">
      <c r="B51" s="49"/>
      <c r="C51" s="49"/>
      <c r="D51" s="49"/>
      <c r="G51" s="49"/>
      <c r="H51" s="49"/>
      <c r="I51" s="49"/>
      <c r="J51" s="49"/>
      <c r="K51" s="49"/>
      <c r="L51" s="7"/>
      <c r="M51" s="49"/>
      <c r="N51" s="49"/>
      <c r="O51" s="46"/>
    </row>
    <row r="52" spans="2:15" x14ac:dyDescent="0.3">
      <c r="B52" s="49"/>
      <c r="C52" s="49"/>
      <c r="D52" s="49"/>
      <c r="G52" s="49"/>
      <c r="H52" s="49"/>
      <c r="I52" s="49"/>
      <c r="J52" s="49"/>
      <c r="K52" s="49"/>
      <c r="L52" s="7"/>
      <c r="M52" s="49"/>
      <c r="N52" s="49"/>
      <c r="O52" s="46"/>
    </row>
    <row r="53" spans="2:15" x14ac:dyDescent="0.3">
      <c r="B53" s="49"/>
      <c r="C53" s="49"/>
      <c r="D53" s="49"/>
      <c r="G53" s="49"/>
      <c r="H53" s="49"/>
      <c r="I53" s="49"/>
      <c r="J53" s="49"/>
      <c r="K53" s="49"/>
      <c r="L53" s="7"/>
      <c r="M53" s="49"/>
      <c r="N53" s="49"/>
      <c r="O53" s="46"/>
    </row>
    <row r="54" spans="2:15" x14ac:dyDescent="0.3">
      <c r="B54" s="49"/>
      <c r="C54" s="49"/>
      <c r="D54" s="49"/>
      <c r="G54" s="49"/>
      <c r="H54" s="49"/>
      <c r="I54" s="49"/>
      <c r="J54" s="49"/>
      <c r="K54" s="49"/>
      <c r="L54" s="7"/>
      <c r="M54" s="49"/>
      <c r="N54" s="49"/>
      <c r="O54" s="46"/>
    </row>
    <row r="55" spans="2:15" x14ac:dyDescent="0.3">
      <c r="B55" s="49"/>
      <c r="C55" s="49"/>
      <c r="D55" s="49"/>
      <c r="G55" s="49"/>
      <c r="H55" s="49"/>
      <c r="I55" s="49"/>
      <c r="J55" s="49"/>
      <c r="K55" s="49"/>
      <c r="L55" s="7"/>
      <c r="M55" s="49"/>
      <c r="N55" s="49"/>
      <c r="O55" s="46"/>
    </row>
    <row r="56" spans="2:15" x14ac:dyDescent="0.3">
      <c r="B56" s="49"/>
      <c r="C56" s="49"/>
      <c r="D56" s="49"/>
      <c r="G56" s="49"/>
      <c r="H56" s="49"/>
      <c r="I56" s="49"/>
      <c r="J56" s="49"/>
      <c r="K56" s="49"/>
      <c r="L56" s="49"/>
      <c r="M56" s="49"/>
      <c r="N56" s="49"/>
      <c r="O56" s="46"/>
    </row>
    <row r="57" spans="2:15" x14ac:dyDescent="0.3">
      <c r="B57" s="50"/>
      <c r="C57" s="50"/>
      <c r="D57" s="50"/>
      <c r="E57" s="47"/>
      <c r="F57" s="47"/>
      <c r="G57" s="50"/>
      <c r="H57" s="50"/>
      <c r="I57" s="50"/>
      <c r="J57" s="50"/>
      <c r="K57" s="50"/>
      <c r="L57" s="50"/>
      <c r="M57" s="50"/>
      <c r="N57" s="53"/>
    </row>
    <row r="58" spans="2:15" x14ac:dyDescent="0.3">
      <c r="B58" s="49"/>
      <c r="C58" s="49"/>
      <c r="D58" s="49"/>
      <c r="G58" s="49"/>
      <c r="H58" s="49"/>
      <c r="I58" s="48"/>
      <c r="J58" s="48"/>
      <c r="K58" s="48"/>
      <c r="L58" s="48"/>
      <c r="M58" s="48"/>
      <c r="N58" s="51"/>
    </row>
    <row r="59" spans="2:15" x14ac:dyDescent="0.3">
      <c r="B59" s="49"/>
      <c r="C59" s="49"/>
      <c r="D59" s="49"/>
      <c r="G59" s="49"/>
      <c r="H59" s="49"/>
      <c r="I59" s="49"/>
      <c r="J59" s="49"/>
      <c r="K59" s="49"/>
      <c r="L59" s="49"/>
      <c r="M59" s="49"/>
      <c r="N59" s="52"/>
    </row>
    <row r="60" spans="2:15" x14ac:dyDescent="0.3">
      <c r="B60" s="49"/>
      <c r="C60" s="49"/>
      <c r="D60" s="49"/>
      <c r="G60" s="49"/>
      <c r="H60" s="49"/>
      <c r="I60" s="49"/>
      <c r="J60" s="49"/>
      <c r="K60" s="49"/>
      <c r="L60" s="49"/>
      <c r="M60" s="49"/>
      <c r="N60" s="52"/>
    </row>
    <row r="61" spans="2:15" x14ac:dyDescent="0.3">
      <c r="B61" s="49"/>
      <c r="C61" s="49"/>
      <c r="D61" s="49"/>
      <c r="G61" s="49"/>
      <c r="H61" s="49"/>
      <c r="I61" s="49"/>
      <c r="J61" s="49"/>
      <c r="K61" s="49"/>
      <c r="L61" s="49"/>
      <c r="M61" s="49"/>
      <c r="N61" s="52"/>
    </row>
    <row r="62" spans="2:15" x14ac:dyDescent="0.3">
      <c r="B62" s="49"/>
      <c r="C62" s="49"/>
      <c r="D62" s="49"/>
      <c r="G62" s="49"/>
      <c r="H62" s="49"/>
      <c r="I62" s="49"/>
      <c r="J62" s="49"/>
      <c r="K62" s="49"/>
      <c r="L62" s="49"/>
      <c r="M62" s="49"/>
      <c r="N62" s="52"/>
    </row>
    <row r="63" spans="2:15" x14ac:dyDescent="0.3">
      <c r="B63" s="49"/>
      <c r="C63" s="49"/>
      <c r="D63" s="49"/>
      <c r="E63" s="8" t="s">
        <v>104</v>
      </c>
      <c r="F63" s="6"/>
      <c r="G63" s="49"/>
      <c r="H63" s="49"/>
      <c r="I63" s="49"/>
      <c r="J63" s="49"/>
      <c r="K63" s="49"/>
      <c r="L63" s="49"/>
      <c r="M63" s="49"/>
      <c r="N63" s="52"/>
    </row>
    <row r="64" spans="2:15" x14ac:dyDescent="0.3">
      <c r="B64" s="49"/>
      <c r="C64" s="49"/>
      <c r="D64" s="49"/>
      <c r="E64" s="9" t="s">
        <v>84</v>
      </c>
      <c r="G64" s="49"/>
      <c r="H64" s="49"/>
      <c r="I64" s="49"/>
      <c r="J64" s="49"/>
      <c r="K64" s="49"/>
      <c r="L64" s="49"/>
      <c r="M64" s="49"/>
      <c r="N64" s="52"/>
    </row>
    <row r="65" spans="2:14" x14ac:dyDescent="0.3">
      <c r="B65" s="49"/>
      <c r="C65" s="49"/>
      <c r="D65" s="49"/>
      <c r="E65" s="6" t="s">
        <v>147</v>
      </c>
      <c r="G65" s="49"/>
      <c r="H65" s="49"/>
      <c r="I65" s="49"/>
      <c r="J65" s="49"/>
      <c r="K65" s="49"/>
      <c r="L65" s="49"/>
      <c r="M65" s="49"/>
      <c r="N65" s="52"/>
    </row>
    <row r="66" spans="2:14" x14ac:dyDescent="0.3">
      <c r="B66" s="49"/>
      <c r="C66" s="49"/>
      <c r="D66" s="49"/>
      <c r="E66" s="6" t="s">
        <v>146</v>
      </c>
      <c r="G66" s="49"/>
      <c r="H66" s="49"/>
      <c r="I66" s="49"/>
      <c r="J66" s="49"/>
      <c r="K66" s="49"/>
      <c r="L66" s="49"/>
      <c r="M66" s="49"/>
      <c r="N66" s="52"/>
    </row>
    <row r="67" spans="2:14" x14ac:dyDescent="0.3">
      <c r="B67" s="49"/>
      <c r="C67" s="49"/>
      <c r="D67" s="49"/>
      <c r="E67" s="6"/>
      <c r="G67" s="49"/>
      <c r="H67" s="49"/>
      <c r="I67" s="49"/>
      <c r="J67" s="49"/>
      <c r="K67" s="49"/>
      <c r="L67" s="49"/>
      <c r="M67" s="49"/>
      <c r="N67" s="52"/>
    </row>
    <row r="68" spans="2:14" x14ac:dyDescent="0.3">
      <c r="B68" s="49"/>
      <c r="C68" s="49"/>
      <c r="D68" s="49"/>
      <c r="E68" s="6"/>
      <c r="G68" s="49"/>
      <c r="H68" s="49"/>
      <c r="I68" s="49"/>
      <c r="J68" s="49"/>
      <c r="K68" s="49"/>
      <c r="L68" s="49"/>
      <c r="M68" s="49"/>
      <c r="N68" s="52"/>
    </row>
    <row r="69" spans="2:14" x14ac:dyDescent="0.3">
      <c r="B69" s="49"/>
      <c r="C69" s="49"/>
      <c r="D69" s="49"/>
      <c r="E69" s="6"/>
      <c r="G69" s="49"/>
      <c r="H69" s="49"/>
      <c r="I69" s="49"/>
      <c r="J69" s="49"/>
      <c r="K69" s="49"/>
      <c r="L69" s="49"/>
      <c r="M69" s="49"/>
      <c r="N69" s="52"/>
    </row>
    <row r="70" spans="2:14" x14ac:dyDescent="0.3">
      <c r="B70" s="49"/>
      <c r="C70" s="49"/>
      <c r="D70" s="49"/>
      <c r="E70" s="6"/>
      <c r="G70" s="49"/>
      <c r="H70" s="49"/>
      <c r="I70" s="49"/>
      <c r="J70" s="49"/>
      <c r="K70" s="49"/>
      <c r="L70" s="49"/>
      <c r="M70" s="49"/>
      <c r="N70" s="52"/>
    </row>
    <row r="71" spans="2:14" x14ac:dyDescent="0.3">
      <c r="B71" s="49"/>
      <c r="C71" s="49"/>
      <c r="D71" s="49"/>
      <c r="E71" s="6"/>
      <c r="G71" s="49"/>
      <c r="H71" s="49"/>
      <c r="I71" s="49"/>
      <c r="J71" s="49"/>
      <c r="K71" s="49"/>
      <c r="L71" s="49"/>
      <c r="M71" s="49"/>
      <c r="N71" s="52"/>
    </row>
    <row r="72" spans="2:14" x14ac:dyDescent="0.3">
      <c r="B72" s="49"/>
      <c r="C72" s="49"/>
      <c r="D72" s="49"/>
      <c r="E72" s="6"/>
      <c r="G72" s="49"/>
      <c r="H72" s="49"/>
      <c r="I72" s="49"/>
      <c r="J72" s="49"/>
      <c r="K72" s="49"/>
      <c r="L72" s="49"/>
      <c r="M72" s="49"/>
      <c r="N72" s="52"/>
    </row>
    <row r="73" spans="2:14" x14ac:dyDescent="0.3">
      <c r="B73" s="49"/>
      <c r="C73" s="49"/>
      <c r="D73" s="49"/>
      <c r="E73" s="6"/>
      <c r="G73" s="49"/>
      <c r="H73" s="49"/>
      <c r="I73" s="49"/>
      <c r="J73" s="49"/>
      <c r="K73" s="49"/>
      <c r="L73" s="49"/>
      <c r="M73" s="49"/>
      <c r="N73" s="52"/>
    </row>
    <row r="74" spans="2:14" x14ac:dyDescent="0.3">
      <c r="B74" s="49"/>
      <c r="C74" s="49"/>
      <c r="D74" s="49"/>
      <c r="E74" s="6"/>
      <c r="G74" s="49"/>
      <c r="H74" s="49"/>
      <c r="I74" s="49"/>
      <c r="J74" s="49"/>
      <c r="K74" s="49"/>
      <c r="L74" s="49"/>
      <c r="M74" s="49"/>
      <c r="N74" s="52"/>
    </row>
    <row r="75" spans="2:14" x14ac:dyDescent="0.3">
      <c r="B75" s="49"/>
      <c r="C75" s="49"/>
      <c r="D75" s="49"/>
      <c r="E75" s="6"/>
      <c r="G75" s="49"/>
      <c r="H75" s="49"/>
      <c r="I75" s="49"/>
      <c r="J75" s="49"/>
      <c r="K75" s="49"/>
      <c r="L75" s="49"/>
      <c r="M75" s="49"/>
      <c r="N75" s="52"/>
    </row>
    <row r="76" spans="2:14" x14ac:dyDescent="0.3">
      <c r="B76" s="49"/>
      <c r="C76" s="49"/>
      <c r="D76" s="49"/>
      <c r="E76" s="6"/>
      <c r="G76" s="49"/>
      <c r="H76" s="49"/>
      <c r="I76" s="49"/>
      <c r="J76" s="49"/>
      <c r="K76" s="49"/>
      <c r="L76" s="49"/>
      <c r="M76" s="49"/>
      <c r="N76" s="52"/>
    </row>
    <row r="77" spans="2:14" x14ac:dyDescent="0.3">
      <c r="B77" s="49"/>
      <c r="C77" s="49"/>
      <c r="D77" s="49"/>
      <c r="E77" s="6"/>
      <c r="G77" s="49"/>
      <c r="H77" s="49"/>
      <c r="I77" s="49"/>
      <c r="J77" s="49"/>
      <c r="K77" s="49"/>
      <c r="L77" s="49"/>
      <c r="M77" s="49"/>
      <c r="N77" s="52"/>
    </row>
    <row r="78" spans="2:14" x14ac:dyDescent="0.3">
      <c r="B78" s="49"/>
      <c r="C78" s="49"/>
      <c r="D78" s="49"/>
      <c r="E78" s="6"/>
      <c r="G78" s="49"/>
      <c r="H78" s="49"/>
      <c r="I78" s="49"/>
      <c r="J78" s="49"/>
      <c r="K78" s="49"/>
      <c r="L78" s="49"/>
      <c r="M78" s="49"/>
      <c r="N78" s="52"/>
    </row>
    <row r="79" spans="2:14" x14ac:dyDescent="0.3">
      <c r="B79" s="49"/>
      <c r="C79" s="49"/>
      <c r="D79" s="49"/>
      <c r="E79" s="6"/>
      <c r="G79" s="49"/>
      <c r="H79" s="49"/>
      <c r="I79" s="49"/>
      <c r="J79" s="49"/>
      <c r="K79" s="49"/>
      <c r="L79" s="49"/>
      <c r="M79" s="49"/>
      <c r="N79" s="52"/>
    </row>
    <row r="80" spans="2:14" x14ac:dyDescent="0.3">
      <c r="B80" s="49"/>
      <c r="C80" s="49"/>
      <c r="D80" s="49"/>
      <c r="E80" s="6"/>
      <c r="G80" s="49"/>
      <c r="H80" s="49"/>
      <c r="I80" s="49"/>
      <c r="J80" s="49"/>
      <c r="K80" s="49"/>
      <c r="L80" s="49"/>
      <c r="M80" s="49"/>
      <c r="N80" s="52"/>
    </row>
    <row r="81" spans="2:14" x14ac:dyDescent="0.3">
      <c r="B81" s="49"/>
      <c r="C81" s="49"/>
      <c r="D81" s="49"/>
      <c r="E81" s="6"/>
      <c r="G81" s="49"/>
      <c r="H81" s="49"/>
      <c r="I81" s="49"/>
      <c r="J81" s="49"/>
      <c r="K81" s="49"/>
      <c r="L81" s="49"/>
      <c r="M81" s="49"/>
      <c r="N81" s="52"/>
    </row>
    <row r="82" spans="2:14" x14ac:dyDescent="0.3">
      <c r="B82" s="49"/>
      <c r="C82" s="49"/>
      <c r="D82" s="49"/>
      <c r="E82" s="6"/>
      <c r="G82" s="49"/>
      <c r="H82" s="49"/>
      <c r="I82" s="49"/>
      <c r="J82" s="49"/>
      <c r="K82" s="49"/>
      <c r="L82" s="49"/>
      <c r="M82" s="49"/>
      <c r="N82" s="52"/>
    </row>
    <row r="83" spans="2:14" x14ac:dyDescent="0.3">
      <c r="B83" s="49"/>
      <c r="C83" s="49"/>
      <c r="D83" s="49"/>
      <c r="G83" s="49"/>
      <c r="H83" s="49"/>
      <c r="I83" s="49"/>
      <c r="J83" s="49"/>
      <c r="K83" s="49"/>
      <c r="L83" s="49"/>
      <c r="M83" s="49"/>
      <c r="N83" s="52"/>
    </row>
    <row r="84" spans="2:14" x14ac:dyDescent="0.3">
      <c r="B84" s="49"/>
      <c r="C84" s="49"/>
      <c r="D84" s="49"/>
      <c r="G84" s="49"/>
      <c r="H84" s="49"/>
      <c r="I84" s="49"/>
      <c r="J84" s="49"/>
      <c r="K84" s="49"/>
      <c r="L84" s="49"/>
      <c r="M84" s="49"/>
      <c r="N84" s="52"/>
    </row>
    <row r="85" spans="2:14" x14ac:dyDescent="0.3">
      <c r="B85" s="49"/>
      <c r="C85" s="49"/>
      <c r="D85" s="49"/>
      <c r="G85" s="49"/>
      <c r="H85" s="49"/>
      <c r="I85" s="49"/>
      <c r="J85" s="49"/>
      <c r="K85" s="49"/>
      <c r="L85" s="49"/>
      <c r="M85" s="49"/>
      <c r="N85" s="52"/>
    </row>
    <row r="86" spans="2:14" x14ac:dyDescent="0.3">
      <c r="B86" s="49"/>
      <c r="C86" s="49"/>
      <c r="D86" s="49"/>
      <c r="G86" s="49"/>
      <c r="H86" s="49"/>
      <c r="I86" s="49"/>
      <c r="J86" s="49"/>
      <c r="K86" s="49"/>
      <c r="L86" s="49"/>
      <c r="M86" s="49"/>
      <c r="N86" s="52"/>
    </row>
    <row r="87" spans="2:14" x14ac:dyDescent="0.3">
      <c r="B87" s="49"/>
      <c r="C87" s="49"/>
      <c r="D87" s="49"/>
      <c r="G87" s="49"/>
      <c r="H87" s="49"/>
      <c r="I87" s="49"/>
      <c r="J87" s="49"/>
      <c r="K87" s="49"/>
      <c r="L87" s="49"/>
      <c r="M87" s="49"/>
      <c r="N87" s="52"/>
    </row>
    <row r="88" spans="2:14" x14ac:dyDescent="0.3">
      <c r="B88" s="49"/>
      <c r="C88" s="49"/>
      <c r="D88" s="49"/>
      <c r="G88" s="49"/>
      <c r="H88" s="49"/>
      <c r="I88" s="49"/>
      <c r="J88" s="49"/>
      <c r="K88" s="49"/>
      <c r="L88" s="49"/>
      <c r="M88" s="49"/>
      <c r="N88" s="52"/>
    </row>
    <row r="89" spans="2:14" x14ac:dyDescent="0.3">
      <c r="B89" s="49"/>
      <c r="C89" s="49"/>
      <c r="D89" s="49"/>
      <c r="G89" s="49"/>
      <c r="H89" s="49"/>
      <c r="I89" s="49"/>
      <c r="J89" s="49"/>
      <c r="K89" s="49"/>
      <c r="L89" s="49"/>
      <c r="M89" s="49"/>
      <c r="N89" s="52"/>
    </row>
    <row r="90" spans="2:14" x14ac:dyDescent="0.3">
      <c r="B90" s="48"/>
      <c r="C90" s="48"/>
      <c r="D90" s="48"/>
      <c r="E90" s="44"/>
      <c r="F90" s="44"/>
      <c r="G90" s="48"/>
      <c r="H90" s="48"/>
      <c r="I90" s="48"/>
      <c r="J90" s="48"/>
      <c r="K90" s="48"/>
      <c r="L90" s="48"/>
      <c r="M90" s="48"/>
      <c r="N90" s="51"/>
    </row>
    <row r="91" spans="2:14" x14ac:dyDescent="0.3">
      <c r="B91" s="49"/>
      <c r="C91" s="49"/>
      <c r="D91" s="49"/>
      <c r="G91" s="49"/>
      <c r="H91" s="49"/>
      <c r="I91" s="49"/>
      <c r="J91" s="49"/>
      <c r="K91" s="49"/>
      <c r="L91" s="49"/>
      <c r="M91" s="49"/>
      <c r="N91" s="52"/>
    </row>
    <row r="92" spans="2:14" x14ac:dyDescent="0.3">
      <c r="B92" s="49"/>
      <c r="C92" s="49"/>
      <c r="D92" s="49"/>
      <c r="G92" s="49"/>
      <c r="H92" s="49"/>
      <c r="I92" s="49"/>
      <c r="J92" s="49"/>
      <c r="K92" s="49"/>
      <c r="L92" s="49"/>
      <c r="M92" s="49"/>
      <c r="N92" s="52"/>
    </row>
    <row r="93" spans="2:14" x14ac:dyDescent="0.3">
      <c r="B93" s="50"/>
      <c r="C93" s="50"/>
      <c r="D93" s="50"/>
      <c r="E93" s="47"/>
      <c r="F93" s="47"/>
      <c r="G93" s="50"/>
      <c r="H93" s="50"/>
      <c r="I93" s="50"/>
      <c r="J93" s="50"/>
      <c r="K93" s="50"/>
      <c r="L93" s="50"/>
      <c r="M93" s="50"/>
      <c r="N93" s="53"/>
    </row>
    <row r="94" spans="2:14" x14ac:dyDescent="0.3">
      <c r="B94" s="49"/>
      <c r="C94" s="49"/>
      <c r="D94" s="49"/>
      <c r="G94" s="49"/>
      <c r="H94" s="49"/>
      <c r="I94" s="49"/>
      <c r="J94" s="49"/>
      <c r="K94" s="49"/>
      <c r="L94" s="49"/>
      <c r="M94" s="49"/>
      <c r="N94" s="49"/>
    </row>
  </sheetData>
  <sortState xmlns:xlrd2="http://schemas.microsoft.com/office/spreadsheetml/2017/richdata2" ref="E13:G14">
    <sortCondition descending="1" ref="F13:F14"/>
  </sortState>
  <dataValidations count="8">
    <dataValidation type="list" allowBlank="1" showInputMessage="1" showErrorMessage="1" sqref="C12" xr:uid="{776B0E92-C8B3-4CD3-BAF6-077AFF1F0A65}">
      <formula1>"USD,EUR,GBP,USd,GBp"</formula1>
    </dataValidation>
    <dataValidation type="whole" allowBlank="1" showInputMessage="1" showErrorMessage="1" error="Batch size must be between 5 and 100" prompt="Enter batch size between 5 and 100" sqref="C15" xr:uid="{66A31A07-3B7E-4380-8C27-346CDEF53D5C}">
      <formula1>5</formula1>
      <formula2>100</formula2>
    </dataValidation>
    <dataValidation allowBlank="1" showInputMessage="1" showErrorMessage="1" sqref="C16" xr:uid="{7B232E8C-A32D-41AB-BD97-79F3CFA72062}"/>
    <dataValidation type="list" allowBlank="1" showInputMessage="1" showErrorMessage="1" sqref="C9" xr:uid="{250709E9-B6ED-4B50-A97E-9793719A1E77}">
      <formula1>"Monthly,Weekly"</formula1>
    </dataValidation>
    <dataValidation type="list" allowBlank="1" showInputMessage="1" showErrorMessage="1" sqref="C11" xr:uid="{B0DD6538-F7E0-4FE6-A61B-DCB439E91357}">
      <formula1>"Future"</formula1>
    </dataValidation>
    <dataValidation type="list" allowBlank="1" showInputMessage="1" showErrorMessage="1" sqref="C10" xr:uid="{8B04CDD8-AAAC-48B2-8EC5-9013A6BB8B3D}">
      <formula1>"Same Month, Next Month,Next 2 Month"</formula1>
    </dataValidation>
    <dataValidation type="list" allowBlank="1" showInputMessage="1" showErrorMessage="1" sqref="C18" xr:uid="{845224E6-5774-4F08-AFF8-5ECD171C6548}">
      <formula1>"1,10,100,1000,10000"</formula1>
    </dataValidation>
    <dataValidation type="list" allowBlank="1" showInputMessage="1" showErrorMessage="1" sqref="C20" xr:uid="{DE5F0855-1E73-4068-8E5A-586EAE67F1D6}">
      <formula1>"Same Month,Quarter End"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8" r:id="rId4" name="Button 4">
              <controlPr defaultSize="0" print="0" autoFill="0" autoPict="0" macro="[0]!GenerateAllRICs">
                <anchor moveWithCells="1" sizeWithCells="1">
                  <from>
                    <xdr:col>7</xdr:col>
                    <xdr:colOff>236220</xdr:colOff>
                    <xdr:row>23</xdr:row>
                    <xdr:rowOff>53340</xdr:rowOff>
                  </from>
                  <to>
                    <xdr:col>9</xdr:col>
                    <xdr:colOff>563880</xdr:colOff>
                    <xdr:row>26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5" name="Button 6">
              <controlPr defaultSize="0" print="0" autoFill="0" autoPict="0" macro="[0]!DownloadFromChain">
                <anchor moveWithCells="1" sizeWithCells="1">
                  <from>
                    <xdr:col>1</xdr:col>
                    <xdr:colOff>1607820</xdr:colOff>
                    <xdr:row>23</xdr:row>
                    <xdr:rowOff>175260</xdr:rowOff>
                  </from>
                  <to>
                    <xdr:col>3</xdr:col>
                    <xdr:colOff>30480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6" name="Button 7">
              <controlPr defaultSize="0" print="0" autoFill="0" autoPict="0" macro="[0]!RefreshFutureUnderlyings">
                <anchor moveWithCells="1" sizeWithCells="1">
                  <from>
                    <xdr:col>2</xdr:col>
                    <xdr:colOff>220980</xdr:colOff>
                    <xdr:row>57</xdr:row>
                    <xdr:rowOff>167640</xdr:rowOff>
                  </from>
                  <to>
                    <xdr:col>3</xdr:col>
                    <xdr:colOff>617220</xdr:colOff>
                    <xdr:row>60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7" name="Button 12">
              <controlPr defaultSize="0" print="0" autoFill="0" autoPict="0" macro="[0]!MainDownloadProcess">
                <anchor moveWithCells="1" sizeWithCells="1">
                  <from>
                    <xdr:col>2</xdr:col>
                    <xdr:colOff>381000</xdr:colOff>
                    <xdr:row>89</xdr:row>
                    <xdr:rowOff>91440</xdr:rowOff>
                  </from>
                  <to>
                    <xdr:col>3</xdr:col>
                    <xdr:colOff>632460</xdr:colOff>
                    <xdr:row>92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8" name="Button 13">
              <controlPr defaultSize="0" print="0" autoFill="0" autoPict="0" macro="[0]!RefreshFutureUnderlyings">
                <anchor moveWithCells="1" sizeWithCells="1">
                  <from>
                    <xdr:col>7</xdr:col>
                    <xdr:colOff>53340</xdr:colOff>
                    <xdr:row>57</xdr:row>
                    <xdr:rowOff>106680</xdr:rowOff>
                  </from>
                  <to>
                    <xdr:col>9</xdr:col>
                    <xdr:colOff>502920</xdr:colOff>
                    <xdr:row>60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9" name="Button 2">
              <controlPr defaultSize="0" print="0" autoFill="0" autoPict="0" macro="[0]!MainDownloadProcess">
                <anchor moveWithCells="1" sizeWithCells="1">
                  <from>
                    <xdr:col>7</xdr:col>
                    <xdr:colOff>76200</xdr:colOff>
                    <xdr:row>89</xdr:row>
                    <xdr:rowOff>99060</xdr:rowOff>
                  </from>
                  <to>
                    <xdr:col>9</xdr:col>
                    <xdr:colOff>403860</xdr:colOff>
                    <xdr:row>92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0" name="Button 14">
              <controlPr defaultSize="0" print="0" autoFill="0" autoPict="0" macro="[0]!EmergencyStop">
                <anchor moveWithCells="1" sizeWithCells="1">
                  <from>
                    <xdr:col>6</xdr:col>
                    <xdr:colOff>68580</xdr:colOff>
                    <xdr:row>4</xdr:row>
                    <xdr:rowOff>68580</xdr:rowOff>
                  </from>
                  <to>
                    <xdr:col>7</xdr:col>
                    <xdr:colOff>617220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EA9CB-07A2-45E5-A004-0645FC386134}">
  <sheetPr codeName="Sheet3">
    <tabColor rgb="FF92D050"/>
  </sheetPr>
  <dimension ref="A1:AG183"/>
  <sheetViews>
    <sheetView workbookViewId="0"/>
  </sheetViews>
  <sheetFormatPr defaultRowHeight="14.4" x14ac:dyDescent="0.3"/>
  <sheetData>
    <row r="1" spans="1:33" x14ac:dyDescent="0.3">
      <c r="A1" s="2" t="s">
        <v>94</v>
      </c>
      <c r="B1" s="2" t="s">
        <v>95</v>
      </c>
      <c r="C1" s="2" t="s">
        <v>50</v>
      </c>
      <c r="D1" s="2" t="s">
        <v>105</v>
      </c>
      <c r="E1" s="2" t="s">
        <v>106</v>
      </c>
      <c r="F1" t="s">
        <v>107</v>
      </c>
      <c r="G1" t="s">
        <v>142</v>
      </c>
      <c r="N1" t="s">
        <v>143</v>
      </c>
      <c r="U1" t="s">
        <v>144</v>
      </c>
      <c r="AB1" t="s">
        <v>145</v>
      </c>
    </row>
    <row r="2" spans="1:33" x14ac:dyDescent="0.3">
      <c r="C2" s="15"/>
      <c r="H2" s="15"/>
      <c r="I2" s="15"/>
      <c r="J2" s="15"/>
      <c r="K2" s="15"/>
      <c r="L2" s="15"/>
      <c r="O2" s="15"/>
      <c r="P2" s="15"/>
      <c r="Q2" s="15"/>
      <c r="R2" s="15"/>
      <c r="S2" s="15"/>
      <c r="V2" s="15"/>
      <c r="W2" s="15"/>
      <c r="X2" s="15"/>
      <c r="Y2" s="15"/>
      <c r="Z2" s="15"/>
      <c r="AC2" s="15"/>
      <c r="AD2" s="15"/>
      <c r="AE2" s="15"/>
      <c r="AF2" s="15"/>
      <c r="AG2" s="15"/>
    </row>
    <row r="3" spans="1:33" x14ac:dyDescent="0.3">
      <c r="B3" s="15"/>
      <c r="C3" s="15"/>
      <c r="G3" s="15"/>
      <c r="H3" s="15"/>
      <c r="I3" s="15"/>
      <c r="J3" s="15"/>
      <c r="K3" s="15"/>
      <c r="L3" s="15"/>
      <c r="N3" s="15"/>
      <c r="O3" s="15"/>
      <c r="Q3" s="1"/>
      <c r="S3" s="15"/>
      <c r="U3" s="15"/>
      <c r="V3" s="15"/>
      <c r="W3" s="15"/>
      <c r="X3" s="15"/>
      <c r="Y3" s="15"/>
      <c r="Z3" s="15"/>
      <c r="AB3" s="15"/>
      <c r="AC3" s="15"/>
      <c r="AD3" s="15"/>
      <c r="AE3" s="15"/>
      <c r="AF3" s="15"/>
      <c r="AG3" s="15"/>
    </row>
    <row r="4" spans="1:33" x14ac:dyDescent="0.3">
      <c r="B4" s="15"/>
      <c r="C4" s="15"/>
      <c r="G4" s="15"/>
      <c r="H4" s="15"/>
      <c r="J4" s="1"/>
      <c r="K4" s="15"/>
      <c r="L4" s="15"/>
      <c r="N4" s="15"/>
      <c r="O4" s="15"/>
      <c r="Q4" s="1"/>
      <c r="R4" s="15"/>
      <c r="S4" s="15"/>
      <c r="U4" s="15"/>
      <c r="V4" s="15"/>
      <c r="X4" s="1"/>
      <c r="Y4" s="15"/>
      <c r="Z4" s="15"/>
      <c r="AB4" s="15"/>
      <c r="AC4" s="15"/>
      <c r="AE4" s="1"/>
      <c r="AF4" s="15"/>
      <c r="AG4" s="15"/>
    </row>
    <row r="5" spans="1:33" x14ac:dyDescent="0.3">
      <c r="B5" s="15"/>
      <c r="C5" s="15"/>
      <c r="G5" s="15"/>
      <c r="H5" s="15"/>
      <c r="J5" s="1"/>
      <c r="K5" s="15"/>
      <c r="L5" s="15"/>
      <c r="N5" s="15"/>
      <c r="O5" s="15"/>
      <c r="Q5" s="1"/>
      <c r="R5" s="15"/>
      <c r="S5" s="15"/>
      <c r="U5" s="15"/>
      <c r="V5" s="15"/>
      <c r="X5" s="1"/>
      <c r="Y5" s="15"/>
      <c r="Z5" s="15"/>
      <c r="AB5" s="15"/>
      <c r="AC5" s="15"/>
      <c r="AE5" s="1"/>
      <c r="AF5" s="15"/>
      <c r="AG5" s="15"/>
    </row>
    <row r="6" spans="1:33" x14ac:dyDescent="0.3">
      <c r="B6" s="15"/>
      <c r="C6" s="15"/>
      <c r="G6" s="15"/>
      <c r="H6" s="15"/>
      <c r="J6" s="1"/>
      <c r="K6" s="15"/>
      <c r="L6" s="15"/>
      <c r="N6" s="15"/>
      <c r="O6" s="15"/>
      <c r="Q6" s="1"/>
      <c r="R6" s="15"/>
      <c r="S6" s="15"/>
      <c r="U6" s="15"/>
      <c r="V6" s="15"/>
      <c r="X6" s="1"/>
      <c r="Y6" s="15"/>
      <c r="Z6" s="15"/>
      <c r="AB6" s="15"/>
      <c r="AC6" s="15"/>
      <c r="AE6" s="1"/>
      <c r="AF6" s="15"/>
      <c r="AG6" s="15"/>
    </row>
    <row r="7" spans="1:33" x14ac:dyDescent="0.3">
      <c r="G7" s="15"/>
      <c r="H7" s="15"/>
      <c r="J7" s="1"/>
      <c r="K7" s="15"/>
      <c r="L7" s="15"/>
      <c r="N7" s="15"/>
      <c r="O7" s="15"/>
      <c r="Q7" s="1"/>
      <c r="R7" s="15"/>
      <c r="S7" s="15"/>
      <c r="U7" s="15"/>
      <c r="V7" s="15"/>
      <c r="X7" s="1"/>
      <c r="Y7" s="15"/>
      <c r="Z7" s="15"/>
      <c r="AB7" s="15"/>
      <c r="AC7" s="15"/>
      <c r="AE7" s="1"/>
      <c r="AF7" s="15"/>
      <c r="AG7" s="15"/>
    </row>
    <row r="8" spans="1:33" x14ac:dyDescent="0.3">
      <c r="G8" s="15"/>
      <c r="H8" s="15"/>
      <c r="J8" s="1"/>
      <c r="K8" s="15"/>
      <c r="L8" s="15"/>
      <c r="N8" s="15"/>
      <c r="O8" s="15"/>
      <c r="Q8" s="1"/>
      <c r="R8" s="15"/>
      <c r="S8" s="15"/>
      <c r="U8" s="15"/>
      <c r="V8" s="15"/>
      <c r="X8" s="1"/>
      <c r="Y8" s="15"/>
      <c r="Z8" s="15"/>
      <c r="AB8" s="15"/>
      <c r="AC8" s="15"/>
      <c r="AE8" s="1"/>
      <c r="AF8" s="15"/>
      <c r="AG8" s="15"/>
    </row>
    <row r="9" spans="1:33" x14ac:dyDescent="0.3">
      <c r="G9" s="15"/>
      <c r="H9" s="15"/>
      <c r="J9" s="1"/>
      <c r="K9" s="15"/>
      <c r="L9" s="15"/>
      <c r="N9" s="15"/>
      <c r="O9" s="15"/>
      <c r="Q9" s="1"/>
      <c r="R9" s="15"/>
      <c r="S9" s="15"/>
      <c r="U9" s="15"/>
      <c r="V9" s="15"/>
      <c r="X9" s="1"/>
      <c r="Y9" s="15"/>
      <c r="Z9" s="15"/>
      <c r="AB9" s="15"/>
      <c r="AC9" s="15"/>
      <c r="AE9" s="1"/>
      <c r="AF9" s="15"/>
      <c r="AG9" s="15"/>
    </row>
    <row r="10" spans="1:33" x14ac:dyDescent="0.3">
      <c r="G10" s="15"/>
      <c r="H10" s="15"/>
      <c r="J10" s="1"/>
      <c r="K10" s="15"/>
      <c r="L10" s="15"/>
      <c r="N10" s="15"/>
      <c r="O10" s="15"/>
      <c r="Q10" s="1"/>
      <c r="R10" s="15"/>
      <c r="S10" s="15"/>
      <c r="U10" s="15"/>
      <c r="V10" s="15"/>
      <c r="X10" s="1"/>
      <c r="Y10" s="15"/>
      <c r="Z10" s="15"/>
      <c r="AB10" s="15"/>
      <c r="AC10" s="15"/>
      <c r="AE10" s="1"/>
      <c r="AF10" s="15"/>
      <c r="AG10" s="15"/>
    </row>
    <row r="11" spans="1:33" x14ac:dyDescent="0.3">
      <c r="G11" s="15"/>
      <c r="H11" s="15"/>
      <c r="J11" s="1"/>
      <c r="K11" s="15"/>
      <c r="L11" s="15"/>
      <c r="N11" s="15"/>
      <c r="O11" s="15"/>
      <c r="Q11" s="1"/>
      <c r="R11" s="15"/>
      <c r="S11" s="15"/>
      <c r="U11" s="15"/>
      <c r="V11" s="15"/>
      <c r="X11" s="1"/>
      <c r="Y11" s="15"/>
      <c r="Z11" s="15"/>
      <c r="AB11" s="15"/>
      <c r="AC11" s="15"/>
      <c r="AE11" s="1"/>
      <c r="AF11" s="15"/>
      <c r="AG11" s="15"/>
    </row>
    <row r="12" spans="1:33" x14ac:dyDescent="0.3">
      <c r="G12" s="15"/>
      <c r="H12" s="15"/>
      <c r="J12" s="1"/>
      <c r="K12" s="15"/>
      <c r="L12" s="15"/>
      <c r="N12" s="15"/>
      <c r="O12" s="15"/>
      <c r="Q12" s="1"/>
      <c r="R12" s="15"/>
      <c r="S12" s="15"/>
      <c r="U12" s="15"/>
      <c r="V12" s="15"/>
      <c r="X12" s="1"/>
      <c r="Y12" s="15"/>
      <c r="Z12" s="15"/>
      <c r="AB12" s="15"/>
      <c r="AC12" s="15"/>
      <c r="AE12" s="1"/>
      <c r="AF12" s="15"/>
      <c r="AG12" s="15"/>
    </row>
    <row r="13" spans="1:33" x14ac:dyDescent="0.3">
      <c r="G13" s="15"/>
      <c r="H13" s="15"/>
      <c r="J13" s="1"/>
      <c r="K13" s="15"/>
      <c r="L13" s="15"/>
      <c r="N13" s="15"/>
      <c r="O13" s="15"/>
      <c r="Q13" s="1"/>
      <c r="R13" s="15"/>
      <c r="S13" s="15"/>
      <c r="U13" s="15"/>
      <c r="V13" s="15"/>
      <c r="X13" s="1"/>
      <c r="Y13" s="15"/>
      <c r="Z13" s="15"/>
      <c r="AB13" s="15"/>
      <c r="AC13" s="15"/>
      <c r="AE13" s="1"/>
      <c r="AF13" s="15"/>
      <c r="AG13" s="15"/>
    </row>
    <row r="14" spans="1:33" x14ac:dyDescent="0.3">
      <c r="G14" s="15"/>
      <c r="H14" s="15"/>
      <c r="J14" s="1"/>
      <c r="K14" s="15"/>
      <c r="L14" s="15"/>
      <c r="N14" s="15"/>
      <c r="O14" s="15"/>
      <c r="Q14" s="1"/>
      <c r="R14" s="15"/>
      <c r="S14" s="15"/>
      <c r="U14" s="15"/>
      <c r="V14" s="15"/>
      <c r="X14" s="1"/>
      <c r="Y14" s="15"/>
      <c r="Z14" s="15"/>
      <c r="AB14" s="15"/>
      <c r="AC14" s="15"/>
      <c r="AE14" s="1"/>
      <c r="AF14" s="15"/>
      <c r="AG14" s="15"/>
    </row>
    <row r="15" spans="1:33" x14ac:dyDescent="0.3">
      <c r="G15" s="15"/>
      <c r="H15" s="15"/>
      <c r="J15" s="1"/>
      <c r="K15" s="15"/>
      <c r="L15" s="15"/>
      <c r="N15" s="15"/>
      <c r="O15" s="15"/>
      <c r="Q15" s="1"/>
      <c r="R15" s="15"/>
      <c r="S15" s="15"/>
      <c r="U15" s="15"/>
      <c r="V15" s="15"/>
      <c r="X15" s="1"/>
      <c r="Y15" s="15"/>
      <c r="Z15" s="15"/>
      <c r="AB15" s="15"/>
      <c r="AC15" s="15"/>
      <c r="AE15" s="1"/>
      <c r="AF15" s="15"/>
      <c r="AG15" s="15"/>
    </row>
    <row r="16" spans="1:33" x14ac:dyDescent="0.3">
      <c r="G16" s="15"/>
      <c r="H16" s="15"/>
      <c r="J16" s="1"/>
      <c r="K16" s="15"/>
      <c r="L16" s="15"/>
      <c r="N16" s="15"/>
      <c r="O16" s="15"/>
      <c r="Q16" s="1"/>
      <c r="R16" s="15"/>
      <c r="S16" s="15"/>
      <c r="U16" s="15"/>
      <c r="V16" s="15"/>
      <c r="X16" s="1"/>
      <c r="Y16" s="15"/>
      <c r="Z16" s="15"/>
      <c r="AB16" s="15"/>
      <c r="AC16" s="15"/>
      <c r="AE16" s="1"/>
      <c r="AF16" s="15"/>
      <c r="AG16" s="15"/>
    </row>
    <row r="17" spans="7:33" x14ac:dyDescent="0.3">
      <c r="G17" s="15"/>
      <c r="H17" s="15"/>
      <c r="J17" s="1"/>
      <c r="K17" s="15"/>
      <c r="L17" s="15"/>
      <c r="N17" s="15"/>
      <c r="O17" s="15"/>
      <c r="Q17" s="1"/>
      <c r="R17" s="15"/>
      <c r="S17" s="15"/>
      <c r="U17" s="15"/>
      <c r="V17" s="15"/>
      <c r="X17" s="1"/>
      <c r="Y17" s="15"/>
      <c r="Z17" s="15"/>
      <c r="AB17" s="15"/>
      <c r="AC17" s="15"/>
      <c r="AE17" s="1"/>
      <c r="AF17" s="15"/>
      <c r="AG17" s="15"/>
    </row>
    <row r="18" spans="7:33" x14ac:dyDescent="0.3">
      <c r="G18" s="15"/>
      <c r="H18" s="15"/>
      <c r="J18" s="1"/>
      <c r="K18" s="15"/>
      <c r="L18" s="15"/>
      <c r="N18" s="15"/>
      <c r="O18" s="15"/>
      <c r="Q18" s="1"/>
      <c r="R18" s="15"/>
      <c r="S18" s="15"/>
      <c r="U18" s="15"/>
      <c r="V18" s="15"/>
      <c r="X18" s="1"/>
      <c r="Y18" s="15"/>
      <c r="Z18" s="15"/>
      <c r="AB18" s="15"/>
      <c r="AC18" s="15"/>
      <c r="AE18" s="1"/>
      <c r="AF18" s="15"/>
      <c r="AG18" s="15"/>
    </row>
    <row r="19" spans="7:33" x14ac:dyDescent="0.3">
      <c r="G19" s="15"/>
      <c r="H19" s="15"/>
      <c r="J19" s="1"/>
      <c r="K19" s="15"/>
      <c r="L19" s="15"/>
      <c r="N19" s="15"/>
      <c r="O19" s="15"/>
      <c r="Q19" s="1"/>
      <c r="R19" s="15"/>
      <c r="S19" s="15"/>
      <c r="U19" s="15"/>
      <c r="V19" s="15"/>
      <c r="X19" s="1"/>
      <c r="Y19" s="15"/>
      <c r="Z19" s="15"/>
      <c r="AB19" s="15"/>
      <c r="AC19" s="15"/>
      <c r="AE19" s="1"/>
      <c r="AF19" s="15"/>
      <c r="AG19" s="15"/>
    </row>
    <row r="20" spans="7:33" x14ac:dyDescent="0.3">
      <c r="G20" s="15"/>
      <c r="H20" s="15"/>
      <c r="J20" s="1"/>
      <c r="K20" s="15"/>
      <c r="L20" s="15"/>
      <c r="N20" s="15"/>
      <c r="O20" s="15"/>
      <c r="Q20" s="1"/>
      <c r="R20" s="15"/>
      <c r="S20" s="15"/>
      <c r="U20" s="15"/>
      <c r="V20" s="15"/>
      <c r="X20" s="1"/>
      <c r="Y20" s="15"/>
      <c r="Z20" s="15"/>
      <c r="AB20" s="15"/>
      <c r="AC20" s="15"/>
      <c r="AE20" s="1"/>
      <c r="AF20" s="15"/>
      <c r="AG20" s="15"/>
    </row>
    <row r="21" spans="7:33" x14ac:dyDescent="0.3">
      <c r="G21" s="15"/>
      <c r="H21" s="15"/>
      <c r="J21" s="1"/>
      <c r="K21" s="15"/>
      <c r="L21" s="15"/>
      <c r="N21" s="15"/>
      <c r="O21" s="15"/>
      <c r="Q21" s="1"/>
      <c r="R21" s="15"/>
      <c r="S21" s="15"/>
      <c r="U21" s="15"/>
      <c r="V21" s="15"/>
      <c r="X21" s="1"/>
      <c r="Y21" s="15"/>
      <c r="Z21" s="15"/>
      <c r="AB21" s="15"/>
      <c r="AC21" s="15"/>
      <c r="AE21" s="1"/>
      <c r="AF21" s="15"/>
      <c r="AG21" s="15"/>
    </row>
    <row r="22" spans="7:33" x14ac:dyDescent="0.3">
      <c r="G22" s="15"/>
      <c r="H22" s="15"/>
      <c r="J22" s="1"/>
      <c r="K22" s="15"/>
      <c r="L22" s="15"/>
      <c r="N22" s="15"/>
      <c r="O22" s="15"/>
      <c r="Q22" s="1"/>
      <c r="R22" s="15"/>
      <c r="S22" s="15"/>
      <c r="U22" s="15"/>
      <c r="V22" s="15"/>
      <c r="X22" s="1"/>
      <c r="Y22" s="15"/>
      <c r="Z22" s="15"/>
      <c r="AB22" s="15"/>
      <c r="AC22" s="15"/>
      <c r="AE22" s="1"/>
      <c r="AF22" s="15"/>
      <c r="AG22" s="15"/>
    </row>
    <row r="23" spans="7:33" x14ac:dyDescent="0.3">
      <c r="G23" s="15"/>
      <c r="H23" s="15"/>
      <c r="J23" s="1"/>
      <c r="K23" s="15"/>
      <c r="L23" s="15"/>
      <c r="N23" s="15"/>
      <c r="O23" s="15"/>
      <c r="Q23" s="1"/>
      <c r="R23" s="15"/>
      <c r="S23" s="15"/>
      <c r="U23" s="15"/>
      <c r="V23" s="15"/>
      <c r="X23" s="1"/>
      <c r="Y23" s="15"/>
      <c r="Z23" s="15"/>
      <c r="AB23" s="15"/>
      <c r="AC23" s="15"/>
      <c r="AE23" s="1"/>
      <c r="AF23" s="15"/>
      <c r="AG23" s="15"/>
    </row>
    <row r="24" spans="7:33" x14ac:dyDescent="0.3">
      <c r="G24" s="15"/>
      <c r="H24" s="15"/>
      <c r="J24" s="1"/>
      <c r="K24" s="15"/>
      <c r="L24" s="15"/>
      <c r="N24" s="15"/>
      <c r="O24" s="15"/>
      <c r="Q24" s="1"/>
      <c r="R24" s="15"/>
      <c r="S24" s="15"/>
      <c r="U24" s="15"/>
      <c r="V24" s="15"/>
      <c r="X24" s="1"/>
      <c r="Y24" s="15"/>
      <c r="Z24" s="15"/>
      <c r="AB24" s="15"/>
      <c r="AC24" s="15"/>
      <c r="AE24" s="1"/>
      <c r="AF24" s="15"/>
      <c r="AG24" s="15"/>
    </row>
    <row r="25" spans="7:33" x14ac:dyDescent="0.3">
      <c r="G25" s="15"/>
      <c r="H25" s="15"/>
      <c r="J25" s="1"/>
      <c r="K25" s="15"/>
      <c r="L25" s="15"/>
      <c r="N25" s="15"/>
      <c r="O25" s="15"/>
      <c r="Q25" s="1"/>
      <c r="R25" s="15"/>
      <c r="S25" s="15"/>
      <c r="U25" s="15"/>
      <c r="V25" s="15"/>
      <c r="X25" s="1"/>
      <c r="Y25" s="15"/>
      <c r="Z25" s="15"/>
      <c r="AB25" s="15"/>
      <c r="AC25" s="15"/>
      <c r="AE25" s="1"/>
      <c r="AF25" s="15"/>
      <c r="AG25" s="15"/>
    </row>
    <row r="26" spans="7:33" x14ac:dyDescent="0.3">
      <c r="G26" s="15"/>
      <c r="H26" s="15"/>
      <c r="J26" s="1"/>
      <c r="K26" s="15"/>
      <c r="L26" s="15"/>
      <c r="N26" s="15"/>
      <c r="O26" s="15"/>
      <c r="Q26" s="1"/>
      <c r="R26" s="15"/>
      <c r="S26" s="15"/>
      <c r="U26" s="15"/>
      <c r="V26" s="15"/>
      <c r="X26" s="1"/>
      <c r="Y26" s="15"/>
      <c r="Z26" s="15"/>
      <c r="AB26" s="15"/>
      <c r="AC26" s="15"/>
      <c r="AE26" s="1"/>
      <c r="AF26" s="15"/>
      <c r="AG26" s="15"/>
    </row>
    <row r="27" spans="7:33" x14ac:dyDescent="0.3">
      <c r="G27" s="15"/>
      <c r="H27" s="15"/>
      <c r="J27" s="1"/>
      <c r="K27" s="15"/>
      <c r="L27" s="15"/>
      <c r="N27" s="15"/>
      <c r="O27" s="15"/>
      <c r="Q27" s="1"/>
      <c r="R27" s="15"/>
      <c r="S27" s="15"/>
      <c r="U27" s="15"/>
      <c r="V27" s="15"/>
      <c r="X27" s="1"/>
      <c r="Y27" s="15"/>
      <c r="Z27" s="15"/>
      <c r="AB27" s="15"/>
      <c r="AC27" s="15"/>
      <c r="AE27" s="1"/>
      <c r="AF27" s="15"/>
      <c r="AG27" s="15"/>
    </row>
    <row r="28" spans="7:33" x14ac:dyDescent="0.3">
      <c r="G28" s="15"/>
      <c r="H28" s="15"/>
      <c r="J28" s="1"/>
      <c r="K28" s="15"/>
      <c r="L28" s="15"/>
      <c r="N28" s="15"/>
      <c r="O28" s="15"/>
      <c r="Q28" s="1"/>
      <c r="R28" s="15"/>
      <c r="S28" s="15"/>
      <c r="U28" s="15"/>
      <c r="V28" s="15"/>
      <c r="X28" s="1"/>
      <c r="Y28" s="15"/>
      <c r="Z28" s="15"/>
      <c r="AB28" s="15"/>
      <c r="AC28" s="15"/>
      <c r="AE28" s="1"/>
      <c r="AF28" s="15"/>
      <c r="AG28" s="15"/>
    </row>
    <row r="29" spans="7:33" x14ac:dyDescent="0.3">
      <c r="G29" s="15"/>
      <c r="H29" s="15"/>
      <c r="J29" s="1"/>
      <c r="K29" s="15"/>
      <c r="L29" s="15"/>
      <c r="N29" s="15"/>
      <c r="O29" s="15"/>
      <c r="Q29" s="1"/>
      <c r="R29" s="15"/>
      <c r="S29" s="15"/>
      <c r="U29" s="15"/>
      <c r="V29" s="15"/>
      <c r="X29" s="1"/>
      <c r="Y29" s="15"/>
      <c r="Z29" s="15"/>
      <c r="AB29" s="15"/>
      <c r="AC29" s="15"/>
      <c r="AE29" s="1"/>
      <c r="AF29" s="15"/>
      <c r="AG29" s="15"/>
    </row>
    <row r="30" spans="7:33" x14ac:dyDescent="0.3">
      <c r="G30" s="15"/>
      <c r="H30" s="15"/>
      <c r="J30" s="1"/>
      <c r="K30" s="15"/>
      <c r="L30" s="15"/>
      <c r="N30" s="15"/>
      <c r="O30" s="15"/>
      <c r="Q30" s="1"/>
      <c r="R30" s="15"/>
      <c r="S30" s="15"/>
      <c r="U30" s="15"/>
      <c r="V30" s="15"/>
      <c r="X30" s="1"/>
      <c r="Y30" s="15"/>
      <c r="Z30" s="15"/>
      <c r="AB30" s="15"/>
      <c r="AC30" s="15"/>
      <c r="AE30" s="1"/>
      <c r="AF30" s="15"/>
      <c r="AG30" s="15"/>
    </row>
    <row r="31" spans="7:33" x14ac:dyDescent="0.3">
      <c r="G31" s="15"/>
      <c r="H31" s="15"/>
      <c r="J31" s="1"/>
      <c r="K31" s="15"/>
      <c r="L31" s="15"/>
      <c r="N31" s="15"/>
      <c r="O31" s="15"/>
      <c r="Q31" s="1"/>
      <c r="R31" s="15"/>
      <c r="S31" s="15"/>
      <c r="U31" s="15"/>
      <c r="V31" s="15"/>
      <c r="X31" s="1"/>
      <c r="Y31" s="15"/>
      <c r="Z31" s="15"/>
      <c r="AB31" s="15"/>
      <c r="AC31" s="15"/>
      <c r="AE31" s="1"/>
      <c r="AF31" s="15"/>
      <c r="AG31" s="15"/>
    </row>
    <row r="32" spans="7:33" x14ac:dyDescent="0.3">
      <c r="G32" s="15"/>
      <c r="H32" s="15"/>
      <c r="J32" s="1"/>
      <c r="K32" s="15"/>
      <c r="L32" s="15"/>
      <c r="N32" s="15"/>
      <c r="O32" s="15"/>
      <c r="Q32" s="1"/>
      <c r="R32" s="15"/>
      <c r="S32" s="15"/>
      <c r="U32" s="15"/>
      <c r="V32" s="15"/>
      <c r="X32" s="1"/>
      <c r="Y32" s="15"/>
      <c r="Z32" s="15"/>
      <c r="AB32" s="15"/>
      <c r="AC32" s="15"/>
      <c r="AE32" s="1"/>
      <c r="AF32" s="15"/>
      <c r="AG32" s="15"/>
    </row>
    <row r="33" spans="7:33" x14ac:dyDescent="0.3">
      <c r="G33" s="15"/>
      <c r="H33" s="15"/>
      <c r="J33" s="1"/>
      <c r="K33" s="15"/>
      <c r="L33" s="15"/>
      <c r="N33" s="15"/>
      <c r="O33" s="15"/>
      <c r="Q33" s="1"/>
      <c r="R33" s="15"/>
      <c r="S33" s="15"/>
      <c r="U33" s="15"/>
      <c r="V33" s="15"/>
      <c r="X33" s="1"/>
      <c r="Y33" s="15"/>
      <c r="Z33" s="15"/>
      <c r="AB33" s="15"/>
      <c r="AC33" s="15"/>
      <c r="AE33" s="1"/>
      <c r="AF33" s="15"/>
      <c r="AG33" s="15"/>
    </row>
    <row r="34" spans="7:33" x14ac:dyDescent="0.3">
      <c r="G34" s="15"/>
      <c r="H34" s="15"/>
      <c r="J34" s="1"/>
      <c r="K34" s="15"/>
      <c r="L34" s="15"/>
      <c r="N34" s="15"/>
      <c r="O34" s="15"/>
      <c r="Q34" s="1"/>
      <c r="R34" s="15"/>
      <c r="S34" s="15"/>
      <c r="U34" s="15"/>
      <c r="V34" s="15"/>
      <c r="X34" s="1"/>
      <c r="Y34" s="15"/>
      <c r="Z34" s="15"/>
      <c r="AB34" s="15"/>
      <c r="AC34" s="15"/>
      <c r="AE34" s="1"/>
      <c r="AF34" s="15"/>
      <c r="AG34" s="15"/>
    </row>
    <row r="35" spans="7:33" x14ac:dyDescent="0.3">
      <c r="G35" s="15"/>
      <c r="H35" s="15"/>
      <c r="J35" s="1"/>
      <c r="K35" s="15"/>
      <c r="L35" s="15"/>
      <c r="N35" s="15"/>
      <c r="O35" s="15"/>
      <c r="Q35" s="1"/>
      <c r="R35" s="15"/>
      <c r="S35" s="15"/>
      <c r="U35" s="15"/>
      <c r="V35" s="15"/>
      <c r="X35" s="1"/>
      <c r="Y35" s="15"/>
      <c r="Z35" s="15"/>
      <c r="AB35" s="15"/>
      <c r="AC35" s="15"/>
      <c r="AE35" s="1"/>
      <c r="AF35" s="15"/>
      <c r="AG35" s="15"/>
    </row>
    <row r="36" spans="7:33" x14ac:dyDescent="0.3">
      <c r="G36" s="15"/>
      <c r="H36" s="15"/>
      <c r="J36" s="1"/>
      <c r="K36" s="15"/>
      <c r="L36" s="15"/>
      <c r="N36" s="15"/>
      <c r="O36" s="15"/>
      <c r="Q36" s="1"/>
      <c r="R36" s="15"/>
      <c r="S36" s="15"/>
      <c r="U36" s="15"/>
      <c r="V36" s="15"/>
      <c r="X36" s="1"/>
      <c r="Y36" s="15"/>
      <c r="Z36" s="15"/>
      <c r="AB36" s="15"/>
      <c r="AC36" s="15"/>
      <c r="AE36" s="1"/>
      <c r="AF36" s="15"/>
      <c r="AG36" s="15"/>
    </row>
    <row r="37" spans="7:33" x14ac:dyDescent="0.3">
      <c r="G37" s="15"/>
      <c r="H37" s="15"/>
      <c r="J37" s="1"/>
      <c r="K37" s="15"/>
      <c r="L37" s="15"/>
      <c r="N37" s="15"/>
      <c r="O37" s="15"/>
      <c r="Q37" s="1"/>
      <c r="R37" s="15"/>
      <c r="S37" s="15"/>
      <c r="U37" s="15"/>
      <c r="V37" s="15"/>
      <c r="X37" s="1"/>
      <c r="Y37" s="15"/>
      <c r="Z37" s="15"/>
      <c r="AB37" s="15"/>
      <c r="AC37" s="15"/>
      <c r="AE37" s="1"/>
      <c r="AF37" s="15"/>
      <c r="AG37" s="15"/>
    </row>
    <row r="38" spans="7:33" x14ac:dyDescent="0.3">
      <c r="G38" s="15"/>
      <c r="H38" s="15"/>
      <c r="J38" s="1"/>
      <c r="K38" s="15"/>
      <c r="L38" s="15"/>
      <c r="N38" s="15"/>
      <c r="O38" s="15"/>
      <c r="Q38" s="1"/>
      <c r="R38" s="15"/>
      <c r="S38" s="15"/>
      <c r="U38" s="15"/>
      <c r="V38" s="15"/>
      <c r="X38" s="1"/>
      <c r="Y38" s="15"/>
      <c r="Z38" s="15"/>
      <c r="AB38" s="15"/>
      <c r="AC38" s="15"/>
      <c r="AE38" s="1"/>
      <c r="AF38" s="15"/>
      <c r="AG38" s="15"/>
    </row>
    <row r="39" spans="7:33" x14ac:dyDescent="0.3">
      <c r="G39" s="15"/>
      <c r="H39" s="15"/>
      <c r="J39" s="1"/>
      <c r="K39" s="15"/>
      <c r="L39" s="15"/>
      <c r="N39" s="15"/>
      <c r="O39" s="15"/>
      <c r="Q39" s="1"/>
      <c r="R39" s="15"/>
      <c r="S39" s="15"/>
      <c r="U39" s="15"/>
      <c r="V39" s="15"/>
      <c r="X39" s="1"/>
      <c r="Y39" s="15"/>
      <c r="Z39" s="15"/>
      <c r="AB39" s="15"/>
      <c r="AC39" s="15"/>
      <c r="AE39" s="1"/>
      <c r="AF39" s="15"/>
      <c r="AG39" s="15"/>
    </row>
    <row r="40" spans="7:33" x14ac:dyDescent="0.3">
      <c r="G40" s="15"/>
      <c r="H40" s="15"/>
      <c r="J40" s="1"/>
      <c r="K40" s="15"/>
      <c r="L40" s="15"/>
      <c r="N40" s="15"/>
      <c r="O40" s="15"/>
      <c r="Q40" s="1"/>
      <c r="R40" s="15"/>
      <c r="S40" s="15"/>
      <c r="U40" s="15"/>
      <c r="V40" s="15"/>
      <c r="X40" s="1"/>
      <c r="Y40" s="15"/>
      <c r="Z40" s="15"/>
      <c r="AB40" s="15"/>
      <c r="AC40" s="15"/>
      <c r="AE40" s="1"/>
      <c r="AF40" s="15"/>
      <c r="AG40" s="15"/>
    </row>
    <row r="41" spans="7:33" x14ac:dyDescent="0.3">
      <c r="G41" s="15"/>
      <c r="H41" s="15"/>
      <c r="J41" s="1"/>
      <c r="K41" s="15"/>
      <c r="L41" s="15"/>
      <c r="N41" s="15"/>
      <c r="O41" s="15"/>
      <c r="Q41" s="1"/>
      <c r="R41" s="15"/>
      <c r="S41" s="15"/>
      <c r="U41" s="15"/>
      <c r="V41" s="15"/>
      <c r="X41" s="1"/>
      <c r="Y41" s="15"/>
      <c r="Z41" s="15"/>
      <c r="AB41" s="15"/>
      <c r="AC41" s="15"/>
      <c r="AE41" s="1"/>
      <c r="AF41" s="15"/>
      <c r="AG41" s="15"/>
    </row>
    <row r="42" spans="7:33" x14ac:dyDescent="0.3">
      <c r="G42" s="15"/>
      <c r="H42" s="15"/>
      <c r="J42" s="1"/>
      <c r="K42" s="15"/>
      <c r="L42" s="15"/>
      <c r="N42" s="15"/>
      <c r="O42" s="15"/>
      <c r="Q42" s="1"/>
      <c r="R42" s="15"/>
      <c r="S42" s="15"/>
      <c r="U42" s="15"/>
      <c r="V42" s="15"/>
      <c r="X42" s="1"/>
      <c r="Y42" s="15"/>
      <c r="Z42" s="15"/>
      <c r="AB42" s="15"/>
      <c r="AC42" s="15"/>
      <c r="AE42" s="1"/>
      <c r="AF42" s="15"/>
      <c r="AG42" s="15"/>
    </row>
    <row r="43" spans="7:33" x14ac:dyDescent="0.3">
      <c r="G43" s="15"/>
      <c r="H43" s="15"/>
      <c r="J43" s="1"/>
      <c r="K43" s="15"/>
      <c r="L43" s="15"/>
      <c r="N43" s="15"/>
      <c r="O43" s="15"/>
      <c r="Q43" s="1"/>
      <c r="R43" s="15"/>
      <c r="S43" s="15"/>
      <c r="U43" s="15"/>
      <c r="V43" s="15"/>
      <c r="X43" s="1"/>
      <c r="Y43" s="15"/>
      <c r="Z43" s="15"/>
      <c r="AB43" s="15"/>
      <c r="AC43" s="15"/>
      <c r="AE43" s="1"/>
      <c r="AF43" s="15"/>
      <c r="AG43" s="15"/>
    </row>
    <row r="44" spans="7:33" x14ac:dyDescent="0.3">
      <c r="G44" s="15"/>
      <c r="H44" s="15"/>
      <c r="J44" s="1"/>
      <c r="K44" s="15"/>
      <c r="L44" s="15"/>
      <c r="N44" s="15"/>
      <c r="O44" s="15"/>
      <c r="Q44" s="1"/>
      <c r="R44" s="15"/>
      <c r="S44" s="15"/>
      <c r="U44" s="15"/>
      <c r="V44" s="15"/>
      <c r="X44" s="1"/>
      <c r="Y44" s="15"/>
      <c r="Z44" s="15"/>
      <c r="AB44" s="15"/>
      <c r="AC44" s="15"/>
      <c r="AE44" s="1"/>
      <c r="AF44" s="15"/>
      <c r="AG44" s="15"/>
    </row>
    <row r="45" spans="7:33" x14ac:dyDescent="0.3">
      <c r="G45" s="15"/>
      <c r="H45" s="15"/>
      <c r="J45" s="1"/>
      <c r="K45" s="15"/>
      <c r="L45" s="15"/>
      <c r="N45" s="15"/>
      <c r="O45" s="15"/>
      <c r="Q45" s="1"/>
      <c r="R45" s="15"/>
      <c r="S45" s="15"/>
      <c r="U45" s="15"/>
      <c r="V45" s="15"/>
      <c r="X45" s="1"/>
      <c r="Y45" s="15"/>
      <c r="Z45" s="15"/>
      <c r="AB45" s="15"/>
      <c r="AC45" s="15"/>
      <c r="AE45" s="1"/>
      <c r="AF45" s="15"/>
      <c r="AG45" s="15"/>
    </row>
    <row r="46" spans="7:33" x14ac:dyDescent="0.3">
      <c r="G46" s="15"/>
      <c r="H46" s="15"/>
      <c r="J46" s="1"/>
      <c r="K46" s="15"/>
      <c r="L46" s="15"/>
      <c r="N46" s="15"/>
      <c r="O46" s="15"/>
      <c r="Q46" s="1"/>
      <c r="R46" s="15"/>
      <c r="S46" s="15"/>
      <c r="U46" s="15"/>
      <c r="V46" s="15"/>
      <c r="X46" s="1"/>
      <c r="Y46" s="15"/>
      <c r="Z46" s="15"/>
      <c r="AB46" s="15"/>
      <c r="AC46" s="15"/>
      <c r="AE46" s="1"/>
      <c r="AF46" s="15"/>
      <c r="AG46" s="15"/>
    </row>
    <row r="47" spans="7:33" x14ac:dyDescent="0.3">
      <c r="G47" s="15"/>
      <c r="H47" s="15"/>
      <c r="J47" s="1"/>
      <c r="K47" s="15"/>
      <c r="L47" s="15"/>
      <c r="N47" s="15"/>
      <c r="O47" s="15"/>
      <c r="Q47" s="1"/>
      <c r="R47" s="15"/>
      <c r="S47" s="15"/>
      <c r="U47" s="15"/>
      <c r="V47" s="15"/>
      <c r="X47" s="1"/>
      <c r="Y47" s="15"/>
      <c r="Z47" s="15"/>
      <c r="AB47" s="15"/>
      <c r="AC47" s="15"/>
      <c r="AE47" s="1"/>
      <c r="AF47" s="15"/>
      <c r="AG47" s="15"/>
    </row>
    <row r="48" spans="7:33" x14ac:dyDescent="0.3">
      <c r="G48" s="15"/>
      <c r="H48" s="15"/>
      <c r="J48" s="1"/>
      <c r="K48" s="15"/>
      <c r="L48" s="15"/>
      <c r="N48" s="15"/>
      <c r="O48" s="15"/>
      <c r="Q48" s="1"/>
      <c r="R48" s="15"/>
      <c r="S48" s="15"/>
      <c r="U48" s="15"/>
      <c r="V48" s="15"/>
      <c r="X48" s="1"/>
      <c r="Y48" s="15"/>
      <c r="Z48" s="15"/>
      <c r="AB48" s="15"/>
      <c r="AC48" s="15"/>
      <c r="AE48" s="1"/>
      <c r="AF48" s="15"/>
      <c r="AG48" s="15"/>
    </row>
    <row r="49" spans="7:33" x14ac:dyDescent="0.3">
      <c r="G49" s="15"/>
      <c r="H49" s="15"/>
      <c r="J49" s="1"/>
      <c r="K49" s="15"/>
      <c r="L49" s="15"/>
      <c r="N49" s="15"/>
      <c r="O49" s="15"/>
      <c r="Q49" s="1"/>
      <c r="R49" s="15"/>
      <c r="S49" s="15"/>
      <c r="U49" s="15"/>
      <c r="V49" s="15"/>
      <c r="X49" s="1"/>
      <c r="Y49" s="15"/>
      <c r="Z49" s="15"/>
      <c r="AB49" s="15"/>
      <c r="AC49" s="15"/>
      <c r="AE49" s="1"/>
      <c r="AF49" s="15"/>
      <c r="AG49" s="15"/>
    </row>
    <row r="50" spans="7:33" x14ac:dyDescent="0.3">
      <c r="G50" s="15"/>
      <c r="H50" s="15"/>
      <c r="J50" s="1"/>
      <c r="K50" s="15"/>
      <c r="L50" s="15"/>
      <c r="N50" s="15"/>
      <c r="O50" s="15"/>
      <c r="Q50" s="1"/>
      <c r="R50" s="15"/>
      <c r="S50" s="15"/>
      <c r="U50" s="15"/>
      <c r="V50" s="15"/>
      <c r="X50" s="1"/>
      <c r="Y50" s="15"/>
      <c r="Z50" s="15"/>
      <c r="AB50" s="15"/>
      <c r="AC50" s="15"/>
      <c r="AE50" s="1"/>
      <c r="AF50" s="15"/>
      <c r="AG50" s="15"/>
    </row>
    <row r="51" spans="7:33" x14ac:dyDescent="0.3">
      <c r="G51" s="15"/>
      <c r="H51" s="15"/>
      <c r="J51" s="1"/>
      <c r="K51" s="15"/>
      <c r="L51" s="15"/>
      <c r="N51" s="15"/>
      <c r="O51" s="15"/>
      <c r="Q51" s="1"/>
      <c r="R51" s="15"/>
      <c r="S51" s="15"/>
      <c r="U51" s="15"/>
      <c r="V51" s="15"/>
      <c r="X51" s="1"/>
      <c r="Y51" s="15"/>
      <c r="Z51" s="15"/>
      <c r="AB51" s="15"/>
      <c r="AC51" s="15"/>
      <c r="AE51" s="1"/>
      <c r="AF51" s="15"/>
      <c r="AG51" s="15"/>
    </row>
    <row r="52" spans="7:33" x14ac:dyDescent="0.3">
      <c r="G52" s="15"/>
      <c r="H52" s="15"/>
      <c r="J52" s="1"/>
      <c r="K52" s="15"/>
      <c r="L52" s="15"/>
      <c r="N52" s="15"/>
      <c r="O52" s="15"/>
      <c r="Q52" s="1"/>
      <c r="R52" s="15"/>
      <c r="S52" s="15"/>
      <c r="U52" s="15"/>
      <c r="V52" s="15"/>
      <c r="X52" s="1"/>
      <c r="Y52" s="15"/>
      <c r="Z52" s="15"/>
      <c r="AB52" s="15"/>
      <c r="AC52" s="15"/>
      <c r="AE52" s="1"/>
      <c r="AF52" s="15"/>
      <c r="AG52" s="15"/>
    </row>
    <row r="53" spans="7:33" x14ac:dyDescent="0.3">
      <c r="G53" s="15"/>
      <c r="H53" s="15"/>
      <c r="J53" s="1"/>
      <c r="K53" s="15"/>
      <c r="L53" s="15"/>
      <c r="N53" s="15"/>
      <c r="O53" s="15"/>
      <c r="Q53" s="1"/>
      <c r="R53" s="15"/>
      <c r="S53" s="15"/>
      <c r="U53" s="15"/>
      <c r="V53" s="15"/>
      <c r="X53" s="1"/>
      <c r="Y53" s="15"/>
      <c r="Z53" s="15"/>
      <c r="AB53" s="15"/>
      <c r="AC53" s="15"/>
      <c r="AE53" s="1"/>
      <c r="AF53" s="15"/>
      <c r="AG53" s="15"/>
    </row>
    <row r="54" spans="7:33" x14ac:dyDescent="0.3">
      <c r="G54" s="15"/>
      <c r="H54" s="15"/>
      <c r="J54" s="1"/>
      <c r="K54" s="15"/>
      <c r="L54" s="15"/>
      <c r="N54" s="15"/>
      <c r="O54" s="15"/>
      <c r="Q54" s="1"/>
      <c r="R54" s="15"/>
      <c r="S54" s="15"/>
      <c r="U54" s="15"/>
      <c r="V54" s="15"/>
      <c r="X54" s="1"/>
      <c r="Y54" s="15"/>
      <c r="Z54" s="15"/>
      <c r="AB54" s="15"/>
      <c r="AC54" s="15"/>
      <c r="AE54" s="1"/>
      <c r="AF54" s="15"/>
      <c r="AG54" s="15"/>
    </row>
    <row r="55" spans="7:33" x14ac:dyDescent="0.3">
      <c r="G55" s="15"/>
      <c r="H55" s="15"/>
      <c r="J55" s="1"/>
      <c r="K55" s="15"/>
      <c r="L55" s="15"/>
      <c r="N55" s="15"/>
      <c r="O55" s="15"/>
      <c r="Q55" s="1"/>
      <c r="R55" s="15"/>
      <c r="S55" s="15"/>
      <c r="U55" s="15"/>
      <c r="V55" s="15"/>
      <c r="X55" s="1"/>
      <c r="Y55" s="15"/>
      <c r="Z55" s="15"/>
      <c r="AB55" s="15"/>
      <c r="AC55" s="15"/>
      <c r="AE55" s="1"/>
      <c r="AF55" s="15"/>
      <c r="AG55" s="15"/>
    </row>
    <row r="56" spans="7:33" x14ac:dyDescent="0.3">
      <c r="G56" s="15"/>
      <c r="H56" s="15"/>
      <c r="J56" s="1"/>
      <c r="K56" s="15"/>
      <c r="L56" s="15"/>
      <c r="N56" s="15"/>
      <c r="O56" s="15"/>
      <c r="Q56" s="1"/>
      <c r="R56" s="15"/>
      <c r="S56" s="15"/>
      <c r="U56" s="15"/>
      <c r="V56" s="15"/>
      <c r="X56" s="1"/>
      <c r="Y56" s="15"/>
      <c r="Z56" s="15"/>
      <c r="AB56" s="15"/>
      <c r="AC56" s="15"/>
      <c r="AE56" s="1"/>
      <c r="AF56" s="15"/>
      <c r="AG56" s="15"/>
    </row>
    <row r="57" spans="7:33" x14ac:dyDescent="0.3">
      <c r="G57" s="15"/>
      <c r="H57" s="15"/>
      <c r="J57" s="1"/>
      <c r="K57" s="15"/>
      <c r="L57" s="15"/>
      <c r="N57" s="15"/>
      <c r="O57" s="15"/>
      <c r="Q57" s="1"/>
      <c r="R57" s="15"/>
      <c r="S57" s="15"/>
      <c r="U57" s="15"/>
      <c r="V57" s="15"/>
      <c r="X57" s="1"/>
      <c r="Y57" s="15"/>
      <c r="Z57" s="15"/>
      <c r="AB57" s="15"/>
      <c r="AC57" s="15"/>
      <c r="AE57" s="1"/>
      <c r="AF57" s="15"/>
      <c r="AG57" s="15"/>
    </row>
    <row r="58" spans="7:33" x14ac:dyDescent="0.3">
      <c r="G58" s="15"/>
      <c r="H58" s="15"/>
      <c r="J58" s="1"/>
      <c r="K58" s="15"/>
      <c r="L58" s="15"/>
      <c r="N58" s="15"/>
      <c r="O58" s="15"/>
      <c r="Q58" s="1"/>
      <c r="R58" s="15"/>
      <c r="S58" s="15"/>
      <c r="U58" s="15"/>
      <c r="V58" s="15"/>
      <c r="X58" s="1"/>
      <c r="Y58" s="15"/>
      <c r="Z58" s="15"/>
      <c r="AB58" s="15"/>
      <c r="AC58" s="15"/>
      <c r="AE58" s="1"/>
      <c r="AF58" s="15"/>
      <c r="AG58" s="15"/>
    </row>
    <row r="59" spans="7:33" x14ac:dyDescent="0.3">
      <c r="G59" s="15"/>
      <c r="H59" s="15"/>
      <c r="J59" s="1"/>
      <c r="K59" s="15"/>
      <c r="L59" s="15"/>
      <c r="N59" s="15"/>
      <c r="O59" s="15"/>
      <c r="Q59" s="1"/>
      <c r="R59" s="15"/>
      <c r="S59" s="15"/>
      <c r="U59" s="15"/>
      <c r="V59" s="15"/>
      <c r="X59" s="1"/>
      <c r="Y59" s="15"/>
      <c r="Z59" s="15"/>
      <c r="AB59" s="15"/>
      <c r="AC59" s="15"/>
      <c r="AE59" s="1"/>
      <c r="AF59" s="15"/>
      <c r="AG59" s="15"/>
    </row>
    <row r="60" spans="7:33" x14ac:dyDescent="0.3">
      <c r="G60" s="15"/>
      <c r="H60" s="15"/>
      <c r="J60" s="1"/>
      <c r="K60" s="15"/>
      <c r="L60" s="15"/>
      <c r="N60" s="15"/>
      <c r="O60" s="15"/>
      <c r="Q60" s="1"/>
      <c r="R60" s="15"/>
      <c r="S60" s="15"/>
      <c r="U60" s="15"/>
      <c r="V60" s="15"/>
      <c r="X60" s="1"/>
      <c r="Y60" s="15"/>
      <c r="Z60" s="15"/>
      <c r="AB60" s="15"/>
      <c r="AC60" s="15"/>
      <c r="AE60" s="1"/>
      <c r="AF60" s="15"/>
      <c r="AG60" s="15"/>
    </row>
    <row r="61" spans="7:33" x14ac:dyDescent="0.3">
      <c r="G61" s="15"/>
      <c r="H61" s="15"/>
      <c r="J61" s="1"/>
      <c r="K61" s="15"/>
      <c r="L61" s="15"/>
      <c r="N61" s="15"/>
      <c r="O61" s="15"/>
      <c r="Q61" s="1"/>
      <c r="R61" s="15"/>
      <c r="S61" s="15"/>
      <c r="U61" s="15"/>
      <c r="V61" s="15"/>
      <c r="X61" s="1"/>
      <c r="Y61" s="15"/>
      <c r="Z61" s="15"/>
      <c r="AB61" s="15"/>
      <c r="AC61" s="15"/>
      <c r="AE61" s="1"/>
      <c r="AF61" s="15"/>
      <c r="AG61" s="15"/>
    </row>
    <row r="62" spans="7:33" x14ac:dyDescent="0.3">
      <c r="G62" s="15"/>
      <c r="H62" s="15"/>
      <c r="J62" s="1"/>
      <c r="K62" s="15"/>
      <c r="L62" s="15"/>
      <c r="N62" s="15"/>
      <c r="O62" s="15"/>
      <c r="Q62" s="1"/>
      <c r="R62" s="15"/>
      <c r="S62" s="15"/>
      <c r="U62" s="15"/>
      <c r="V62" s="15"/>
      <c r="X62" s="1"/>
      <c r="Y62" s="15"/>
      <c r="Z62" s="15"/>
      <c r="AB62" s="15"/>
      <c r="AC62" s="15"/>
      <c r="AE62" s="1"/>
      <c r="AF62" s="15"/>
      <c r="AG62" s="15"/>
    </row>
    <row r="63" spans="7:33" x14ac:dyDescent="0.3">
      <c r="G63" s="15"/>
      <c r="H63" s="15"/>
      <c r="J63" s="1"/>
      <c r="K63" s="15"/>
      <c r="L63" s="15"/>
      <c r="N63" s="15"/>
      <c r="O63" s="15"/>
      <c r="Q63" s="1"/>
      <c r="R63" s="15"/>
      <c r="S63" s="15"/>
      <c r="U63" s="15"/>
      <c r="V63" s="15"/>
      <c r="X63" s="1"/>
      <c r="Y63" s="15"/>
      <c r="Z63" s="15"/>
      <c r="AB63" s="15"/>
      <c r="AC63" s="15"/>
      <c r="AE63" s="1"/>
      <c r="AF63" s="15"/>
      <c r="AG63" s="15"/>
    </row>
    <row r="64" spans="7:33" x14ac:dyDescent="0.3">
      <c r="G64" s="15"/>
      <c r="H64" s="15"/>
      <c r="J64" s="1"/>
      <c r="K64" s="15"/>
      <c r="L64" s="15"/>
      <c r="N64" s="15"/>
      <c r="O64" s="15"/>
      <c r="Q64" s="1"/>
      <c r="R64" s="15"/>
      <c r="S64" s="15"/>
      <c r="U64" s="15"/>
      <c r="V64" s="15"/>
      <c r="X64" s="1"/>
      <c r="Y64" s="15"/>
      <c r="Z64" s="15"/>
      <c r="AB64" s="15"/>
      <c r="AC64" s="15"/>
      <c r="AE64" s="1"/>
      <c r="AF64" s="15"/>
      <c r="AG64" s="15"/>
    </row>
    <row r="65" spans="7:33" x14ac:dyDescent="0.3">
      <c r="G65" s="15"/>
      <c r="H65" s="15"/>
      <c r="J65" s="1"/>
      <c r="K65" s="15"/>
      <c r="L65" s="15"/>
      <c r="N65" s="15"/>
      <c r="O65" s="15"/>
      <c r="Q65" s="1"/>
      <c r="R65" s="15"/>
      <c r="S65" s="15"/>
      <c r="U65" s="15"/>
      <c r="V65" s="15"/>
      <c r="X65" s="1"/>
      <c r="Y65" s="15"/>
      <c r="Z65" s="15"/>
      <c r="AB65" s="15"/>
      <c r="AC65" s="15"/>
      <c r="AE65" s="1"/>
      <c r="AF65" s="15"/>
      <c r="AG65" s="15"/>
    </row>
    <row r="66" spans="7:33" x14ac:dyDescent="0.3">
      <c r="G66" s="15"/>
      <c r="H66" s="15"/>
      <c r="J66" s="1"/>
      <c r="K66" s="15"/>
      <c r="L66" s="15"/>
      <c r="N66" s="15"/>
      <c r="O66" s="15"/>
      <c r="Q66" s="1"/>
      <c r="R66" s="15"/>
      <c r="S66" s="15"/>
      <c r="U66" s="15"/>
      <c r="V66" s="15"/>
      <c r="X66" s="1"/>
      <c r="Y66" s="15"/>
      <c r="Z66" s="15"/>
      <c r="AB66" s="15"/>
      <c r="AC66" s="15"/>
      <c r="AE66" s="1"/>
      <c r="AF66" s="15"/>
      <c r="AG66" s="15"/>
    </row>
    <row r="67" spans="7:33" x14ac:dyDescent="0.3">
      <c r="G67" s="15"/>
      <c r="H67" s="15"/>
      <c r="J67" s="1"/>
      <c r="K67" s="15"/>
      <c r="L67" s="15"/>
      <c r="N67" s="15"/>
      <c r="O67" s="15"/>
      <c r="Q67" s="1"/>
      <c r="R67" s="15"/>
      <c r="S67" s="15"/>
      <c r="U67" s="15"/>
      <c r="V67" s="15"/>
      <c r="X67" s="1"/>
      <c r="Y67" s="15"/>
      <c r="Z67" s="15"/>
      <c r="AB67" s="15"/>
      <c r="AC67" s="15"/>
      <c r="AE67" s="1"/>
      <c r="AF67" s="15"/>
      <c r="AG67" s="15"/>
    </row>
    <row r="68" spans="7:33" x14ac:dyDescent="0.3">
      <c r="G68" s="15"/>
      <c r="H68" s="15"/>
      <c r="J68" s="1"/>
      <c r="K68" s="15"/>
      <c r="L68" s="15"/>
      <c r="N68" s="15"/>
      <c r="O68" s="15"/>
      <c r="Q68" s="1"/>
      <c r="R68" s="15"/>
      <c r="S68" s="15"/>
      <c r="U68" s="15"/>
      <c r="V68" s="15"/>
      <c r="X68" s="1"/>
      <c r="Y68" s="15"/>
      <c r="Z68" s="15"/>
      <c r="AB68" s="15"/>
      <c r="AC68" s="15"/>
      <c r="AE68" s="1"/>
      <c r="AF68" s="15"/>
      <c r="AG68" s="15"/>
    </row>
    <row r="69" spans="7:33" x14ac:dyDescent="0.3">
      <c r="G69" s="15"/>
      <c r="H69" s="15"/>
      <c r="J69" s="1"/>
      <c r="K69" s="15"/>
      <c r="L69" s="15"/>
      <c r="N69" s="15"/>
      <c r="O69" s="15"/>
      <c r="Q69" s="1"/>
      <c r="R69" s="15"/>
      <c r="S69" s="15"/>
      <c r="U69" s="15"/>
      <c r="V69" s="15"/>
      <c r="X69" s="1"/>
      <c r="Y69" s="15"/>
      <c r="Z69" s="15"/>
      <c r="AB69" s="15"/>
      <c r="AC69" s="15"/>
      <c r="AE69" s="1"/>
      <c r="AF69" s="15"/>
      <c r="AG69" s="15"/>
    </row>
    <row r="70" spans="7:33" x14ac:dyDescent="0.3">
      <c r="G70" s="15"/>
      <c r="H70" s="15"/>
      <c r="J70" s="1"/>
      <c r="K70" s="15"/>
      <c r="L70" s="15"/>
      <c r="N70" s="15"/>
      <c r="O70" s="15"/>
      <c r="Q70" s="1"/>
      <c r="R70" s="15"/>
      <c r="S70" s="15"/>
      <c r="U70" s="15"/>
      <c r="V70" s="15"/>
      <c r="X70" s="1"/>
      <c r="Y70" s="15"/>
      <c r="Z70" s="15"/>
      <c r="AB70" s="15"/>
      <c r="AC70" s="15"/>
      <c r="AE70" s="1"/>
      <c r="AF70" s="15"/>
      <c r="AG70" s="15"/>
    </row>
    <row r="71" spans="7:33" x14ac:dyDescent="0.3">
      <c r="G71" s="15"/>
      <c r="H71" s="15"/>
      <c r="J71" s="1"/>
      <c r="K71" s="15"/>
      <c r="L71" s="15"/>
      <c r="N71" s="15"/>
      <c r="O71" s="15"/>
      <c r="Q71" s="1"/>
      <c r="R71" s="15"/>
      <c r="S71" s="15"/>
      <c r="U71" s="15"/>
      <c r="V71" s="15"/>
      <c r="X71" s="1"/>
      <c r="Y71" s="15"/>
      <c r="Z71" s="15"/>
      <c r="AB71" s="15"/>
      <c r="AC71" s="15"/>
      <c r="AE71" s="1"/>
      <c r="AF71" s="15"/>
      <c r="AG71" s="15"/>
    </row>
    <row r="72" spans="7:33" x14ac:dyDescent="0.3">
      <c r="G72" s="15"/>
      <c r="H72" s="15"/>
      <c r="J72" s="1"/>
      <c r="K72" s="15"/>
      <c r="L72" s="15"/>
      <c r="N72" s="15"/>
      <c r="O72" s="15"/>
      <c r="Q72" s="1"/>
      <c r="R72" s="15"/>
      <c r="S72" s="15"/>
      <c r="U72" s="15"/>
      <c r="V72" s="15"/>
      <c r="X72" s="1"/>
      <c r="Y72" s="15"/>
      <c r="Z72" s="15"/>
      <c r="AB72" s="15"/>
      <c r="AC72" s="15"/>
      <c r="AE72" s="1"/>
      <c r="AF72" s="15"/>
      <c r="AG72" s="15"/>
    </row>
    <row r="73" spans="7:33" x14ac:dyDescent="0.3">
      <c r="G73" s="15"/>
      <c r="H73" s="15"/>
      <c r="J73" s="1"/>
      <c r="K73" s="15"/>
      <c r="L73" s="15"/>
      <c r="N73" s="15"/>
      <c r="O73" s="15"/>
      <c r="Q73" s="1"/>
      <c r="R73" s="15"/>
      <c r="S73" s="15"/>
      <c r="U73" s="15"/>
      <c r="V73" s="15"/>
      <c r="X73" s="1"/>
      <c r="Y73" s="15"/>
      <c r="Z73" s="15"/>
      <c r="AB73" s="15"/>
      <c r="AC73" s="15"/>
      <c r="AE73" s="1"/>
      <c r="AF73" s="15"/>
      <c r="AG73" s="15"/>
    </row>
    <row r="74" spans="7:33" x14ac:dyDescent="0.3">
      <c r="G74" s="15"/>
      <c r="H74" s="15"/>
      <c r="J74" s="1"/>
      <c r="K74" s="15"/>
      <c r="L74" s="15"/>
      <c r="N74" s="15"/>
      <c r="O74" s="15"/>
      <c r="Q74" s="1"/>
      <c r="R74" s="15"/>
      <c r="S74" s="15"/>
      <c r="U74" s="15"/>
      <c r="V74" s="15"/>
      <c r="X74" s="1"/>
      <c r="Y74" s="15"/>
      <c r="Z74" s="15"/>
      <c r="AB74" s="15"/>
      <c r="AC74" s="15"/>
      <c r="AE74" s="1"/>
      <c r="AF74" s="15"/>
      <c r="AG74" s="15"/>
    </row>
    <row r="75" spans="7:33" x14ac:dyDescent="0.3">
      <c r="G75" s="15"/>
      <c r="H75" s="15"/>
      <c r="J75" s="1"/>
      <c r="K75" s="15"/>
      <c r="L75" s="15"/>
      <c r="N75" s="15"/>
      <c r="O75" s="15"/>
      <c r="Q75" s="1"/>
      <c r="R75" s="15"/>
      <c r="S75" s="15"/>
      <c r="U75" s="15"/>
      <c r="V75" s="15"/>
      <c r="X75" s="1"/>
      <c r="Y75" s="15"/>
      <c r="Z75" s="15"/>
      <c r="AB75" s="15"/>
      <c r="AC75" s="15"/>
      <c r="AE75" s="1"/>
      <c r="AF75" s="15"/>
      <c r="AG75" s="15"/>
    </row>
    <row r="76" spans="7:33" x14ac:dyDescent="0.3">
      <c r="G76" s="15"/>
      <c r="H76" s="15"/>
      <c r="J76" s="1"/>
      <c r="K76" s="15"/>
      <c r="L76" s="15"/>
      <c r="N76" s="15"/>
      <c r="O76" s="15"/>
      <c r="Q76" s="1"/>
      <c r="R76" s="15"/>
      <c r="S76" s="15"/>
      <c r="U76" s="15"/>
      <c r="V76" s="15"/>
      <c r="X76" s="1"/>
      <c r="Y76" s="15"/>
      <c r="Z76" s="15"/>
      <c r="AB76" s="15"/>
      <c r="AC76" s="15"/>
      <c r="AE76" s="1"/>
      <c r="AF76" s="15"/>
      <c r="AG76" s="15"/>
    </row>
    <row r="77" spans="7:33" x14ac:dyDescent="0.3">
      <c r="G77" s="15"/>
      <c r="H77" s="15"/>
      <c r="J77" s="1"/>
      <c r="K77" s="15"/>
      <c r="L77" s="15"/>
      <c r="N77" s="15"/>
      <c r="O77" s="15"/>
      <c r="Q77" s="1"/>
      <c r="R77" s="15"/>
      <c r="S77" s="15"/>
      <c r="U77" s="15"/>
      <c r="V77" s="15"/>
      <c r="X77" s="1"/>
      <c r="Y77" s="15"/>
      <c r="Z77" s="15"/>
      <c r="AB77" s="15"/>
      <c r="AC77" s="15"/>
      <c r="AE77" s="1"/>
      <c r="AF77" s="15"/>
      <c r="AG77" s="15"/>
    </row>
    <row r="78" spans="7:33" x14ac:dyDescent="0.3">
      <c r="G78" s="15"/>
      <c r="H78" s="15"/>
      <c r="J78" s="1"/>
      <c r="K78" s="15"/>
      <c r="L78" s="15"/>
      <c r="N78" s="15"/>
      <c r="O78" s="15"/>
      <c r="Q78" s="1"/>
      <c r="R78" s="15"/>
      <c r="S78" s="15"/>
      <c r="U78" s="15"/>
      <c r="V78" s="15"/>
      <c r="X78" s="1"/>
      <c r="Y78" s="15"/>
      <c r="Z78" s="15"/>
      <c r="AB78" s="15"/>
      <c r="AC78" s="15"/>
      <c r="AE78" s="1"/>
      <c r="AF78" s="15"/>
      <c r="AG78" s="15"/>
    </row>
    <row r="79" spans="7:33" x14ac:dyDescent="0.3">
      <c r="G79" s="15"/>
      <c r="H79" s="15"/>
      <c r="J79" s="1"/>
      <c r="K79" s="15"/>
      <c r="L79" s="15"/>
      <c r="N79" s="15"/>
      <c r="O79" s="15"/>
      <c r="Q79" s="1"/>
      <c r="R79" s="15"/>
      <c r="S79" s="15"/>
      <c r="U79" s="15"/>
      <c r="V79" s="15"/>
      <c r="X79" s="1"/>
      <c r="Y79" s="15"/>
      <c r="Z79" s="15"/>
      <c r="AB79" s="15"/>
      <c r="AC79" s="15"/>
      <c r="AE79" s="1"/>
      <c r="AF79" s="15"/>
      <c r="AG79" s="15"/>
    </row>
    <row r="80" spans="7:33" x14ac:dyDescent="0.3">
      <c r="G80" s="15"/>
      <c r="H80" s="15"/>
      <c r="J80" s="1"/>
      <c r="K80" s="15"/>
      <c r="L80" s="15"/>
      <c r="N80" s="15"/>
      <c r="O80" s="15"/>
      <c r="Q80" s="1"/>
      <c r="R80" s="15"/>
      <c r="S80" s="15"/>
      <c r="U80" s="15"/>
      <c r="V80" s="15"/>
      <c r="X80" s="1"/>
      <c r="Y80" s="15"/>
      <c r="Z80" s="15"/>
      <c r="AB80" s="15"/>
      <c r="AC80" s="15"/>
      <c r="AE80" s="1"/>
      <c r="AF80" s="15"/>
      <c r="AG80" s="15"/>
    </row>
    <row r="81" spans="7:33" x14ac:dyDescent="0.3">
      <c r="G81" s="15"/>
      <c r="H81" s="15"/>
      <c r="J81" s="1"/>
      <c r="K81" s="15"/>
      <c r="L81" s="15"/>
      <c r="N81" s="15"/>
      <c r="O81" s="15"/>
      <c r="Q81" s="1"/>
      <c r="R81" s="15"/>
      <c r="S81" s="15"/>
      <c r="U81" s="15"/>
      <c r="V81" s="15"/>
      <c r="X81" s="1"/>
      <c r="Y81" s="15"/>
      <c r="Z81" s="15"/>
      <c r="AB81" s="15"/>
      <c r="AC81" s="15"/>
      <c r="AE81" s="1"/>
      <c r="AF81" s="15"/>
      <c r="AG81" s="15"/>
    </row>
    <row r="82" spans="7:33" x14ac:dyDescent="0.3">
      <c r="G82" s="15"/>
      <c r="H82" s="15"/>
      <c r="J82" s="1"/>
      <c r="K82" s="15"/>
      <c r="L82" s="15"/>
      <c r="N82" s="15"/>
      <c r="O82" s="15"/>
      <c r="Q82" s="1"/>
      <c r="R82" s="15"/>
      <c r="S82" s="15"/>
      <c r="U82" s="15"/>
      <c r="V82" s="15"/>
      <c r="X82" s="1"/>
      <c r="Y82" s="15"/>
      <c r="Z82" s="15"/>
      <c r="AB82" s="15"/>
      <c r="AC82" s="15"/>
      <c r="AE82" s="1"/>
      <c r="AF82" s="15"/>
      <c r="AG82" s="15"/>
    </row>
    <row r="83" spans="7:33" x14ac:dyDescent="0.3">
      <c r="G83" s="15"/>
      <c r="H83" s="15"/>
      <c r="J83" s="1"/>
      <c r="K83" s="15"/>
      <c r="L83" s="15"/>
      <c r="N83" s="15"/>
      <c r="O83" s="15"/>
      <c r="Q83" s="1"/>
      <c r="R83" s="15"/>
      <c r="S83" s="15"/>
      <c r="U83" s="15"/>
      <c r="V83" s="15"/>
      <c r="X83" s="1"/>
      <c r="Y83" s="15"/>
      <c r="Z83" s="15"/>
      <c r="AB83" s="15"/>
      <c r="AC83" s="15"/>
      <c r="AE83" s="1"/>
      <c r="AF83" s="15"/>
      <c r="AG83" s="15"/>
    </row>
    <row r="84" spans="7:33" x14ac:dyDescent="0.3">
      <c r="G84" s="15"/>
      <c r="H84" s="15"/>
      <c r="J84" s="1"/>
      <c r="K84" s="15"/>
      <c r="L84" s="15"/>
      <c r="N84" s="15"/>
      <c r="O84" s="15"/>
      <c r="Q84" s="1"/>
      <c r="R84" s="15"/>
      <c r="S84" s="15"/>
      <c r="U84" s="15"/>
      <c r="V84" s="15"/>
      <c r="X84" s="1"/>
      <c r="Y84" s="15"/>
      <c r="Z84" s="15"/>
      <c r="AB84" s="15"/>
      <c r="AC84" s="15"/>
      <c r="AE84" s="1"/>
      <c r="AF84" s="15"/>
      <c r="AG84" s="15"/>
    </row>
    <row r="85" spans="7:33" x14ac:dyDescent="0.3">
      <c r="G85" s="15"/>
      <c r="H85" s="15"/>
      <c r="J85" s="1"/>
      <c r="K85" s="15"/>
      <c r="L85" s="15"/>
      <c r="N85" s="15"/>
      <c r="O85" s="15"/>
      <c r="Q85" s="1"/>
      <c r="R85" s="15"/>
      <c r="S85" s="15"/>
      <c r="U85" s="15"/>
      <c r="V85" s="15"/>
      <c r="X85" s="1"/>
      <c r="Y85" s="15"/>
      <c r="Z85" s="15"/>
      <c r="AB85" s="15"/>
      <c r="AC85" s="15"/>
      <c r="AE85" s="1"/>
      <c r="AF85" s="15"/>
      <c r="AG85" s="15"/>
    </row>
    <row r="86" spans="7:33" x14ac:dyDescent="0.3">
      <c r="G86" s="15"/>
      <c r="H86" s="15"/>
      <c r="J86" s="1"/>
      <c r="K86" s="15"/>
      <c r="L86" s="15"/>
      <c r="N86" s="15"/>
      <c r="O86" s="15"/>
      <c r="Q86" s="1"/>
      <c r="R86" s="15"/>
      <c r="S86" s="15"/>
      <c r="U86" s="15"/>
      <c r="V86" s="15"/>
      <c r="X86" s="1"/>
      <c r="Y86" s="15"/>
      <c r="Z86" s="15"/>
      <c r="AB86" s="15"/>
      <c r="AC86" s="15"/>
      <c r="AE86" s="1"/>
      <c r="AF86" s="15"/>
      <c r="AG86" s="15"/>
    </row>
    <row r="87" spans="7:33" x14ac:dyDescent="0.3">
      <c r="G87" s="15"/>
      <c r="H87" s="15"/>
      <c r="J87" s="1"/>
      <c r="K87" s="15"/>
      <c r="L87" s="15"/>
      <c r="N87" s="15"/>
      <c r="O87" s="15"/>
      <c r="Q87" s="1"/>
      <c r="R87" s="15"/>
      <c r="S87" s="15"/>
      <c r="U87" s="15"/>
      <c r="V87" s="15"/>
      <c r="X87" s="1"/>
      <c r="Y87" s="15"/>
      <c r="Z87" s="15"/>
      <c r="AB87" s="15"/>
      <c r="AC87" s="15"/>
      <c r="AE87" s="1"/>
      <c r="AF87" s="15"/>
      <c r="AG87" s="15"/>
    </row>
    <row r="88" spans="7:33" x14ac:dyDescent="0.3">
      <c r="G88" s="15"/>
      <c r="H88" s="15"/>
      <c r="J88" s="1"/>
      <c r="K88" s="15"/>
      <c r="L88" s="15"/>
      <c r="N88" s="15"/>
      <c r="O88" s="15"/>
      <c r="Q88" s="1"/>
      <c r="R88" s="15"/>
      <c r="S88" s="15"/>
      <c r="AB88" s="15"/>
      <c r="AC88" s="15"/>
      <c r="AE88" s="1"/>
      <c r="AF88" s="15"/>
      <c r="AG88" s="15"/>
    </row>
    <row r="89" spans="7:33" x14ac:dyDescent="0.3">
      <c r="G89" s="15"/>
      <c r="H89" s="15"/>
      <c r="J89" s="1"/>
      <c r="K89" s="15"/>
      <c r="L89" s="15"/>
      <c r="N89" s="15"/>
      <c r="O89" s="15"/>
      <c r="Q89" s="1"/>
      <c r="R89" s="15"/>
      <c r="S89" s="15"/>
      <c r="AB89" s="15"/>
      <c r="AC89" s="15"/>
      <c r="AE89" s="1"/>
      <c r="AF89" s="15"/>
      <c r="AG89" s="15"/>
    </row>
    <row r="90" spans="7:33" x14ac:dyDescent="0.3">
      <c r="G90" s="15"/>
      <c r="H90" s="15"/>
      <c r="J90" s="1"/>
      <c r="K90" s="15"/>
      <c r="L90" s="15"/>
      <c r="N90" s="15"/>
      <c r="O90" s="15"/>
      <c r="Q90" s="1"/>
      <c r="R90" s="15"/>
      <c r="S90" s="15"/>
      <c r="AB90" s="15"/>
      <c r="AC90" s="15"/>
      <c r="AE90" s="1"/>
      <c r="AF90" s="15"/>
      <c r="AG90" s="15"/>
    </row>
    <row r="91" spans="7:33" x14ac:dyDescent="0.3">
      <c r="G91" s="15"/>
      <c r="H91" s="15"/>
      <c r="J91" s="1"/>
      <c r="K91" s="15"/>
      <c r="L91" s="15"/>
      <c r="N91" s="15"/>
      <c r="O91" s="15"/>
      <c r="Q91" s="1"/>
      <c r="R91" s="15"/>
      <c r="S91" s="15"/>
      <c r="AB91" s="15"/>
      <c r="AC91" s="15"/>
      <c r="AE91" s="1"/>
      <c r="AF91" s="15"/>
      <c r="AG91" s="15"/>
    </row>
    <row r="92" spans="7:33" x14ac:dyDescent="0.3">
      <c r="G92" s="15"/>
      <c r="H92" s="15"/>
      <c r="J92" s="1"/>
      <c r="K92" s="15"/>
      <c r="L92" s="15"/>
      <c r="N92" s="15"/>
      <c r="O92" s="15"/>
      <c r="Q92" s="1"/>
      <c r="R92" s="15"/>
      <c r="S92" s="15"/>
      <c r="AB92" s="15"/>
      <c r="AC92" s="15"/>
      <c r="AE92" s="1"/>
      <c r="AF92" s="15"/>
      <c r="AG92" s="15"/>
    </row>
    <row r="93" spans="7:33" x14ac:dyDescent="0.3">
      <c r="G93" s="15"/>
      <c r="H93" s="15"/>
      <c r="J93" s="1"/>
      <c r="K93" s="15"/>
      <c r="L93" s="15"/>
      <c r="N93" s="15"/>
      <c r="O93" s="15"/>
      <c r="Q93" s="1"/>
      <c r="R93" s="15"/>
      <c r="S93" s="15"/>
      <c r="AB93" s="15"/>
      <c r="AC93" s="15"/>
      <c r="AE93" s="1"/>
      <c r="AF93" s="15"/>
      <c r="AG93" s="15"/>
    </row>
    <row r="94" spans="7:33" x14ac:dyDescent="0.3">
      <c r="G94" s="15"/>
      <c r="H94" s="15"/>
      <c r="J94" s="1"/>
      <c r="K94" s="15"/>
      <c r="L94" s="15"/>
      <c r="N94" s="15"/>
      <c r="O94" s="15"/>
      <c r="Q94" s="1"/>
      <c r="R94" s="15"/>
      <c r="S94" s="15"/>
      <c r="AB94" s="15"/>
      <c r="AC94" s="15"/>
      <c r="AE94" s="1"/>
      <c r="AF94" s="15"/>
      <c r="AG94" s="15"/>
    </row>
    <row r="95" spans="7:33" x14ac:dyDescent="0.3">
      <c r="G95" s="15"/>
      <c r="H95" s="15"/>
      <c r="J95" s="1"/>
      <c r="K95" s="15"/>
      <c r="L95" s="15"/>
      <c r="N95" s="15"/>
      <c r="O95" s="15"/>
      <c r="Q95" s="1"/>
      <c r="R95" s="15"/>
      <c r="S95" s="15"/>
      <c r="AB95" s="15"/>
      <c r="AC95" s="15"/>
      <c r="AE95" s="1"/>
      <c r="AF95" s="15"/>
      <c r="AG95" s="15"/>
    </row>
    <row r="96" spans="7:33" x14ac:dyDescent="0.3">
      <c r="G96" s="15"/>
      <c r="H96" s="15"/>
      <c r="J96" s="1"/>
      <c r="K96" s="15"/>
      <c r="L96" s="15"/>
      <c r="N96" s="15"/>
      <c r="O96" s="15"/>
      <c r="Q96" s="1"/>
      <c r="R96" s="15"/>
      <c r="S96" s="15"/>
    </row>
    <row r="97" spans="7:19" x14ac:dyDescent="0.3">
      <c r="G97" s="15"/>
      <c r="H97" s="15"/>
      <c r="J97" s="1"/>
      <c r="K97" s="15"/>
      <c r="L97" s="15"/>
      <c r="N97" s="15"/>
      <c r="O97" s="15"/>
      <c r="Q97" s="1"/>
      <c r="R97" s="15"/>
      <c r="S97" s="15"/>
    </row>
    <row r="98" spans="7:19" x14ac:dyDescent="0.3">
      <c r="G98" s="15"/>
      <c r="H98" s="15"/>
      <c r="J98" s="1"/>
      <c r="K98" s="15"/>
      <c r="L98" s="15"/>
      <c r="N98" s="15"/>
      <c r="O98" s="15"/>
      <c r="Q98" s="1"/>
      <c r="R98" s="15"/>
      <c r="S98" s="15"/>
    </row>
    <row r="99" spans="7:19" x14ac:dyDescent="0.3">
      <c r="G99" s="15"/>
      <c r="H99" s="15"/>
      <c r="J99" s="1"/>
      <c r="K99" s="15"/>
      <c r="L99" s="15"/>
      <c r="N99" s="15"/>
      <c r="O99" s="15"/>
      <c r="Q99" s="1"/>
      <c r="R99" s="15"/>
      <c r="S99" s="15"/>
    </row>
    <row r="100" spans="7:19" x14ac:dyDescent="0.3">
      <c r="N100" s="15"/>
      <c r="O100" s="15"/>
      <c r="Q100" s="1"/>
      <c r="R100" s="15"/>
      <c r="S100" s="15"/>
    </row>
    <row r="101" spans="7:19" x14ac:dyDescent="0.3">
      <c r="N101" s="15"/>
      <c r="O101" s="15"/>
      <c r="Q101" s="1"/>
      <c r="R101" s="15"/>
      <c r="S101" s="15"/>
    </row>
    <row r="102" spans="7:19" x14ac:dyDescent="0.3">
      <c r="N102" s="15"/>
      <c r="O102" s="15"/>
      <c r="Q102" s="1"/>
      <c r="R102" s="15"/>
      <c r="S102" s="15"/>
    </row>
    <row r="103" spans="7:19" x14ac:dyDescent="0.3">
      <c r="N103" s="15"/>
      <c r="O103" s="15"/>
      <c r="Q103" s="1"/>
      <c r="R103" s="15"/>
      <c r="S103" s="15"/>
    </row>
    <row r="104" spans="7:19" x14ac:dyDescent="0.3">
      <c r="N104" s="15"/>
      <c r="O104" s="15"/>
      <c r="Q104" s="1"/>
      <c r="R104" s="15"/>
      <c r="S104" s="15"/>
    </row>
    <row r="105" spans="7:19" x14ac:dyDescent="0.3">
      <c r="N105" s="15"/>
      <c r="O105" s="15"/>
      <c r="Q105" s="1"/>
      <c r="R105" s="15"/>
      <c r="S105" s="15"/>
    </row>
    <row r="106" spans="7:19" x14ac:dyDescent="0.3">
      <c r="N106" s="15"/>
      <c r="O106" s="15"/>
      <c r="Q106" s="1"/>
      <c r="R106" s="15"/>
      <c r="S106" s="15"/>
    </row>
    <row r="107" spans="7:19" x14ac:dyDescent="0.3">
      <c r="N107" s="15"/>
      <c r="O107" s="15"/>
      <c r="Q107" s="1"/>
      <c r="R107" s="15"/>
      <c r="S107" s="15"/>
    </row>
    <row r="108" spans="7:19" x14ac:dyDescent="0.3">
      <c r="N108" s="15"/>
      <c r="O108" s="15"/>
      <c r="Q108" s="1"/>
      <c r="R108" s="15"/>
      <c r="S108" s="15"/>
    </row>
    <row r="109" spans="7:19" x14ac:dyDescent="0.3">
      <c r="N109" s="15"/>
      <c r="O109" s="15"/>
      <c r="Q109" s="1"/>
      <c r="R109" s="15"/>
      <c r="S109" s="15"/>
    </row>
    <row r="110" spans="7:19" x14ac:dyDescent="0.3">
      <c r="N110" s="15"/>
      <c r="O110" s="15"/>
      <c r="Q110" s="1"/>
      <c r="R110" s="15"/>
      <c r="S110" s="15"/>
    </row>
    <row r="111" spans="7:19" x14ac:dyDescent="0.3">
      <c r="N111" s="15"/>
      <c r="O111" s="15"/>
      <c r="Q111" s="1"/>
      <c r="R111" s="15"/>
      <c r="S111" s="15"/>
    </row>
    <row r="112" spans="7:19" x14ac:dyDescent="0.3">
      <c r="N112" s="15"/>
      <c r="O112" s="15"/>
      <c r="Q112" s="1"/>
      <c r="R112" s="15"/>
      <c r="S112" s="15"/>
    </row>
    <row r="113" spans="14:19" x14ac:dyDescent="0.3">
      <c r="N113" s="15"/>
      <c r="O113" s="15"/>
      <c r="Q113" s="1"/>
      <c r="R113" s="15"/>
      <c r="S113" s="15"/>
    </row>
    <row r="114" spans="14:19" x14ac:dyDescent="0.3">
      <c r="N114" s="15"/>
      <c r="O114" s="15"/>
      <c r="Q114" s="1"/>
      <c r="R114" s="15"/>
      <c r="S114" s="15"/>
    </row>
    <row r="115" spans="14:19" x14ac:dyDescent="0.3">
      <c r="N115" s="15"/>
      <c r="O115" s="15"/>
      <c r="Q115" s="1"/>
      <c r="R115" s="15"/>
      <c r="S115" s="15"/>
    </row>
    <row r="116" spans="14:19" x14ac:dyDescent="0.3">
      <c r="N116" s="15"/>
      <c r="O116" s="15"/>
      <c r="Q116" s="1"/>
      <c r="R116" s="15"/>
      <c r="S116" s="15"/>
    </row>
    <row r="117" spans="14:19" x14ac:dyDescent="0.3">
      <c r="N117" s="15"/>
      <c r="O117" s="15"/>
      <c r="Q117" s="1"/>
      <c r="R117" s="15"/>
      <c r="S117" s="15"/>
    </row>
    <row r="118" spans="14:19" x14ac:dyDescent="0.3">
      <c r="N118" s="15"/>
      <c r="O118" s="15"/>
      <c r="Q118" s="1"/>
      <c r="R118" s="15"/>
      <c r="S118" s="15"/>
    </row>
    <row r="119" spans="14:19" x14ac:dyDescent="0.3">
      <c r="N119" s="15"/>
      <c r="O119" s="15"/>
      <c r="Q119" s="1"/>
      <c r="R119" s="15"/>
      <c r="S119" s="15"/>
    </row>
    <row r="120" spans="14:19" x14ac:dyDescent="0.3">
      <c r="N120" s="15"/>
      <c r="O120" s="15"/>
      <c r="Q120" s="1"/>
      <c r="R120" s="15"/>
      <c r="S120" s="15"/>
    </row>
    <row r="121" spans="14:19" x14ac:dyDescent="0.3">
      <c r="N121" s="15"/>
      <c r="O121" s="15"/>
      <c r="Q121" s="1"/>
      <c r="R121" s="15"/>
      <c r="S121" s="15"/>
    </row>
    <row r="122" spans="14:19" x14ac:dyDescent="0.3">
      <c r="N122" s="15"/>
      <c r="O122" s="15"/>
      <c r="Q122" s="1"/>
      <c r="R122" s="15"/>
      <c r="S122" s="15"/>
    </row>
    <row r="123" spans="14:19" x14ac:dyDescent="0.3">
      <c r="N123" s="15"/>
      <c r="O123" s="15"/>
      <c r="Q123" s="1"/>
      <c r="R123" s="15"/>
      <c r="S123" s="15"/>
    </row>
    <row r="124" spans="14:19" x14ac:dyDescent="0.3">
      <c r="N124" s="15"/>
      <c r="O124" s="15"/>
      <c r="Q124" s="1"/>
      <c r="R124" s="15"/>
      <c r="S124" s="15"/>
    </row>
    <row r="125" spans="14:19" x14ac:dyDescent="0.3">
      <c r="N125" s="15"/>
      <c r="O125" s="15"/>
      <c r="Q125" s="1"/>
      <c r="R125" s="15"/>
      <c r="S125" s="15"/>
    </row>
    <row r="126" spans="14:19" x14ac:dyDescent="0.3">
      <c r="N126" s="15"/>
      <c r="O126" s="15"/>
      <c r="Q126" s="1"/>
      <c r="R126" s="15"/>
      <c r="S126" s="15"/>
    </row>
    <row r="127" spans="14:19" x14ac:dyDescent="0.3">
      <c r="N127" s="15"/>
      <c r="O127" s="15"/>
      <c r="Q127" s="1"/>
      <c r="R127" s="15"/>
      <c r="S127" s="15"/>
    </row>
    <row r="128" spans="14:19" x14ac:dyDescent="0.3">
      <c r="N128" s="15"/>
      <c r="O128" s="15"/>
      <c r="Q128" s="1"/>
      <c r="R128" s="15"/>
      <c r="S128" s="15"/>
    </row>
    <row r="129" spans="14:19" x14ac:dyDescent="0.3">
      <c r="N129" s="15"/>
      <c r="O129" s="15"/>
      <c r="Q129" s="1"/>
      <c r="R129" s="15"/>
      <c r="S129" s="15"/>
    </row>
    <row r="130" spans="14:19" x14ac:dyDescent="0.3">
      <c r="N130" s="15"/>
      <c r="O130" s="15"/>
      <c r="Q130" s="1"/>
      <c r="R130" s="15"/>
      <c r="S130" s="15"/>
    </row>
    <row r="131" spans="14:19" x14ac:dyDescent="0.3">
      <c r="N131" s="15"/>
      <c r="O131" s="15"/>
      <c r="Q131" s="1"/>
      <c r="R131" s="15"/>
      <c r="S131" s="15"/>
    </row>
    <row r="132" spans="14:19" x14ac:dyDescent="0.3">
      <c r="N132" s="15"/>
      <c r="O132" s="15"/>
      <c r="Q132" s="1"/>
      <c r="R132" s="15"/>
      <c r="S132" s="15"/>
    </row>
    <row r="133" spans="14:19" x14ac:dyDescent="0.3">
      <c r="N133" s="15"/>
      <c r="O133" s="15"/>
      <c r="Q133" s="1"/>
      <c r="R133" s="15"/>
      <c r="S133" s="15"/>
    </row>
    <row r="134" spans="14:19" x14ac:dyDescent="0.3">
      <c r="N134" s="15"/>
      <c r="O134" s="15"/>
      <c r="Q134" s="1"/>
      <c r="R134" s="15"/>
      <c r="S134" s="15"/>
    </row>
    <row r="135" spans="14:19" x14ac:dyDescent="0.3">
      <c r="N135" s="15"/>
      <c r="O135" s="15"/>
      <c r="Q135" s="1"/>
      <c r="R135" s="15"/>
      <c r="S135" s="15"/>
    </row>
    <row r="136" spans="14:19" x14ac:dyDescent="0.3">
      <c r="N136" s="15"/>
      <c r="O136" s="15"/>
      <c r="Q136" s="1"/>
      <c r="R136" s="15"/>
      <c r="S136" s="15"/>
    </row>
    <row r="137" spans="14:19" x14ac:dyDescent="0.3">
      <c r="N137" s="15"/>
      <c r="O137" s="15"/>
      <c r="Q137" s="1"/>
      <c r="R137" s="15"/>
      <c r="S137" s="15"/>
    </row>
    <row r="138" spans="14:19" x14ac:dyDescent="0.3">
      <c r="N138" s="15"/>
      <c r="O138" s="15"/>
      <c r="Q138" s="1"/>
      <c r="R138" s="15"/>
      <c r="S138" s="15"/>
    </row>
    <row r="139" spans="14:19" x14ac:dyDescent="0.3">
      <c r="N139" s="15"/>
      <c r="O139" s="15"/>
      <c r="Q139" s="1"/>
      <c r="R139" s="15"/>
      <c r="S139" s="15"/>
    </row>
    <row r="140" spans="14:19" x14ac:dyDescent="0.3">
      <c r="N140" s="15"/>
      <c r="O140" s="15"/>
      <c r="Q140" s="1"/>
      <c r="R140" s="15"/>
      <c r="S140" s="15"/>
    </row>
    <row r="141" spans="14:19" x14ac:dyDescent="0.3">
      <c r="N141" s="15"/>
      <c r="O141" s="15"/>
      <c r="Q141" s="1"/>
      <c r="R141" s="15"/>
      <c r="S141" s="15"/>
    </row>
    <row r="142" spans="14:19" x14ac:dyDescent="0.3">
      <c r="N142" s="15"/>
      <c r="O142" s="15"/>
      <c r="Q142" s="1"/>
      <c r="R142" s="15"/>
      <c r="S142" s="15"/>
    </row>
    <row r="143" spans="14:19" x14ac:dyDescent="0.3">
      <c r="N143" s="15"/>
      <c r="O143" s="15"/>
      <c r="Q143" s="1"/>
      <c r="R143" s="15"/>
      <c r="S143" s="15"/>
    </row>
    <row r="144" spans="14:19" x14ac:dyDescent="0.3">
      <c r="N144" s="15"/>
      <c r="O144" s="15"/>
      <c r="Q144" s="1"/>
      <c r="R144" s="15"/>
      <c r="S144" s="15"/>
    </row>
    <row r="145" spans="14:19" x14ac:dyDescent="0.3">
      <c r="N145" s="15"/>
      <c r="O145" s="15"/>
      <c r="Q145" s="1"/>
      <c r="R145" s="15"/>
      <c r="S145" s="15"/>
    </row>
    <row r="146" spans="14:19" x14ac:dyDescent="0.3">
      <c r="N146" s="15"/>
      <c r="O146" s="15"/>
      <c r="Q146" s="1"/>
      <c r="R146" s="15"/>
      <c r="S146" s="15"/>
    </row>
    <row r="147" spans="14:19" x14ac:dyDescent="0.3">
      <c r="N147" s="15"/>
      <c r="O147" s="15"/>
      <c r="Q147" s="1"/>
      <c r="R147" s="15"/>
      <c r="S147" s="15"/>
    </row>
    <row r="148" spans="14:19" x14ac:dyDescent="0.3">
      <c r="N148" s="15"/>
      <c r="O148" s="15"/>
      <c r="Q148" s="1"/>
      <c r="R148" s="15"/>
      <c r="S148" s="15"/>
    </row>
    <row r="149" spans="14:19" x14ac:dyDescent="0.3">
      <c r="N149" s="15"/>
      <c r="O149" s="15"/>
      <c r="Q149" s="1"/>
      <c r="R149" s="15"/>
      <c r="S149" s="15"/>
    </row>
    <row r="150" spans="14:19" x14ac:dyDescent="0.3">
      <c r="N150" s="15"/>
      <c r="O150" s="15"/>
      <c r="Q150" s="1"/>
      <c r="R150" s="15"/>
      <c r="S150" s="15"/>
    </row>
    <row r="151" spans="14:19" x14ac:dyDescent="0.3">
      <c r="N151" s="15"/>
      <c r="O151" s="15"/>
      <c r="Q151" s="1"/>
      <c r="R151" s="15"/>
      <c r="S151" s="15"/>
    </row>
    <row r="152" spans="14:19" x14ac:dyDescent="0.3">
      <c r="N152" s="15"/>
      <c r="O152" s="15"/>
      <c r="Q152" s="1"/>
      <c r="R152" s="15"/>
      <c r="S152" s="15"/>
    </row>
    <row r="153" spans="14:19" x14ac:dyDescent="0.3">
      <c r="N153" s="15"/>
      <c r="O153" s="15"/>
      <c r="Q153" s="1"/>
      <c r="R153" s="15"/>
      <c r="S153" s="15"/>
    </row>
    <row r="154" spans="14:19" x14ac:dyDescent="0.3">
      <c r="N154" s="15"/>
      <c r="O154" s="15"/>
      <c r="Q154" s="1"/>
      <c r="R154" s="15"/>
      <c r="S154" s="15"/>
    </row>
    <row r="155" spans="14:19" x14ac:dyDescent="0.3">
      <c r="N155" s="15"/>
      <c r="O155" s="15"/>
      <c r="Q155" s="1"/>
      <c r="R155" s="15"/>
      <c r="S155" s="15"/>
    </row>
    <row r="156" spans="14:19" x14ac:dyDescent="0.3">
      <c r="N156" s="15"/>
      <c r="O156" s="15"/>
      <c r="Q156" s="1"/>
      <c r="R156" s="15"/>
      <c r="S156" s="15"/>
    </row>
    <row r="157" spans="14:19" x14ac:dyDescent="0.3">
      <c r="N157" s="15"/>
      <c r="O157" s="15"/>
      <c r="Q157" s="1"/>
      <c r="R157" s="15"/>
      <c r="S157" s="15"/>
    </row>
    <row r="158" spans="14:19" x14ac:dyDescent="0.3">
      <c r="N158" s="15"/>
      <c r="O158" s="15"/>
      <c r="Q158" s="1"/>
      <c r="R158" s="15"/>
      <c r="S158" s="15"/>
    </row>
    <row r="159" spans="14:19" x14ac:dyDescent="0.3">
      <c r="N159" s="15"/>
      <c r="O159" s="15"/>
      <c r="Q159" s="1"/>
      <c r="R159" s="15"/>
      <c r="S159" s="15"/>
    </row>
    <row r="160" spans="14:19" x14ac:dyDescent="0.3">
      <c r="N160" s="15"/>
      <c r="O160" s="15"/>
      <c r="Q160" s="1"/>
      <c r="R160" s="15"/>
      <c r="S160" s="15"/>
    </row>
    <row r="161" spans="14:19" x14ac:dyDescent="0.3">
      <c r="N161" s="15"/>
      <c r="O161" s="15"/>
      <c r="Q161" s="1"/>
      <c r="R161" s="15"/>
      <c r="S161" s="15"/>
    </row>
    <row r="162" spans="14:19" x14ac:dyDescent="0.3">
      <c r="N162" s="15"/>
      <c r="O162" s="15"/>
      <c r="Q162" s="1"/>
      <c r="R162" s="15"/>
      <c r="S162" s="15"/>
    </row>
    <row r="163" spans="14:19" x14ac:dyDescent="0.3">
      <c r="N163" s="15"/>
      <c r="O163" s="15"/>
      <c r="Q163" s="1"/>
      <c r="R163" s="15"/>
      <c r="S163" s="15"/>
    </row>
    <row r="164" spans="14:19" x14ac:dyDescent="0.3">
      <c r="N164" s="15"/>
      <c r="O164" s="15"/>
      <c r="Q164" s="1"/>
      <c r="R164" s="15"/>
      <c r="S164" s="15"/>
    </row>
    <row r="165" spans="14:19" x14ac:dyDescent="0.3">
      <c r="N165" s="15"/>
      <c r="O165" s="15"/>
      <c r="Q165" s="1"/>
      <c r="R165" s="15"/>
      <c r="S165" s="15"/>
    </row>
    <row r="166" spans="14:19" x14ac:dyDescent="0.3">
      <c r="N166" s="15"/>
      <c r="O166" s="15"/>
      <c r="Q166" s="1"/>
      <c r="R166" s="15"/>
      <c r="S166" s="15"/>
    </row>
    <row r="167" spans="14:19" x14ac:dyDescent="0.3">
      <c r="N167" s="15"/>
      <c r="O167" s="15"/>
      <c r="Q167" s="1"/>
      <c r="R167" s="15"/>
      <c r="S167" s="15"/>
    </row>
    <row r="168" spans="14:19" x14ac:dyDescent="0.3">
      <c r="N168" s="15"/>
      <c r="O168" s="15"/>
      <c r="Q168" s="1"/>
      <c r="R168" s="15"/>
      <c r="S168" s="15"/>
    </row>
    <row r="169" spans="14:19" x14ac:dyDescent="0.3">
      <c r="N169" s="15"/>
      <c r="O169" s="15"/>
      <c r="Q169" s="1"/>
      <c r="R169" s="15"/>
      <c r="S169" s="15"/>
    </row>
    <row r="170" spans="14:19" x14ac:dyDescent="0.3">
      <c r="N170" s="15"/>
      <c r="O170" s="15"/>
      <c r="Q170" s="1"/>
      <c r="R170" s="15"/>
      <c r="S170" s="15"/>
    </row>
    <row r="171" spans="14:19" x14ac:dyDescent="0.3">
      <c r="N171" s="15"/>
      <c r="O171" s="15"/>
      <c r="Q171" s="1"/>
      <c r="R171" s="15"/>
      <c r="S171" s="15"/>
    </row>
    <row r="172" spans="14:19" x14ac:dyDescent="0.3">
      <c r="N172" s="15"/>
      <c r="O172" s="15"/>
      <c r="Q172" s="1"/>
      <c r="R172" s="15"/>
      <c r="S172" s="15"/>
    </row>
    <row r="173" spans="14:19" x14ac:dyDescent="0.3">
      <c r="N173" s="15"/>
      <c r="O173" s="15"/>
      <c r="Q173" s="1"/>
      <c r="R173" s="15"/>
      <c r="S173" s="15"/>
    </row>
    <row r="174" spans="14:19" x14ac:dyDescent="0.3">
      <c r="N174" s="15"/>
      <c r="O174" s="15"/>
      <c r="Q174" s="1"/>
      <c r="R174" s="15"/>
      <c r="S174" s="15"/>
    </row>
    <row r="175" spans="14:19" x14ac:dyDescent="0.3">
      <c r="N175" s="15"/>
      <c r="O175" s="15"/>
      <c r="Q175" s="1"/>
      <c r="R175" s="15"/>
      <c r="S175" s="15"/>
    </row>
    <row r="176" spans="14:19" x14ac:dyDescent="0.3">
      <c r="N176" s="15"/>
      <c r="O176" s="15"/>
      <c r="Q176" s="1"/>
      <c r="R176" s="15"/>
      <c r="S176" s="15"/>
    </row>
    <row r="177" spans="14:19" x14ac:dyDescent="0.3">
      <c r="N177" s="15"/>
      <c r="O177" s="15"/>
      <c r="Q177" s="1"/>
      <c r="R177" s="15"/>
      <c r="S177" s="15"/>
    </row>
    <row r="178" spans="14:19" x14ac:dyDescent="0.3">
      <c r="N178" s="15"/>
      <c r="O178" s="15"/>
      <c r="Q178" s="1"/>
      <c r="R178" s="15"/>
      <c r="S178" s="15"/>
    </row>
    <row r="179" spans="14:19" x14ac:dyDescent="0.3">
      <c r="N179" s="15"/>
      <c r="O179" s="15"/>
      <c r="Q179" s="1"/>
      <c r="R179" s="15"/>
      <c r="S179" s="15"/>
    </row>
    <row r="180" spans="14:19" x14ac:dyDescent="0.3">
      <c r="N180" s="15"/>
      <c r="O180" s="15"/>
      <c r="Q180" s="1"/>
      <c r="R180" s="15"/>
      <c r="S180" s="15"/>
    </row>
    <row r="181" spans="14:19" x14ac:dyDescent="0.3">
      <c r="N181" s="15"/>
      <c r="O181" s="15"/>
      <c r="Q181" s="1"/>
      <c r="R181" s="15"/>
      <c r="S181" s="15"/>
    </row>
    <row r="182" spans="14:19" x14ac:dyDescent="0.3">
      <c r="N182" s="15"/>
      <c r="O182" s="15"/>
      <c r="Q182" s="1"/>
      <c r="R182" s="15"/>
      <c r="S182" s="15"/>
    </row>
    <row r="183" spans="14:19" x14ac:dyDescent="0.3">
      <c r="N183" s="15"/>
      <c r="O183" s="15"/>
      <c r="Q183" s="1"/>
      <c r="R183" s="15"/>
      <c r="S183" s="1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599F7-DD3F-4F02-8F7A-14380BB31349}">
  <sheetPr codeName="Sheet2">
    <tabColor rgb="FF92D050"/>
  </sheetPr>
  <dimension ref="A1:EK5632"/>
  <sheetViews>
    <sheetView zoomScale="85" zoomScaleNormal="85" workbookViewId="0">
      <selection activeCell="J13" sqref="J13"/>
    </sheetView>
  </sheetViews>
  <sheetFormatPr defaultRowHeight="14.4" x14ac:dyDescent="0.3"/>
  <cols>
    <col min="1" max="1" width="16.44140625" bestFit="1" customWidth="1"/>
    <col min="2" max="7" width="10.6640625" customWidth="1"/>
    <col min="8" max="8" width="8.88671875" style="22"/>
    <col min="10" max="10" width="12.77734375" customWidth="1"/>
    <col min="14" max="14" width="11.77734375" customWidth="1"/>
    <col min="18" max="18" width="14.6640625" customWidth="1"/>
    <col min="22" max="22" width="13.44140625" customWidth="1"/>
    <col min="26" max="26" width="8.88671875" style="22"/>
    <col min="28" max="28" width="12.77734375" customWidth="1"/>
    <col min="32" max="32" width="11.77734375" customWidth="1"/>
    <col min="36" max="36" width="14.6640625" customWidth="1"/>
    <col min="40" max="40" width="13.44140625" customWidth="1"/>
    <col min="43" max="43" width="8.88671875" style="22"/>
    <col min="45" max="45" width="11.5546875" bestFit="1" customWidth="1"/>
    <col min="48" max="48" width="8.88671875" style="22"/>
    <col min="50" max="50" width="19" bestFit="1" customWidth="1"/>
    <col min="51" max="51" width="11.5546875" bestFit="1" customWidth="1"/>
    <col min="53" max="53" width="10.5546875" bestFit="1" customWidth="1"/>
    <col min="56" max="56" width="11.21875" bestFit="1" customWidth="1"/>
    <col min="59" max="59" width="11.6640625" customWidth="1"/>
    <col min="62" max="62" width="12.33203125" customWidth="1"/>
    <col min="65" max="65" width="11.6640625" customWidth="1"/>
    <col min="68" max="68" width="10.88671875" customWidth="1"/>
    <col min="71" max="71" width="11.21875" bestFit="1" customWidth="1"/>
  </cols>
  <sheetData>
    <row r="1" spans="1:141" x14ac:dyDescent="0.3">
      <c r="B1" s="1"/>
      <c r="C1" s="1"/>
      <c r="D1" s="1"/>
      <c r="E1" s="1"/>
      <c r="F1" s="1"/>
      <c r="G1" s="1"/>
    </row>
    <row r="2" spans="1:141" x14ac:dyDescent="0.3">
      <c r="B2" s="1"/>
      <c r="C2" s="1"/>
      <c r="D2" s="1"/>
      <c r="E2" s="1"/>
      <c r="F2" s="1"/>
      <c r="G2" s="1"/>
      <c r="H2" s="22" t="s">
        <v>96</v>
      </c>
      <c r="Z2" s="22" t="s">
        <v>96</v>
      </c>
      <c r="AQ2" s="22" t="s">
        <v>96</v>
      </c>
      <c r="AV2" s="22" t="s">
        <v>97</v>
      </c>
    </row>
    <row r="3" spans="1:141" x14ac:dyDescent="0.3">
      <c r="H3" s="22" t="s">
        <v>108</v>
      </c>
      <c r="Z3" s="22" t="s">
        <v>135</v>
      </c>
      <c r="AQ3" s="22" t="s">
        <v>170</v>
      </c>
    </row>
    <row r="4" spans="1:141" x14ac:dyDescent="0.3">
      <c r="AS4" s="15"/>
      <c r="AY4" s="10"/>
    </row>
    <row r="5" spans="1:141" x14ac:dyDescent="0.3">
      <c r="K5" s="18"/>
      <c r="L5" s="18"/>
      <c r="AC5" s="18"/>
      <c r="AD5" s="18"/>
      <c r="AY5" s="17"/>
    </row>
    <row r="6" spans="1:141" x14ac:dyDescent="0.3">
      <c r="A6" t="s">
        <v>78</v>
      </c>
      <c r="B6" s="1">
        <f>dateStart</f>
        <v>45930</v>
      </c>
      <c r="C6" s="1"/>
      <c r="D6" s="1"/>
      <c r="E6" s="1"/>
      <c r="F6" s="1"/>
      <c r="AX6" t="s">
        <v>78</v>
      </c>
      <c r="AY6" s="1">
        <f>dateStart</f>
        <v>45930</v>
      </c>
    </row>
    <row r="7" spans="1:141" x14ac:dyDescent="0.3">
      <c r="A7" t="s">
        <v>79</v>
      </c>
      <c r="B7" s="1">
        <f ca="1">dateEnd</f>
        <v>46152</v>
      </c>
      <c r="C7" s="1"/>
      <c r="D7" s="1"/>
      <c r="E7" s="1"/>
      <c r="F7" s="1"/>
      <c r="AX7" t="s">
        <v>79</v>
      </c>
      <c r="AY7" s="1">
        <f ca="1">dateEnd</f>
        <v>46152</v>
      </c>
    </row>
    <row r="8" spans="1:141" x14ac:dyDescent="0.3">
      <c r="K8" t="s">
        <v>109</v>
      </c>
      <c r="O8" t="s">
        <v>110</v>
      </c>
      <c r="S8" t="s">
        <v>111</v>
      </c>
      <c r="W8" t="s">
        <v>112</v>
      </c>
      <c r="AC8" t="s">
        <v>123</v>
      </c>
      <c r="AG8" t="s">
        <v>124</v>
      </c>
      <c r="AK8" t="s">
        <v>125</v>
      </c>
      <c r="AO8" t="s">
        <v>126</v>
      </c>
      <c r="AT8" t="s">
        <v>171</v>
      </c>
      <c r="AX8" s="1"/>
      <c r="BA8" s="28"/>
    </row>
    <row r="9" spans="1:141" x14ac:dyDescent="0.3">
      <c r="B9" s="17"/>
      <c r="C9" s="1"/>
      <c r="D9" s="1"/>
      <c r="E9" s="1"/>
      <c r="F9" s="1"/>
      <c r="G9" s="1"/>
      <c r="AY9" s="29" t="s">
        <v>147</v>
      </c>
      <c r="AZ9" t="s">
        <v>157</v>
      </c>
      <c r="BA9" s="1"/>
      <c r="BB9" s="29" t="s">
        <v>146</v>
      </c>
      <c r="BC9" t="s">
        <v>157</v>
      </c>
      <c r="BE9" s="29"/>
      <c r="BH9" s="29"/>
      <c r="BK9" s="29"/>
      <c r="BN9" s="29"/>
      <c r="BQ9" s="29"/>
      <c r="BT9" s="29"/>
      <c r="BW9" s="29"/>
      <c r="BZ9" s="29"/>
      <c r="CC9" s="29"/>
      <c r="CF9" s="29"/>
      <c r="CI9" s="29"/>
      <c r="CL9" s="29"/>
      <c r="CO9" s="29"/>
      <c r="CR9" s="29"/>
      <c r="CU9" s="29"/>
      <c r="CX9" s="29"/>
      <c r="DA9" s="29"/>
      <c r="DD9" s="29"/>
      <c r="DG9" s="29"/>
      <c r="DJ9" s="29"/>
      <c r="DM9" s="29"/>
      <c r="DP9" s="29"/>
      <c r="DS9" s="29"/>
      <c r="DV9" s="29"/>
      <c r="DY9" s="29"/>
      <c r="EB9" s="29"/>
      <c r="EE9" s="29"/>
      <c r="EH9" s="29"/>
      <c r="EK9" s="29"/>
    </row>
    <row r="10" spans="1:141" x14ac:dyDescent="0.3">
      <c r="B10" s="1"/>
      <c r="C10" s="1" t="s">
        <v>80</v>
      </c>
      <c r="D10" s="1" t="s">
        <v>127</v>
      </c>
      <c r="E10" s="1" t="s">
        <v>128</v>
      </c>
      <c r="F10" s="1" t="s">
        <v>172</v>
      </c>
      <c r="G10" s="1"/>
      <c r="J10" t="s">
        <v>53</v>
      </c>
      <c r="K10" t="s">
        <v>82</v>
      </c>
      <c r="N10" t="s">
        <v>53</v>
      </c>
      <c r="O10" t="s">
        <v>82</v>
      </c>
      <c r="R10" t="s">
        <v>53</v>
      </c>
      <c r="S10" t="s">
        <v>82</v>
      </c>
      <c r="V10" t="s">
        <v>53</v>
      </c>
      <c r="W10" t="s">
        <v>82</v>
      </c>
      <c r="AB10" t="s">
        <v>53</v>
      </c>
      <c r="AC10" t="s">
        <v>82</v>
      </c>
      <c r="AF10" t="s">
        <v>53</v>
      </c>
      <c r="AG10" t="s">
        <v>82</v>
      </c>
      <c r="AJ10" t="s">
        <v>53</v>
      </c>
      <c r="AK10" t="s">
        <v>82</v>
      </c>
      <c r="AN10" t="s">
        <v>53</v>
      </c>
      <c r="AO10" t="s">
        <v>82</v>
      </c>
      <c r="AS10" t="s">
        <v>53</v>
      </c>
      <c r="AT10" t="s">
        <v>82</v>
      </c>
      <c r="AX10" s="2" t="s">
        <v>53</v>
      </c>
      <c r="AY10" s="2" t="s">
        <v>81</v>
      </c>
      <c r="BA10" s="1" t="s">
        <v>53</v>
      </c>
      <c r="BB10" t="s">
        <v>81</v>
      </c>
      <c r="BC10" s="28"/>
      <c r="BD10" s="28"/>
      <c r="BG10" s="28"/>
      <c r="BJ10" s="28"/>
      <c r="BM10" s="28"/>
      <c r="BP10" s="28"/>
      <c r="BS10" s="28"/>
    </row>
    <row r="11" spans="1:141" x14ac:dyDescent="0.3">
      <c r="A11" s="19">
        <f>B6</f>
        <v>45930</v>
      </c>
      <c r="B11">
        <f t="shared" ref="B11:B74" ca="1" si="0">($B$7-A11)/360</f>
        <v>0.6166666666666667</v>
      </c>
      <c r="C11" t="str">
        <f ca="1">IF(currency="USD",'Future et co'!D11,IF(currency="EUR",'Future et co'!E11,IF(currency="GBP",'Future et co'!F11,FALSE)))</f>
        <v>RFR USD</v>
      </c>
      <c r="D11" t="str">
        <f t="shared" ref="D11:D74" ca="1" si="1">IFERROR(IF(B11&lt;0.25,VLOOKUP(A11,$J$11:$L$5325,3,FALSE),IF(AND(B11&gt;=0.25,B11&lt;0.5),VLOOKUP(A11,$N$11:$P$5325,3,FALSE),IF(AND(B11&gt;=0.5,B11&lt;1),VLOOKUP(A11,$R$11:$T$5325,3,FALSE),VLOOKUP(A11,$V$11:$X$5010,3,FALSE)))),D10)</f>
        <v>RFR USD</v>
      </c>
      <c r="E11" t="str">
        <f t="shared" ref="E11:E74" ca="1" si="2">IFERROR(IF(B11&lt;0.25,VLOOKUP(A11,$AF$11:$AH$5325,3,FALSE),IF(AND(B11&gt;=0.25,B11&lt;0.5),VLOOKUP(A11,$AJ$11:$AL$5325,3,FALSE),VLOOKUP(A11,$AN$11:$AP$5325,3,FALSE))),E10)</f>
        <v>RFR EUR</v>
      </c>
      <c r="F11" t="str">
        <f t="shared" ref="F11:F74" ca="1" si="3">IFERROR(VLOOKUP(A11,$AS$11:$AU$9999,3,FALSE),F10)</f>
        <v>RFR GBP</v>
      </c>
      <c r="G11" s="19"/>
      <c r="J11" s="1" t="str" cm="1">
        <f t="array" aca="1" ref="J11" ca="1">_xll.RHistory(K8,".Timestamp;.Close","START:" &amp; TEXT(dateStart, "yyyy-mm-dd") &amp; " END:" &amp; TEXT(dateEnd, "yyyy-mm-dd")&amp;" INTERVAL:1D")</f>
        <v>Not Signed In</v>
      </c>
      <c r="K11">
        <v>3.6099000000000001</v>
      </c>
      <c r="L11">
        <f>K11/100</f>
        <v>3.6098999999999999E-2</v>
      </c>
      <c r="N11" s="1" t="str" cm="1">
        <f t="array" aca="1" ref="N11" ca="1">_xll.RHistory(O8,".Timestamp;.Close","START:" &amp; TEXT(dateStart, "yyyy-mm-dd") &amp; " END:" &amp; TEXT(dateEnd, "yyyy-mm-dd")&amp;" INTERVAL:1D")</f>
        <v>Not Signed In</v>
      </c>
      <c r="O11">
        <v>3.5669</v>
      </c>
      <c r="P11">
        <f>O11/100</f>
        <v>3.5668999999999999E-2</v>
      </c>
      <c r="R11" s="1" t="str" cm="1">
        <f t="array" aca="1" ref="R11" ca="1">_xll.RHistory(S8,".Timestamp;.Close","START:" &amp; TEXT(dateStart, "yyyy-mm-dd") &amp; " END:" &amp; TEXT(dateEnd, "yyyy-mm-dd")&amp;" INTERVAL:1D")</f>
        <v>Not Signed In</v>
      </c>
      <c r="S11" s="20">
        <v>3.7829000000000002</v>
      </c>
      <c r="T11">
        <f>S11/100</f>
        <v>3.7829000000000002E-2</v>
      </c>
      <c r="V11" s="1" t="str" cm="1">
        <f t="array" aca="1" ref="V11" ca="1">_xll.RHistory(W8,".Timestamp;.Close","START:" &amp; TEXT(dateStart, "yyyy-mm-dd") &amp; " END:" &amp; TEXT(dateEnd, "yyyy-mm-dd")&amp;" INTERVAL:1D")</f>
        <v>Not Signed In</v>
      </c>
      <c r="W11" s="20">
        <v>3.6915</v>
      </c>
      <c r="X11">
        <f>W11/100</f>
        <v>3.6915000000000003E-2</v>
      </c>
      <c r="AB11" s="1" t="str" cm="1">
        <f t="array" aca="1" ref="AB11" ca="1">_xll.RHistory(AC8,".Timestamp;.Close","START:" &amp; TEXT(dateStart, "yyyy-mm-dd") &amp; " END:" &amp; TEXT(dateEnd, "yyyy-mm-dd")&amp;" INTERVAL:1D")</f>
        <v>Not Signed In</v>
      </c>
      <c r="AC11">
        <v>179.3802</v>
      </c>
      <c r="AD11">
        <f>AC11/100</f>
        <v>1.7938020000000001</v>
      </c>
      <c r="AF11" s="1" t="str" cm="1">
        <f t="array" aca="1" ref="AF11" ca="1">_xll.RHistory(AG8,".Timestamp;.Close","START:" &amp; TEXT(dateStart, "yyyy-mm-dd") &amp; " END:" &amp; TEXT(dateEnd, "yyyy-mm-dd")&amp;" INTERVAL:1D")</f>
        <v>Not Signed In</v>
      </c>
      <c r="AG11">
        <v>2.0329999999999999</v>
      </c>
      <c r="AH11">
        <f>AG11/100</f>
        <v>2.0330000000000001E-2</v>
      </c>
      <c r="AJ11" s="1" t="str" cm="1">
        <f t="array" aca="1" ref="AJ11" ca="1">_xll.RHistory(AK8,".Timestamp;.Close","START:" &amp; TEXT(dateStart, "yyyy-mm-dd") &amp; " END:" &amp; TEXT(dateEnd, "yyyy-mm-dd")&amp;" INTERVAL:1D")</f>
        <v>Not Signed In</v>
      </c>
      <c r="AK11" s="20">
        <v>2.1429999999999998</v>
      </c>
      <c r="AL11">
        <f>AK11/100</f>
        <v>2.1429999999999998E-2</v>
      </c>
      <c r="AN11" s="1" t="str" cm="1">
        <f t="array" aca="1" ref="AN11" ca="1">_xll.RHistory(AO8,".Timestamp;.Close","START:" &amp; TEXT(dateStart, "yyyy-mm-dd") &amp; " END:" &amp; TEXT(dateEnd, "yyyy-mm-dd")&amp;" INTERVAL:1D")</f>
        <v>Not Signed In</v>
      </c>
      <c r="AO11" s="20">
        <v>2.1749000000000001</v>
      </c>
      <c r="AP11">
        <f>AO11/100</f>
        <v>2.1749000000000001E-2</v>
      </c>
      <c r="AS11" s="1" t="str" cm="1">
        <f t="array" aca="1" ref="AS11" ca="1">_xll.RHistory(AT8,".Timestamp;.Close","START:" &amp; TEXT(dateStart, "yyyy-mm-dd") &amp; " END:" &amp; TEXT(dateEnd, "yyyy-mm-dd")&amp;" INTERVAL:1D")</f>
        <v>Not Signed In</v>
      </c>
      <c r="AT11">
        <v>3.7010999999999998</v>
      </c>
      <c r="AU11">
        <f>AT11/100</f>
        <v>3.7010999999999995E-2</v>
      </c>
      <c r="AX11" s="1" t="str">
        <f>_xll.RHistory("FGBMH26",".Timestamp;.Close","NBROWS:5000 INTERVAL:1D",,"Sort:ASC")</f>
        <v>Not Signed In</v>
      </c>
      <c r="AY11">
        <v>117.61</v>
      </c>
      <c r="BA11" s="1" t="str">
        <f>_xll.RHistory("FGBMM26",".Timestamp;.Close","NBROWS:5000 INTERVAL:1D",,"Sort:ASC")</f>
        <v>Not Signed In</v>
      </c>
      <c r="BB11">
        <v>118.65</v>
      </c>
      <c r="BC11" s="1"/>
      <c r="BD11" s="1"/>
      <c r="BG11" s="1"/>
      <c r="BJ11" s="1"/>
      <c r="BM11" s="1"/>
      <c r="BP11" s="1"/>
      <c r="BS11" s="1"/>
    </row>
    <row r="12" spans="1:141" x14ac:dyDescent="0.3">
      <c r="A12" s="19">
        <f>WORKDAY(A11,1)</f>
        <v>45931</v>
      </c>
      <c r="B12">
        <f t="shared" ca="1" si="0"/>
        <v>0.61388888888888893</v>
      </c>
      <c r="C12" t="str">
        <f ca="1">IF(currency="USD",'Future et co'!D12,IF(currency="EUR",'Future et co'!E12,IF(currency="GBP",'Future et co'!F12,FALSE)))</f>
        <v>RFR USD</v>
      </c>
      <c r="D12" t="str">
        <f t="shared" ca="1" si="1"/>
        <v>RFR USD</v>
      </c>
      <c r="E12" t="str">
        <f t="shared" ca="1" si="2"/>
        <v>RFR EUR</v>
      </c>
      <c r="F12" t="str">
        <f t="shared" ca="1" si="3"/>
        <v>RFR GBP</v>
      </c>
      <c r="G12" s="19"/>
      <c r="J12" s="1"/>
      <c r="N12" s="1"/>
      <c r="R12" s="1"/>
      <c r="S12" s="20"/>
      <c r="V12" s="1"/>
      <c r="AB12" s="1"/>
      <c r="AF12" s="1"/>
      <c r="AJ12" s="1"/>
      <c r="AK12" s="20"/>
      <c r="AN12" s="1"/>
      <c r="AS12" s="1"/>
      <c r="AX12" s="1"/>
      <c r="BA12" s="1"/>
      <c r="BC12" s="1"/>
      <c r="BD12" s="1"/>
      <c r="BG12" s="1"/>
      <c r="BJ12" s="1"/>
      <c r="BM12" s="1"/>
      <c r="BP12" s="1"/>
      <c r="BS12" s="1"/>
    </row>
    <row r="13" spans="1:141" x14ac:dyDescent="0.3">
      <c r="A13" s="19">
        <f t="shared" ref="A13:A76" si="4">WORKDAY(A12,1)</f>
        <v>45932</v>
      </c>
      <c r="B13">
        <f t="shared" ca="1" si="0"/>
        <v>0.61111111111111116</v>
      </c>
      <c r="C13" t="str">
        <f ca="1">IF(currency="USD",'Future et co'!D13,IF(currency="EUR",'Future et co'!E13,IF(currency="GBP",'Future et co'!F13,FALSE)))</f>
        <v>RFR USD</v>
      </c>
      <c r="D13" t="str">
        <f t="shared" ca="1" si="1"/>
        <v>RFR USD</v>
      </c>
      <c r="E13" t="str">
        <f t="shared" ca="1" si="2"/>
        <v>RFR EUR</v>
      </c>
      <c r="F13" t="str">
        <f t="shared" ca="1" si="3"/>
        <v>RFR GBP</v>
      </c>
      <c r="G13" s="19"/>
      <c r="J13" s="1"/>
      <c r="N13" s="1"/>
      <c r="R13" s="1"/>
      <c r="S13" s="20"/>
      <c r="V13" s="1"/>
      <c r="AB13" s="1"/>
      <c r="AF13" s="1"/>
      <c r="AJ13" s="1"/>
      <c r="AK13" s="20"/>
      <c r="AN13" s="1"/>
      <c r="AS13" s="1"/>
      <c r="AX13" s="1"/>
      <c r="BA13" s="1"/>
      <c r="BC13" s="1"/>
      <c r="BD13" s="1"/>
      <c r="BG13" s="1"/>
      <c r="BJ13" s="1"/>
      <c r="BM13" s="1"/>
      <c r="BP13" s="1"/>
      <c r="BS13" s="1"/>
    </row>
    <row r="14" spans="1:141" x14ac:dyDescent="0.3">
      <c r="A14" s="19">
        <f t="shared" si="4"/>
        <v>45933</v>
      </c>
      <c r="B14">
        <f t="shared" ca="1" si="0"/>
        <v>0.60833333333333328</v>
      </c>
      <c r="C14" t="str">
        <f ca="1">IF(currency="USD",'Future et co'!D14,IF(currency="EUR",'Future et co'!E14,IF(currency="GBP",'Future et co'!F14,FALSE)))</f>
        <v>RFR USD</v>
      </c>
      <c r="D14" t="str">
        <f t="shared" ca="1" si="1"/>
        <v>RFR USD</v>
      </c>
      <c r="E14" t="str">
        <f t="shared" ca="1" si="2"/>
        <v>RFR EUR</v>
      </c>
      <c r="F14" t="str">
        <f t="shared" ca="1" si="3"/>
        <v>RFR GBP</v>
      </c>
      <c r="G14" s="19"/>
      <c r="J14" s="1"/>
      <c r="N14" s="1"/>
      <c r="R14" s="1"/>
      <c r="S14" s="20"/>
      <c r="V14" s="1"/>
      <c r="AB14" s="1"/>
      <c r="AF14" s="1"/>
      <c r="AJ14" s="1"/>
      <c r="AK14" s="20"/>
      <c r="AN14" s="1"/>
      <c r="AS14" s="1"/>
      <c r="AX14" s="1"/>
      <c r="BA14" s="1"/>
      <c r="BC14" s="1"/>
      <c r="BD14" s="1"/>
      <c r="BG14" s="1"/>
      <c r="BJ14" s="1"/>
      <c r="BM14" s="1"/>
      <c r="BP14" s="1"/>
      <c r="BS14" s="1"/>
    </row>
    <row r="15" spans="1:141" x14ac:dyDescent="0.3">
      <c r="A15" s="19">
        <f t="shared" si="4"/>
        <v>45936</v>
      </c>
      <c r="B15">
        <f t="shared" ca="1" si="0"/>
        <v>0.6</v>
      </c>
      <c r="C15" t="str">
        <f ca="1">IF(currency="USD",'Future et co'!D15,IF(currency="EUR",'Future et co'!E15,IF(currency="GBP",'Future et co'!F15,FALSE)))</f>
        <v>RFR USD</v>
      </c>
      <c r="D15" t="str">
        <f t="shared" ca="1" si="1"/>
        <v>RFR USD</v>
      </c>
      <c r="E15" t="str">
        <f t="shared" ca="1" si="2"/>
        <v>RFR EUR</v>
      </c>
      <c r="F15" t="str">
        <f t="shared" ca="1" si="3"/>
        <v>RFR GBP</v>
      </c>
      <c r="G15" s="19"/>
      <c r="J15" s="1"/>
      <c r="N15" s="1"/>
      <c r="R15" s="1"/>
      <c r="S15" s="20"/>
      <c r="V15" s="1"/>
      <c r="AB15" s="1"/>
      <c r="AF15" s="1"/>
      <c r="AJ15" s="1"/>
      <c r="AK15" s="20"/>
      <c r="AN15" s="1"/>
      <c r="AS15" s="1"/>
      <c r="AX15" s="1"/>
      <c r="BA15" s="1"/>
      <c r="BC15" s="1"/>
      <c r="BD15" s="1"/>
      <c r="BG15" s="1"/>
      <c r="BJ15" s="1"/>
      <c r="BM15" s="1"/>
      <c r="BP15" s="1"/>
      <c r="BS15" s="1"/>
    </row>
    <row r="16" spans="1:141" x14ac:dyDescent="0.3">
      <c r="A16" s="19">
        <f t="shared" si="4"/>
        <v>45937</v>
      </c>
      <c r="B16">
        <f t="shared" ca="1" si="0"/>
        <v>0.59722222222222221</v>
      </c>
      <c r="C16" t="str">
        <f ca="1">IF(currency="USD",'Future et co'!D16,IF(currency="EUR",'Future et co'!E16,IF(currency="GBP",'Future et co'!F16,FALSE)))</f>
        <v>RFR USD</v>
      </c>
      <c r="D16" t="str">
        <f t="shared" ca="1" si="1"/>
        <v>RFR USD</v>
      </c>
      <c r="E16" t="str">
        <f t="shared" ca="1" si="2"/>
        <v>RFR EUR</v>
      </c>
      <c r="F16" t="str">
        <f t="shared" ca="1" si="3"/>
        <v>RFR GBP</v>
      </c>
      <c r="G16" s="19"/>
      <c r="J16" s="1"/>
      <c r="N16" s="1"/>
      <c r="R16" s="1"/>
      <c r="S16" s="20"/>
      <c r="V16" s="1"/>
      <c r="AB16" s="1"/>
      <c r="AF16" s="1"/>
      <c r="AJ16" s="1"/>
      <c r="AK16" s="20"/>
      <c r="AN16" s="1"/>
      <c r="AS16" s="1"/>
      <c r="AX16" s="1"/>
      <c r="BA16" s="1"/>
      <c r="BC16" s="1"/>
      <c r="BD16" s="1"/>
      <c r="BG16" s="1"/>
      <c r="BJ16" s="1"/>
      <c r="BM16" s="1"/>
      <c r="BP16" s="1"/>
      <c r="BS16" s="1"/>
    </row>
    <row r="17" spans="1:71" x14ac:dyDescent="0.3">
      <c r="A17" s="19">
        <f t="shared" si="4"/>
        <v>45938</v>
      </c>
      <c r="B17">
        <f t="shared" ca="1" si="0"/>
        <v>0.59444444444444444</v>
      </c>
      <c r="C17" t="str">
        <f ca="1">IF(currency="USD",'Future et co'!D17,IF(currency="EUR",'Future et co'!E17,IF(currency="GBP",'Future et co'!F17,FALSE)))</f>
        <v>RFR USD</v>
      </c>
      <c r="D17" t="str">
        <f t="shared" ca="1" si="1"/>
        <v>RFR USD</v>
      </c>
      <c r="E17" t="str">
        <f t="shared" ca="1" si="2"/>
        <v>RFR EUR</v>
      </c>
      <c r="F17" t="str">
        <f t="shared" ca="1" si="3"/>
        <v>RFR GBP</v>
      </c>
      <c r="G17" s="19"/>
      <c r="J17" s="1"/>
      <c r="N17" s="1"/>
      <c r="R17" s="1"/>
      <c r="S17" s="20"/>
      <c r="V17" s="1"/>
      <c r="AB17" s="1"/>
      <c r="AF17" s="1"/>
      <c r="AJ17" s="1"/>
      <c r="AK17" s="20"/>
      <c r="AN17" s="1"/>
      <c r="AS17" s="1"/>
      <c r="AX17" s="1"/>
      <c r="BA17" s="1"/>
      <c r="BC17" s="1"/>
      <c r="BD17" s="1"/>
      <c r="BG17" s="1"/>
      <c r="BJ17" s="1"/>
      <c r="BM17" s="1"/>
      <c r="BP17" s="1"/>
      <c r="BS17" s="1"/>
    </row>
    <row r="18" spans="1:71" x14ac:dyDescent="0.3">
      <c r="A18" s="19">
        <f t="shared" si="4"/>
        <v>45939</v>
      </c>
      <c r="B18">
        <f t="shared" ca="1" si="0"/>
        <v>0.59166666666666667</v>
      </c>
      <c r="C18" t="str">
        <f ca="1">IF(currency="USD",'Future et co'!D18,IF(currency="EUR",'Future et co'!E18,IF(currency="GBP",'Future et co'!F18,FALSE)))</f>
        <v>RFR USD</v>
      </c>
      <c r="D18" t="str">
        <f t="shared" ca="1" si="1"/>
        <v>RFR USD</v>
      </c>
      <c r="E18" t="str">
        <f t="shared" ca="1" si="2"/>
        <v>RFR EUR</v>
      </c>
      <c r="F18" t="str">
        <f t="shared" ca="1" si="3"/>
        <v>RFR GBP</v>
      </c>
      <c r="G18" s="19"/>
      <c r="J18" s="1"/>
      <c r="N18" s="1"/>
      <c r="R18" s="1"/>
      <c r="S18" s="20"/>
      <c r="V18" s="1"/>
      <c r="AB18" s="1"/>
      <c r="AF18" s="1"/>
      <c r="AJ18" s="1"/>
      <c r="AK18" s="20"/>
      <c r="AN18" s="1"/>
      <c r="AS18" s="1"/>
      <c r="AX18" s="1"/>
      <c r="BA18" s="1"/>
      <c r="BC18" s="1"/>
      <c r="BD18" s="1"/>
      <c r="BG18" s="1"/>
      <c r="BJ18" s="1"/>
      <c r="BM18" s="1"/>
      <c r="BP18" s="1"/>
      <c r="BS18" s="1"/>
    </row>
    <row r="19" spans="1:71" x14ac:dyDescent="0.3">
      <c r="A19" s="19">
        <f t="shared" si="4"/>
        <v>45940</v>
      </c>
      <c r="B19">
        <f t="shared" ca="1" si="0"/>
        <v>0.58888888888888891</v>
      </c>
      <c r="C19" t="str">
        <f ca="1">IF(currency="USD",'Future et co'!D19,IF(currency="EUR",'Future et co'!E19,IF(currency="GBP",'Future et co'!F19,FALSE)))</f>
        <v>RFR USD</v>
      </c>
      <c r="D19" t="str">
        <f t="shared" ca="1" si="1"/>
        <v>RFR USD</v>
      </c>
      <c r="E19" t="str">
        <f t="shared" ca="1" si="2"/>
        <v>RFR EUR</v>
      </c>
      <c r="F19" t="str">
        <f t="shared" ca="1" si="3"/>
        <v>RFR GBP</v>
      </c>
      <c r="G19" s="19"/>
      <c r="J19" s="1"/>
      <c r="N19" s="1"/>
      <c r="R19" s="1"/>
      <c r="S19" s="20"/>
      <c r="V19" s="1"/>
      <c r="AB19" s="1"/>
      <c r="AF19" s="1"/>
      <c r="AJ19" s="1"/>
      <c r="AK19" s="20"/>
      <c r="AN19" s="1"/>
      <c r="AS19" s="1"/>
      <c r="AX19" s="1"/>
      <c r="BA19" s="1"/>
      <c r="BC19" s="1"/>
      <c r="BD19" s="1"/>
      <c r="BG19" s="1"/>
      <c r="BJ19" s="1"/>
      <c r="BM19" s="1"/>
      <c r="BP19" s="1"/>
      <c r="BS19" s="1"/>
    </row>
    <row r="20" spans="1:71" x14ac:dyDescent="0.3">
      <c r="A20" s="19">
        <f t="shared" si="4"/>
        <v>45943</v>
      </c>
      <c r="B20">
        <f t="shared" ca="1" si="0"/>
        <v>0.5805555555555556</v>
      </c>
      <c r="C20" t="str">
        <f ca="1">IF(currency="USD",'Future et co'!D20,IF(currency="EUR",'Future et co'!E20,IF(currency="GBP",'Future et co'!F20,FALSE)))</f>
        <v>RFR USD</v>
      </c>
      <c r="D20" t="str">
        <f t="shared" ca="1" si="1"/>
        <v>RFR USD</v>
      </c>
      <c r="E20" t="str">
        <f t="shared" ca="1" si="2"/>
        <v>RFR EUR</v>
      </c>
      <c r="F20" t="str">
        <f t="shared" ca="1" si="3"/>
        <v>RFR GBP</v>
      </c>
      <c r="G20" s="19"/>
      <c r="J20" s="1"/>
      <c r="N20" s="1"/>
      <c r="R20" s="1"/>
      <c r="S20" s="20"/>
      <c r="V20" s="1"/>
      <c r="AB20" s="1"/>
      <c r="AF20" s="1"/>
      <c r="AJ20" s="1"/>
      <c r="AK20" s="20"/>
      <c r="AN20" s="1"/>
      <c r="AS20" s="1"/>
      <c r="AX20" s="1"/>
      <c r="BA20" s="1"/>
      <c r="BC20" s="1"/>
      <c r="BD20" s="1"/>
      <c r="BG20" s="1"/>
      <c r="BJ20" s="1"/>
      <c r="BM20" s="1"/>
      <c r="BP20" s="1"/>
      <c r="BS20" s="1"/>
    </row>
    <row r="21" spans="1:71" x14ac:dyDescent="0.3">
      <c r="A21" s="19">
        <f t="shared" si="4"/>
        <v>45944</v>
      </c>
      <c r="B21">
        <f t="shared" ca="1" si="0"/>
        <v>0.57777777777777772</v>
      </c>
      <c r="C21" t="str">
        <f ca="1">IF(currency="USD",'Future et co'!D21,IF(currency="EUR",'Future et co'!E21,IF(currency="GBP",'Future et co'!F21,FALSE)))</f>
        <v>RFR USD</v>
      </c>
      <c r="D21" t="str">
        <f t="shared" ca="1" si="1"/>
        <v>RFR USD</v>
      </c>
      <c r="E21" t="str">
        <f t="shared" ca="1" si="2"/>
        <v>RFR EUR</v>
      </c>
      <c r="F21" t="str">
        <f t="shared" ca="1" si="3"/>
        <v>RFR GBP</v>
      </c>
      <c r="G21" s="19"/>
      <c r="J21" s="1"/>
      <c r="N21" s="1"/>
      <c r="R21" s="1"/>
      <c r="S21" s="20"/>
      <c r="V21" s="1"/>
      <c r="AB21" s="1"/>
      <c r="AF21" s="1"/>
      <c r="AJ21" s="1"/>
      <c r="AK21" s="20"/>
      <c r="AN21" s="1"/>
      <c r="AS21" s="1"/>
      <c r="AX21" s="1"/>
      <c r="BA21" s="1"/>
      <c r="BC21" s="1"/>
      <c r="BD21" s="1"/>
      <c r="BG21" s="1"/>
      <c r="BJ21" s="1"/>
      <c r="BM21" s="1"/>
      <c r="BP21" s="1"/>
      <c r="BS21" s="1"/>
    </row>
    <row r="22" spans="1:71" x14ac:dyDescent="0.3">
      <c r="A22" s="19">
        <f t="shared" si="4"/>
        <v>45945</v>
      </c>
      <c r="B22">
        <f t="shared" ca="1" si="0"/>
        <v>0.57499999999999996</v>
      </c>
      <c r="C22" t="str">
        <f ca="1">IF(currency="USD",'Future et co'!D22,IF(currency="EUR",'Future et co'!E22,IF(currency="GBP",'Future et co'!F22,FALSE)))</f>
        <v>RFR USD</v>
      </c>
      <c r="D22" t="str">
        <f t="shared" ca="1" si="1"/>
        <v>RFR USD</v>
      </c>
      <c r="E22" t="str">
        <f t="shared" ca="1" si="2"/>
        <v>RFR EUR</v>
      </c>
      <c r="F22" t="str">
        <f t="shared" ca="1" si="3"/>
        <v>RFR GBP</v>
      </c>
      <c r="G22" s="19"/>
      <c r="J22" s="1"/>
      <c r="N22" s="1"/>
      <c r="R22" s="1"/>
      <c r="S22" s="20"/>
      <c r="V22" s="1"/>
      <c r="AB22" s="1"/>
      <c r="AF22" s="1"/>
      <c r="AJ22" s="1"/>
      <c r="AK22" s="20"/>
      <c r="AN22" s="1"/>
      <c r="AS22" s="1"/>
      <c r="AX22" s="1"/>
      <c r="BA22" s="1"/>
      <c r="BC22" s="1"/>
      <c r="BD22" s="1"/>
      <c r="BG22" s="1"/>
      <c r="BJ22" s="1"/>
      <c r="BM22" s="1"/>
      <c r="BP22" s="1"/>
      <c r="BS22" s="1"/>
    </row>
    <row r="23" spans="1:71" x14ac:dyDescent="0.3">
      <c r="A23" s="19">
        <f t="shared" si="4"/>
        <v>45946</v>
      </c>
      <c r="B23">
        <f t="shared" ca="1" si="0"/>
        <v>0.57222222222222219</v>
      </c>
      <c r="C23" t="str">
        <f ca="1">IF(currency="USD",'Future et co'!D23,IF(currency="EUR",'Future et co'!E23,IF(currency="GBP",'Future et co'!F23,FALSE)))</f>
        <v>RFR USD</v>
      </c>
      <c r="D23" t="str">
        <f t="shared" ca="1" si="1"/>
        <v>RFR USD</v>
      </c>
      <c r="E23" t="str">
        <f t="shared" ca="1" si="2"/>
        <v>RFR EUR</v>
      </c>
      <c r="F23" t="str">
        <f t="shared" ca="1" si="3"/>
        <v>RFR GBP</v>
      </c>
      <c r="J23" s="1"/>
      <c r="N23" s="1"/>
      <c r="R23" s="1"/>
      <c r="S23" s="20"/>
      <c r="V23" s="1"/>
      <c r="AB23" s="1"/>
      <c r="AF23" s="1"/>
      <c r="AJ23" s="1"/>
      <c r="AK23" s="20"/>
      <c r="AN23" s="1"/>
      <c r="AS23" s="1"/>
      <c r="AX23" s="1"/>
      <c r="BA23" s="1"/>
      <c r="BC23" s="1"/>
      <c r="BD23" s="1"/>
      <c r="BG23" s="1"/>
      <c r="BJ23" s="1"/>
      <c r="BM23" s="1"/>
      <c r="BP23" s="1"/>
      <c r="BS23" s="1"/>
    </row>
    <row r="24" spans="1:71" x14ac:dyDescent="0.3">
      <c r="A24" s="19">
        <f t="shared" si="4"/>
        <v>45947</v>
      </c>
      <c r="B24">
        <f t="shared" ca="1" si="0"/>
        <v>0.56944444444444442</v>
      </c>
      <c r="C24" t="str">
        <f ca="1">IF(currency="USD",'Future et co'!D24,IF(currency="EUR",'Future et co'!E24,IF(currency="GBP",'Future et co'!F24,FALSE)))</f>
        <v>RFR USD</v>
      </c>
      <c r="D24" t="str">
        <f t="shared" ca="1" si="1"/>
        <v>RFR USD</v>
      </c>
      <c r="E24" t="str">
        <f t="shared" ca="1" si="2"/>
        <v>RFR EUR</v>
      </c>
      <c r="F24" t="str">
        <f t="shared" ca="1" si="3"/>
        <v>RFR GBP</v>
      </c>
      <c r="J24" s="1"/>
      <c r="N24" s="1"/>
      <c r="R24" s="1"/>
      <c r="S24" s="20"/>
      <c r="V24" s="1"/>
      <c r="AB24" s="1"/>
      <c r="AF24" s="1"/>
      <c r="AJ24" s="1"/>
      <c r="AK24" s="20"/>
      <c r="AN24" s="1"/>
      <c r="AS24" s="1"/>
      <c r="AX24" s="1"/>
      <c r="BA24" s="1"/>
      <c r="BC24" s="1"/>
      <c r="BD24" s="1"/>
      <c r="BG24" s="1"/>
      <c r="BJ24" s="1"/>
      <c r="BM24" s="1"/>
      <c r="BP24" s="1"/>
      <c r="BS24" s="1"/>
    </row>
    <row r="25" spans="1:71" x14ac:dyDescent="0.3">
      <c r="A25" s="19">
        <f t="shared" si="4"/>
        <v>45950</v>
      </c>
      <c r="B25">
        <f t="shared" ca="1" si="0"/>
        <v>0.56111111111111112</v>
      </c>
      <c r="C25" t="str">
        <f ca="1">IF(currency="USD",'Future et co'!D25,IF(currency="EUR",'Future et co'!E25,IF(currency="GBP",'Future et co'!F25,FALSE)))</f>
        <v>RFR USD</v>
      </c>
      <c r="D25" t="str">
        <f t="shared" ca="1" si="1"/>
        <v>RFR USD</v>
      </c>
      <c r="E25" t="str">
        <f t="shared" ca="1" si="2"/>
        <v>RFR EUR</v>
      </c>
      <c r="F25" t="str">
        <f t="shared" ca="1" si="3"/>
        <v>RFR GBP</v>
      </c>
      <c r="J25" s="1"/>
      <c r="N25" s="1"/>
      <c r="R25" s="1"/>
      <c r="S25" s="20"/>
      <c r="V25" s="1"/>
      <c r="AB25" s="1"/>
      <c r="AF25" s="1"/>
      <c r="AJ25" s="1"/>
      <c r="AK25" s="20"/>
      <c r="AN25" s="1"/>
      <c r="AS25" s="1"/>
      <c r="AX25" s="1"/>
      <c r="BA25" s="1"/>
      <c r="BC25" s="1"/>
      <c r="BD25" s="1"/>
      <c r="BG25" s="1"/>
      <c r="BJ25" s="1"/>
      <c r="BM25" s="1"/>
      <c r="BP25" s="1"/>
      <c r="BS25" s="1"/>
    </row>
    <row r="26" spans="1:71" x14ac:dyDescent="0.3">
      <c r="A26" s="19">
        <f t="shared" si="4"/>
        <v>45951</v>
      </c>
      <c r="B26">
        <f t="shared" ca="1" si="0"/>
        <v>0.55833333333333335</v>
      </c>
      <c r="C26" t="str">
        <f ca="1">IF(currency="USD",'Future et co'!D26,IF(currency="EUR",'Future et co'!E26,IF(currency="GBP",'Future et co'!F26,FALSE)))</f>
        <v>RFR USD</v>
      </c>
      <c r="D26" t="str">
        <f t="shared" ca="1" si="1"/>
        <v>RFR USD</v>
      </c>
      <c r="E26" t="str">
        <f t="shared" ca="1" si="2"/>
        <v>RFR EUR</v>
      </c>
      <c r="F26" t="str">
        <f t="shared" ca="1" si="3"/>
        <v>RFR GBP</v>
      </c>
      <c r="J26" s="1"/>
      <c r="N26" s="1"/>
      <c r="R26" s="1"/>
      <c r="S26" s="20"/>
      <c r="V26" s="1"/>
      <c r="AB26" s="1"/>
      <c r="AF26" s="1"/>
      <c r="AJ26" s="1"/>
      <c r="AK26" s="20"/>
      <c r="AN26" s="1"/>
      <c r="AS26" s="1"/>
      <c r="AX26" s="1"/>
      <c r="BA26" s="1"/>
      <c r="BC26" s="1"/>
      <c r="BD26" s="1"/>
      <c r="BG26" s="1"/>
      <c r="BJ26" s="1"/>
      <c r="BM26" s="1"/>
      <c r="BP26" s="1"/>
      <c r="BS26" s="1"/>
    </row>
    <row r="27" spans="1:71" x14ac:dyDescent="0.3">
      <c r="A27" s="19">
        <f t="shared" si="4"/>
        <v>45952</v>
      </c>
      <c r="B27">
        <f t="shared" ca="1" si="0"/>
        <v>0.55555555555555558</v>
      </c>
      <c r="C27" t="str">
        <f ca="1">IF(currency="USD",'Future et co'!D27,IF(currency="EUR",'Future et co'!E27,IF(currency="GBP",'Future et co'!F27,FALSE)))</f>
        <v>RFR USD</v>
      </c>
      <c r="D27" t="str">
        <f t="shared" ca="1" si="1"/>
        <v>RFR USD</v>
      </c>
      <c r="E27" t="str">
        <f t="shared" ca="1" si="2"/>
        <v>RFR EUR</v>
      </c>
      <c r="F27" t="str">
        <f t="shared" ca="1" si="3"/>
        <v>RFR GBP</v>
      </c>
      <c r="J27" s="1"/>
      <c r="N27" s="1"/>
      <c r="R27" s="1"/>
      <c r="S27" s="20"/>
      <c r="V27" s="1"/>
      <c r="AB27" s="1"/>
      <c r="AF27" s="1"/>
      <c r="AJ27" s="1"/>
      <c r="AK27" s="20"/>
      <c r="AN27" s="1"/>
      <c r="AS27" s="1"/>
      <c r="AX27" s="1"/>
      <c r="BA27" s="1"/>
      <c r="BC27" s="1"/>
      <c r="BD27" s="1"/>
      <c r="BG27" s="1"/>
      <c r="BJ27" s="1"/>
      <c r="BM27" s="1"/>
      <c r="BP27" s="1"/>
      <c r="BS27" s="1"/>
    </row>
    <row r="28" spans="1:71" x14ac:dyDescent="0.3">
      <c r="A28" s="19">
        <f t="shared" si="4"/>
        <v>45953</v>
      </c>
      <c r="B28">
        <f t="shared" ca="1" si="0"/>
        <v>0.55277777777777781</v>
      </c>
      <c r="C28" t="str">
        <f ca="1">IF(currency="USD",'Future et co'!D28,IF(currency="EUR",'Future et co'!E28,IF(currency="GBP",'Future et co'!F28,FALSE)))</f>
        <v>RFR USD</v>
      </c>
      <c r="D28" t="str">
        <f t="shared" ca="1" si="1"/>
        <v>RFR USD</v>
      </c>
      <c r="E28" t="str">
        <f t="shared" ca="1" si="2"/>
        <v>RFR EUR</v>
      </c>
      <c r="F28" t="str">
        <f t="shared" ca="1" si="3"/>
        <v>RFR GBP</v>
      </c>
      <c r="J28" s="1"/>
      <c r="N28" s="1"/>
      <c r="R28" s="1"/>
      <c r="S28" s="20"/>
      <c r="V28" s="1"/>
      <c r="AB28" s="1"/>
      <c r="AF28" s="1"/>
      <c r="AJ28" s="1"/>
      <c r="AK28" s="20"/>
      <c r="AN28" s="1"/>
      <c r="AS28" s="1"/>
      <c r="AX28" s="1"/>
      <c r="BA28" s="1"/>
      <c r="BC28" s="1"/>
      <c r="BD28" s="1"/>
      <c r="BG28" s="1"/>
      <c r="BJ28" s="1"/>
      <c r="BM28" s="1"/>
      <c r="BP28" s="1"/>
      <c r="BS28" s="1"/>
    </row>
    <row r="29" spans="1:71" x14ac:dyDescent="0.3">
      <c r="A29" s="19">
        <f t="shared" si="4"/>
        <v>45954</v>
      </c>
      <c r="B29">
        <f t="shared" ca="1" si="0"/>
        <v>0.55000000000000004</v>
      </c>
      <c r="C29" t="str">
        <f ca="1">IF(currency="USD",'Future et co'!D29,IF(currency="EUR",'Future et co'!E29,IF(currency="GBP",'Future et co'!F29,FALSE)))</f>
        <v>RFR USD</v>
      </c>
      <c r="D29" t="str">
        <f t="shared" ca="1" si="1"/>
        <v>RFR USD</v>
      </c>
      <c r="E29" t="str">
        <f t="shared" ca="1" si="2"/>
        <v>RFR EUR</v>
      </c>
      <c r="F29" t="str">
        <f t="shared" ca="1" si="3"/>
        <v>RFR GBP</v>
      </c>
      <c r="J29" s="1"/>
      <c r="N29" s="1"/>
      <c r="R29" s="1"/>
      <c r="S29" s="20"/>
      <c r="V29" s="1"/>
      <c r="AB29" s="1"/>
      <c r="AF29" s="1"/>
      <c r="AJ29" s="1"/>
      <c r="AK29" s="20"/>
      <c r="AN29" s="1"/>
      <c r="AS29" s="1"/>
      <c r="AX29" s="1"/>
      <c r="BA29" s="1"/>
      <c r="BC29" s="1"/>
      <c r="BD29" s="1"/>
      <c r="BG29" s="1"/>
      <c r="BJ29" s="1"/>
      <c r="BM29" s="1"/>
      <c r="BP29" s="1"/>
      <c r="BS29" s="1"/>
    </row>
    <row r="30" spans="1:71" x14ac:dyDescent="0.3">
      <c r="A30" s="19">
        <f t="shared" si="4"/>
        <v>45957</v>
      </c>
      <c r="B30">
        <f t="shared" ca="1" si="0"/>
        <v>0.54166666666666663</v>
      </c>
      <c r="C30" t="str">
        <f ca="1">IF(currency="USD",'Future et co'!D30,IF(currency="EUR",'Future et co'!E30,IF(currency="GBP",'Future et co'!F30,FALSE)))</f>
        <v>RFR USD</v>
      </c>
      <c r="D30" t="str">
        <f t="shared" ca="1" si="1"/>
        <v>RFR USD</v>
      </c>
      <c r="E30" t="str">
        <f t="shared" ca="1" si="2"/>
        <v>RFR EUR</v>
      </c>
      <c r="F30" t="str">
        <f t="shared" ca="1" si="3"/>
        <v>RFR GBP</v>
      </c>
      <c r="J30" s="1"/>
      <c r="N30" s="1"/>
      <c r="R30" s="1"/>
      <c r="S30" s="20"/>
      <c r="V30" s="1"/>
      <c r="AB30" s="1"/>
      <c r="AF30" s="1"/>
      <c r="AJ30" s="1"/>
      <c r="AK30" s="20"/>
      <c r="AN30" s="1"/>
      <c r="AS30" s="1"/>
      <c r="AX30" s="1"/>
      <c r="BA30" s="1"/>
      <c r="BC30" s="1"/>
      <c r="BD30" s="1"/>
      <c r="BG30" s="1"/>
      <c r="BJ30" s="1"/>
      <c r="BM30" s="1"/>
      <c r="BP30" s="1"/>
      <c r="BS30" s="1"/>
    </row>
    <row r="31" spans="1:71" x14ac:dyDescent="0.3">
      <c r="A31" s="19">
        <f t="shared" si="4"/>
        <v>45958</v>
      </c>
      <c r="B31">
        <f t="shared" ca="1" si="0"/>
        <v>0.53888888888888886</v>
      </c>
      <c r="C31" t="str">
        <f ca="1">IF(currency="USD",'Future et co'!D31,IF(currency="EUR",'Future et co'!E31,IF(currency="GBP",'Future et co'!F31,FALSE)))</f>
        <v>RFR USD</v>
      </c>
      <c r="D31" t="str">
        <f t="shared" ca="1" si="1"/>
        <v>RFR USD</v>
      </c>
      <c r="E31" t="str">
        <f t="shared" ca="1" si="2"/>
        <v>RFR EUR</v>
      </c>
      <c r="F31" t="str">
        <f t="shared" ca="1" si="3"/>
        <v>RFR GBP</v>
      </c>
      <c r="J31" s="1"/>
      <c r="N31" s="1"/>
      <c r="R31" s="1"/>
      <c r="S31" s="20"/>
      <c r="V31" s="1"/>
      <c r="AB31" s="1"/>
      <c r="AF31" s="1"/>
      <c r="AJ31" s="1"/>
      <c r="AK31" s="20"/>
      <c r="AN31" s="1"/>
      <c r="AS31" s="1"/>
      <c r="AX31" s="1"/>
      <c r="BA31" s="1"/>
      <c r="BC31" s="1"/>
      <c r="BD31" s="1"/>
      <c r="BG31" s="1"/>
      <c r="BJ31" s="1"/>
      <c r="BM31" s="1"/>
      <c r="BP31" s="1"/>
      <c r="BS31" s="1"/>
    </row>
    <row r="32" spans="1:71" x14ac:dyDescent="0.3">
      <c r="A32" s="19">
        <f t="shared" si="4"/>
        <v>45959</v>
      </c>
      <c r="B32">
        <f t="shared" ca="1" si="0"/>
        <v>0.53611111111111109</v>
      </c>
      <c r="C32" t="str">
        <f ca="1">IF(currency="USD",'Future et co'!D32,IF(currency="EUR",'Future et co'!E32,IF(currency="GBP",'Future et co'!F32,FALSE)))</f>
        <v>RFR USD</v>
      </c>
      <c r="D32" t="str">
        <f t="shared" ca="1" si="1"/>
        <v>RFR USD</v>
      </c>
      <c r="E32" t="str">
        <f t="shared" ca="1" si="2"/>
        <v>RFR EUR</v>
      </c>
      <c r="F32" t="str">
        <f t="shared" ca="1" si="3"/>
        <v>RFR GBP</v>
      </c>
      <c r="J32" s="1"/>
      <c r="N32" s="1"/>
      <c r="R32" s="1"/>
      <c r="S32" s="20"/>
      <c r="V32" s="1"/>
      <c r="AB32" s="1"/>
      <c r="AF32" s="1"/>
      <c r="AJ32" s="1"/>
      <c r="AK32" s="20"/>
      <c r="AN32" s="1"/>
      <c r="AS32" s="1"/>
      <c r="AX32" s="1"/>
      <c r="BA32" s="1"/>
      <c r="BC32" s="1"/>
      <c r="BD32" s="1"/>
      <c r="BG32" s="1"/>
      <c r="BJ32" s="1"/>
      <c r="BM32" s="1"/>
      <c r="BP32" s="1"/>
      <c r="BS32" s="1"/>
    </row>
    <row r="33" spans="1:71" x14ac:dyDescent="0.3">
      <c r="A33" s="19">
        <f t="shared" si="4"/>
        <v>45960</v>
      </c>
      <c r="B33">
        <f t="shared" ca="1" si="0"/>
        <v>0.53333333333333333</v>
      </c>
      <c r="C33" t="str">
        <f ca="1">IF(currency="USD",'Future et co'!D33,IF(currency="EUR",'Future et co'!E33,IF(currency="GBP",'Future et co'!F33,FALSE)))</f>
        <v>RFR USD</v>
      </c>
      <c r="D33" t="str">
        <f t="shared" ca="1" si="1"/>
        <v>RFR USD</v>
      </c>
      <c r="E33" t="str">
        <f t="shared" ca="1" si="2"/>
        <v>RFR EUR</v>
      </c>
      <c r="F33" t="str">
        <f t="shared" ca="1" si="3"/>
        <v>RFR GBP</v>
      </c>
      <c r="J33" s="1"/>
      <c r="N33" s="1"/>
      <c r="R33" s="1"/>
      <c r="S33" s="20"/>
      <c r="V33" s="1"/>
      <c r="AB33" s="1"/>
      <c r="AF33" s="1"/>
      <c r="AJ33" s="1"/>
      <c r="AK33" s="20"/>
      <c r="AN33" s="1"/>
      <c r="AS33" s="1"/>
      <c r="AX33" s="1"/>
      <c r="BA33" s="1"/>
      <c r="BC33" s="1"/>
      <c r="BD33" s="1"/>
      <c r="BG33" s="1"/>
      <c r="BJ33" s="1"/>
      <c r="BM33" s="1"/>
      <c r="BP33" s="1"/>
      <c r="BS33" s="1"/>
    </row>
    <row r="34" spans="1:71" x14ac:dyDescent="0.3">
      <c r="A34" s="19">
        <f t="shared" si="4"/>
        <v>45961</v>
      </c>
      <c r="B34">
        <f t="shared" ca="1" si="0"/>
        <v>0.53055555555555556</v>
      </c>
      <c r="C34" t="str">
        <f ca="1">IF(currency="USD",'Future et co'!D34,IF(currency="EUR",'Future et co'!E34,IF(currency="GBP",'Future et co'!F34,FALSE)))</f>
        <v>RFR USD</v>
      </c>
      <c r="D34" t="str">
        <f t="shared" ca="1" si="1"/>
        <v>RFR USD</v>
      </c>
      <c r="E34" t="str">
        <f t="shared" ca="1" si="2"/>
        <v>RFR EUR</v>
      </c>
      <c r="F34" t="str">
        <f t="shared" ca="1" si="3"/>
        <v>RFR GBP</v>
      </c>
      <c r="J34" s="1"/>
      <c r="N34" s="1"/>
      <c r="R34" s="1"/>
      <c r="S34" s="20"/>
      <c r="V34" s="1"/>
      <c r="AB34" s="1"/>
      <c r="AF34" s="1"/>
      <c r="AJ34" s="1"/>
      <c r="AK34" s="20"/>
      <c r="AN34" s="1"/>
      <c r="AS34" s="1"/>
      <c r="AX34" s="1"/>
      <c r="BA34" s="1"/>
      <c r="BC34" s="1"/>
      <c r="BD34" s="1"/>
      <c r="BG34" s="1"/>
      <c r="BJ34" s="1"/>
      <c r="BM34" s="1"/>
      <c r="BP34" s="1"/>
      <c r="BS34" s="1"/>
    </row>
    <row r="35" spans="1:71" x14ac:dyDescent="0.3">
      <c r="A35" s="19">
        <f t="shared" si="4"/>
        <v>45964</v>
      </c>
      <c r="B35">
        <f t="shared" ca="1" si="0"/>
        <v>0.52222222222222225</v>
      </c>
      <c r="C35" t="str">
        <f ca="1">IF(currency="USD",'Future et co'!D35,IF(currency="EUR",'Future et co'!E35,IF(currency="GBP",'Future et co'!F35,FALSE)))</f>
        <v>RFR USD</v>
      </c>
      <c r="D35" t="str">
        <f t="shared" ca="1" si="1"/>
        <v>RFR USD</v>
      </c>
      <c r="E35" t="str">
        <f t="shared" ca="1" si="2"/>
        <v>RFR EUR</v>
      </c>
      <c r="F35" t="str">
        <f t="shared" ca="1" si="3"/>
        <v>RFR GBP</v>
      </c>
      <c r="J35" s="1"/>
      <c r="N35" s="1"/>
      <c r="R35" s="1"/>
      <c r="S35" s="20"/>
      <c r="V35" s="1"/>
      <c r="AB35" s="1"/>
      <c r="AF35" s="1"/>
      <c r="AJ35" s="1"/>
      <c r="AK35" s="20"/>
      <c r="AN35" s="1"/>
      <c r="AS35" s="1"/>
      <c r="AX35" s="1"/>
      <c r="BA35" s="1"/>
      <c r="BC35" s="1"/>
      <c r="BD35" s="1"/>
      <c r="BG35" s="1"/>
      <c r="BJ35" s="1"/>
      <c r="BM35" s="1"/>
      <c r="BP35" s="1"/>
      <c r="BS35" s="1"/>
    </row>
    <row r="36" spans="1:71" x14ac:dyDescent="0.3">
      <c r="A36" s="19">
        <f t="shared" si="4"/>
        <v>45965</v>
      </c>
      <c r="B36">
        <f t="shared" ca="1" si="0"/>
        <v>0.51944444444444449</v>
      </c>
      <c r="C36" t="str">
        <f ca="1">IF(currency="USD",'Future et co'!D36,IF(currency="EUR",'Future et co'!E36,IF(currency="GBP",'Future et co'!F36,FALSE)))</f>
        <v>RFR USD</v>
      </c>
      <c r="D36" t="str">
        <f t="shared" ca="1" si="1"/>
        <v>RFR USD</v>
      </c>
      <c r="E36" t="str">
        <f t="shared" ca="1" si="2"/>
        <v>RFR EUR</v>
      </c>
      <c r="F36" t="str">
        <f t="shared" ca="1" si="3"/>
        <v>RFR GBP</v>
      </c>
      <c r="J36" s="1"/>
      <c r="N36" s="1"/>
      <c r="R36" s="1"/>
      <c r="S36" s="20"/>
      <c r="V36" s="1"/>
      <c r="AB36" s="1"/>
      <c r="AF36" s="1"/>
      <c r="AJ36" s="1"/>
      <c r="AK36" s="20"/>
      <c r="AN36" s="1"/>
      <c r="AS36" s="1"/>
      <c r="AX36" s="1"/>
      <c r="BA36" s="1"/>
      <c r="BC36" s="1"/>
      <c r="BD36" s="1"/>
      <c r="BG36" s="1"/>
      <c r="BJ36" s="1"/>
      <c r="BM36" s="1"/>
      <c r="BP36" s="1"/>
      <c r="BS36" s="1"/>
    </row>
    <row r="37" spans="1:71" x14ac:dyDescent="0.3">
      <c r="A37" s="19">
        <f t="shared" si="4"/>
        <v>45966</v>
      </c>
      <c r="B37">
        <f t="shared" ca="1" si="0"/>
        <v>0.51666666666666672</v>
      </c>
      <c r="C37" t="str">
        <f ca="1">IF(currency="USD",'Future et co'!D37,IF(currency="EUR",'Future et co'!E37,IF(currency="GBP",'Future et co'!F37,FALSE)))</f>
        <v>RFR USD</v>
      </c>
      <c r="D37" t="str">
        <f t="shared" ca="1" si="1"/>
        <v>RFR USD</v>
      </c>
      <c r="E37" t="str">
        <f t="shared" ca="1" si="2"/>
        <v>RFR EUR</v>
      </c>
      <c r="F37" t="str">
        <f t="shared" ca="1" si="3"/>
        <v>RFR GBP</v>
      </c>
      <c r="J37" s="1"/>
      <c r="N37" s="1"/>
      <c r="R37" s="1"/>
      <c r="S37" s="20"/>
      <c r="V37" s="1"/>
      <c r="AB37" s="1"/>
      <c r="AF37" s="1"/>
      <c r="AJ37" s="1"/>
      <c r="AK37" s="20"/>
      <c r="AN37" s="1"/>
      <c r="AS37" s="1"/>
      <c r="AX37" s="1"/>
      <c r="BA37" s="1"/>
      <c r="BC37" s="1"/>
      <c r="BD37" s="1"/>
      <c r="BG37" s="1"/>
      <c r="BJ37" s="1"/>
      <c r="BM37" s="1"/>
      <c r="BP37" s="1"/>
      <c r="BS37" s="1"/>
    </row>
    <row r="38" spans="1:71" x14ac:dyDescent="0.3">
      <c r="A38" s="19">
        <f t="shared" si="4"/>
        <v>45967</v>
      </c>
      <c r="B38">
        <f t="shared" ca="1" si="0"/>
        <v>0.51388888888888884</v>
      </c>
      <c r="C38" t="str">
        <f ca="1">IF(currency="USD",'Future et co'!D38,IF(currency="EUR",'Future et co'!E38,IF(currency="GBP",'Future et co'!F38,FALSE)))</f>
        <v>RFR USD</v>
      </c>
      <c r="D38" t="str">
        <f t="shared" ca="1" si="1"/>
        <v>RFR USD</v>
      </c>
      <c r="E38" t="str">
        <f t="shared" ca="1" si="2"/>
        <v>RFR EUR</v>
      </c>
      <c r="F38" t="str">
        <f t="shared" ca="1" si="3"/>
        <v>RFR GBP</v>
      </c>
      <c r="J38" s="1"/>
      <c r="N38" s="1"/>
      <c r="R38" s="1"/>
      <c r="S38" s="20"/>
      <c r="V38" s="1"/>
      <c r="AB38" s="1"/>
      <c r="AF38" s="1"/>
      <c r="AJ38" s="1"/>
      <c r="AK38" s="20"/>
      <c r="AN38" s="1"/>
      <c r="AS38" s="1"/>
      <c r="AX38" s="1"/>
      <c r="BA38" s="1"/>
      <c r="BC38" s="1"/>
      <c r="BD38" s="1"/>
      <c r="BG38" s="1"/>
      <c r="BJ38" s="1"/>
      <c r="BM38" s="1"/>
      <c r="BP38" s="1"/>
      <c r="BS38" s="1"/>
    </row>
    <row r="39" spans="1:71" x14ac:dyDescent="0.3">
      <c r="A39" s="19">
        <f t="shared" si="4"/>
        <v>45968</v>
      </c>
      <c r="B39">
        <f t="shared" ca="1" si="0"/>
        <v>0.51111111111111107</v>
      </c>
      <c r="C39" t="str">
        <f ca="1">IF(currency="USD",'Future et co'!D39,IF(currency="EUR",'Future et co'!E39,IF(currency="GBP",'Future et co'!F39,FALSE)))</f>
        <v>RFR USD</v>
      </c>
      <c r="D39" t="str">
        <f t="shared" ca="1" si="1"/>
        <v>RFR USD</v>
      </c>
      <c r="E39" t="str">
        <f t="shared" ca="1" si="2"/>
        <v>RFR EUR</v>
      </c>
      <c r="F39" t="str">
        <f t="shared" ca="1" si="3"/>
        <v>RFR GBP</v>
      </c>
      <c r="J39" s="1"/>
      <c r="N39" s="1"/>
      <c r="R39" s="1"/>
      <c r="S39" s="20"/>
      <c r="V39" s="1"/>
      <c r="AB39" s="1"/>
      <c r="AF39" s="1"/>
      <c r="AJ39" s="1"/>
      <c r="AK39" s="20"/>
      <c r="AN39" s="1"/>
      <c r="AS39" s="1"/>
      <c r="AX39" s="1"/>
      <c r="BA39" s="1"/>
      <c r="BC39" s="1"/>
      <c r="BD39" s="1"/>
      <c r="BG39" s="1"/>
      <c r="BJ39" s="1"/>
      <c r="BM39" s="1"/>
      <c r="BP39" s="1"/>
      <c r="BS39" s="1"/>
    </row>
    <row r="40" spans="1:71" x14ac:dyDescent="0.3">
      <c r="A40" s="19">
        <f t="shared" si="4"/>
        <v>45971</v>
      </c>
      <c r="B40">
        <f t="shared" ca="1" si="0"/>
        <v>0.50277777777777777</v>
      </c>
      <c r="C40" t="str">
        <f ca="1">IF(currency="USD",'Future et co'!D40,IF(currency="EUR",'Future et co'!E40,IF(currency="GBP",'Future et co'!F40,FALSE)))</f>
        <v>RFR USD</v>
      </c>
      <c r="D40" t="str">
        <f t="shared" ca="1" si="1"/>
        <v>RFR USD</v>
      </c>
      <c r="E40" t="str">
        <f t="shared" ca="1" si="2"/>
        <v>RFR EUR</v>
      </c>
      <c r="F40" t="str">
        <f t="shared" ca="1" si="3"/>
        <v>RFR GBP</v>
      </c>
      <c r="J40" s="1"/>
      <c r="N40" s="1"/>
      <c r="R40" s="1"/>
      <c r="S40" s="20"/>
      <c r="V40" s="1"/>
      <c r="AB40" s="1"/>
      <c r="AF40" s="1"/>
      <c r="AJ40" s="1"/>
      <c r="AK40" s="20"/>
      <c r="AN40" s="1"/>
      <c r="AS40" s="1"/>
      <c r="AX40" s="1"/>
      <c r="BA40" s="1"/>
      <c r="BC40" s="1"/>
      <c r="BD40" s="1"/>
      <c r="BG40" s="1"/>
      <c r="BJ40" s="1"/>
      <c r="BM40" s="1"/>
      <c r="BP40" s="1"/>
      <c r="BS40" s="1"/>
    </row>
    <row r="41" spans="1:71" x14ac:dyDescent="0.3">
      <c r="A41" s="19">
        <f t="shared" si="4"/>
        <v>45972</v>
      </c>
      <c r="B41">
        <f t="shared" ca="1" si="0"/>
        <v>0.5</v>
      </c>
      <c r="C41" t="str">
        <f ca="1">IF(currency="USD",'Future et co'!D41,IF(currency="EUR",'Future et co'!E41,IF(currency="GBP",'Future et co'!F41,FALSE)))</f>
        <v>RFR USD</v>
      </c>
      <c r="D41" t="str">
        <f t="shared" ca="1" si="1"/>
        <v>RFR USD</v>
      </c>
      <c r="E41" t="str">
        <f t="shared" ca="1" si="2"/>
        <v>RFR EUR</v>
      </c>
      <c r="F41" t="str">
        <f t="shared" ca="1" si="3"/>
        <v>RFR GBP</v>
      </c>
      <c r="J41" s="1"/>
      <c r="N41" s="1"/>
      <c r="R41" s="1"/>
      <c r="S41" s="20"/>
      <c r="V41" s="1"/>
      <c r="AB41" s="1"/>
      <c r="AF41" s="1"/>
      <c r="AJ41" s="1"/>
      <c r="AK41" s="20"/>
      <c r="AN41" s="1"/>
      <c r="AS41" s="1"/>
      <c r="AX41" s="1"/>
      <c r="BA41" s="1"/>
      <c r="BC41" s="1"/>
      <c r="BD41" s="1"/>
      <c r="BG41" s="1"/>
      <c r="BJ41" s="1"/>
      <c r="BM41" s="1"/>
      <c r="BP41" s="1"/>
      <c r="BS41" s="1"/>
    </row>
    <row r="42" spans="1:71" x14ac:dyDescent="0.3">
      <c r="A42" s="19">
        <f t="shared" si="4"/>
        <v>45973</v>
      </c>
      <c r="B42">
        <f t="shared" ca="1" si="0"/>
        <v>0.49722222222222223</v>
      </c>
      <c r="C42" t="str">
        <f ca="1">IF(currency="USD",'Future et co'!D42,IF(currency="EUR",'Future et co'!E42,IF(currency="GBP",'Future et co'!F42,FALSE)))</f>
        <v>RFR USD</v>
      </c>
      <c r="D42" t="str">
        <f t="shared" ca="1" si="1"/>
        <v>RFR USD</v>
      </c>
      <c r="E42" t="str">
        <f t="shared" ca="1" si="2"/>
        <v>RFR EUR</v>
      </c>
      <c r="F42" t="str">
        <f t="shared" ca="1" si="3"/>
        <v>RFR GBP</v>
      </c>
      <c r="J42" s="1"/>
      <c r="N42" s="1"/>
      <c r="R42" s="1"/>
      <c r="S42" s="20"/>
      <c r="V42" s="1"/>
      <c r="AB42" s="1"/>
      <c r="AF42" s="1"/>
      <c r="AJ42" s="1"/>
      <c r="AK42" s="20"/>
      <c r="AN42" s="1"/>
      <c r="AS42" s="1"/>
      <c r="AX42" s="1"/>
      <c r="BA42" s="1"/>
      <c r="BC42" s="1"/>
      <c r="BD42" s="1"/>
      <c r="BG42" s="1"/>
      <c r="BJ42" s="1"/>
      <c r="BM42" s="1"/>
      <c r="BP42" s="1"/>
      <c r="BS42" s="1"/>
    </row>
    <row r="43" spans="1:71" x14ac:dyDescent="0.3">
      <c r="A43" s="19">
        <f t="shared" si="4"/>
        <v>45974</v>
      </c>
      <c r="B43">
        <f t="shared" ca="1" si="0"/>
        <v>0.49444444444444446</v>
      </c>
      <c r="C43" t="str">
        <f ca="1">IF(currency="USD",'Future et co'!D43,IF(currency="EUR",'Future et co'!E43,IF(currency="GBP",'Future et co'!F43,FALSE)))</f>
        <v>RFR USD</v>
      </c>
      <c r="D43" t="str">
        <f t="shared" ca="1" si="1"/>
        <v>RFR USD</v>
      </c>
      <c r="E43" t="str">
        <f t="shared" ca="1" si="2"/>
        <v>RFR EUR</v>
      </c>
      <c r="F43" t="str">
        <f t="shared" ca="1" si="3"/>
        <v>RFR GBP</v>
      </c>
      <c r="J43" s="1"/>
      <c r="N43" s="1"/>
      <c r="R43" s="1"/>
      <c r="S43" s="20"/>
      <c r="V43" s="1"/>
      <c r="AB43" s="1"/>
      <c r="AF43" s="1"/>
      <c r="AJ43" s="1"/>
      <c r="AK43" s="20"/>
      <c r="AN43" s="1"/>
      <c r="AS43" s="1"/>
      <c r="AX43" s="1"/>
      <c r="BA43" s="1"/>
      <c r="BC43" s="1"/>
      <c r="BD43" s="1"/>
      <c r="BG43" s="1"/>
      <c r="BJ43" s="1"/>
      <c r="BM43" s="1"/>
      <c r="BP43" s="1"/>
      <c r="BS43" s="1"/>
    </row>
    <row r="44" spans="1:71" x14ac:dyDescent="0.3">
      <c r="A44" s="19">
        <f t="shared" si="4"/>
        <v>45975</v>
      </c>
      <c r="B44">
        <f t="shared" ca="1" si="0"/>
        <v>0.49166666666666664</v>
      </c>
      <c r="C44" t="str">
        <f ca="1">IF(currency="USD",'Future et co'!D44,IF(currency="EUR",'Future et co'!E44,IF(currency="GBP",'Future et co'!F44,FALSE)))</f>
        <v>RFR USD</v>
      </c>
      <c r="D44" t="str">
        <f t="shared" ca="1" si="1"/>
        <v>RFR USD</v>
      </c>
      <c r="E44" t="str">
        <f t="shared" ca="1" si="2"/>
        <v>RFR EUR</v>
      </c>
      <c r="F44" t="str">
        <f t="shared" ca="1" si="3"/>
        <v>RFR GBP</v>
      </c>
      <c r="J44" s="1"/>
      <c r="N44" s="1"/>
      <c r="R44" s="1"/>
      <c r="S44" s="20"/>
      <c r="V44" s="1"/>
      <c r="AB44" s="1"/>
      <c r="AF44" s="1"/>
      <c r="AJ44" s="1"/>
      <c r="AK44" s="20"/>
      <c r="AN44" s="1"/>
      <c r="AS44" s="1"/>
      <c r="AX44" s="1"/>
      <c r="BA44" s="1"/>
      <c r="BC44" s="1"/>
      <c r="BD44" s="1"/>
      <c r="BG44" s="1"/>
      <c r="BJ44" s="1"/>
      <c r="BM44" s="1"/>
      <c r="BP44" s="1"/>
      <c r="BS44" s="1"/>
    </row>
    <row r="45" spans="1:71" x14ac:dyDescent="0.3">
      <c r="A45" s="19">
        <f t="shared" si="4"/>
        <v>45978</v>
      </c>
      <c r="B45">
        <f t="shared" ca="1" si="0"/>
        <v>0.48333333333333334</v>
      </c>
      <c r="C45" t="str">
        <f ca="1">IF(currency="USD",'Future et co'!D45,IF(currency="EUR",'Future et co'!E45,IF(currency="GBP",'Future et co'!F45,FALSE)))</f>
        <v>RFR USD</v>
      </c>
      <c r="D45" t="str">
        <f t="shared" ca="1" si="1"/>
        <v>RFR USD</v>
      </c>
      <c r="E45" t="str">
        <f t="shared" ca="1" si="2"/>
        <v>RFR EUR</v>
      </c>
      <c r="F45" t="str">
        <f t="shared" ca="1" si="3"/>
        <v>RFR GBP</v>
      </c>
      <c r="J45" s="1"/>
      <c r="N45" s="1"/>
      <c r="R45" s="1"/>
      <c r="S45" s="20"/>
      <c r="V45" s="1"/>
      <c r="AB45" s="1"/>
      <c r="AF45" s="1"/>
      <c r="AJ45" s="1"/>
      <c r="AK45" s="20"/>
      <c r="AN45" s="1"/>
      <c r="AS45" s="1"/>
      <c r="AX45" s="1"/>
      <c r="BA45" s="1"/>
      <c r="BC45" s="1"/>
      <c r="BD45" s="1"/>
      <c r="BG45" s="1"/>
      <c r="BJ45" s="1"/>
      <c r="BM45" s="1"/>
      <c r="BP45" s="1"/>
      <c r="BS45" s="1"/>
    </row>
    <row r="46" spans="1:71" x14ac:dyDescent="0.3">
      <c r="A46" s="19">
        <f t="shared" si="4"/>
        <v>45979</v>
      </c>
      <c r="B46">
        <f t="shared" ca="1" si="0"/>
        <v>0.48055555555555557</v>
      </c>
      <c r="C46" t="str">
        <f ca="1">IF(currency="USD",'Future et co'!D46,IF(currency="EUR",'Future et co'!E46,IF(currency="GBP",'Future et co'!F46,FALSE)))</f>
        <v>RFR USD</v>
      </c>
      <c r="D46" t="str">
        <f t="shared" ca="1" si="1"/>
        <v>RFR USD</v>
      </c>
      <c r="E46" t="str">
        <f t="shared" ca="1" si="2"/>
        <v>RFR EUR</v>
      </c>
      <c r="F46" t="str">
        <f t="shared" ca="1" si="3"/>
        <v>RFR GBP</v>
      </c>
      <c r="J46" s="1"/>
      <c r="N46" s="1"/>
      <c r="R46" s="1"/>
      <c r="S46" s="20"/>
      <c r="V46" s="1"/>
      <c r="AB46" s="1"/>
      <c r="AF46" s="1"/>
      <c r="AJ46" s="1"/>
      <c r="AK46" s="20"/>
      <c r="AN46" s="1"/>
      <c r="AS46" s="1"/>
      <c r="AX46" s="1"/>
      <c r="BA46" s="1"/>
      <c r="BC46" s="1"/>
      <c r="BD46" s="1"/>
      <c r="BG46" s="1"/>
      <c r="BJ46" s="1"/>
      <c r="BM46" s="1"/>
      <c r="BP46" s="1"/>
      <c r="BS46" s="1"/>
    </row>
    <row r="47" spans="1:71" x14ac:dyDescent="0.3">
      <c r="A47" s="19">
        <f t="shared" si="4"/>
        <v>45980</v>
      </c>
      <c r="B47">
        <f t="shared" ca="1" si="0"/>
        <v>0.4777777777777778</v>
      </c>
      <c r="C47" t="str">
        <f ca="1">IF(currency="USD",'Future et co'!D47,IF(currency="EUR",'Future et co'!E47,IF(currency="GBP",'Future et co'!F47,FALSE)))</f>
        <v>RFR USD</v>
      </c>
      <c r="D47" t="str">
        <f t="shared" ca="1" si="1"/>
        <v>RFR USD</v>
      </c>
      <c r="E47" t="str">
        <f t="shared" ca="1" si="2"/>
        <v>RFR EUR</v>
      </c>
      <c r="F47" t="str">
        <f t="shared" ca="1" si="3"/>
        <v>RFR GBP</v>
      </c>
      <c r="J47" s="1"/>
      <c r="N47" s="1"/>
      <c r="R47" s="1"/>
      <c r="S47" s="20"/>
      <c r="V47" s="1"/>
      <c r="AB47" s="1"/>
      <c r="AF47" s="1"/>
      <c r="AJ47" s="1"/>
      <c r="AK47" s="20"/>
      <c r="AN47" s="1"/>
      <c r="AS47" s="1"/>
      <c r="AX47" s="1"/>
      <c r="BA47" s="1"/>
      <c r="BC47" s="1"/>
      <c r="BD47" s="1"/>
      <c r="BG47" s="1"/>
      <c r="BJ47" s="1"/>
      <c r="BM47" s="1"/>
      <c r="BP47" s="1"/>
      <c r="BS47" s="1"/>
    </row>
    <row r="48" spans="1:71" x14ac:dyDescent="0.3">
      <c r="A48" s="19">
        <f t="shared" si="4"/>
        <v>45981</v>
      </c>
      <c r="B48">
        <f t="shared" ca="1" si="0"/>
        <v>0.47499999999999998</v>
      </c>
      <c r="C48" t="str">
        <f ca="1">IF(currency="USD",'Future et co'!D48,IF(currency="EUR",'Future et co'!E48,IF(currency="GBP",'Future et co'!F48,FALSE)))</f>
        <v>RFR USD</v>
      </c>
      <c r="D48" t="str">
        <f t="shared" ca="1" si="1"/>
        <v>RFR USD</v>
      </c>
      <c r="E48" t="str">
        <f t="shared" ca="1" si="2"/>
        <v>RFR EUR</v>
      </c>
      <c r="F48" t="str">
        <f t="shared" ca="1" si="3"/>
        <v>RFR GBP</v>
      </c>
      <c r="J48" s="1"/>
      <c r="N48" s="1"/>
      <c r="R48" s="1"/>
      <c r="S48" s="20"/>
      <c r="V48" s="1"/>
      <c r="AB48" s="1"/>
      <c r="AF48" s="1"/>
      <c r="AJ48" s="1"/>
      <c r="AK48" s="20"/>
      <c r="AN48" s="1"/>
      <c r="AS48" s="1"/>
      <c r="AX48" s="1"/>
      <c r="BA48" s="1"/>
      <c r="BC48" s="1"/>
      <c r="BD48" s="1"/>
      <c r="BG48" s="1"/>
      <c r="BJ48" s="1"/>
      <c r="BM48" s="1"/>
      <c r="BP48" s="1"/>
      <c r="BS48" s="1"/>
    </row>
    <row r="49" spans="1:71" x14ac:dyDescent="0.3">
      <c r="A49" s="19">
        <f t="shared" si="4"/>
        <v>45982</v>
      </c>
      <c r="B49">
        <f t="shared" ca="1" si="0"/>
        <v>0.47222222222222221</v>
      </c>
      <c r="C49" t="str">
        <f ca="1">IF(currency="USD",'Future et co'!D49,IF(currency="EUR",'Future et co'!E49,IF(currency="GBP",'Future et co'!F49,FALSE)))</f>
        <v>RFR USD</v>
      </c>
      <c r="D49" t="str">
        <f t="shared" ca="1" si="1"/>
        <v>RFR USD</v>
      </c>
      <c r="E49" t="str">
        <f t="shared" ca="1" si="2"/>
        <v>RFR EUR</v>
      </c>
      <c r="F49" t="str">
        <f t="shared" ca="1" si="3"/>
        <v>RFR GBP</v>
      </c>
      <c r="J49" s="1"/>
      <c r="N49" s="1"/>
      <c r="R49" s="1"/>
      <c r="S49" s="20"/>
      <c r="V49" s="1"/>
      <c r="AB49" s="1"/>
      <c r="AF49" s="1"/>
      <c r="AJ49" s="1"/>
      <c r="AK49" s="20"/>
      <c r="AN49" s="1"/>
      <c r="AS49" s="1"/>
      <c r="AX49" s="1"/>
      <c r="BA49" s="1"/>
      <c r="BC49" s="1"/>
      <c r="BD49" s="1"/>
      <c r="BG49" s="1"/>
      <c r="BJ49" s="1"/>
      <c r="BM49" s="1"/>
      <c r="BP49" s="1"/>
      <c r="BS49" s="1"/>
    </row>
    <row r="50" spans="1:71" x14ac:dyDescent="0.3">
      <c r="A50" s="19">
        <f t="shared" si="4"/>
        <v>45985</v>
      </c>
      <c r="B50">
        <f t="shared" ca="1" si="0"/>
        <v>0.46388888888888891</v>
      </c>
      <c r="C50" t="str">
        <f ca="1">IF(currency="USD",'Future et co'!D50,IF(currency="EUR",'Future et co'!E50,IF(currency="GBP",'Future et co'!F50,FALSE)))</f>
        <v>RFR USD</v>
      </c>
      <c r="D50" t="str">
        <f t="shared" ca="1" si="1"/>
        <v>RFR USD</v>
      </c>
      <c r="E50" t="str">
        <f t="shared" ca="1" si="2"/>
        <v>RFR EUR</v>
      </c>
      <c r="F50" t="str">
        <f t="shared" ca="1" si="3"/>
        <v>RFR GBP</v>
      </c>
      <c r="J50" s="1"/>
      <c r="N50" s="1"/>
      <c r="R50" s="1"/>
      <c r="S50" s="20"/>
      <c r="V50" s="1"/>
      <c r="AB50" s="1"/>
      <c r="AF50" s="1"/>
      <c r="AJ50" s="1"/>
      <c r="AK50" s="20"/>
      <c r="AN50" s="1"/>
      <c r="AS50" s="1"/>
      <c r="AX50" s="1"/>
      <c r="BA50" s="1"/>
      <c r="BC50" s="1"/>
      <c r="BD50" s="1"/>
      <c r="BG50" s="1"/>
      <c r="BJ50" s="1"/>
      <c r="BM50" s="1"/>
      <c r="BP50" s="1"/>
      <c r="BS50" s="1"/>
    </row>
    <row r="51" spans="1:71" x14ac:dyDescent="0.3">
      <c r="A51" s="19">
        <f t="shared" si="4"/>
        <v>45986</v>
      </c>
      <c r="B51">
        <f t="shared" ca="1" si="0"/>
        <v>0.46111111111111114</v>
      </c>
      <c r="C51" t="str">
        <f ca="1">IF(currency="USD",'Future et co'!D51,IF(currency="EUR",'Future et co'!E51,IF(currency="GBP",'Future et co'!F51,FALSE)))</f>
        <v>RFR USD</v>
      </c>
      <c r="D51" t="str">
        <f t="shared" ca="1" si="1"/>
        <v>RFR USD</v>
      </c>
      <c r="E51" t="str">
        <f t="shared" ca="1" si="2"/>
        <v>RFR EUR</v>
      </c>
      <c r="F51" t="str">
        <f t="shared" ca="1" si="3"/>
        <v>RFR GBP</v>
      </c>
      <c r="J51" s="1"/>
      <c r="N51" s="1"/>
      <c r="R51" s="1"/>
      <c r="S51" s="20"/>
      <c r="V51" s="1"/>
      <c r="AB51" s="1"/>
      <c r="AF51" s="1"/>
      <c r="AJ51" s="1"/>
      <c r="AK51" s="20"/>
      <c r="AN51" s="1"/>
      <c r="AS51" s="1"/>
      <c r="AX51" s="1"/>
      <c r="BA51" s="1"/>
      <c r="BC51" s="1"/>
      <c r="BD51" s="1"/>
      <c r="BG51" s="1"/>
      <c r="BJ51" s="1"/>
      <c r="BM51" s="1"/>
      <c r="BP51" s="1"/>
      <c r="BS51" s="1"/>
    </row>
    <row r="52" spans="1:71" x14ac:dyDescent="0.3">
      <c r="A52" s="19">
        <f t="shared" si="4"/>
        <v>45987</v>
      </c>
      <c r="B52">
        <f t="shared" ca="1" si="0"/>
        <v>0.45833333333333331</v>
      </c>
      <c r="C52" t="str">
        <f ca="1">IF(currency="USD",'Future et co'!D52,IF(currency="EUR",'Future et co'!E52,IF(currency="GBP",'Future et co'!F52,FALSE)))</f>
        <v>RFR USD</v>
      </c>
      <c r="D52" t="str">
        <f t="shared" ca="1" si="1"/>
        <v>RFR USD</v>
      </c>
      <c r="E52" t="str">
        <f t="shared" ca="1" si="2"/>
        <v>RFR EUR</v>
      </c>
      <c r="F52" t="str">
        <f t="shared" ca="1" si="3"/>
        <v>RFR GBP</v>
      </c>
      <c r="J52" s="1"/>
      <c r="N52" s="1"/>
      <c r="R52" s="1"/>
      <c r="S52" s="20"/>
      <c r="V52" s="1"/>
      <c r="AB52" s="1"/>
      <c r="AF52" s="1"/>
      <c r="AJ52" s="1"/>
      <c r="AK52" s="20"/>
      <c r="AN52" s="1"/>
      <c r="AS52" s="1"/>
      <c r="AX52" s="1"/>
      <c r="BA52" s="1"/>
      <c r="BC52" s="1"/>
      <c r="BD52" s="1"/>
      <c r="BG52" s="1"/>
      <c r="BJ52" s="1"/>
      <c r="BM52" s="1"/>
      <c r="BP52" s="1"/>
      <c r="BS52" s="1"/>
    </row>
    <row r="53" spans="1:71" x14ac:dyDescent="0.3">
      <c r="A53" s="19">
        <f t="shared" si="4"/>
        <v>45988</v>
      </c>
      <c r="B53">
        <f t="shared" ca="1" si="0"/>
        <v>0.45555555555555555</v>
      </c>
      <c r="C53" t="str">
        <f ca="1">IF(currency="USD",'Future et co'!D53,IF(currency="EUR",'Future et co'!E53,IF(currency="GBP",'Future et co'!F53,FALSE)))</f>
        <v>RFR USD</v>
      </c>
      <c r="D53" t="str">
        <f t="shared" ca="1" si="1"/>
        <v>RFR USD</v>
      </c>
      <c r="E53" t="str">
        <f t="shared" ca="1" si="2"/>
        <v>RFR EUR</v>
      </c>
      <c r="F53" t="str">
        <f t="shared" ca="1" si="3"/>
        <v>RFR GBP</v>
      </c>
      <c r="J53" s="1"/>
      <c r="N53" s="1"/>
      <c r="R53" s="1"/>
      <c r="S53" s="20"/>
      <c r="V53" s="1"/>
      <c r="AB53" s="1"/>
      <c r="AF53" s="1"/>
      <c r="AJ53" s="1"/>
      <c r="AK53" s="20"/>
      <c r="AN53" s="1"/>
      <c r="AS53" s="1"/>
      <c r="AX53" s="1"/>
      <c r="BA53" s="1"/>
      <c r="BC53" s="1"/>
      <c r="BD53" s="1"/>
      <c r="BG53" s="1"/>
      <c r="BJ53" s="1"/>
      <c r="BM53" s="1"/>
      <c r="BP53" s="1"/>
      <c r="BS53" s="1"/>
    </row>
    <row r="54" spans="1:71" x14ac:dyDescent="0.3">
      <c r="A54" s="19">
        <f t="shared" si="4"/>
        <v>45989</v>
      </c>
      <c r="B54">
        <f t="shared" ca="1" si="0"/>
        <v>0.45277777777777778</v>
      </c>
      <c r="C54" t="str">
        <f ca="1">IF(currency="USD",'Future et co'!D54,IF(currency="EUR",'Future et co'!E54,IF(currency="GBP",'Future et co'!F54,FALSE)))</f>
        <v>RFR USD</v>
      </c>
      <c r="D54" t="str">
        <f t="shared" ca="1" si="1"/>
        <v>RFR USD</v>
      </c>
      <c r="E54" t="str">
        <f t="shared" ca="1" si="2"/>
        <v>RFR EUR</v>
      </c>
      <c r="F54" t="str">
        <f t="shared" ca="1" si="3"/>
        <v>RFR GBP</v>
      </c>
      <c r="J54" s="1"/>
      <c r="N54" s="1"/>
      <c r="R54" s="1"/>
      <c r="S54" s="20"/>
      <c r="V54" s="1"/>
      <c r="AB54" s="1"/>
      <c r="AF54" s="1"/>
      <c r="AJ54" s="1"/>
      <c r="AK54" s="20"/>
      <c r="AN54" s="1"/>
      <c r="AS54" s="1"/>
      <c r="AX54" s="1"/>
      <c r="BA54" s="1"/>
      <c r="BC54" s="1"/>
      <c r="BD54" s="1"/>
      <c r="BG54" s="1"/>
      <c r="BJ54" s="1"/>
      <c r="BM54" s="1"/>
      <c r="BP54" s="1"/>
      <c r="BS54" s="1"/>
    </row>
    <row r="55" spans="1:71" x14ac:dyDescent="0.3">
      <c r="A55" s="19">
        <f t="shared" si="4"/>
        <v>45992</v>
      </c>
      <c r="B55">
        <f t="shared" ca="1" si="0"/>
        <v>0.44444444444444442</v>
      </c>
      <c r="C55" t="str">
        <f ca="1">IF(currency="USD",'Future et co'!D55,IF(currency="EUR",'Future et co'!E55,IF(currency="GBP",'Future et co'!F55,FALSE)))</f>
        <v>RFR USD</v>
      </c>
      <c r="D55" t="str">
        <f t="shared" ca="1" si="1"/>
        <v>RFR USD</v>
      </c>
      <c r="E55" t="str">
        <f t="shared" ca="1" si="2"/>
        <v>RFR EUR</v>
      </c>
      <c r="F55" t="str">
        <f t="shared" ca="1" si="3"/>
        <v>RFR GBP</v>
      </c>
      <c r="J55" s="1"/>
      <c r="N55" s="1"/>
      <c r="R55" s="1"/>
      <c r="S55" s="20"/>
      <c r="V55" s="1"/>
      <c r="AB55" s="1"/>
      <c r="AF55" s="1"/>
      <c r="AJ55" s="1"/>
      <c r="AK55" s="20"/>
      <c r="AN55" s="1"/>
      <c r="AS55" s="1"/>
      <c r="AX55" s="1"/>
      <c r="BA55" s="1"/>
      <c r="BC55" s="1"/>
      <c r="BD55" s="1"/>
      <c r="BG55" s="1"/>
      <c r="BJ55" s="1"/>
      <c r="BM55" s="1"/>
      <c r="BP55" s="1"/>
      <c r="BS55" s="1"/>
    </row>
    <row r="56" spans="1:71" x14ac:dyDescent="0.3">
      <c r="A56" s="19">
        <f t="shared" si="4"/>
        <v>45993</v>
      </c>
      <c r="B56">
        <f t="shared" ca="1" si="0"/>
        <v>0.44166666666666665</v>
      </c>
      <c r="C56" t="str">
        <f ca="1">IF(currency="USD",'Future et co'!D56,IF(currency="EUR",'Future et co'!E56,IF(currency="GBP",'Future et co'!F56,FALSE)))</f>
        <v>RFR USD</v>
      </c>
      <c r="D56" t="str">
        <f t="shared" ca="1" si="1"/>
        <v>RFR USD</v>
      </c>
      <c r="E56" t="str">
        <f t="shared" ca="1" si="2"/>
        <v>RFR EUR</v>
      </c>
      <c r="F56" t="str">
        <f t="shared" ca="1" si="3"/>
        <v>RFR GBP</v>
      </c>
      <c r="J56" s="1"/>
      <c r="N56" s="1"/>
      <c r="R56" s="1"/>
      <c r="S56" s="20"/>
      <c r="V56" s="1"/>
      <c r="AB56" s="1"/>
      <c r="AF56" s="1"/>
      <c r="AJ56" s="1"/>
      <c r="AK56" s="20"/>
      <c r="AN56" s="1"/>
      <c r="AS56" s="1"/>
      <c r="AX56" s="1"/>
      <c r="BA56" s="1"/>
      <c r="BC56" s="1"/>
      <c r="BD56" s="1"/>
      <c r="BG56" s="1"/>
      <c r="BJ56" s="1"/>
      <c r="BM56" s="1"/>
      <c r="BP56" s="1"/>
      <c r="BS56" s="1"/>
    </row>
    <row r="57" spans="1:71" x14ac:dyDescent="0.3">
      <c r="A57" s="19">
        <f t="shared" si="4"/>
        <v>45994</v>
      </c>
      <c r="B57">
        <f t="shared" ca="1" si="0"/>
        <v>0.43888888888888888</v>
      </c>
      <c r="C57" t="str">
        <f ca="1">IF(currency="USD",'Future et co'!D57,IF(currency="EUR",'Future et co'!E57,IF(currency="GBP",'Future et co'!F57,FALSE)))</f>
        <v>RFR USD</v>
      </c>
      <c r="D57" t="str">
        <f t="shared" ca="1" si="1"/>
        <v>RFR USD</v>
      </c>
      <c r="E57" t="str">
        <f t="shared" ca="1" si="2"/>
        <v>RFR EUR</v>
      </c>
      <c r="F57" t="str">
        <f t="shared" ca="1" si="3"/>
        <v>RFR GBP</v>
      </c>
      <c r="J57" s="1"/>
      <c r="N57" s="1"/>
      <c r="R57" s="1"/>
      <c r="S57" s="20"/>
      <c r="V57" s="1"/>
      <c r="AB57" s="1"/>
      <c r="AF57" s="1"/>
      <c r="AJ57" s="1"/>
      <c r="AK57" s="20"/>
      <c r="AN57" s="1"/>
      <c r="AS57" s="1"/>
      <c r="AX57" s="1"/>
      <c r="BA57" s="1"/>
      <c r="BC57" s="1"/>
      <c r="BD57" s="1"/>
      <c r="BG57" s="1"/>
      <c r="BJ57" s="1"/>
      <c r="BM57" s="1"/>
      <c r="BP57" s="1"/>
      <c r="BS57" s="1"/>
    </row>
    <row r="58" spans="1:71" x14ac:dyDescent="0.3">
      <c r="A58" s="19">
        <f t="shared" si="4"/>
        <v>45995</v>
      </c>
      <c r="B58">
        <f t="shared" ca="1" si="0"/>
        <v>0.43611111111111112</v>
      </c>
      <c r="C58" t="str">
        <f ca="1">IF(currency="USD",'Future et co'!D58,IF(currency="EUR",'Future et co'!E58,IF(currency="GBP",'Future et co'!F58,FALSE)))</f>
        <v>RFR USD</v>
      </c>
      <c r="D58" t="str">
        <f t="shared" ca="1" si="1"/>
        <v>RFR USD</v>
      </c>
      <c r="E58" t="str">
        <f t="shared" ca="1" si="2"/>
        <v>RFR EUR</v>
      </c>
      <c r="F58" t="str">
        <f t="shared" ca="1" si="3"/>
        <v>RFR GBP</v>
      </c>
      <c r="J58" s="1"/>
      <c r="N58" s="1"/>
      <c r="R58" s="1"/>
      <c r="S58" s="20"/>
      <c r="V58" s="1"/>
      <c r="AB58" s="1"/>
      <c r="AF58" s="1"/>
      <c r="AJ58" s="1"/>
      <c r="AK58" s="20"/>
      <c r="AN58" s="1"/>
      <c r="AS58" s="1"/>
      <c r="AX58" s="1"/>
      <c r="BA58" s="1"/>
      <c r="BC58" s="1"/>
      <c r="BD58" s="1"/>
      <c r="BG58" s="1"/>
      <c r="BJ58" s="1"/>
      <c r="BM58" s="1"/>
      <c r="BP58" s="1"/>
      <c r="BS58" s="1"/>
    </row>
    <row r="59" spans="1:71" x14ac:dyDescent="0.3">
      <c r="A59" s="19">
        <f t="shared" si="4"/>
        <v>45996</v>
      </c>
      <c r="B59">
        <f t="shared" ca="1" si="0"/>
        <v>0.43333333333333335</v>
      </c>
      <c r="C59" t="str">
        <f ca="1">IF(currency="USD",'Future et co'!D59,IF(currency="EUR",'Future et co'!E59,IF(currency="GBP",'Future et co'!F59,FALSE)))</f>
        <v>RFR USD</v>
      </c>
      <c r="D59" t="str">
        <f t="shared" ca="1" si="1"/>
        <v>RFR USD</v>
      </c>
      <c r="E59" t="str">
        <f t="shared" ca="1" si="2"/>
        <v>RFR EUR</v>
      </c>
      <c r="F59" t="str">
        <f t="shared" ca="1" si="3"/>
        <v>RFR GBP</v>
      </c>
      <c r="J59" s="1"/>
      <c r="N59" s="1"/>
      <c r="R59" s="1"/>
      <c r="S59" s="20"/>
      <c r="V59" s="1"/>
      <c r="AB59" s="1"/>
      <c r="AF59" s="1"/>
      <c r="AJ59" s="1"/>
      <c r="AK59" s="20"/>
      <c r="AN59" s="1"/>
      <c r="AS59" s="1"/>
      <c r="AX59" s="1"/>
      <c r="BA59" s="1"/>
      <c r="BC59" s="1"/>
      <c r="BD59" s="1"/>
      <c r="BG59" s="1"/>
      <c r="BJ59" s="1"/>
      <c r="BM59" s="1"/>
      <c r="BP59" s="1"/>
      <c r="BS59" s="1"/>
    </row>
    <row r="60" spans="1:71" x14ac:dyDescent="0.3">
      <c r="A60" s="19">
        <f t="shared" si="4"/>
        <v>45999</v>
      </c>
      <c r="B60">
        <f t="shared" ca="1" si="0"/>
        <v>0.42499999999999999</v>
      </c>
      <c r="C60" t="str">
        <f ca="1">IF(currency="USD",'Future et co'!D60,IF(currency="EUR",'Future et co'!E60,IF(currency="GBP",'Future et co'!F60,FALSE)))</f>
        <v>RFR USD</v>
      </c>
      <c r="D60" t="str">
        <f t="shared" ca="1" si="1"/>
        <v>RFR USD</v>
      </c>
      <c r="E60" t="str">
        <f t="shared" ca="1" si="2"/>
        <v>RFR EUR</v>
      </c>
      <c r="F60" t="str">
        <f t="shared" ca="1" si="3"/>
        <v>RFR GBP</v>
      </c>
      <c r="J60" s="1"/>
      <c r="N60" s="1"/>
      <c r="R60" s="1"/>
      <c r="S60" s="20"/>
      <c r="V60" s="1"/>
      <c r="AB60" s="1"/>
      <c r="AF60" s="1"/>
      <c r="AJ60" s="1"/>
      <c r="AK60" s="20"/>
      <c r="AN60" s="1"/>
      <c r="AS60" s="1"/>
      <c r="AX60" s="1"/>
      <c r="BA60" s="1"/>
      <c r="BC60" s="1"/>
      <c r="BD60" s="1"/>
      <c r="BG60" s="1"/>
      <c r="BJ60" s="1"/>
      <c r="BM60" s="1"/>
      <c r="BP60" s="1"/>
      <c r="BS60" s="1"/>
    </row>
    <row r="61" spans="1:71" x14ac:dyDescent="0.3">
      <c r="A61" s="19">
        <f t="shared" si="4"/>
        <v>46000</v>
      </c>
      <c r="B61">
        <f t="shared" ca="1" si="0"/>
        <v>0.42222222222222222</v>
      </c>
      <c r="C61" t="str">
        <f ca="1">IF(currency="USD",'Future et co'!D61,IF(currency="EUR",'Future et co'!E61,IF(currency="GBP",'Future et co'!F61,FALSE)))</f>
        <v>RFR USD</v>
      </c>
      <c r="D61" t="str">
        <f t="shared" ca="1" si="1"/>
        <v>RFR USD</v>
      </c>
      <c r="E61" t="str">
        <f t="shared" ca="1" si="2"/>
        <v>RFR EUR</v>
      </c>
      <c r="F61" t="str">
        <f t="shared" ca="1" si="3"/>
        <v>RFR GBP</v>
      </c>
      <c r="J61" s="1"/>
      <c r="N61" s="1"/>
      <c r="R61" s="1"/>
      <c r="S61" s="20"/>
      <c r="V61" s="1"/>
      <c r="AB61" s="1"/>
      <c r="AF61" s="1"/>
      <c r="AJ61" s="1"/>
      <c r="AK61" s="20"/>
      <c r="AN61" s="1"/>
      <c r="AS61" s="1"/>
      <c r="AX61" s="1"/>
      <c r="BA61" s="1"/>
      <c r="BC61" s="1"/>
      <c r="BD61" s="1"/>
      <c r="BG61" s="1"/>
      <c r="BJ61" s="1"/>
      <c r="BM61" s="1"/>
      <c r="BP61" s="1"/>
      <c r="BS61" s="1"/>
    </row>
    <row r="62" spans="1:71" x14ac:dyDescent="0.3">
      <c r="A62" s="19">
        <f t="shared" si="4"/>
        <v>46001</v>
      </c>
      <c r="B62">
        <f t="shared" ca="1" si="0"/>
        <v>0.41944444444444445</v>
      </c>
      <c r="C62" t="str">
        <f ca="1">IF(currency="USD",'Future et co'!D62,IF(currency="EUR",'Future et co'!E62,IF(currency="GBP",'Future et co'!F62,FALSE)))</f>
        <v>RFR USD</v>
      </c>
      <c r="D62" t="str">
        <f t="shared" ca="1" si="1"/>
        <v>RFR USD</v>
      </c>
      <c r="E62" t="str">
        <f t="shared" ca="1" si="2"/>
        <v>RFR EUR</v>
      </c>
      <c r="F62" t="str">
        <f t="shared" ca="1" si="3"/>
        <v>RFR GBP</v>
      </c>
      <c r="J62" s="1"/>
      <c r="N62" s="1"/>
      <c r="R62" s="1"/>
      <c r="S62" s="20"/>
      <c r="V62" s="1"/>
      <c r="AB62" s="1"/>
      <c r="AF62" s="1"/>
      <c r="AJ62" s="1"/>
      <c r="AK62" s="20"/>
      <c r="AN62" s="1"/>
      <c r="AS62" s="1"/>
      <c r="AX62" s="1"/>
      <c r="BA62" s="1"/>
      <c r="BC62" s="1"/>
      <c r="BD62" s="1"/>
      <c r="BG62" s="1"/>
      <c r="BJ62" s="1"/>
      <c r="BM62" s="1"/>
      <c r="BP62" s="1"/>
      <c r="BS62" s="1"/>
    </row>
    <row r="63" spans="1:71" x14ac:dyDescent="0.3">
      <c r="A63" s="19">
        <f t="shared" si="4"/>
        <v>46002</v>
      </c>
      <c r="B63">
        <f t="shared" ca="1" si="0"/>
        <v>0.41666666666666669</v>
      </c>
      <c r="C63" t="str">
        <f ca="1">IF(currency="USD",'Future et co'!D63,IF(currency="EUR",'Future et co'!E63,IF(currency="GBP",'Future et co'!F63,FALSE)))</f>
        <v>RFR USD</v>
      </c>
      <c r="D63" t="str">
        <f t="shared" ca="1" si="1"/>
        <v>RFR USD</v>
      </c>
      <c r="E63" t="str">
        <f t="shared" ca="1" si="2"/>
        <v>RFR EUR</v>
      </c>
      <c r="F63" t="str">
        <f t="shared" ca="1" si="3"/>
        <v>RFR GBP</v>
      </c>
      <c r="J63" s="1"/>
      <c r="N63" s="1"/>
      <c r="R63" s="1"/>
      <c r="S63" s="20"/>
      <c r="V63" s="1"/>
      <c r="AB63" s="1"/>
      <c r="AF63" s="1"/>
      <c r="AJ63" s="1"/>
      <c r="AK63" s="20"/>
      <c r="AN63" s="1"/>
      <c r="AS63" s="1"/>
      <c r="AX63" s="1"/>
      <c r="BA63" s="1"/>
      <c r="BC63" s="1"/>
      <c r="BD63" s="1"/>
      <c r="BG63" s="1"/>
      <c r="BJ63" s="1"/>
      <c r="BM63" s="1"/>
      <c r="BP63" s="1"/>
      <c r="BS63" s="1"/>
    </row>
    <row r="64" spans="1:71" x14ac:dyDescent="0.3">
      <c r="A64" s="19">
        <f t="shared" si="4"/>
        <v>46003</v>
      </c>
      <c r="B64">
        <f t="shared" ca="1" si="0"/>
        <v>0.41388888888888886</v>
      </c>
      <c r="C64" t="str">
        <f ca="1">IF(currency="USD",'Future et co'!D64,IF(currency="EUR",'Future et co'!E64,IF(currency="GBP",'Future et co'!F64,FALSE)))</f>
        <v>RFR USD</v>
      </c>
      <c r="D64" t="str">
        <f t="shared" ca="1" si="1"/>
        <v>RFR USD</v>
      </c>
      <c r="E64" t="str">
        <f t="shared" ca="1" si="2"/>
        <v>RFR EUR</v>
      </c>
      <c r="F64" t="str">
        <f t="shared" ca="1" si="3"/>
        <v>RFR GBP</v>
      </c>
      <c r="J64" s="1"/>
      <c r="N64" s="1"/>
      <c r="R64" s="1"/>
      <c r="S64" s="20"/>
      <c r="V64" s="1"/>
      <c r="AB64" s="1"/>
      <c r="AF64" s="1"/>
      <c r="AJ64" s="1"/>
      <c r="AK64" s="20"/>
      <c r="AN64" s="1"/>
      <c r="AS64" s="1"/>
      <c r="AX64" s="1"/>
      <c r="BA64" s="1"/>
      <c r="BC64" s="1"/>
      <c r="BD64" s="1"/>
      <c r="BG64" s="1"/>
      <c r="BJ64" s="1"/>
      <c r="BM64" s="1"/>
      <c r="BP64" s="1"/>
      <c r="BS64" s="1"/>
    </row>
    <row r="65" spans="1:71" x14ac:dyDescent="0.3">
      <c r="A65" s="19">
        <f t="shared" si="4"/>
        <v>46006</v>
      </c>
      <c r="B65">
        <f t="shared" ca="1" si="0"/>
        <v>0.40555555555555556</v>
      </c>
      <c r="C65" t="str">
        <f ca="1">IF(currency="USD",'Future et co'!D65,IF(currency="EUR",'Future et co'!E65,IF(currency="GBP",'Future et co'!F65,FALSE)))</f>
        <v>RFR USD</v>
      </c>
      <c r="D65" t="str">
        <f t="shared" ca="1" si="1"/>
        <v>RFR USD</v>
      </c>
      <c r="E65" t="str">
        <f t="shared" ca="1" si="2"/>
        <v>RFR EUR</v>
      </c>
      <c r="F65" t="str">
        <f t="shared" ca="1" si="3"/>
        <v>RFR GBP</v>
      </c>
      <c r="J65" s="1"/>
      <c r="N65" s="1"/>
      <c r="R65" s="1"/>
      <c r="S65" s="20"/>
      <c r="V65" s="1"/>
      <c r="AB65" s="1"/>
      <c r="AF65" s="1"/>
      <c r="AJ65" s="1"/>
      <c r="AK65" s="20"/>
      <c r="AN65" s="1"/>
      <c r="AS65" s="1"/>
      <c r="AX65" s="1"/>
      <c r="BA65" s="1"/>
      <c r="BC65" s="1"/>
      <c r="BD65" s="1"/>
      <c r="BG65" s="1"/>
      <c r="BJ65" s="1"/>
      <c r="BM65" s="1"/>
      <c r="BP65" s="1"/>
      <c r="BS65" s="1"/>
    </row>
    <row r="66" spans="1:71" x14ac:dyDescent="0.3">
      <c r="A66" s="19">
        <f t="shared" si="4"/>
        <v>46007</v>
      </c>
      <c r="B66">
        <f t="shared" ca="1" si="0"/>
        <v>0.40277777777777779</v>
      </c>
      <c r="C66" t="str">
        <f ca="1">IF(currency="USD",'Future et co'!D66,IF(currency="EUR",'Future et co'!E66,IF(currency="GBP",'Future et co'!F66,FALSE)))</f>
        <v>RFR USD</v>
      </c>
      <c r="D66" t="str">
        <f t="shared" ca="1" si="1"/>
        <v>RFR USD</v>
      </c>
      <c r="E66" t="str">
        <f t="shared" ca="1" si="2"/>
        <v>RFR EUR</v>
      </c>
      <c r="F66" t="str">
        <f t="shared" ca="1" si="3"/>
        <v>RFR GBP</v>
      </c>
      <c r="J66" s="1"/>
      <c r="N66" s="1"/>
      <c r="R66" s="1"/>
      <c r="S66" s="20"/>
      <c r="V66" s="1"/>
      <c r="AB66" s="1"/>
      <c r="AF66" s="1"/>
      <c r="AJ66" s="1"/>
      <c r="AK66" s="20"/>
      <c r="AN66" s="1"/>
      <c r="AS66" s="1"/>
      <c r="AX66" s="1"/>
      <c r="BA66" s="1"/>
      <c r="BC66" s="1"/>
      <c r="BD66" s="1"/>
      <c r="BG66" s="1"/>
      <c r="BJ66" s="1"/>
      <c r="BM66" s="1"/>
      <c r="BP66" s="1"/>
      <c r="BS66" s="1"/>
    </row>
    <row r="67" spans="1:71" x14ac:dyDescent="0.3">
      <c r="A67" s="19">
        <f t="shared" si="4"/>
        <v>46008</v>
      </c>
      <c r="B67">
        <f t="shared" ca="1" si="0"/>
        <v>0.4</v>
      </c>
      <c r="C67" t="str">
        <f ca="1">IF(currency="USD",'Future et co'!D67,IF(currency="EUR",'Future et co'!E67,IF(currency="GBP",'Future et co'!F67,FALSE)))</f>
        <v>RFR USD</v>
      </c>
      <c r="D67" t="str">
        <f t="shared" ca="1" si="1"/>
        <v>RFR USD</v>
      </c>
      <c r="E67" t="str">
        <f t="shared" ca="1" si="2"/>
        <v>RFR EUR</v>
      </c>
      <c r="F67" t="str">
        <f t="shared" ca="1" si="3"/>
        <v>RFR GBP</v>
      </c>
      <c r="J67" s="1"/>
      <c r="N67" s="1"/>
      <c r="R67" s="1"/>
      <c r="S67" s="20"/>
      <c r="V67" s="1"/>
      <c r="AB67" s="1"/>
      <c r="AF67" s="1"/>
      <c r="AJ67" s="1"/>
      <c r="AK67" s="20"/>
      <c r="AN67" s="1"/>
      <c r="AS67" s="1"/>
      <c r="AX67" s="1"/>
      <c r="BA67" s="1"/>
      <c r="BC67" s="1"/>
      <c r="BD67" s="1"/>
      <c r="BG67" s="1"/>
      <c r="BJ67" s="1"/>
      <c r="BM67" s="1"/>
      <c r="BP67" s="1"/>
      <c r="BS67" s="1"/>
    </row>
    <row r="68" spans="1:71" x14ac:dyDescent="0.3">
      <c r="A68" s="19">
        <f t="shared" si="4"/>
        <v>46009</v>
      </c>
      <c r="B68">
        <f t="shared" ca="1" si="0"/>
        <v>0.3972222222222222</v>
      </c>
      <c r="C68" t="str">
        <f ca="1">IF(currency="USD",'Future et co'!D68,IF(currency="EUR",'Future et co'!E68,IF(currency="GBP",'Future et co'!F68,FALSE)))</f>
        <v>RFR USD</v>
      </c>
      <c r="D68" t="str">
        <f t="shared" ca="1" si="1"/>
        <v>RFR USD</v>
      </c>
      <c r="E68" t="str">
        <f t="shared" ca="1" si="2"/>
        <v>RFR EUR</v>
      </c>
      <c r="F68" t="str">
        <f t="shared" ca="1" si="3"/>
        <v>RFR GBP</v>
      </c>
      <c r="J68" s="1"/>
      <c r="N68" s="1"/>
      <c r="R68" s="1"/>
      <c r="S68" s="20"/>
      <c r="V68" s="1"/>
      <c r="AB68" s="1"/>
      <c r="AF68" s="1"/>
      <c r="AJ68" s="1"/>
      <c r="AK68" s="20"/>
      <c r="AN68" s="1"/>
      <c r="AS68" s="1"/>
      <c r="AX68" s="1"/>
      <c r="BA68" s="1"/>
      <c r="BC68" s="1"/>
      <c r="BD68" s="1"/>
      <c r="BG68" s="1"/>
      <c r="BJ68" s="1"/>
      <c r="BM68" s="1"/>
      <c r="BP68" s="1"/>
      <c r="BS68" s="1"/>
    </row>
    <row r="69" spans="1:71" x14ac:dyDescent="0.3">
      <c r="A69" s="19">
        <f t="shared" si="4"/>
        <v>46010</v>
      </c>
      <c r="B69">
        <f t="shared" ca="1" si="0"/>
        <v>0.39444444444444443</v>
      </c>
      <c r="C69" t="str">
        <f ca="1">IF(currency="USD",'Future et co'!D69,IF(currency="EUR",'Future et co'!E69,IF(currency="GBP",'Future et co'!F69,FALSE)))</f>
        <v>RFR USD</v>
      </c>
      <c r="D69" t="str">
        <f t="shared" ca="1" si="1"/>
        <v>RFR USD</v>
      </c>
      <c r="E69" t="str">
        <f t="shared" ca="1" si="2"/>
        <v>RFR EUR</v>
      </c>
      <c r="F69" t="str">
        <f t="shared" ca="1" si="3"/>
        <v>RFR GBP</v>
      </c>
      <c r="J69" s="1"/>
      <c r="N69" s="1"/>
      <c r="R69" s="1"/>
      <c r="S69" s="20"/>
      <c r="V69" s="1"/>
      <c r="AB69" s="1"/>
      <c r="AF69" s="1"/>
      <c r="AJ69" s="1"/>
      <c r="AK69" s="20"/>
      <c r="AN69" s="1"/>
      <c r="AS69" s="1"/>
      <c r="AX69" s="1"/>
      <c r="BA69" s="1"/>
      <c r="BC69" s="1"/>
      <c r="BD69" s="1"/>
      <c r="BG69" s="1"/>
      <c r="BJ69" s="1"/>
      <c r="BM69" s="1"/>
      <c r="BP69" s="1"/>
      <c r="BS69" s="1"/>
    </row>
    <row r="70" spans="1:71" x14ac:dyDescent="0.3">
      <c r="A70" s="19">
        <f t="shared" si="4"/>
        <v>46013</v>
      </c>
      <c r="B70">
        <f t="shared" ca="1" si="0"/>
        <v>0.38611111111111113</v>
      </c>
      <c r="C70" t="str">
        <f ca="1">IF(currency="USD",'Future et co'!D70,IF(currency="EUR",'Future et co'!E70,IF(currency="GBP",'Future et co'!F70,FALSE)))</f>
        <v>RFR USD</v>
      </c>
      <c r="D70" t="str">
        <f t="shared" ca="1" si="1"/>
        <v>RFR USD</v>
      </c>
      <c r="E70" t="str">
        <f t="shared" ca="1" si="2"/>
        <v>RFR EUR</v>
      </c>
      <c r="F70" t="str">
        <f t="shared" ca="1" si="3"/>
        <v>RFR GBP</v>
      </c>
      <c r="J70" s="1"/>
      <c r="N70" s="1"/>
      <c r="R70" s="1"/>
      <c r="S70" s="20"/>
      <c r="V70" s="1"/>
      <c r="AB70" s="1"/>
      <c r="AF70" s="1"/>
      <c r="AJ70" s="1"/>
      <c r="AK70" s="20"/>
      <c r="AN70" s="1"/>
      <c r="AS70" s="1"/>
      <c r="AX70" s="1"/>
      <c r="BA70" s="1"/>
      <c r="BC70" s="1"/>
      <c r="BD70" s="1"/>
      <c r="BG70" s="1"/>
      <c r="BJ70" s="1"/>
      <c r="BM70" s="1"/>
      <c r="BP70" s="1"/>
      <c r="BS70" s="1"/>
    </row>
    <row r="71" spans="1:71" x14ac:dyDescent="0.3">
      <c r="A71" s="19">
        <f t="shared" si="4"/>
        <v>46014</v>
      </c>
      <c r="B71">
        <f t="shared" ca="1" si="0"/>
        <v>0.38333333333333336</v>
      </c>
      <c r="C71" t="str">
        <f ca="1">IF(currency="USD",'Future et co'!D71,IF(currency="EUR",'Future et co'!E71,IF(currency="GBP",'Future et co'!F71,FALSE)))</f>
        <v>RFR USD</v>
      </c>
      <c r="D71" t="str">
        <f t="shared" ca="1" si="1"/>
        <v>RFR USD</v>
      </c>
      <c r="E71" t="str">
        <f t="shared" ca="1" si="2"/>
        <v>RFR EUR</v>
      </c>
      <c r="F71" t="str">
        <f t="shared" ca="1" si="3"/>
        <v>RFR GBP</v>
      </c>
      <c r="J71" s="1"/>
      <c r="N71" s="1"/>
      <c r="R71" s="1"/>
      <c r="S71" s="20"/>
      <c r="V71" s="1"/>
      <c r="AB71" s="1"/>
      <c r="AF71" s="1"/>
      <c r="AJ71" s="1"/>
      <c r="AK71" s="20"/>
      <c r="AN71" s="1"/>
      <c r="AS71" s="1"/>
      <c r="AX71" s="1"/>
      <c r="BA71" s="1"/>
      <c r="BC71" s="1"/>
      <c r="BD71" s="1"/>
      <c r="BG71" s="1"/>
      <c r="BJ71" s="1"/>
      <c r="BM71" s="1"/>
      <c r="BP71" s="1"/>
      <c r="BS71" s="1"/>
    </row>
    <row r="72" spans="1:71" x14ac:dyDescent="0.3">
      <c r="A72" s="19">
        <f t="shared" si="4"/>
        <v>46015</v>
      </c>
      <c r="B72">
        <f t="shared" ca="1" si="0"/>
        <v>0.38055555555555554</v>
      </c>
      <c r="C72" t="str">
        <f ca="1">IF(currency="USD",'Future et co'!D72,IF(currency="EUR",'Future et co'!E72,IF(currency="GBP",'Future et co'!F72,FALSE)))</f>
        <v>RFR USD</v>
      </c>
      <c r="D72" t="str">
        <f t="shared" ca="1" si="1"/>
        <v>RFR USD</v>
      </c>
      <c r="E72" t="str">
        <f t="shared" ca="1" si="2"/>
        <v>RFR EUR</v>
      </c>
      <c r="F72" t="str">
        <f t="shared" ca="1" si="3"/>
        <v>RFR GBP</v>
      </c>
      <c r="J72" s="1"/>
      <c r="N72" s="1"/>
      <c r="R72" s="1"/>
      <c r="S72" s="20"/>
      <c r="V72" s="1"/>
      <c r="AB72" s="1"/>
      <c r="AF72" s="1"/>
      <c r="AJ72" s="1"/>
      <c r="AK72" s="20"/>
      <c r="AN72" s="1"/>
      <c r="AS72" s="1"/>
      <c r="AX72" s="1"/>
      <c r="BA72" s="1"/>
      <c r="BC72" s="1"/>
      <c r="BD72" s="1"/>
      <c r="BG72" s="1"/>
      <c r="BJ72" s="1"/>
      <c r="BM72" s="1"/>
      <c r="BP72" s="1"/>
      <c r="BS72" s="1"/>
    </row>
    <row r="73" spans="1:71" x14ac:dyDescent="0.3">
      <c r="A73" s="19">
        <f t="shared" si="4"/>
        <v>46016</v>
      </c>
      <c r="B73">
        <f t="shared" ca="1" si="0"/>
        <v>0.37777777777777777</v>
      </c>
      <c r="C73" t="str">
        <f ca="1">IF(currency="USD",'Future et co'!D73,IF(currency="EUR",'Future et co'!E73,IF(currency="GBP",'Future et co'!F73,FALSE)))</f>
        <v>RFR USD</v>
      </c>
      <c r="D73" t="str">
        <f t="shared" ca="1" si="1"/>
        <v>RFR USD</v>
      </c>
      <c r="E73" t="str">
        <f t="shared" ca="1" si="2"/>
        <v>RFR EUR</v>
      </c>
      <c r="F73" t="str">
        <f t="shared" ca="1" si="3"/>
        <v>RFR GBP</v>
      </c>
      <c r="J73" s="1"/>
      <c r="N73" s="1"/>
      <c r="R73" s="1"/>
      <c r="S73" s="20"/>
      <c r="V73" s="1"/>
      <c r="AB73" s="1"/>
      <c r="AF73" s="1"/>
      <c r="AJ73" s="1"/>
      <c r="AK73" s="20"/>
      <c r="AN73" s="1"/>
      <c r="AS73" s="1"/>
      <c r="AX73" s="1"/>
      <c r="BA73" s="1"/>
      <c r="BC73" s="1"/>
      <c r="BD73" s="1"/>
      <c r="BG73" s="1"/>
      <c r="BJ73" s="1"/>
      <c r="BM73" s="1"/>
      <c r="BP73" s="1"/>
      <c r="BS73" s="1"/>
    </row>
    <row r="74" spans="1:71" x14ac:dyDescent="0.3">
      <c r="A74" s="19">
        <f t="shared" si="4"/>
        <v>46017</v>
      </c>
      <c r="B74">
        <f t="shared" ca="1" si="0"/>
        <v>0.375</v>
      </c>
      <c r="C74" t="str">
        <f ca="1">IF(currency="USD",'Future et co'!D74,IF(currency="EUR",'Future et co'!E74,IF(currency="GBP",'Future et co'!F74,FALSE)))</f>
        <v>RFR USD</v>
      </c>
      <c r="D74" t="str">
        <f t="shared" ca="1" si="1"/>
        <v>RFR USD</v>
      </c>
      <c r="E74" t="str">
        <f t="shared" ca="1" si="2"/>
        <v>RFR EUR</v>
      </c>
      <c r="F74" t="str">
        <f t="shared" ca="1" si="3"/>
        <v>RFR GBP</v>
      </c>
      <c r="J74" s="1"/>
      <c r="N74" s="1"/>
      <c r="R74" s="1"/>
      <c r="S74" s="20"/>
      <c r="V74" s="1"/>
      <c r="AB74" s="1"/>
      <c r="AF74" s="1"/>
      <c r="AJ74" s="1"/>
      <c r="AK74" s="20"/>
      <c r="AN74" s="1"/>
      <c r="AS74" s="1"/>
      <c r="AX74" s="1"/>
      <c r="BA74" s="1"/>
      <c r="BC74" s="1"/>
      <c r="BD74" s="1"/>
      <c r="BG74" s="1"/>
      <c r="BJ74" s="1"/>
      <c r="BM74" s="1"/>
      <c r="BP74" s="1"/>
      <c r="BS74" s="1"/>
    </row>
    <row r="75" spans="1:71" x14ac:dyDescent="0.3">
      <c r="A75" s="19">
        <f t="shared" si="4"/>
        <v>46020</v>
      </c>
      <c r="B75">
        <f t="shared" ref="B75:B138" ca="1" si="5">($B$7-A75)/360</f>
        <v>0.36666666666666664</v>
      </c>
      <c r="C75" t="str">
        <f ca="1">IF(currency="USD",'Future et co'!D75,IF(currency="EUR",'Future et co'!E75,IF(currency="GBP",'Future et co'!F75,FALSE)))</f>
        <v>RFR USD</v>
      </c>
      <c r="D75" t="str">
        <f t="shared" ref="D75:D138" ca="1" si="6">IFERROR(IF(B75&lt;0.25,VLOOKUP(A75,$J$11:$L$5325,3,FALSE),IF(AND(B75&gt;=0.25,B75&lt;0.5),VLOOKUP(A75,$N$11:$P$5325,3,FALSE),IF(AND(B75&gt;=0.5,B75&lt;1),VLOOKUP(A75,$R$11:$T$5325,3,FALSE),VLOOKUP(A75,$V$11:$X$5010,3,FALSE)))),D74)</f>
        <v>RFR USD</v>
      </c>
      <c r="E75" t="str">
        <f t="shared" ref="E75:E138" ca="1" si="7">IFERROR(IF(B75&lt;0.25,VLOOKUP(A75,$AF$11:$AH$5325,3,FALSE),IF(AND(B75&gt;=0.25,B75&lt;0.5),VLOOKUP(A75,$AJ$11:$AL$5325,3,FALSE),VLOOKUP(A75,$AN$11:$AP$5325,3,FALSE))),E74)</f>
        <v>RFR EUR</v>
      </c>
      <c r="F75" t="str">
        <f t="shared" ref="F75:F138" ca="1" si="8">IFERROR(VLOOKUP(A75,$AS$11:$AU$9999,3,FALSE),F74)</f>
        <v>RFR GBP</v>
      </c>
      <c r="J75" s="1"/>
      <c r="N75" s="1"/>
      <c r="R75" s="1"/>
      <c r="S75" s="20"/>
      <c r="V75" s="1"/>
      <c r="AB75" s="1"/>
      <c r="AF75" s="1"/>
      <c r="AJ75" s="1"/>
      <c r="AK75" s="20"/>
      <c r="AN75" s="1"/>
      <c r="AS75" s="1"/>
      <c r="AX75" s="1"/>
      <c r="BA75" s="1"/>
      <c r="BC75" s="1"/>
      <c r="BD75" s="1"/>
      <c r="BG75" s="1"/>
      <c r="BJ75" s="1"/>
      <c r="BM75" s="1"/>
      <c r="BP75" s="1"/>
      <c r="BS75" s="1"/>
    </row>
    <row r="76" spans="1:71" x14ac:dyDescent="0.3">
      <c r="A76" s="19">
        <f t="shared" si="4"/>
        <v>46021</v>
      </c>
      <c r="B76">
        <f t="shared" ca="1" si="5"/>
        <v>0.36388888888888887</v>
      </c>
      <c r="C76" t="str">
        <f ca="1">IF(currency="USD",'Future et co'!D76,IF(currency="EUR",'Future et co'!E76,IF(currency="GBP",'Future et co'!F76,FALSE)))</f>
        <v>RFR USD</v>
      </c>
      <c r="D76" t="str">
        <f t="shared" ca="1" si="6"/>
        <v>RFR USD</v>
      </c>
      <c r="E76" t="str">
        <f t="shared" ca="1" si="7"/>
        <v>RFR EUR</v>
      </c>
      <c r="F76" t="str">
        <f t="shared" ca="1" si="8"/>
        <v>RFR GBP</v>
      </c>
      <c r="J76" s="1"/>
      <c r="N76" s="1"/>
      <c r="R76" s="1"/>
      <c r="S76" s="20"/>
      <c r="V76" s="1"/>
      <c r="AB76" s="1"/>
      <c r="AF76" s="1"/>
      <c r="AJ76" s="1"/>
      <c r="AK76" s="20"/>
      <c r="AN76" s="1"/>
      <c r="AS76" s="1"/>
      <c r="AX76" s="1"/>
      <c r="BA76" s="1"/>
      <c r="BC76" s="1"/>
      <c r="BD76" s="1"/>
      <c r="BG76" s="1"/>
      <c r="BJ76" s="1"/>
      <c r="BM76" s="1"/>
      <c r="BP76" s="1"/>
      <c r="BS76" s="1"/>
    </row>
    <row r="77" spans="1:71" x14ac:dyDescent="0.3">
      <c r="A77" s="19">
        <f t="shared" ref="A77:A140" si="9">WORKDAY(A76,1)</f>
        <v>46022</v>
      </c>
      <c r="B77">
        <f t="shared" ca="1" si="5"/>
        <v>0.3611111111111111</v>
      </c>
      <c r="C77" t="str">
        <f ca="1">IF(currency="USD",'Future et co'!D77,IF(currency="EUR",'Future et co'!E77,IF(currency="GBP",'Future et co'!F77,FALSE)))</f>
        <v>RFR USD</v>
      </c>
      <c r="D77" t="str">
        <f t="shared" ca="1" si="6"/>
        <v>RFR USD</v>
      </c>
      <c r="E77" t="str">
        <f t="shared" ca="1" si="7"/>
        <v>RFR EUR</v>
      </c>
      <c r="F77" t="str">
        <f t="shared" ca="1" si="8"/>
        <v>RFR GBP</v>
      </c>
      <c r="J77" s="1"/>
      <c r="N77" s="1"/>
      <c r="R77" s="1"/>
      <c r="S77" s="20"/>
      <c r="V77" s="1"/>
      <c r="AB77" s="1"/>
      <c r="AF77" s="1"/>
      <c r="AJ77" s="1"/>
      <c r="AK77" s="20"/>
      <c r="AN77" s="1"/>
      <c r="AS77" s="1"/>
      <c r="AX77" s="1"/>
      <c r="BA77" s="1"/>
      <c r="BC77" s="1"/>
      <c r="BD77" s="1"/>
      <c r="BG77" s="1"/>
      <c r="BJ77" s="1"/>
      <c r="BM77" s="1"/>
      <c r="BP77" s="1"/>
      <c r="BS77" s="1"/>
    </row>
    <row r="78" spans="1:71" x14ac:dyDescent="0.3">
      <c r="A78" s="19">
        <f t="shared" si="9"/>
        <v>46023</v>
      </c>
      <c r="B78">
        <f t="shared" ca="1" si="5"/>
        <v>0.35833333333333334</v>
      </c>
      <c r="C78" t="str">
        <f ca="1">IF(currency="USD",'Future et co'!D78,IF(currency="EUR",'Future et co'!E78,IF(currency="GBP",'Future et co'!F78,FALSE)))</f>
        <v>RFR USD</v>
      </c>
      <c r="D78" t="str">
        <f t="shared" ca="1" si="6"/>
        <v>RFR USD</v>
      </c>
      <c r="E78" t="str">
        <f t="shared" ca="1" si="7"/>
        <v>RFR EUR</v>
      </c>
      <c r="F78" t="str">
        <f t="shared" ca="1" si="8"/>
        <v>RFR GBP</v>
      </c>
      <c r="J78" s="1"/>
      <c r="N78" s="1"/>
      <c r="R78" s="1"/>
      <c r="S78" s="20"/>
      <c r="V78" s="1"/>
      <c r="AB78" s="1"/>
      <c r="AF78" s="1"/>
      <c r="AJ78" s="1"/>
      <c r="AK78" s="20"/>
      <c r="AN78" s="1"/>
      <c r="AS78" s="1"/>
      <c r="AX78" s="1"/>
      <c r="BA78" s="1"/>
      <c r="BC78" s="1"/>
      <c r="BD78" s="1"/>
      <c r="BG78" s="1"/>
      <c r="BJ78" s="1"/>
      <c r="BM78" s="1"/>
      <c r="BP78" s="1"/>
      <c r="BS78" s="1"/>
    </row>
    <row r="79" spans="1:71" x14ac:dyDescent="0.3">
      <c r="A79" s="19">
        <f t="shared" si="9"/>
        <v>46024</v>
      </c>
      <c r="B79">
        <f t="shared" ca="1" si="5"/>
        <v>0.35555555555555557</v>
      </c>
      <c r="C79" t="str">
        <f ca="1">IF(currency="USD",'Future et co'!D79,IF(currency="EUR",'Future et co'!E79,IF(currency="GBP",'Future et co'!F79,FALSE)))</f>
        <v>RFR USD</v>
      </c>
      <c r="D79" t="str">
        <f t="shared" ca="1" si="6"/>
        <v>RFR USD</v>
      </c>
      <c r="E79" t="str">
        <f t="shared" ca="1" si="7"/>
        <v>RFR EUR</v>
      </c>
      <c r="F79" t="str">
        <f t="shared" ca="1" si="8"/>
        <v>RFR GBP</v>
      </c>
      <c r="J79" s="1"/>
      <c r="N79" s="1"/>
      <c r="R79" s="1"/>
      <c r="S79" s="20"/>
      <c r="V79" s="1"/>
      <c r="AB79" s="1"/>
      <c r="AF79" s="1"/>
      <c r="AJ79" s="1"/>
      <c r="AK79" s="20"/>
      <c r="AN79" s="1"/>
      <c r="AS79" s="1"/>
      <c r="AX79" s="1"/>
      <c r="BA79" s="1"/>
      <c r="BC79" s="1"/>
      <c r="BD79" s="1"/>
      <c r="BG79" s="1"/>
      <c r="BJ79" s="1"/>
      <c r="BM79" s="1"/>
      <c r="BP79" s="1"/>
      <c r="BS79" s="1"/>
    </row>
    <row r="80" spans="1:71" x14ac:dyDescent="0.3">
      <c r="A80" s="19">
        <f t="shared" si="9"/>
        <v>46027</v>
      </c>
      <c r="B80">
        <f t="shared" ca="1" si="5"/>
        <v>0.34722222222222221</v>
      </c>
      <c r="C80" t="str">
        <f ca="1">IF(currency="USD",'Future et co'!D80,IF(currency="EUR",'Future et co'!E80,IF(currency="GBP",'Future et co'!F80,FALSE)))</f>
        <v>RFR USD</v>
      </c>
      <c r="D80" t="str">
        <f t="shared" ca="1" si="6"/>
        <v>RFR USD</v>
      </c>
      <c r="E80" t="str">
        <f t="shared" ca="1" si="7"/>
        <v>RFR EUR</v>
      </c>
      <c r="F80" t="str">
        <f t="shared" ca="1" si="8"/>
        <v>RFR GBP</v>
      </c>
      <c r="J80" s="1"/>
      <c r="N80" s="1"/>
      <c r="R80" s="1"/>
      <c r="S80" s="20"/>
      <c r="V80" s="1"/>
      <c r="AB80" s="1"/>
      <c r="AF80" s="1"/>
      <c r="AJ80" s="1"/>
      <c r="AK80" s="20"/>
      <c r="AN80" s="1"/>
      <c r="AS80" s="1"/>
      <c r="AX80" s="1"/>
      <c r="BA80" s="1"/>
      <c r="BC80" s="1"/>
      <c r="BD80" s="1"/>
      <c r="BG80" s="1"/>
      <c r="BJ80" s="1"/>
      <c r="BM80" s="1"/>
      <c r="BP80" s="1"/>
      <c r="BS80" s="1"/>
    </row>
    <row r="81" spans="1:71" x14ac:dyDescent="0.3">
      <c r="A81" s="19">
        <f t="shared" si="9"/>
        <v>46028</v>
      </c>
      <c r="B81">
        <f t="shared" ca="1" si="5"/>
        <v>0.34444444444444444</v>
      </c>
      <c r="C81" t="str">
        <f ca="1">IF(currency="USD",'Future et co'!D81,IF(currency="EUR",'Future et co'!E81,IF(currency="GBP",'Future et co'!F81,FALSE)))</f>
        <v>RFR USD</v>
      </c>
      <c r="D81" t="str">
        <f t="shared" ca="1" si="6"/>
        <v>RFR USD</v>
      </c>
      <c r="E81" t="str">
        <f t="shared" ca="1" si="7"/>
        <v>RFR EUR</v>
      </c>
      <c r="F81" t="str">
        <f t="shared" ca="1" si="8"/>
        <v>RFR GBP</v>
      </c>
      <c r="J81" s="1"/>
      <c r="N81" s="1"/>
      <c r="R81" s="1"/>
      <c r="S81" s="20"/>
      <c r="V81" s="1"/>
      <c r="AB81" s="1"/>
      <c r="AF81" s="1"/>
      <c r="AJ81" s="1"/>
      <c r="AK81" s="20"/>
      <c r="AN81" s="1"/>
      <c r="AS81" s="1"/>
      <c r="AX81" s="1"/>
      <c r="BA81" s="1"/>
      <c r="BC81" s="1"/>
      <c r="BD81" s="1"/>
      <c r="BG81" s="1"/>
      <c r="BJ81" s="1"/>
      <c r="BM81" s="1"/>
      <c r="BP81" s="1"/>
      <c r="BS81" s="1"/>
    </row>
    <row r="82" spans="1:71" x14ac:dyDescent="0.3">
      <c r="A82" s="19">
        <f t="shared" si="9"/>
        <v>46029</v>
      </c>
      <c r="B82">
        <f t="shared" ca="1" si="5"/>
        <v>0.34166666666666667</v>
      </c>
      <c r="C82" t="str">
        <f ca="1">IF(currency="USD",'Future et co'!D82,IF(currency="EUR",'Future et co'!E82,IF(currency="GBP",'Future et co'!F82,FALSE)))</f>
        <v>RFR USD</v>
      </c>
      <c r="D82" t="str">
        <f t="shared" ca="1" si="6"/>
        <v>RFR USD</v>
      </c>
      <c r="E82" t="str">
        <f t="shared" ca="1" si="7"/>
        <v>RFR EUR</v>
      </c>
      <c r="F82" t="str">
        <f t="shared" ca="1" si="8"/>
        <v>RFR GBP</v>
      </c>
      <c r="J82" s="1"/>
      <c r="N82" s="1"/>
      <c r="R82" s="1"/>
      <c r="S82" s="20"/>
      <c r="V82" s="1"/>
      <c r="AB82" s="1"/>
      <c r="AF82" s="1"/>
      <c r="AJ82" s="1"/>
      <c r="AK82" s="20"/>
      <c r="AN82" s="1"/>
      <c r="AS82" s="1"/>
      <c r="AX82" s="1"/>
      <c r="BA82" s="1"/>
      <c r="BC82" s="1"/>
      <c r="BD82" s="1"/>
      <c r="BG82" s="1"/>
      <c r="BJ82" s="1"/>
      <c r="BM82" s="1"/>
      <c r="BP82" s="1"/>
      <c r="BS82" s="1"/>
    </row>
    <row r="83" spans="1:71" x14ac:dyDescent="0.3">
      <c r="A83" s="19">
        <f t="shared" si="9"/>
        <v>46030</v>
      </c>
      <c r="B83">
        <f t="shared" ca="1" si="5"/>
        <v>0.33888888888888891</v>
      </c>
      <c r="C83" t="str">
        <f ca="1">IF(currency="USD",'Future et co'!D83,IF(currency="EUR",'Future et co'!E83,IF(currency="GBP",'Future et co'!F83,FALSE)))</f>
        <v>RFR USD</v>
      </c>
      <c r="D83" t="str">
        <f t="shared" ca="1" si="6"/>
        <v>RFR USD</v>
      </c>
      <c r="E83" t="str">
        <f t="shared" ca="1" si="7"/>
        <v>RFR EUR</v>
      </c>
      <c r="F83" t="str">
        <f t="shared" ca="1" si="8"/>
        <v>RFR GBP</v>
      </c>
      <c r="J83" s="1"/>
      <c r="N83" s="1"/>
      <c r="R83" s="1"/>
      <c r="S83" s="20"/>
      <c r="V83" s="1"/>
      <c r="AB83" s="1"/>
      <c r="AF83" s="1"/>
      <c r="AJ83" s="1"/>
      <c r="AK83" s="20"/>
      <c r="AN83" s="1"/>
      <c r="AS83" s="1"/>
      <c r="AX83" s="1"/>
      <c r="BA83" s="1"/>
      <c r="BC83" s="1"/>
      <c r="BD83" s="1"/>
      <c r="BG83" s="1"/>
      <c r="BJ83" s="1"/>
      <c r="BM83" s="1"/>
      <c r="BP83" s="1"/>
      <c r="BS83" s="1"/>
    </row>
    <row r="84" spans="1:71" x14ac:dyDescent="0.3">
      <c r="A84" s="19">
        <f t="shared" si="9"/>
        <v>46031</v>
      </c>
      <c r="B84">
        <f t="shared" ca="1" si="5"/>
        <v>0.33611111111111114</v>
      </c>
      <c r="C84" t="str">
        <f ca="1">IF(currency="USD",'Future et co'!D84,IF(currency="EUR",'Future et co'!E84,IF(currency="GBP",'Future et co'!F84,FALSE)))</f>
        <v>RFR USD</v>
      </c>
      <c r="D84" t="str">
        <f t="shared" ca="1" si="6"/>
        <v>RFR USD</v>
      </c>
      <c r="E84" t="str">
        <f t="shared" ca="1" si="7"/>
        <v>RFR EUR</v>
      </c>
      <c r="F84" t="str">
        <f t="shared" ca="1" si="8"/>
        <v>RFR GBP</v>
      </c>
      <c r="J84" s="1"/>
      <c r="N84" s="1"/>
      <c r="R84" s="1"/>
      <c r="S84" s="20"/>
      <c r="V84" s="1"/>
      <c r="AB84" s="1"/>
      <c r="AF84" s="1"/>
      <c r="AJ84" s="1"/>
      <c r="AK84" s="20"/>
      <c r="AN84" s="1"/>
      <c r="AS84" s="1"/>
      <c r="AX84" s="1"/>
      <c r="BA84" s="1"/>
      <c r="BC84" s="1"/>
      <c r="BD84" s="1"/>
      <c r="BG84" s="1"/>
      <c r="BJ84" s="1"/>
      <c r="BM84" s="1"/>
      <c r="BP84" s="1"/>
      <c r="BS84" s="1"/>
    </row>
    <row r="85" spans="1:71" x14ac:dyDescent="0.3">
      <c r="A85" s="19">
        <f t="shared" si="9"/>
        <v>46034</v>
      </c>
      <c r="B85">
        <f t="shared" ca="1" si="5"/>
        <v>0.32777777777777778</v>
      </c>
      <c r="C85" t="str">
        <f ca="1">IF(currency="USD",'Future et co'!D85,IF(currency="EUR",'Future et co'!E85,IF(currency="GBP",'Future et co'!F85,FALSE)))</f>
        <v>RFR USD</v>
      </c>
      <c r="D85" t="str">
        <f t="shared" ca="1" si="6"/>
        <v>RFR USD</v>
      </c>
      <c r="E85" t="str">
        <f t="shared" ca="1" si="7"/>
        <v>RFR EUR</v>
      </c>
      <c r="F85" t="str">
        <f t="shared" ca="1" si="8"/>
        <v>RFR GBP</v>
      </c>
      <c r="J85" s="1"/>
      <c r="N85" s="1"/>
      <c r="R85" s="1"/>
      <c r="S85" s="20"/>
      <c r="V85" s="1"/>
      <c r="AB85" s="1"/>
      <c r="AF85" s="1"/>
      <c r="AJ85" s="1"/>
      <c r="AK85" s="20"/>
      <c r="AN85" s="1"/>
      <c r="AS85" s="1"/>
      <c r="AX85" s="1"/>
      <c r="BA85" s="1"/>
      <c r="BC85" s="1"/>
      <c r="BD85" s="1"/>
      <c r="BG85" s="1"/>
      <c r="BJ85" s="1"/>
      <c r="BM85" s="1"/>
      <c r="BP85" s="1"/>
      <c r="BS85" s="1"/>
    </row>
    <row r="86" spans="1:71" x14ac:dyDescent="0.3">
      <c r="A86" s="19">
        <f t="shared" si="9"/>
        <v>46035</v>
      </c>
      <c r="B86">
        <f t="shared" ca="1" si="5"/>
        <v>0.32500000000000001</v>
      </c>
      <c r="C86" t="str">
        <f ca="1">IF(currency="USD",'Future et co'!D86,IF(currency="EUR",'Future et co'!E86,IF(currency="GBP",'Future et co'!F86,FALSE)))</f>
        <v>RFR USD</v>
      </c>
      <c r="D86" t="str">
        <f t="shared" ca="1" si="6"/>
        <v>RFR USD</v>
      </c>
      <c r="E86" t="str">
        <f t="shared" ca="1" si="7"/>
        <v>RFR EUR</v>
      </c>
      <c r="F86" t="str">
        <f t="shared" ca="1" si="8"/>
        <v>RFR GBP</v>
      </c>
      <c r="J86" s="1"/>
      <c r="N86" s="1"/>
      <c r="R86" s="1"/>
      <c r="S86" s="20"/>
      <c r="V86" s="1"/>
      <c r="AB86" s="1"/>
      <c r="AF86" s="1"/>
      <c r="AJ86" s="1"/>
      <c r="AK86" s="20"/>
      <c r="AN86" s="1"/>
      <c r="AS86" s="1"/>
      <c r="AX86" s="1"/>
      <c r="BA86" s="1"/>
      <c r="BC86" s="1"/>
      <c r="BD86" s="1"/>
      <c r="BG86" s="1"/>
      <c r="BJ86" s="1"/>
      <c r="BM86" s="1"/>
      <c r="BP86" s="1"/>
      <c r="BS86" s="1"/>
    </row>
    <row r="87" spans="1:71" x14ac:dyDescent="0.3">
      <c r="A87" s="19">
        <f t="shared" si="9"/>
        <v>46036</v>
      </c>
      <c r="B87">
        <f t="shared" ca="1" si="5"/>
        <v>0.32222222222222224</v>
      </c>
      <c r="C87" t="str">
        <f ca="1">IF(currency="USD",'Future et co'!D87,IF(currency="EUR",'Future et co'!E87,IF(currency="GBP",'Future et co'!F87,FALSE)))</f>
        <v>RFR USD</v>
      </c>
      <c r="D87" t="str">
        <f t="shared" ca="1" si="6"/>
        <v>RFR USD</v>
      </c>
      <c r="E87" t="str">
        <f t="shared" ca="1" si="7"/>
        <v>RFR EUR</v>
      </c>
      <c r="F87" t="str">
        <f t="shared" ca="1" si="8"/>
        <v>RFR GBP</v>
      </c>
      <c r="J87" s="1"/>
      <c r="N87" s="1"/>
      <c r="R87" s="1"/>
      <c r="S87" s="20"/>
      <c r="V87" s="1"/>
      <c r="AB87" s="1"/>
      <c r="AF87" s="1"/>
      <c r="AJ87" s="1"/>
      <c r="AK87" s="20"/>
      <c r="AN87" s="1"/>
      <c r="AS87" s="1"/>
      <c r="AX87" s="1"/>
      <c r="BA87" s="1"/>
      <c r="BC87" s="1"/>
      <c r="BD87" s="1"/>
      <c r="BG87" s="1"/>
      <c r="BJ87" s="1"/>
      <c r="BM87" s="1"/>
      <c r="BP87" s="1"/>
      <c r="BS87" s="1"/>
    </row>
    <row r="88" spans="1:71" x14ac:dyDescent="0.3">
      <c r="A88" s="19">
        <f t="shared" si="9"/>
        <v>46037</v>
      </c>
      <c r="B88">
        <f t="shared" ca="1" si="5"/>
        <v>0.31944444444444442</v>
      </c>
      <c r="C88" t="str">
        <f ca="1">IF(currency="USD",'Future et co'!D88,IF(currency="EUR",'Future et co'!E88,IF(currency="GBP",'Future et co'!F88,FALSE)))</f>
        <v>RFR USD</v>
      </c>
      <c r="D88" t="str">
        <f t="shared" ca="1" si="6"/>
        <v>RFR USD</v>
      </c>
      <c r="E88" t="str">
        <f t="shared" ca="1" si="7"/>
        <v>RFR EUR</v>
      </c>
      <c r="F88" t="str">
        <f t="shared" ca="1" si="8"/>
        <v>RFR GBP</v>
      </c>
      <c r="J88" s="1"/>
      <c r="N88" s="1"/>
      <c r="R88" s="1"/>
      <c r="S88" s="20"/>
      <c r="V88" s="1"/>
      <c r="AB88" s="1"/>
      <c r="AF88" s="1"/>
      <c r="AJ88" s="1"/>
      <c r="AK88" s="20"/>
      <c r="AN88" s="1"/>
      <c r="AS88" s="1"/>
      <c r="AX88" s="1"/>
      <c r="BA88" s="1"/>
      <c r="BC88" s="1"/>
      <c r="BD88" s="1"/>
      <c r="BG88" s="1"/>
      <c r="BJ88" s="1"/>
      <c r="BM88" s="1"/>
      <c r="BP88" s="1"/>
      <c r="BS88" s="1"/>
    </row>
    <row r="89" spans="1:71" x14ac:dyDescent="0.3">
      <c r="A89" s="19">
        <f t="shared" si="9"/>
        <v>46038</v>
      </c>
      <c r="B89">
        <f t="shared" ca="1" si="5"/>
        <v>0.31666666666666665</v>
      </c>
      <c r="C89" t="str">
        <f ca="1">IF(currency="USD",'Future et co'!D89,IF(currency="EUR",'Future et co'!E89,IF(currency="GBP",'Future et co'!F89,FALSE)))</f>
        <v>RFR USD</v>
      </c>
      <c r="D89" t="str">
        <f t="shared" ca="1" si="6"/>
        <v>RFR USD</v>
      </c>
      <c r="E89" t="str">
        <f t="shared" ca="1" si="7"/>
        <v>RFR EUR</v>
      </c>
      <c r="F89" t="str">
        <f t="shared" ca="1" si="8"/>
        <v>RFR GBP</v>
      </c>
      <c r="J89" s="1"/>
      <c r="N89" s="1"/>
      <c r="R89" s="1"/>
      <c r="S89" s="20"/>
      <c r="V89" s="1"/>
      <c r="AB89" s="1"/>
      <c r="AF89" s="1"/>
      <c r="AJ89" s="1"/>
      <c r="AK89" s="20"/>
      <c r="AN89" s="1"/>
      <c r="AS89" s="1"/>
      <c r="AX89" s="1"/>
      <c r="BA89" s="1"/>
      <c r="BC89" s="1"/>
      <c r="BD89" s="1"/>
      <c r="BG89" s="1"/>
      <c r="BJ89" s="1"/>
      <c r="BM89" s="1"/>
      <c r="BP89" s="1"/>
      <c r="BS89" s="1"/>
    </row>
    <row r="90" spans="1:71" x14ac:dyDescent="0.3">
      <c r="A90" s="19">
        <f t="shared" si="9"/>
        <v>46041</v>
      </c>
      <c r="B90">
        <f t="shared" ca="1" si="5"/>
        <v>0.30833333333333335</v>
      </c>
      <c r="C90" t="str">
        <f ca="1">IF(currency="USD",'Future et co'!D90,IF(currency="EUR",'Future et co'!E90,IF(currency="GBP",'Future et co'!F90,FALSE)))</f>
        <v>RFR USD</v>
      </c>
      <c r="D90" t="str">
        <f t="shared" ca="1" si="6"/>
        <v>RFR USD</v>
      </c>
      <c r="E90" t="str">
        <f t="shared" ca="1" si="7"/>
        <v>RFR EUR</v>
      </c>
      <c r="F90" t="str">
        <f t="shared" ca="1" si="8"/>
        <v>RFR GBP</v>
      </c>
      <c r="J90" s="1"/>
      <c r="N90" s="1"/>
      <c r="R90" s="1"/>
      <c r="S90" s="20"/>
      <c r="V90" s="1"/>
      <c r="AB90" s="1"/>
      <c r="AF90" s="1"/>
      <c r="AJ90" s="1"/>
      <c r="AK90" s="20"/>
      <c r="AN90" s="1"/>
      <c r="AS90" s="1"/>
      <c r="AX90" s="1"/>
      <c r="BA90" s="1"/>
      <c r="BC90" s="1"/>
      <c r="BD90" s="1"/>
      <c r="BG90" s="1"/>
      <c r="BJ90" s="1"/>
      <c r="BM90" s="1"/>
      <c r="BP90" s="1"/>
      <c r="BS90" s="1"/>
    </row>
    <row r="91" spans="1:71" x14ac:dyDescent="0.3">
      <c r="A91" s="19">
        <f t="shared" si="9"/>
        <v>46042</v>
      </c>
      <c r="B91">
        <f t="shared" ca="1" si="5"/>
        <v>0.30555555555555558</v>
      </c>
      <c r="C91" t="str">
        <f ca="1">IF(currency="USD",'Future et co'!D91,IF(currency="EUR",'Future et co'!E91,IF(currency="GBP",'Future et co'!F91,FALSE)))</f>
        <v>RFR USD</v>
      </c>
      <c r="D91" t="str">
        <f t="shared" ca="1" si="6"/>
        <v>RFR USD</v>
      </c>
      <c r="E91" t="str">
        <f t="shared" ca="1" si="7"/>
        <v>RFR EUR</v>
      </c>
      <c r="F91" t="str">
        <f t="shared" ca="1" si="8"/>
        <v>RFR GBP</v>
      </c>
      <c r="J91" s="1"/>
      <c r="N91" s="1"/>
      <c r="R91" s="1"/>
      <c r="S91" s="20"/>
      <c r="V91" s="1"/>
      <c r="AB91" s="1"/>
      <c r="AF91" s="1"/>
      <c r="AJ91" s="1"/>
      <c r="AK91" s="20"/>
      <c r="AN91" s="1"/>
      <c r="AS91" s="1"/>
      <c r="AX91" s="1"/>
      <c r="BA91" s="1"/>
      <c r="BC91" s="1"/>
      <c r="BD91" s="1"/>
      <c r="BG91" s="1"/>
      <c r="BJ91" s="1"/>
      <c r="BM91" s="1"/>
      <c r="BP91" s="1"/>
      <c r="BS91" s="1"/>
    </row>
    <row r="92" spans="1:71" x14ac:dyDescent="0.3">
      <c r="A92" s="19">
        <f t="shared" si="9"/>
        <v>46043</v>
      </c>
      <c r="B92">
        <f t="shared" ca="1" si="5"/>
        <v>0.30277777777777776</v>
      </c>
      <c r="C92" t="str">
        <f ca="1">IF(currency="USD",'Future et co'!D92,IF(currency="EUR",'Future et co'!E92,IF(currency="GBP",'Future et co'!F92,FALSE)))</f>
        <v>RFR USD</v>
      </c>
      <c r="D92" t="str">
        <f t="shared" ca="1" si="6"/>
        <v>RFR USD</v>
      </c>
      <c r="E92" t="str">
        <f t="shared" ca="1" si="7"/>
        <v>RFR EUR</v>
      </c>
      <c r="F92" t="str">
        <f t="shared" ca="1" si="8"/>
        <v>RFR GBP</v>
      </c>
      <c r="J92" s="1"/>
      <c r="N92" s="1"/>
      <c r="R92" s="1"/>
      <c r="S92" s="20"/>
      <c r="V92" s="1"/>
      <c r="AB92" s="1"/>
      <c r="AF92" s="1"/>
      <c r="AJ92" s="1"/>
      <c r="AK92" s="20"/>
      <c r="AN92" s="1"/>
      <c r="AS92" s="1"/>
      <c r="AX92" s="1"/>
      <c r="BA92" s="1"/>
      <c r="BC92" s="1"/>
      <c r="BD92" s="1"/>
      <c r="BG92" s="1"/>
      <c r="BJ92" s="1"/>
      <c r="BM92" s="1"/>
      <c r="BP92" s="1"/>
      <c r="BS92" s="1"/>
    </row>
    <row r="93" spans="1:71" x14ac:dyDescent="0.3">
      <c r="A93" s="19">
        <f t="shared" si="9"/>
        <v>46044</v>
      </c>
      <c r="B93">
        <f t="shared" ca="1" si="5"/>
        <v>0.3</v>
      </c>
      <c r="C93" t="str">
        <f ca="1">IF(currency="USD",'Future et co'!D93,IF(currency="EUR",'Future et co'!E93,IF(currency="GBP",'Future et co'!F93,FALSE)))</f>
        <v>RFR USD</v>
      </c>
      <c r="D93" t="str">
        <f t="shared" ca="1" si="6"/>
        <v>RFR USD</v>
      </c>
      <c r="E93" t="str">
        <f t="shared" ca="1" si="7"/>
        <v>RFR EUR</v>
      </c>
      <c r="F93" t="str">
        <f t="shared" ca="1" si="8"/>
        <v>RFR GBP</v>
      </c>
      <c r="J93" s="1"/>
      <c r="N93" s="1"/>
      <c r="R93" s="1"/>
      <c r="S93" s="20"/>
      <c r="V93" s="1"/>
      <c r="AB93" s="1"/>
      <c r="AF93" s="1"/>
      <c r="AJ93" s="1"/>
      <c r="AK93" s="20"/>
      <c r="AN93" s="1"/>
      <c r="AS93" s="1"/>
      <c r="AX93" s="1"/>
      <c r="BA93" s="1"/>
      <c r="BC93" s="1"/>
      <c r="BD93" s="1"/>
      <c r="BG93" s="1"/>
      <c r="BJ93" s="1"/>
      <c r="BM93" s="1"/>
      <c r="BP93" s="1"/>
      <c r="BS93" s="1"/>
    </row>
    <row r="94" spans="1:71" x14ac:dyDescent="0.3">
      <c r="A94" s="19">
        <f t="shared" si="9"/>
        <v>46045</v>
      </c>
      <c r="B94">
        <f t="shared" ca="1" si="5"/>
        <v>0.29722222222222222</v>
      </c>
      <c r="C94" t="str">
        <f ca="1">IF(currency="USD",'Future et co'!D94,IF(currency="EUR",'Future et co'!E94,IF(currency="GBP",'Future et co'!F94,FALSE)))</f>
        <v>RFR USD</v>
      </c>
      <c r="D94" t="str">
        <f t="shared" ca="1" si="6"/>
        <v>RFR USD</v>
      </c>
      <c r="E94" t="str">
        <f t="shared" ca="1" si="7"/>
        <v>RFR EUR</v>
      </c>
      <c r="F94" t="str">
        <f t="shared" ca="1" si="8"/>
        <v>RFR GBP</v>
      </c>
      <c r="J94" s="1"/>
      <c r="N94" s="1"/>
      <c r="R94" s="1"/>
      <c r="S94" s="20"/>
      <c r="V94" s="1"/>
      <c r="AB94" s="1"/>
      <c r="AF94" s="1"/>
      <c r="AJ94" s="1"/>
      <c r="AK94" s="20"/>
      <c r="AN94" s="1"/>
      <c r="AS94" s="1"/>
      <c r="AX94" s="1"/>
      <c r="BA94" s="1"/>
      <c r="BC94" s="1"/>
      <c r="BD94" s="1"/>
      <c r="BG94" s="1"/>
      <c r="BJ94" s="1"/>
      <c r="BM94" s="1"/>
      <c r="BP94" s="1"/>
      <c r="BS94" s="1"/>
    </row>
    <row r="95" spans="1:71" x14ac:dyDescent="0.3">
      <c r="A95" s="19">
        <f t="shared" si="9"/>
        <v>46048</v>
      </c>
      <c r="B95">
        <f t="shared" ca="1" si="5"/>
        <v>0.28888888888888886</v>
      </c>
      <c r="C95" t="str">
        <f ca="1">IF(currency="USD",'Future et co'!D95,IF(currency="EUR",'Future et co'!E95,IF(currency="GBP",'Future et co'!F95,FALSE)))</f>
        <v>RFR USD</v>
      </c>
      <c r="D95" t="str">
        <f t="shared" ca="1" si="6"/>
        <v>RFR USD</v>
      </c>
      <c r="E95" t="str">
        <f t="shared" ca="1" si="7"/>
        <v>RFR EUR</v>
      </c>
      <c r="F95" t="str">
        <f t="shared" ca="1" si="8"/>
        <v>RFR GBP</v>
      </c>
      <c r="J95" s="1"/>
      <c r="N95" s="1"/>
      <c r="R95" s="1"/>
      <c r="S95" s="20"/>
      <c r="V95" s="1"/>
      <c r="AB95" s="1"/>
      <c r="AF95" s="1"/>
      <c r="AJ95" s="1"/>
      <c r="AK95" s="20"/>
      <c r="AN95" s="1"/>
      <c r="AS95" s="1"/>
      <c r="AX95" s="1"/>
      <c r="BA95" s="1"/>
      <c r="BC95" s="1"/>
      <c r="BD95" s="1"/>
      <c r="BG95" s="1"/>
      <c r="BJ95" s="1"/>
      <c r="BM95" s="1"/>
      <c r="BP95" s="1"/>
      <c r="BS95" s="1"/>
    </row>
    <row r="96" spans="1:71" x14ac:dyDescent="0.3">
      <c r="A96" s="19">
        <f t="shared" si="9"/>
        <v>46049</v>
      </c>
      <c r="B96">
        <f t="shared" ca="1" si="5"/>
        <v>0.28611111111111109</v>
      </c>
      <c r="C96" t="str">
        <f ca="1">IF(currency="USD",'Future et co'!D96,IF(currency="EUR",'Future et co'!E96,IF(currency="GBP",'Future et co'!F96,FALSE)))</f>
        <v>RFR USD</v>
      </c>
      <c r="D96" t="str">
        <f t="shared" ca="1" si="6"/>
        <v>RFR USD</v>
      </c>
      <c r="E96" t="str">
        <f t="shared" ca="1" si="7"/>
        <v>RFR EUR</v>
      </c>
      <c r="F96" t="str">
        <f t="shared" ca="1" si="8"/>
        <v>RFR GBP</v>
      </c>
      <c r="J96" s="1"/>
      <c r="N96" s="1"/>
      <c r="R96" s="1"/>
      <c r="S96" s="20"/>
      <c r="V96" s="1"/>
      <c r="AB96" s="1"/>
      <c r="AF96" s="1"/>
      <c r="AJ96" s="1"/>
      <c r="AK96" s="20"/>
      <c r="AN96" s="1"/>
      <c r="AS96" s="1"/>
      <c r="AX96" s="1"/>
      <c r="BA96" s="1"/>
      <c r="BC96" s="1"/>
      <c r="BD96" s="1"/>
      <c r="BG96" s="1"/>
      <c r="BJ96" s="1"/>
      <c r="BM96" s="1"/>
      <c r="BP96" s="1"/>
      <c r="BS96" s="1"/>
    </row>
    <row r="97" spans="1:71" x14ac:dyDescent="0.3">
      <c r="A97" s="19">
        <f t="shared" si="9"/>
        <v>46050</v>
      </c>
      <c r="B97">
        <f t="shared" ca="1" si="5"/>
        <v>0.28333333333333333</v>
      </c>
      <c r="C97" t="str">
        <f ca="1">IF(currency="USD",'Future et co'!D97,IF(currency="EUR",'Future et co'!E97,IF(currency="GBP",'Future et co'!F97,FALSE)))</f>
        <v>RFR USD</v>
      </c>
      <c r="D97" t="str">
        <f t="shared" ca="1" si="6"/>
        <v>RFR USD</v>
      </c>
      <c r="E97" t="str">
        <f t="shared" ca="1" si="7"/>
        <v>RFR EUR</v>
      </c>
      <c r="F97" t="str">
        <f t="shared" ca="1" si="8"/>
        <v>RFR GBP</v>
      </c>
      <c r="J97" s="1"/>
      <c r="N97" s="1"/>
      <c r="R97" s="1"/>
      <c r="S97" s="20"/>
      <c r="V97" s="1"/>
      <c r="AB97" s="1"/>
      <c r="AF97" s="1"/>
      <c r="AJ97" s="1"/>
      <c r="AK97" s="20"/>
      <c r="AN97" s="1"/>
      <c r="AS97" s="1"/>
      <c r="AX97" s="1"/>
      <c r="BA97" s="1"/>
      <c r="BC97" s="1"/>
      <c r="BD97" s="1"/>
      <c r="BG97" s="1"/>
      <c r="BJ97" s="1"/>
      <c r="BM97" s="1"/>
      <c r="BP97" s="1"/>
      <c r="BS97" s="1"/>
    </row>
    <row r="98" spans="1:71" x14ac:dyDescent="0.3">
      <c r="A98" s="19">
        <f t="shared" si="9"/>
        <v>46051</v>
      </c>
      <c r="B98">
        <f t="shared" ca="1" si="5"/>
        <v>0.28055555555555556</v>
      </c>
      <c r="C98" t="str">
        <f ca="1">IF(currency="USD",'Future et co'!D98,IF(currency="EUR",'Future et co'!E98,IF(currency="GBP",'Future et co'!F98,FALSE)))</f>
        <v>RFR USD</v>
      </c>
      <c r="D98" t="str">
        <f t="shared" ca="1" si="6"/>
        <v>RFR USD</v>
      </c>
      <c r="E98" t="str">
        <f t="shared" ca="1" si="7"/>
        <v>RFR EUR</v>
      </c>
      <c r="F98" t="str">
        <f t="shared" ca="1" si="8"/>
        <v>RFR GBP</v>
      </c>
      <c r="J98" s="1"/>
      <c r="N98" s="1"/>
      <c r="R98" s="1"/>
      <c r="S98" s="20"/>
      <c r="V98" s="1"/>
      <c r="AB98" s="1"/>
      <c r="AF98" s="1"/>
      <c r="AJ98" s="1"/>
      <c r="AK98" s="20"/>
      <c r="AN98" s="1"/>
      <c r="AS98" s="1"/>
      <c r="AX98" s="1"/>
      <c r="BA98" s="1"/>
      <c r="BC98" s="1"/>
      <c r="BD98" s="1"/>
      <c r="BG98" s="1"/>
      <c r="BJ98" s="1"/>
      <c r="BM98" s="1"/>
      <c r="BP98" s="1"/>
      <c r="BS98" s="1"/>
    </row>
    <row r="99" spans="1:71" x14ac:dyDescent="0.3">
      <c r="A99" s="19">
        <f t="shared" si="9"/>
        <v>46052</v>
      </c>
      <c r="B99">
        <f t="shared" ca="1" si="5"/>
        <v>0.27777777777777779</v>
      </c>
      <c r="C99" t="str">
        <f ca="1">IF(currency="USD",'Future et co'!D99,IF(currency="EUR",'Future et co'!E99,IF(currency="GBP",'Future et co'!F99,FALSE)))</f>
        <v>RFR USD</v>
      </c>
      <c r="D99" t="str">
        <f t="shared" ca="1" si="6"/>
        <v>RFR USD</v>
      </c>
      <c r="E99" t="str">
        <f t="shared" ca="1" si="7"/>
        <v>RFR EUR</v>
      </c>
      <c r="F99" t="str">
        <f t="shared" ca="1" si="8"/>
        <v>RFR GBP</v>
      </c>
      <c r="J99" s="1"/>
      <c r="N99" s="1"/>
      <c r="R99" s="1"/>
      <c r="S99" s="20"/>
      <c r="V99" s="1"/>
      <c r="AB99" s="1"/>
      <c r="AF99" s="1"/>
      <c r="AJ99" s="1"/>
      <c r="AK99" s="20"/>
      <c r="AN99" s="1"/>
      <c r="AS99" s="1"/>
      <c r="AX99" s="1"/>
      <c r="BA99" s="1"/>
      <c r="BC99" s="1"/>
      <c r="BD99" s="1"/>
      <c r="BG99" s="1"/>
      <c r="BJ99" s="1"/>
      <c r="BM99" s="1"/>
      <c r="BP99" s="1"/>
      <c r="BS99" s="1"/>
    </row>
    <row r="100" spans="1:71" x14ac:dyDescent="0.3">
      <c r="A100" s="19">
        <f t="shared" si="9"/>
        <v>46055</v>
      </c>
      <c r="B100">
        <f t="shared" ca="1" si="5"/>
        <v>0.26944444444444443</v>
      </c>
      <c r="C100" t="str">
        <f ca="1">IF(currency="USD",'Future et co'!D100,IF(currency="EUR",'Future et co'!E100,IF(currency="GBP",'Future et co'!F100,FALSE)))</f>
        <v>RFR USD</v>
      </c>
      <c r="D100" t="str">
        <f t="shared" ca="1" si="6"/>
        <v>RFR USD</v>
      </c>
      <c r="E100" t="str">
        <f t="shared" ca="1" si="7"/>
        <v>RFR EUR</v>
      </c>
      <c r="F100" t="str">
        <f t="shared" ca="1" si="8"/>
        <v>RFR GBP</v>
      </c>
      <c r="J100" s="1"/>
      <c r="N100" s="1"/>
      <c r="R100" s="1"/>
      <c r="S100" s="20"/>
      <c r="V100" s="1"/>
      <c r="AB100" s="1"/>
      <c r="AF100" s="1"/>
      <c r="AJ100" s="1"/>
      <c r="AK100" s="20"/>
      <c r="AN100" s="1"/>
      <c r="AS100" s="1"/>
      <c r="AX100" s="1"/>
      <c r="BA100" s="1"/>
      <c r="BC100" s="1"/>
      <c r="BD100" s="1"/>
      <c r="BG100" s="1"/>
      <c r="BJ100" s="1"/>
      <c r="BM100" s="1"/>
      <c r="BP100" s="1"/>
      <c r="BS100" s="1"/>
    </row>
    <row r="101" spans="1:71" x14ac:dyDescent="0.3">
      <c r="A101" s="19">
        <f t="shared" si="9"/>
        <v>46056</v>
      </c>
      <c r="B101">
        <f t="shared" ca="1" si="5"/>
        <v>0.26666666666666666</v>
      </c>
      <c r="C101" t="str">
        <f ca="1">IF(currency="USD",'Future et co'!D101,IF(currency="EUR",'Future et co'!E101,IF(currency="GBP",'Future et co'!F101,FALSE)))</f>
        <v>RFR USD</v>
      </c>
      <c r="D101" t="str">
        <f t="shared" ca="1" si="6"/>
        <v>RFR USD</v>
      </c>
      <c r="E101" t="str">
        <f t="shared" ca="1" si="7"/>
        <v>RFR EUR</v>
      </c>
      <c r="F101" t="str">
        <f t="shared" ca="1" si="8"/>
        <v>RFR GBP</v>
      </c>
      <c r="J101" s="1"/>
      <c r="N101" s="1"/>
      <c r="R101" s="1"/>
      <c r="S101" s="20"/>
      <c r="V101" s="1"/>
      <c r="AB101" s="1"/>
      <c r="AF101" s="1"/>
      <c r="AJ101" s="1"/>
      <c r="AK101" s="20"/>
      <c r="AN101" s="1"/>
      <c r="AS101" s="1"/>
      <c r="AX101" s="1"/>
      <c r="BA101" s="1"/>
      <c r="BC101" s="1"/>
      <c r="BD101" s="1"/>
      <c r="BG101" s="1"/>
      <c r="BJ101" s="1"/>
      <c r="BM101" s="1"/>
      <c r="BP101" s="1"/>
      <c r="BS101" s="1"/>
    </row>
    <row r="102" spans="1:71" x14ac:dyDescent="0.3">
      <c r="A102" s="19">
        <f t="shared" si="9"/>
        <v>46057</v>
      </c>
      <c r="B102">
        <f t="shared" ca="1" si="5"/>
        <v>0.2638888888888889</v>
      </c>
      <c r="C102" t="str">
        <f ca="1">IF(currency="USD",'Future et co'!D102,IF(currency="EUR",'Future et co'!E102,IF(currency="GBP",'Future et co'!F102,FALSE)))</f>
        <v>RFR USD</v>
      </c>
      <c r="D102" t="str">
        <f t="shared" ca="1" si="6"/>
        <v>RFR USD</v>
      </c>
      <c r="E102" t="str">
        <f t="shared" ca="1" si="7"/>
        <v>RFR EUR</v>
      </c>
      <c r="F102" t="str">
        <f t="shared" ca="1" si="8"/>
        <v>RFR GBP</v>
      </c>
      <c r="J102" s="1"/>
      <c r="N102" s="1"/>
      <c r="R102" s="1"/>
      <c r="S102" s="20"/>
      <c r="V102" s="1"/>
      <c r="AB102" s="1"/>
      <c r="AF102" s="1"/>
      <c r="AJ102" s="1"/>
      <c r="AK102" s="20"/>
      <c r="AN102" s="1"/>
      <c r="AS102" s="1"/>
      <c r="AX102" s="1"/>
      <c r="BA102" s="1"/>
      <c r="BC102" s="1"/>
      <c r="BD102" s="1"/>
      <c r="BG102" s="1"/>
      <c r="BJ102" s="1"/>
      <c r="BM102" s="1"/>
      <c r="BP102" s="1"/>
      <c r="BS102" s="1"/>
    </row>
    <row r="103" spans="1:71" x14ac:dyDescent="0.3">
      <c r="A103" s="19">
        <f t="shared" si="9"/>
        <v>46058</v>
      </c>
      <c r="B103">
        <f t="shared" ca="1" si="5"/>
        <v>0.26111111111111113</v>
      </c>
      <c r="C103" t="str">
        <f ca="1">IF(currency="USD",'Future et co'!D103,IF(currency="EUR",'Future et co'!E103,IF(currency="GBP",'Future et co'!F103,FALSE)))</f>
        <v>RFR USD</v>
      </c>
      <c r="D103" t="str">
        <f t="shared" ca="1" si="6"/>
        <v>RFR USD</v>
      </c>
      <c r="E103" t="str">
        <f t="shared" ca="1" si="7"/>
        <v>RFR EUR</v>
      </c>
      <c r="F103" t="str">
        <f t="shared" ca="1" si="8"/>
        <v>RFR GBP</v>
      </c>
      <c r="J103" s="1"/>
      <c r="N103" s="1"/>
      <c r="R103" s="1"/>
      <c r="S103" s="20"/>
      <c r="V103" s="1"/>
      <c r="AB103" s="1"/>
      <c r="AF103" s="1"/>
      <c r="AJ103" s="1"/>
      <c r="AK103" s="20"/>
      <c r="AN103" s="1"/>
      <c r="AS103" s="1"/>
      <c r="AX103" s="1"/>
      <c r="BA103" s="1"/>
      <c r="BC103" s="1"/>
      <c r="BD103" s="1"/>
      <c r="BG103" s="1"/>
      <c r="BJ103" s="1"/>
      <c r="BM103" s="1"/>
      <c r="BP103" s="1"/>
      <c r="BS103" s="1"/>
    </row>
    <row r="104" spans="1:71" x14ac:dyDescent="0.3">
      <c r="A104" s="19">
        <f t="shared" si="9"/>
        <v>46059</v>
      </c>
      <c r="B104">
        <f t="shared" ca="1" si="5"/>
        <v>0.25833333333333336</v>
      </c>
      <c r="C104" t="str">
        <f ca="1">IF(currency="USD",'Future et co'!D104,IF(currency="EUR",'Future et co'!E104,IF(currency="GBP",'Future et co'!F104,FALSE)))</f>
        <v>RFR USD</v>
      </c>
      <c r="D104" t="str">
        <f t="shared" ca="1" si="6"/>
        <v>RFR USD</v>
      </c>
      <c r="E104" t="str">
        <f t="shared" ca="1" si="7"/>
        <v>RFR EUR</v>
      </c>
      <c r="F104" t="str">
        <f t="shared" ca="1" si="8"/>
        <v>RFR GBP</v>
      </c>
      <c r="J104" s="1"/>
      <c r="N104" s="1"/>
      <c r="R104" s="1"/>
      <c r="S104" s="20"/>
      <c r="V104" s="1"/>
      <c r="AB104" s="1"/>
      <c r="AF104" s="1"/>
      <c r="AJ104" s="1"/>
      <c r="AK104" s="20"/>
      <c r="AN104" s="1"/>
      <c r="AS104" s="1"/>
      <c r="AX104" s="1"/>
      <c r="BA104" s="1"/>
      <c r="BC104" s="1"/>
      <c r="BD104" s="1"/>
      <c r="BG104" s="1"/>
      <c r="BJ104" s="1"/>
      <c r="BM104" s="1"/>
      <c r="BP104" s="1"/>
      <c r="BS104" s="1"/>
    </row>
    <row r="105" spans="1:71" x14ac:dyDescent="0.3">
      <c r="A105" s="19">
        <f t="shared" si="9"/>
        <v>46062</v>
      </c>
      <c r="B105">
        <f t="shared" ca="1" si="5"/>
        <v>0.25</v>
      </c>
      <c r="C105" t="str">
        <f ca="1">IF(currency="USD",'Future et co'!D105,IF(currency="EUR",'Future et co'!E105,IF(currency="GBP",'Future et co'!F105,FALSE)))</f>
        <v>RFR USD</v>
      </c>
      <c r="D105" t="str">
        <f t="shared" ca="1" si="6"/>
        <v>RFR USD</v>
      </c>
      <c r="E105" t="str">
        <f t="shared" ca="1" si="7"/>
        <v>RFR EUR</v>
      </c>
      <c r="F105" t="str">
        <f t="shared" ca="1" si="8"/>
        <v>RFR GBP</v>
      </c>
      <c r="J105" s="1"/>
      <c r="N105" s="1"/>
      <c r="R105" s="1"/>
      <c r="S105" s="20"/>
      <c r="V105" s="1"/>
      <c r="AB105" s="1"/>
      <c r="AF105" s="1"/>
      <c r="AJ105" s="1"/>
      <c r="AK105" s="20"/>
      <c r="AN105" s="1"/>
      <c r="AS105" s="1"/>
      <c r="AX105" s="1"/>
      <c r="BA105" s="1"/>
      <c r="BC105" s="1"/>
      <c r="BD105" s="1"/>
      <c r="BG105" s="1"/>
      <c r="BJ105" s="1"/>
      <c r="BM105" s="1"/>
      <c r="BP105" s="1"/>
      <c r="BS105" s="1"/>
    </row>
    <row r="106" spans="1:71" x14ac:dyDescent="0.3">
      <c r="A106" s="19">
        <f t="shared" si="9"/>
        <v>46063</v>
      </c>
      <c r="B106">
        <f t="shared" ca="1" si="5"/>
        <v>0.24722222222222223</v>
      </c>
      <c r="C106" t="str">
        <f ca="1">IF(currency="USD",'Future et co'!D106,IF(currency="EUR",'Future et co'!E106,IF(currency="GBP",'Future et co'!F106,FALSE)))</f>
        <v>RFR USD</v>
      </c>
      <c r="D106" t="str">
        <f t="shared" ca="1" si="6"/>
        <v>RFR USD</v>
      </c>
      <c r="E106" t="str">
        <f t="shared" ca="1" si="7"/>
        <v>RFR EUR</v>
      </c>
      <c r="F106" t="str">
        <f t="shared" ca="1" si="8"/>
        <v>RFR GBP</v>
      </c>
      <c r="J106" s="1"/>
      <c r="N106" s="1"/>
      <c r="R106" s="1"/>
      <c r="S106" s="20"/>
      <c r="V106" s="1"/>
      <c r="AB106" s="1"/>
      <c r="AF106" s="1"/>
      <c r="AJ106" s="1"/>
      <c r="AK106" s="20"/>
      <c r="AN106" s="1"/>
      <c r="AS106" s="1"/>
      <c r="AX106" s="1"/>
      <c r="BA106" s="1"/>
      <c r="BC106" s="1"/>
      <c r="BD106" s="1"/>
      <c r="BG106" s="1"/>
      <c r="BJ106" s="1"/>
      <c r="BM106" s="1"/>
      <c r="BP106" s="1"/>
      <c r="BS106" s="1"/>
    </row>
    <row r="107" spans="1:71" x14ac:dyDescent="0.3">
      <c r="A107" s="19">
        <f t="shared" si="9"/>
        <v>46064</v>
      </c>
      <c r="B107">
        <f t="shared" ca="1" si="5"/>
        <v>0.24444444444444444</v>
      </c>
      <c r="C107" t="str">
        <f ca="1">IF(currency="USD",'Future et co'!D107,IF(currency="EUR",'Future et co'!E107,IF(currency="GBP",'Future et co'!F107,FALSE)))</f>
        <v>RFR USD</v>
      </c>
      <c r="D107" t="str">
        <f t="shared" ca="1" si="6"/>
        <v>RFR USD</v>
      </c>
      <c r="E107" t="str">
        <f t="shared" ca="1" si="7"/>
        <v>RFR EUR</v>
      </c>
      <c r="F107" t="str">
        <f t="shared" ca="1" si="8"/>
        <v>RFR GBP</v>
      </c>
      <c r="J107" s="1"/>
      <c r="N107" s="1"/>
      <c r="R107" s="1"/>
      <c r="S107" s="20"/>
      <c r="V107" s="1"/>
      <c r="AB107" s="1"/>
      <c r="AF107" s="1"/>
      <c r="AJ107" s="1"/>
      <c r="AK107" s="20"/>
      <c r="AN107" s="1"/>
      <c r="AS107" s="1"/>
      <c r="AX107" s="1"/>
      <c r="BA107" s="1"/>
      <c r="BC107" s="1"/>
      <c r="BD107" s="1"/>
      <c r="BG107" s="1"/>
      <c r="BJ107" s="1"/>
      <c r="BM107" s="1"/>
      <c r="BP107" s="1"/>
      <c r="BS107" s="1"/>
    </row>
    <row r="108" spans="1:71" x14ac:dyDescent="0.3">
      <c r="A108" s="19">
        <f t="shared" si="9"/>
        <v>46065</v>
      </c>
      <c r="B108">
        <f t="shared" ca="1" si="5"/>
        <v>0.24166666666666667</v>
      </c>
      <c r="C108" t="str">
        <f ca="1">IF(currency="USD",'Future et co'!D108,IF(currency="EUR",'Future et co'!E108,IF(currency="GBP",'Future et co'!F108,FALSE)))</f>
        <v>RFR USD</v>
      </c>
      <c r="D108" t="str">
        <f t="shared" ca="1" si="6"/>
        <v>RFR USD</v>
      </c>
      <c r="E108" t="str">
        <f t="shared" ca="1" si="7"/>
        <v>RFR EUR</v>
      </c>
      <c r="F108" t="str">
        <f t="shared" ca="1" si="8"/>
        <v>RFR GBP</v>
      </c>
      <c r="J108" s="1"/>
      <c r="N108" s="1"/>
      <c r="R108" s="1"/>
      <c r="S108" s="20"/>
      <c r="V108" s="1"/>
      <c r="AB108" s="1"/>
      <c r="AF108" s="1"/>
      <c r="AJ108" s="1"/>
      <c r="AK108" s="20"/>
      <c r="AN108" s="1"/>
      <c r="AS108" s="1"/>
      <c r="AX108" s="1"/>
      <c r="BA108" s="1"/>
      <c r="BC108" s="1"/>
      <c r="BD108" s="1"/>
      <c r="BG108" s="1"/>
      <c r="BJ108" s="1"/>
      <c r="BM108" s="1"/>
      <c r="BP108" s="1"/>
      <c r="BS108" s="1"/>
    </row>
    <row r="109" spans="1:71" x14ac:dyDescent="0.3">
      <c r="A109" s="19">
        <f t="shared" si="9"/>
        <v>46066</v>
      </c>
      <c r="B109">
        <f t="shared" ca="1" si="5"/>
        <v>0.2388888888888889</v>
      </c>
      <c r="C109" t="str">
        <f ca="1">IF(currency="USD",'Future et co'!D109,IF(currency="EUR",'Future et co'!E109,IF(currency="GBP",'Future et co'!F109,FALSE)))</f>
        <v>RFR USD</v>
      </c>
      <c r="D109" t="str">
        <f t="shared" ca="1" si="6"/>
        <v>RFR USD</v>
      </c>
      <c r="E109" t="str">
        <f t="shared" ca="1" si="7"/>
        <v>RFR EUR</v>
      </c>
      <c r="F109" t="str">
        <f t="shared" ca="1" si="8"/>
        <v>RFR GBP</v>
      </c>
      <c r="J109" s="1"/>
      <c r="N109" s="1"/>
      <c r="R109" s="1"/>
      <c r="S109" s="20"/>
      <c r="V109" s="1"/>
      <c r="AB109" s="1"/>
      <c r="AF109" s="1"/>
      <c r="AJ109" s="1"/>
      <c r="AK109" s="20"/>
      <c r="AN109" s="1"/>
      <c r="AS109" s="1"/>
      <c r="AX109" s="1"/>
      <c r="BA109" s="1"/>
      <c r="BC109" s="1"/>
      <c r="BD109" s="1"/>
      <c r="BG109" s="1"/>
      <c r="BJ109" s="1"/>
      <c r="BM109" s="1"/>
      <c r="BP109" s="1"/>
      <c r="BS109" s="1"/>
    </row>
    <row r="110" spans="1:71" x14ac:dyDescent="0.3">
      <c r="A110" s="19">
        <f t="shared" si="9"/>
        <v>46069</v>
      </c>
      <c r="B110">
        <f t="shared" ca="1" si="5"/>
        <v>0.23055555555555557</v>
      </c>
      <c r="C110" t="str">
        <f ca="1">IF(currency="USD",'Future et co'!D110,IF(currency="EUR",'Future et co'!E110,IF(currency="GBP",'Future et co'!F110,FALSE)))</f>
        <v>RFR USD</v>
      </c>
      <c r="D110" t="str">
        <f t="shared" ca="1" si="6"/>
        <v>RFR USD</v>
      </c>
      <c r="E110" t="str">
        <f t="shared" ca="1" si="7"/>
        <v>RFR EUR</v>
      </c>
      <c r="F110" t="str">
        <f t="shared" ca="1" si="8"/>
        <v>RFR GBP</v>
      </c>
      <c r="J110" s="1"/>
      <c r="N110" s="1"/>
      <c r="R110" s="1"/>
      <c r="S110" s="20"/>
      <c r="V110" s="1"/>
      <c r="AB110" s="1"/>
      <c r="AF110" s="1"/>
      <c r="AJ110" s="1"/>
      <c r="AK110" s="20"/>
      <c r="AN110" s="1"/>
      <c r="AS110" s="1"/>
      <c r="AX110" s="1"/>
      <c r="BA110" s="1"/>
      <c r="BC110" s="1"/>
      <c r="BD110" s="1"/>
      <c r="BG110" s="1"/>
      <c r="BJ110" s="1"/>
      <c r="BM110" s="1"/>
      <c r="BP110" s="1"/>
      <c r="BS110" s="1"/>
    </row>
    <row r="111" spans="1:71" x14ac:dyDescent="0.3">
      <c r="A111" s="19">
        <f t="shared" si="9"/>
        <v>46070</v>
      </c>
      <c r="B111">
        <f t="shared" ca="1" si="5"/>
        <v>0.22777777777777777</v>
      </c>
      <c r="C111" t="str">
        <f ca="1">IF(currency="USD",'Future et co'!D111,IF(currency="EUR",'Future et co'!E111,IF(currency="GBP",'Future et co'!F111,FALSE)))</f>
        <v>RFR USD</v>
      </c>
      <c r="D111" t="str">
        <f t="shared" ca="1" si="6"/>
        <v>RFR USD</v>
      </c>
      <c r="E111" t="str">
        <f t="shared" ca="1" si="7"/>
        <v>RFR EUR</v>
      </c>
      <c r="F111" t="str">
        <f t="shared" ca="1" si="8"/>
        <v>RFR GBP</v>
      </c>
      <c r="J111" s="1"/>
      <c r="N111" s="1"/>
      <c r="R111" s="1"/>
      <c r="S111" s="20"/>
      <c r="V111" s="1"/>
      <c r="AB111" s="1"/>
      <c r="AF111" s="1"/>
      <c r="AJ111" s="1"/>
      <c r="AK111" s="20"/>
      <c r="AN111" s="1"/>
      <c r="AS111" s="1"/>
      <c r="AX111" s="1"/>
      <c r="BA111" s="1"/>
      <c r="BC111" s="1"/>
      <c r="BD111" s="1"/>
      <c r="BG111" s="1"/>
      <c r="BJ111" s="1"/>
      <c r="BM111" s="1"/>
      <c r="BP111" s="1"/>
      <c r="BS111" s="1"/>
    </row>
    <row r="112" spans="1:71" x14ac:dyDescent="0.3">
      <c r="A112" s="19">
        <f t="shared" si="9"/>
        <v>46071</v>
      </c>
      <c r="B112">
        <f t="shared" ca="1" si="5"/>
        <v>0.22500000000000001</v>
      </c>
      <c r="C112" t="str">
        <f ca="1">IF(currency="USD",'Future et co'!D112,IF(currency="EUR",'Future et co'!E112,IF(currency="GBP",'Future et co'!F112,FALSE)))</f>
        <v>RFR USD</v>
      </c>
      <c r="D112" t="str">
        <f t="shared" ca="1" si="6"/>
        <v>RFR USD</v>
      </c>
      <c r="E112" t="str">
        <f t="shared" ca="1" si="7"/>
        <v>RFR EUR</v>
      </c>
      <c r="F112" t="str">
        <f t="shared" ca="1" si="8"/>
        <v>RFR GBP</v>
      </c>
      <c r="J112" s="1"/>
      <c r="N112" s="1"/>
      <c r="R112" s="1"/>
      <c r="S112" s="20"/>
      <c r="V112" s="1"/>
      <c r="AB112" s="1"/>
      <c r="AF112" s="1"/>
      <c r="AJ112" s="1"/>
      <c r="AK112" s="20"/>
      <c r="AN112" s="1"/>
      <c r="AS112" s="1"/>
      <c r="AX112" s="1"/>
      <c r="BA112" s="1"/>
      <c r="BC112" s="1"/>
      <c r="BD112" s="1"/>
      <c r="BG112" s="1"/>
      <c r="BJ112" s="1"/>
      <c r="BM112" s="1"/>
      <c r="BP112" s="1"/>
      <c r="BS112" s="1"/>
    </row>
    <row r="113" spans="1:71" x14ac:dyDescent="0.3">
      <c r="A113" s="19">
        <f t="shared" si="9"/>
        <v>46072</v>
      </c>
      <c r="B113">
        <f t="shared" ca="1" si="5"/>
        <v>0.22222222222222221</v>
      </c>
      <c r="C113" t="str">
        <f ca="1">IF(currency="USD",'Future et co'!D113,IF(currency="EUR",'Future et co'!E113,IF(currency="GBP",'Future et co'!F113,FALSE)))</f>
        <v>RFR USD</v>
      </c>
      <c r="D113" t="str">
        <f t="shared" ca="1" si="6"/>
        <v>RFR USD</v>
      </c>
      <c r="E113" t="str">
        <f t="shared" ca="1" si="7"/>
        <v>RFR EUR</v>
      </c>
      <c r="F113" t="str">
        <f t="shared" ca="1" si="8"/>
        <v>RFR GBP</v>
      </c>
      <c r="J113" s="1"/>
      <c r="N113" s="1"/>
      <c r="R113" s="1"/>
      <c r="S113" s="20"/>
      <c r="V113" s="1"/>
      <c r="AB113" s="1"/>
      <c r="AF113" s="1"/>
      <c r="AJ113" s="1"/>
      <c r="AK113" s="20"/>
      <c r="AN113" s="1"/>
      <c r="AS113" s="1"/>
      <c r="AX113" s="1"/>
      <c r="BA113" s="1"/>
      <c r="BC113" s="1"/>
      <c r="BD113" s="1"/>
      <c r="BG113" s="1"/>
      <c r="BJ113" s="1"/>
      <c r="BM113" s="1"/>
      <c r="BP113" s="1"/>
      <c r="BS113" s="1"/>
    </row>
    <row r="114" spans="1:71" x14ac:dyDescent="0.3">
      <c r="A114" s="19">
        <f t="shared" si="9"/>
        <v>46073</v>
      </c>
      <c r="B114">
        <f t="shared" ca="1" si="5"/>
        <v>0.21944444444444444</v>
      </c>
      <c r="C114" t="str">
        <f ca="1">IF(currency="USD",'Future et co'!D114,IF(currency="EUR",'Future et co'!E114,IF(currency="GBP",'Future et co'!F114,FALSE)))</f>
        <v>RFR USD</v>
      </c>
      <c r="D114" t="str">
        <f t="shared" ca="1" si="6"/>
        <v>RFR USD</v>
      </c>
      <c r="E114" t="str">
        <f t="shared" ca="1" si="7"/>
        <v>RFR EUR</v>
      </c>
      <c r="F114" t="str">
        <f t="shared" ca="1" si="8"/>
        <v>RFR GBP</v>
      </c>
      <c r="J114" s="1"/>
      <c r="N114" s="1"/>
      <c r="R114" s="1"/>
      <c r="S114" s="20"/>
      <c r="V114" s="1"/>
      <c r="AB114" s="1"/>
      <c r="AF114" s="1"/>
      <c r="AJ114" s="1"/>
      <c r="AK114" s="20"/>
      <c r="AN114" s="1"/>
      <c r="AS114" s="1"/>
      <c r="AX114" s="1"/>
      <c r="BA114" s="1"/>
      <c r="BC114" s="1"/>
      <c r="BD114" s="1"/>
      <c r="BG114" s="1"/>
      <c r="BJ114" s="1"/>
      <c r="BM114" s="1"/>
      <c r="BP114" s="1"/>
      <c r="BS114" s="1"/>
    </row>
    <row r="115" spans="1:71" x14ac:dyDescent="0.3">
      <c r="A115" s="19">
        <f t="shared" si="9"/>
        <v>46076</v>
      </c>
      <c r="B115">
        <f t="shared" ca="1" si="5"/>
        <v>0.21111111111111111</v>
      </c>
      <c r="C115" t="str">
        <f ca="1">IF(currency="USD",'Future et co'!D115,IF(currency="EUR",'Future et co'!E115,IF(currency="GBP",'Future et co'!F115,FALSE)))</f>
        <v>RFR USD</v>
      </c>
      <c r="D115" t="str">
        <f t="shared" ca="1" si="6"/>
        <v>RFR USD</v>
      </c>
      <c r="E115" t="str">
        <f t="shared" ca="1" si="7"/>
        <v>RFR EUR</v>
      </c>
      <c r="F115" t="str">
        <f t="shared" ca="1" si="8"/>
        <v>RFR GBP</v>
      </c>
      <c r="J115" s="1"/>
      <c r="N115" s="1"/>
      <c r="R115" s="1"/>
      <c r="S115" s="20"/>
      <c r="V115" s="1"/>
      <c r="AB115" s="1"/>
      <c r="AF115" s="1"/>
      <c r="AJ115" s="1"/>
      <c r="AK115" s="20"/>
      <c r="AN115" s="1"/>
      <c r="AS115" s="1"/>
      <c r="AX115" s="1"/>
      <c r="BA115" s="1"/>
      <c r="BC115" s="1"/>
      <c r="BD115" s="1"/>
      <c r="BG115" s="1"/>
      <c r="BJ115" s="1"/>
      <c r="BM115" s="1"/>
      <c r="BP115" s="1"/>
      <c r="BS115" s="1"/>
    </row>
    <row r="116" spans="1:71" x14ac:dyDescent="0.3">
      <c r="A116" s="19">
        <f t="shared" si="9"/>
        <v>46077</v>
      </c>
      <c r="B116">
        <f t="shared" ca="1" si="5"/>
        <v>0.20833333333333334</v>
      </c>
      <c r="C116" t="str">
        <f ca="1">IF(currency="USD",'Future et co'!D116,IF(currency="EUR",'Future et co'!E116,IF(currency="GBP",'Future et co'!F116,FALSE)))</f>
        <v>RFR USD</v>
      </c>
      <c r="D116" t="str">
        <f t="shared" ca="1" si="6"/>
        <v>RFR USD</v>
      </c>
      <c r="E116" t="str">
        <f t="shared" ca="1" si="7"/>
        <v>RFR EUR</v>
      </c>
      <c r="F116" t="str">
        <f t="shared" ca="1" si="8"/>
        <v>RFR GBP</v>
      </c>
      <c r="J116" s="1"/>
      <c r="N116" s="1"/>
      <c r="R116" s="1"/>
      <c r="S116" s="20"/>
      <c r="V116" s="1"/>
      <c r="AB116" s="1"/>
      <c r="AF116" s="1"/>
      <c r="AJ116" s="1"/>
      <c r="AK116" s="20"/>
      <c r="AN116" s="1"/>
      <c r="AS116" s="1"/>
      <c r="AX116" s="1"/>
      <c r="BA116" s="1"/>
      <c r="BC116" s="1"/>
      <c r="BD116" s="1"/>
      <c r="BG116" s="1"/>
      <c r="BJ116" s="1"/>
      <c r="BM116" s="1"/>
      <c r="BP116" s="1"/>
      <c r="BS116" s="1"/>
    </row>
    <row r="117" spans="1:71" x14ac:dyDescent="0.3">
      <c r="A117" s="19">
        <f t="shared" si="9"/>
        <v>46078</v>
      </c>
      <c r="B117">
        <f t="shared" ca="1" si="5"/>
        <v>0.20555555555555555</v>
      </c>
      <c r="C117" t="str">
        <f ca="1">IF(currency="USD",'Future et co'!D117,IF(currency="EUR",'Future et co'!E117,IF(currency="GBP",'Future et co'!F117,FALSE)))</f>
        <v>RFR USD</v>
      </c>
      <c r="D117" t="str">
        <f t="shared" ca="1" si="6"/>
        <v>RFR USD</v>
      </c>
      <c r="E117" t="str">
        <f t="shared" ca="1" si="7"/>
        <v>RFR EUR</v>
      </c>
      <c r="F117" t="str">
        <f t="shared" ca="1" si="8"/>
        <v>RFR GBP</v>
      </c>
      <c r="J117" s="1"/>
      <c r="N117" s="1"/>
      <c r="R117" s="1"/>
      <c r="S117" s="20"/>
      <c r="V117" s="1"/>
      <c r="AB117" s="1"/>
      <c r="AF117" s="1"/>
      <c r="AJ117" s="1"/>
      <c r="AK117" s="20"/>
      <c r="AN117" s="1"/>
      <c r="AS117" s="1"/>
      <c r="AX117" s="1"/>
      <c r="BA117" s="1"/>
      <c r="BC117" s="1"/>
      <c r="BD117" s="1"/>
      <c r="BG117" s="1"/>
      <c r="BJ117" s="1"/>
      <c r="BM117" s="1"/>
      <c r="BP117" s="1"/>
      <c r="BS117" s="1"/>
    </row>
    <row r="118" spans="1:71" x14ac:dyDescent="0.3">
      <c r="A118" s="19">
        <f t="shared" si="9"/>
        <v>46079</v>
      </c>
      <c r="B118">
        <f t="shared" ca="1" si="5"/>
        <v>0.20277777777777778</v>
      </c>
      <c r="C118" t="str">
        <f ca="1">IF(currency="USD",'Future et co'!D118,IF(currency="EUR",'Future et co'!E118,IF(currency="GBP",'Future et co'!F118,FALSE)))</f>
        <v>RFR USD</v>
      </c>
      <c r="D118" t="str">
        <f t="shared" ca="1" si="6"/>
        <v>RFR USD</v>
      </c>
      <c r="E118" t="str">
        <f t="shared" ca="1" si="7"/>
        <v>RFR EUR</v>
      </c>
      <c r="F118" t="str">
        <f t="shared" ca="1" si="8"/>
        <v>RFR GBP</v>
      </c>
      <c r="J118" s="1"/>
      <c r="N118" s="1"/>
      <c r="R118" s="1"/>
      <c r="S118" s="20"/>
      <c r="V118" s="1"/>
      <c r="AB118" s="1"/>
      <c r="AF118" s="1"/>
      <c r="AJ118" s="1"/>
      <c r="AK118" s="20"/>
      <c r="AN118" s="1"/>
      <c r="AS118" s="1"/>
      <c r="AX118" s="1"/>
      <c r="BA118" s="1"/>
      <c r="BC118" s="1"/>
      <c r="BD118" s="1"/>
      <c r="BG118" s="1"/>
      <c r="BJ118" s="1"/>
      <c r="BM118" s="1"/>
      <c r="BP118" s="1"/>
      <c r="BS118" s="1"/>
    </row>
    <row r="119" spans="1:71" x14ac:dyDescent="0.3">
      <c r="A119" s="19">
        <f t="shared" si="9"/>
        <v>46080</v>
      </c>
      <c r="B119">
        <f t="shared" ca="1" si="5"/>
        <v>0.2</v>
      </c>
      <c r="C119" t="str">
        <f ca="1">IF(currency="USD",'Future et co'!D119,IF(currency="EUR",'Future et co'!E119,IF(currency="GBP",'Future et co'!F119,FALSE)))</f>
        <v>RFR USD</v>
      </c>
      <c r="D119" t="str">
        <f t="shared" ca="1" si="6"/>
        <v>RFR USD</v>
      </c>
      <c r="E119" t="str">
        <f t="shared" ca="1" si="7"/>
        <v>RFR EUR</v>
      </c>
      <c r="F119" t="str">
        <f t="shared" ca="1" si="8"/>
        <v>RFR GBP</v>
      </c>
      <c r="J119" s="1"/>
      <c r="N119" s="1"/>
      <c r="R119" s="1"/>
      <c r="S119" s="20"/>
      <c r="V119" s="1"/>
      <c r="AB119" s="1"/>
      <c r="AF119" s="1"/>
      <c r="AJ119" s="1"/>
      <c r="AK119" s="20"/>
      <c r="AN119" s="1"/>
      <c r="AS119" s="1"/>
      <c r="AX119" s="1"/>
      <c r="BA119" s="1"/>
      <c r="BC119" s="1"/>
      <c r="BD119" s="1"/>
      <c r="BG119" s="1"/>
      <c r="BJ119" s="1"/>
      <c r="BM119" s="1"/>
      <c r="BP119" s="1"/>
      <c r="BS119" s="1"/>
    </row>
    <row r="120" spans="1:71" x14ac:dyDescent="0.3">
      <c r="A120" s="19">
        <f t="shared" si="9"/>
        <v>46083</v>
      </c>
      <c r="B120">
        <f t="shared" ca="1" si="5"/>
        <v>0.19166666666666668</v>
      </c>
      <c r="C120" t="str">
        <f ca="1">IF(currency="USD",'Future et co'!D120,IF(currency="EUR",'Future et co'!E120,IF(currency="GBP",'Future et co'!F120,FALSE)))</f>
        <v>RFR USD</v>
      </c>
      <c r="D120" t="str">
        <f t="shared" ca="1" si="6"/>
        <v>RFR USD</v>
      </c>
      <c r="E120" t="str">
        <f t="shared" ca="1" si="7"/>
        <v>RFR EUR</v>
      </c>
      <c r="F120" t="str">
        <f t="shared" ca="1" si="8"/>
        <v>RFR GBP</v>
      </c>
      <c r="J120" s="1"/>
      <c r="N120" s="1"/>
      <c r="R120" s="1"/>
      <c r="S120" s="20"/>
      <c r="V120" s="1"/>
      <c r="AB120" s="1"/>
      <c r="AF120" s="1"/>
      <c r="AJ120" s="1"/>
      <c r="AK120" s="20"/>
      <c r="AN120" s="1"/>
      <c r="AS120" s="1"/>
      <c r="AX120" s="1"/>
      <c r="BA120" s="1"/>
      <c r="BC120" s="1"/>
      <c r="BD120" s="1"/>
      <c r="BG120" s="1"/>
      <c r="BJ120" s="1"/>
      <c r="BM120" s="1"/>
      <c r="BP120" s="1"/>
      <c r="BS120" s="1"/>
    </row>
    <row r="121" spans="1:71" x14ac:dyDescent="0.3">
      <c r="A121" s="19">
        <f t="shared" si="9"/>
        <v>46084</v>
      </c>
      <c r="B121">
        <f t="shared" ca="1" si="5"/>
        <v>0.18888888888888888</v>
      </c>
      <c r="C121" t="str">
        <f ca="1">IF(currency="USD",'Future et co'!D121,IF(currency="EUR",'Future et co'!E121,IF(currency="GBP",'Future et co'!F121,FALSE)))</f>
        <v>RFR USD</v>
      </c>
      <c r="D121" t="str">
        <f t="shared" ca="1" si="6"/>
        <v>RFR USD</v>
      </c>
      <c r="E121" t="str">
        <f t="shared" ca="1" si="7"/>
        <v>RFR EUR</v>
      </c>
      <c r="F121" t="str">
        <f t="shared" ca="1" si="8"/>
        <v>RFR GBP</v>
      </c>
      <c r="J121" s="1"/>
      <c r="K121" s="20"/>
      <c r="N121" s="1"/>
      <c r="O121" s="20"/>
      <c r="R121" s="1"/>
      <c r="S121" s="20"/>
      <c r="V121" s="1"/>
      <c r="AB121" s="1"/>
      <c r="AC121" s="20"/>
      <c r="AF121" s="1"/>
      <c r="AG121" s="20"/>
      <c r="AJ121" s="1"/>
      <c r="AK121" s="20"/>
      <c r="AN121" s="1"/>
      <c r="AS121" s="1"/>
      <c r="AT121" s="20"/>
      <c r="AX121" s="1"/>
      <c r="BA121" s="1"/>
      <c r="BC121" s="1"/>
      <c r="BD121" s="1"/>
      <c r="BG121" s="1"/>
      <c r="BJ121" s="1"/>
      <c r="BM121" s="1"/>
      <c r="BP121" s="1"/>
      <c r="BS121" s="1"/>
    </row>
    <row r="122" spans="1:71" x14ac:dyDescent="0.3">
      <c r="A122" s="19">
        <f t="shared" si="9"/>
        <v>46085</v>
      </c>
      <c r="B122">
        <f t="shared" ca="1" si="5"/>
        <v>0.18611111111111112</v>
      </c>
      <c r="C122" t="str">
        <f ca="1">IF(currency="USD",'Future et co'!D122,IF(currency="EUR",'Future et co'!E122,IF(currency="GBP",'Future et co'!F122,FALSE)))</f>
        <v>RFR USD</v>
      </c>
      <c r="D122" t="str">
        <f t="shared" ca="1" si="6"/>
        <v>RFR USD</v>
      </c>
      <c r="E122" t="str">
        <f t="shared" ca="1" si="7"/>
        <v>RFR EUR</v>
      </c>
      <c r="F122" t="str">
        <f t="shared" ca="1" si="8"/>
        <v>RFR GBP</v>
      </c>
      <c r="J122" s="1"/>
      <c r="K122" s="20"/>
      <c r="N122" s="1"/>
      <c r="O122" s="20"/>
      <c r="R122" s="1"/>
      <c r="S122" s="20"/>
      <c r="V122" s="1"/>
      <c r="AB122" s="1"/>
      <c r="AC122" s="20"/>
      <c r="AF122" s="1"/>
      <c r="AG122" s="20"/>
      <c r="AJ122" s="1"/>
      <c r="AK122" s="20"/>
      <c r="AN122" s="1"/>
      <c r="AS122" s="1"/>
      <c r="AT122" s="20"/>
      <c r="AX122" s="1"/>
      <c r="BA122" s="1"/>
      <c r="BC122" s="1"/>
      <c r="BD122" s="1"/>
      <c r="BG122" s="1"/>
      <c r="BJ122" s="1"/>
      <c r="BM122" s="1"/>
      <c r="BP122" s="1"/>
      <c r="BS122" s="1"/>
    </row>
    <row r="123" spans="1:71" x14ac:dyDescent="0.3">
      <c r="A123" s="19">
        <f t="shared" si="9"/>
        <v>46086</v>
      </c>
      <c r="B123">
        <f t="shared" ca="1" si="5"/>
        <v>0.18333333333333332</v>
      </c>
      <c r="C123" t="str">
        <f ca="1">IF(currency="USD",'Future et co'!D123,IF(currency="EUR",'Future et co'!E123,IF(currency="GBP",'Future et co'!F123,FALSE)))</f>
        <v>RFR USD</v>
      </c>
      <c r="D123" t="str">
        <f t="shared" ca="1" si="6"/>
        <v>RFR USD</v>
      </c>
      <c r="E123" t="str">
        <f t="shared" ca="1" si="7"/>
        <v>RFR EUR</v>
      </c>
      <c r="F123" t="str">
        <f t="shared" ca="1" si="8"/>
        <v>RFR GBP</v>
      </c>
      <c r="J123" s="1"/>
      <c r="K123" s="20"/>
      <c r="N123" s="1"/>
      <c r="O123" s="20"/>
      <c r="R123" s="1"/>
      <c r="S123" s="20"/>
      <c r="V123" s="1"/>
      <c r="AB123" s="1"/>
      <c r="AC123" s="20"/>
      <c r="AF123" s="1"/>
      <c r="AG123" s="20"/>
      <c r="AJ123" s="1"/>
      <c r="AK123" s="20"/>
      <c r="AN123" s="1"/>
      <c r="AS123" s="1"/>
      <c r="AT123" s="20"/>
      <c r="AX123" s="1"/>
      <c r="BA123" s="1"/>
      <c r="BC123" s="1"/>
      <c r="BD123" s="1"/>
      <c r="BG123" s="1"/>
      <c r="BJ123" s="1"/>
      <c r="BM123" s="1"/>
      <c r="BP123" s="1"/>
      <c r="BS123" s="1"/>
    </row>
    <row r="124" spans="1:71" x14ac:dyDescent="0.3">
      <c r="A124" s="19">
        <f t="shared" si="9"/>
        <v>46087</v>
      </c>
      <c r="B124">
        <f t="shared" ca="1" si="5"/>
        <v>0.18055555555555555</v>
      </c>
      <c r="C124" t="str">
        <f ca="1">IF(currency="USD",'Future et co'!D124,IF(currency="EUR",'Future et co'!E124,IF(currency="GBP",'Future et co'!F124,FALSE)))</f>
        <v>RFR USD</v>
      </c>
      <c r="D124" t="str">
        <f t="shared" ca="1" si="6"/>
        <v>RFR USD</v>
      </c>
      <c r="E124" t="str">
        <f t="shared" ca="1" si="7"/>
        <v>RFR EUR</v>
      </c>
      <c r="F124" t="str">
        <f t="shared" ca="1" si="8"/>
        <v>RFR GBP</v>
      </c>
      <c r="J124" s="1"/>
      <c r="K124" s="20"/>
      <c r="N124" s="1"/>
      <c r="O124" s="20"/>
      <c r="R124" s="1"/>
      <c r="S124" s="20"/>
      <c r="V124" s="1"/>
      <c r="AB124" s="1"/>
      <c r="AC124" s="20"/>
      <c r="AF124" s="1"/>
      <c r="AG124" s="20"/>
      <c r="AJ124" s="1"/>
      <c r="AK124" s="20"/>
      <c r="AN124" s="1"/>
      <c r="AS124" s="1"/>
      <c r="AT124" s="20"/>
      <c r="AX124" s="1"/>
      <c r="BA124" s="1"/>
      <c r="BC124" s="1"/>
      <c r="BD124" s="1"/>
      <c r="BG124" s="1"/>
      <c r="BJ124" s="1"/>
      <c r="BM124" s="1"/>
      <c r="BP124" s="1"/>
      <c r="BS124" s="1"/>
    </row>
    <row r="125" spans="1:71" x14ac:dyDescent="0.3">
      <c r="A125" s="19">
        <f t="shared" si="9"/>
        <v>46090</v>
      </c>
      <c r="B125">
        <f t="shared" ca="1" si="5"/>
        <v>0.17222222222222222</v>
      </c>
      <c r="C125" t="str">
        <f ca="1">IF(currency="USD",'Future et co'!D125,IF(currency="EUR",'Future et co'!E125,IF(currency="GBP",'Future et co'!F125,FALSE)))</f>
        <v>RFR USD</v>
      </c>
      <c r="D125" t="str">
        <f t="shared" ca="1" si="6"/>
        <v>RFR USD</v>
      </c>
      <c r="E125" t="str">
        <f t="shared" ca="1" si="7"/>
        <v>RFR EUR</v>
      </c>
      <c r="F125" t="str">
        <f t="shared" ca="1" si="8"/>
        <v>RFR GBP</v>
      </c>
      <c r="J125" s="1"/>
      <c r="K125" s="20"/>
      <c r="N125" s="1"/>
      <c r="O125" s="20"/>
      <c r="R125" s="1"/>
      <c r="S125" s="20"/>
      <c r="V125" s="1"/>
      <c r="AB125" s="1"/>
      <c r="AC125" s="20"/>
      <c r="AF125" s="1"/>
      <c r="AG125" s="20"/>
      <c r="AJ125" s="1"/>
      <c r="AK125" s="20"/>
      <c r="AN125" s="1"/>
      <c r="AS125" s="1"/>
      <c r="AT125" s="20"/>
      <c r="AX125" s="1"/>
      <c r="BA125" s="1"/>
      <c r="BC125" s="1"/>
      <c r="BD125" s="1"/>
      <c r="BG125" s="1"/>
      <c r="BJ125" s="1"/>
      <c r="BM125" s="1"/>
      <c r="BP125" s="1"/>
      <c r="BS125" s="1"/>
    </row>
    <row r="126" spans="1:71" x14ac:dyDescent="0.3">
      <c r="A126" s="19">
        <f t="shared" si="9"/>
        <v>46091</v>
      </c>
      <c r="B126">
        <f t="shared" ca="1" si="5"/>
        <v>0.16944444444444445</v>
      </c>
      <c r="C126" t="str">
        <f ca="1">IF(currency="USD",'Future et co'!D126,IF(currency="EUR",'Future et co'!E126,IF(currency="GBP",'Future et co'!F126,FALSE)))</f>
        <v>RFR USD</v>
      </c>
      <c r="D126" t="str">
        <f t="shared" ca="1" si="6"/>
        <v>RFR USD</v>
      </c>
      <c r="E126" t="str">
        <f t="shared" ca="1" si="7"/>
        <v>RFR EUR</v>
      </c>
      <c r="F126" t="str">
        <f t="shared" ca="1" si="8"/>
        <v>RFR GBP</v>
      </c>
      <c r="J126" s="1"/>
      <c r="K126" s="20"/>
      <c r="N126" s="1"/>
      <c r="O126" s="20"/>
      <c r="R126" s="1"/>
      <c r="S126" s="20"/>
      <c r="V126" s="1"/>
      <c r="AB126" s="1"/>
      <c r="AC126" s="20"/>
      <c r="AF126" s="1"/>
      <c r="AG126" s="20"/>
      <c r="AJ126" s="1"/>
      <c r="AK126" s="20"/>
      <c r="AN126" s="1"/>
      <c r="AS126" s="1"/>
      <c r="AT126" s="20"/>
      <c r="AX126" s="1"/>
      <c r="BA126" s="1"/>
      <c r="BC126" s="1"/>
      <c r="BD126" s="1"/>
      <c r="BG126" s="1"/>
      <c r="BJ126" s="1"/>
      <c r="BM126" s="1"/>
      <c r="BP126" s="1"/>
      <c r="BS126" s="1"/>
    </row>
    <row r="127" spans="1:71" x14ac:dyDescent="0.3">
      <c r="A127" s="19">
        <f t="shared" si="9"/>
        <v>46092</v>
      </c>
      <c r="B127">
        <f t="shared" ca="1" si="5"/>
        <v>0.16666666666666666</v>
      </c>
      <c r="C127" t="str">
        <f ca="1">IF(currency="USD",'Future et co'!D127,IF(currency="EUR",'Future et co'!E127,IF(currency="GBP",'Future et co'!F127,FALSE)))</f>
        <v>RFR USD</v>
      </c>
      <c r="D127" t="str">
        <f t="shared" ca="1" si="6"/>
        <v>RFR USD</v>
      </c>
      <c r="E127" t="str">
        <f t="shared" ca="1" si="7"/>
        <v>RFR EUR</v>
      </c>
      <c r="F127" t="str">
        <f t="shared" ca="1" si="8"/>
        <v>RFR GBP</v>
      </c>
      <c r="J127" s="1"/>
      <c r="K127" s="20"/>
      <c r="N127" s="1"/>
      <c r="O127" s="20"/>
      <c r="R127" s="1"/>
      <c r="S127" s="20"/>
      <c r="V127" s="1"/>
      <c r="AB127" s="1"/>
      <c r="AC127" s="20"/>
      <c r="AF127" s="1"/>
      <c r="AG127" s="20"/>
      <c r="AJ127" s="1"/>
      <c r="AK127" s="20"/>
      <c r="AN127" s="1"/>
      <c r="AS127" s="1"/>
      <c r="AT127" s="20"/>
      <c r="AX127" s="1"/>
      <c r="BA127" s="1"/>
      <c r="BC127" s="1"/>
      <c r="BD127" s="1"/>
      <c r="BG127" s="1"/>
      <c r="BJ127" s="1"/>
      <c r="BM127" s="1"/>
      <c r="BP127" s="1"/>
      <c r="BS127" s="1"/>
    </row>
    <row r="128" spans="1:71" x14ac:dyDescent="0.3">
      <c r="A128" s="19">
        <f t="shared" si="9"/>
        <v>46093</v>
      </c>
      <c r="B128">
        <f t="shared" ca="1" si="5"/>
        <v>0.16388888888888889</v>
      </c>
      <c r="C128" t="str">
        <f ca="1">IF(currency="USD",'Future et co'!D128,IF(currency="EUR",'Future et co'!E128,IF(currency="GBP",'Future et co'!F128,FALSE)))</f>
        <v>RFR USD</v>
      </c>
      <c r="D128" t="str">
        <f t="shared" ca="1" si="6"/>
        <v>RFR USD</v>
      </c>
      <c r="E128" t="str">
        <f t="shared" ca="1" si="7"/>
        <v>RFR EUR</v>
      </c>
      <c r="F128" t="str">
        <f t="shared" ca="1" si="8"/>
        <v>RFR GBP</v>
      </c>
      <c r="J128" s="1"/>
      <c r="K128" s="20"/>
      <c r="N128" s="1"/>
      <c r="O128" s="20"/>
      <c r="R128" s="1"/>
      <c r="S128" s="20"/>
      <c r="V128" s="1"/>
      <c r="AB128" s="1"/>
      <c r="AC128" s="20"/>
      <c r="AF128" s="1"/>
      <c r="AG128" s="20"/>
      <c r="AJ128" s="1"/>
      <c r="AK128" s="20"/>
      <c r="AN128" s="1"/>
      <c r="AS128" s="1"/>
      <c r="AT128" s="20"/>
      <c r="AX128" s="1"/>
      <c r="BA128" s="1"/>
      <c r="BC128" s="1"/>
      <c r="BD128" s="1"/>
      <c r="BG128" s="1"/>
      <c r="BJ128" s="1"/>
      <c r="BM128" s="1"/>
      <c r="BP128" s="1"/>
      <c r="BS128" s="1"/>
    </row>
    <row r="129" spans="1:71" x14ac:dyDescent="0.3">
      <c r="A129" s="19">
        <f t="shared" si="9"/>
        <v>46094</v>
      </c>
      <c r="B129">
        <f t="shared" ca="1" si="5"/>
        <v>0.16111111111111112</v>
      </c>
      <c r="C129" t="str">
        <f ca="1">IF(currency="USD",'Future et co'!D129,IF(currency="EUR",'Future et co'!E129,IF(currency="GBP",'Future et co'!F129,FALSE)))</f>
        <v>RFR USD</v>
      </c>
      <c r="D129" t="str">
        <f t="shared" ca="1" si="6"/>
        <v>RFR USD</v>
      </c>
      <c r="E129" t="str">
        <f t="shared" ca="1" si="7"/>
        <v>RFR EUR</v>
      </c>
      <c r="F129" t="str">
        <f t="shared" ca="1" si="8"/>
        <v>RFR GBP</v>
      </c>
      <c r="J129" s="1"/>
      <c r="K129" s="20"/>
      <c r="N129" s="1"/>
      <c r="O129" s="20"/>
      <c r="R129" s="1"/>
      <c r="S129" s="20"/>
      <c r="V129" s="1"/>
      <c r="AB129" s="1"/>
      <c r="AC129" s="20"/>
      <c r="AF129" s="1"/>
      <c r="AG129" s="20"/>
      <c r="AJ129" s="1"/>
      <c r="AK129" s="20"/>
      <c r="AN129" s="1"/>
      <c r="AS129" s="1"/>
      <c r="AT129" s="20"/>
      <c r="AX129" s="1"/>
      <c r="BA129" s="1"/>
      <c r="BC129" s="1"/>
      <c r="BD129" s="1"/>
      <c r="BG129" s="1"/>
      <c r="BJ129" s="1"/>
      <c r="BM129" s="1"/>
      <c r="BP129" s="1"/>
      <c r="BS129" s="1"/>
    </row>
    <row r="130" spans="1:71" x14ac:dyDescent="0.3">
      <c r="A130" s="19">
        <f t="shared" si="9"/>
        <v>46097</v>
      </c>
      <c r="B130">
        <f t="shared" ca="1" si="5"/>
        <v>0.15277777777777779</v>
      </c>
      <c r="C130" t="str">
        <f ca="1">IF(currency="USD",'Future et co'!D130,IF(currency="EUR",'Future et co'!E130,IF(currency="GBP",'Future et co'!F130,FALSE)))</f>
        <v>RFR USD</v>
      </c>
      <c r="D130" t="str">
        <f t="shared" ca="1" si="6"/>
        <v>RFR USD</v>
      </c>
      <c r="E130" t="str">
        <f t="shared" ca="1" si="7"/>
        <v>RFR EUR</v>
      </c>
      <c r="F130" t="str">
        <f t="shared" ca="1" si="8"/>
        <v>RFR GBP</v>
      </c>
      <c r="J130" s="1"/>
      <c r="K130" s="20"/>
      <c r="N130" s="1"/>
      <c r="O130" s="20"/>
      <c r="R130" s="1"/>
      <c r="S130" s="20"/>
      <c r="V130" s="1"/>
      <c r="AB130" s="1"/>
      <c r="AC130" s="20"/>
      <c r="AF130" s="1"/>
      <c r="AG130" s="20"/>
      <c r="AJ130" s="1"/>
      <c r="AK130" s="20"/>
      <c r="AN130" s="1"/>
      <c r="AS130" s="1"/>
      <c r="AT130" s="20"/>
      <c r="AX130" s="1"/>
      <c r="BA130" s="1"/>
      <c r="BC130" s="1"/>
      <c r="BD130" s="1"/>
      <c r="BG130" s="1"/>
      <c r="BJ130" s="1"/>
      <c r="BM130" s="1"/>
      <c r="BP130" s="1"/>
      <c r="BS130" s="1"/>
    </row>
    <row r="131" spans="1:71" x14ac:dyDescent="0.3">
      <c r="A131" s="19">
        <f t="shared" si="9"/>
        <v>46098</v>
      </c>
      <c r="B131">
        <f t="shared" ca="1" si="5"/>
        <v>0.15</v>
      </c>
      <c r="C131" t="str">
        <f ca="1">IF(currency="USD",'Future et co'!D131,IF(currency="EUR",'Future et co'!E131,IF(currency="GBP",'Future et co'!F131,FALSE)))</f>
        <v>RFR USD</v>
      </c>
      <c r="D131" t="str">
        <f t="shared" ca="1" si="6"/>
        <v>RFR USD</v>
      </c>
      <c r="E131" t="str">
        <f t="shared" ca="1" si="7"/>
        <v>RFR EUR</v>
      </c>
      <c r="F131" t="str">
        <f t="shared" ca="1" si="8"/>
        <v>RFR GBP</v>
      </c>
      <c r="J131" s="1"/>
      <c r="K131" s="20"/>
      <c r="N131" s="1"/>
      <c r="O131" s="20"/>
      <c r="R131" s="1"/>
      <c r="S131" s="20"/>
      <c r="V131" s="1"/>
      <c r="AB131" s="1"/>
      <c r="AC131" s="20"/>
      <c r="AF131" s="1"/>
      <c r="AG131" s="20"/>
      <c r="AJ131" s="1"/>
      <c r="AK131" s="20"/>
      <c r="AN131" s="1"/>
      <c r="AS131" s="1"/>
      <c r="AT131" s="20"/>
      <c r="AX131" s="1"/>
      <c r="BA131" s="1"/>
      <c r="BC131" s="1"/>
      <c r="BD131" s="1"/>
      <c r="BG131" s="1"/>
      <c r="BJ131" s="1"/>
      <c r="BM131" s="1"/>
      <c r="BP131" s="1"/>
      <c r="BS131" s="1"/>
    </row>
    <row r="132" spans="1:71" x14ac:dyDescent="0.3">
      <c r="A132" s="19">
        <f t="shared" si="9"/>
        <v>46099</v>
      </c>
      <c r="B132">
        <f t="shared" ca="1" si="5"/>
        <v>0.14722222222222223</v>
      </c>
      <c r="C132" t="str">
        <f ca="1">IF(currency="USD",'Future et co'!D132,IF(currency="EUR",'Future et co'!E132,IF(currency="GBP",'Future et co'!F132,FALSE)))</f>
        <v>RFR USD</v>
      </c>
      <c r="D132" t="str">
        <f t="shared" ca="1" si="6"/>
        <v>RFR USD</v>
      </c>
      <c r="E132" t="str">
        <f t="shared" ca="1" si="7"/>
        <v>RFR EUR</v>
      </c>
      <c r="F132" t="str">
        <f t="shared" ca="1" si="8"/>
        <v>RFR GBP</v>
      </c>
      <c r="J132" s="1"/>
      <c r="K132" s="20"/>
      <c r="N132" s="1"/>
      <c r="O132" s="20"/>
      <c r="R132" s="1"/>
      <c r="S132" s="20"/>
      <c r="V132" s="1"/>
      <c r="AB132" s="1"/>
      <c r="AC132" s="20"/>
      <c r="AF132" s="1"/>
      <c r="AG132" s="20"/>
      <c r="AJ132" s="1"/>
      <c r="AK132" s="20"/>
      <c r="AN132" s="1"/>
      <c r="AS132" s="1"/>
      <c r="AT132" s="20"/>
      <c r="AX132" s="1"/>
      <c r="BA132" s="1"/>
      <c r="BC132" s="1"/>
      <c r="BD132" s="1"/>
      <c r="BG132" s="1"/>
      <c r="BJ132" s="1"/>
      <c r="BM132" s="1"/>
      <c r="BP132" s="1"/>
      <c r="BS132" s="1"/>
    </row>
    <row r="133" spans="1:71" x14ac:dyDescent="0.3">
      <c r="A133" s="19">
        <f t="shared" si="9"/>
        <v>46100</v>
      </c>
      <c r="B133">
        <f t="shared" ca="1" si="5"/>
        <v>0.14444444444444443</v>
      </c>
      <c r="C133" t="str">
        <f ca="1">IF(currency="USD",'Future et co'!D133,IF(currency="EUR",'Future et co'!E133,IF(currency="GBP",'Future et co'!F133,FALSE)))</f>
        <v>RFR USD</v>
      </c>
      <c r="D133" t="str">
        <f t="shared" ca="1" si="6"/>
        <v>RFR USD</v>
      </c>
      <c r="E133" t="str">
        <f t="shared" ca="1" si="7"/>
        <v>RFR EUR</v>
      </c>
      <c r="F133" t="str">
        <f t="shared" ca="1" si="8"/>
        <v>RFR GBP</v>
      </c>
      <c r="J133" s="1"/>
      <c r="K133" s="20"/>
      <c r="N133" s="1"/>
      <c r="O133" s="20"/>
      <c r="R133" s="1"/>
      <c r="S133" s="20"/>
      <c r="V133" s="1"/>
      <c r="AB133" s="1"/>
      <c r="AC133" s="20"/>
      <c r="AF133" s="1"/>
      <c r="AG133" s="20"/>
      <c r="AJ133" s="1"/>
      <c r="AK133" s="20"/>
      <c r="AN133" s="1"/>
      <c r="AS133" s="1"/>
      <c r="AT133" s="20"/>
      <c r="AX133" s="1"/>
      <c r="BA133" s="1"/>
      <c r="BC133" s="1"/>
      <c r="BD133" s="1"/>
      <c r="BG133" s="1"/>
      <c r="BJ133" s="1"/>
      <c r="BM133" s="1"/>
      <c r="BP133" s="1"/>
      <c r="BS133" s="1"/>
    </row>
    <row r="134" spans="1:71" x14ac:dyDescent="0.3">
      <c r="A134" s="19">
        <f t="shared" si="9"/>
        <v>46101</v>
      </c>
      <c r="B134">
        <f t="shared" ca="1" si="5"/>
        <v>0.14166666666666666</v>
      </c>
      <c r="C134" t="str">
        <f ca="1">IF(currency="USD",'Future et co'!D134,IF(currency="EUR",'Future et co'!E134,IF(currency="GBP",'Future et co'!F134,FALSE)))</f>
        <v>RFR USD</v>
      </c>
      <c r="D134" t="str">
        <f t="shared" ca="1" si="6"/>
        <v>RFR USD</v>
      </c>
      <c r="E134" t="str">
        <f t="shared" ca="1" si="7"/>
        <v>RFR EUR</v>
      </c>
      <c r="F134" t="str">
        <f t="shared" ca="1" si="8"/>
        <v>RFR GBP</v>
      </c>
      <c r="J134" s="1"/>
      <c r="K134" s="20"/>
      <c r="N134" s="1"/>
      <c r="O134" s="20"/>
      <c r="R134" s="1"/>
      <c r="S134" s="20"/>
      <c r="V134" s="1"/>
      <c r="AB134" s="1"/>
      <c r="AC134" s="20"/>
      <c r="AF134" s="1"/>
      <c r="AG134" s="20"/>
      <c r="AJ134" s="1"/>
      <c r="AK134" s="20"/>
      <c r="AN134" s="1"/>
      <c r="AS134" s="1"/>
      <c r="AT134" s="20"/>
      <c r="AX134" s="1"/>
      <c r="BA134" s="1"/>
      <c r="BC134" s="1"/>
      <c r="BD134" s="1"/>
      <c r="BG134" s="1"/>
      <c r="BJ134" s="1"/>
      <c r="BM134" s="1"/>
      <c r="BP134" s="1"/>
      <c r="BS134" s="1"/>
    </row>
    <row r="135" spans="1:71" x14ac:dyDescent="0.3">
      <c r="A135" s="19">
        <f t="shared" si="9"/>
        <v>46104</v>
      </c>
      <c r="B135">
        <f t="shared" ca="1" si="5"/>
        <v>0.13333333333333333</v>
      </c>
      <c r="C135" t="str">
        <f ca="1">IF(currency="USD",'Future et co'!D135,IF(currency="EUR",'Future et co'!E135,IF(currency="GBP",'Future et co'!F135,FALSE)))</f>
        <v>RFR USD</v>
      </c>
      <c r="D135" t="str">
        <f t="shared" ca="1" si="6"/>
        <v>RFR USD</v>
      </c>
      <c r="E135" t="str">
        <f t="shared" ca="1" si="7"/>
        <v>RFR EUR</v>
      </c>
      <c r="F135" t="str">
        <f t="shared" ca="1" si="8"/>
        <v>RFR GBP</v>
      </c>
      <c r="J135" s="1"/>
      <c r="K135" s="20"/>
      <c r="N135" s="1"/>
      <c r="O135" s="20"/>
      <c r="R135" s="1"/>
      <c r="S135" s="20"/>
      <c r="V135" s="1"/>
      <c r="AB135" s="1"/>
      <c r="AC135" s="20"/>
      <c r="AF135" s="1"/>
      <c r="AG135" s="20"/>
      <c r="AJ135" s="1"/>
      <c r="AK135" s="20"/>
      <c r="AN135" s="1"/>
      <c r="AS135" s="1"/>
      <c r="AT135" s="20"/>
      <c r="AX135" s="1"/>
      <c r="BA135" s="1"/>
      <c r="BC135" s="1"/>
      <c r="BD135" s="1"/>
      <c r="BG135" s="1"/>
      <c r="BJ135" s="1"/>
      <c r="BM135" s="1"/>
      <c r="BP135" s="1"/>
      <c r="BS135" s="1"/>
    </row>
    <row r="136" spans="1:71" x14ac:dyDescent="0.3">
      <c r="A136" s="19">
        <f t="shared" si="9"/>
        <v>46105</v>
      </c>
      <c r="B136">
        <f t="shared" ca="1" si="5"/>
        <v>0.13055555555555556</v>
      </c>
      <c r="C136" t="str">
        <f ca="1">IF(currency="USD",'Future et co'!D136,IF(currency="EUR",'Future et co'!E136,IF(currency="GBP",'Future et co'!F136,FALSE)))</f>
        <v>RFR USD</v>
      </c>
      <c r="D136" t="str">
        <f t="shared" ca="1" si="6"/>
        <v>RFR USD</v>
      </c>
      <c r="E136" t="str">
        <f t="shared" ca="1" si="7"/>
        <v>RFR EUR</v>
      </c>
      <c r="F136" t="str">
        <f t="shared" ca="1" si="8"/>
        <v>RFR GBP</v>
      </c>
      <c r="J136" s="1"/>
      <c r="K136" s="20"/>
      <c r="N136" s="1"/>
      <c r="O136" s="20"/>
      <c r="R136" s="1"/>
      <c r="S136" s="20"/>
      <c r="V136" s="1"/>
      <c r="AB136" s="1"/>
      <c r="AC136" s="20"/>
      <c r="AF136" s="1"/>
      <c r="AG136" s="20"/>
      <c r="AJ136" s="1"/>
      <c r="AK136" s="20"/>
      <c r="AN136" s="1"/>
      <c r="AS136" s="1"/>
      <c r="AT136" s="20"/>
      <c r="AX136" s="1"/>
      <c r="BA136" s="1"/>
      <c r="BC136" s="1"/>
      <c r="BD136" s="1"/>
      <c r="BG136" s="1"/>
      <c r="BJ136" s="1"/>
      <c r="BM136" s="1"/>
      <c r="BP136" s="1"/>
      <c r="BS136" s="1"/>
    </row>
    <row r="137" spans="1:71" x14ac:dyDescent="0.3">
      <c r="A137" s="19">
        <f t="shared" si="9"/>
        <v>46106</v>
      </c>
      <c r="B137">
        <f t="shared" ca="1" si="5"/>
        <v>0.12777777777777777</v>
      </c>
      <c r="C137" t="str">
        <f ca="1">IF(currency="USD",'Future et co'!D137,IF(currency="EUR",'Future et co'!E137,IF(currency="GBP",'Future et co'!F137,FALSE)))</f>
        <v>RFR USD</v>
      </c>
      <c r="D137" t="str">
        <f t="shared" ca="1" si="6"/>
        <v>RFR USD</v>
      </c>
      <c r="E137" t="str">
        <f t="shared" ca="1" si="7"/>
        <v>RFR EUR</v>
      </c>
      <c r="F137" t="str">
        <f t="shared" ca="1" si="8"/>
        <v>RFR GBP</v>
      </c>
      <c r="J137" s="1"/>
      <c r="K137" s="20"/>
      <c r="N137" s="1"/>
      <c r="O137" s="20"/>
      <c r="R137" s="1"/>
      <c r="S137" s="20"/>
      <c r="V137" s="1"/>
      <c r="AB137" s="1"/>
      <c r="AC137" s="20"/>
      <c r="AF137" s="1"/>
      <c r="AG137" s="20"/>
      <c r="AJ137" s="1"/>
      <c r="AK137" s="20"/>
      <c r="AN137" s="1"/>
      <c r="AS137" s="1"/>
      <c r="AT137" s="20"/>
      <c r="AX137" s="1"/>
      <c r="BA137" s="1"/>
      <c r="BC137" s="1"/>
      <c r="BD137" s="1"/>
      <c r="BG137" s="1"/>
      <c r="BJ137" s="1"/>
      <c r="BM137" s="1"/>
      <c r="BP137" s="1"/>
      <c r="BS137" s="1"/>
    </row>
    <row r="138" spans="1:71" x14ac:dyDescent="0.3">
      <c r="A138" s="19">
        <f t="shared" si="9"/>
        <v>46107</v>
      </c>
      <c r="B138">
        <f t="shared" ca="1" si="5"/>
        <v>0.125</v>
      </c>
      <c r="C138" t="str">
        <f ca="1">IF(currency="USD",'Future et co'!D138,IF(currency="EUR",'Future et co'!E138,IF(currency="GBP",'Future et co'!F138,FALSE)))</f>
        <v>RFR USD</v>
      </c>
      <c r="D138" t="str">
        <f t="shared" ca="1" si="6"/>
        <v>RFR USD</v>
      </c>
      <c r="E138" t="str">
        <f t="shared" ca="1" si="7"/>
        <v>RFR EUR</v>
      </c>
      <c r="F138" t="str">
        <f t="shared" ca="1" si="8"/>
        <v>RFR GBP</v>
      </c>
      <c r="J138" s="1"/>
      <c r="K138" s="20"/>
      <c r="N138" s="1"/>
      <c r="O138" s="20"/>
      <c r="R138" s="1"/>
      <c r="S138" s="20"/>
      <c r="V138" s="1"/>
      <c r="AB138" s="1"/>
      <c r="AC138" s="20"/>
      <c r="AF138" s="1"/>
      <c r="AG138" s="20"/>
      <c r="AJ138" s="1"/>
      <c r="AK138" s="20"/>
      <c r="AN138" s="1"/>
      <c r="AS138" s="1"/>
      <c r="AT138" s="20"/>
      <c r="AX138" s="1"/>
      <c r="BA138" s="1"/>
      <c r="BC138" s="1"/>
      <c r="BD138" s="1"/>
      <c r="BG138" s="1"/>
      <c r="BJ138" s="1"/>
      <c r="BM138" s="1"/>
      <c r="BP138" s="1"/>
      <c r="BS138" s="1"/>
    </row>
    <row r="139" spans="1:71" x14ac:dyDescent="0.3">
      <c r="A139" s="19">
        <f t="shared" si="9"/>
        <v>46108</v>
      </c>
      <c r="B139">
        <f t="shared" ref="B139:B202" ca="1" si="10">($B$7-A139)/360</f>
        <v>0.12222222222222222</v>
      </c>
      <c r="C139" t="str">
        <f ca="1">IF(currency="USD",'Future et co'!D139,IF(currency="EUR",'Future et co'!E139,IF(currency="GBP",'Future et co'!F139,FALSE)))</f>
        <v>RFR USD</v>
      </c>
      <c r="D139" t="str">
        <f t="shared" ref="D139:D202" ca="1" si="11">IFERROR(IF(B139&lt;0.25,VLOOKUP(A139,$J$11:$L$5325,3,FALSE),IF(AND(B139&gt;=0.25,B139&lt;0.5),VLOOKUP(A139,$N$11:$P$5325,3,FALSE),IF(AND(B139&gt;=0.5,B139&lt;1),VLOOKUP(A139,$R$11:$T$5325,3,FALSE),VLOOKUP(A139,$V$11:$X$5010,3,FALSE)))),D138)</f>
        <v>RFR USD</v>
      </c>
      <c r="E139" t="str">
        <f t="shared" ref="E139:E202" ca="1" si="12">IFERROR(IF(B139&lt;0.25,VLOOKUP(A139,$AF$11:$AH$5325,3,FALSE),IF(AND(B139&gt;=0.25,B139&lt;0.5),VLOOKUP(A139,$AJ$11:$AL$5325,3,FALSE),VLOOKUP(A139,$AN$11:$AP$5325,3,FALSE))),E138)</f>
        <v>RFR EUR</v>
      </c>
      <c r="F139" t="str">
        <f t="shared" ref="F139:F202" ca="1" si="13">IFERROR(VLOOKUP(A139,$AS$11:$AU$9999,3,FALSE),F138)</f>
        <v>RFR GBP</v>
      </c>
      <c r="J139" s="1"/>
      <c r="K139" s="20"/>
      <c r="N139" s="1"/>
      <c r="O139" s="20"/>
      <c r="R139" s="1"/>
      <c r="S139" s="20"/>
      <c r="V139" s="1"/>
      <c r="AB139" s="1"/>
      <c r="AC139" s="20"/>
      <c r="AF139" s="1"/>
      <c r="AG139" s="20"/>
      <c r="AJ139" s="1"/>
      <c r="AK139" s="20"/>
      <c r="AN139" s="1"/>
      <c r="AS139" s="1"/>
      <c r="AT139" s="20"/>
      <c r="AX139" s="1"/>
      <c r="BA139" s="1"/>
      <c r="BC139" s="1"/>
      <c r="BD139" s="1"/>
      <c r="BG139" s="1"/>
      <c r="BJ139" s="1"/>
      <c r="BM139" s="1"/>
      <c r="BP139" s="1"/>
      <c r="BS139" s="1"/>
    </row>
    <row r="140" spans="1:71" x14ac:dyDescent="0.3">
      <c r="A140" s="19">
        <f t="shared" si="9"/>
        <v>46111</v>
      </c>
      <c r="B140">
        <f t="shared" ca="1" si="10"/>
        <v>0.11388888888888889</v>
      </c>
      <c r="C140" t="str">
        <f ca="1">IF(currency="USD",'Future et co'!D140,IF(currency="EUR",'Future et co'!E140,IF(currency="GBP",'Future et co'!F140,FALSE)))</f>
        <v>RFR USD</v>
      </c>
      <c r="D140" t="str">
        <f t="shared" ca="1" si="11"/>
        <v>RFR USD</v>
      </c>
      <c r="E140" t="str">
        <f t="shared" ca="1" si="12"/>
        <v>RFR EUR</v>
      </c>
      <c r="F140" t="str">
        <f t="shared" ca="1" si="13"/>
        <v>RFR GBP</v>
      </c>
      <c r="J140" s="1"/>
      <c r="K140" s="20"/>
      <c r="N140" s="1"/>
      <c r="O140" s="20"/>
      <c r="R140" s="1"/>
      <c r="S140" s="20"/>
      <c r="V140" s="1"/>
      <c r="AB140" s="1"/>
      <c r="AC140" s="20"/>
      <c r="AF140" s="1"/>
      <c r="AG140" s="20"/>
      <c r="AJ140" s="1"/>
      <c r="AK140" s="20"/>
      <c r="AN140" s="1"/>
      <c r="AS140" s="1"/>
      <c r="AT140" s="20"/>
      <c r="AX140" s="1"/>
      <c r="BA140" s="1"/>
      <c r="BC140" s="1"/>
      <c r="BD140" s="1"/>
      <c r="BG140" s="1"/>
      <c r="BJ140" s="1"/>
      <c r="BM140" s="1"/>
      <c r="BP140" s="1"/>
      <c r="BS140" s="1"/>
    </row>
    <row r="141" spans="1:71" x14ac:dyDescent="0.3">
      <c r="A141" s="19">
        <f t="shared" ref="A141:A204" si="14">WORKDAY(A140,1)</f>
        <v>46112</v>
      </c>
      <c r="B141">
        <f t="shared" ca="1" si="10"/>
        <v>0.1111111111111111</v>
      </c>
      <c r="C141" t="str">
        <f ca="1">IF(currency="USD",'Future et co'!D141,IF(currency="EUR",'Future et co'!E141,IF(currency="GBP",'Future et co'!F141,FALSE)))</f>
        <v>RFR USD</v>
      </c>
      <c r="D141" t="str">
        <f t="shared" ca="1" si="11"/>
        <v>RFR USD</v>
      </c>
      <c r="E141" t="str">
        <f t="shared" ca="1" si="12"/>
        <v>RFR EUR</v>
      </c>
      <c r="F141" t="str">
        <f t="shared" ca="1" si="13"/>
        <v>RFR GBP</v>
      </c>
      <c r="J141" s="1"/>
      <c r="K141" s="20"/>
      <c r="N141" s="1"/>
      <c r="O141" s="20"/>
      <c r="R141" s="1"/>
      <c r="S141" s="20"/>
      <c r="V141" s="1"/>
      <c r="AB141" s="1"/>
      <c r="AC141" s="20"/>
      <c r="AF141" s="1"/>
      <c r="AG141" s="20"/>
      <c r="AJ141" s="1"/>
      <c r="AK141" s="20"/>
      <c r="AN141" s="1"/>
      <c r="AS141" s="1"/>
      <c r="AT141" s="20"/>
      <c r="AX141" s="1"/>
      <c r="BA141" s="1"/>
      <c r="BC141" s="1"/>
      <c r="BD141" s="1"/>
      <c r="BG141" s="1"/>
      <c r="BJ141" s="1"/>
      <c r="BM141" s="1"/>
      <c r="BP141" s="1"/>
      <c r="BS141" s="1"/>
    </row>
    <row r="142" spans="1:71" x14ac:dyDescent="0.3">
      <c r="A142" s="19">
        <f t="shared" si="14"/>
        <v>46113</v>
      </c>
      <c r="B142">
        <f t="shared" ca="1" si="10"/>
        <v>0.10833333333333334</v>
      </c>
      <c r="C142" t="str">
        <f ca="1">IF(currency="USD",'Future et co'!D142,IF(currency="EUR",'Future et co'!E142,IF(currency="GBP",'Future et co'!F142,FALSE)))</f>
        <v>RFR USD</v>
      </c>
      <c r="D142" t="str">
        <f t="shared" ca="1" si="11"/>
        <v>RFR USD</v>
      </c>
      <c r="E142" t="str">
        <f t="shared" ca="1" si="12"/>
        <v>RFR EUR</v>
      </c>
      <c r="F142" t="str">
        <f t="shared" ca="1" si="13"/>
        <v>RFR GBP</v>
      </c>
      <c r="J142" s="1"/>
      <c r="K142" s="20"/>
      <c r="N142" s="1"/>
      <c r="O142" s="20"/>
      <c r="R142" s="1"/>
      <c r="S142" s="20"/>
      <c r="V142" s="1"/>
      <c r="AB142" s="1"/>
      <c r="AC142" s="20"/>
      <c r="AF142" s="1"/>
      <c r="AG142" s="20"/>
      <c r="AJ142" s="1"/>
      <c r="AK142" s="20"/>
      <c r="AN142" s="1"/>
      <c r="AS142" s="1"/>
      <c r="AT142" s="20"/>
      <c r="AX142" s="1"/>
      <c r="BA142" s="1"/>
      <c r="BC142" s="1"/>
      <c r="BD142" s="1"/>
      <c r="BG142" s="1"/>
      <c r="BJ142" s="1"/>
      <c r="BM142" s="1"/>
      <c r="BP142" s="1"/>
      <c r="BS142" s="1"/>
    </row>
    <row r="143" spans="1:71" x14ac:dyDescent="0.3">
      <c r="A143" s="19">
        <f t="shared" si="14"/>
        <v>46114</v>
      </c>
      <c r="B143">
        <f t="shared" ca="1" si="10"/>
        <v>0.10555555555555556</v>
      </c>
      <c r="C143" t="str">
        <f ca="1">IF(currency="USD",'Future et co'!D143,IF(currency="EUR",'Future et co'!E143,IF(currency="GBP",'Future et co'!F143,FALSE)))</f>
        <v>RFR USD</v>
      </c>
      <c r="D143" t="str">
        <f t="shared" ca="1" si="11"/>
        <v>RFR USD</v>
      </c>
      <c r="E143" t="str">
        <f t="shared" ca="1" si="12"/>
        <v>RFR EUR</v>
      </c>
      <c r="F143" t="str">
        <f t="shared" ca="1" si="13"/>
        <v>RFR GBP</v>
      </c>
      <c r="J143" s="1"/>
      <c r="K143" s="20"/>
      <c r="N143" s="1"/>
      <c r="O143" s="20"/>
      <c r="R143" s="1"/>
      <c r="S143" s="20"/>
      <c r="V143" s="1"/>
      <c r="AB143" s="1"/>
      <c r="AC143" s="20"/>
      <c r="AF143" s="1"/>
      <c r="AG143" s="20"/>
      <c r="AJ143" s="1"/>
      <c r="AK143" s="20"/>
      <c r="AN143" s="1"/>
      <c r="AS143" s="1"/>
      <c r="AT143" s="20"/>
      <c r="AX143" s="1"/>
      <c r="BA143" s="1"/>
      <c r="BC143" s="1"/>
      <c r="BD143" s="1"/>
      <c r="BG143" s="1"/>
      <c r="BJ143" s="1"/>
      <c r="BM143" s="1"/>
      <c r="BP143" s="1"/>
      <c r="BS143" s="1"/>
    </row>
    <row r="144" spans="1:71" x14ac:dyDescent="0.3">
      <c r="A144" s="19">
        <f t="shared" si="14"/>
        <v>46115</v>
      </c>
      <c r="B144">
        <f t="shared" ca="1" si="10"/>
        <v>0.10277777777777777</v>
      </c>
      <c r="C144" t="str">
        <f ca="1">IF(currency="USD",'Future et co'!D144,IF(currency="EUR",'Future et co'!E144,IF(currency="GBP",'Future et co'!F144,FALSE)))</f>
        <v>RFR USD</v>
      </c>
      <c r="D144" t="str">
        <f t="shared" ca="1" si="11"/>
        <v>RFR USD</v>
      </c>
      <c r="E144" t="str">
        <f t="shared" ca="1" si="12"/>
        <v>RFR EUR</v>
      </c>
      <c r="F144" t="str">
        <f t="shared" ca="1" si="13"/>
        <v>RFR GBP</v>
      </c>
      <c r="J144" s="1"/>
      <c r="K144" s="20"/>
      <c r="N144" s="1"/>
      <c r="O144" s="20"/>
      <c r="R144" s="1"/>
      <c r="S144" s="20"/>
      <c r="V144" s="1"/>
      <c r="AB144" s="1"/>
      <c r="AC144" s="20"/>
      <c r="AF144" s="1"/>
      <c r="AG144" s="20"/>
      <c r="AJ144" s="1"/>
      <c r="AK144" s="20"/>
      <c r="AN144" s="1"/>
      <c r="AS144" s="1"/>
      <c r="AT144" s="20"/>
      <c r="AX144" s="1"/>
      <c r="BA144" s="1"/>
      <c r="BC144" s="1"/>
      <c r="BD144" s="1"/>
      <c r="BG144" s="1"/>
      <c r="BJ144" s="1"/>
      <c r="BM144" s="1"/>
      <c r="BP144" s="1"/>
      <c r="BS144" s="1"/>
    </row>
    <row r="145" spans="1:71" x14ac:dyDescent="0.3">
      <c r="A145" s="19">
        <f t="shared" si="14"/>
        <v>46118</v>
      </c>
      <c r="B145">
        <f t="shared" ca="1" si="10"/>
        <v>9.4444444444444442E-2</v>
      </c>
      <c r="C145" t="str">
        <f ca="1">IF(currency="USD",'Future et co'!D145,IF(currency="EUR",'Future et co'!E145,IF(currency="GBP",'Future et co'!F145,FALSE)))</f>
        <v>RFR USD</v>
      </c>
      <c r="D145" t="str">
        <f t="shared" ca="1" si="11"/>
        <v>RFR USD</v>
      </c>
      <c r="E145" t="str">
        <f t="shared" ca="1" si="12"/>
        <v>RFR EUR</v>
      </c>
      <c r="F145" t="str">
        <f t="shared" ca="1" si="13"/>
        <v>RFR GBP</v>
      </c>
      <c r="J145" s="1"/>
      <c r="K145" s="20"/>
      <c r="N145" s="1"/>
      <c r="O145" s="20"/>
      <c r="R145" s="1"/>
      <c r="S145" s="20"/>
      <c r="V145" s="1"/>
      <c r="AB145" s="1"/>
      <c r="AC145" s="20"/>
      <c r="AF145" s="1"/>
      <c r="AG145" s="20"/>
      <c r="AJ145" s="1"/>
      <c r="AK145" s="20"/>
      <c r="AN145" s="1"/>
      <c r="AS145" s="1"/>
      <c r="AT145" s="20"/>
      <c r="AX145" s="1"/>
      <c r="BA145" s="1"/>
      <c r="BC145" s="1"/>
      <c r="BD145" s="1"/>
      <c r="BG145" s="1"/>
      <c r="BJ145" s="1"/>
      <c r="BM145" s="1"/>
      <c r="BP145" s="1"/>
      <c r="BS145" s="1"/>
    </row>
    <row r="146" spans="1:71" x14ac:dyDescent="0.3">
      <c r="A146" s="19">
        <f t="shared" si="14"/>
        <v>46119</v>
      </c>
      <c r="B146">
        <f t="shared" ca="1" si="10"/>
        <v>9.166666666666666E-2</v>
      </c>
      <c r="C146" t="str">
        <f ca="1">IF(currency="USD",'Future et co'!D146,IF(currency="EUR",'Future et co'!E146,IF(currency="GBP",'Future et co'!F146,FALSE)))</f>
        <v>RFR USD</v>
      </c>
      <c r="D146" t="str">
        <f t="shared" ca="1" si="11"/>
        <v>RFR USD</v>
      </c>
      <c r="E146" t="str">
        <f t="shared" ca="1" si="12"/>
        <v>RFR EUR</v>
      </c>
      <c r="F146" t="str">
        <f t="shared" ca="1" si="13"/>
        <v>RFR GBP</v>
      </c>
      <c r="J146" s="1"/>
      <c r="K146" s="20"/>
      <c r="N146" s="1"/>
      <c r="O146" s="20"/>
      <c r="R146" s="1"/>
      <c r="S146" s="20"/>
      <c r="V146" s="1"/>
      <c r="AB146" s="1"/>
      <c r="AC146" s="20"/>
      <c r="AF146" s="1"/>
      <c r="AG146" s="20"/>
      <c r="AJ146" s="1"/>
      <c r="AK146" s="20"/>
      <c r="AN146" s="1"/>
      <c r="AS146" s="1"/>
      <c r="AT146" s="20"/>
      <c r="AX146" s="1"/>
      <c r="BA146" s="1"/>
      <c r="BC146" s="1"/>
      <c r="BD146" s="1"/>
      <c r="BG146" s="1"/>
      <c r="BJ146" s="1"/>
      <c r="BM146" s="1"/>
      <c r="BP146" s="1"/>
      <c r="BS146" s="1"/>
    </row>
    <row r="147" spans="1:71" x14ac:dyDescent="0.3">
      <c r="A147" s="19">
        <f t="shared" si="14"/>
        <v>46120</v>
      </c>
      <c r="B147">
        <f t="shared" ca="1" si="10"/>
        <v>8.8888888888888892E-2</v>
      </c>
      <c r="C147" t="str">
        <f ca="1">IF(currency="USD",'Future et co'!D147,IF(currency="EUR",'Future et co'!E147,IF(currency="GBP",'Future et co'!F147,FALSE)))</f>
        <v>RFR USD</v>
      </c>
      <c r="D147" t="str">
        <f t="shared" ca="1" si="11"/>
        <v>RFR USD</v>
      </c>
      <c r="E147" t="str">
        <f t="shared" ca="1" si="12"/>
        <v>RFR EUR</v>
      </c>
      <c r="F147" t="str">
        <f t="shared" ca="1" si="13"/>
        <v>RFR GBP</v>
      </c>
      <c r="J147" s="1"/>
      <c r="K147" s="20"/>
      <c r="N147" s="1"/>
      <c r="O147" s="20"/>
      <c r="R147" s="1"/>
      <c r="S147" s="20"/>
      <c r="V147" s="1"/>
      <c r="AB147" s="1"/>
      <c r="AC147" s="20"/>
      <c r="AF147" s="1"/>
      <c r="AG147" s="20"/>
      <c r="AJ147" s="1"/>
      <c r="AK147" s="20"/>
      <c r="AN147" s="1"/>
      <c r="AS147" s="1"/>
      <c r="AT147" s="20"/>
      <c r="AX147" s="1"/>
      <c r="BA147" s="1"/>
      <c r="BC147" s="1"/>
      <c r="BD147" s="1"/>
      <c r="BG147" s="1"/>
      <c r="BJ147" s="1"/>
      <c r="BM147" s="1"/>
      <c r="BP147" s="1"/>
      <c r="BS147" s="1"/>
    </row>
    <row r="148" spans="1:71" x14ac:dyDescent="0.3">
      <c r="A148" s="19">
        <f t="shared" si="14"/>
        <v>46121</v>
      </c>
      <c r="B148">
        <f t="shared" ca="1" si="10"/>
        <v>8.611111111111111E-2</v>
      </c>
      <c r="C148" t="str">
        <f ca="1">IF(currency="USD",'Future et co'!D148,IF(currency="EUR",'Future et co'!E148,IF(currency="GBP",'Future et co'!F148,FALSE)))</f>
        <v>RFR USD</v>
      </c>
      <c r="D148" t="str">
        <f t="shared" ca="1" si="11"/>
        <v>RFR USD</v>
      </c>
      <c r="E148" t="str">
        <f t="shared" ca="1" si="12"/>
        <v>RFR EUR</v>
      </c>
      <c r="F148" t="str">
        <f t="shared" ca="1" si="13"/>
        <v>RFR GBP</v>
      </c>
      <c r="J148" s="1"/>
      <c r="K148" s="20"/>
      <c r="N148" s="1"/>
      <c r="O148" s="20"/>
      <c r="R148" s="1"/>
      <c r="S148" s="20"/>
      <c r="V148" s="1"/>
      <c r="AB148" s="1"/>
      <c r="AC148" s="20"/>
      <c r="AF148" s="1"/>
      <c r="AG148" s="20"/>
      <c r="AJ148" s="1"/>
      <c r="AK148" s="20"/>
      <c r="AN148" s="1"/>
      <c r="AS148" s="1"/>
      <c r="AT148" s="20"/>
      <c r="AX148" s="1"/>
      <c r="BA148" s="1"/>
      <c r="BC148" s="1"/>
      <c r="BD148" s="1"/>
      <c r="BG148" s="1"/>
      <c r="BJ148" s="1"/>
      <c r="BM148" s="1"/>
      <c r="BP148" s="1"/>
      <c r="BS148" s="1"/>
    </row>
    <row r="149" spans="1:71" x14ac:dyDescent="0.3">
      <c r="A149" s="19">
        <f t="shared" si="14"/>
        <v>46122</v>
      </c>
      <c r="B149">
        <f t="shared" ca="1" si="10"/>
        <v>8.3333333333333329E-2</v>
      </c>
      <c r="C149" t="str">
        <f ca="1">IF(currency="USD",'Future et co'!D149,IF(currency="EUR",'Future et co'!E149,IF(currency="GBP",'Future et co'!F149,FALSE)))</f>
        <v>RFR USD</v>
      </c>
      <c r="D149" t="str">
        <f t="shared" ca="1" si="11"/>
        <v>RFR USD</v>
      </c>
      <c r="E149" t="str">
        <f t="shared" ca="1" si="12"/>
        <v>RFR EUR</v>
      </c>
      <c r="F149" t="str">
        <f t="shared" ca="1" si="13"/>
        <v>RFR GBP</v>
      </c>
      <c r="J149" s="1"/>
      <c r="K149" s="20"/>
      <c r="N149" s="1"/>
      <c r="O149" s="20"/>
      <c r="R149" s="1"/>
      <c r="S149" s="20"/>
      <c r="V149" s="1"/>
      <c r="AB149" s="1"/>
      <c r="AC149" s="20"/>
      <c r="AF149" s="1"/>
      <c r="AG149" s="20"/>
      <c r="AJ149" s="1"/>
      <c r="AK149" s="20"/>
      <c r="AN149" s="1"/>
      <c r="AS149" s="1"/>
      <c r="AT149" s="20"/>
      <c r="AX149" s="1"/>
      <c r="BA149" s="1"/>
      <c r="BC149" s="1"/>
      <c r="BD149" s="1"/>
      <c r="BG149" s="1"/>
      <c r="BJ149" s="1"/>
      <c r="BM149" s="1"/>
      <c r="BP149" s="1"/>
      <c r="BS149" s="1"/>
    </row>
    <row r="150" spans="1:71" x14ac:dyDescent="0.3">
      <c r="A150" s="19">
        <f t="shared" si="14"/>
        <v>46125</v>
      </c>
      <c r="B150">
        <f t="shared" ca="1" si="10"/>
        <v>7.4999999999999997E-2</v>
      </c>
      <c r="C150" t="str">
        <f ca="1">IF(currency="USD",'Future et co'!D150,IF(currency="EUR",'Future et co'!E150,IF(currency="GBP",'Future et co'!F150,FALSE)))</f>
        <v>RFR USD</v>
      </c>
      <c r="D150" t="str">
        <f t="shared" ca="1" si="11"/>
        <v>RFR USD</v>
      </c>
      <c r="E150" t="str">
        <f t="shared" ca="1" si="12"/>
        <v>RFR EUR</v>
      </c>
      <c r="F150" t="str">
        <f t="shared" ca="1" si="13"/>
        <v>RFR GBP</v>
      </c>
      <c r="J150" s="1"/>
      <c r="K150" s="20"/>
      <c r="N150" s="1"/>
      <c r="O150" s="20"/>
      <c r="R150" s="1"/>
      <c r="S150" s="20"/>
      <c r="V150" s="1"/>
      <c r="AB150" s="1"/>
      <c r="AC150" s="20"/>
      <c r="AF150" s="1"/>
      <c r="AG150" s="20"/>
      <c r="AJ150" s="1"/>
      <c r="AK150" s="20"/>
      <c r="AN150" s="1"/>
      <c r="AS150" s="1"/>
      <c r="AT150" s="20"/>
      <c r="AX150" s="1"/>
      <c r="BA150" s="1"/>
      <c r="BC150" s="1"/>
      <c r="BD150" s="1"/>
      <c r="BG150" s="1"/>
      <c r="BJ150" s="1"/>
      <c r="BM150" s="1"/>
      <c r="BP150" s="1"/>
      <c r="BS150" s="1"/>
    </row>
    <row r="151" spans="1:71" x14ac:dyDescent="0.3">
      <c r="A151" s="19">
        <f t="shared" si="14"/>
        <v>46126</v>
      </c>
      <c r="B151">
        <f t="shared" ca="1" si="10"/>
        <v>7.2222222222222215E-2</v>
      </c>
      <c r="C151" t="str">
        <f ca="1">IF(currency="USD",'Future et co'!D151,IF(currency="EUR",'Future et co'!E151,IF(currency="GBP",'Future et co'!F151,FALSE)))</f>
        <v>RFR USD</v>
      </c>
      <c r="D151" t="str">
        <f t="shared" ca="1" si="11"/>
        <v>RFR USD</v>
      </c>
      <c r="E151" t="str">
        <f t="shared" ca="1" si="12"/>
        <v>RFR EUR</v>
      </c>
      <c r="F151" t="str">
        <f t="shared" ca="1" si="13"/>
        <v>RFR GBP</v>
      </c>
      <c r="J151" s="1"/>
      <c r="K151" s="20"/>
      <c r="N151" s="1"/>
      <c r="O151" s="20"/>
      <c r="R151" s="1"/>
      <c r="S151" s="20"/>
      <c r="V151" s="1"/>
      <c r="AB151" s="1"/>
      <c r="AC151" s="20"/>
      <c r="AF151" s="1"/>
      <c r="AG151" s="20"/>
      <c r="AJ151" s="1"/>
      <c r="AK151" s="20"/>
      <c r="AN151" s="1"/>
      <c r="AS151" s="1"/>
      <c r="AT151" s="20"/>
      <c r="AX151" s="1"/>
      <c r="BA151" s="1"/>
      <c r="BC151" s="1"/>
      <c r="BD151" s="1"/>
      <c r="BG151" s="1"/>
      <c r="BJ151" s="1"/>
      <c r="BM151" s="1"/>
      <c r="BP151" s="1"/>
      <c r="BS151" s="1"/>
    </row>
    <row r="152" spans="1:71" x14ac:dyDescent="0.3">
      <c r="A152" s="19">
        <f t="shared" si="14"/>
        <v>46127</v>
      </c>
      <c r="B152">
        <f t="shared" ca="1" si="10"/>
        <v>6.9444444444444448E-2</v>
      </c>
      <c r="C152" t="str">
        <f ca="1">IF(currency="USD",'Future et co'!D152,IF(currency="EUR",'Future et co'!E152,IF(currency="GBP",'Future et co'!F152,FALSE)))</f>
        <v>RFR USD</v>
      </c>
      <c r="D152" t="str">
        <f t="shared" ca="1" si="11"/>
        <v>RFR USD</v>
      </c>
      <c r="E152" t="str">
        <f t="shared" ca="1" si="12"/>
        <v>RFR EUR</v>
      </c>
      <c r="F152" t="str">
        <f t="shared" ca="1" si="13"/>
        <v>RFR GBP</v>
      </c>
      <c r="J152" s="1"/>
      <c r="K152" s="20"/>
      <c r="N152" s="1"/>
      <c r="O152" s="20"/>
      <c r="R152" s="1"/>
      <c r="S152" s="20"/>
      <c r="V152" s="1"/>
      <c r="AB152" s="1"/>
      <c r="AC152" s="20"/>
      <c r="AF152" s="1"/>
      <c r="AG152" s="20"/>
      <c r="AJ152" s="1"/>
      <c r="AK152" s="20"/>
      <c r="AN152" s="1"/>
      <c r="AS152" s="1"/>
      <c r="AT152" s="20"/>
      <c r="AX152" s="1"/>
      <c r="BA152" s="1"/>
      <c r="BC152" s="1"/>
      <c r="BD152" s="1"/>
      <c r="BG152" s="1"/>
      <c r="BJ152" s="1"/>
      <c r="BM152" s="1"/>
      <c r="BP152" s="1"/>
      <c r="BS152" s="1"/>
    </row>
    <row r="153" spans="1:71" x14ac:dyDescent="0.3">
      <c r="A153" s="19">
        <f t="shared" si="14"/>
        <v>46128</v>
      </c>
      <c r="B153">
        <f t="shared" ca="1" si="10"/>
        <v>6.6666666666666666E-2</v>
      </c>
      <c r="C153" t="str">
        <f ca="1">IF(currency="USD",'Future et co'!D153,IF(currency="EUR",'Future et co'!E153,IF(currency="GBP",'Future et co'!F153,FALSE)))</f>
        <v>RFR USD</v>
      </c>
      <c r="D153" t="str">
        <f t="shared" ca="1" si="11"/>
        <v>RFR USD</v>
      </c>
      <c r="E153" t="str">
        <f t="shared" ca="1" si="12"/>
        <v>RFR EUR</v>
      </c>
      <c r="F153" t="str">
        <f t="shared" ca="1" si="13"/>
        <v>RFR GBP</v>
      </c>
      <c r="J153" s="1"/>
      <c r="K153" s="20"/>
      <c r="N153" s="1"/>
      <c r="O153" s="20"/>
      <c r="R153" s="1"/>
      <c r="S153" s="20"/>
      <c r="V153" s="1"/>
      <c r="AB153" s="1"/>
      <c r="AC153" s="20"/>
      <c r="AF153" s="1"/>
      <c r="AG153" s="20"/>
      <c r="AJ153" s="1"/>
      <c r="AK153" s="20"/>
      <c r="AN153" s="1"/>
      <c r="AS153" s="1"/>
      <c r="AT153" s="20"/>
      <c r="AX153" s="1"/>
      <c r="BA153" s="1"/>
      <c r="BC153" s="1"/>
      <c r="BD153" s="1"/>
      <c r="BG153" s="1"/>
      <c r="BJ153" s="1"/>
      <c r="BM153" s="1"/>
      <c r="BP153" s="1"/>
      <c r="BS153" s="1"/>
    </row>
    <row r="154" spans="1:71" x14ac:dyDescent="0.3">
      <c r="A154" s="19">
        <f t="shared" si="14"/>
        <v>46129</v>
      </c>
      <c r="B154">
        <f t="shared" ca="1" si="10"/>
        <v>6.3888888888888884E-2</v>
      </c>
      <c r="C154" t="str">
        <f ca="1">IF(currency="USD",'Future et co'!D154,IF(currency="EUR",'Future et co'!E154,IF(currency="GBP",'Future et co'!F154,FALSE)))</f>
        <v>RFR USD</v>
      </c>
      <c r="D154" t="str">
        <f t="shared" ca="1" si="11"/>
        <v>RFR USD</v>
      </c>
      <c r="E154" t="str">
        <f t="shared" ca="1" si="12"/>
        <v>RFR EUR</v>
      </c>
      <c r="F154" t="str">
        <f t="shared" ca="1" si="13"/>
        <v>RFR GBP</v>
      </c>
      <c r="J154" s="1"/>
      <c r="K154" s="20"/>
      <c r="N154" s="1"/>
      <c r="O154" s="20"/>
      <c r="R154" s="1"/>
      <c r="V154" s="1"/>
      <c r="AB154" s="1"/>
      <c r="AC154" s="20"/>
      <c r="AF154" s="1"/>
      <c r="AG154" s="20"/>
      <c r="AJ154" s="1"/>
      <c r="AN154" s="1"/>
      <c r="AS154" s="1"/>
      <c r="AT154" s="20"/>
      <c r="AX154" s="1"/>
      <c r="BA154" s="1"/>
      <c r="BC154" s="1"/>
      <c r="BD154" s="1"/>
      <c r="BG154" s="1"/>
      <c r="BJ154" s="1"/>
      <c r="BM154" s="1"/>
      <c r="BP154" s="1"/>
      <c r="BS154" s="1"/>
    </row>
    <row r="155" spans="1:71" x14ac:dyDescent="0.3">
      <c r="A155" s="19">
        <f t="shared" si="14"/>
        <v>46132</v>
      </c>
      <c r="B155">
        <f t="shared" ca="1" si="10"/>
        <v>5.5555555555555552E-2</v>
      </c>
      <c r="C155" t="str">
        <f ca="1">IF(currency="USD",'Future et co'!D155,IF(currency="EUR",'Future et co'!E155,IF(currency="GBP",'Future et co'!F155,FALSE)))</f>
        <v>RFR USD</v>
      </c>
      <c r="D155" t="str">
        <f t="shared" ca="1" si="11"/>
        <v>RFR USD</v>
      </c>
      <c r="E155" t="str">
        <f t="shared" ca="1" si="12"/>
        <v>RFR EUR</v>
      </c>
      <c r="F155" t="str">
        <f t="shared" ca="1" si="13"/>
        <v>RFR GBP</v>
      </c>
      <c r="J155" s="1"/>
      <c r="K155" s="20"/>
      <c r="N155" s="1"/>
      <c r="O155" s="20"/>
      <c r="R155" s="1"/>
      <c r="V155" s="1"/>
      <c r="AB155" s="1"/>
      <c r="AC155" s="20"/>
      <c r="AF155" s="1"/>
      <c r="AG155" s="20"/>
      <c r="AJ155" s="1"/>
      <c r="AN155" s="1"/>
      <c r="AS155" s="1"/>
      <c r="AT155" s="20"/>
      <c r="AX155" s="1"/>
      <c r="BA155" s="1"/>
      <c r="BC155" s="1"/>
      <c r="BD155" s="1"/>
      <c r="BG155" s="1"/>
      <c r="BJ155" s="1"/>
      <c r="BM155" s="1"/>
      <c r="BP155" s="1"/>
      <c r="BS155" s="1"/>
    </row>
    <row r="156" spans="1:71" x14ac:dyDescent="0.3">
      <c r="A156" s="19">
        <f t="shared" si="14"/>
        <v>46133</v>
      </c>
      <c r="B156">
        <f t="shared" ca="1" si="10"/>
        <v>5.2777777777777778E-2</v>
      </c>
      <c r="C156" t="str">
        <f ca="1">IF(currency="USD",'Future et co'!D156,IF(currency="EUR",'Future et co'!E156,IF(currency="GBP",'Future et co'!F156,FALSE)))</f>
        <v>RFR USD</v>
      </c>
      <c r="D156" t="str">
        <f t="shared" ca="1" si="11"/>
        <v>RFR USD</v>
      </c>
      <c r="E156" t="str">
        <f t="shared" ca="1" si="12"/>
        <v>RFR EUR</v>
      </c>
      <c r="F156" t="str">
        <f t="shared" ca="1" si="13"/>
        <v>RFR GBP</v>
      </c>
      <c r="J156" s="1"/>
      <c r="K156" s="20"/>
      <c r="N156" s="1"/>
      <c r="O156" s="20"/>
      <c r="R156" s="1"/>
      <c r="V156" s="1"/>
      <c r="AB156" s="1"/>
      <c r="AC156" s="20"/>
      <c r="AF156" s="1"/>
      <c r="AG156" s="20"/>
      <c r="AJ156" s="1"/>
      <c r="AN156" s="1"/>
      <c r="AS156" s="1"/>
      <c r="AT156" s="20"/>
      <c r="AX156" s="1"/>
      <c r="BA156" s="1"/>
      <c r="BC156" s="1"/>
      <c r="BD156" s="1"/>
      <c r="BG156" s="1"/>
      <c r="BJ156" s="1"/>
      <c r="BM156" s="1"/>
      <c r="BP156" s="1"/>
      <c r="BS156" s="1"/>
    </row>
    <row r="157" spans="1:71" x14ac:dyDescent="0.3">
      <c r="A157" s="19">
        <f t="shared" si="14"/>
        <v>46134</v>
      </c>
      <c r="B157">
        <f t="shared" ca="1" si="10"/>
        <v>0.05</v>
      </c>
      <c r="C157" t="str">
        <f ca="1">IF(currency="USD",'Future et co'!D157,IF(currency="EUR",'Future et co'!E157,IF(currency="GBP",'Future et co'!F157,FALSE)))</f>
        <v>RFR USD</v>
      </c>
      <c r="D157" t="str">
        <f t="shared" ca="1" si="11"/>
        <v>RFR USD</v>
      </c>
      <c r="E157" t="str">
        <f t="shared" ca="1" si="12"/>
        <v>RFR EUR</v>
      </c>
      <c r="F157" t="str">
        <f t="shared" ca="1" si="13"/>
        <v>RFR GBP</v>
      </c>
      <c r="J157" s="1"/>
      <c r="K157" s="20"/>
      <c r="N157" s="1"/>
      <c r="O157" s="20"/>
      <c r="R157" s="1"/>
      <c r="V157" s="1"/>
      <c r="AB157" s="1"/>
      <c r="AC157" s="20"/>
      <c r="AF157" s="1"/>
      <c r="AG157" s="20"/>
      <c r="AJ157" s="1"/>
      <c r="AN157" s="1"/>
      <c r="AS157" s="1"/>
      <c r="AT157" s="20"/>
      <c r="AX157" s="1"/>
      <c r="BA157" s="1"/>
      <c r="BC157" s="1"/>
      <c r="BD157" s="1"/>
      <c r="BG157" s="1"/>
      <c r="BJ157" s="1"/>
      <c r="BM157" s="1"/>
      <c r="BP157" s="1"/>
      <c r="BS157" s="1"/>
    </row>
    <row r="158" spans="1:71" x14ac:dyDescent="0.3">
      <c r="A158" s="19">
        <f t="shared" si="14"/>
        <v>46135</v>
      </c>
      <c r="B158">
        <f t="shared" ca="1" si="10"/>
        <v>4.7222222222222221E-2</v>
      </c>
      <c r="C158" t="str">
        <f ca="1">IF(currency="USD",'Future et co'!D158,IF(currency="EUR",'Future et co'!E158,IF(currency="GBP",'Future et co'!F158,FALSE)))</f>
        <v>RFR USD</v>
      </c>
      <c r="D158" t="str">
        <f t="shared" ca="1" si="11"/>
        <v>RFR USD</v>
      </c>
      <c r="E158" t="str">
        <f t="shared" ca="1" si="12"/>
        <v>RFR EUR</v>
      </c>
      <c r="F158" t="str">
        <f t="shared" ca="1" si="13"/>
        <v>RFR GBP</v>
      </c>
      <c r="J158" s="1"/>
      <c r="K158" s="20"/>
      <c r="N158" s="1"/>
      <c r="O158" s="20"/>
      <c r="R158" s="1"/>
      <c r="V158" s="1"/>
      <c r="AB158" s="1"/>
      <c r="AC158" s="20"/>
      <c r="AF158" s="1"/>
      <c r="AG158" s="20"/>
      <c r="AJ158" s="1"/>
      <c r="AN158" s="1"/>
      <c r="AS158" s="1"/>
      <c r="AT158" s="20"/>
      <c r="AX158" s="1"/>
      <c r="BA158" s="1"/>
      <c r="BC158" s="1"/>
      <c r="BD158" s="1"/>
      <c r="BG158" s="1"/>
      <c r="BJ158" s="1"/>
      <c r="BM158" s="1"/>
      <c r="BP158" s="1"/>
      <c r="BS158" s="1"/>
    </row>
    <row r="159" spans="1:71" x14ac:dyDescent="0.3">
      <c r="A159" s="19">
        <f t="shared" si="14"/>
        <v>46136</v>
      </c>
      <c r="B159">
        <f t="shared" ca="1" si="10"/>
        <v>4.4444444444444446E-2</v>
      </c>
      <c r="C159" t="str">
        <f ca="1">IF(currency="USD",'Future et co'!D159,IF(currency="EUR",'Future et co'!E159,IF(currency="GBP",'Future et co'!F159,FALSE)))</f>
        <v>RFR USD</v>
      </c>
      <c r="D159" t="str">
        <f t="shared" ca="1" si="11"/>
        <v>RFR USD</v>
      </c>
      <c r="E159" t="str">
        <f t="shared" ca="1" si="12"/>
        <v>RFR EUR</v>
      </c>
      <c r="F159" t="str">
        <f t="shared" ca="1" si="13"/>
        <v>RFR GBP</v>
      </c>
      <c r="J159" s="1"/>
      <c r="K159" s="20"/>
      <c r="N159" s="1"/>
      <c r="O159" s="20"/>
      <c r="R159" s="1"/>
      <c r="V159" s="1"/>
      <c r="AB159" s="1"/>
      <c r="AC159" s="20"/>
      <c r="AF159" s="1"/>
      <c r="AG159" s="20"/>
      <c r="AJ159" s="1"/>
      <c r="AN159" s="1"/>
      <c r="AS159" s="1"/>
      <c r="AT159" s="20"/>
      <c r="AX159" s="1"/>
      <c r="BA159" s="1"/>
      <c r="BC159" s="1"/>
      <c r="BD159" s="1"/>
      <c r="BG159" s="1"/>
      <c r="BJ159" s="1"/>
      <c r="BM159" s="1"/>
      <c r="BP159" s="1"/>
      <c r="BS159" s="1"/>
    </row>
    <row r="160" spans="1:71" x14ac:dyDescent="0.3">
      <c r="A160" s="19">
        <f t="shared" si="14"/>
        <v>46139</v>
      </c>
      <c r="B160">
        <f t="shared" ca="1" si="10"/>
        <v>3.6111111111111108E-2</v>
      </c>
      <c r="C160" t="str">
        <f ca="1">IF(currency="USD",'Future et co'!D160,IF(currency="EUR",'Future et co'!E160,IF(currency="GBP",'Future et co'!F160,FALSE)))</f>
        <v>RFR USD</v>
      </c>
      <c r="D160" t="str">
        <f t="shared" ca="1" si="11"/>
        <v>RFR USD</v>
      </c>
      <c r="E160" t="str">
        <f t="shared" ca="1" si="12"/>
        <v>RFR EUR</v>
      </c>
      <c r="F160" t="str">
        <f t="shared" ca="1" si="13"/>
        <v>RFR GBP</v>
      </c>
      <c r="J160" s="1"/>
      <c r="K160" s="20"/>
      <c r="N160" s="1"/>
      <c r="O160" s="20"/>
      <c r="R160" s="1"/>
      <c r="V160" s="1"/>
      <c r="AB160" s="1"/>
      <c r="AC160" s="20"/>
      <c r="AF160" s="1"/>
      <c r="AG160" s="20"/>
      <c r="AJ160" s="1"/>
      <c r="AN160" s="1"/>
      <c r="AS160" s="1"/>
      <c r="AT160" s="20"/>
      <c r="AX160" s="1"/>
      <c r="BA160" s="1"/>
      <c r="BC160" s="1"/>
      <c r="BD160" s="1"/>
      <c r="BG160" s="1"/>
      <c r="BJ160" s="1"/>
      <c r="BM160" s="1"/>
      <c r="BP160" s="1"/>
      <c r="BS160" s="1"/>
    </row>
    <row r="161" spans="1:71" x14ac:dyDescent="0.3">
      <c r="A161" s="19">
        <f t="shared" si="14"/>
        <v>46140</v>
      </c>
      <c r="B161">
        <f t="shared" ca="1" si="10"/>
        <v>3.3333333333333333E-2</v>
      </c>
      <c r="C161" t="str">
        <f ca="1">IF(currency="USD",'Future et co'!D161,IF(currency="EUR",'Future et co'!E161,IF(currency="GBP",'Future et co'!F161,FALSE)))</f>
        <v>RFR USD</v>
      </c>
      <c r="D161" t="str">
        <f t="shared" ca="1" si="11"/>
        <v>RFR USD</v>
      </c>
      <c r="E161" t="str">
        <f t="shared" ca="1" si="12"/>
        <v>RFR EUR</v>
      </c>
      <c r="F161" t="str">
        <f t="shared" ca="1" si="13"/>
        <v>RFR GBP</v>
      </c>
      <c r="J161" s="1"/>
      <c r="K161" s="20"/>
      <c r="N161" s="1"/>
      <c r="O161" s="20"/>
      <c r="R161" s="1"/>
      <c r="V161" s="1"/>
      <c r="AB161" s="1"/>
      <c r="AC161" s="20"/>
      <c r="AF161" s="1"/>
      <c r="AG161" s="20"/>
      <c r="AJ161" s="1"/>
      <c r="AN161" s="1"/>
      <c r="AS161" s="1"/>
      <c r="AT161" s="20"/>
      <c r="AX161" s="1"/>
      <c r="BA161" s="1"/>
      <c r="BC161" s="1"/>
      <c r="BD161" s="1"/>
      <c r="BG161" s="1"/>
      <c r="BJ161" s="1"/>
      <c r="BM161" s="1"/>
      <c r="BP161" s="1"/>
      <c r="BS161" s="1"/>
    </row>
    <row r="162" spans="1:71" x14ac:dyDescent="0.3">
      <c r="A162" s="19">
        <f t="shared" si="14"/>
        <v>46141</v>
      </c>
      <c r="B162">
        <f t="shared" ca="1" si="10"/>
        <v>3.0555555555555555E-2</v>
      </c>
      <c r="C162" t="str">
        <f ca="1">IF(currency="USD",'Future et co'!D162,IF(currency="EUR",'Future et co'!E162,IF(currency="GBP",'Future et co'!F162,FALSE)))</f>
        <v>RFR USD</v>
      </c>
      <c r="D162" t="str">
        <f t="shared" ca="1" si="11"/>
        <v>RFR USD</v>
      </c>
      <c r="E162" t="str">
        <f t="shared" ca="1" si="12"/>
        <v>RFR EUR</v>
      </c>
      <c r="F162" t="str">
        <f t="shared" ca="1" si="13"/>
        <v>RFR GBP</v>
      </c>
      <c r="J162" s="1"/>
      <c r="K162" s="20"/>
      <c r="N162" s="1"/>
      <c r="O162" s="20"/>
      <c r="R162" s="1"/>
      <c r="V162" s="1"/>
      <c r="AB162" s="1"/>
      <c r="AC162" s="20"/>
      <c r="AF162" s="1"/>
      <c r="AG162" s="20"/>
      <c r="AJ162" s="1"/>
      <c r="AN162" s="1"/>
      <c r="AS162" s="1"/>
      <c r="AT162" s="20"/>
      <c r="AX162" s="1"/>
      <c r="BA162" s="1"/>
      <c r="BC162" s="1"/>
      <c r="BD162" s="1"/>
      <c r="BG162" s="1"/>
      <c r="BJ162" s="1"/>
      <c r="BM162" s="1"/>
      <c r="BP162" s="1"/>
      <c r="BS162" s="1"/>
    </row>
    <row r="163" spans="1:71" x14ac:dyDescent="0.3">
      <c r="A163" s="19">
        <f t="shared" si="14"/>
        <v>46142</v>
      </c>
      <c r="B163">
        <f t="shared" ca="1" si="10"/>
        <v>2.7777777777777776E-2</v>
      </c>
      <c r="C163" t="str">
        <f ca="1">IF(currency="USD",'Future et co'!D163,IF(currency="EUR",'Future et co'!E163,IF(currency="GBP",'Future et co'!F163,FALSE)))</f>
        <v>RFR USD</v>
      </c>
      <c r="D163" t="str">
        <f t="shared" ca="1" si="11"/>
        <v>RFR USD</v>
      </c>
      <c r="E163" t="str">
        <f t="shared" ca="1" si="12"/>
        <v>RFR EUR</v>
      </c>
      <c r="F163" t="str">
        <f t="shared" ca="1" si="13"/>
        <v>RFR GBP</v>
      </c>
      <c r="J163" s="1"/>
      <c r="K163" s="20"/>
      <c r="N163" s="1"/>
      <c r="O163" s="20"/>
      <c r="R163" s="1"/>
      <c r="V163" s="1"/>
      <c r="AB163" s="1"/>
      <c r="AC163" s="20"/>
      <c r="AF163" s="1"/>
      <c r="AG163" s="20"/>
      <c r="AJ163" s="1"/>
      <c r="AN163" s="1"/>
      <c r="AS163" s="1"/>
      <c r="AT163" s="20"/>
      <c r="AX163" s="1"/>
      <c r="BA163" s="1"/>
      <c r="BC163" s="1"/>
      <c r="BD163" s="1"/>
      <c r="BG163" s="1"/>
      <c r="BJ163" s="1"/>
      <c r="BM163" s="1"/>
      <c r="BP163" s="1"/>
      <c r="BS163" s="1"/>
    </row>
    <row r="164" spans="1:71" x14ac:dyDescent="0.3">
      <c r="A164" s="19">
        <f t="shared" si="14"/>
        <v>46143</v>
      </c>
      <c r="B164">
        <f t="shared" ca="1" si="10"/>
        <v>2.5000000000000001E-2</v>
      </c>
      <c r="C164" t="str">
        <f ca="1">IF(currency="USD",'Future et co'!D164,IF(currency="EUR",'Future et co'!E164,IF(currency="GBP",'Future et co'!F164,FALSE)))</f>
        <v>RFR USD</v>
      </c>
      <c r="D164" t="str">
        <f t="shared" ca="1" si="11"/>
        <v>RFR USD</v>
      </c>
      <c r="E164" t="str">
        <f t="shared" ca="1" si="12"/>
        <v>RFR EUR</v>
      </c>
      <c r="F164" t="str">
        <f t="shared" ca="1" si="13"/>
        <v>RFR GBP</v>
      </c>
      <c r="J164" s="1"/>
      <c r="K164" s="20"/>
      <c r="N164" s="1"/>
      <c r="O164" s="20"/>
      <c r="R164" s="1"/>
      <c r="V164" s="1"/>
      <c r="AB164" s="1"/>
      <c r="AC164" s="20"/>
      <c r="AF164" s="1"/>
      <c r="AG164" s="20"/>
      <c r="AJ164" s="1"/>
      <c r="AN164" s="1"/>
      <c r="AS164" s="1"/>
      <c r="AT164" s="20"/>
      <c r="AX164" s="1"/>
      <c r="BA164" s="1"/>
      <c r="BC164" s="1"/>
      <c r="BD164" s="1"/>
      <c r="BG164" s="1"/>
      <c r="BJ164" s="1"/>
      <c r="BM164" s="1"/>
      <c r="BP164" s="1"/>
      <c r="BS164" s="1"/>
    </row>
    <row r="165" spans="1:71" x14ac:dyDescent="0.3">
      <c r="A165" s="19">
        <f t="shared" si="14"/>
        <v>46146</v>
      </c>
      <c r="B165">
        <f t="shared" ca="1" si="10"/>
        <v>1.6666666666666666E-2</v>
      </c>
      <c r="C165" t="str">
        <f ca="1">IF(currency="USD",'Future et co'!D165,IF(currency="EUR",'Future et co'!E165,IF(currency="GBP",'Future et co'!F165,FALSE)))</f>
        <v>RFR USD</v>
      </c>
      <c r="D165" t="str">
        <f t="shared" ca="1" si="11"/>
        <v>RFR USD</v>
      </c>
      <c r="E165" t="str">
        <f t="shared" ca="1" si="12"/>
        <v>RFR EUR</v>
      </c>
      <c r="F165" t="str">
        <f t="shared" ca="1" si="13"/>
        <v>RFR GBP</v>
      </c>
      <c r="J165" s="1"/>
      <c r="K165" s="20"/>
      <c r="N165" s="1"/>
      <c r="O165" s="20"/>
      <c r="R165" s="1"/>
      <c r="V165" s="1"/>
      <c r="AB165" s="1"/>
      <c r="AC165" s="20"/>
      <c r="AF165" s="1"/>
      <c r="AG165" s="20"/>
      <c r="AJ165" s="1"/>
      <c r="AN165" s="1"/>
      <c r="AS165" s="1"/>
      <c r="AT165" s="20"/>
      <c r="AX165" s="1"/>
      <c r="BA165" s="1"/>
      <c r="BC165" s="1"/>
      <c r="BD165" s="1"/>
      <c r="BG165" s="1"/>
      <c r="BJ165" s="1"/>
      <c r="BM165" s="1"/>
      <c r="BP165" s="1"/>
      <c r="BS165" s="1"/>
    </row>
    <row r="166" spans="1:71" x14ac:dyDescent="0.3">
      <c r="A166" s="19">
        <f t="shared" si="14"/>
        <v>46147</v>
      </c>
      <c r="B166">
        <f t="shared" ca="1" si="10"/>
        <v>1.3888888888888888E-2</v>
      </c>
      <c r="C166" t="str">
        <f ca="1">IF(currency="USD",'Future et co'!D166,IF(currency="EUR",'Future et co'!E166,IF(currency="GBP",'Future et co'!F166,FALSE)))</f>
        <v>RFR USD</v>
      </c>
      <c r="D166" t="str">
        <f t="shared" ca="1" si="11"/>
        <v>RFR USD</v>
      </c>
      <c r="E166" t="str">
        <f t="shared" ca="1" si="12"/>
        <v>RFR EUR</v>
      </c>
      <c r="F166" t="str">
        <f t="shared" ca="1" si="13"/>
        <v>RFR GBP</v>
      </c>
      <c r="J166" s="1"/>
      <c r="K166" s="20"/>
      <c r="N166" s="1"/>
      <c r="O166" s="20"/>
      <c r="R166" s="1"/>
      <c r="V166" s="1"/>
      <c r="AB166" s="1"/>
      <c r="AC166" s="20"/>
      <c r="AF166" s="1"/>
      <c r="AG166" s="20"/>
      <c r="AJ166" s="1"/>
      <c r="AN166" s="1"/>
      <c r="AS166" s="1"/>
      <c r="AT166" s="20"/>
      <c r="AX166" s="1"/>
      <c r="BA166" s="1"/>
      <c r="BC166" s="1"/>
      <c r="BD166" s="1"/>
      <c r="BG166" s="1"/>
      <c r="BJ166" s="1"/>
      <c r="BM166" s="1"/>
      <c r="BP166" s="1"/>
      <c r="BS166" s="1"/>
    </row>
    <row r="167" spans="1:71" x14ac:dyDescent="0.3">
      <c r="A167" s="19">
        <f t="shared" si="14"/>
        <v>46148</v>
      </c>
      <c r="B167">
        <f t="shared" ca="1" si="10"/>
        <v>1.1111111111111112E-2</v>
      </c>
      <c r="C167" t="str">
        <f ca="1">IF(currency="USD",'Future et co'!D167,IF(currency="EUR",'Future et co'!E167,IF(currency="GBP",'Future et co'!F167,FALSE)))</f>
        <v>RFR USD</v>
      </c>
      <c r="D167" t="str">
        <f t="shared" ca="1" si="11"/>
        <v>RFR USD</v>
      </c>
      <c r="E167" t="str">
        <f t="shared" ca="1" si="12"/>
        <v>RFR EUR</v>
      </c>
      <c r="F167" t="str">
        <f t="shared" ca="1" si="13"/>
        <v>RFR GBP</v>
      </c>
      <c r="J167" s="1"/>
      <c r="K167" s="20"/>
      <c r="N167" s="1"/>
      <c r="O167" s="20"/>
      <c r="R167" s="1"/>
      <c r="V167" s="1"/>
      <c r="AB167" s="1"/>
      <c r="AC167" s="20"/>
      <c r="AF167" s="1"/>
      <c r="AG167" s="20"/>
      <c r="AJ167" s="1"/>
      <c r="AN167" s="1"/>
      <c r="AS167" s="1"/>
      <c r="AT167" s="20"/>
      <c r="AX167" s="1"/>
      <c r="BA167" s="1"/>
      <c r="BC167" s="1"/>
      <c r="BD167" s="1"/>
      <c r="BG167" s="1"/>
      <c r="BJ167" s="1"/>
      <c r="BM167" s="1"/>
      <c r="BP167" s="1"/>
      <c r="BS167" s="1"/>
    </row>
    <row r="168" spans="1:71" x14ac:dyDescent="0.3">
      <c r="A168" s="19">
        <f t="shared" si="14"/>
        <v>46149</v>
      </c>
      <c r="B168">
        <f t="shared" ca="1" si="10"/>
        <v>8.3333333333333332E-3</v>
      </c>
      <c r="C168" t="str">
        <f ca="1">IF(currency="USD",'Future et co'!D168,IF(currency="EUR",'Future et co'!E168,IF(currency="GBP",'Future et co'!F168,FALSE)))</f>
        <v>RFR USD</v>
      </c>
      <c r="D168" t="str">
        <f t="shared" ca="1" si="11"/>
        <v>RFR USD</v>
      </c>
      <c r="E168" t="str">
        <f t="shared" ca="1" si="12"/>
        <v>RFR EUR</v>
      </c>
      <c r="F168" t="str">
        <f t="shared" ca="1" si="13"/>
        <v>RFR GBP</v>
      </c>
      <c r="J168" s="1"/>
      <c r="K168" s="20"/>
      <c r="N168" s="1"/>
      <c r="O168" s="20"/>
      <c r="R168" s="1"/>
      <c r="V168" s="1"/>
      <c r="AB168" s="1"/>
      <c r="AC168" s="20"/>
      <c r="AF168" s="1"/>
      <c r="AG168" s="20"/>
      <c r="AJ168" s="1"/>
      <c r="AN168" s="1"/>
      <c r="AS168" s="1"/>
      <c r="AT168" s="20"/>
      <c r="AX168" s="1"/>
      <c r="BA168" s="1"/>
      <c r="BC168" s="1"/>
      <c r="BD168" s="1"/>
      <c r="BG168" s="1"/>
      <c r="BJ168" s="1"/>
      <c r="BM168" s="1"/>
      <c r="BP168" s="1"/>
      <c r="BS168" s="1"/>
    </row>
    <row r="169" spans="1:71" x14ac:dyDescent="0.3">
      <c r="A169" s="19">
        <f t="shared" si="14"/>
        <v>46150</v>
      </c>
      <c r="B169">
        <f t="shared" ca="1" si="10"/>
        <v>5.5555555555555558E-3</v>
      </c>
      <c r="C169" t="str">
        <f ca="1">IF(currency="USD",'Future et co'!D169,IF(currency="EUR",'Future et co'!E169,IF(currency="GBP",'Future et co'!F169,FALSE)))</f>
        <v>RFR USD</v>
      </c>
      <c r="D169" t="str">
        <f t="shared" ca="1" si="11"/>
        <v>RFR USD</v>
      </c>
      <c r="E169" t="str">
        <f t="shared" ca="1" si="12"/>
        <v>RFR EUR</v>
      </c>
      <c r="F169" t="str">
        <f t="shared" ca="1" si="13"/>
        <v>RFR GBP</v>
      </c>
      <c r="J169" s="1"/>
      <c r="K169" s="20"/>
      <c r="N169" s="1"/>
      <c r="O169" s="20"/>
      <c r="R169" s="1"/>
      <c r="V169" s="1"/>
      <c r="AB169" s="1"/>
      <c r="AC169" s="20"/>
      <c r="AF169" s="1"/>
      <c r="AG169" s="20"/>
      <c r="AJ169" s="1"/>
      <c r="AN169" s="1"/>
      <c r="AS169" s="1"/>
      <c r="AT169" s="20"/>
      <c r="AX169" s="1"/>
      <c r="BA169" s="1"/>
      <c r="BC169" s="1"/>
      <c r="BD169" s="1"/>
      <c r="BG169" s="1"/>
      <c r="BJ169" s="1"/>
      <c r="BM169" s="1"/>
      <c r="BP169" s="1"/>
      <c r="BS169" s="1"/>
    </row>
    <row r="170" spans="1:71" x14ac:dyDescent="0.3">
      <c r="A170" s="19">
        <f t="shared" si="14"/>
        <v>46153</v>
      </c>
      <c r="B170">
        <f t="shared" ca="1" si="10"/>
        <v>-2.7777777777777779E-3</v>
      </c>
      <c r="C170" t="str">
        <f ca="1">IF(currency="USD",'Future et co'!D170,IF(currency="EUR",'Future et co'!E170,IF(currency="GBP",'Future et co'!F170,FALSE)))</f>
        <v>RFR USD</v>
      </c>
      <c r="D170" t="str">
        <f t="shared" ca="1" si="11"/>
        <v>RFR USD</v>
      </c>
      <c r="E170" t="str">
        <f t="shared" ca="1" si="12"/>
        <v>RFR EUR</v>
      </c>
      <c r="F170" t="str">
        <f t="shared" ca="1" si="13"/>
        <v>RFR GBP</v>
      </c>
      <c r="J170" s="1"/>
      <c r="K170" s="20"/>
      <c r="N170" s="1"/>
      <c r="O170" s="20"/>
      <c r="R170" s="1"/>
      <c r="V170" s="1"/>
      <c r="AB170" s="1"/>
      <c r="AC170" s="20"/>
      <c r="AF170" s="1"/>
      <c r="AG170" s="20"/>
      <c r="AJ170" s="1"/>
      <c r="AN170" s="1"/>
      <c r="AS170" s="1"/>
      <c r="AT170" s="20"/>
      <c r="AX170" s="1"/>
      <c r="BA170" s="1"/>
      <c r="BC170" s="1"/>
      <c r="BD170" s="1"/>
      <c r="BG170" s="1"/>
      <c r="BJ170" s="1"/>
      <c r="BM170" s="1"/>
      <c r="BP170" s="1"/>
      <c r="BS170" s="1"/>
    </row>
    <row r="171" spans="1:71" x14ac:dyDescent="0.3">
      <c r="A171" s="19">
        <f t="shared" si="14"/>
        <v>46154</v>
      </c>
      <c r="B171">
        <f t="shared" ca="1" si="10"/>
        <v>-5.5555555555555558E-3</v>
      </c>
      <c r="C171" t="str">
        <f ca="1">IF(currency="USD",'Future et co'!D171,IF(currency="EUR",'Future et co'!E171,IF(currency="GBP",'Future et co'!F171,FALSE)))</f>
        <v>RFR USD</v>
      </c>
      <c r="D171" t="str">
        <f t="shared" ca="1" si="11"/>
        <v>RFR USD</v>
      </c>
      <c r="E171" t="str">
        <f t="shared" ca="1" si="12"/>
        <v>RFR EUR</v>
      </c>
      <c r="F171" t="str">
        <f t="shared" ca="1" si="13"/>
        <v>RFR GBP</v>
      </c>
      <c r="J171" s="1"/>
      <c r="K171" s="20"/>
      <c r="N171" s="1"/>
      <c r="O171" s="20"/>
      <c r="R171" s="1"/>
      <c r="V171" s="1"/>
      <c r="AB171" s="1"/>
      <c r="AC171" s="20"/>
      <c r="AF171" s="1"/>
      <c r="AG171" s="20"/>
      <c r="AJ171" s="1"/>
      <c r="AN171" s="1"/>
      <c r="AS171" s="1"/>
      <c r="AT171" s="20"/>
      <c r="AX171" s="1"/>
      <c r="BA171" s="1"/>
      <c r="BC171" s="1"/>
      <c r="BD171" s="1"/>
      <c r="BG171" s="1"/>
      <c r="BJ171" s="1"/>
      <c r="BM171" s="1"/>
      <c r="BP171" s="1"/>
      <c r="BS171" s="1"/>
    </row>
    <row r="172" spans="1:71" x14ac:dyDescent="0.3">
      <c r="A172" s="19">
        <f t="shared" si="14"/>
        <v>46155</v>
      </c>
      <c r="B172">
        <f t="shared" ca="1" si="10"/>
        <v>-8.3333333333333332E-3</v>
      </c>
      <c r="C172" t="str">
        <f ca="1">IF(currency="USD",'Future et co'!D172,IF(currency="EUR",'Future et co'!E172,IF(currency="GBP",'Future et co'!F172,FALSE)))</f>
        <v>RFR USD</v>
      </c>
      <c r="D172" t="str">
        <f t="shared" ca="1" si="11"/>
        <v>RFR USD</v>
      </c>
      <c r="E172" t="str">
        <f t="shared" ca="1" si="12"/>
        <v>RFR EUR</v>
      </c>
      <c r="F172" t="str">
        <f t="shared" ca="1" si="13"/>
        <v>RFR GBP</v>
      </c>
      <c r="J172" s="1"/>
      <c r="K172" s="20"/>
      <c r="N172" s="1"/>
      <c r="O172" s="20"/>
      <c r="R172" s="1"/>
      <c r="V172" s="1"/>
      <c r="AB172" s="1"/>
      <c r="AC172" s="20"/>
      <c r="AF172" s="1"/>
      <c r="AG172" s="20"/>
      <c r="AJ172" s="1"/>
      <c r="AN172" s="1"/>
      <c r="AS172" s="1"/>
      <c r="AT172" s="20"/>
      <c r="AX172" s="1"/>
      <c r="BA172" s="1"/>
      <c r="BC172" s="1"/>
      <c r="BD172" s="1"/>
      <c r="BG172" s="1"/>
      <c r="BJ172" s="1"/>
      <c r="BM172" s="1"/>
      <c r="BP172" s="1"/>
      <c r="BS172" s="1"/>
    </row>
    <row r="173" spans="1:71" x14ac:dyDescent="0.3">
      <c r="A173" s="19">
        <f t="shared" si="14"/>
        <v>46156</v>
      </c>
      <c r="B173">
        <f t="shared" ca="1" si="10"/>
        <v>-1.1111111111111112E-2</v>
      </c>
      <c r="C173" t="str">
        <f ca="1">IF(currency="USD",'Future et co'!D173,IF(currency="EUR",'Future et co'!E173,IF(currency="GBP",'Future et co'!F173,FALSE)))</f>
        <v>RFR USD</v>
      </c>
      <c r="D173" t="str">
        <f t="shared" ca="1" si="11"/>
        <v>RFR USD</v>
      </c>
      <c r="E173" t="str">
        <f t="shared" ca="1" si="12"/>
        <v>RFR EUR</v>
      </c>
      <c r="F173" t="str">
        <f t="shared" ca="1" si="13"/>
        <v>RFR GBP</v>
      </c>
      <c r="J173" s="1"/>
      <c r="K173" s="20"/>
      <c r="N173" s="1"/>
      <c r="O173" s="20"/>
      <c r="R173" s="1"/>
      <c r="V173" s="1"/>
      <c r="AB173" s="1"/>
      <c r="AC173" s="20"/>
      <c r="AF173" s="1"/>
      <c r="AG173" s="20"/>
      <c r="AJ173" s="1"/>
      <c r="AN173" s="1"/>
      <c r="AS173" s="1"/>
      <c r="AT173" s="20"/>
      <c r="AX173" s="1"/>
      <c r="BA173" s="1"/>
      <c r="BC173" s="1"/>
      <c r="BD173" s="1"/>
      <c r="BG173" s="1"/>
      <c r="BJ173" s="1"/>
      <c r="BM173" s="1"/>
      <c r="BP173" s="1"/>
      <c r="BS173" s="1"/>
    </row>
    <row r="174" spans="1:71" x14ac:dyDescent="0.3">
      <c r="A174" s="19">
        <f t="shared" si="14"/>
        <v>46157</v>
      </c>
      <c r="B174">
        <f t="shared" ca="1" si="10"/>
        <v>-1.3888888888888888E-2</v>
      </c>
      <c r="C174" t="str">
        <f ca="1">IF(currency="USD",'Future et co'!D174,IF(currency="EUR",'Future et co'!E174,IF(currency="GBP",'Future et co'!F174,FALSE)))</f>
        <v>RFR USD</v>
      </c>
      <c r="D174" t="str">
        <f t="shared" ca="1" si="11"/>
        <v>RFR USD</v>
      </c>
      <c r="E174" t="str">
        <f t="shared" ca="1" si="12"/>
        <v>RFR EUR</v>
      </c>
      <c r="F174" t="str">
        <f t="shared" ca="1" si="13"/>
        <v>RFR GBP</v>
      </c>
      <c r="J174" s="1"/>
      <c r="K174" s="20"/>
      <c r="N174" s="1"/>
      <c r="O174" s="20"/>
      <c r="R174" s="1"/>
      <c r="V174" s="1"/>
      <c r="AB174" s="1"/>
      <c r="AC174" s="20"/>
      <c r="AF174" s="1"/>
      <c r="AG174" s="20"/>
      <c r="AJ174" s="1"/>
      <c r="AN174" s="1"/>
      <c r="AS174" s="1"/>
      <c r="AT174" s="20"/>
      <c r="AX174" s="1"/>
      <c r="BA174" s="1"/>
      <c r="BC174" s="1"/>
      <c r="BD174" s="1"/>
      <c r="BG174" s="1"/>
      <c r="BJ174" s="1"/>
      <c r="BM174" s="1"/>
      <c r="BP174" s="1"/>
      <c r="BS174" s="1"/>
    </row>
    <row r="175" spans="1:71" x14ac:dyDescent="0.3">
      <c r="A175" s="19">
        <f t="shared" si="14"/>
        <v>46160</v>
      </c>
      <c r="B175">
        <f t="shared" ca="1" si="10"/>
        <v>-2.2222222222222223E-2</v>
      </c>
      <c r="C175" t="str">
        <f ca="1">IF(currency="USD",'Future et co'!D175,IF(currency="EUR",'Future et co'!E175,IF(currency="GBP",'Future et co'!F175,FALSE)))</f>
        <v>RFR USD</v>
      </c>
      <c r="D175" t="str">
        <f t="shared" ca="1" si="11"/>
        <v>RFR USD</v>
      </c>
      <c r="E175" t="str">
        <f t="shared" ca="1" si="12"/>
        <v>RFR EUR</v>
      </c>
      <c r="F175" t="str">
        <f t="shared" ca="1" si="13"/>
        <v>RFR GBP</v>
      </c>
      <c r="J175" s="1"/>
      <c r="K175" s="20"/>
      <c r="N175" s="1"/>
      <c r="O175" s="20"/>
      <c r="R175" s="1"/>
      <c r="V175" s="1"/>
      <c r="AB175" s="1"/>
      <c r="AC175" s="20"/>
      <c r="AF175" s="1"/>
      <c r="AG175" s="20"/>
      <c r="AJ175" s="1"/>
      <c r="AN175" s="1"/>
      <c r="AS175" s="1"/>
      <c r="AT175" s="20"/>
      <c r="AX175" s="1"/>
      <c r="BA175" s="1"/>
      <c r="BC175" s="1"/>
      <c r="BD175" s="1"/>
      <c r="BG175" s="1"/>
      <c r="BJ175" s="1"/>
      <c r="BM175" s="1"/>
      <c r="BP175" s="1"/>
      <c r="BS175" s="1"/>
    </row>
    <row r="176" spans="1:71" x14ac:dyDescent="0.3">
      <c r="A176" s="19">
        <f t="shared" si="14"/>
        <v>46161</v>
      </c>
      <c r="B176">
        <f t="shared" ca="1" si="10"/>
        <v>-2.5000000000000001E-2</v>
      </c>
      <c r="C176" t="str">
        <f ca="1">IF(currency="USD",'Future et co'!D176,IF(currency="EUR",'Future et co'!E176,IF(currency="GBP",'Future et co'!F176,FALSE)))</f>
        <v>RFR USD</v>
      </c>
      <c r="D176" t="str">
        <f t="shared" ca="1" si="11"/>
        <v>RFR USD</v>
      </c>
      <c r="E176" t="str">
        <f t="shared" ca="1" si="12"/>
        <v>RFR EUR</v>
      </c>
      <c r="F176" t="str">
        <f t="shared" ca="1" si="13"/>
        <v>RFR GBP</v>
      </c>
      <c r="J176" s="1"/>
      <c r="K176" s="20"/>
      <c r="N176" s="1"/>
      <c r="O176" s="20"/>
      <c r="R176" s="1"/>
      <c r="V176" s="1"/>
      <c r="AB176" s="1"/>
      <c r="AC176" s="20"/>
      <c r="AF176" s="1"/>
      <c r="AG176" s="20"/>
      <c r="AJ176" s="1"/>
      <c r="AN176" s="1"/>
      <c r="AS176" s="1"/>
      <c r="AT176" s="20"/>
      <c r="AX176" s="1"/>
      <c r="BA176" s="1"/>
      <c r="BC176" s="1"/>
      <c r="BD176" s="1"/>
      <c r="BG176" s="1"/>
      <c r="BJ176" s="1"/>
      <c r="BM176" s="1"/>
      <c r="BP176" s="1"/>
      <c r="BS176" s="1"/>
    </row>
    <row r="177" spans="1:71" x14ac:dyDescent="0.3">
      <c r="A177" s="19">
        <f t="shared" si="14"/>
        <v>46162</v>
      </c>
      <c r="B177">
        <f t="shared" ca="1" si="10"/>
        <v>-2.7777777777777776E-2</v>
      </c>
      <c r="C177" t="str">
        <f ca="1">IF(currency="USD",'Future et co'!D177,IF(currency="EUR",'Future et co'!E177,IF(currency="GBP",'Future et co'!F177,FALSE)))</f>
        <v>RFR USD</v>
      </c>
      <c r="D177" t="str">
        <f t="shared" ca="1" si="11"/>
        <v>RFR USD</v>
      </c>
      <c r="E177" t="str">
        <f t="shared" ca="1" si="12"/>
        <v>RFR EUR</v>
      </c>
      <c r="F177" t="str">
        <f t="shared" ca="1" si="13"/>
        <v>RFR GBP</v>
      </c>
      <c r="J177" s="1"/>
      <c r="K177" s="20"/>
      <c r="N177" s="1"/>
      <c r="O177" s="20"/>
      <c r="R177" s="1"/>
      <c r="V177" s="1"/>
      <c r="AB177" s="1"/>
      <c r="AC177" s="20"/>
      <c r="AF177" s="1"/>
      <c r="AG177" s="20"/>
      <c r="AJ177" s="1"/>
      <c r="AN177" s="1"/>
      <c r="AS177" s="1"/>
      <c r="AT177" s="20"/>
      <c r="AX177" s="1"/>
      <c r="BA177" s="1"/>
      <c r="BC177" s="1"/>
      <c r="BD177" s="1"/>
      <c r="BG177" s="1"/>
      <c r="BJ177" s="1"/>
      <c r="BM177" s="1"/>
      <c r="BP177" s="1"/>
      <c r="BS177" s="1"/>
    </row>
    <row r="178" spans="1:71" x14ac:dyDescent="0.3">
      <c r="A178" s="19">
        <f t="shared" si="14"/>
        <v>46163</v>
      </c>
      <c r="B178">
        <f t="shared" ca="1" si="10"/>
        <v>-3.0555555555555555E-2</v>
      </c>
      <c r="C178" t="str">
        <f ca="1">IF(currency="USD",'Future et co'!D178,IF(currency="EUR",'Future et co'!E178,IF(currency="GBP",'Future et co'!F178,FALSE)))</f>
        <v>RFR USD</v>
      </c>
      <c r="D178" t="str">
        <f t="shared" ca="1" si="11"/>
        <v>RFR USD</v>
      </c>
      <c r="E178" t="str">
        <f t="shared" ca="1" si="12"/>
        <v>RFR EUR</v>
      </c>
      <c r="F178" t="str">
        <f t="shared" ca="1" si="13"/>
        <v>RFR GBP</v>
      </c>
      <c r="J178" s="1"/>
      <c r="K178" s="20"/>
      <c r="N178" s="1"/>
      <c r="O178" s="20"/>
      <c r="R178" s="1"/>
      <c r="V178" s="1"/>
      <c r="AB178" s="1"/>
      <c r="AC178" s="20"/>
      <c r="AF178" s="1"/>
      <c r="AG178" s="20"/>
      <c r="AJ178" s="1"/>
      <c r="AN178" s="1"/>
      <c r="AS178" s="1"/>
      <c r="AT178" s="20"/>
      <c r="AX178" s="1"/>
      <c r="BA178" s="1"/>
      <c r="BC178" s="1"/>
      <c r="BD178" s="1"/>
      <c r="BG178" s="1"/>
      <c r="BJ178" s="1"/>
      <c r="BM178" s="1"/>
      <c r="BP178" s="1"/>
      <c r="BS178" s="1"/>
    </row>
    <row r="179" spans="1:71" x14ac:dyDescent="0.3">
      <c r="A179" s="19">
        <f t="shared" si="14"/>
        <v>46164</v>
      </c>
      <c r="B179">
        <f t="shared" ca="1" si="10"/>
        <v>-3.3333333333333333E-2</v>
      </c>
      <c r="C179" t="str">
        <f ca="1">IF(currency="USD",'Future et co'!D179,IF(currency="EUR",'Future et co'!E179,IF(currency="GBP",'Future et co'!F179,FALSE)))</f>
        <v>RFR USD</v>
      </c>
      <c r="D179" t="str">
        <f t="shared" ca="1" si="11"/>
        <v>RFR USD</v>
      </c>
      <c r="E179" t="str">
        <f t="shared" ca="1" si="12"/>
        <v>RFR EUR</v>
      </c>
      <c r="F179" t="str">
        <f t="shared" ca="1" si="13"/>
        <v>RFR GBP</v>
      </c>
      <c r="J179" s="1"/>
      <c r="K179" s="20"/>
      <c r="N179" s="1"/>
      <c r="O179" s="20"/>
      <c r="R179" s="1"/>
      <c r="V179" s="1"/>
      <c r="AB179" s="1"/>
      <c r="AC179" s="20"/>
      <c r="AF179" s="1"/>
      <c r="AG179" s="20"/>
      <c r="AJ179" s="1"/>
      <c r="AN179" s="1"/>
      <c r="AS179" s="1"/>
      <c r="AT179" s="20"/>
      <c r="AX179" s="1"/>
      <c r="BA179" s="1"/>
      <c r="BC179" s="1"/>
      <c r="BD179" s="1"/>
      <c r="BG179" s="1"/>
      <c r="BJ179" s="1"/>
      <c r="BM179" s="1"/>
      <c r="BP179" s="1"/>
      <c r="BS179" s="1"/>
    </row>
    <row r="180" spans="1:71" x14ac:dyDescent="0.3">
      <c r="A180" s="19">
        <f t="shared" si="14"/>
        <v>46167</v>
      </c>
      <c r="B180">
        <f t="shared" ca="1" si="10"/>
        <v>-4.1666666666666664E-2</v>
      </c>
      <c r="C180" t="str">
        <f ca="1">IF(currency="USD",'Future et co'!D180,IF(currency="EUR",'Future et co'!E180,IF(currency="GBP",'Future et co'!F180,FALSE)))</f>
        <v>RFR USD</v>
      </c>
      <c r="D180" t="str">
        <f t="shared" ca="1" si="11"/>
        <v>RFR USD</v>
      </c>
      <c r="E180" t="str">
        <f t="shared" ca="1" si="12"/>
        <v>RFR EUR</v>
      </c>
      <c r="F180" t="str">
        <f t="shared" ca="1" si="13"/>
        <v>RFR GBP</v>
      </c>
      <c r="J180" s="1"/>
      <c r="K180" s="20"/>
      <c r="N180" s="1"/>
      <c r="O180" s="20"/>
      <c r="R180" s="1"/>
      <c r="V180" s="1"/>
      <c r="AB180" s="1"/>
      <c r="AC180" s="20"/>
      <c r="AF180" s="1"/>
      <c r="AG180" s="20"/>
      <c r="AJ180" s="1"/>
      <c r="AN180" s="1"/>
      <c r="AS180" s="1"/>
      <c r="AT180" s="20"/>
      <c r="AX180" s="1"/>
      <c r="BA180" s="1"/>
      <c r="BC180" s="1"/>
      <c r="BD180" s="1"/>
      <c r="BG180" s="1"/>
      <c r="BJ180" s="1"/>
      <c r="BM180" s="1"/>
      <c r="BP180" s="1"/>
      <c r="BS180" s="1"/>
    </row>
    <row r="181" spans="1:71" x14ac:dyDescent="0.3">
      <c r="A181" s="19">
        <f t="shared" si="14"/>
        <v>46168</v>
      </c>
      <c r="B181">
        <f t="shared" ca="1" si="10"/>
        <v>-4.4444444444444446E-2</v>
      </c>
      <c r="C181" t="str">
        <f ca="1">IF(currency="USD",'Future et co'!D181,IF(currency="EUR",'Future et co'!E181,IF(currency="GBP",'Future et co'!F181,FALSE)))</f>
        <v>RFR USD</v>
      </c>
      <c r="D181" t="str">
        <f t="shared" ca="1" si="11"/>
        <v>RFR USD</v>
      </c>
      <c r="E181" t="str">
        <f t="shared" ca="1" si="12"/>
        <v>RFR EUR</v>
      </c>
      <c r="F181" t="str">
        <f t="shared" ca="1" si="13"/>
        <v>RFR GBP</v>
      </c>
      <c r="J181" s="1"/>
      <c r="K181" s="20"/>
      <c r="N181" s="1"/>
      <c r="O181" s="20"/>
      <c r="R181" s="1"/>
      <c r="V181" s="1"/>
      <c r="AB181" s="1"/>
      <c r="AC181" s="20"/>
      <c r="AF181" s="1"/>
      <c r="AG181" s="20"/>
      <c r="AJ181" s="1"/>
      <c r="AN181" s="1"/>
      <c r="AS181" s="1"/>
      <c r="AT181" s="20"/>
      <c r="AX181" s="1"/>
      <c r="BA181" s="1"/>
      <c r="BC181" s="1"/>
      <c r="BD181" s="1"/>
      <c r="BG181" s="1"/>
      <c r="BJ181" s="1"/>
      <c r="BM181" s="1"/>
      <c r="BP181" s="1"/>
      <c r="BS181" s="1"/>
    </row>
    <row r="182" spans="1:71" x14ac:dyDescent="0.3">
      <c r="A182" s="19">
        <f t="shared" si="14"/>
        <v>46169</v>
      </c>
      <c r="B182">
        <f t="shared" ca="1" si="10"/>
        <v>-4.7222222222222221E-2</v>
      </c>
      <c r="C182" t="str">
        <f ca="1">IF(currency="USD",'Future et co'!D182,IF(currency="EUR",'Future et co'!E182,IF(currency="GBP",'Future et co'!F182,FALSE)))</f>
        <v>RFR USD</v>
      </c>
      <c r="D182" t="str">
        <f t="shared" ca="1" si="11"/>
        <v>RFR USD</v>
      </c>
      <c r="E182" t="str">
        <f t="shared" ca="1" si="12"/>
        <v>RFR EUR</v>
      </c>
      <c r="F182" t="str">
        <f t="shared" ca="1" si="13"/>
        <v>RFR GBP</v>
      </c>
      <c r="J182" s="1"/>
      <c r="K182" s="20"/>
      <c r="N182" s="1"/>
      <c r="O182" s="20"/>
      <c r="R182" s="1"/>
      <c r="V182" s="1"/>
      <c r="AB182" s="1"/>
      <c r="AC182" s="20"/>
      <c r="AF182" s="1"/>
      <c r="AG182" s="20"/>
      <c r="AJ182" s="1"/>
      <c r="AN182" s="1"/>
      <c r="AS182" s="1"/>
      <c r="AT182" s="20"/>
      <c r="AX182" s="1"/>
      <c r="BA182" s="1"/>
      <c r="BC182" s="1"/>
      <c r="BD182" s="1"/>
      <c r="BG182" s="1"/>
      <c r="BJ182" s="1"/>
      <c r="BM182" s="1"/>
      <c r="BP182" s="1"/>
      <c r="BS182" s="1"/>
    </row>
    <row r="183" spans="1:71" x14ac:dyDescent="0.3">
      <c r="A183" s="19">
        <f t="shared" si="14"/>
        <v>46170</v>
      </c>
      <c r="B183">
        <f t="shared" ca="1" si="10"/>
        <v>-0.05</v>
      </c>
      <c r="C183" t="str">
        <f ca="1">IF(currency="USD",'Future et co'!D183,IF(currency="EUR",'Future et co'!E183,IF(currency="GBP",'Future et co'!F183,FALSE)))</f>
        <v>RFR USD</v>
      </c>
      <c r="D183" t="str">
        <f t="shared" ca="1" si="11"/>
        <v>RFR USD</v>
      </c>
      <c r="E183" t="str">
        <f t="shared" ca="1" si="12"/>
        <v>RFR EUR</v>
      </c>
      <c r="F183" t="str">
        <f t="shared" ca="1" si="13"/>
        <v>RFR GBP</v>
      </c>
      <c r="J183" s="1"/>
      <c r="K183" s="20"/>
      <c r="N183" s="1"/>
      <c r="O183" s="20"/>
      <c r="R183" s="1"/>
      <c r="V183" s="1"/>
      <c r="AB183" s="1"/>
      <c r="AC183" s="20"/>
      <c r="AF183" s="1"/>
      <c r="AG183" s="20"/>
      <c r="AJ183" s="1"/>
      <c r="AN183" s="1"/>
      <c r="AS183" s="1"/>
      <c r="AT183" s="20"/>
      <c r="AX183" s="1"/>
      <c r="BA183" s="1"/>
      <c r="BC183" s="1"/>
      <c r="BD183" s="1"/>
      <c r="BG183" s="1"/>
      <c r="BJ183" s="1"/>
      <c r="BM183" s="1"/>
      <c r="BP183" s="1"/>
      <c r="BS183" s="1"/>
    </row>
    <row r="184" spans="1:71" x14ac:dyDescent="0.3">
      <c r="A184" s="19">
        <f t="shared" si="14"/>
        <v>46171</v>
      </c>
      <c r="B184">
        <f t="shared" ca="1" si="10"/>
        <v>-5.2777777777777778E-2</v>
      </c>
      <c r="C184" t="str">
        <f ca="1">IF(currency="USD",'Future et co'!D184,IF(currency="EUR",'Future et co'!E184,IF(currency="GBP",'Future et co'!F184,FALSE)))</f>
        <v>RFR USD</v>
      </c>
      <c r="D184" t="str">
        <f t="shared" ca="1" si="11"/>
        <v>RFR USD</v>
      </c>
      <c r="E184" t="str">
        <f t="shared" ca="1" si="12"/>
        <v>RFR EUR</v>
      </c>
      <c r="F184" t="str">
        <f t="shared" ca="1" si="13"/>
        <v>RFR GBP</v>
      </c>
      <c r="J184" s="1"/>
      <c r="K184" s="20"/>
      <c r="N184" s="1"/>
      <c r="O184" s="20"/>
      <c r="R184" s="1"/>
      <c r="V184" s="1"/>
      <c r="AB184" s="1"/>
      <c r="AC184" s="20"/>
      <c r="AF184" s="1"/>
      <c r="AG184" s="20"/>
      <c r="AJ184" s="1"/>
      <c r="AN184" s="1"/>
      <c r="AS184" s="1"/>
      <c r="AT184" s="20"/>
      <c r="AX184" s="1"/>
      <c r="BA184" s="1"/>
      <c r="BC184" s="1"/>
      <c r="BD184" s="1"/>
      <c r="BG184" s="1"/>
      <c r="BJ184" s="1"/>
      <c r="BM184" s="1"/>
      <c r="BP184" s="1"/>
      <c r="BS184" s="1"/>
    </row>
    <row r="185" spans="1:71" x14ac:dyDescent="0.3">
      <c r="A185" s="19">
        <f t="shared" si="14"/>
        <v>46174</v>
      </c>
      <c r="B185">
        <f t="shared" ca="1" si="10"/>
        <v>-6.1111111111111109E-2</v>
      </c>
      <c r="C185" t="str">
        <f ca="1">IF(currency="USD",'Future et co'!D185,IF(currency="EUR",'Future et co'!E185,IF(currency="GBP",'Future et co'!F185,FALSE)))</f>
        <v>RFR USD</v>
      </c>
      <c r="D185" t="str">
        <f t="shared" ca="1" si="11"/>
        <v>RFR USD</v>
      </c>
      <c r="E185" t="str">
        <f t="shared" ca="1" si="12"/>
        <v>RFR EUR</v>
      </c>
      <c r="F185" t="str">
        <f t="shared" ca="1" si="13"/>
        <v>RFR GBP</v>
      </c>
      <c r="J185" s="1"/>
      <c r="K185" s="20"/>
      <c r="N185" s="1"/>
      <c r="O185" s="20"/>
      <c r="R185" s="1"/>
      <c r="V185" s="1"/>
      <c r="AB185" s="1"/>
      <c r="AC185" s="20"/>
      <c r="AF185" s="1"/>
      <c r="AG185" s="20"/>
      <c r="AJ185" s="1"/>
      <c r="AN185" s="1"/>
      <c r="AS185" s="1"/>
      <c r="AT185" s="20"/>
      <c r="AX185" s="1"/>
      <c r="BA185" s="1"/>
      <c r="BC185" s="1"/>
      <c r="BD185" s="1"/>
      <c r="BG185" s="1"/>
      <c r="BJ185" s="1"/>
      <c r="BM185" s="1"/>
      <c r="BP185" s="1"/>
      <c r="BS185" s="1"/>
    </row>
    <row r="186" spans="1:71" x14ac:dyDescent="0.3">
      <c r="A186" s="19">
        <f t="shared" si="14"/>
        <v>46175</v>
      </c>
      <c r="B186">
        <f t="shared" ca="1" si="10"/>
        <v>-6.3888888888888884E-2</v>
      </c>
      <c r="C186" t="str">
        <f ca="1">IF(currency="USD",'Future et co'!D186,IF(currency="EUR",'Future et co'!E186,IF(currency="GBP",'Future et co'!F186,FALSE)))</f>
        <v>RFR USD</v>
      </c>
      <c r="D186" t="str">
        <f t="shared" ca="1" si="11"/>
        <v>RFR USD</v>
      </c>
      <c r="E186" t="str">
        <f t="shared" ca="1" si="12"/>
        <v>RFR EUR</v>
      </c>
      <c r="F186" t="str">
        <f t="shared" ca="1" si="13"/>
        <v>RFR GBP</v>
      </c>
      <c r="J186" s="1"/>
      <c r="K186" s="20"/>
      <c r="N186" s="1"/>
      <c r="O186" s="20"/>
      <c r="R186" s="1"/>
      <c r="V186" s="1"/>
      <c r="AB186" s="1"/>
      <c r="AC186" s="20"/>
      <c r="AF186" s="1"/>
      <c r="AG186" s="20"/>
      <c r="AJ186" s="1"/>
      <c r="AN186" s="1"/>
      <c r="AS186" s="1"/>
      <c r="AT186" s="20"/>
      <c r="AX186" s="1"/>
      <c r="BA186" s="1"/>
      <c r="BC186" s="1"/>
      <c r="BD186" s="1"/>
      <c r="BG186" s="1"/>
      <c r="BJ186" s="1"/>
      <c r="BM186" s="1"/>
      <c r="BP186" s="1"/>
      <c r="BS186" s="1"/>
    </row>
    <row r="187" spans="1:71" x14ac:dyDescent="0.3">
      <c r="A187" s="19">
        <f t="shared" si="14"/>
        <v>46176</v>
      </c>
      <c r="B187">
        <f t="shared" ca="1" si="10"/>
        <v>-6.6666666666666666E-2</v>
      </c>
      <c r="C187" t="str">
        <f ca="1">IF(currency="USD",'Future et co'!D187,IF(currency="EUR",'Future et co'!E187,IF(currency="GBP",'Future et co'!F187,FALSE)))</f>
        <v>RFR USD</v>
      </c>
      <c r="D187" t="str">
        <f t="shared" ca="1" si="11"/>
        <v>RFR USD</v>
      </c>
      <c r="E187" t="str">
        <f t="shared" ca="1" si="12"/>
        <v>RFR EUR</v>
      </c>
      <c r="F187" t="str">
        <f t="shared" ca="1" si="13"/>
        <v>RFR GBP</v>
      </c>
      <c r="J187" s="1"/>
      <c r="K187" s="20"/>
      <c r="N187" s="1"/>
      <c r="O187" s="20"/>
      <c r="R187" s="1"/>
      <c r="V187" s="1"/>
      <c r="AB187" s="1"/>
      <c r="AC187" s="20"/>
      <c r="AF187" s="1"/>
      <c r="AG187" s="20"/>
      <c r="AJ187" s="1"/>
      <c r="AN187" s="1"/>
      <c r="AS187" s="1"/>
      <c r="AT187" s="20"/>
      <c r="AX187" s="1"/>
      <c r="BA187" s="1"/>
      <c r="BC187" s="1"/>
      <c r="BD187" s="1"/>
      <c r="BG187" s="1"/>
      <c r="BJ187" s="1"/>
      <c r="BM187" s="1"/>
      <c r="BP187" s="1"/>
      <c r="BS187" s="1"/>
    </row>
    <row r="188" spans="1:71" x14ac:dyDescent="0.3">
      <c r="A188" s="19">
        <f t="shared" si="14"/>
        <v>46177</v>
      </c>
      <c r="B188">
        <f t="shared" ca="1" si="10"/>
        <v>-6.9444444444444448E-2</v>
      </c>
      <c r="C188" t="str">
        <f ca="1">IF(currency="USD",'Future et co'!D188,IF(currency="EUR",'Future et co'!E188,IF(currency="GBP",'Future et co'!F188,FALSE)))</f>
        <v>RFR USD</v>
      </c>
      <c r="D188" t="str">
        <f t="shared" ca="1" si="11"/>
        <v>RFR USD</v>
      </c>
      <c r="E188" t="str">
        <f t="shared" ca="1" si="12"/>
        <v>RFR EUR</v>
      </c>
      <c r="F188" t="str">
        <f t="shared" ca="1" si="13"/>
        <v>RFR GBP</v>
      </c>
      <c r="J188" s="1"/>
      <c r="K188" s="20"/>
      <c r="N188" s="1"/>
      <c r="O188" s="20"/>
      <c r="R188" s="1"/>
      <c r="V188" s="1"/>
      <c r="AB188" s="1"/>
      <c r="AC188" s="20"/>
      <c r="AF188" s="1"/>
      <c r="AG188" s="20"/>
      <c r="AJ188" s="1"/>
      <c r="AN188" s="1"/>
      <c r="AS188" s="1"/>
      <c r="AT188" s="20"/>
      <c r="AX188" s="1"/>
      <c r="BA188" s="1"/>
      <c r="BC188" s="1"/>
      <c r="BD188" s="1"/>
      <c r="BG188" s="1"/>
      <c r="BJ188" s="1"/>
      <c r="BM188" s="1"/>
      <c r="BP188" s="1"/>
      <c r="BS188" s="1"/>
    </row>
    <row r="189" spans="1:71" x14ac:dyDescent="0.3">
      <c r="A189" s="19">
        <f t="shared" si="14"/>
        <v>46178</v>
      </c>
      <c r="B189">
        <f t="shared" ca="1" si="10"/>
        <v>-7.2222222222222215E-2</v>
      </c>
      <c r="C189" t="str">
        <f ca="1">IF(currency="USD",'Future et co'!D189,IF(currency="EUR",'Future et co'!E189,IF(currency="GBP",'Future et co'!F189,FALSE)))</f>
        <v>RFR USD</v>
      </c>
      <c r="D189" t="str">
        <f t="shared" ca="1" si="11"/>
        <v>RFR USD</v>
      </c>
      <c r="E189" t="str">
        <f t="shared" ca="1" si="12"/>
        <v>RFR EUR</v>
      </c>
      <c r="F189" t="str">
        <f t="shared" ca="1" si="13"/>
        <v>RFR GBP</v>
      </c>
      <c r="J189" s="1"/>
      <c r="K189" s="20"/>
      <c r="N189" s="1"/>
      <c r="O189" s="20"/>
      <c r="R189" s="1"/>
      <c r="V189" s="1"/>
      <c r="AB189" s="1"/>
      <c r="AC189" s="20"/>
      <c r="AF189" s="1"/>
      <c r="AG189" s="20"/>
      <c r="AJ189" s="1"/>
      <c r="AN189" s="1"/>
      <c r="AS189" s="1"/>
      <c r="AT189" s="20"/>
      <c r="AX189" s="1"/>
      <c r="BA189" s="1"/>
      <c r="BC189" s="1"/>
      <c r="BD189" s="1"/>
      <c r="BG189" s="1"/>
      <c r="BJ189" s="1"/>
      <c r="BM189" s="1"/>
      <c r="BP189" s="1"/>
      <c r="BS189" s="1"/>
    </row>
    <row r="190" spans="1:71" x14ac:dyDescent="0.3">
      <c r="A190" s="19">
        <f t="shared" si="14"/>
        <v>46181</v>
      </c>
      <c r="B190">
        <f t="shared" ca="1" si="10"/>
        <v>-8.0555555555555561E-2</v>
      </c>
      <c r="C190" t="str">
        <f ca="1">IF(currency="USD",'Future et co'!D190,IF(currency="EUR",'Future et co'!E190,IF(currency="GBP",'Future et co'!F190,FALSE)))</f>
        <v>RFR USD</v>
      </c>
      <c r="D190" t="str">
        <f t="shared" ca="1" si="11"/>
        <v>RFR USD</v>
      </c>
      <c r="E190" t="str">
        <f t="shared" ca="1" si="12"/>
        <v>RFR EUR</v>
      </c>
      <c r="F190" t="str">
        <f t="shared" ca="1" si="13"/>
        <v>RFR GBP</v>
      </c>
      <c r="J190" s="1"/>
      <c r="K190" s="20"/>
      <c r="N190" s="1"/>
      <c r="O190" s="20"/>
      <c r="R190" s="1"/>
      <c r="V190" s="1"/>
      <c r="AB190" s="1"/>
      <c r="AC190" s="20"/>
      <c r="AF190" s="1"/>
      <c r="AG190" s="20"/>
      <c r="AJ190" s="1"/>
      <c r="AN190" s="1"/>
      <c r="AS190" s="1"/>
      <c r="AT190" s="20"/>
      <c r="AX190" s="1"/>
      <c r="BA190" s="1"/>
      <c r="BC190" s="1"/>
      <c r="BD190" s="1"/>
      <c r="BG190" s="1"/>
      <c r="BJ190" s="1"/>
      <c r="BM190" s="1"/>
      <c r="BP190" s="1"/>
      <c r="BS190" s="1"/>
    </row>
    <row r="191" spans="1:71" x14ac:dyDescent="0.3">
      <c r="A191" s="19">
        <f t="shared" si="14"/>
        <v>46182</v>
      </c>
      <c r="B191">
        <f t="shared" ca="1" si="10"/>
        <v>-8.3333333333333329E-2</v>
      </c>
      <c r="C191" t="str">
        <f ca="1">IF(currency="USD",'Future et co'!D191,IF(currency="EUR",'Future et co'!E191,IF(currency="GBP",'Future et co'!F191,FALSE)))</f>
        <v>RFR USD</v>
      </c>
      <c r="D191" t="str">
        <f t="shared" ca="1" si="11"/>
        <v>RFR USD</v>
      </c>
      <c r="E191" t="str">
        <f t="shared" ca="1" si="12"/>
        <v>RFR EUR</v>
      </c>
      <c r="F191" t="str">
        <f t="shared" ca="1" si="13"/>
        <v>RFR GBP</v>
      </c>
      <c r="J191" s="1"/>
      <c r="K191" s="20"/>
      <c r="N191" s="1"/>
      <c r="O191" s="20"/>
      <c r="R191" s="1"/>
      <c r="V191" s="1"/>
      <c r="AB191" s="1"/>
      <c r="AC191" s="20"/>
      <c r="AF191" s="1"/>
      <c r="AG191" s="20"/>
      <c r="AJ191" s="1"/>
      <c r="AN191" s="1"/>
      <c r="AS191" s="1"/>
      <c r="AT191" s="20"/>
      <c r="AX191" s="1"/>
      <c r="BA191" s="1"/>
      <c r="BC191" s="1"/>
      <c r="BD191" s="1"/>
      <c r="BG191" s="1"/>
      <c r="BJ191" s="1"/>
      <c r="BM191" s="1"/>
      <c r="BP191" s="1"/>
      <c r="BS191" s="1"/>
    </row>
    <row r="192" spans="1:71" x14ac:dyDescent="0.3">
      <c r="A192" s="19">
        <f t="shared" si="14"/>
        <v>46183</v>
      </c>
      <c r="B192">
        <f t="shared" ca="1" si="10"/>
        <v>-8.611111111111111E-2</v>
      </c>
      <c r="C192" t="str">
        <f ca="1">IF(currency="USD",'Future et co'!D192,IF(currency="EUR",'Future et co'!E192,IF(currency="GBP",'Future et co'!F192,FALSE)))</f>
        <v>RFR USD</v>
      </c>
      <c r="D192" t="str">
        <f t="shared" ca="1" si="11"/>
        <v>RFR USD</v>
      </c>
      <c r="E192" t="str">
        <f t="shared" ca="1" si="12"/>
        <v>RFR EUR</v>
      </c>
      <c r="F192" t="str">
        <f t="shared" ca="1" si="13"/>
        <v>RFR GBP</v>
      </c>
      <c r="J192" s="1"/>
      <c r="K192" s="20"/>
      <c r="N192" s="1"/>
      <c r="O192" s="20"/>
      <c r="R192" s="1"/>
      <c r="V192" s="1"/>
      <c r="AB192" s="1"/>
      <c r="AC192" s="20"/>
      <c r="AF192" s="1"/>
      <c r="AG192" s="20"/>
      <c r="AJ192" s="1"/>
      <c r="AN192" s="1"/>
      <c r="AS192" s="1"/>
      <c r="AT192" s="20"/>
      <c r="AX192" s="1"/>
      <c r="BA192" s="1"/>
      <c r="BC192" s="1"/>
      <c r="BD192" s="1"/>
      <c r="BG192" s="1"/>
      <c r="BJ192" s="1"/>
      <c r="BM192" s="1"/>
      <c r="BP192" s="1"/>
      <c r="BS192" s="1"/>
    </row>
    <row r="193" spans="1:71" x14ac:dyDescent="0.3">
      <c r="A193" s="19">
        <f t="shared" si="14"/>
        <v>46184</v>
      </c>
      <c r="B193">
        <f t="shared" ca="1" si="10"/>
        <v>-8.8888888888888892E-2</v>
      </c>
      <c r="C193" t="str">
        <f ca="1">IF(currency="USD",'Future et co'!D193,IF(currency="EUR",'Future et co'!E193,IF(currency="GBP",'Future et co'!F193,FALSE)))</f>
        <v>RFR USD</v>
      </c>
      <c r="D193" t="str">
        <f t="shared" ca="1" si="11"/>
        <v>RFR USD</v>
      </c>
      <c r="E193" t="str">
        <f t="shared" ca="1" si="12"/>
        <v>RFR EUR</v>
      </c>
      <c r="F193" t="str">
        <f t="shared" ca="1" si="13"/>
        <v>RFR GBP</v>
      </c>
      <c r="J193" s="1"/>
      <c r="K193" s="20"/>
      <c r="N193" s="1"/>
      <c r="O193" s="20"/>
      <c r="R193" s="1"/>
      <c r="V193" s="1"/>
      <c r="AB193" s="1"/>
      <c r="AC193" s="20"/>
      <c r="AF193" s="1"/>
      <c r="AG193" s="20"/>
      <c r="AJ193" s="1"/>
      <c r="AN193" s="1"/>
      <c r="AS193" s="1"/>
      <c r="AT193" s="20"/>
      <c r="AX193" s="1"/>
      <c r="BA193" s="1"/>
      <c r="BC193" s="1"/>
      <c r="BD193" s="1"/>
      <c r="BG193" s="1"/>
      <c r="BJ193" s="1"/>
      <c r="BM193" s="1"/>
      <c r="BP193" s="1"/>
      <c r="BS193" s="1"/>
    </row>
    <row r="194" spans="1:71" x14ac:dyDescent="0.3">
      <c r="A194" s="19">
        <f t="shared" si="14"/>
        <v>46185</v>
      </c>
      <c r="B194">
        <f t="shared" ca="1" si="10"/>
        <v>-9.166666666666666E-2</v>
      </c>
      <c r="C194" t="str">
        <f ca="1">IF(currency="USD",'Future et co'!D194,IF(currency="EUR",'Future et co'!E194,IF(currency="GBP",'Future et co'!F194,FALSE)))</f>
        <v>RFR USD</v>
      </c>
      <c r="D194" t="str">
        <f t="shared" ca="1" si="11"/>
        <v>RFR USD</v>
      </c>
      <c r="E194" t="str">
        <f t="shared" ca="1" si="12"/>
        <v>RFR EUR</v>
      </c>
      <c r="F194" t="str">
        <f t="shared" ca="1" si="13"/>
        <v>RFR GBP</v>
      </c>
      <c r="J194" s="1"/>
      <c r="K194" s="20"/>
      <c r="N194" s="1"/>
      <c r="O194" s="20"/>
      <c r="R194" s="1"/>
      <c r="V194" s="1"/>
      <c r="AB194" s="1"/>
      <c r="AC194" s="20"/>
      <c r="AF194" s="1"/>
      <c r="AG194" s="20"/>
      <c r="AJ194" s="1"/>
      <c r="AN194" s="1"/>
      <c r="AS194" s="1"/>
      <c r="AT194" s="20"/>
      <c r="AX194" s="1"/>
      <c r="BA194" s="1"/>
      <c r="BC194" s="1"/>
      <c r="BD194" s="1"/>
      <c r="BG194" s="1"/>
      <c r="BJ194" s="1"/>
      <c r="BM194" s="1"/>
      <c r="BP194" s="1"/>
      <c r="BS194" s="1"/>
    </row>
    <row r="195" spans="1:71" x14ac:dyDescent="0.3">
      <c r="A195" s="19">
        <f t="shared" si="14"/>
        <v>46188</v>
      </c>
      <c r="B195">
        <f t="shared" ca="1" si="10"/>
        <v>-0.1</v>
      </c>
      <c r="C195" t="str">
        <f ca="1">IF(currency="USD",'Future et co'!D195,IF(currency="EUR",'Future et co'!E195,IF(currency="GBP",'Future et co'!F195,FALSE)))</f>
        <v>RFR USD</v>
      </c>
      <c r="D195" t="str">
        <f t="shared" ca="1" si="11"/>
        <v>RFR USD</v>
      </c>
      <c r="E195" t="str">
        <f t="shared" ca="1" si="12"/>
        <v>RFR EUR</v>
      </c>
      <c r="F195" t="str">
        <f t="shared" ca="1" si="13"/>
        <v>RFR GBP</v>
      </c>
      <c r="J195" s="1"/>
      <c r="K195" s="20"/>
      <c r="N195" s="1"/>
      <c r="O195" s="20"/>
      <c r="R195" s="1"/>
      <c r="V195" s="1"/>
      <c r="AB195" s="1"/>
      <c r="AC195" s="20"/>
      <c r="AF195" s="1"/>
      <c r="AG195" s="20"/>
      <c r="AJ195" s="1"/>
      <c r="AN195" s="1"/>
      <c r="AS195" s="1"/>
      <c r="AT195" s="20"/>
      <c r="AX195" s="1"/>
      <c r="BA195" s="1"/>
      <c r="BC195" s="1"/>
      <c r="BD195" s="1"/>
      <c r="BG195" s="1"/>
      <c r="BJ195" s="1"/>
      <c r="BM195" s="1"/>
      <c r="BP195" s="1"/>
      <c r="BS195" s="1"/>
    </row>
    <row r="196" spans="1:71" x14ac:dyDescent="0.3">
      <c r="A196" s="19">
        <f t="shared" si="14"/>
        <v>46189</v>
      </c>
      <c r="B196">
        <f t="shared" ca="1" si="10"/>
        <v>-0.10277777777777777</v>
      </c>
      <c r="C196" t="str">
        <f ca="1">IF(currency="USD",'Future et co'!D196,IF(currency="EUR",'Future et co'!E196,IF(currency="GBP",'Future et co'!F196,FALSE)))</f>
        <v>RFR USD</v>
      </c>
      <c r="D196" t="str">
        <f t="shared" ca="1" si="11"/>
        <v>RFR USD</v>
      </c>
      <c r="E196" t="str">
        <f t="shared" ca="1" si="12"/>
        <v>RFR EUR</v>
      </c>
      <c r="F196" t="str">
        <f t="shared" ca="1" si="13"/>
        <v>RFR GBP</v>
      </c>
      <c r="J196" s="1"/>
      <c r="K196" s="20"/>
      <c r="N196" s="1"/>
      <c r="O196" s="20"/>
      <c r="R196" s="1"/>
      <c r="V196" s="1"/>
      <c r="AB196" s="1"/>
      <c r="AC196" s="20"/>
      <c r="AF196" s="1"/>
      <c r="AG196" s="20"/>
      <c r="AJ196" s="1"/>
      <c r="AN196" s="1"/>
      <c r="AS196" s="1"/>
      <c r="AT196" s="20"/>
      <c r="AX196" s="1"/>
      <c r="BA196" s="1"/>
      <c r="BC196" s="1"/>
      <c r="BD196" s="1"/>
      <c r="BG196" s="1"/>
      <c r="BJ196" s="1"/>
      <c r="BM196" s="1"/>
      <c r="BP196" s="1"/>
      <c r="BS196" s="1"/>
    </row>
    <row r="197" spans="1:71" x14ac:dyDescent="0.3">
      <c r="A197" s="19">
        <f t="shared" si="14"/>
        <v>46190</v>
      </c>
      <c r="B197">
        <f t="shared" ca="1" si="10"/>
        <v>-0.10555555555555556</v>
      </c>
      <c r="C197" t="str">
        <f ca="1">IF(currency="USD",'Future et co'!D197,IF(currency="EUR",'Future et co'!E197,IF(currency="GBP",'Future et co'!F197,FALSE)))</f>
        <v>RFR USD</v>
      </c>
      <c r="D197" t="str">
        <f t="shared" ca="1" si="11"/>
        <v>RFR USD</v>
      </c>
      <c r="E197" t="str">
        <f t="shared" ca="1" si="12"/>
        <v>RFR EUR</v>
      </c>
      <c r="F197" t="str">
        <f t="shared" ca="1" si="13"/>
        <v>RFR GBP</v>
      </c>
      <c r="J197" s="1"/>
      <c r="K197" s="20"/>
      <c r="N197" s="1"/>
      <c r="O197" s="20"/>
      <c r="R197" s="1"/>
      <c r="V197" s="1"/>
      <c r="AB197" s="1"/>
      <c r="AC197" s="20"/>
      <c r="AF197" s="1"/>
      <c r="AG197" s="20"/>
      <c r="AJ197" s="1"/>
      <c r="AN197" s="1"/>
      <c r="AS197" s="1"/>
      <c r="AT197" s="20"/>
      <c r="AX197" s="1"/>
      <c r="BA197" s="1"/>
      <c r="BC197" s="1"/>
      <c r="BD197" s="1"/>
      <c r="BG197" s="1"/>
      <c r="BJ197" s="1"/>
      <c r="BM197" s="1"/>
      <c r="BP197" s="1"/>
      <c r="BS197" s="1"/>
    </row>
    <row r="198" spans="1:71" x14ac:dyDescent="0.3">
      <c r="A198" s="19">
        <f t="shared" si="14"/>
        <v>46191</v>
      </c>
      <c r="B198">
        <f t="shared" ca="1" si="10"/>
        <v>-0.10833333333333334</v>
      </c>
      <c r="C198" t="str">
        <f ca="1">IF(currency="USD",'Future et co'!D198,IF(currency="EUR",'Future et co'!E198,IF(currency="GBP",'Future et co'!F198,FALSE)))</f>
        <v>RFR USD</v>
      </c>
      <c r="D198" t="str">
        <f t="shared" ca="1" si="11"/>
        <v>RFR USD</v>
      </c>
      <c r="E198" t="str">
        <f t="shared" ca="1" si="12"/>
        <v>RFR EUR</v>
      </c>
      <c r="F198" t="str">
        <f t="shared" ca="1" si="13"/>
        <v>RFR GBP</v>
      </c>
      <c r="J198" s="1"/>
      <c r="K198" s="20"/>
      <c r="N198" s="1"/>
      <c r="O198" s="20"/>
      <c r="R198" s="1"/>
      <c r="V198" s="1"/>
      <c r="AB198" s="1"/>
      <c r="AC198" s="20"/>
      <c r="AF198" s="1"/>
      <c r="AG198" s="20"/>
      <c r="AJ198" s="1"/>
      <c r="AN198" s="1"/>
      <c r="AS198" s="1"/>
      <c r="AT198" s="20"/>
      <c r="AX198" s="1"/>
      <c r="BA198" s="1"/>
      <c r="BC198" s="1"/>
      <c r="BD198" s="1"/>
      <c r="BG198" s="1"/>
      <c r="BJ198" s="1"/>
      <c r="BM198" s="1"/>
      <c r="BP198" s="1"/>
      <c r="BS198" s="1"/>
    </row>
    <row r="199" spans="1:71" x14ac:dyDescent="0.3">
      <c r="A199" s="19">
        <f t="shared" si="14"/>
        <v>46192</v>
      </c>
      <c r="B199">
        <f t="shared" ca="1" si="10"/>
        <v>-0.1111111111111111</v>
      </c>
      <c r="C199" t="str">
        <f ca="1">IF(currency="USD",'Future et co'!D199,IF(currency="EUR",'Future et co'!E199,IF(currency="GBP",'Future et co'!F199,FALSE)))</f>
        <v>RFR USD</v>
      </c>
      <c r="D199" t="str">
        <f t="shared" ca="1" si="11"/>
        <v>RFR USD</v>
      </c>
      <c r="E199" t="str">
        <f t="shared" ca="1" si="12"/>
        <v>RFR EUR</v>
      </c>
      <c r="F199" t="str">
        <f t="shared" ca="1" si="13"/>
        <v>RFR GBP</v>
      </c>
      <c r="J199" s="1"/>
      <c r="K199" s="20"/>
      <c r="N199" s="1"/>
      <c r="O199" s="20"/>
      <c r="R199" s="1"/>
      <c r="V199" s="1"/>
      <c r="AB199" s="1"/>
      <c r="AC199" s="20"/>
      <c r="AF199" s="1"/>
      <c r="AG199" s="20"/>
      <c r="AJ199" s="1"/>
      <c r="AN199" s="1"/>
      <c r="AS199" s="1"/>
      <c r="AT199" s="20"/>
      <c r="AX199" s="1"/>
      <c r="BA199" s="1"/>
      <c r="BC199" s="1"/>
      <c r="BD199" s="1"/>
      <c r="BG199" s="1"/>
      <c r="BJ199" s="1"/>
      <c r="BM199" s="1"/>
      <c r="BP199" s="1"/>
      <c r="BS199" s="1"/>
    </row>
    <row r="200" spans="1:71" x14ac:dyDescent="0.3">
      <c r="A200" s="19">
        <f t="shared" si="14"/>
        <v>46195</v>
      </c>
      <c r="B200">
        <f t="shared" ca="1" si="10"/>
        <v>-0.11944444444444445</v>
      </c>
      <c r="C200" t="str">
        <f ca="1">IF(currency="USD",'Future et co'!D200,IF(currency="EUR",'Future et co'!E200,IF(currency="GBP",'Future et co'!F200,FALSE)))</f>
        <v>RFR USD</v>
      </c>
      <c r="D200" t="str">
        <f t="shared" ca="1" si="11"/>
        <v>RFR USD</v>
      </c>
      <c r="E200" t="str">
        <f t="shared" ca="1" si="12"/>
        <v>RFR EUR</v>
      </c>
      <c r="F200" t="str">
        <f t="shared" ca="1" si="13"/>
        <v>RFR GBP</v>
      </c>
      <c r="J200" s="1"/>
      <c r="K200" s="20"/>
      <c r="N200" s="1"/>
      <c r="O200" s="20"/>
      <c r="R200" s="1"/>
      <c r="V200" s="1"/>
      <c r="AB200" s="1"/>
      <c r="AC200" s="20"/>
      <c r="AF200" s="1"/>
      <c r="AG200" s="20"/>
      <c r="AJ200" s="1"/>
      <c r="AN200" s="1"/>
      <c r="AS200" s="1"/>
      <c r="AT200" s="20"/>
      <c r="AX200" s="1"/>
      <c r="BA200" s="1"/>
      <c r="BC200" s="1"/>
      <c r="BD200" s="1"/>
      <c r="BG200" s="1"/>
      <c r="BJ200" s="1"/>
      <c r="BM200" s="1"/>
      <c r="BP200" s="1"/>
      <c r="BS200" s="1"/>
    </row>
    <row r="201" spans="1:71" x14ac:dyDescent="0.3">
      <c r="A201" s="19">
        <f t="shared" si="14"/>
        <v>46196</v>
      </c>
      <c r="B201">
        <f t="shared" ca="1" si="10"/>
        <v>-0.12222222222222222</v>
      </c>
      <c r="C201" t="str">
        <f ca="1">IF(currency="USD",'Future et co'!D201,IF(currency="EUR",'Future et co'!E201,IF(currency="GBP",'Future et co'!F201,FALSE)))</f>
        <v>RFR USD</v>
      </c>
      <c r="D201" t="str">
        <f t="shared" ca="1" si="11"/>
        <v>RFR USD</v>
      </c>
      <c r="E201" t="str">
        <f t="shared" ca="1" si="12"/>
        <v>RFR EUR</v>
      </c>
      <c r="F201" t="str">
        <f t="shared" ca="1" si="13"/>
        <v>RFR GBP</v>
      </c>
      <c r="J201" s="1"/>
      <c r="K201" s="20"/>
      <c r="N201" s="1"/>
      <c r="O201" s="20"/>
      <c r="R201" s="1"/>
      <c r="V201" s="1"/>
      <c r="AB201" s="1"/>
      <c r="AC201" s="20"/>
      <c r="AF201" s="1"/>
      <c r="AG201" s="20"/>
      <c r="AJ201" s="1"/>
      <c r="AN201" s="1"/>
      <c r="AS201" s="1"/>
      <c r="AT201" s="20"/>
      <c r="AX201" s="1"/>
      <c r="BA201" s="1"/>
      <c r="BC201" s="1"/>
      <c r="BD201" s="1"/>
      <c r="BG201" s="1"/>
      <c r="BJ201" s="1"/>
      <c r="BM201" s="1"/>
      <c r="BP201" s="1"/>
      <c r="BS201" s="1"/>
    </row>
    <row r="202" spans="1:71" x14ac:dyDescent="0.3">
      <c r="A202" s="19">
        <f t="shared" si="14"/>
        <v>46197</v>
      </c>
      <c r="B202">
        <f t="shared" ca="1" si="10"/>
        <v>-0.125</v>
      </c>
      <c r="C202" t="str">
        <f ca="1">IF(currency="USD",'Future et co'!D202,IF(currency="EUR",'Future et co'!E202,IF(currency="GBP",'Future et co'!F202,FALSE)))</f>
        <v>RFR USD</v>
      </c>
      <c r="D202" t="str">
        <f t="shared" ca="1" si="11"/>
        <v>RFR USD</v>
      </c>
      <c r="E202" t="str">
        <f t="shared" ca="1" si="12"/>
        <v>RFR EUR</v>
      </c>
      <c r="F202" t="str">
        <f t="shared" ca="1" si="13"/>
        <v>RFR GBP</v>
      </c>
      <c r="J202" s="1"/>
      <c r="K202" s="20"/>
      <c r="N202" s="1"/>
      <c r="O202" s="20"/>
      <c r="R202" s="1"/>
      <c r="V202" s="1"/>
      <c r="AB202" s="1"/>
      <c r="AC202" s="20"/>
      <c r="AF202" s="1"/>
      <c r="AG202" s="20"/>
      <c r="AJ202" s="1"/>
      <c r="AN202" s="1"/>
      <c r="AS202" s="1"/>
      <c r="AT202" s="20"/>
      <c r="AX202" s="1"/>
      <c r="BA202" s="1"/>
      <c r="BC202" s="1"/>
      <c r="BD202" s="1"/>
      <c r="BG202" s="1"/>
      <c r="BJ202" s="1"/>
      <c r="BM202" s="1"/>
      <c r="BP202" s="1"/>
      <c r="BS202" s="1"/>
    </row>
    <row r="203" spans="1:71" x14ac:dyDescent="0.3">
      <c r="A203" s="19">
        <f t="shared" si="14"/>
        <v>46198</v>
      </c>
      <c r="B203">
        <f t="shared" ref="B203:B266" ca="1" si="15">($B$7-A203)/360</f>
        <v>-0.12777777777777777</v>
      </c>
      <c r="C203" t="str">
        <f ca="1">IF(currency="USD",'Future et co'!D203,IF(currency="EUR",'Future et co'!E203,IF(currency="GBP",'Future et co'!F203,FALSE)))</f>
        <v>RFR USD</v>
      </c>
      <c r="D203" t="str">
        <f t="shared" ref="D203:D266" ca="1" si="16">IFERROR(IF(B203&lt;0.25,VLOOKUP(A203,$J$11:$L$5325,3,FALSE),IF(AND(B203&gt;=0.25,B203&lt;0.5),VLOOKUP(A203,$N$11:$P$5325,3,FALSE),IF(AND(B203&gt;=0.5,B203&lt;1),VLOOKUP(A203,$R$11:$T$5325,3,FALSE),VLOOKUP(A203,$V$11:$X$5010,3,FALSE)))),D202)</f>
        <v>RFR USD</v>
      </c>
      <c r="E203" t="str">
        <f t="shared" ref="E203:E266" ca="1" si="17">IFERROR(IF(B203&lt;0.25,VLOOKUP(A203,$AF$11:$AH$5325,3,FALSE),IF(AND(B203&gt;=0.25,B203&lt;0.5),VLOOKUP(A203,$AJ$11:$AL$5325,3,FALSE),VLOOKUP(A203,$AN$11:$AP$5325,3,FALSE))),E202)</f>
        <v>RFR EUR</v>
      </c>
      <c r="F203" t="str">
        <f t="shared" ref="F203:F266" ca="1" si="18">IFERROR(VLOOKUP(A203,$AS$11:$AU$9999,3,FALSE),F202)</f>
        <v>RFR GBP</v>
      </c>
      <c r="J203" s="1"/>
      <c r="K203" s="20"/>
      <c r="N203" s="1"/>
      <c r="O203" s="20"/>
      <c r="R203" s="1"/>
      <c r="V203" s="1"/>
      <c r="AB203" s="1"/>
      <c r="AC203" s="20"/>
      <c r="AF203" s="1"/>
      <c r="AG203" s="20"/>
      <c r="AJ203" s="1"/>
      <c r="AN203" s="1"/>
      <c r="AS203" s="1"/>
      <c r="AT203" s="20"/>
      <c r="AX203" s="1"/>
      <c r="BA203" s="1"/>
      <c r="BC203" s="1"/>
      <c r="BD203" s="1"/>
      <c r="BG203" s="1"/>
      <c r="BJ203" s="1"/>
      <c r="BM203" s="1"/>
      <c r="BP203" s="1"/>
      <c r="BS203" s="1"/>
    </row>
    <row r="204" spans="1:71" x14ac:dyDescent="0.3">
      <c r="A204" s="19">
        <f t="shared" si="14"/>
        <v>46199</v>
      </c>
      <c r="B204">
        <f t="shared" ca="1" si="15"/>
        <v>-0.13055555555555556</v>
      </c>
      <c r="C204" t="str">
        <f ca="1">IF(currency="USD",'Future et co'!D204,IF(currency="EUR",'Future et co'!E204,IF(currency="GBP",'Future et co'!F204,FALSE)))</f>
        <v>RFR USD</v>
      </c>
      <c r="D204" t="str">
        <f t="shared" ca="1" si="16"/>
        <v>RFR USD</v>
      </c>
      <c r="E204" t="str">
        <f t="shared" ca="1" si="17"/>
        <v>RFR EUR</v>
      </c>
      <c r="F204" t="str">
        <f t="shared" ca="1" si="18"/>
        <v>RFR GBP</v>
      </c>
      <c r="J204" s="1"/>
      <c r="K204" s="20"/>
      <c r="N204" s="1"/>
      <c r="O204" s="20"/>
      <c r="R204" s="1"/>
      <c r="V204" s="1"/>
      <c r="AB204" s="1"/>
      <c r="AC204" s="20"/>
      <c r="AF204" s="1"/>
      <c r="AG204" s="20"/>
      <c r="AJ204" s="1"/>
      <c r="AN204" s="1"/>
      <c r="AS204" s="1"/>
      <c r="AT204" s="20"/>
      <c r="AX204" s="1"/>
      <c r="BA204" s="1"/>
      <c r="BC204" s="1"/>
      <c r="BD204" s="1"/>
      <c r="BG204" s="1"/>
      <c r="BJ204" s="1"/>
      <c r="BM204" s="1"/>
      <c r="BP204" s="1"/>
      <c r="BS204" s="1"/>
    </row>
    <row r="205" spans="1:71" x14ac:dyDescent="0.3">
      <c r="A205" s="19">
        <f t="shared" ref="A205:A268" si="19">WORKDAY(A204,1)</f>
        <v>46202</v>
      </c>
      <c r="B205">
        <f t="shared" ca="1" si="15"/>
        <v>-0.1388888888888889</v>
      </c>
      <c r="C205" t="str">
        <f ca="1">IF(currency="USD",'Future et co'!D205,IF(currency="EUR",'Future et co'!E205,IF(currency="GBP",'Future et co'!F205,FALSE)))</f>
        <v>RFR USD</v>
      </c>
      <c r="D205" t="str">
        <f t="shared" ca="1" si="16"/>
        <v>RFR USD</v>
      </c>
      <c r="E205" t="str">
        <f t="shared" ca="1" si="17"/>
        <v>RFR EUR</v>
      </c>
      <c r="F205" t="str">
        <f t="shared" ca="1" si="18"/>
        <v>RFR GBP</v>
      </c>
      <c r="J205" s="1"/>
      <c r="K205" s="20"/>
      <c r="N205" s="1"/>
      <c r="O205" s="20"/>
      <c r="R205" s="1"/>
      <c r="V205" s="1"/>
      <c r="AB205" s="1"/>
      <c r="AC205" s="20"/>
      <c r="AF205" s="1"/>
      <c r="AG205" s="20"/>
      <c r="AJ205" s="1"/>
      <c r="AN205" s="1"/>
      <c r="AS205" s="1"/>
      <c r="AT205" s="20"/>
      <c r="AX205" s="1"/>
      <c r="BA205" s="1"/>
      <c r="BC205" s="1"/>
      <c r="BD205" s="1"/>
      <c r="BG205" s="1"/>
      <c r="BJ205" s="1"/>
      <c r="BM205" s="1"/>
      <c r="BP205" s="1"/>
      <c r="BS205" s="1"/>
    </row>
    <row r="206" spans="1:71" x14ac:dyDescent="0.3">
      <c r="A206" s="19">
        <f t="shared" si="19"/>
        <v>46203</v>
      </c>
      <c r="B206">
        <f t="shared" ca="1" si="15"/>
        <v>-0.14166666666666666</v>
      </c>
      <c r="C206" t="str">
        <f ca="1">IF(currency="USD",'Future et co'!D206,IF(currency="EUR",'Future et co'!E206,IF(currency="GBP",'Future et co'!F206,FALSE)))</f>
        <v>RFR USD</v>
      </c>
      <c r="D206" t="str">
        <f t="shared" ca="1" si="16"/>
        <v>RFR USD</v>
      </c>
      <c r="E206" t="str">
        <f t="shared" ca="1" si="17"/>
        <v>RFR EUR</v>
      </c>
      <c r="F206" t="str">
        <f t="shared" ca="1" si="18"/>
        <v>RFR GBP</v>
      </c>
      <c r="J206" s="1"/>
      <c r="K206" s="20"/>
      <c r="N206" s="1"/>
      <c r="O206" s="20"/>
      <c r="R206" s="1"/>
      <c r="V206" s="1"/>
      <c r="AB206" s="1"/>
      <c r="AC206" s="20"/>
      <c r="AF206" s="1"/>
      <c r="AG206" s="20"/>
      <c r="AJ206" s="1"/>
      <c r="AN206" s="1"/>
      <c r="AS206" s="1"/>
      <c r="AT206" s="20"/>
      <c r="AX206" s="1"/>
      <c r="BA206" s="1"/>
      <c r="BC206" s="1"/>
      <c r="BD206" s="1"/>
      <c r="BG206" s="1"/>
      <c r="BJ206" s="1"/>
      <c r="BM206" s="1"/>
      <c r="BP206" s="1"/>
      <c r="BS206" s="1"/>
    </row>
    <row r="207" spans="1:71" x14ac:dyDescent="0.3">
      <c r="A207" s="19">
        <f t="shared" si="19"/>
        <v>46204</v>
      </c>
      <c r="B207">
        <f t="shared" ca="1" si="15"/>
        <v>-0.14444444444444443</v>
      </c>
      <c r="C207" t="str">
        <f ca="1">IF(currency="USD",'Future et co'!D207,IF(currency="EUR",'Future et co'!E207,IF(currency="GBP",'Future et co'!F207,FALSE)))</f>
        <v>RFR USD</v>
      </c>
      <c r="D207" t="str">
        <f t="shared" ca="1" si="16"/>
        <v>RFR USD</v>
      </c>
      <c r="E207" t="str">
        <f t="shared" ca="1" si="17"/>
        <v>RFR EUR</v>
      </c>
      <c r="F207" t="str">
        <f t="shared" ca="1" si="18"/>
        <v>RFR GBP</v>
      </c>
      <c r="J207" s="1"/>
      <c r="K207" s="20"/>
      <c r="N207" s="1"/>
      <c r="O207" s="20"/>
      <c r="R207" s="1"/>
      <c r="V207" s="1"/>
      <c r="AB207" s="1"/>
      <c r="AC207" s="20"/>
      <c r="AF207" s="1"/>
      <c r="AG207" s="20"/>
      <c r="AJ207" s="1"/>
      <c r="AN207" s="1"/>
      <c r="AS207" s="1"/>
      <c r="AT207" s="20"/>
      <c r="AX207" s="1"/>
      <c r="BA207" s="1"/>
      <c r="BC207" s="1"/>
      <c r="BD207" s="1"/>
      <c r="BG207" s="1"/>
      <c r="BJ207" s="1"/>
      <c r="BM207" s="1"/>
      <c r="BP207" s="1"/>
      <c r="BS207" s="1"/>
    </row>
    <row r="208" spans="1:71" x14ac:dyDescent="0.3">
      <c r="A208" s="19">
        <f t="shared" si="19"/>
        <v>46205</v>
      </c>
      <c r="B208">
        <f t="shared" ca="1" si="15"/>
        <v>-0.14722222222222223</v>
      </c>
      <c r="C208" t="str">
        <f ca="1">IF(currency="USD",'Future et co'!D208,IF(currency="EUR",'Future et co'!E208,IF(currency="GBP",'Future et co'!F208,FALSE)))</f>
        <v>RFR USD</v>
      </c>
      <c r="D208" t="str">
        <f t="shared" ca="1" si="16"/>
        <v>RFR USD</v>
      </c>
      <c r="E208" t="str">
        <f t="shared" ca="1" si="17"/>
        <v>RFR EUR</v>
      </c>
      <c r="F208" t="str">
        <f t="shared" ca="1" si="18"/>
        <v>RFR GBP</v>
      </c>
      <c r="J208" s="1"/>
      <c r="K208" s="20"/>
      <c r="N208" s="1"/>
      <c r="O208" s="20"/>
      <c r="R208" s="1"/>
      <c r="V208" s="1"/>
      <c r="AB208" s="1"/>
      <c r="AC208" s="20"/>
      <c r="AF208" s="1"/>
      <c r="AG208" s="20"/>
      <c r="AJ208" s="1"/>
      <c r="AN208" s="1"/>
      <c r="AS208" s="1"/>
      <c r="AT208" s="20"/>
      <c r="AX208" s="1"/>
      <c r="BA208" s="1"/>
      <c r="BC208" s="1"/>
      <c r="BD208" s="1"/>
      <c r="BG208" s="1"/>
      <c r="BJ208" s="1"/>
      <c r="BM208" s="1"/>
      <c r="BP208" s="1"/>
      <c r="BS208" s="1"/>
    </row>
    <row r="209" spans="1:71" x14ac:dyDescent="0.3">
      <c r="A209" s="19">
        <f t="shared" si="19"/>
        <v>46206</v>
      </c>
      <c r="B209">
        <f t="shared" ca="1" si="15"/>
        <v>-0.15</v>
      </c>
      <c r="C209" t="str">
        <f ca="1">IF(currency="USD",'Future et co'!D209,IF(currency="EUR",'Future et co'!E209,IF(currency="GBP",'Future et co'!F209,FALSE)))</f>
        <v>RFR USD</v>
      </c>
      <c r="D209" t="str">
        <f t="shared" ca="1" si="16"/>
        <v>RFR USD</v>
      </c>
      <c r="E209" t="str">
        <f t="shared" ca="1" si="17"/>
        <v>RFR EUR</v>
      </c>
      <c r="F209" t="str">
        <f t="shared" ca="1" si="18"/>
        <v>RFR GBP</v>
      </c>
      <c r="J209" s="1"/>
      <c r="K209" s="20"/>
      <c r="N209" s="1"/>
      <c r="O209" s="20"/>
      <c r="R209" s="1"/>
      <c r="V209" s="1"/>
      <c r="AB209" s="1"/>
      <c r="AC209" s="20"/>
      <c r="AF209" s="1"/>
      <c r="AG209" s="20"/>
      <c r="AJ209" s="1"/>
      <c r="AN209" s="1"/>
      <c r="AS209" s="1"/>
      <c r="AT209" s="20"/>
      <c r="AX209" s="1"/>
      <c r="BA209" s="1"/>
      <c r="BC209" s="1"/>
      <c r="BD209" s="1"/>
      <c r="BG209" s="1"/>
      <c r="BJ209" s="1"/>
      <c r="BM209" s="1"/>
      <c r="BP209" s="1"/>
      <c r="BS209" s="1"/>
    </row>
    <row r="210" spans="1:71" x14ac:dyDescent="0.3">
      <c r="A210" s="19">
        <f t="shared" si="19"/>
        <v>46209</v>
      </c>
      <c r="B210">
        <f t="shared" ca="1" si="15"/>
        <v>-0.15833333333333333</v>
      </c>
      <c r="C210" t="str">
        <f ca="1">IF(currency="USD",'Future et co'!D210,IF(currency="EUR",'Future et co'!E210,IF(currency="GBP",'Future et co'!F210,FALSE)))</f>
        <v>RFR USD</v>
      </c>
      <c r="D210" t="str">
        <f t="shared" ca="1" si="16"/>
        <v>RFR USD</v>
      </c>
      <c r="E210" t="str">
        <f t="shared" ca="1" si="17"/>
        <v>RFR EUR</v>
      </c>
      <c r="F210" t="str">
        <f t="shared" ca="1" si="18"/>
        <v>RFR GBP</v>
      </c>
      <c r="J210" s="1"/>
      <c r="K210" s="20"/>
      <c r="N210" s="1"/>
      <c r="O210" s="20"/>
      <c r="R210" s="1"/>
      <c r="V210" s="1"/>
      <c r="AB210" s="1"/>
      <c r="AC210" s="20"/>
      <c r="AF210" s="1"/>
      <c r="AG210" s="20"/>
      <c r="AJ210" s="1"/>
      <c r="AN210" s="1"/>
      <c r="AS210" s="1"/>
      <c r="AT210" s="20"/>
      <c r="AX210" s="1"/>
      <c r="BA210" s="1"/>
      <c r="BC210" s="1"/>
      <c r="BD210" s="1"/>
      <c r="BG210" s="1"/>
      <c r="BJ210" s="1"/>
      <c r="BM210" s="1"/>
      <c r="BP210" s="1"/>
      <c r="BS210" s="1"/>
    </row>
    <row r="211" spans="1:71" x14ac:dyDescent="0.3">
      <c r="A211" s="19">
        <f t="shared" si="19"/>
        <v>46210</v>
      </c>
      <c r="B211">
        <f t="shared" ca="1" si="15"/>
        <v>-0.16111111111111112</v>
      </c>
      <c r="C211" t="str">
        <f ca="1">IF(currency="USD",'Future et co'!D211,IF(currency="EUR",'Future et co'!E211,IF(currency="GBP",'Future et co'!F211,FALSE)))</f>
        <v>RFR USD</v>
      </c>
      <c r="D211" t="str">
        <f t="shared" ca="1" si="16"/>
        <v>RFR USD</v>
      </c>
      <c r="E211" t="str">
        <f t="shared" ca="1" si="17"/>
        <v>RFR EUR</v>
      </c>
      <c r="F211" t="str">
        <f t="shared" ca="1" si="18"/>
        <v>RFR GBP</v>
      </c>
      <c r="J211" s="1"/>
      <c r="K211" s="20"/>
      <c r="N211" s="1"/>
      <c r="O211" s="20"/>
      <c r="R211" s="1"/>
      <c r="V211" s="1"/>
      <c r="AB211" s="1"/>
      <c r="AC211" s="20"/>
      <c r="AF211" s="1"/>
      <c r="AG211" s="20"/>
      <c r="AJ211" s="1"/>
      <c r="AN211" s="1"/>
      <c r="AS211" s="1"/>
      <c r="AT211" s="20"/>
      <c r="AX211" s="1"/>
      <c r="BA211" s="1"/>
      <c r="BC211" s="1"/>
      <c r="BD211" s="1"/>
      <c r="BG211" s="1"/>
      <c r="BJ211" s="1"/>
      <c r="BM211" s="1"/>
      <c r="BP211" s="1"/>
      <c r="BS211" s="1"/>
    </row>
    <row r="212" spans="1:71" x14ac:dyDescent="0.3">
      <c r="A212" s="19">
        <f t="shared" si="19"/>
        <v>46211</v>
      </c>
      <c r="B212">
        <f t="shared" ca="1" si="15"/>
        <v>-0.16388888888888889</v>
      </c>
      <c r="C212" t="str">
        <f ca="1">IF(currency="USD",'Future et co'!D212,IF(currency="EUR",'Future et co'!E212,IF(currency="GBP",'Future et co'!F212,FALSE)))</f>
        <v>RFR USD</v>
      </c>
      <c r="D212" t="str">
        <f t="shared" ca="1" si="16"/>
        <v>RFR USD</v>
      </c>
      <c r="E212" t="str">
        <f t="shared" ca="1" si="17"/>
        <v>RFR EUR</v>
      </c>
      <c r="F212" t="str">
        <f t="shared" ca="1" si="18"/>
        <v>RFR GBP</v>
      </c>
      <c r="J212" s="1"/>
      <c r="K212" s="20"/>
      <c r="N212" s="1"/>
      <c r="O212" s="20"/>
      <c r="R212" s="1"/>
      <c r="V212" s="1"/>
      <c r="AB212" s="1"/>
      <c r="AC212" s="20"/>
      <c r="AF212" s="1"/>
      <c r="AG212" s="20"/>
      <c r="AJ212" s="1"/>
      <c r="AN212" s="1"/>
      <c r="AS212" s="1"/>
      <c r="AT212" s="20"/>
      <c r="AX212" s="1"/>
      <c r="BA212" s="1"/>
      <c r="BC212" s="1"/>
      <c r="BD212" s="1"/>
      <c r="BG212" s="1"/>
      <c r="BJ212" s="1"/>
      <c r="BM212" s="1"/>
      <c r="BP212" s="1"/>
      <c r="BS212" s="1"/>
    </row>
    <row r="213" spans="1:71" x14ac:dyDescent="0.3">
      <c r="A213" s="19">
        <f t="shared" si="19"/>
        <v>46212</v>
      </c>
      <c r="B213">
        <f t="shared" ca="1" si="15"/>
        <v>-0.16666666666666666</v>
      </c>
      <c r="C213" t="str">
        <f ca="1">IF(currency="USD",'Future et co'!D213,IF(currency="EUR",'Future et co'!E213,IF(currency="GBP",'Future et co'!F213,FALSE)))</f>
        <v>RFR USD</v>
      </c>
      <c r="D213" t="str">
        <f t="shared" ca="1" si="16"/>
        <v>RFR USD</v>
      </c>
      <c r="E213" t="str">
        <f t="shared" ca="1" si="17"/>
        <v>RFR EUR</v>
      </c>
      <c r="F213" t="str">
        <f t="shared" ca="1" si="18"/>
        <v>RFR GBP</v>
      </c>
      <c r="J213" s="1"/>
      <c r="K213" s="20"/>
      <c r="N213" s="1"/>
      <c r="O213" s="20"/>
      <c r="R213" s="1"/>
      <c r="V213" s="1"/>
      <c r="AB213" s="1"/>
      <c r="AC213" s="20"/>
      <c r="AF213" s="1"/>
      <c r="AG213" s="20"/>
      <c r="AJ213" s="1"/>
      <c r="AN213" s="1"/>
      <c r="AS213" s="1"/>
      <c r="AT213" s="20"/>
      <c r="AX213" s="1"/>
      <c r="BA213" s="1"/>
      <c r="BC213" s="1"/>
      <c r="BD213" s="1"/>
      <c r="BG213" s="1"/>
      <c r="BJ213" s="1"/>
      <c r="BM213" s="1"/>
      <c r="BP213" s="1"/>
      <c r="BS213" s="1"/>
    </row>
    <row r="214" spans="1:71" x14ac:dyDescent="0.3">
      <c r="A214" s="19">
        <f t="shared" si="19"/>
        <v>46213</v>
      </c>
      <c r="B214">
        <f t="shared" ca="1" si="15"/>
        <v>-0.16944444444444445</v>
      </c>
      <c r="C214" t="str">
        <f ca="1">IF(currency="USD",'Future et co'!D214,IF(currency="EUR",'Future et co'!E214,IF(currency="GBP",'Future et co'!F214,FALSE)))</f>
        <v>RFR USD</v>
      </c>
      <c r="D214" t="str">
        <f t="shared" ca="1" si="16"/>
        <v>RFR USD</v>
      </c>
      <c r="E214" t="str">
        <f t="shared" ca="1" si="17"/>
        <v>RFR EUR</v>
      </c>
      <c r="F214" t="str">
        <f t="shared" ca="1" si="18"/>
        <v>RFR GBP</v>
      </c>
      <c r="J214" s="1"/>
      <c r="K214" s="20"/>
      <c r="N214" s="1"/>
      <c r="O214" s="20"/>
      <c r="R214" s="1"/>
      <c r="V214" s="1"/>
      <c r="AB214" s="1"/>
      <c r="AC214" s="20"/>
      <c r="AF214" s="1"/>
      <c r="AG214" s="20"/>
      <c r="AJ214" s="1"/>
      <c r="AN214" s="1"/>
      <c r="AS214" s="1"/>
      <c r="AT214" s="20"/>
      <c r="AX214" s="1"/>
      <c r="BA214" s="1"/>
      <c r="BC214" s="1"/>
      <c r="BD214" s="1"/>
      <c r="BG214" s="1"/>
      <c r="BJ214" s="1"/>
      <c r="BM214" s="1"/>
      <c r="BP214" s="1"/>
      <c r="BS214" s="1"/>
    </row>
    <row r="215" spans="1:71" x14ac:dyDescent="0.3">
      <c r="A215" s="19">
        <f t="shared" si="19"/>
        <v>46216</v>
      </c>
      <c r="B215">
        <f t="shared" ca="1" si="15"/>
        <v>-0.17777777777777778</v>
      </c>
      <c r="C215" t="str">
        <f ca="1">IF(currency="USD",'Future et co'!D215,IF(currency="EUR",'Future et co'!E215,IF(currency="GBP",'Future et co'!F215,FALSE)))</f>
        <v>RFR USD</v>
      </c>
      <c r="D215" t="str">
        <f t="shared" ca="1" si="16"/>
        <v>RFR USD</v>
      </c>
      <c r="E215" t="str">
        <f t="shared" ca="1" si="17"/>
        <v>RFR EUR</v>
      </c>
      <c r="F215" t="str">
        <f t="shared" ca="1" si="18"/>
        <v>RFR GBP</v>
      </c>
      <c r="J215" s="1"/>
      <c r="K215" s="20"/>
      <c r="N215" s="1"/>
      <c r="O215" s="20"/>
      <c r="R215" s="1"/>
      <c r="V215" s="1"/>
      <c r="AB215" s="1"/>
      <c r="AC215" s="20"/>
      <c r="AF215" s="1"/>
      <c r="AG215" s="20"/>
      <c r="AJ215" s="1"/>
      <c r="AN215" s="1"/>
      <c r="AS215" s="1"/>
      <c r="AT215" s="20"/>
      <c r="AX215" s="1"/>
      <c r="BA215" s="1"/>
      <c r="BC215" s="1"/>
      <c r="BD215" s="1"/>
      <c r="BG215" s="1"/>
      <c r="BJ215" s="1"/>
      <c r="BM215" s="1"/>
      <c r="BP215" s="1"/>
      <c r="BS215" s="1"/>
    </row>
    <row r="216" spans="1:71" x14ac:dyDescent="0.3">
      <c r="A216" s="19">
        <f t="shared" si="19"/>
        <v>46217</v>
      </c>
      <c r="B216">
        <f t="shared" ca="1" si="15"/>
        <v>-0.18055555555555555</v>
      </c>
      <c r="C216" t="str">
        <f ca="1">IF(currency="USD",'Future et co'!D216,IF(currency="EUR",'Future et co'!E216,IF(currency="GBP",'Future et co'!F216,FALSE)))</f>
        <v>RFR USD</v>
      </c>
      <c r="D216" t="str">
        <f t="shared" ca="1" si="16"/>
        <v>RFR USD</v>
      </c>
      <c r="E216" t="str">
        <f t="shared" ca="1" si="17"/>
        <v>RFR EUR</v>
      </c>
      <c r="F216" t="str">
        <f t="shared" ca="1" si="18"/>
        <v>RFR GBP</v>
      </c>
      <c r="J216" s="1"/>
      <c r="K216" s="20"/>
      <c r="N216" s="1"/>
      <c r="O216" s="20"/>
      <c r="R216" s="1"/>
      <c r="V216" s="1"/>
      <c r="AB216" s="1"/>
      <c r="AC216" s="20"/>
      <c r="AF216" s="1"/>
      <c r="AG216" s="20"/>
      <c r="AJ216" s="1"/>
      <c r="AN216" s="1"/>
      <c r="AS216" s="1"/>
      <c r="AT216" s="20"/>
      <c r="AX216" s="1"/>
      <c r="BA216" s="1"/>
      <c r="BC216" s="1"/>
      <c r="BD216" s="1"/>
      <c r="BG216" s="1"/>
      <c r="BJ216" s="1"/>
      <c r="BM216" s="1"/>
      <c r="BP216" s="1"/>
      <c r="BS216" s="1"/>
    </row>
    <row r="217" spans="1:71" x14ac:dyDescent="0.3">
      <c r="A217" s="19">
        <f t="shared" si="19"/>
        <v>46218</v>
      </c>
      <c r="B217">
        <f t="shared" ca="1" si="15"/>
        <v>-0.18333333333333332</v>
      </c>
      <c r="C217" t="str">
        <f ca="1">IF(currency="USD",'Future et co'!D217,IF(currency="EUR",'Future et co'!E217,IF(currency="GBP",'Future et co'!F217,FALSE)))</f>
        <v>RFR USD</v>
      </c>
      <c r="D217" t="str">
        <f t="shared" ca="1" si="16"/>
        <v>RFR USD</v>
      </c>
      <c r="E217" t="str">
        <f t="shared" ca="1" si="17"/>
        <v>RFR EUR</v>
      </c>
      <c r="F217" t="str">
        <f t="shared" ca="1" si="18"/>
        <v>RFR GBP</v>
      </c>
      <c r="J217" s="1"/>
      <c r="K217" s="20"/>
      <c r="N217" s="1"/>
      <c r="O217" s="20"/>
      <c r="R217" s="1"/>
      <c r="V217" s="1"/>
      <c r="AB217" s="1"/>
      <c r="AC217" s="20"/>
      <c r="AF217" s="1"/>
      <c r="AG217" s="20"/>
      <c r="AJ217" s="1"/>
      <c r="AN217" s="1"/>
      <c r="AS217" s="1"/>
      <c r="AT217" s="20"/>
      <c r="AX217" s="1"/>
      <c r="BA217" s="1"/>
      <c r="BC217" s="1"/>
      <c r="BD217" s="1"/>
      <c r="BG217" s="1"/>
      <c r="BJ217" s="1"/>
      <c r="BM217" s="1"/>
      <c r="BP217" s="1"/>
      <c r="BS217" s="1"/>
    </row>
    <row r="218" spans="1:71" x14ac:dyDescent="0.3">
      <c r="A218" s="19">
        <f t="shared" si="19"/>
        <v>46219</v>
      </c>
      <c r="B218">
        <f t="shared" ca="1" si="15"/>
        <v>-0.18611111111111112</v>
      </c>
      <c r="C218" t="str">
        <f ca="1">IF(currency="USD",'Future et co'!D218,IF(currency="EUR",'Future et co'!E218,IF(currency="GBP",'Future et co'!F218,FALSE)))</f>
        <v>RFR USD</v>
      </c>
      <c r="D218" t="str">
        <f t="shared" ca="1" si="16"/>
        <v>RFR USD</v>
      </c>
      <c r="E218" t="str">
        <f t="shared" ca="1" si="17"/>
        <v>RFR EUR</v>
      </c>
      <c r="F218" t="str">
        <f t="shared" ca="1" si="18"/>
        <v>RFR GBP</v>
      </c>
      <c r="J218" s="1"/>
      <c r="K218" s="20"/>
      <c r="N218" s="1"/>
      <c r="O218" s="20"/>
      <c r="R218" s="1"/>
      <c r="V218" s="1"/>
      <c r="AB218" s="1"/>
      <c r="AC218" s="20"/>
      <c r="AF218" s="1"/>
      <c r="AG218" s="20"/>
      <c r="AJ218" s="1"/>
      <c r="AN218" s="1"/>
      <c r="AS218" s="1"/>
      <c r="AT218" s="20"/>
      <c r="AX218" s="1"/>
      <c r="BA218" s="1"/>
      <c r="BC218" s="1"/>
      <c r="BD218" s="1"/>
      <c r="BG218" s="1"/>
      <c r="BJ218" s="1"/>
      <c r="BM218" s="1"/>
      <c r="BP218" s="1"/>
      <c r="BS218" s="1"/>
    </row>
    <row r="219" spans="1:71" x14ac:dyDescent="0.3">
      <c r="A219" s="19">
        <f t="shared" si="19"/>
        <v>46220</v>
      </c>
      <c r="B219">
        <f t="shared" ca="1" si="15"/>
        <v>-0.18888888888888888</v>
      </c>
      <c r="C219" t="str">
        <f ca="1">IF(currency="USD",'Future et co'!D219,IF(currency="EUR",'Future et co'!E219,IF(currency="GBP",'Future et co'!F219,FALSE)))</f>
        <v>RFR USD</v>
      </c>
      <c r="D219" t="str">
        <f t="shared" ca="1" si="16"/>
        <v>RFR USD</v>
      </c>
      <c r="E219" t="str">
        <f t="shared" ca="1" si="17"/>
        <v>RFR EUR</v>
      </c>
      <c r="F219" t="str">
        <f t="shared" ca="1" si="18"/>
        <v>RFR GBP</v>
      </c>
      <c r="J219" s="1"/>
      <c r="K219" s="20"/>
      <c r="N219" s="1"/>
      <c r="O219" s="20"/>
      <c r="R219" s="1"/>
      <c r="V219" s="1"/>
      <c r="AB219" s="1"/>
      <c r="AC219" s="20"/>
      <c r="AF219" s="1"/>
      <c r="AG219" s="20"/>
      <c r="AJ219" s="1"/>
      <c r="AN219" s="1"/>
      <c r="AS219" s="1"/>
      <c r="AT219" s="20"/>
      <c r="AX219" s="1"/>
      <c r="BA219" s="1"/>
      <c r="BC219" s="1"/>
      <c r="BD219" s="1"/>
      <c r="BG219" s="1"/>
      <c r="BJ219" s="1"/>
      <c r="BM219" s="1"/>
      <c r="BP219" s="1"/>
      <c r="BS219" s="1"/>
    </row>
    <row r="220" spans="1:71" x14ac:dyDescent="0.3">
      <c r="A220" s="19">
        <f t="shared" si="19"/>
        <v>46223</v>
      </c>
      <c r="B220">
        <f t="shared" ca="1" si="15"/>
        <v>-0.19722222222222222</v>
      </c>
      <c r="C220" t="str">
        <f ca="1">IF(currency="USD",'Future et co'!D220,IF(currency="EUR",'Future et co'!E220,IF(currency="GBP",'Future et co'!F220,FALSE)))</f>
        <v>RFR USD</v>
      </c>
      <c r="D220" t="str">
        <f t="shared" ca="1" si="16"/>
        <v>RFR USD</v>
      </c>
      <c r="E220" t="str">
        <f t="shared" ca="1" si="17"/>
        <v>RFR EUR</v>
      </c>
      <c r="F220" t="str">
        <f t="shared" ca="1" si="18"/>
        <v>RFR GBP</v>
      </c>
      <c r="J220" s="1"/>
      <c r="K220" s="20"/>
      <c r="N220" s="1"/>
      <c r="O220" s="20"/>
      <c r="R220" s="1"/>
      <c r="V220" s="1"/>
      <c r="AB220" s="1"/>
      <c r="AC220" s="20"/>
      <c r="AF220" s="1"/>
      <c r="AG220" s="20"/>
      <c r="AJ220" s="1"/>
      <c r="AN220" s="1"/>
      <c r="AS220" s="1"/>
      <c r="AT220" s="20"/>
      <c r="AX220" s="1"/>
      <c r="BA220" s="1"/>
      <c r="BC220" s="1"/>
      <c r="BD220" s="1"/>
      <c r="BG220" s="1"/>
      <c r="BJ220" s="1"/>
      <c r="BM220" s="1"/>
      <c r="BP220" s="1"/>
      <c r="BS220" s="1"/>
    </row>
    <row r="221" spans="1:71" x14ac:dyDescent="0.3">
      <c r="A221" s="19">
        <f t="shared" si="19"/>
        <v>46224</v>
      </c>
      <c r="B221">
        <f t="shared" ca="1" si="15"/>
        <v>-0.2</v>
      </c>
      <c r="C221" t="str">
        <f ca="1">IF(currency="USD",'Future et co'!D221,IF(currency="EUR",'Future et co'!E221,IF(currency="GBP",'Future et co'!F221,FALSE)))</f>
        <v>RFR USD</v>
      </c>
      <c r="D221" t="str">
        <f t="shared" ca="1" si="16"/>
        <v>RFR USD</v>
      </c>
      <c r="E221" t="str">
        <f t="shared" ca="1" si="17"/>
        <v>RFR EUR</v>
      </c>
      <c r="F221" t="str">
        <f t="shared" ca="1" si="18"/>
        <v>RFR GBP</v>
      </c>
      <c r="J221" s="1"/>
      <c r="K221" s="20"/>
      <c r="N221" s="1"/>
      <c r="O221" s="20"/>
      <c r="R221" s="1"/>
      <c r="V221" s="1"/>
      <c r="AB221" s="1"/>
      <c r="AC221" s="20"/>
      <c r="AF221" s="1"/>
      <c r="AG221" s="20"/>
      <c r="AJ221" s="1"/>
      <c r="AN221" s="1"/>
      <c r="AS221" s="1"/>
      <c r="AT221" s="20"/>
      <c r="AX221" s="1"/>
      <c r="BA221" s="1"/>
      <c r="BC221" s="1"/>
      <c r="BD221" s="1"/>
      <c r="BG221" s="1"/>
      <c r="BJ221" s="1"/>
      <c r="BM221" s="1"/>
      <c r="BP221" s="1"/>
      <c r="BS221" s="1"/>
    </row>
    <row r="222" spans="1:71" x14ac:dyDescent="0.3">
      <c r="A222" s="19">
        <f t="shared" si="19"/>
        <v>46225</v>
      </c>
      <c r="B222">
        <f t="shared" ca="1" si="15"/>
        <v>-0.20277777777777778</v>
      </c>
      <c r="C222" t="str">
        <f ca="1">IF(currency="USD",'Future et co'!D222,IF(currency="EUR",'Future et co'!E222,IF(currency="GBP",'Future et co'!F222,FALSE)))</f>
        <v>RFR USD</v>
      </c>
      <c r="D222" t="str">
        <f t="shared" ca="1" si="16"/>
        <v>RFR USD</v>
      </c>
      <c r="E222" t="str">
        <f t="shared" ca="1" si="17"/>
        <v>RFR EUR</v>
      </c>
      <c r="F222" t="str">
        <f t="shared" ca="1" si="18"/>
        <v>RFR GBP</v>
      </c>
      <c r="J222" s="1"/>
      <c r="K222" s="20"/>
      <c r="N222" s="1"/>
      <c r="O222" s="20"/>
      <c r="R222" s="1"/>
      <c r="V222" s="1"/>
      <c r="AB222" s="1"/>
      <c r="AC222" s="20"/>
      <c r="AF222" s="1"/>
      <c r="AG222" s="20"/>
      <c r="AJ222" s="1"/>
      <c r="AN222" s="1"/>
      <c r="AS222" s="1"/>
      <c r="AT222" s="20"/>
      <c r="AX222" s="1"/>
      <c r="BA222" s="1"/>
      <c r="BC222" s="1"/>
      <c r="BD222" s="1"/>
      <c r="BG222" s="1"/>
      <c r="BJ222" s="1"/>
      <c r="BM222" s="1"/>
      <c r="BP222" s="1"/>
      <c r="BS222" s="1"/>
    </row>
    <row r="223" spans="1:71" x14ac:dyDescent="0.3">
      <c r="A223" s="19">
        <f t="shared" si="19"/>
        <v>46226</v>
      </c>
      <c r="B223">
        <f t="shared" ca="1" si="15"/>
        <v>-0.20555555555555555</v>
      </c>
      <c r="C223" t="str">
        <f ca="1">IF(currency="USD",'Future et co'!D223,IF(currency="EUR",'Future et co'!E223,IF(currency="GBP",'Future et co'!F223,FALSE)))</f>
        <v>RFR USD</v>
      </c>
      <c r="D223" t="str">
        <f t="shared" ca="1" si="16"/>
        <v>RFR USD</v>
      </c>
      <c r="E223" t="str">
        <f t="shared" ca="1" si="17"/>
        <v>RFR EUR</v>
      </c>
      <c r="F223" t="str">
        <f t="shared" ca="1" si="18"/>
        <v>RFR GBP</v>
      </c>
      <c r="J223" s="1"/>
      <c r="K223" s="20"/>
      <c r="N223" s="1"/>
      <c r="O223" s="20"/>
      <c r="R223" s="1"/>
      <c r="V223" s="1"/>
      <c r="AB223" s="1"/>
      <c r="AC223" s="20"/>
      <c r="AF223" s="1"/>
      <c r="AG223" s="20"/>
      <c r="AJ223" s="1"/>
      <c r="AN223" s="1"/>
      <c r="AS223" s="1"/>
      <c r="AT223" s="20"/>
      <c r="AX223" s="1"/>
      <c r="BA223" s="1"/>
      <c r="BC223" s="1"/>
      <c r="BD223" s="1"/>
      <c r="BG223" s="1"/>
      <c r="BJ223" s="1"/>
      <c r="BM223" s="1"/>
      <c r="BP223" s="1"/>
      <c r="BS223" s="1"/>
    </row>
    <row r="224" spans="1:71" x14ac:dyDescent="0.3">
      <c r="A224" s="19">
        <f t="shared" si="19"/>
        <v>46227</v>
      </c>
      <c r="B224">
        <f t="shared" ca="1" si="15"/>
        <v>-0.20833333333333334</v>
      </c>
      <c r="C224" t="str">
        <f ca="1">IF(currency="USD",'Future et co'!D224,IF(currency="EUR",'Future et co'!E224,IF(currency="GBP",'Future et co'!F224,FALSE)))</f>
        <v>RFR USD</v>
      </c>
      <c r="D224" t="str">
        <f t="shared" ca="1" si="16"/>
        <v>RFR USD</v>
      </c>
      <c r="E224" t="str">
        <f t="shared" ca="1" si="17"/>
        <v>RFR EUR</v>
      </c>
      <c r="F224" t="str">
        <f t="shared" ca="1" si="18"/>
        <v>RFR GBP</v>
      </c>
      <c r="J224" s="1"/>
      <c r="K224" s="20"/>
      <c r="N224" s="1"/>
      <c r="O224" s="20"/>
      <c r="R224" s="1"/>
      <c r="V224" s="1"/>
      <c r="AB224" s="1"/>
      <c r="AC224" s="20"/>
      <c r="AF224" s="1"/>
      <c r="AG224" s="20"/>
      <c r="AJ224" s="1"/>
      <c r="AN224" s="1"/>
      <c r="AS224" s="1"/>
      <c r="AT224" s="20"/>
      <c r="AX224" s="1"/>
      <c r="BA224" s="1"/>
      <c r="BC224" s="1"/>
      <c r="BD224" s="1"/>
      <c r="BG224" s="1"/>
      <c r="BJ224" s="1"/>
      <c r="BM224" s="1"/>
      <c r="BP224" s="1"/>
      <c r="BS224" s="1"/>
    </row>
    <row r="225" spans="1:71" x14ac:dyDescent="0.3">
      <c r="A225" s="19">
        <f t="shared" si="19"/>
        <v>46230</v>
      </c>
      <c r="B225">
        <f t="shared" ca="1" si="15"/>
        <v>-0.21666666666666667</v>
      </c>
      <c r="C225" t="str">
        <f ca="1">IF(currency="USD",'Future et co'!D225,IF(currency="EUR",'Future et co'!E225,IF(currency="GBP",'Future et co'!F225,FALSE)))</f>
        <v>RFR USD</v>
      </c>
      <c r="D225" t="str">
        <f t="shared" ca="1" si="16"/>
        <v>RFR USD</v>
      </c>
      <c r="E225" t="str">
        <f t="shared" ca="1" si="17"/>
        <v>RFR EUR</v>
      </c>
      <c r="F225" t="str">
        <f t="shared" ca="1" si="18"/>
        <v>RFR GBP</v>
      </c>
      <c r="J225" s="1"/>
      <c r="K225" s="20"/>
      <c r="N225" s="1"/>
      <c r="O225" s="20"/>
      <c r="R225" s="1"/>
      <c r="V225" s="1"/>
      <c r="AB225" s="1"/>
      <c r="AC225" s="20"/>
      <c r="AF225" s="1"/>
      <c r="AG225" s="20"/>
      <c r="AJ225" s="1"/>
      <c r="AN225" s="1"/>
      <c r="AS225" s="1"/>
      <c r="AT225" s="20"/>
      <c r="AX225" s="1"/>
      <c r="BA225" s="1"/>
      <c r="BC225" s="1"/>
      <c r="BD225" s="1"/>
      <c r="BG225" s="1"/>
      <c r="BJ225" s="1"/>
      <c r="BM225" s="1"/>
      <c r="BP225" s="1"/>
      <c r="BS225" s="1"/>
    </row>
    <row r="226" spans="1:71" x14ac:dyDescent="0.3">
      <c r="A226" s="19">
        <f t="shared" si="19"/>
        <v>46231</v>
      </c>
      <c r="B226">
        <f t="shared" ca="1" si="15"/>
        <v>-0.21944444444444444</v>
      </c>
      <c r="C226" t="str">
        <f ca="1">IF(currency="USD",'Future et co'!D226,IF(currency="EUR",'Future et co'!E226,IF(currency="GBP",'Future et co'!F226,FALSE)))</f>
        <v>RFR USD</v>
      </c>
      <c r="D226" t="str">
        <f t="shared" ca="1" si="16"/>
        <v>RFR USD</v>
      </c>
      <c r="E226" t="str">
        <f t="shared" ca="1" si="17"/>
        <v>RFR EUR</v>
      </c>
      <c r="F226" t="str">
        <f t="shared" ca="1" si="18"/>
        <v>RFR GBP</v>
      </c>
      <c r="J226" s="1"/>
      <c r="K226" s="20"/>
      <c r="N226" s="1"/>
      <c r="O226" s="20"/>
      <c r="R226" s="1"/>
      <c r="V226" s="1"/>
      <c r="AB226" s="1"/>
      <c r="AC226" s="20"/>
      <c r="AF226" s="1"/>
      <c r="AG226" s="20"/>
      <c r="AJ226" s="1"/>
      <c r="AN226" s="1"/>
      <c r="AS226" s="1"/>
      <c r="AT226" s="20"/>
      <c r="AX226" s="1"/>
      <c r="BA226" s="1"/>
      <c r="BC226" s="1"/>
      <c r="BD226" s="1"/>
      <c r="BG226" s="1"/>
      <c r="BJ226" s="1"/>
      <c r="BM226" s="1"/>
      <c r="BP226" s="1"/>
      <c r="BS226" s="1"/>
    </row>
    <row r="227" spans="1:71" x14ac:dyDescent="0.3">
      <c r="A227" s="19">
        <f t="shared" si="19"/>
        <v>46232</v>
      </c>
      <c r="B227">
        <f t="shared" ca="1" si="15"/>
        <v>-0.22222222222222221</v>
      </c>
      <c r="C227" t="str">
        <f ca="1">IF(currency="USD",'Future et co'!D227,IF(currency="EUR",'Future et co'!E227,IF(currency="GBP",'Future et co'!F227,FALSE)))</f>
        <v>RFR USD</v>
      </c>
      <c r="D227" t="str">
        <f t="shared" ca="1" si="16"/>
        <v>RFR USD</v>
      </c>
      <c r="E227" t="str">
        <f t="shared" ca="1" si="17"/>
        <v>RFR EUR</v>
      </c>
      <c r="F227" t="str">
        <f t="shared" ca="1" si="18"/>
        <v>RFR GBP</v>
      </c>
      <c r="J227" s="1"/>
      <c r="K227" s="20"/>
      <c r="N227" s="1"/>
      <c r="O227" s="20"/>
      <c r="R227" s="1"/>
      <c r="V227" s="1"/>
      <c r="AB227" s="1"/>
      <c r="AC227" s="20"/>
      <c r="AF227" s="1"/>
      <c r="AG227" s="20"/>
      <c r="AJ227" s="1"/>
      <c r="AN227" s="1"/>
      <c r="AS227" s="1"/>
      <c r="AT227" s="20"/>
      <c r="AX227" s="1"/>
      <c r="BA227" s="1"/>
      <c r="BC227" s="1"/>
      <c r="BD227" s="1"/>
      <c r="BG227" s="1"/>
      <c r="BJ227" s="1"/>
      <c r="BM227" s="1"/>
      <c r="BP227" s="1"/>
      <c r="BS227" s="1"/>
    </row>
    <row r="228" spans="1:71" x14ac:dyDescent="0.3">
      <c r="A228" s="19">
        <f t="shared" si="19"/>
        <v>46233</v>
      </c>
      <c r="B228">
        <f t="shared" ca="1" si="15"/>
        <v>-0.22500000000000001</v>
      </c>
      <c r="C228" t="str">
        <f ca="1">IF(currency="USD",'Future et co'!D228,IF(currency="EUR",'Future et co'!E228,IF(currency="GBP",'Future et co'!F228,FALSE)))</f>
        <v>RFR USD</v>
      </c>
      <c r="D228" t="str">
        <f t="shared" ca="1" si="16"/>
        <v>RFR USD</v>
      </c>
      <c r="E228" t="str">
        <f t="shared" ca="1" si="17"/>
        <v>RFR EUR</v>
      </c>
      <c r="F228" t="str">
        <f t="shared" ca="1" si="18"/>
        <v>RFR GBP</v>
      </c>
      <c r="J228" s="1"/>
      <c r="K228" s="20"/>
      <c r="N228" s="1"/>
      <c r="O228" s="20"/>
      <c r="R228" s="1"/>
      <c r="V228" s="1"/>
      <c r="AB228" s="1"/>
      <c r="AC228" s="20"/>
      <c r="AF228" s="1"/>
      <c r="AG228" s="20"/>
      <c r="AJ228" s="1"/>
      <c r="AN228" s="1"/>
      <c r="AS228" s="1"/>
      <c r="AT228" s="20"/>
      <c r="AX228" s="1"/>
      <c r="BA228" s="1"/>
      <c r="BC228" s="1"/>
      <c r="BD228" s="1"/>
      <c r="BG228" s="1"/>
      <c r="BJ228" s="1"/>
      <c r="BM228" s="1"/>
      <c r="BP228" s="1"/>
      <c r="BS228" s="1"/>
    </row>
    <row r="229" spans="1:71" x14ac:dyDescent="0.3">
      <c r="A229" s="19">
        <f t="shared" si="19"/>
        <v>46234</v>
      </c>
      <c r="B229">
        <f t="shared" ca="1" si="15"/>
        <v>-0.22777777777777777</v>
      </c>
      <c r="C229" t="str">
        <f ca="1">IF(currency="USD",'Future et co'!D229,IF(currency="EUR",'Future et co'!E229,IF(currency="GBP",'Future et co'!F229,FALSE)))</f>
        <v>RFR USD</v>
      </c>
      <c r="D229" t="str">
        <f t="shared" ca="1" si="16"/>
        <v>RFR USD</v>
      </c>
      <c r="E229" t="str">
        <f t="shared" ca="1" si="17"/>
        <v>RFR EUR</v>
      </c>
      <c r="F229" t="str">
        <f t="shared" ca="1" si="18"/>
        <v>RFR GBP</v>
      </c>
      <c r="J229" s="1"/>
      <c r="K229" s="20"/>
      <c r="N229" s="1"/>
      <c r="O229" s="20"/>
      <c r="R229" s="1"/>
      <c r="V229" s="1"/>
      <c r="AB229" s="1"/>
      <c r="AC229" s="20"/>
      <c r="AF229" s="1"/>
      <c r="AG229" s="20"/>
      <c r="AJ229" s="1"/>
      <c r="AN229" s="1"/>
      <c r="AS229" s="1"/>
      <c r="AT229" s="20"/>
      <c r="AX229" s="1"/>
      <c r="BA229" s="1"/>
      <c r="BC229" s="1"/>
      <c r="BD229" s="1"/>
      <c r="BG229" s="1"/>
      <c r="BJ229" s="1"/>
      <c r="BM229" s="1"/>
      <c r="BP229" s="1"/>
      <c r="BS229" s="1"/>
    </row>
    <row r="230" spans="1:71" x14ac:dyDescent="0.3">
      <c r="A230" s="19">
        <f t="shared" si="19"/>
        <v>46237</v>
      </c>
      <c r="B230">
        <f t="shared" ca="1" si="15"/>
        <v>-0.2361111111111111</v>
      </c>
      <c r="C230" t="str">
        <f ca="1">IF(currency="USD",'Future et co'!D230,IF(currency="EUR",'Future et co'!E230,IF(currency="GBP",'Future et co'!F230,FALSE)))</f>
        <v>RFR USD</v>
      </c>
      <c r="D230" t="str">
        <f t="shared" ca="1" si="16"/>
        <v>RFR USD</v>
      </c>
      <c r="E230" t="str">
        <f t="shared" ca="1" si="17"/>
        <v>RFR EUR</v>
      </c>
      <c r="F230" t="str">
        <f t="shared" ca="1" si="18"/>
        <v>RFR GBP</v>
      </c>
      <c r="J230" s="1"/>
      <c r="K230" s="20"/>
      <c r="N230" s="1"/>
      <c r="O230" s="20"/>
      <c r="R230" s="1"/>
      <c r="V230" s="1"/>
      <c r="AB230" s="1"/>
      <c r="AC230" s="20"/>
      <c r="AF230" s="1"/>
      <c r="AG230" s="20"/>
      <c r="AJ230" s="1"/>
      <c r="AN230" s="1"/>
      <c r="AS230" s="1"/>
      <c r="AT230" s="20"/>
      <c r="AX230" s="1"/>
      <c r="BA230" s="1"/>
      <c r="BC230" s="1"/>
      <c r="BD230" s="1"/>
      <c r="BG230" s="1"/>
      <c r="BJ230" s="1"/>
      <c r="BM230" s="1"/>
      <c r="BP230" s="1"/>
      <c r="BS230" s="1"/>
    </row>
    <row r="231" spans="1:71" x14ac:dyDescent="0.3">
      <c r="A231" s="19">
        <f t="shared" si="19"/>
        <v>46238</v>
      </c>
      <c r="B231">
        <f t="shared" ca="1" si="15"/>
        <v>-0.2388888888888889</v>
      </c>
      <c r="C231" t="str">
        <f ca="1">IF(currency="USD",'Future et co'!D231,IF(currency="EUR",'Future et co'!E231,IF(currency="GBP",'Future et co'!F231,FALSE)))</f>
        <v>RFR USD</v>
      </c>
      <c r="D231" t="str">
        <f t="shared" ca="1" si="16"/>
        <v>RFR USD</v>
      </c>
      <c r="E231" t="str">
        <f t="shared" ca="1" si="17"/>
        <v>RFR EUR</v>
      </c>
      <c r="F231" t="str">
        <f t="shared" ca="1" si="18"/>
        <v>RFR GBP</v>
      </c>
      <c r="J231" s="1"/>
      <c r="K231" s="20"/>
      <c r="N231" s="1"/>
      <c r="O231" s="20"/>
      <c r="R231" s="1"/>
      <c r="V231" s="1"/>
      <c r="AB231" s="1"/>
      <c r="AC231" s="20"/>
      <c r="AF231" s="1"/>
      <c r="AG231" s="20"/>
      <c r="AJ231" s="1"/>
      <c r="AN231" s="1"/>
      <c r="AS231" s="1"/>
      <c r="AT231" s="20"/>
      <c r="AX231" s="1"/>
      <c r="BA231" s="1"/>
      <c r="BC231" s="1"/>
      <c r="BD231" s="1"/>
      <c r="BG231" s="1"/>
      <c r="BJ231" s="1"/>
      <c r="BM231" s="1"/>
      <c r="BP231" s="1"/>
      <c r="BS231" s="1"/>
    </row>
    <row r="232" spans="1:71" x14ac:dyDescent="0.3">
      <c r="A232" s="19">
        <f t="shared" si="19"/>
        <v>46239</v>
      </c>
      <c r="B232">
        <f t="shared" ca="1" si="15"/>
        <v>-0.24166666666666667</v>
      </c>
      <c r="C232" t="str">
        <f ca="1">IF(currency="USD",'Future et co'!D232,IF(currency="EUR",'Future et co'!E232,IF(currency="GBP",'Future et co'!F232,FALSE)))</f>
        <v>RFR USD</v>
      </c>
      <c r="D232" t="str">
        <f t="shared" ca="1" si="16"/>
        <v>RFR USD</v>
      </c>
      <c r="E232" t="str">
        <f t="shared" ca="1" si="17"/>
        <v>RFR EUR</v>
      </c>
      <c r="F232" t="str">
        <f t="shared" ca="1" si="18"/>
        <v>RFR GBP</v>
      </c>
      <c r="J232" s="1"/>
      <c r="K232" s="20"/>
      <c r="N232" s="1"/>
      <c r="O232" s="20"/>
      <c r="R232" s="1"/>
      <c r="V232" s="1"/>
      <c r="AB232" s="1"/>
      <c r="AC232" s="20"/>
      <c r="AF232" s="1"/>
      <c r="AG232" s="20"/>
      <c r="AJ232" s="1"/>
      <c r="AN232" s="1"/>
      <c r="AS232" s="1"/>
      <c r="AT232" s="20"/>
      <c r="AX232" s="1"/>
      <c r="BA232" s="1"/>
      <c r="BC232" s="1"/>
      <c r="BD232" s="1"/>
      <c r="BG232" s="1"/>
      <c r="BJ232" s="1"/>
      <c r="BM232" s="1"/>
      <c r="BP232" s="1"/>
      <c r="BS232" s="1"/>
    </row>
    <row r="233" spans="1:71" x14ac:dyDescent="0.3">
      <c r="A233" s="19">
        <f t="shared" si="19"/>
        <v>46240</v>
      </c>
      <c r="B233">
        <f t="shared" ca="1" si="15"/>
        <v>-0.24444444444444444</v>
      </c>
      <c r="C233" t="str">
        <f ca="1">IF(currency="USD",'Future et co'!D233,IF(currency="EUR",'Future et co'!E233,IF(currency="GBP",'Future et co'!F233,FALSE)))</f>
        <v>RFR USD</v>
      </c>
      <c r="D233" t="str">
        <f t="shared" ca="1" si="16"/>
        <v>RFR USD</v>
      </c>
      <c r="E233" t="str">
        <f t="shared" ca="1" si="17"/>
        <v>RFR EUR</v>
      </c>
      <c r="F233" t="str">
        <f t="shared" ca="1" si="18"/>
        <v>RFR GBP</v>
      </c>
      <c r="J233" s="1"/>
      <c r="K233" s="20"/>
      <c r="N233" s="1"/>
      <c r="O233" s="20"/>
      <c r="R233" s="1"/>
      <c r="V233" s="1"/>
      <c r="AB233" s="1"/>
      <c r="AC233" s="20"/>
      <c r="AF233" s="1"/>
      <c r="AG233" s="20"/>
      <c r="AJ233" s="1"/>
      <c r="AN233" s="1"/>
      <c r="AS233" s="1"/>
      <c r="AT233" s="20"/>
      <c r="AX233" s="1"/>
      <c r="BA233" s="1"/>
      <c r="BC233" s="1"/>
      <c r="BD233" s="1"/>
      <c r="BG233" s="1"/>
      <c r="BJ233" s="1"/>
      <c r="BM233" s="1"/>
      <c r="BP233" s="1"/>
      <c r="BS233" s="1"/>
    </row>
    <row r="234" spans="1:71" x14ac:dyDescent="0.3">
      <c r="A234" s="19">
        <f t="shared" si="19"/>
        <v>46241</v>
      </c>
      <c r="B234">
        <f t="shared" ca="1" si="15"/>
        <v>-0.24722222222222223</v>
      </c>
      <c r="C234" t="str">
        <f ca="1">IF(currency="USD",'Future et co'!D234,IF(currency="EUR",'Future et co'!E234,IF(currency="GBP",'Future et co'!F234,FALSE)))</f>
        <v>RFR USD</v>
      </c>
      <c r="D234" t="str">
        <f t="shared" ca="1" si="16"/>
        <v>RFR USD</v>
      </c>
      <c r="E234" t="str">
        <f t="shared" ca="1" si="17"/>
        <v>RFR EUR</v>
      </c>
      <c r="F234" t="str">
        <f t="shared" ca="1" si="18"/>
        <v>RFR GBP</v>
      </c>
      <c r="J234" s="1"/>
      <c r="K234" s="20"/>
      <c r="N234" s="1"/>
      <c r="O234" s="20"/>
      <c r="R234" s="1"/>
      <c r="V234" s="1"/>
      <c r="AB234" s="1"/>
      <c r="AC234" s="20"/>
      <c r="AF234" s="1"/>
      <c r="AG234" s="20"/>
      <c r="AJ234" s="1"/>
      <c r="AN234" s="1"/>
      <c r="AS234" s="1"/>
      <c r="AT234" s="20"/>
      <c r="AX234" s="1"/>
      <c r="BA234" s="1"/>
      <c r="BC234" s="1"/>
      <c r="BD234" s="1"/>
      <c r="BG234" s="1"/>
      <c r="BJ234" s="1"/>
      <c r="BM234" s="1"/>
      <c r="BP234" s="1"/>
      <c r="BS234" s="1"/>
    </row>
    <row r="235" spans="1:71" x14ac:dyDescent="0.3">
      <c r="A235" s="19">
        <f t="shared" si="19"/>
        <v>46244</v>
      </c>
      <c r="B235">
        <f t="shared" ca="1" si="15"/>
        <v>-0.25555555555555554</v>
      </c>
      <c r="C235" t="str">
        <f ca="1">IF(currency="USD",'Future et co'!D235,IF(currency="EUR",'Future et co'!E235,IF(currency="GBP",'Future et co'!F235,FALSE)))</f>
        <v>RFR USD</v>
      </c>
      <c r="D235" t="str">
        <f t="shared" ca="1" si="16"/>
        <v>RFR USD</v>
      </c>
      <c r="E235" t="str">
        <f t="shared" ca="1" si="17"/>
        <v>RFR EUR</v>
      </c>
      <c r="F235" t="str">
        <f t="shared" ca="1" si="18"/>
        <v>RFR GBP</v>
      </c>
      <c r="J235" s="1"/>
      <c r="K235" s="20"/>
      <c r="N235" s="1"/>
      <c r="O235" s="20"/>
      <c r="R235" s="1"/>
      <c r="V235" s="1"/>
      <c r="AB235" s="1"/>
      <c r="AC235" s="20"/>
      <c r="AF235" s="1"/>
      <c r="AG235" s="20"/>
      <c r="AJ235" s="1"/>
      <c r="AN235" s="1"/>
      <c r="AS235" s="1"/>
      <c r="AT235" s="20"/>
      <c r="AX235" s="1"/>
      <c r="BA235" s="1"/>
      <c r="BC235" s="1"/>
      <c r="BD235" s="1"/>
      <c r="BG235" s="1"/>
      <c r="BJ235" s="1"/>
      <c r="BM235" s="1"/>
      <c r="BP235" s="1"/>
      <c r="BS235" s="1"/>
    </row>
    <row r="236" spans="1:71" x14ac:dyDescent="0.3">
      <c r="A236" s="19">
        <f t="shared" si="19"/>
        <v>46245</v>
      </c>
      <c r="B236">
        <f t="shared" ca="1" si="15"/>
        <v>-0.25833333333333336</v>
      </c>
      <c r="C236" t="str">
        <f ca="1">IF(currency="USD",'Future et co'!D236,IF(currency="EUR",'Future et co'!E236,IF(currency="GBP",'Future et co'!F236,FALSE)))</f>
        <v>RFR USD</v>
      </c>
      <c r="D236" t="str">
        <f t="shared" ca="1" si="16"/>
        <v>RFR USD</v>
      </c>
      <c r="E236" t="str">
        <f t="shared" ca="1" si="17"/>
        <v>RFR EUR</v>
      </c>
      <c r="F236" t="str">
        <f t="shared" ca="1" si="18"/>
        <v>RFR GBP</v>
      </c>
      <c r="J236" s="1"/>
      <c r="K236" s="20"/>
      <c r="N236" s="1"/>
      <c r="O236" s="20"/>
      <c r="R236" s="1"/>
      <c r="V236" s="1"/>
      <c r="AB236" s="1"/>
      <c r="AC236" s="20"/>
      <c r="AF236" s="1"/>
      <c r="AG236" s="20"/>
      <c r="AJ236" s="1"/>
      <c r="AN236" s="1"/>
      <c r="AS236" s="1"/>
      <c r="AT236" s="20"/>
      <c r="AX236" s="1"/>
      <c r="BA236" s="1"/>
      <c r="BC236" s="1"/>
      <c r="BD236" s="1"/>
      <c r="BG236" s="1"/>
      <c r="BJ236" s="1"/>
      <c r="BM236" s="1"/>
      <c r="BP236" s="1"/>
      <c r="BS236" s="1"/>
    </row>
    <row r="237" spans="1:71" x14ac:dyDescent="0.3">
      <c r="A237" s="19">
        <f t="shared" si="19"/>
        <v>46246</v>
      </c>
      <c r="B237">
        <f t="shared" ca="1" si="15"/>
        <v>-0.26111111111111113</v>
      </c>
      <c r="C237" t="str">
        <f ca="1">IF(currency="USD",'Future et co'!D237,IF(currency="EUR",'Future et co'!E237,IF(currency="GBP",'Future et co'!F237,FALSE)))</f>
        <v>RFR USD</v>
      </c>
      <c r="D237" t="str">
        <f t="shared" ca="1" si="16"/>
        <v>RFR USD</v>
      </c>
      <c r="E237" t="str">
        <f t="shared" ca="1" si="17"/>
        <v>RFR EUR</v>
      </c>
      <c r="F237" t="str">
        <f t="shared" ca="1" si="18"/>
        <v>RFR GBP</v>
      </c>
      <c r="J237" s="1"/>
      <c r="K237" s="20"/>
      <c r="N237" s="1"/>
      <c r="O237" s="20"/>
      <c r="R237" s="1"/>
      <c r="V237" s="1"/>
      <c r="AB237" s="1"/>
      <c r="AC237" s="20"/>
      <c r="AF237" s="1"/>
      <c r="AG237" s="20"/>
      <c r="AJ237" s="1"/>
      <c r="AN237" s="1"/>
      <c r="AS237" s="1"/>
      <c r="AT237" s="20"/>
      <c r="AX237" s="1"/>
      <c r="BA237" s="1"/>
      <c r="BC237" s="1"/>
      <c r="BD237" s="1"/>
      <c r="BG237" s="1"/>
      <c r="BJ237" s="1"/>
      <c r="BM237" s="1"/>
      <c r="BP237" s="1"/>
      <c r="BS237" s="1"/>
    </row>
    <row r="238" spans="1:71" x14ac:dyDescent="0.3">
      <c r="A238" s="19">
        <f t="shared" si="19"/>
        <v>46247</v>
      </c>
      <c r="B238">
        <f t="shared" ca="1" si="15"/>
        <v>-0.2638888888888889</v>
      </c>
      <c r="C238" t="str">
        <f ca="1">IF(currency="USD",'Future et co'!D238,IF(currency="EUR",'Future et co'!E238,IF(currency="GBP",'Future et co'!F238,FALSE)))</f>
        <v>RFR USD</v>
      </c>
      <c r="D238" t="str">
        <f t="shared" ca="1" si="16"/>
        <v>RFR USD</v>
      </c>
      <c r="E238" t="str">
        <f t="shared" ca="1" si="17"/>
        <v>RFR EUR</v>
      </c>
      <c r="F238" t="str">
        <f t="shared" ca="1" si="18"/>
        <v>RFR GBP</v>
      </c>
      <c r="J238" s="1"/>
      <c r="K238" s="20"/>
      <c r="N238" s="1"/>
      <c r="O238" s="20"/>
      <c r="R238" s="1"/>
      <c r="V238" s="1"/>
      <c r="AB238" s="1"/>
      <c r="AC238" s="20"/>
      <c r="AF238" s="1"/>
      <c r="AG238" s="20"/>
      <c r="AJ238" s="1"/>
      <c r="AN238" s="1"/>
      <c r="AS238" s="1"/>
      <c r="AT238" s="20"/>
      <c r="AX238" s="1"/>
      <c r="BA238" s="1"/>
      <c r="BC238" s="1"/>
      <c r="BD238" s="1"/>
      <c r="BG238" s="1"/>
      <c r="BJ238" s="1"/>
      <c r="BM238" s="1"/>
      <c r="BP238" s="1"/>
      <c r="BS238" s="1"/>
    </row>
    <row r="239" spans="1:71" x14ac:dyDescent="0.3">
      <c r="A239" s="19">
        <f t="shared" si="19"/>
        <v>46248</v>
      </c>
      <c r="B239">
        <f t="shared" ca="1" si="15"/>
        <v>-0.26666666666666666</v>
      </c>
      <c r="C239" t="str">
        <f ca="1">IF(currency="USD",'Future et co'!D239,IF(currency="EUR",'Future et co'!E239,IF(currency="GBP",'Future et co'!F239,FALSE)))</f>
        <v>RFR USD</v>
      </c>
      <c r="D239" t="str">
        <f t="shared" ca="1" si="16"/>
        <v>RFR USD</v>
      </c>
      <c r="E239" t="str">
        <f t="shared" ca="1" si="17"/>
        <v>RFR EUR</v>
      </c>
      <c r="F239" t="str">
        <f t="shared" ca="1" si="18"/>
        <v>RFR GBP</v>
      </c>
      <c r="J239" s="1"/>
      <c r="K239" s="20"/>
      <c r="N239" s="1"/>
      <c r="O239" s="20"/>
      <c r="R239" s="1"/>
      <c r="V239" s="1"/>
      <c r="AB239" s="1"/>
      <c r="AC239" s="20"/>
      <c r="AF239" s="1"/>
      <c r="AG239" s="20"/>
      <c r="AJ239" s="1"/>
      <c r="AN239" s="1"/>
      <c r="AS239" s="1"/>
      <c r="AT239" s="20"/>
      <c r="AX239" s="1"/>
      <c r="BA239" s="1"/>
      <c r="BC239" s="1"/>
      <c r="BD239" s="1"/>
      <c r="BG239" s="1"/>
      <c r="BJ239" s="1"/>
      <c r="BM239" s="1"/>
      <c r="BP239" s="1"/>
      <c r="BS239" s="1"/>
    </row>
    <row r="240" spans="1:71" x14ac:dyDescent="0.3">
      <c r="A240" s="19">
        <f t="shared" si="19"/>
        <v>46251</v>
      </c>
      <c r="B240">
        <f t="shared" ca="1" si="15"/>
        <v>-0.27500000000000002</v>
      </c>
      <c r="C240" t="str">
        <f ca="1">IF(currency="USD",'Future et co'!D240,IF(currency="EUR",'Future et co'!E240,IF(currency="GBP",'Future et co'!F240,FALSE)))</f>
        <v>RFR USD</v>
      </c>
      <c r="D240" t="str">
        <f t="shared" ca="1" si="16"/>
        <v>RFR USD</v>
      </c>
      <c r="E240" t="str">
        <f t="shared" ca="1" si="17"/>
        <v>RFR EUR</v>
      </c>
      <c r="F240" t="str">
        <f t="shared" ca="1" si="18"/>
        <v>RFR GBP</v>
      </c>
      <c r="J240" s="1"/>
      <c r="K240" s="20"/>
      <c r="N240" s="1"/>
      <c r="O240" s="20"/>
      <c r="R240" s="1"/>
      <c r="V240" s="1"/>
      <c r="AB240" s="1"/>
      <c r="AC240" s="20"/>
      <c r="AF240" s="1"/>
      <c r="AG240" s="20"/>
      <c r="AJ240" s="1"/>
      <c r="AN240" s="1"/>
      <c r="AS240" s="1"/>
      <c r="AT240" s="20"/>
      <c r="AX240" s="1"/>
      <c r="BA240" s="1"/>
      <c r="BC240" s="1"/>
      <c r="BD240" s="1"/>
      <c r="BG240" s="1"/>
      <c r="BJ240" s="1"/>
      <c r="BM240" s="1"/>
      <c r="BP240" s="1"/>
      <c r="BS240" s="1"/>
    </row>
    <row r="241" spans="1:71" x14ac:dyDescent="0.3">
      <c r="A241" s="19">
        <f t="shared" si="19"/>
        <v>46252</v>
      </c>
      <c r="B241">
        <f t="shared" ca="1" si="15"/>
        <v>-0.27777777777777779</v>
      </c>
      <c r="C241" t="str">
        <f ca="1">IF(currency="USD",'Future et co'!D241,IF(currency="EUR",'Future et co'!E241,IF(currency="GBP",'Future et co'!F241,FALSE)))</f>
        <v>RFR USD</v>
      </c>
      <c r="D241" t="str">
        <f t="shared" ca="1" si="16"/>
        <v>RFR USD</v>
      </c>
      <c r="E241" t="str">
        <f t="shared" ca="1" si="17"/>
        <v>RFR EUR</v>
      </c>
      <c r="F241" t="str">
        <f t="shared" ca="1" si="18"/>
        <v>RFR GBP</v>
      </c>
      <c r="J241" s="1"/>
      <c r="K241" s="20"/>
      <c r="N241" s="1"/>
      <c r="O241" s="20"/>
      <c r="R241" s="1"/>
      <c r="V241" s="1"/>
      <c r="AB241" s="1"/>
      <c r="AC241" s="20"/>
      <c r="AF241" s="1"/>
      <c r="AG241" s="20"/>
      <c r="AJ241" s="1"/>
      <c r="AN241" s="1"/>
      <c r="AS241" s="1"/>
      <c r="AT241" s="20"/>
      <c r="AX241" s="1"/>
      <c r="BA241" s="1"/>
      <c r="BC241" s="1"/>
      <c r="BD241" s="1"/>
      <c r="BG241" s="1"/>
      <c r="BJ241" s="1"/>
      <c r="BM241" s="1"/>
      <c r="BP241" s="1"/>
      <c r="BS241" s="1"/>
    </row>
    <row r="242" spans="1:71" x14ac:dyDescent="0.3">
      <c r="A242" s="19">
        <f t="shared" si="19"/>
        <v>46253</v>
      </c>
      <c r="B242">
        <f t="shared" ca="1" si="15"/>
        <v>-0.28055555555555556</v>
      </c>
      <c r="C242" t="str">
        <f ca="1">IF(currency="USD",'Future et co'!D242,IF(currency="EUR",'Future et co'!E242,IF(currency="GBP",'Future et co'!F242,FALSE)))</f>
        <v>RFR USD</v>
      </c>
      <c r="D242" t="str">
        <f t="shared" ca="1" si="16"/>
        <v>RFR USD</v>
      </c>
      <c r="E242" t="str">
        <f t="shared" ca="1" si="17"/>
        <v>RFR EUR</v>
      </c>
      <c r="F242" t="str">
        <f t="shared" ca="1" si="18"/>
        <v>RFR GBP</v>
      </c>
      <c r="J242" s="1"/>
      <c r="K242" s="20"/>
      <c r="N242" s="1"/>
      <c r="O242" s="20"/>
      <c r="R242" s="1"/>
      <c r="V242" s="1"/>
      <c r="AB242" s="1"/>
      <c r="AC242" s="20"/>
      <c r="AF242" s="1"/>
      <c r="AG242" s="20"/>
      <c r="AJ242" s="1"/>
      <c r="AN242" s="1"/>
      <c r="AS242" s="1"/>
      <c r="AT242" s="20"/>
      <c r="AX242" s="1"/>
      <c r="BA242" s="1"/>
      <c r="BC242" s="1"/>
      <c r="BD242" s="1"/>
      <c r="BG242" s="1"/>
      <c r="BJ242" s="1"/>
      <c r="BM242" s="1"/>
      <c r="BP242" s="1"/>
      <c r="BS242" s="1"/>
    </row>
    <row r="243" spans="1:71" x14ac:dyDescent="0.3">
      <c r="A243" s="19">
        <f t="shared" si="19"/>
        <v>46254</v>
      </c>
      <c r="B243">
        <f t="shared" ca="1" si="15"/>
        <v>-0.28333333333333333</v>
      </c>
      <c r="C243" t="str">
        <f ca="1">IF(currency="USD",'Future et co'!D243,IF(currency="EUR",'Future et co'!E243,IF(currency="GBP",'Future et co'!F243,FALSE)))</f>
        <v>RFR USD</v>
      </c>
      <c r="D243" t="str">
        <f t="shared" ca="1" si="16"/>
        <v>RFR USD</v>
      </c>
      <c r="E243" t="str">
        <f t="shared" ca="1" si="17"/>
        <v>RFR EUR</v>
      </c>
      <c r="F243" t="str">
        <f t="shared" ca="1" si="18"/>
        <v>RFR GBP</v>
      </c>
      <c r="J243" s="1"/>
      <c r="K243" s="20"/>
      <c r="N243" s="1"/>
      <c r="O243" s="20"/>
      <c r="R243" s="1"/>
      <c r="V243" s="1"/>
      <c r="AB243" s="1"/>
      <c r="AC243" s="20"/>
      <c r="AF243" s="1"/>
      <c r="AG243" s="20"/>
      <c r="AJ243" s="1"/>
      <c r="AN243" s="1"/>
      <c r="AS243" s="1"/>
      <c r="AT243" s="20"/>
      <c r="AX243" s="1"/>
      <c r="BA243" s="1"/>
      <c r="BC243" s="1"/>
      <c r="BD243" s="1"/>
      <c r="BG243" s="1"/>
      <c r="BJ243" s="1"/>
      <c r="BM243" s="1"/>
      <c r="BP243" s="1"/>
      <c r="BS243" s="1"/>
    </row>
    <row r="244" spans="1:71" x14ac:dyDescent="0.3">
      <c r="A244" s="19">
        <f t="shared" si="19"/>
        <v>46255</v>
      </c>
      <c r="B244">
        <f t="shared" ca="1" si="15"/>
        <v>-0.28611111111111109</v>
      </c>
      <c r="C244" t="str">
        <f ca="1">IF(currency="USD",'Future et co'!D244,IF(currency="EUR",'Future et co'!E244,IF(currency="GBP",'Future et co'!F244,FALSE)))</f>
        <v>RFR USD</v>
      </c>
      <c r="D244" t="str">
        <f t="shared" ca="1" si="16"/>
        <v>RFR USD</v>
      </c>
      <c r="E244" t="str">
        <f t="shared" ca="1" si="17"/>
        <v>RFR EUR</v>
      </c>
      <c r="F244" t="str">
        <f t="shared" ca="1" si="18"/>
        <v>RFR GBP</v>
      </c>
      <c r="J244" s="1"/>
      <c r="K244" s="20"/>
      <c r="N244" s="1"/>
      <c r="O244" s="20"/>
      <c r="R244" s="1"/>
      <c r="V244" s="1"/>
      <c r="AB244" s="1"/>
      <c r="AC244" s="20"/>
      <c r="AF244" s="1"/>
      <c r="AG244" s="20"/>
      <c r="AJ244" s="1"/>
      <c r="AN244" s="1"/>
      <c r="AS244" s="1"/>
      <c r="AT244" s="20"/>
      <c r="AX244" s="1"/>
      <c r="BA244" s="1"/>
      <c r="BC244" s="1"/>
      <c r="BD244" s="1"/>
      <c r="BG244" s="1"/>
      <c r="BJ244" s="1"/>
      <c r="BM244" s="1"/>
      <c r="BP244" s="1"/>
      <c r="BS244" s="1"/>
    </row>
    <row r="245" spans="1:71" x14ac:dyDescent="0.3">
      <c r="A245" s="19">
        <f t="shared" si="19"/>
        <v>46258</v>
      </c>
      <c r="B245">
        <f t="shared" ca="1" si="15"/>
        <v>-0.29444444444444445</v>
      </c>
      <c r="C245" t="str">
        <f ca="1">IF(currency="USD",'Future et co'!D245,IF(currency="EUR",'Future et co'!E245,IF(currency="GBP",'Future et co'!F245,FALSE)))</f>
        <v>RFR USD</v>
      </c>
      <c r="D245" t="str">
        <f t="shared" ca="1" si="16"/>
        <v>RFR USD</v>
      </c>
      <c r="E245" t="str">
        <f t="shared" ca="1" si="17"/>
        <v>RFR EUR</v>
      </c>
      <c r="F245" t="str">
        <f t="shared" ca="1" si="18"/>
        <v>RFR GBP</v>
      </c>
      <c r="J245" s="1"/>
      <c r="K245" s="20"/>
      <c r="N245" s="1"/>
      <c r="O245" s="20"/>
      <c r="R245" s="1"/>
      <c r="V245" s="1"/>
      <c r="AB245" s="1"/>
      <c r="AC245" s="20"/>
      <c r="AF245" s="1"/>
      <c r="AG245" s="20"/>
      <c r="AJ245" s="1"/>
      <c r="AN245" s="1"/>
      <c r="AS245" s="1"/>
      <c r="AT245" s="20"/>
      <c r="AX245" s="1"/>
      <c r="BA245" s="1"/>
      <c r="BC245" s="1"/>
      <c r="BD245" s="1"/>
      <c r="BG245" s="1"/>
      <c r="BJ245" s="1"/>
      <c r="BM245" s="1"/>
      <c r="BP245" s="1"/>
      <c r="BS245" s="1"/>
    </row>
    <row r="246" spans="1:71" x14ac:dyDescent="0.3">
      <c r="A246" s="19">
        <f t="shared" si="19"/>
        <v>46259</v>
      </c>
      <c r="B246">
        <f t="shared" ca="1" si="15"/>
        <v>-0.29722222222222222</v>
      </c>
      <c r="C246" t="str">
        <f ca="1">IF(currency="USD",'Future et co'!D246,IF(currency="EUR",'Future et co'!E246,IF(currency="GBP",'Future et co'!F246,FALSE)))</f>
        <v>RFR USD</v>
      </c>
      <c r="D246" t="str">
        <f t="shared" ca="1" si="16"/>
        <v>RFR USD</v>
      </c>
      <c r="E246" t="str">
        <f t="shared" ca="1" si="17"/>
        <v>RFR EUR</v>
      </c>
      <c r="F246" t="str">
        <f t="shared" ca="1" si="18"/>
        <v>RFR GBP</v>
      </c>
      <c r="J246" s="1"/>
      <c r="K246" s="20"/>
      <c r="N246" s="1"/>
      <c r="O246" s="20"/>
      <c r="R246" s="1"/>
      <c r="V246" s="1"/>
      <c r="AB246" s="1"/>
      <c r="AC246" s="20"/>
      <c r="AF246" s="1"/>
      <c r="AG246" s="20"/>
      <c r="AJ246" s="1"/>
      <c r="AN246" s="1"/>
      <c r="AS246" s="1"/>
      <c r="AT246" s="20"/>
      <c r="AX246" s="1"/>
      <c r="BA246" s="1"/>
      <c r="BC246" s="1"/>
      <c r="BD246" s="1"/>
      <c r="BG246" s="1"/>
      <c r="BJ246" s="1"/>
      <c r="BM246" s="1"/>
      <c r="BP246" s="1"/>
      <c r="BS246" s="1"/>
    </row>
    <row r="247" spans="1:71" x14ac:dyDescent="0.3">
      <c r="A247" s="19">
        <f t="shared" si="19"/>
        <v>46260</v>
      </c>
      <c r="B247">
        <f t="shared" ca="1" si="15"/>
        <v>-0.3</v>
      </c>
      <c r="C247" t="str">
        <f ca="1">IF(currency="USD",'Future et co'!D247,IF(currency="EUR",'Future et co'!E247,IF(currency="GBP",'Future et co'!F247,FALSE)))</f>
        <v>RFR USD</v>
      </c>
      <c r="D247" t="str">
        <f t="shared" ca="1" si="16"/>
        <v>RFR USD</v>
      </c>
      <c r="E247" t="str">
        <f t="shared" ca="1" si="17"/>
        <v>RFR EUR</v>
      </c>
      <c r="F247" t="str">
        <f t="shared" ca="1" si="18"/>
        <v>RFR GBP</v>
      </c>
      <c r="J247" s="1"/>
      <c r="K247" s="20"/>
      <c r="N247" s="1"/>
      <c r="O247" s="20"/>
      <c r="R247" s="1"/>
      <c r="V247" s="1"/>
      <c r="AB247" s="1"/>
      <c r="AC247" s="20"/>
      <c r="AF247" s="1"/>
      <c r="AG247" s="20"/>
      <c r="AJ247" s="1"/>
      <c r="AN247" s="1"/>
      <c r="AS247" s="1"/>
      <c r="AT247" s="20"/>
      <c r="AX247" s="1"/>
      <c r="BA247" s="1"/>
      <c r="BC247" s="1"/>
      <c r="BD247" s="1"/>
      <c r="BG247" s="1"/>
      <c r="BJ247" s="1"/>
      <c r="BM247" s="1"/>
      <c r="BP247" s="1"/>
      <c r="BS247" s="1"/>
    </row>
    <row r="248" spans="1:71" x14ac:dyDescent="0.3">
      <c r="A248" s="19">
        <f t="shared" si="19"/>
        <v>46261</v>
      </c>
      <c r="B248">
        <f t="shared" ca="1" si="15"/>
        <v>-0.30277777777777776</v>
      </c>
      <c r="C248" t="str">
        <f ca="1">IF(currency="USD",'Future et co'!D248,IF(currency="EUR",'Future et co'!E248,IF(currency="GBP",'Future et co'!F248,FALSE)))</f>
        <v>RFR USD</v>
      </c>
      <c r="D248" t="str">
        <f t="shared" ca="1" si="16"/>
        <v>RFR USD</v>
      </c>
      <c r="E248" t="str">
        <f t="shared" ca="1" si="17"/>
        <v>RFR EUR</v>
      </c>
      <c r="F248" t="str">
        <f t="shared" ca="1" si="18"/>
        <v>RFR GBP</v>
      </c>
      <c r="J248" s="1"/>
      <c r="K248" s="20"/>
      <c r="N248" s="1"/>
      <c r="O248" s="20"/>
      <c r="R248" s="1"/>
      <c r="V248" s="1"/>
      <c r="AB248" s="1"/>
      <c r="AC248" s="20"/>
      <c r="AF248" s="1"/>
      <c r="AG248" s="20"/>
      <c r="AJ248" s="1"/>
      <c r="AN248" s="1"/>
      <c r="AS248" s="1"/>
      <c r="AT248" s="20"/>
      <c r="AX248" s="1"/>
      <c r="BA248" s="1"/>
      <c r="BC248" s="1"/>
      <c r="BD248" s="1"/>
      <c r="BG248" s="1"/>
      <c r="BJ248" s="1"/>
      <c r="BM248" s="1"/>
      <c r="BP248" s="1"/>
      <c r="BS248" s="1"/>
    </row>
    <row r="249" spans="1:71" x14ac:dyDescent="0.3">
      <c r="A249" s="19">
        <f t="shared" si="19"/>
        <v>46262</v>
      </c>
      <c r="B249">
        <f t="shared" ca="1" si="15"/>
        <v>-0.30555555555555558</v>
      </c>
      <c r="C249" t="str">
        <f ca="1">IF(currency="USD",'Future et co'!D249,IF(currency="EUR",'Future et co'!E249,IF(currency="GBP",'Future et co'!F249,FALSE)))</f>
        <v>RFR USD</v>
      </c>
      <c r="D249" t="str">
        <f t="shared" ca="1" si="16"/>
        <v>RFR USD</v>
      </c>
      <c r="E249" t="str">
        <f t="shared" ca="1" si="17"/>
        <v>RFR EUR</v>
      </c>
      <c r="F249" t="str">
        <f t="shared" ca="1" si="18"/>
        <v>RFR GBP</v>
      </c>
      <c r="J249" s="1"/>
      <c r="K249" s="20"/>
      <c r="N249" s="1"/>
      <c r="O249" s="20"/>
      <c r="R249" s="1"/>
      <c r="V249" s="1"/>
      <c r="AB249" s="1"/>
      <c r="AC249" s="20"/>
      <c r="AF249" s="1"/>
      <c r="AG249" s="20"/>
      <c r="AJ249" s="1"/>
      <c r="AN249" s="1"/>
      <c r="AS249" s="1"/>
      <c r="AT249" s="20"/>
      <c r="AX249" s="1"/>
      <c r="BA249" s="1"/>
      <c r="BC249" s="1"/>
      <c r="BD249" s="1"/>
      <c r="BG249" s="1"/>
      <c r="BJ249" s="1"/>
      <c r="BM249" s="1"/>
      <c r="BP249" s="1"/>
      <c r="BS249" s="1"/>
    </row>
    <row r="250" spans="1:71" x14ac:dyDescent="0.3">
      <c r="A250" s="19">
        <f t="shared" si="19"/>
        <v>46265</v>
      </c>
      <c r="B250">
        <f t="shared" ca="1" si="15"/>
        <v>-0.31388888888888888</v>
      </c>
      <c r="C250" t="str">
        <f ca="1">IF(currency="USD",'Future et co'!D250,IF(currency="EUR",'Future et co'!E250,IF(currency="GBP",'Future et co'!F250,FALSE)))</f>
        <v>RFR USD</v>
      </c>
      <c r="D250" t="str">
        <f t="shared" ca="1" si="16"/>
        <v>RFR USD</v>
      </c>
      <c r="E250" t="str">
        <f t="shared" ca="1" si="17"/>
        <v>RFR EUR</v>
      </c>
      <c r="F250" t="str">
        <f t="shared" ca="1" si="18"/>
        <v>RFR GBP</v>
      </c>
      <c r="J250" s="1"/>
      <c r="K250" s="20"/>
      <c r="N250" s="1"/>
      <c r="O250" s="20"/>
      <c r="R250" s="1"/>
      <c r="V250" s="1"/>
      <c r="AB250" s="1"/>
      <c r="AC250" s="20"/>
      <c r="AF250" s="1"/>
      <c r="AG250" s="20"/>
      <c r="AJ250" s="1"/>
      <c r="AN250" s="1"/>
      <c r="AS250" s="1"/>
      <c r="AT250" s="20"/>
      <c r="AX250" s="1"/>
      <c r="BA250" s="1"/>
      <c r="BC250" s="1"/>
      <c r="BD250" s="1"/>
      <c r="BG250" s="1"/>
      <c r="BJ250" s="1"/>
      <c r="BM250" s="1"/>
      <c r="BP250" s="1"/>
      <c r="BS250" s="1"/>
    </row>
    <row r="251" spans="1:71" x14ac:dyDescent="0.3">
      <c r="A251" s="19">
        <f t="shared" si="19"/>
        <v>46266</v>
      </c>
      <c r="B251">
        <f t="shared" ca="1" si="15"/>
        <v>-0.31666666666666665</v>
      </c>
      <c r="C251" t="str">
        <f ca="1">IF(currency="USD",'Future et co'!D251,IF(currency="EUR",'Future et co'!E251,IF(currency="GBP",'Future et co'!F251,FALSE)))</f>
        <v>RFR USD</v>
      </c>
      <c r="D251" t="str">
        <f t="shared" ca="1" si="16"/>
        <v>RFR USD</v>
      </c>
      <c r="E251" t="str">
        <f t="shared" ca="1" si="17"/>
        <v>RFR EUR</v>
      </c>
      <c r="F251" t="str">
        <f t="shared" ca="1" si="18"/>
        <v>RFR GBP</v>
      </c>
      <c r="J251" s="1"/>
      <c r="K251" s="20"/>
      <c r="N251" s="1"/>
      <c r="O251" s="20"/>
      <c r="R251" s="1"/>
      <c r="V251" s="1"/>
      <c r="AB251" s="1"/>
      <c r="AC251" s="20"/>
      <c r="AF251" s="1"/>
      <c r="AG251" s="20"/>
      <c r="AJ251" s="1"/>
      <c r="AN251" s="1"/>
      <c r="AS251" s="1"/>
      <c r="AT251" s="20"/>
      <c r="AX251" s="1"/>
      <c r="BA251" s="1"/>
      <c r="BC251" s="1"/>
      <c r="BD251" s="1"/>
      <c r="BG251" s="1"/>
      <c r="BJ251" s="1"/>
      <c r="BM251" s="1"/>
      <c r="BP251" s="1"/>
      <c r="BS251" s="1"/>
    </row>
    <row r="252" spans="1:71" x14ac:dyDescent="0.3">
      <c r="A252" s="19">
        <f t="shared" si="19"/>
        <v>46267</v>
      </c>
      <c r="B252">
        <f t="shared" ca="1" si="15"/>
        <v>-0.31944444444444442</v>
      </c>
      <c r="C252" t="str">
        <f ca="1">IF(currency="USD",'Future et co'!D252,IF(currency="EUR",'Future et co'!E252,IF(currency="GBP",'Future et co'!F252,FALSE)))</f>
        <v>RFR USD</v>
      </c>
      <c r="D252" t="str">
        <f t="shared" ca="1" si="16"/>
        <v>RFR USD</v>
      </c>
      <c r="E252" t="str">
        <f t="shared" ca="1" si="17"/>
        <v>RFR EUR</v>
      </c>
      <c r="F252" t="str">
        <f t="shared" ca="1" si="18"/>
        <v>RFR GBP</v>
      </c>
      <c r="J252" s="1"/>
      <c r="K252" s="20"/>
      <c r="N252" s="1"/>
      <c r="O252" s="20"/>
      <c r="R252" s="1"/>
      <c r="V252" s="1"/>
      <c r="AB252" s="1"/>
      <c r="AC252" s="20"/>
      <c r="AF252" s="1"/>
      <c r="AG252" s="20"/>
      <c r="AJ252" s="1"/>
      <c r="AN252" s="1"/>
      <c r="AS252" s="1"/>
      <c r="AT252" s="20"/>
      <c r="AX252" s="1"/>
      <c r="BA252" s="1"/>
      <c r="BC252" s="1"/>
      <c r="BD252" s="1"/>
      <c r="BG252" s="1"/>
      <c r="BJ252" s="1"/>
      <c r="BM252" s="1"/>
      <c r="BP252" s="1"/>
      <c r="BS252" s="1"/>
    </row>
    <row r="253" spans="1:71" x14ac:dyDescent="0.3">
      <c r="A253" s="19">
        <f t="shared" si="19"/>
        <v>46268</v>
      </c>
      <c r="B253">
        <f t="shared" ca="1" si="15"/>
        <v>-0.32222222222222224</v>
      </c>
      <c r="C253" t="str">
        <f ca="1">IF(currency="USD",'Future et co'!D253,IF(currency="EUR",'Future et co'!E253,IF(currency="GBP",'Future et co'!F253,FALSE)))</f>
        <v>RFR USD</v>
      </c>
      <c r="D253" t="str">
        <f t="shared" ca="1" si="16"/>
        <v>RFR USD</v>
      </c>
      <c r="E253" t="str">
        <f t="shared" ca="1" si="17"/>
        <v>RFR EUR</v>
      </c>
      <c r="F253" t="str">
        <f t="shared" ca="1" si="18"/>
        <v>RFR GBP</v>
      </c>
      <c r="J253" s="1"/>
      <c r="K253" s="20"/>
      <c r="N253" s="1"/>
      <c r="O253" s="20"/>
      <c r="R253" s="1"/>
      <c r="V253" s="1"/>
      <c r="AB253" s="1"/>
      <c r="AC253" s="20"/>
      <c r="AF253" s="1"/>
      <c r="AG253" s="20"/>
      <c r="AJ253" s="1"/>
      <c r="AN253" s="1"/>
      <c r="AS253" s="1"/>
      <c r="AT253" s="20"/>
      <c r="AX253" s="1"/>
      <c r="BA253" s="1"/>
      <c r="BC253" s="1"/>
      <c r="BD253" s="1"/>
      <c r="BG253" s="1"/>
      <c r="BJ253" s="1"/>
      <c r="BM253" s="1"/>
      <c r="BP253" s="1"/>
      <c r="BS253" s="1"/>
    </row>
    <row r="254" spans="1:71" x14ac:dyDescent="0.3">
      <c r="A254" s="19">
        <f t="shared" si="19"/>
        <v>46269</v>
      </c>
      <c r="B254">
        <f t="shared" ca="1" si="15"/>
        <v>-0.32500000000000001</v>
      </c>
      <c r="C254" t="str">
        <f ca="1">IF(currency="USD",'Future et co'!D254,IF(currency="EUR",'Future et co'!E254,IF(currency="GBP",'Future et co'!F254,FALSE)))</f>
        <v>RFR USD</v>
      </c>
      <c r="D254" t="str">
        <f t="shared" ca="1" si="16"/>
        <v>RFR USD</v>
      </c>
      <c r="E254" t="str">
        <f t="shared" ca="1" si="17"/>
        <v>RFR EUR</v>
      </c>
      <c r="F254" t="str">
        <f t="shared" ca="1" si="18"/>
        <v>RFR GBP</v>
      </c>
      <c r="J254" s="1"/>
      <c r="K254" s="20"/>
      <c r="N254" s="1"/>
      <c r="O254" s="20"/>
      <c r="R254" s="1"/>
      <c r="V254" s="1"/>
      <c r="AB254" s="1"/>
      <c r="AC254" s="20"/>
      <c r="AF254" s="1"/>
      <c r="AG254" s="20"/>
      <c r="AJ254" s="1"/>
      <c r="AN254" s="1"/>
      <c r="AS254" s="1"/>
      <c r="AT254" s="20"/>
      <c r="AX254" s="1"/>
      <c r="BA254" s="1"/>
      <c r="BC254" s="1"/>
      <c r="BD254" s="1"/>
      <c r="BG254" s="1"/>
      <c r="BJ254" s="1"/>
      <c r="BM254" s="1"/>
      <c r="BP254" s="1"/>
      <c r="BS254" s="1"/>
    </row>
    <row r="255" spans="1:71" x14ac:dyDescent="0.3">
      <c r="A255" s="19">
        <f t="shared" si="19"/>
        <v>46272</v>
      </c>
      <c r="B255">
        <f t="shared" ca="1" si="15"/>
        <v>-0.33333333333333331</v>
      </c>
      <c r="C255" t="str">
        <f ca="1">IF(currency="USD",'Future et co'!D255,IF(currency="EUR",'Future et co'!E255,IF(currency="GBP",'Future et co'!F255,FALSE)))</f>
        <v>RFR USD</v>
      </c>
      <c r="D255" t="str">
        <f t="shared" ca="1" si="16"/>
        <v>RFR USD</v>
      </c>
      <c r="E255" t="str">
        <f t="shared" ca="1" si="17"/>
        <v>RFR EUR</v>
      </c>
      <c r="F255" t="str">
        <f t="shared" ca="1" si="18"/>
        <v>RFR GBP</v>
      </c>
      <c r="J255" s="1"/>
      <c r="K255" s="20"/>
      <c r="N255" s="1"/>
      <c r="O255" s="20"/>
      <c r="R255" s="1"/>
      <c r="V255" s="1"/>
      <c r="AB255" s="1"/>
      <c r="AC255" s="20"/>
      <c r="AF255" s="1"/>
      <c r="AG255" s="20"/>
      <c r="AJ255" s="1"/>
      <c r="AN255" s="1"/>
      <c r="AS255" s="1"/>
      <c r="AT255" s="20"/>
      <c r="AX255" s="1"/>
      <c r="BA255" s="1"/>
      <c r="BC255" s="1"/>
      <c r="BD255" s="1"/>
      <c r="BG255" s="1"/>
      <c r="BJ255" s="1"/>
      <c r="BM255" s="1"/>
      <c r="BP255" s="1"/>
      <c r="BS255" s="1"/>
    </row>
    <row r="256" spans="1:71" x14ac:dyDescent="0.3">
      <c r="A256" s="19">
        <f t="shared" si="19"/>
        <v>46273</v>
      </c>
      <c r="B256">
        <f t="shared" ca="1" si="15"/>
        <v>-0.33611111111111114</v>
      </c>
      <c r="C256" t="str">
        <f ca="1">IF(currency="USD",'Future et co'!D256,IF(currency="EUR",'Future et co'!E256,IF(currency="GBP",'Future et co'!F256,FALSE)))</f>
        <v>RFR USD</v>
      </c>
      <c r="D256" t="str">
        <f t="shared" ca="1" si="16"/>
        <v>RFR USD</v>
      </c>
      <c r="E256" t="str">
        <f t="shared" ca="1" si="17"/>
        <v>RFR EUR</v>
      </c>
      <c r="F256" t="str">
        <f t="shared" ca="1" si="18"/>
        <v>RFR GBP</v>
      </c>
      <c r="J256" s="1"/>
      <c r="K256" s="20"/>
      <c r="N256" s="1"/>
      <c r="O256" s="20"/>
      <c r="R256" s="1"/>
      <c r="V256" s="1"/>
      <c r="AB256" s="1"/>
      <c r="AC256" s="20"/>
      <c r="AF256" s="1"/>
      <c r="AG256" s="20"/>
      <c r="AJ256" s="1"/>
      <c r="AN256" s="1"/>
      <c r="AS256" s="1"/>
      <c r="AT256" s="20"/>
      <c r="AX256" s="1"/>
      <c r="BA256" s="1"/>
      <c r="BC256" s="1"/>
      <c r="BD256" s="1"/>
      <c r="BG256" s="1"/>
      <c r="BJ256" s="1"/>
      <c r="BM256" s="1"/>
      <c r="BP256" s="1"/>
      <c r="BS256" s="1"/>
    </row>
    <row r="257" spans="1:71" x14ac:dyDescent="0.3">
      <c r="A257" s="19">
        <f t="shared" si="19"/>
        <v>46274</v>
      </c>
      <c r="B257">
        <f t="shared" ca="1" si="15"/>
        <v>-0.33888888888888891</v>
      </c>
      <c r="C257" t="str">
        <f ca="1">IF(currency="USD",'Future et co'!D257,IF(currency="EUR",'Future et co'!E257,IF(currency="GBP",'Future et co'!F257,FALSE)))</f>
        <v>RFR USD</v>
      </c>
      <c r="D257" t="str">
        <f t="shared" ca="1" si="16"/>
        <v>RFR USD</v>
      </c>
      <c r="E257" t="str">
        <f t="shared" ca="1" si="17"/>
        <v>RFR EUR</v>
      </c>
      <c r="F257" t="str">
        <f t="shared" ca="1" si="18"/>
        <v>RFR GBP</v>
      </c>
      <c r="J257" s="1"/>
      <c r="K257" s="20"/>
      <c r="N257" s="1"/>
      <c r="O257" s="20"/>
      <c r="R257" s="1"/>
      <c r="V257" s="1"/>
      <c r="AB257" s="1"/>
      <c r="AC257" s="20"/>
      <c r="AF257" s="1"/>
      <c r="AG257" s="20"/>
      <c r="AJ257" s="1"/>
      <c r="AN257" s="1"/>
      <c r="AS257" s="1"/>
      <c r="AT257" s="20"/>
      <c r="AX257" s="1"/>
      <c r="BA257" s="1"/>
      <c r="BC257" s="1"/>
      <c r="BD257" s="1"/>
      <c r="BG257" s="1"/>
      <c r="BJ257" s="1"/>
      <c r="BM257" s="1"/>
      <c r="BP257" s="1"/>
      <c r="BS257" s="1"/>
    </row>
    <row r="258" spans="1:71" x14ac:dyDescent="0.3">
      <c r="A258" s="19">
        <f t="shared" si="19"/>
        <v>46275</v>
      </c>
      <c r="B258">
        <f t="shared" ca="1" si="15"/>
        <v>-0.34166666666666667</v>
      </c>
      <c r="C258" t="str">
        <f ca="1">IF(currency="USD",'Future et co'!D258,IF(currency="EUR",'Future et co'!E258,IF(currency="GBP",'Future et co'!F258,FALSE)))</f>
        <v>RFR USD</v>
      </c>
      <c r="D258" t="str">
        <f t="shared" ca="1" si="16"/>
        <v>RFR USD</v>
      </c>
      <c r="E258" t="str">
        <f t="shared" ca="1" si="17"/>
        <v>RFR EUR</v>
      </c>
      <c r="F258" t="str">
        <f t="shared" ca="1" si="18"/>
        <v>RFR GBP</v>
      </c>
      <c r="J258" s="1"/>
      <c r="K258" s="20"/>
      <c r="N258" s="1"/>
      <c r="O258" s="20"/>
      <c r="R258" s="1"/>
      <c r="V258" s="1"/>
      <c r="AB258" s="1"/>
      <c r="AC258" s="20"/>
      <c r="AF258" s="1"/>
      <c r="AG258" s="20"/>
      <c r="AJ258" s="1"/>
      <c r="AN258" s="1"/>
      <c r="AS258" s="1"/>
      <c r="AT258" s="20"/>
      <c r="AX258" s="1"/>
      <c r="BA258" s="1"/>
      <c r="BC258" s="1"/>
      <c r="BD258" s="1"/>
      <c r="BG258" s="1"/>
      <c r="BJ258" s="1"/>
      <c r="BM258" s="1"/>
      <c r="BP258" s="1"/>
      <c r="BS258" s="1"/>
    </row>
    <row r="259" spans="1:71" x14ac:dyDescent="0.3">
      <c r="A259" s="19">
        <f t="shared" si="19"/>
        <v>46276</v>
      </c>
      <c r="B259">
        <f t="shared" ca="1" si="15"/>
        <v>-0.34444444444444444</v>
      </c>
      <c r="C259" t="str">
        <f ca="1">IF(currency="USD",'Future et co'!D259,IF(currency="EUR",'Future et co'!E259,IF(currency="GBP",'Future et co'!F259,FALSE)))</f>
        <v>RFR USD</v>
      </c>
      <c r="D259" t="str">
        <f t="shared" ca="1" si="16"/>
        <v>RFR USD</v>
      </c>
      <c r="E259" t="str">
        <f t="shared" ca="1" si="17"/>
        <v>RFR EUR</v>
      </c>
      <c r="F259" t="str">
        <f t="shared" ca="1" si="18"/>
        <v>RFR GBP</v>
      </c>
      <c r="J259" s="1"/>
      <c r="K259" s="20"/>
      <c r="N259" s="1"/>
      <c r="O259" s="20"/>
      <c r="R259" s="1"/>
      <c r="V259" s="1"/>
      <c r="AB259" s="1"/>
      <c r="AC259" s="20"/>
      <c r="AF259" s="1"/>
      <c r="AG259" s="20"/>
      <c r="AJ259" s="1"/>
      <c r="AN259" s="1"/>
      <c r="AS259" s="1"/>
      <c r="AT259" s="20"/>
      <c r="AX259" s="1"/>
      <c r="BA259" s="1"/>
      <c r="BC259" s="1"/>
      <c r="BD259" s="1"/>
      <c r="BG259" s="1"/>
      <c r="BJ259" s="1"/>
      <c r="BM259" s="1"/>
      <c r="BP259" s="1"/>
      <c r="BS259" s="1"/>
    </row>
    <row r="260" spans="1:71" x14ac:dyDescent="0.3">
      <c r="A260" s="19">
        <f t="shared" si="19"/>
        <v>46279</v>
      </c>
      <c r="B260">
        <f t="shared" ca="1" si="15"/>
        <v>-0.3527777777777778</v>
      </c>
      <c r="C260" t="str">
        <f ca="1">IF(currency="USD",'Future et co'!D260,IF(currency="EUR",'Future et co'!E260,IF(currency="GBP",'Future et co'!F260,FALSE)))</f>
        <v>RFR USD</v>
      </c>
      <c r="D260" t="str">
        <f t="shared" ca="1" si="16"/>
        <v>RFR USD</v>
      </c>
      <c r="E260" t="str">
        <f t="shared" ca="1" si="17"/>
        <v>RFR EUR</v>
      </c>
      <c r="F260" t="str">
        <f t="shared" ca="1" si="18"/>
        <v>RFR GBP</v>
      </c>
      <c r="J260" s="1"/>
      <c r="K260" s="20"/>
      <c r="N260" s="1"/>
      <c r="O260" s="20"/>
      <c r="R260" s="1"/>
      <c r="V260" s="1"/>
      <c r="AB260" s="1"/>
      <c r="AC260" s="20"/>
      <c r="AF260" s="1"/>
      <c r="AG260" s="20"/>
      <c r="AJ260" s="1"/>
      <c r="AN260" s="1"/>
      <c r="AS260" s="1"/>
      <c r="AT260" s="20"/>
      <c r="AX260" s="1"/>
      <c r="BA260" s="1"/>
      <c r="BC260" s="1"/>
      <c r="BD260" s="1"/>
      <c r="BG260" s="1"/>
      <c r="BJ260" s="1"/>
      <c r="BM260" s="1"/>
      <c r="BP260" s="1"/>
      <c r="BS260" s="1"/>
    </row>
    <row r="261" spans="1:71" x14ac:dyDescent="0.3">
      <c r="A261" s="19">
        <f t="shared" si="19"/>
        <v>46280</v>
      </c>
      <c r="B261">
        <f t="shared" ca="1" si="15"/>
        <v>-0.35555555555555557</v>
      </c>
      <c r="C261" t="str">
        <f ca="1">IF(currency="USD",'Future et co'!D261,IF(currency="EUR",'Future et co'!E261,IF(currency="GBP",'Future et co'!F261,FALSE)))</f>
        <v>RFR USD</v>
      </c>
      <c r="D261" t="str">
        <f t="shared" ca="1" si="16"/>
        <v>RFR USD</v>
      </c>
      <c r="E261" t="str">
        <f t="shared" ca="1" si="17"/>
        <v>RFR EUR</v>
      </c>
      <c r="F261" t="str">
        <f t="shared" ca="1" si="18"/>
        <v>RFR GBP</v>
      </c>
      <c r="J261" s="1"/>
      <c r="K261" s="20"/>
      <c r="N261" s="1"/>
      <c r="O261" s="20"/>
      <c r="R261" s="1"/>
      <c r="V261" s="1"/>
      <c r="AB261" s="1"/>
      <c r="AC261" s="20"/>
      <c r="AF261" s="1"/>
      <c r="AG261" s="20"/>
      <c r="AJ261" s="1"/>
      <c r="AN261" s="1"/>
      <c r="AS261" s="1"/>
      <c r="AT261" s="20"/>
      <c r="AX261" s="1"/>
      <c r="BA261" s="1"/>
      <c r="BC261" s="1"/>
      <c r="BD261" s="1"/>
      <c r="BG261" s="1"/>
      <c r="BJ261" s="1"/>
      <c r="BM261" s="1"/>
      <c r="BP261" s="1"/>
      <c r="BS261" s="1"/>
    </row>
    <row r="262" spans="1:71" x14ac:dyDescent="0.3">
      <c r="A262" s="19">
        <f t="shared" si="19"/>
        <v>46281</v>
      </c>
      <c r="B262">
        <f t="shared" ca="1" si="15"/>
        <v>-0.35833333333333334</v>
      </c>
      <c r="C262" t="str">
        <f ca="1">IF(currency="USD",'Future et co'!D262,IF(currency="EUR",'Future et co'!E262,IF(currency="GBP",'Future et co'!F262,FALSE)))</f>
        <v>RFR USD</v>
      </c>
      <c r="D262" t="str">
        <f t="shared" ca="1" si="16"/>
        <v>RFR USD</v>
      </c>
      <c r="E262" t="str">
        <f t="shared" ca="1" si="17"/>
        <v>RFR EUR</v>
      </c>
      <c r="F262" t="str">
        <f t="shared" ca="1" si="18"/>
        <v>RFR GBP</v>
      </c>
      <c r="J262" s="1"/>
      <c r="K262" s="20"/>
      <c r="N262" s="1"/>
      <c r="O262" s="20"/>
      <c r="R262" s="1"/>
      <c r="V262" s="1"/>
      <c r="AB262" s="1"/>
      <c r="AC262" s="20"/>
      <c r="AF262" s="1"/>
      <c r="AG262" s="20"/>
      <c r="AJ262" s="1"/>
      <c r="AN262" s="1"/>
      <c r="AS262" s="1"/>
      <c r="AT262" s="20"/>
      <c r="AX262" s="1"/>
      <c r="BA262" s="1"/>
      <c r="BC262" s="1"/>
      <c r="BD262" s="1"/>
      <c r="BG262" s="1"/>
      <c r="BJ262" s="1"/>
      <c r="BM262" s="1"/>
      <c r="BP262" s="1"/>
      <c r="BS262" s="1"/>
    </row>
    <row r="263" spans="1:71" x14ac:dyDescent="0.3">
      <c r="A263" s="19">
        <f t="shared" si="19"/>
        <v>46282</v>
      </c>
      <c r="B263">
        <f t="shared" ca="1" si="15"/>
        <v>-0.3611111111111111</v>
      </c>
      <c r="C263" t="str">
        <f ca="1">IF(currency="USD",'Future et co'!D263,IF(currency="EUR",'Future et co'!E263,IF(currency="GBP",'Future et co'!F263,FALSE)))</f>
        <v>RFR USD</v>
      </c>
      <c r="D263" t="str">
        <f t="shared" ca="1" si="16"/>
        <v>RFR USD</v>
      </c>
      <c r="E263" t="str">
        <f t="shared" ca="1" si="17"/>
        <v>RFR EUR</v>
      </c>
      <c r="F263" t="str">
        <f t="shared" ca="1" si="18"/>
        <v>RFR GBP</v>
      </c>
      <c r="J263" s="1"/>
      <c r="K263" s="20"/>
      <c r="N263" s="1"/>
      <c r="O263" s="20"/>
      <c r="R263" s="1"/>
      <c r="V263" s="1"/>
      <c r="AB263" s="1"/>
      <c r="AC263" s="20"/>
      <c r="AF263" s="1"/>
      <c r="AG263" s="20"/>
      <c r="AJ263" s="1"/>
      <c r="AN263" s="1"/>
      <c r="AS263" s="1"/>
      <c r="AT263" s="20"/>
      <c r="AX263" s="1"/>
      <c r="BA263" s="1"/>
      <c r="BC263" s="1"/>
      <c r="BD263" s="1"/>
      <c r="BG263" s="1"/>
      <c r="BJ263" s="1"/>
      <c r="BM263" s="1"/>
      <c r="BP263" s="1"/>
      <c r="BS263" s="1"/>
    </row>
    <row r="264" spans="1:71" x14ac:dyDescent="0.3">
      <c r="A264" s="19">
        <f t="shared" si="19"/>
        <v>46283</v>
      </c>
      <c r="B264">
        <f t="shared" ca="1" si="15"/>
        <v>-0.36388888888888887</v>
      </c>
      <c r="C264" t="str">
        <f ca="1">IF(currency="USD",'Future et co'!D264,IF(currency="EUR",'Future et co'!E264,IF(currency="GBP",'Future et co'!F264,FALSE)))</f>
        <v>RFR USD</v>
      </c>
      <c r="D264" t="str">
        <f t="shared" ca="1" si="16"/>
        <v>RFR USD</v>
      </c>
      <c r="E264" t="str">
        <f t="shared" ca="1" si="17"/>
        <v>RFR EUR</v>
      </c>
      <c r="F264" t="str">
        <f t="shared" ca="1" si="18"/>
        <v>RFR GBP</v>
      </c>
      <c r="J264" s="1"/>
      <c r="K264" s="20"/>
      <c r="N264" s="1"/>
      <c r="O264" s="20"/>
      <c r="R264" s="1"/>
      <c r="V264" s="1"/>
      <c r="AB264" s="1"/>
      <c r="AC264" s="20"/>
      <c r="AF264" s="1"/>
      <c r="AG264" s="20"/>
      <c r="AJ264" s="1"/>
      <c r="AN264" s="1"/>
      <c r="AS264" s="1"/>
      <c r="AT264" s="20"/>
      <c r="AX264" s="1"/>
      <c r="BA264" s="1"/>
      <c r="BC264" s="1"/>
      <c r="BD264" s="1"/>
      <c r="BG264" s="1"/>
      <c r="BJ264" s="1"/>
      <c r="BM264" s="1"/>
      <c r="BP264" s="1"/>
      <c r="BS264" s="1"/>
    </row>
    <row r="265" spans="1:71" x14ac:dyDescent="0.3">
      <c r="A265" s="19">
        <f t="shared" si="19"/>
        <v>46286</v>
      </c>
      <c r="B265">
        <f t="shared" ca="1" si="15"/>
        <v>-0.37222222222222223</v>
      </c>
      <c r="C265" t="str">
        <f ca="1">IF(currency="USD",'Future et co'!D265,IF(currency="EUR",'Future et co'!E265,IF(currency="GBP",'Future et co'!F265,FALSE)))</f>
        <v>RFR USD</v>
      </c>
      <c r="D265" t="str">
        <f t="shared" ca="1" si="16"/>
        <v>RFR USD</v>
      </c>
      <c r="E265" t="str">
        <f t="shared" ca="1" si="17"/>
        <v>RFR EUR</v>
      </c>
      <c r="F265" t="str">
        <f t="shared" ca="1" si="18"/>
        <v>RFR GBP</v>
      </c>
      <c r="J265" s="1"/>
      <c r="N265" s="1"/>
      <c r="R265" s="1"/>
      <c r="V265" s="1"/>
      <c r="AB265" s="1"/>
      <c r="AF265" s="1"/>
      <c r="AJ265" s="1"/>
      <c r="AN265" s="1"/>
      <c r="AS265" s="1"/>
      <c r="AX265" s="1"/>
      <c r="BA265" s="1"/>
      <c r="BC265" s="1"/>
      <c r="BD265" s="1"/>
      <c r="BG265" s="1"/>
      <c r="BJ265" s="1"/>
      <c r="BM265" s="1"/>
      <c r="BP265" s="1"/>
      <c r="BS265" s="1"/>
    </row>
    <row r="266" spans="1:71" x14ac:dyDescent="0.3">
      <c r="A266" s="19">
        <f t="shared" si="19"/>
        <v>46287</v>
      </c>
      <c r="B266">
        <f t="shared" ca="1" si="15"/>
        <v>-0.375</v>
      </c>
      <c r="C266" t="str">
        <f ca="1">IF(currency="USD",'Future et co'!D266,IF(currency="EUR",'Future et co'!E266,IF(currency="GBP",'Future et co'!F266,FALSE)))</f>
        <v>RFR USD</v>
      </c>
      <c r="D266" t="str">
        <f t="shared" ca="1" si="16"/>
        <v>RFR USD</v>
      </c>
      <c r="E266" t="str">
        <f t="shared" ca="1" si="17"/>
        <v>RFR EUR</v>
      </c>
      <c r="F266" t="str">
        <f t="shared" ca="1" si="18"/>
        <v>RFR GBP</v>
      </c>
      <c r="J266" s="1"/>
      <c r="N266" s="1"/>
      <c r="R266" s="1"/>
      <c r="V266" s="1"/>
      <c r="AB266" s="1"/>
      <c r="AF266" s="1"/>
      <c r="AJ266" s="1"/>
      <c r="AN266" s="1"/>
      <c r="AS266" s="1"/>
      <c r="AX266" s="1"/>
      <c r="BA266" s="1"/>
      <c r="BC266" s="1"/>
      <c r="BD266" s="1"/>
      <c r="BG266" s="1"/>
      <c r="BJ266" s="1"/>
      <c r="BM266" s="1"/>
      <c r="BP266" s="1"/>
      <c r="BS266" s="1"/>
    </row>
    <row r="267" spans="1:71" x14ac:dyDescent="0.3">
      <c r="A267" s="19">
        <f t="shared" si="19"/>
        <v>46288</v>
      </c>
      <c r="B267">
        <f t="shared" ref="B267:B330" ca="1" si="20">($B$7-A267)/360</f>
        <v>-0.37777777777777777</v>
      </c>
      <c r="C267" t="str">
        <f ca="1">IF(currency="USD",'Future et co'!D267,IF(currency="EUR",'Future et co'!E267,IF(currency="GBP",'Future et co'!F267,FALSE)))</f>
        <v>RFR USD</v>
      </c>
      <c r="D267" t="str">
        <f t="shared" ref="D267:D330" ca="1" si="21">IFERROR(IF(B267&lt;0.25,VLOOKUP(A267,$J$11:$L$5325,3,FALSE),IF(AND(B267&gt;=0.25,B267&lt;0.5),VLOOKUP(A267,$N$11:$P$5325,3,FALSE),IF(AND(B267&gt;=0.5,B267&lt;1),VLOOKUP(A267,$R$11:$T$5325,3,FALSE),VLOOKUP(A267,$V$11:$X$5010,3,FALSE)))),D266)</f>
        <v>RFR USD</v>
      </c>
      <c r="E267" t="str">
        <f t="shared" ref="E267:E330" ca="1" si="22">IFERROR(IF(B267&lt;0.25,VLOOKUP(A267,$AF$11:$AH$5325,3,FALSE),IF(AND(B267&gt;=0.25,B267&lt;0.5),VLOOKUP(A267,$AJ$11:$AL$5325,3,FALSE),VLOOKUP(A267,$AN$11:$AP$5325,3,FALSE))),E266)</f>
        <v>RFR EUR</v>
      </c>
      <c r="F267" t="str">
        <f t="shared" ref="F267:F330" ca="1" si="23">IFERROR(VLOOKUP(A267,$AS$11:$AU$9999,3,FALSE),F266)</f>
        <v>RFR GBP</v>
      </c>
      <c r="J267" s="1"/>
      <c r="N267" s="1"/>
      <c r="R267" s="1"/>
      <c r="V267" s="1"/>
      <c r="AB267" s="1"/>
      <c r="AF267" s="1"/>
      <c r="AJ267" s="1"/>
      <c r="AN267" s="1"/>
      <c r="AS267" s="1"/>
      <c r="AX267" s="1"/>
      <c r="BA267" s="1"/>
      <c r="BC267" s="1"/>
      <c r="BD267" s="1"/>
      <c r="BG267" s="1"/>
      <c r="BJ267" s="1"/>
      <c r="BM267" s="1"/>
      <c r="BP267" s="1"/>
      <c r="BS267" s="1"/>
    </row>
    <row r="268" spans="1:71" x14ac:dyDescent="0.3">
      <c r="A268" s="19">
        <f t="shared" si="19"/>
        <v>46289</v>
      </c>
      <c r="B268">
        <f t="shared" ca="1" si="20"/>
        <v>-0.38055555555555554</v>
      </c>
      <c r="C268" t="str">
        <f ca="1">IF(currency="USD",'Future et co'!D268,IF(currency="EUR",'Future et co'!E268,IF(currency="GBP",'Future et co'!F268,FALSE)))</f>
        <v>RFR USD</v>
      </c>
      <c r="D268" t="str">
        <f t="shared" ca="1" si="21"/>
        <v>RFR USD</v>
      </c>
      <c r="E268" t="str">
        <f t="shared" ca="1" si="22"/>
        <v>RFR EUR</v>
      </c>
      <c r="F268" t="str">
        <f t="shared" ca="1" si="23"/>
        <v>RFR GBP</v>
      </c>
      <c r="J268" s="1"/>
      <c r="N268" s="1"/>
      <c r="R268" s="1"/>
      <c r="V268" s="1"/>
      <c r="AB268" s="1"/>
      <c r="AF268" s="1"/>
      <c r="AJ268" s="1"/>
      <c r="AN268" s="1"/>
      <c r="AS268" s="1"/>
      <c r="AX268" s="1"/>
      <c r="BA268" s="1"/>
      <c r="BC268" s="1"/>
      <c r="BD268" s="1"/>
      <c r="BG268" s="1"/>
      <c r="BJ268" s="1"/>
      <c r="BM268" s="1"/>
      <c r="BP268" s="1"/>
      <c r="BS268" s="1"/>
    </row>
    <row r="269" spans="1:71" x14ac:dyDescent="0.3">
      <c r="A269" s="19">
        <f t="shared" ref="A269:A332" si="24">WORKDAY(A268,1)</f>
        <v>46290</v>
      </c>
      <c r="B269">
        <f t="shared" ca="1" si="20"/>
        <v>-0.38333333333333336</v>
      </c>
      <c r="C269" t="str">
        <f ca="1">IF(currency="USD",'Future et co'!D269,IF(currency="EUR",'Future et co'!E269,IF(currency="GBP",'Future et co'!F269,FALSE)))</f>
        <v>RFR USD</v>
      </c>
      <c r="D269" t="str">
        <f t="shared" ca="1" si="21"/>
        <v>RFR USD</v>
      </c>
      <c r="E269" t="str">
        <f t="shared" ca="1" si="22"/>
        <v>RFR EUR</v>
      </c>
      <c r="F269" t="str">
        <f t="shared" ca="1" si="23"/>
        <v>RFR GBP</v>
      </c>
      <c r="J269" s="1"/>
      <c r="N269" s="1"/>
      <c r="R269" s="1"/>
      <c r="V269" s="1"/>
      <c r="AB269" s="1"/>
      <c r="AF269" s="1"/>
      <c r="AJ269" s="1"/>
      <c r="AN269" s="1"/>
      <c r="AS269" s="1"/>
      <c r="AX269" s="1"/>
      <c r="BA269" s="1"/>
      <c r="BC269" s="1"/>
      <c r="BD269" s="1"/>
      <c r="BG269" s="1"/>
      <c r="BJ269" s="1"/>
      <c r="BM269" s="1"/>
      <c r="BP269" s="1"/>
      <c r="BS269" s="1"/>
    </row>
    <row r="270" spans="1:71" x14ac:dyDescent="0.3">
      <c r="A270" s="19">
        <f t="shared" si="24"/>
        <v>46293</v>
      </c>
      <c r="B270">
        <f t="shared" ca="1" si="20"/>
        <v>-0.39166666666666666</v>
      </c>
      <c r="C270" t="str">
        <f ca="1">IF(currency="USD",'Future et co'!D270,IF(currency="EUR",'Future et co'!E270,IF(currency="GBP",'Future et co'!F270,FALSE)))</f>
        <v>RFR USD</v>
      </c>
      <c r="D270" t="str">
        <f t="shared" ca="1" si="21"/>
        <v>RFR USD</v>
      </c>
      <c r="E270" t="str">
        <f t="shared" ca="1" si="22"/>
        <v>RFR EUR</v>
      </c>
      <c r="F270" t="str">
        <f t="shared" ca="1" si="23"/>
        <v>RFR GBP</v>
      </c>
      <c r="J270" s="1"/>
      <c r="N270" s="1"/>
      <c r="R270" s="1"/>
      <c r="V270" s="1"/>
      <c r="AB270" s="1"/>
      <c r="AF270" s="1"/>
      <c r="AJ270" s="1"/>
      <c r="AN270" s="1"/>
      <c r="AS270" s="1"/>
      <c r="AX270" s="1"/>
      <c r="BA270" s="1"/>
      <c r="BC270" s="1"/>
      <c r="BD270" s="1"/>
      <c r="BG270" s="1"/>
      <c r="BJ270" s="1"/>
      <c r="BM270" s="1"/>
      <c r="BP270" s="1"/>
      <c r="BS270" s="1"/>
    </row>
    <row r="271" spans="1:71" x14ac:dyDescent="0.3">
      <c r="A271" s="19">
        <f t="shared" si="24"/>
        <v>46294</v>
      </c>
      <c r="B271">
        <f t="shared" ca="1" si="20"/>
        <v>-0.39444444444444443</v>
      </c>
      <c r="C271" t="str">
        <f ca="1">IF(currency="USD",'Future et co'!D271,IF(currency="EUR",'Future et co'!E271,IF(currency="GBP",'Future et co'!F271,FALSE)))</f>
        <v>RFR USD</v>
      </c>
      <c r="D271" t="str">
        <f t="shared" ca="1" si="21"/>
        <v>RFR USD</v>
      </c>
      <c r="E271" t="str">
        <f t="shared" ca="1" si="22"/>
        <v>RFR EUR</v>
      </c>
      <c r="F271" t="str">
        <f t="shared" ca="1" si="23"/>
        <v>RFR GBP</v>
      </c>
      <c r="J271" s="1"/>
      <c r="N271" s="1"/>
      <c r="R271" s="1"/>
      <c r="V271" s="1"/>
      <c r="AB271" s="1"/>
      <c r="AF271" s="1"/>
      <c r="AJ271" s="1"/>
      <c r="AN271" s="1"/>
      <c r="AS271" s="1"/>
      <c r="AX271" s="1"/>
      <c r="BA271" s="1"/>
      <c r="BC271" s="1"/>
      <c r="BD271" s="1"/>
      <c r="BG271" s="1"/>
      <c r="BJ271" s="1"/>
      <c r="BM271" s="1"/>
      <c r="BP271" s="1"/>
      <c r="BS271" s="1"/>
    </row>
    <row r="272" spans="1:71" x14ac:dyDescent="0.3">
      <c r="A272" s="19">
        <f t="shared" si="24"/>
        <v>46295</v>
      </c>
      <c r="B272">
        <f t="shared" ca="1" si="20"/>
        <v>-0.3972222222222222</v>
      </c>
      <c r="C272" t="str">
        <f ca="1">IF(currency="USD",'Future et co'!D272,IF(currency="EUR",'Future et co'!E272,IF(currency="GBP",'Future et co'!F272,FALSE)))</f>
        <v>RFR USD</v>
      </c>
      <c r="D272" t="str">
        <f t="shared" ca="1" si="21"/>
        <v>RFR USD</v>
      </c>
      <c r="E272" t="str">
        <f t="shared" ca="1" si="22"/>
        <v>RFR EUR</v>
      </c>
      <c r="F272" t="str">
        <f t="shared" ca="1" si="23"/>
        <v>RFR GBP</v>
      </c>
      <c r="J272" s="1"/>
      <c r="N272" s="1"/>
      <c r="R272" s="1"/>
      <c r="V272" s="1"/>
      <c r="AB272" s="1"/>
      <c r="AF272" s="1"/>
      <c r="AJ272" s="1"/>
      <c r="AN272" s="1"/>
      <c r="AS272" s="1"/>
      <c r="AX272" s="1"/>
      <c r="BA272" s="1"/>
      <c r="BC272" s="1"/>
      <c r="BD272" s="1"/>
      <c r="BG272" s="1"/>
      <c r="BJ272" s="1"/>
      <c r="BM272" s="1"/>
      <c r="BP272" s="1"/>
      <c r="BS272" s="1"/>
    </row>
    <row r="273" spans="1:71" x14ac:dyDescent="0.3">
      <c r="A273" s="19">
        <f t="shared" si="24"/>
        <v>46296</v>
      </c>
      <c r="B273">
        <f t="shared" ca="1" si="20"/>
        <v>-0.4</v>
      </c>
      <c r="C273" t="str">
        <f ca="1">IF(currency="USD",'Future et co'!D273,IF(currency="EUR",'Future et co'!E273,IF(currency="GBP",'Future et co'!F273,FALSE)))</f>
        <v>RFR USD</v>
      </c>
      <c r="D273" t="str">
        <f t="shared" ca="1" si="21"/>
        <v>RFR USD</v>
      </c>
      <c r="E273" t="str">
        <f t="shared" ca="1" si="22"/>
        <v>RFR EUR</v>
      </c>
      <c r="F273" t="str">
        <f t="shared" ca="1" si="23"/>
        <v>RFR GBP</v>
      </c>
      <c r="J273" s="1"/>
      <c r="N273" s="1"/>
      <c r="R273" s="1"/>
      <c r="V273" s="1"/>
      <c r="AB273" s="1"/>
      <c r="AF273" s="1"/>
      <c r="AJ273" s="1"/>
      <c r="AN273" s="1"/>
      <c r="AS273" s="1"/>
      <c r="AX273" s="1"/>
      <c r="BA273" s="1"/>
      <c r="BC273" s="1"/>
      <c r="BD273" s="1"/>
      <c r="BG273" s="1"/>
      <c r="BJ273" s="1"/>
      <c r="BM273" s="1"/>
      <c r="BP273" s="1"/>
      <c r="BS273" s="1"/>
    </row>
    <row r="274" spans="1:71" x14ac:dyDescent="0.3">
      <c r="A274" s="19">
        <f t="shared" si="24"/>
        <v>46297</v>
      </c>
      <c r="B274">
        <f t="shared" ca="1" si="20"/>
        <v>-0.40277777777777779</v>
      </c>
      <c r="C274" t="str">
        <f ca="1">IF(currency="USD",'Future et co'!D274,IF(currency="EUR",'Future et co'!E274,IF(currency="GBP",'Future et co'!F274,FALSE)))</f>
        <v>RFR USD</v>
      </c>
      <c r="D274" t="str">
        <f t="shared" ca="1" si="21"/>
        <v>RFR USD</v>
      </c>
      <c r="E274" t="str">
        <f t="shared" ca="1" si="22"/>
        <v>RFR EUR</v>
      </c>
      <c r="F274" t="str">
        <f t="shared" ca="1" si="23"/>
        <v>RFR GBP</v>
      </c>
      <c r="J274" s="1"/>
      <c r="N274" s="1"/>
      <c r="R274" s="1"/>
      <c r="V274" s="1"/>
      <c r="AB274" s="1"/>
      <c r="AF274" s="1"/>
      <c r="AJ274" s="1"/>
      <c r="AN274" s="1"/>
      <c r="AS274" s="1"/>
      <c r="AX274" s="1"/>
      <c r="BA274" s="1"/>
      <c r="BC274" s="1"/>
      <c r="BD274" s="1"/>
      <c r="BG274" s="1"/>
      <c r="BJ274" s="1"/>
      <c r="BM274" s="1"/>
      <c r="BP274" s="1"/>
      <c r="BS274" s="1"/>
    </row>
    <row r="275" spans="1:71" x14ac:dyDescent="0.3">
      <c r="A275" s="19">
        <f t="shared" si="24"/>
        <v>46300</v>
      </c>
      <c r="B275">
        <f t="shared" ca="1" si="20"/>
        <v>-0.41111111111111109</v>
      </c>
      <c r="C275" t="str">
        <f ca="1">IF(currency="USD",'Future et co'!D275,IF(currency="EUR",'Future et co'!E275,IF(currency="GBP",'Future et co'!F275,FALSE)))</f>
        <v>RFR USD</v>
      </c>
      <c r="D275" t="str">
        <f t="shared" ca="1" si="21"/>
        <v>RFR USD</v>
      </c>
      <c r="E275" t="str">
        <f t="shared" ca="1" si="22"/>
        <v>RFR EUR</v>
      </c>
      <c r="F275" t="str">
        <f t="shared" ca="1" si="23"/>
        <v>RFR GBP</v>
      </c>
      <c r="J275" s="1"/>
      <c r="N275" s="1"/>
      <c r="R275" s="1"/>
      <c r="V275" s="1"/>
      <c r="AB275" s="1"/>
      <c r="AF275" s="1"/>
      <c r="AJ275" s="1"/>
      <c r="AN275" s="1"/>
      <c r="AS275" s="1"/>
      <c r="AX275" s="1"/>
      <c r="BA275" s="1"/>
      <c r="BC275" s="1"/>
      <c r="BD275" s="1"/>
      <c r="BG275" s="1"/>
      <c r="BJ275" s="1"/>
      <c r="BM275" s="1"/>
      <c r="BP275" s="1"/>
      <c r="BS275" s="1"/>
    </row>
    <row r="276" spans="1:71" x14ac:dyDescent="0.3">
      <c r="A276" s="19">
        <f t="shared" si="24"/>
        <v>46301</v>
      </c>
      <c r="B276">
        <f t="shared" ca="1" si="20"/>
        <v>-0.41388888888888886</v>
      </c>
      <c r="C276" t="str">
        <f ca="1">IF(currency="USD",'Future et co'!D276,IF(currency="EUR",'Future et co'!E276,IF(currency="GBP",'Future et co'!F276,FALSE)))</f>
        <v>RFR USD</v>
      </c>
      <c r="D276" t="str">
        <f t="shared" ca="1" si="21"/>
        <v>RFR USD</v>
      </c>
      <c r="E276" t="str">
        <f t="shared" ca="1" si="22"/>
        <v>RFR EUR</v>
      </c>
      <c r="F276" t="str">
        <f t="shared" ca="1" si="23"/>
        <v>RFR GBP</v>
      </c>
      <c r="J276" s="1"/>
      <c r="N276" s="1"/>
      <c r="R276" s="1"/>
      <c r="V276" s="1"/>
      <c r="AB276" s="1"/>
      <c r="AF276" s="1"/>
      <c r="AJ276" s="1"/>
      <c r="AN276" s="1"/>
      <c r="AS276" s="1"/>
      <c r="AX276" s="1"/>
      <c r="BA276" s="1"/>
      <c r="BC276" s="1"/>
      <c r="BD276" s="1"/>
      <c r="BG276" s="1"/>
      <c r="BJ276" s="1"/>
      <c r="BM276" s="1"/>
      <c r="BP276" s="1"/>
      <c r="BS276" s="1"/>
    </row>
    <row r="277" spans="1:71" x14ac:dyDescent="0.3">
      <c r="A277" s="19">
        <f t="shared" si="24"/>
        <v>46302</v>
      </c>
      <c r="B277">
        <f t="shared" ca="1" si="20"/>
        <v>-0.41666666666666669</v>
      </c>
      <c r="C277" t="str">
        <f ca="1">IF(currency="USD",'Future et co'!D277,IF(currency="EUR",'Future et co'!E277,IF(currency="GBP",'Future et co'!F277,FALSE)))</f>
        <v>RFR USD</v>
      </c>
      <c r="D277" t="str">
        <f t="shared" ca="1" si="21"/>
        <v>RFR USD</v>
      </c>
      <c r="E277" t="str">
        <f t="shared" ca="1" si="22"/>
        <v>RFR EUR</v>
      </c>
      <c r="F277" t="str">
        <f t="shared" ca="1" si="23"/>
        <v>RFR GBP</v>
      </c>
      <c r="J277" s="1"/>
      <c r="N277" s="1"/>
      <c r="R277" s="1"/>
      <c r="V277" s="1"/>
      <c r="AB277" s="1"/>
      <c r="AF277" s="1"/>
      <c r="AJ277" s="1"/>
      <c r="AN277" s="1"/>
      <c r="AS277" s="1"/>
      <c r="AX277" s="1"/>
      <c r="BA277" s="1"/>
      <c r="BC277" s="1"/>
      <c r="BD277" s="1"/>
      <c r="BG277" s="1"/>
      <c r="BJ277" s="1"/>
      <c r="BM277" s="1"/>
      <c r="BP277" s="1"/>
      <c r="BS277" s="1"/>
    </row>
    <row r="278" spans="1:71" x14ac:dyDescent="0.3">
      <c r="A278" s="19">
        <f t="shared" si="24"/>
        <v>46303</v>
      </c>
      <c r="B278">
        <f t="shared" ca="1" si="20"/>
        <v>-0.41944444444444445</v>
      </c>
      <c r="C278" t="str">
        <f ca="1">IF(currency="USD",'Future et co'!D278,IF(currency="EUR",'Future et co'!E278,IF(currency="GBP",'Future et co'!F278,FALSE)))</f>
        <v>RFR USD</v>
      </c>
      <c r="D278" t="str">
        <f t="shared" ca="1" si="21"/>
        <v>RFR USD</v>
      </c>
      <c r="E278" t="str">
        <f t="shared" ca="1" si="22"/>
        <v>RFR EUR</v>
      </c>
      <c r="F278" t="str">
        <f t="shared" ca="1" si="23"/>
        <v>RFR GBP</v>
      </c>
      <c r="J278" s="1"/>
      <c r="N278" s="1"/>
      <c r="R278" s="1"/>
      <c r="V278" s="1"/>
      <c r="AB278" s="1"/>
      <c r="AF278" s="1"/>
      <c r="AJ278" s="1"/>
      <c r="AN278" s="1"/>
      <c r="AS278" s="1"/>
      <c r="AX278" s="1"/>
      <c r="BA278" s="1"/>
      <c r="BC278" s="1"/>
      <c r="BD278" s="1"/>
      <c r="BG278" s="1"/>
      <c r="BJ278" s="1"/>
      <c r="BM278" s="1"/>
      <c r="BP278" s="1"/>
      <c r="BS278" s="1"/>
    </row>
    <row r="279" spans="1:71" x14ac:dyDescent="0.3">
      <c r="A279" s="19">
        <f t="shared" si="24"/>
        <v>46304</v>
      </c>
      <c r="B279">
        <f t="shared" ca="1" si="20"/>
        <v>-0.42222222222222222</v>
      </c>
      <c r="C279" t="str">
        <f ca="1">IF(currency="USD",'Future et co'!D279,IF(currency="EUR",'Future et co'!E279,IF(currency="GBP",'Future et co'!F279,FALSE)))</f>
        <v>RFR USD</v>
      </c>
      <c r="D279" t="str">
        <f t="shared" ca="1" si="21"/>
        <v>RFR USD</v>
      </c>
      <c r="E279" t="str">
        <f t="shared" ca="1" si="22"/>
        <v>RFR EUR</v>
      </c>
      <c r="F279" t="str">
        <f t="shared" ca="1" si="23"/>
        <v>RFR GBP</v>
      </c>
      <c r="J279" s="1"/>
      <c r="N279" s="1"/>
      <c r="R279" s="1"/>
      <c r="V279" s="1"/>
      <c r="AB279" s="1"/>
      <c r="AF279" s="1"/>
      <c r="AJ279" s="1"/>
      <c r="AN279" s="1"/>
      <c r="AS279" s="1"/>
      <c r="AX279" s="1"/>
      <c r="BA279" s="1"/>
      <c r="BC279" s="1"/>
      <c r="BD279" s="1"/>
      <c r="BG279" s="1"/>
      <c r="BJ279" s="1"/>
      <c r="BM279" s="1"/>
      <c r="BP279" s="1"/>
      <c r="BS279" s="1"/>
    </row>
    <row r="280" spans="1:71" x14ac:dyDescent="0.3">
      <c r="A280" s="19">
        <f t="shared" si="24"/>
        <v>46307</v>
      </c>
      <c r="B280">
        <f t="shared" ca="1" si="20"/>
        <v>-0.43055555555555558</v>
      </c>
      <c r="C280" t="str">
        <f ca="1">IF(currency="USD",'Future et co'!D280,IF(currency="EUR",'Future et co'!E280,IF(currency="GBP",'Future et co'!F280,FALSE)))</f>
        <v>RFR USD</v>
      </c>
      <c r="D280" t="str">
        <f t="shared" ca="1" si="21"/>
        <v>RFR USD</v>
      </c>
      <c r="E280" t="str">
        <f t="shared" ca="1" si="22"/>
        <v>RFR EUR</v>
      </c>
      <c r="F280" t="str">
        <f t="shared" ca="1" si="23"/>
        <v>RFR GBP</v>
      </c>
      <c r="J280" s="1"/>
      <c r="N280" s="1"/>
      <c r="R280" s="1"/>
      <c r="V280" s="1"/>
      <c r="AB280" s="1"/>
      <c r="AF280" s="1"/>
      <c r="AJ280" s="1"/>
      <c r="AN280" s="1"/>
      <c r="AS280" s="1"/>
      <c r="AX280" s="1"/>
      <c r="BA280" s="1"/>
      <c r="BC280" s="1"/>
      <c r="BD280" s="1"/>
      <c r="BG280" s="1"/>
      <c r="BJ280" s="1"/>
      <c r="BM280" s="1"/>
      <c r="BP280" s="1"/>
      <c r="BS280" s="1"/>
    </row>
    <row r="281" spans="1:71" x14ac:dyDescent="0.3">
      <c r="A281" s="19">
        <f t="shared" si="24"/>
        <v>46308</v>
      </c>
      <c r="B281">
        <f t="shared" ca="1" si="20"/>
        <v>-0.43333333333333335</v>
      </c>
      <c r="C281" t="str">
        <f ca="1">IF(currency="USD",'Future et co'!D281,IF(currency="EUR",'Future et co'!E281,IF(currency="GBP",'Future et co'!F281,FALSE)))</f>
        <v>RFR USD</v>
      </c>
      <c r="D281" t="str">
        <f t="shared" ca="1" si="21"/>
        <v>RFR USD</v>
      </c>
      <c r="E281" t="str">
        <f t="shared" ca="1" si="22"/>
        <v>RFR EUR</v>
      </c>
      <c r="F281" t="str">
        <f t="shared" ca="1" si="23"/>
        <v>RFR GBP</v>
      </c>
      <c r="J281" s="1"/>
      <c r="N281" s="1"/>
      <c r="R281" s="1"/>
      <c r="V281" s="1"/>
      <c r="AB281" s="1"/>
      <c r="AF281" s="1"/>
      <c r="AJ281" s="1"/>
      <c r="AN281" s="1"/>
      <c r="AS281" s="1"/>
      <c r="AX281" s="1"/>
      <c r="BA281" s="1"/>
      <c r="BC281" s="1"/>
      <c r="BD281" s="1"/>
      <c r="BG281" s="1"/>
      <c r="BJ281" s="1"/>
      <c r="BM281" s="1"/>
      <c r="BP281" s="1"/>
      <c r="BS281" s="1"/>
    </row>
    <row r="282" spans="1:71" x14ac:dyDescent="0.3">
      <c r="A282" s="19">
        <f t="shared" si="24"/>
        <v>46309</v>
      </c>
      <c r="B282">
        <f t="shared" ca="1" si="20"/>
        <v>-0.43611111111111112</v>
      </c>
      <c r="C282" t="str">
        <f ca="1">IF(currency="USD",'Future et co'!D282,IF(currency="EUR",'Future et co'!E282,IF(currency="GBP",'Future et co'!F282,FALSE)))</f>
        <v>RFR USD</v>
      </c>
      <c r="D282" t="str">
        <f t="shared" ca="1" si="21"/>
        <v>RFR USD</v>
      </c>
      <c r="E282" t="str">
        <f t="shared" ca="1" si="22"/>
        <v>RFR EUR</v>
      </c>
      <c r="F282" t="str">
        <f t="shared" ca="1" si="23"/>
        <v>RFR GBP</v>
      </c>
      <c r="J282" s="1"/>
      <c r="N282" s="1"/>
      <c r="R282" s="1"/>
      <c r="V282" s="1"/>
      <c r="AB282" s="1"/>
      <c r="AF282" s="1"/>
      <c r="AJ282" s="1"/>
      <c r="AN282" s="1"/>
      <c r="AS282" s="1"/>
      <c r="AX282" s="1"/>
      <c r="BA282" s="1"/>
      <c r="BC282" s="1"/>
      <c r="BD282" s="1"/>
      <c r="BG282" s="1"/>
      <c r="BJ282" s="1"/>
      <c r="BM282" s="1"/>
      <c r="BP282" s="1"/>
      <c r="BS282" s="1"/>
    </row>
    <row r="283" spans="1:71" x14ac:dyDescent="0.3">
      <c r="A283" s="19">
        <f t="shared" si="24"/>
        <v>46310</v>
      </c>
      <c r="B283">
        <f t="shared" ca="1" si="20"/>
        <v>-0.43888888888888888</v>
      </c>
      <c r="C283" t="str">
        <f ca="1">IF(currency="USD",'Future et co'!D283,IF(currency="EUR",'Future et co'!E283,IF(currency="GBP",'Future et co'!F283,FALSE)))</f>
        <v>RFR USD</v>
      </c>
      <c r="D283" t="str">
        <f t="shared" ca="1" si="21"/>
        <v>RFR USD</v>
      </c>
      <c r="E283" t="str">
        <f t="shared" ca="1" si="22"/>
        <v>RFR EUR</v>
      </c>
      <c r="F283" t="str">
        <f t="shared" ca="1" si="23"/>
        <v>RFR GBP</v>
      </c>
      <c r="J283" s="1"/>
      <c r="N283" s="1"/>
      <c r="R283" s="1"/>
      <c r="V283" s="1"/>
      <c r="AB283" s="1"/>
      <c r="AF283" s="1"/>
      <c r="AJ283" s="1"/>
      <c r="AN283" s="1"/>
      <c r="AS283" s="1"/>
      <c r="AX283" s="1"/>
      <c r="BA283" s="1"/>
      <c r="BC283" s="1"/>
      <c r="BD283" s="1"/>
      <c r="BG283" s="1"/>
      <c r="BJ283" s="1"/>
      <c r="BM283" s="1"/>
      <c r="BP283" s="1"/>
      <c r="BS283" s="1"/>
    </row>
    <row r="284" spans="1:71" x14ac:dyDescent="0.3">
      <c r="A284" s="19">
        <f t="shared" si="24"/>
        <v>46311</v>
      </c>
      <c r="B284">
        <f t="shared" ca="1" si="20"/>
        <v>-0.44166666666666665</v>
      </c>
      <c r="C284" t="str">
        <f ca="1">IF(currency="USD",'Future et co'!D284,IF(currency="EUR",'Future et co'!E284,IF(currency="GBP",'Future et co'!F284,FALSE)))</f>
        <v>RFR USD</v>
      </c>
      <c r="D284" t="str">
        <f t="shared" ca="1" si="21"/>
        <v>RFR USD</v>
      </c>
      <c r="E284" t="str">
        <f t="shared" ca="1" si="22"/>
        <v>RFR EUR</v>
      </c>
      <c r="F284" t="str">
        <f t="shared" ca="1" si="23"/>
        <v>RFR GBP</v>
      </c>
      <c r="J284" s="1"/>
      <c r="N284" s="1"/>
      <c r="R284" s="1"/>
      <c r="V284" s="1"/>
      <c r="AB284" s="1"/>
      <c r="AF284" s="1"/>
      <c r="AJ284" s="1"/>
      <c r="AN284" s="1"/>
      <c r="AS284" s="1"/>
      <c r="AX284" s="1"/>
      <c r="BA284" s="1"/>
      <c r="BC284" s="1"/>
      <c r="BD284" s="1"/>
      <c r="BG284" s="1"/>
      <c r="BJ284" s="1"/>
      <c r="BM284" s="1"/>
      <c r="BP284" s="1"/>
      <c r="BS284" s="1"/>
    </row>
    <row r="285" spans="1:71" x14ac:dyDescent="0.3">
      <c r="A285" s="19">
        <f t="shared" si="24"/>
        <v>46314</v>
      </c>
      <c r="B285">
        <f t="shared" ca="1" si="20"/>
        <v>-0.45</v>
      </c>
      <c r="C285" t="str">
        <f ca="1">IF(currency="USD",'Future et co'!D285,IF(currency="EUR",'Future et co'!E285,IF(currency="GBP",'Future et co'!F285,FALSE)))</f>
        <v>RFR USD</v>
      </c>
      <c r="D285" t="str">
        <f t="shared" ca="1" si="21"/>
        <v>RFR USD</v>
      </c>
      <c r="E285" t="str">
        <f t="shared" ca="1" si="22"/>
        <v>RFR EUR</v>
      </c>
      <c r="F285" t="str">
        <f t="shared" ca="1" si="23"/>
        <v>RFR GBP</v>
      </c>
      <c r="J285" s="1"/>
      <c r="N285" s="1"/>
      <c r="R285" s="1"/>
      <c r="V285" s="1"/>
      <c r="AB285" s="1"/>
      <c r="AF285" s="1"/>
      <c r="AJ285" s="1"/>
      <c r="AN285" s="1"/>
      <c r="AS285" s="1"/>
      <c r="AX285" s="1"/>
      <c r="BA285" s="1"/>
      <c r="BC285" s="1"/>
      <c r="BD285" s="1"/>
      <c r="BG285" s="1"/>
      <c r="BJ285" s="1"/>
      <c r="BM285" s="1"/>
      <c r="BP285" s="1"/>
      <c r="BS285" s="1"/>
    </row>
    <row r="286" spans="1:71" x14ac:dyDescent="0.3">
      <c r="A286" s="19">
        <f t="shared" si="24"/>
        <v>46315</v>
      </c>
      <c r="B286">
        <f t="shared" ca="1" si="20"/>
        <v>-0.45277777777777778</v>
      </c>
      <c r="C286" t="str">
        <f ca="1">IF(currency="USD",'Future et co'!D286,IF(currency="EUR",'Future et co'!E286,IF(currency="GBP",'Future et co'!F286,FALSE)))</f>
        <v>RFR USD</v>
      </c>
      <c r="D286" t="str">
        <f t="shared" ca="1" si="21"/>
        <v>RFR USD</v>
      </c>
      <c r="E286" t="str">
        <f t="shared" ca="1" si="22"/>
        <v>RFR EUR</v>
      </c>
      <c r="F286" t="str">
        <f t="shared" ca="1" si="23"/>
        <v>RFR GBP</v>
      </c>
      <c r="J286" s="1"/>
      <c r="N286" s="1"/>
      <c r="R286" s="1"/>
      <c r="V286" s="1"/>
      <c r="AB286" s="1"/>
      <c r="AF286" s="1"/>
      <c r="AJ286" s="1"/>
      <c r="AN286" s="1"/>
      <c r="AS286" s="1"/>
      <c r="AX286" s="1"/>
      <c r="BA286" s="1"/>
      <c r="BC286" s="1"/>
      <c r="BD286" s="1"/>
      <c r="BG286" s="1"/>
      <c r="BJ286" s="1"/>
      <c r="BM286" s="1"/>
      <c r="BP286" s="1"/>
      <c r="BS286" s="1"/>
    </row>
    <row r="287" spans="1:71" x14ac:dyDescent="0.3">
      <c r="A287" s="19">
        <f t="shared" si="24"/>
        <v>46316</v>
      </c>
      <c r="B287">
        <f t="shared" ca="1" si="20"/>
        <v>-0.45555555555555555</v>
      </c>
      <c r="C287" t="str">
        <f ca="1">IF(currency="USD",'Future et co'!D287,IF(currency="EUR",'Future et co'!E287,IF(currency="GBP",'Future et co'!F287,FALSE)))</f>
        <v>RFR USD</v>
      </c>
      <c r="D287" t="str">
        <f t="shared" ca="1" si="21"/>
        <v>RFR USD</v>
      </c>
      <c r="E287" t="str">
        <f t="shared" ca="1" si="22"/>
        <v>RFR EUR</v>
      </c>
      <c r="F287" t="str">
        <f t="shared" ca="1" si="23"/>
        <v>RFR GBP</v>
      </c>
      <c r="J287" s="1"/>
      <c r="N287" s="1"/>
      <c r="R287" s="1"/>
      <c r="V287" s="1"/>
      <c r="AB287" s="1"/>
      <c r="AF287" s="1"/>
      <c r="AJ287" s="1"/>
      <c r="AN287" s="1"/>
      <c r="AS287" s="1"/>
      <c r="AX287" s="1"/>
      <c r="BA287" s="1"/>
      <c r="BC287" s="1"/>
      <c r="BD287" s="1"/>
      <c r="BG287" s="1"/>
      <c r="BJ287" s="1"/>
      <c r="BM287" s="1"/>
      <c r="BP287" s="1"/>
      <c r="BS287" s="1"/>
    </row>
    <row r="288" spans="1:71" x14ac:dyDescent="0.3">
      <c r="A288" s="19">
        <f t="shared" si="24"/>
        <v>46317</v>
      </c>
      <c r="B288">
        <f t="shared" ca="1" si="20"/>
        <v>-0.45833333333333331</v>
      </c>
      <c r="C288" t="str">
        <f ca="1">IF(currency="USD",'Future et co'!D288,IF(currency="EUR",'Future et co'!E288,IF(currency="GBP",'Future et co'!F288,FALSE)))</f>
        <v>RFR USD</v>
      </c>
      <c r="D288" t="str">
        <f t="shared" ca="1" si="21"/>
        <v>RFR USD</v>
      </c>
      <c r="E288" t="str">
        <f t="shared" ca="1" si="22"/>
        <v>RFR EUR</v>
      </c>
      <c r="F288" t="str">
        <f t="shared" ca="1" si="23"/>
        <v>RFR GBP</v>
      </c>
      <c r="J288" s="1"/>
      <c r="N288" s="1"/>
      <c r="R288" s="1"/>
      <c r="V288" s="1"/>
      <c r="AB288" s="1"/>
      <c r="AF288" s="1"/>
      <c r="AJ288" s="1"/>
      <c r="AN288" s="1"/>
      <c r="AS288" s="1"/>
      <c r="AX288" s="1"/>
      <c r="BA288" s="1"/>
      <c r="BC288" s="1"/>
      <c r="BD288" s="1"/>
      <c r="BG288" s="1"/>
      <c r="BJ288" s="1"/>
      <c r="BM288" s="1"/>
      <c r="BP288" s="1"/>
      <c r="BS288" s="1"/>
    </row>
    <row r="289" spans="1:71" x14ac:dyDescent="0.3">
      <c r="A289" s="19">
        <f t="shared" si="24"/>
        <v>46318</v>
      </c>
      <c r="B289">
        <f t="shared" ca="1" si="20"/>
        <v>-0.46111111111111114</v>
      </c>
      <c r="C289" t="str">
        <f ca="1">IF(currency="USD",'Future et co'!D289,IF(currency="EUR",'Future et co'!E289,IF(currency="GBP",'Future et co'!F289,FALSE)))</f>
        <v>RFR USD</v>
      </c>
      <c r="D289" t="str">
        <f t="shared" ca="1" si="21"/>
        <v>RFR USD</v>
      </c>
      <c r="E289" t="str">
        <f t="shared" ca="1" si="22"/>
        <v>RFR EUR</v>
      </c>
      <c r="F289" t="str">
        <f t="shared" ca="1" si="23"/>
        <v>RFR GBP</v>
      </c>
      <c r="J289" s="1"/>
      <c r="N289" s="1"/>
      <c r="R289" s="1"/>
      <c r="V289" s="1"/>
      <c r="AB289" s="1"/>
      <c r="AF289" s="1"/>
      <c r="AJ289" s="1"/>
      <c r="AN289" s="1"/>
      <c r="AS289" s="1"/>
      <c r="AX289" s="1"/>
      <c r="BA289" s="1"/>
      <c r="BC289" s="1"/>
      <c r="BD289" s="1"/>
      <c r="BG289" s="1"/>
      <c r="BJ289" s="1"/>
      <c r="BM289" s="1"/>
      <c r="BP289" s="1"/>
      <c r="BS289" s="1"/>
    </row>
    <row r="290" spans="1:71" x14ac:dyDescent="0.3">
      <c r="A290" s="19">
        <f t="shared" si="24"/>
        <v>46321</v>
      </c>
      <c r="B290">
        <f t="shared" ca="1" si="20"/>
        <v>-0.46944444444444444</v>
      </c>
      <c r="C290" t="str">
        <f ca="1">IF(currency="USD",'Future et co'!D290,IF(currency="EUR",'Future et co'!E290,IF(currency="GBP",'Future et co'!F290,FALSE)))</f>
        <v>RFR USD</v>
      </c>
      <c r="D290" t="str">
        <f t="shared" ca="1" si="21"/>
        <v>RFR USD</v>
      </c>
      <c r="E290" t="str">
        <f t="shared" ca="1" si="22"/>
        <v>RFR EUR</v>
      </c>
      <c r="F290" t="str">
        <f t="shared" ca="1" si="23"/>
        <v>RFR GBP</v>
      </c>
      <c r="J290" s="1"/>
      <c r="N290" s="1"/>
      <c r="R290" s="1"/>
      <c r="V290" s="1"/>
      <c r="AB290" s="1"/>
      <c r="AF290" s="1"/>
      <c r="AJ290" s="1"/>
      <c r="AN290" s="1"/>
      <c r="AS290" s="1"/>
      <c r="AX290" s="1"/>
      <c r="BA290" s="1"/>
      <c r="BC290" s="1"/>
      <c r="BD290" s="1"/>
      <c r="BG290" s="1"/>
      <c r="BJ290" s="1"/>
      <c r="BM290" s="1"/>
      <c r="BP290" s="1"/>
      <c r="BS290" s="1"/>
    </row>
    <row r="291" spans="1:71" x14ac:dyDescent="0.3">
      <c r="A291" s="19">
        <f t="shared" si="24"/>
        <v>46322</v>
      </c>
      <c r="B291">
        <f t="shared" ca="1" si="20"/>
        <v>-0.47222222222222221</v>
      </c>
      <c r="C291" t="str">
        <f ca="1">IF(currency="USD",'Future et co'!D291,IF(currency="EUR",'Future et co'!E291,IF(currency="GBP",'Future et co'!F291,FALSE)))</f>
        <v>RFR USD</v>
      </c>
      <c r="D291" t="str">
        <f t="shared" ca="1" si="21"/>
        <v>RFR USD</v>
      </c>
      <c r="E291" t="str">
        <f t="shared" ca="1" si="22"/>
        <v>RFR EUR</v>
      </c>
      <c r="F291" t="str">
        <f t="shared" ca="1" si="23"/>
        <v>RFR GBP</v>
      </c>
      <c r="J291" s="1"/>
      <c r="N291" s="1"/>
      <c r="R291" s="1"/>
      <c r="V291" s="1"/>
      <c r="AB291" s="1"/>
      <c r="AF291" s="1"/>
      <c r="AJ291" s="1"/>
      <c r="AN291" s="1"/>
      <c r="AS291" s="1"/>
      <c r="AX291" s="1"/>
      <c r="BA291" s="1"/>
      <c r="BC291" s="1"/>
      <c r="BD291" s="1"/>
      <c r="BG291" s="1"/>
      <c r="BJ291" s="1"/>
      <c r="BM291" s="1"/>
      <c r="BP291" s="1"/>
      <c r="BS291" s="1"/>
    </row>
    <row r="292" spans="1:71" x14ac:dyDescent="0.3">
      <c r="A292" s="19">
        <f t="shared" si="24"/>
        <v>46323</v>
      </c>
      <c r="B292">
        <f t="shared" ca="1" si="20"/>
        <v>-0.47499999999999998</v>
      </c>
      <c r="C292" t="str">
        <f ca="1">IF(currency="USD",'Future et co'!D292,IF(currency="EUR",'Future et co'!E292,IF(currency="GBP",'Future et co'!F292,FALSE)))</f>
        <v>RFR USD</v>
      </c>
      <c r="D292" t="str">
        <f t="shared" ca="1" si="21"/>
        <v>RFR USD</v>
      </c>
      <c r="E292" t="str">
        <f t="shared" ca="1" si="22"/>
        <v>RFR EUR</v>
      </c>
      <c r="F292" t="str">
        <f t="shared" ca="1" si="23"/>
        <v>RFR GBP</v>
      </c>
      <c r="J292" s="1"/>
      <c r="N292" s="1"/>
      <c r="R292" s="1"/>
      <c r="V292" s="1"/>
      <c r="AB292" s="1"/>
      <c r="AF292" s="1"/>
      <c r="AJ292" s="1"/>
      <c r="AN292" s="1"/>
      <c r="AS292" s="1"/>
      <c r="AX292" s="1"/>
      <c r="BA292" s="1"/>
      <c r="BC292" s="1"/>
      <c r="BD292" s="1"/>
      <c r="BG292" s="1"/>
      <c r="BJ292" s="1"/>
      <c r="BM292" s="1"/>
      <c r="BP292" s="1"/>
      <c r="BS292" s="1"/>
    </row>
    <row r="293" spans="1:71" x14ac:dyDescent="0.3">
      <c r="A293" s="19">
        <f t="shared" si="24"/>
        <v>46324</v>
      </c>
      <c r="B293">
        <f t="shared" ca="1" si="20"/>
        <v>-0.4777777777777778</v>
      </c>
      <c r="C293" t="str">
        <f ca="1">IF(currency="USD",'Future et co'!D293,IF(currency="EUR",'Future et co'!E293,IF(currency="GBP",'Future et co'!F293,FALSE)))</f>
        <v>RFR USD</v>
      </c>
      <c r="D293" t="str">
        <f t="shared" ca="1" si="21"/>
        <v>RFR USD</v>
      </c>
      <c r="E293" t="str">
        <f t="shared" ca="1" si="22"/>
        <v>RFR EUR</v>
      </c>
      <c r="F293" t="str">
        <f t="shared" ca="1" si="23"/>
        <v>RFR GBP</v>
      </c>
      <c r="J293" s="1"/>
      <c r="N293" s="1"/>
      <c r="R293" s="1"/>
      <c r="V293" s="1"/>
      <c r="AB293" s="1"/>
      <c r="AF293" s="1"/>
      <c r="AJ293" s="1"/>
      <c r="AN293" s="1"/>
      <c r="AS293" s="1"/>
      <c r="AX293" s="1"/>
      <c r="BA293" s="1"/>
      <c r="BC293" s="1"/>
      <c r="BD293" s="1"/>
      <c r="BG293" s="1"/>
      <c r="BJ293" s="1"/>
      <c r="BM293" s="1"/>
      <c r="BP293" s="1"/>
      <c r="BS293" s="1"/>
    </row>
    <row r="294" spans="1:71" x14ac:dyDescent="0.3">
      <c r="A294" s="19">
        <f t="shared" si="24"/>
        <v>46325</v>
      </c>
      <c r="B294">
        <f t="shared" ca="1" si="20"/>
        <v>-0.48055555555555557</v>
      </c>
      <c r="C294" t="str">
        <f ca="1">IF(currency="USD",'Future et co'!D294,IF(currency="EUR",'Future et co'!E294,IF(currency="GBP",'Future et co'!F294,FALSE)))</f>
        <v>RFR USD</v>
      </c>
      <c r="D294" t="str">
        <f t="shared" ca="1" si="21"/>
        <v>RFR USD</v>
      </c>
      <c r="E294" t="str">
        <f t="shared" ca="1" si="22"/>
        <v>RFR EUR</v>
      </c>
      <c r="F294" t="str">
        <f t="shared" ca="1" si="23"/>
        <v>RFR GBP</v>
      </c>
      <c r="J294" s="1"/>
      <c r="N294" s="1"/>
      <c r="R294" s="1"/>
      <c r="V294" s="1"/>
      <c r="AB294" s="1"/>
      <c r="AF294" s="1"/>
      <c r="AJ294" s="1"/>
      <c r="AN294" s="1"/>
      <c r="AS294" s="1"/>
      <c r="AX294" s="1"/>
      <c r="BA294" s="1"/>
      <c r="BC294" s="1"/>
      <c r="BD294" s="1"/>
      <c r="BG294" s="1"/>
      <c r="BJ294" s="1"/>
      <c r="BM294" s="1"/>
      <c r="BP294" s="1"/>
      <c r="BS294" s="1"/>
    </row>
    <row r="295" spans="1:71" x14ac:dyDescent="0.3">
      <c r="A295" s="19">
        <f t="shared" si="24"/>
        <v>46328</v>
      </c>
      <c r="B295">
        <f t="shared" ca="1" si="20"/>
        <v>-0.48888888888888887</v>
      </c>
      <c r="C295" t="str">
        <f ca="1">IF(currency="USD",'Future et co'!D295,IF(currency="EUR",'Future et co'!E295,IF(currency="GBP",'Future et co'!F295,FALSE)))</f>
        <v>RFR USD</v>
      </c>
      <c r="D295" t="str">
        <f t="shared" ca="1" si="21"/>
        <v>RFR USD</v>
      </c>
      <c r="E295" t="str">
        <f t="shared" ca="1" si="22"/>
        <v>RFR EUR</v>
      </c>
      <c r="F295" t="str">
        <f t="shared" ca="1" si="23"/>
        <v>RFR GBP</v>
      </c>
      <c r="J295" s="1"/>
      <c r="N295" s="1"/>
      <c r="R295" s="1"/>
      <c r="V295" s="1"/>
      <c r="AB295" s="1"/>
      <c r="AF295" s="1"/>
      <c r="AJ295" s="1"/>
      <c r="AN295" s="1"/>
      <c r="AS295" s="1"/>
      <c r="AX295" s="1"/>
      <c r="BA295" s="1"/>
      <c r="BC295" s="1"/>
      <c r="BD295" s="1"/>
      <c r="BG295" s="1"/>
      <c r="BJ295" s="1"/>
      <c r="BM295" s="1"/>
      <c r="BP295" s="1"/>
      <c r="BS295" s="1"/>
    </row>
    <row r="296" spans="1:71" x14ac:dyDescent="0.3">
      <c r="A296" s="19">
        <f t="shared" si="24"/>
        <v>46329</v>
      </c>
      <c r="B296">
        <f t="shared" ca="1" si="20"/>
        <v>-0.49166666666666664</v>
      </c>
      <c r="C296" t="str">
        <f ca="1">IF(currency="USD",'Future et co'!D296,IF(currency="EUR",'Future et co'!E296,IF(currency="GBP",'Future et co'!F296,FALSE)))</f>
        <v>RFR USD</v>
      </c>
      <c r="D296" t="str">
        <f t="shared" ca="1" si="21"/>
        <v>RFR USD</v>
      </c>
      <c r="E296" t="str">
        <f t="shared" ca="1" si="22"/>
        <v>RFR EUR</v>
      </c>
      <c r="F296" t="str">
        <f t="shared" ca="1" si="23"/>
        <v>RFR GBP</v>
      </c>
      <c r="J296" s="1"/>
      <c r="N296" s="1"/>
      <c r="R296" s="1"/>
      <c r="V296" s="1"/>
      <c r="AB296" s="1"/>
      <c r="AF296" s="1"/>
      <c r="AJ296" s="1"/>
      <c r="AN296" s="1"/>
      <c r="AS296" s="1"/>
      <c r="AX296" s="1"/>
      <c r="BA296" s="1"/>
      <c r="BC296" s="1"/>
      <c r="BD296" s="1"/>
      <c r="BG296" s="1"/>
      <c r="BJ296" s="1"/>
      <c r="BM296" s="1"/>
      <c r="BP296" s="1"/>
      <c r="BS296" s="1"/>
    </row>
    <row r="297" spans="1:71" x14ac:dyDescent="0.3">
      <c r="A297" s="19">
        <f t="shared" si="24"/>
        <v>46330</v>
      </c>
      <c r="B297">
        <f t="shared" ca="1" si="20"/>
        <v>-0.49444444444444446</v>
      </c>
      <c r="C297" t="str">
        <f ca="1">IF(currency="USD",'Future et co'!D297,IF(currency="EUR",'Future et co'!E297,IF(currency="GBP",'Future et co'!F297,FALSE)))</f>
        <v>RFR USD</v>
      </c>
      <c r="D297" t="str">
        <f t="shared" ca="1" si="21"/>
        <v>RFR USD</v>
      </c>
      <c r="E297" t="str">
        <f t="shared" ca="1" si="22"/>
        <v>RFR EUR</v>
      </c>
      <c r="F297" t="str">
        <f t="shared" ca="1" si="23"/>
        <v>RFR GBP</v>
      </c>
      <c r="J297" s="1"/>
      <c r="N297" s="1"/>
      <c r="R297" s="1"/>
      <c r="V297" s="1"/>
      <c r="AB297" s="1"/>
      <c r="AF297" s="1"/>
      <c r="AJ297" s="1"/>
      <c r="AN297" s="1"/>
      <c r="AS297" s="1"/>
      <c r="AX297" s="1"/>
      <c r="BA297" s="1"/>
      <c r="BC297" s="1"/>
      <c r="BD297" s="1"/>
      <c r="BG297" s="1"/>
      <c r="BJ297" s="1"/>
      <c r="BM297" s="1"/>
      <c r="BP297" s="1"/>
      <c r="BS297" s="1"/>
    </row>
    <row r="298" spans="1:71" x14ac:dyDescent="0.3">
      <c r="A298" s="19">
        <f t="shared" si="24"/>
        <v>46331</v>
      </c>
      <c r="B298">
        <f t="shared" ca="1" si="20"/>
        <v>-0.49722222222222223</v>
      </c>
      <c r="C298" t="str">
        <f ca="1">IF(currency="USD",'Future et co'!D298,IF(currency="EUR",'Future et co'!E298,IF(currency="GBP",'Future et co'!F298,FALSE)))</f>
        <v>RFR USD</v>
      </c>
      <c r="D298" t="str">
        <f t="shared" ca="1" si="21"/>
        <v>RFR USD</v>
      </c>
      <c r="E298" t="str">
        <f t="shared" ca="1" si="22"/>
        <v>RFR EUR</v>
      </c>
      <c r="F298" t="str">
        <f t="shared" ca="1" si="23"/>
        <v>RFR GBP</v>
      </c>
      <c r="J298" s="1"/>
      <c r="N298" s="1"/>
      <c r="R298" s="1"/>
      <c r="V298" s="1"/>
      <c r="AB298" s="1"/>
      <c r="AF298" s="1"/>
      <c r="AJ298" s="1"/>
      <c r="AN298" s="1"/>
      <c r="AS298" s="1"/>
      <c r="AX298" s="1"/>
      <c r="BA298" s="1"/>
      <c r="BC298" s="1"/>
      <c r="BD298" s="1"/>
      <c r="BG298" s="1"/>
      <c r="BJ298" s="1"/>
      <c r="BM298" s="1"/>
      <c r="BP298" s="1"/>
      <c r="BS298" s="1"/>
    </row>
    <row r="299" spans="1:71" x14ac:dyDescent="0.3">
      <c r="A299" s="19">
        <f t="shared" si="24"/>
        <v>46332</v>
      </c>
      <c r="B299">
        <f t="shared" ca="1" si="20"/>
        <v>-0.5</v>
      </c>
      <c r="C299" t="str">
        <f ca="1">IF(currency="USD",'Future et co'!D299,IF(currency="EUR",'Future et co'!E299,IF(currency="GBP",'Future et co'!F299,FALSE)))</f>
        <v>RFR USD</v>
      </c>
      <c r="D299" t="str">
        <f t="shared" ca="1" si="21"/>
        <v>RFR USD</v>
      </c>
      <c r="E299" t="str">
        <f t="shared" ca="1" si="22"/>
        <v>RFR EUR</v>
      </c>
      <c r="F299" t="str">
        <f t="shared" ca="1" si="23"/>
        <v>RFR GBP</v>
      </c>
      <c r="J299" s="1"/>
      <c r="N299" s="1"/>
      <c r="R299" s="1"/>
      <c r="V299" s="1"/>
      <c r="AB299" s="1"/>
      <c r="AF299" s="1"/>
      <c r="AJ299" s="1"/>
      <c r="AN299" s="1"/>
      <c r="AS299" s="1"/>
      <c r="AX299" s="1"/>
      <c r="BA299" s="1"/>
      <c r="BC299" s="1"/>
      <c r="BD299" s="1"/>
      <c r="BG299" s="1"/>
      <c r="BJ299" s="1"/>
      <c r="BM299" s="1"/>
      <c r="BP299" s="1"/>
      <c r="BS299" s="1"/>
    </row>
    <row r="300" spans="1:71" x14ac:dyDescent="0.3">
      <c r="A300" s="19">
        <f t="shared" si="24"/>
        <v>46335</v>
      </c>
      <c r="B300">
        <f t="shared" ca="1" si="20"/>
        <v>-0.5083333333333333</v>
      </c>
      <c r="C300" t="str">
        <f ca="1">IF(currency="USD",'Future et co'!D300,IF(currency="EUR",'Future et co'!E300,IF(currency="GBP",'Future et co'!F300,FALSE)))</f>
        <v>RFR USD</v>
      </c>
      <c r="D300" t="str">
        <f t="shared" ca="1" si="21"/>
        <v>RFR USD</v>
      </c>
      <c r="E300" t="str">
        <f t="shared" ca="1" si="22"/>
        <v>RFR EUR</v>
      </c>
      <c r="F300" t="str">
        <f t="shared" ca="1" si="23"/>
        <v>RFR GBP</v>
      </c>
      <c r="J300" s="1"/>
      <c r="N300" s="1"/>
      <c r="R300" s="1"/>
      <c r="V300" s="1"/>
      <c r="AB300" s="1"/>
      <c r="AF300" s="1"/>
      <c r="AJ300" s="1"/>
      <c r="AN300" s="1"/>
      <c r="AS300" s="1"/>
      <c r="AX300" s="1"/>
      <c r="BA300" s="1"/>
      <c r="BC300" s="1"/>
      <c r="BD300" s="1"/>
      <c r="BG300" s="1"/>
      <c r="BJ300" s="1"/>
      <c r="BM300" s="1"/>
      <c r="BP300" s="1"/>
      <c r="BS300" s="1"/>
    </row>
    <row r="301" spans="1:71" x14ac:dyDescent="0.3">
      <c r="A301" s="19">
        <f t="shared" si="24"/>
        <v>46336</v>
      </c>
      <c r="B301">
        <f t="shared" ca="1" si="20"/>
        <v>-0.51111111111111107</v>
      </c>
      <c r="C301" t="str">
        <f ca="1">IF(currency="USD",'Future et co'!D301,IF(currency="EUR",'Future et co'!E301,IF(currency="GBP",'Future et co'!F301,FALSE)))</f>
        <v>RFR USD</v>
      </c>
      <c r="D301" t="str">
        <f t="shared" ca="1" si="21"/>
        <v>RFR USD</v>
      </c>
      <c r="E301" t="str">
        <f t="shared" ca="1" si="22"/>
        <v>RFR EUR</v>
      </c>
      <c r="F301" t="str">
        <f t="shared" ca="1" si="23"/>
        <v>RFR GBP</v>
      </c>
      <c r="J301" s="1"/>
      <c r="N301" s="1"/>
      <c r="R301" s="1"/>
      <c r="V301" s="1"/>
      <c r="AB301" s="1"/>
      <c r="AF301" s="1"/>
      <c r="AJ301" s="1"/>
      <c r="AN301" s="1"/>
      <c r="AS301" s="1"/>
      <c r="AX301" s="1"/>
      <c r="BA301" s="1"/>
      <c r="BC301" s="1"/>
      <c r="BD301" s="1"/>
      <c r="BG301" s="1"/>
      <c r="BJ301" s="1"/>
      <c r="BM301" s="1"/>
      <c r="BP301" s="1"/>
      <c r="BS301" s="1"/>
    </row>
    <row r="302" spans="1:71" x14ac:dyDescent="0.3">
      <c r="A302" s="19">
        <f t="shared" si="24"/>
        <v>46337</v>
      </c>
      <c r="B302">
        <f t="shared" ca="1" si="20"/>
        <v>-0.51388888888888884</v>
      </c>
      <c r="C302" t="str">
        <f ca="1">IF(currency="USD",'Future et co'!D302,IF(currency="EUR",'Future et co'!E302,IF(currency="GBP",'Future et co'!F302,FALSE)))</f>
        <v>RFR USD</v>
      </c>
      <c r="D302" t="str">
        <f t="shared" ca="1" si="21"/>
        <v>RFR USD</v>
      </c>
      <c r="E302" t="str">
        <f t="shared" ca="1" si="22"/>
        <v>RFR EUR</v>
      </c>
      <c r="F302" t="str">
        <f t="shared" ca="1" si="23"/>
        <v>RFR GBP</v>
      </c>
      <c r="J302" s="1"/>
      <c r="N302" s="1"/>
      <c r="R302" s="1"/>
      <c r="V302" s="1"/>
      <c r="AB302" s="1"/>
      <c r="AF302" s="1"/>
      <c r="AJ302" s="1"/>
      <c r="AN302" s="1"/>
      <c r="AS302" s="1"/>
      <c r="AX302" s="1"/>
      <c r="BA302" s="1"/>
      <c r="BC302" s="1"/>
      <c r="BD302" s="1"/>
      <c r="BG302" s="1"/>
      <c r="BJ302" s="1"/>
      <c r="BM302" s="1"/>
      <c r="BP302" s="1"/>
      <c r="BS302" s="1"/>
    </row>
    <row r="303" spans="1:71" x14ac:dyDescent="0.3">
      <c r="A303" s="19">
        <f t="shared" si="24"/>
        <v>46338</v>
      </c>
      <c r="B303">
        <f t="shared" ca="1" si="20"/>
        <v>-0.51666666666666672</v>
      </c>
      <c r="C303" t="str">
        <f ca="1">IF(currency="USD",'Future et co'!D303,IF(currency="EUR",'Future et co'!E303,IF(currency="GBP",'Future et co'!F303,FALSE)))</f>
        <v>RFR USD</v>
      </c>
      <c r="D303" t="str">
        <f t="shared" ca="1" si="21"/>
        <v>RFR USD</v>
      </c>
      <c r="E303" t="str">
        <f t="shared" ca="1" si="22"/>
        <v>RFR EUR</v>
      </c>
      <c r="F303" t="str">
        <f t="shared" ca="1" si="23"/>
        <v>RFR GBP</v>
      </c>
      <c r="J303" s="1"/>
      <c r="N303" s="1"/>
      <c r="R303" s="1"/>
      <c r="V303" s="1"/>
      <c r="AB303" s="1"/>
      <c r="AF303" s="1"/>
      <c r="AJ303" s="1"/>
      <c r="AN303" s="1"/>
      <c r="AS303" s="1"/>
      <c r="AX303" s="1"/>
      <c r="BA303" s="1"/>
      <c r="BC303" s="1"/>
      <c r="BD303" s="1"/>
      <c r="BG303" s="1"/>
      <c r="BJ303" s="1"/>
      <c r="BM303" s="1"/>
      <c r="BP303" s="1"/>
      <c r="BS303" s="1"/>
    </row>
    <row r="304" spans="1:71" x14ac:dyDescent="0.3">
      <c r="A304" s="19">
        <f t="shared" si="24"/>
        <v>46339</v>
      </c>
      <c r="B304">
        <f t="shared" ca="1" si="20"/>
        <v>-0.51944444444444449</v>
      </c>
      <c r="C304" t="str">
        <f ca="1">IF(currency="USD",'Future et co'!D304,IF(currency="EUR",'Future et co'!E304,IF(currency="GBP",'Future et co'!F304,FALSE)))</f>
        <v>RFR USD</v>
      </c>
      <c r="D304" t="str">
        <f t="shared" ca="1" si="21"/>
        <v>RFR USD</v>
      </c>
      <c r="E304" t="str">
        <f t="shared" ca="1" si="22"/>
        <v>RFR EUR</v>
      </c>
      <c r="F304" t="str">
        <f t="shared" ca="1" si="23"/>
        <v>RFR GBP</v>
      </c>
      <c r="J304" s="1"/>
      <c r="N304" s="1"/>
      <c r="R304" s="1"/>
      <c r="V304" s="1"/>
      <c r="AB304" s="1"/>
      <c r="AF304" s="1"/>
      <c r="AJ304" s="1"/>
      <c r="AN304" s="1"/>
      <c r="AS304" s="1"/>
      <c r="AX304" s="1"/>
      <c r="BA304" s="1"/>
      <c r="BC304" s="1"/>
      <c r="BD304" s="1"/>
      <c r="BG304" s="1"/>
      <c r="BJ304" s="1"/>
      <c r="BM304" s="1"/>
      <c r="BP304" s="1"/>
      <c r="BS304" s="1"/>
    </row>
    <row r="305" spans="1:71" x14ac:dyDescent="0.3">
      <c r="A305" s="19">
        <f t="shared" si="24"/>
        <v>46342</v>
      </c>
      <c r="B305">
        <f t="shared" ca="1" si="20"/>
        <v>-0.52777777777777779</v>
      </c>
      <c r="C305" t="str">
        <f ca="1">IF(currency="USD",'Future et co'!D305,IF(currency="EUR",'Future et co'!E305,IF(currency="GBP",'Future et co'!F305,FALSE)))</f>
        <v>RFR USD</v>
      </c>
      <c r="D305" t="str">
        <f t="shared" ca="1" si="21"/>
        <v>RFR USD</v>
      </c>
      <c r="E305" t="str">
        <f t="shared" ca="1" si="22"/>
        <v>RFR EUR</v>
      </c>
      <c r="F305" t="str">
        <f t="shared" ca="1" si="23"/>
        <v>RFR GBP</v>
      </c>
      <c r="J305" s="1"/>
      <c r="N305" s="1"/>
      <c r="R305" s="1"/>
      <c r="V305" s="1"/>
      <c r="AB305" s="1"/>
      <c r="AF305" s="1"/>
      <c r="AJ305" s="1"/>
      <c r="AN305" s="1"/>
      <c r="AS305" s="1"/>
      <c r="AX305" s="1"/>
      <c r="BA305" s="1"/>
      <c r="BC305" s="1"/>
      <c r="BD305" s="1"/>
      <c r="BG305" s="1"/>
      <c r="BJ305" s="1"/>
      <c r="BM305" s="1"/>
      <c r="BP305" s="1"/>
      <c r="BS305" s="1"/>
    </row>
    <row r="306" spans="1:71" x14ac:dyDescent="0.3">
      <c r="A306" s="19">
        <f t="shared" si="24"/>
        <v>46343</v>
      </c>
      <c r="B306">
        <f t="shared" ca="1" si="20"/>
        <v>-0.53055555555555556</v>
      </c>
      <c r="C306" t="str">
        <f ca="1">IF(currency="USD",'Future et co'!D306,IF(currency="EUR",'Future et co'!E306,IF(currency="GBP",'Future et co'!F306,FALSE)))</f>
        <v>RFR USD</v>
      </c>
      <c r="D306" t="str">
        <f t="shared" ca="1" si="21"/>
        <v>RFR USD</v>
      </c>
      <c r="E306" t="str">
        <f t="shared" ca="1" si="22"/>
        <v>RFR EUR</v>
      </c>
      <c r="F306" t="str">
        <f t="shared" ca="1" si="23"/>
        <v>RFR GBP</v>
      </c>
      <c r="J306" s="1"/>
      <c r="N306" s="1"/>
      <c r="R306" s="1"/>
      <c r="V306" s="1"/>
      <c r="AB306" s="1"/>
      <c r="AF306" s="1"/>
      <c r="AJ306" s="1"/>
      <c r="AN306" s="1"/>
      <c r="AS306" s="1"/>
      <c r="AX306" s="1"/>
      <c r="BA306" s="1"/>
      <c r="BC306" s="1"/>
      <c r="BD306" s="1"/>
      <c r="BG306" s="1"/>
      <c r="BJ306" s="1"/>
      <c r="BM306" s="1"/>
      <c r="BP306" s="1"/>
      <c r="BS306" s="1"/>
    </row>
    <row r="307" spans="1:71" x14ac:dyDescent="0.3">
      <c r="A307" s="19">
        <f t="shared" si="24"/>
        <v>46344</v>
      </c>
      <c r="B307">
        <f t="shared" ca="1" si="20"/>
        <v>-0.53333333333333333</v>
      </c>
      <c r="C307" t="str">
        <f ca="1">IF(currency="USD",'Future et co'!D307,IF(currency="EUR",'Future et co'!E307,IF(currency="GBP",'Future et co'!F307,FALSE)))</f>
        <v>RFR USD</v>
      </c>
      <c r="D307" t="str">
        <f t="shared" ca="1" si="21"/>
        <v>RFR USD</v>
      </c>
      <c r="E307" t="str">
        <f t="shared" ca="1" si="22"/>
        <v>RFR EUR</v>
      </c>
      <c r="F307" t="str">
        <f t="shared" ca="1" si="23"/>
        <v>RFR GBP</v>
      </c>
      <c r="J307" s="1"/>
      <c r="N307" s="1"/>
      <c r="R307" s="1"/>
      <c r="V307" s="1"/>
      <c r="AB307" s="1"/>
      <c r="AF307" s="1"/>
      <c r="AJ307" s="1"/>
      <c r="AN307" s="1"/>
      <c r="AS307" s="1"/>
      <c r="AX307" s="1"/>
      <c r="BA307" s="1"/>
      <c r="BC307" s="1"/>
      <c r="BD307" s="1"/>
      <c r="BG307" s="1"/>
      <c r="BJ307" s="1"/>
      <c r="BM307" s="1"/>
      <c r="BP307" s="1"/>
      <c r="BS307" s="1"/>
    </row>
    <row r="308" spans="1:71" x14ac:dyDescent="0.3">
      <c r="A308" s="19">
        <f t="shared" si="24"/>
        <v>46345</v>
      </c>
      <c r="B308">
        <f t="shared" ca="1" si="20"/>
        <v>-0.53611111111111109</v>
      </c>
      <c r="C308" t="str">
        <f ca="1">IF(currency="USD",'Future et co'!D308,IF(currency="EUR",'Future et co'!E308,IF(currency="GBP",'Future et co'!F308,FALSE)))</f>
        <v>RFR USD</v>
      </c>
      <c r="D308" t="str">
        <f t="shared" ca="1" si="21"/>
        <v>RFR USD</v>
      </c>
      <c r="E308" t="str">
        <f t="shared" ca="1" si="22"/>
        <v>RFR EUR</v>
      </c>
      <c r="F308" t="str">
        <f t="shared" ca="1" si="23"/>
        <v>RFR GBP</v>
      </c>
      <c r="J308" s="1"/>
      <c r="N308" s="1"/>
      <c r="R308" s="1"/>
      <c r="V308" s="1"/>
      <c r="AB308" s="1"/>
      <c r="AF308" s="1"/>
      <c r="AJ308" s="1"/>
      <c r="AN308" s="1"/>
      <c r="AS308" s="1"/>
      <c r="AX308" s="1"/>
      <c r="BA308" s="1"/>
      <c r="BC308" s="1"/>
      <c r="BD308" s="1"/>
      <c r="BG308" s="1"/>
      <c r="BJ308" s="1"/>
      <c r="BM308" s="1"/>
      <c r="BP308" s="1"/>
      <c r="BS308" s="1"/>
    </row>
    <row r="309" spans="1:71" x14ac:dyDescent="0.3">
      <c r="A309" s="19">
        <f t="shared" si="24"/>
        <v>46346</v>
      </c>
      <c r="B309">
        <f t="shared" ca="1" si="20"/>
        <v>-0.53888888888888886</v>
      </c>
      <c r="C309" t="str">
        <f ca="1">IF(currency="USD",'Future et co'!D309,IF(currency="EUR",'Future et co'!E309,IF(currency="GBP",'Future et co'!F309,FALSE)))</f>
        <v>RFR USD</v>
      </c>
      <c r="D309" t="str">
        <f t="shared" ca="1" si="21"/>
        <v>RFR USD</v>
      </c>
      <c r="E309" t="str">
        <f t="shared" ca="1" si="22"/>
        <v>RFR EUR</v>
      </c>
      <c r="F309" t="str">
        <f t="shared" ca="1" si="23"/>
        <v>RFR GBP</v>
      </c>
      <c r="J309" s="1"/>
      <c r="N309" s="1"/>
      <c r="R309" s="1"/>
      <c r="V309" s="1"/>
      <c r="AB309" s="1"/>
      <c r="AF309" s="1"/>
      <c r="AJ309" s="1"/>
      <c r="AN309" s="1"/>
      <c r="AS309" s="1"/>
      <c r="AX309" s="1"/>
      <c r="BA309" s="1"/>
      <c r="BC309" s="1"/>
      <c r="BD309" s="1"/>
      <c r="BG309" s="1"/>
      <c r="BJ309" s="1"/>
      <c r="BM309" s="1"/>
      <c r="BP309" s="1"/>
      <c r="BS309" s="1"/>
    </row>
    <row r="310" spans="1:71" x14ac:dyDescent="0.3">
      <c r="A310" s="19">
        <f t="shared" si="24"/>
        <v>46349</v>
      </c>
      <c r="B310">
        <f t="shared" ca="1" si="20"/>
        <v>-0.54722222222222228</v>
      </c>
      <c r="C310" t="str">
        <f ca="1">IF(currency="USD",'Future et co'!D310,IF(currency="EUR",'Future et co'!E310,IF(currency="GBP",'Future et co'!F310,FALSE)))</f>
        <v>RFR USD</v>
      </c>
      <c r="D310" t="str">
        <f t="shared" ca="1" si="21"/>
        <v>RFR USD</v>
      </c>
      <c r="E310" t="str">
        <f t="shared" ca="1" si="22"/>
        <v>RFR EUR</v>
      </c>
      <c r="F310" t="str">
        <f t="shared" ca="1" si="23"/>
        <v>RFR GBP</v>
      </c>
      <c r="J310" s="1"/>
      <c r="N310" s="1"/>
      <c r="R310" s="1"/>
      <c r="V310" s="1"/>
      <c r="AB310" s="1"/>
      <c r="AF310" s="1"/>
      <c r="AJ310" s="1"/>
      <c r="AN310" s="1"/>
      <c r="AS310" s="1"/>
      <c r="AX310" s="1"/>
      <c r="BA310" s="1"/>
      <c r="BC310" s="1"/>
      <c r="BD310" s="1"/>
      <c r="BG310" s="1"/>
      <c r="BJ310" s="1"/>
      <c r="BM310" s="1"/>
      <c r="BP310" s="1"/>
      <c r="BS310" s="1"/>
    </row>
    <row r="311" spans="1:71" x14ac:dyDescent="0.3">
      <c r="A311" s="19">
        <f t="shared" si="24"/>
        <v>46350</v>
      </c>
      <c r="B311">
        <f t="shared" ca="1" si="20"/>
        <v>-0.55000000000000004</v>
      </c>
      <c r="C311" t="str">
        <f ca="1">IF(currency="USD",'Future et co'!D311,IF(currency="EUR",'Future et co'!E311,IF(currency="GBP",'Future et co'!F311,FALSE)))</f>
        <v>RFR USD</v>
      </c>
      <c r="D311" t="str">
        <f t="shared" ca="1" si="21"/>
        <v>RFR USD</v>
      </c>
      <c r="E311" t="str">
        <f t="shared" ca="1" si="22"/>
        <v>RFR EUR</v>
      </c>
      <c r="F311" t="str">
        <f t="shared" ca="1" si="23"/>
        <v>RFR GBP</v>
      </c>
      <c r="J311" s="1"/>
      <c r="N311" s="1"/>
      <c r="R311" s="1"/>
      <c r="V311" s="1"/>
      <c r="AB311" s="1"/>
      <c r="AF311" s="1"/>
      <c r="AJ311" s="1"/>
      <c r="AN311" s="1"/>
      <c r="AS311" s="1"/>
      <c r="AX311" s="1"/>
      <c r="BA311" s="1"/>
      <c r="BC311" s="1"/>
      <c r="BD311" s="1"/>
      <c r="BG311" s="1"/>
      <c r="BJ311" s="1"/>
      <c r="BM311" s="1"/>
      <c r="BP311" s="1"/>
      <c r="BS311" s="1"/>
    </row>
    <row r="312" spans="1:71" x14ac:dyDescent="0.3">
      <c r="A312" s="19">
        <f t="shared" si="24"/>
        <v>46351</v>
      </c>
      <c r="B312">
        <f t="shared" ca="1" si="20"/>
        <v>-0.55277777777777781</v>
      </c>
      <c r="C312" t="str">
        <f ca="1">IF(currency="USD",'Future et co'!D312,IF(currency="EUR",'Future et co'!E312,IF(currency="GBP",'Future et co'!F312,FALSE)))</f>
        <v>RFR USD</v>
      </c>
      <c r="D312" t="str">
        <f t="shared" ca="1" si="21"/>
        <v>RFR USD</v>
      </c>
      <c r="E312" t="str">
        <f t="shared" ca="1" si="22"/>
        <v>RFR EUR</v>
      </c>
      <c r="F312" t="str">
        <f t="shared" ca="1" si="23"/>
        <v>RFR GBP</v>
      </c>
      <c r="J312" s="1"/>
      <c r="N312" s="1"/>
      <c r="R312" s="1"/>
      <c r="V312" s="1"/>
      <c r="AB312" s="1"/>
      <c r="AF312" s="1"/>
      <c r="AJ312" s="1"/>
      <c r="AN312" s="1"/>
      <c r="AS312" s="1"/>
      <c r="AX312" s="1"/>
      <c r="BA312" s="1"/>
      <c r="BC312" s="1"/>
      <c r="BD312" s="1"/>
      <c r="BG312" s="1"/>
      <c r="BJ312" s="1"/>
      <c r="BM312" s="1"/>
      <c r="BP312" s="1"/>
      <c r="BS312" s="1"/>
    </row>
    <row r="313" spans="1:71" x14ac:dyDescent="0.3">
      <c r="A313" s="19">
        <f t="shared" si="24"/>
        <v>46352</v>
      </c>
      <c r="B313">
        <f t="shared" ca="1" si="20"/>
        <v>-0.55555555555555558</v>
      </c>
      <c r="C313" t="str">
        <f ca="1">IF(currency="USD",'Future et co'!D313,IF(currency="EUR",'Future et co'!E313,IF(currency="GBP",'Future et co'!F313,FALSE)))</f>
        <v>RFR USD</v>
      </c>
      <c r="D313" t="str">
        <f t="shared" ca="1" si="21"/>
        <v>RFR USD</v>
      </c>
      <c r="E313" t="str">
        <f t="shared" ca="1" si="22"/>
        <v>RFR EUR</v>
      </c>
      <c r="F313" t="str">
        <f t="shared" ca="1" si="23"/>
        <v>RFR GBP</v>
      </c>
      <c r="J313" s="1"/>
      <c r="N313" s="1"/>
      <c r="R313" s="1"/>
      <c r="V313" s="1"/>
      <c r="AB313" s="1"/>
      <c r="AF313" s="1"/>
      <c r="AJ313" s="1"/>
      <c r="AN313" s="1"/>
      <c r="AS313" s="1"/>
      <c r="AX313" s="1"/>
      <c r="BA313" s="1"/>
      <c r="BC313" s="1"/>
      <c r="BD313" s="1"/>
      <c r="BG313" s="1"/>
      <c r="BJ313" s="1"/>
      <c r="BM313" s="1"/>
      <c r="BP313" s="1"/>
      <c r="BS313" s="1"/>
    </row>
    <row r="314" spans="1:71" x14ac:dyDescent="0.3">
      <c r="A314" s="19">
        <f t="shared" si="24"/>
        <v>46353</v>
      </c>
      <c r="B314">
        <f t="shared" ca="1" si="20"/>
        <v>-0.55833333333333335</v>
      </c>
      <c r="C314" t="str">
        <f ca="1">IF(currency="USD",'Future et co'!D314,IF(currency="EUR",'Future et co'!E314,IF(currency="GBP",'Future et co'!F314,FALSE)))</f>
        <v>RFR USD</v>
      </c>
      <c r="D314" t="str">
        <f t="shared" ca="1" si="21"/>
        <v>RFR USD</v>
      </c>
      <c r="E314" t="str">
        <f t="shared" ca="1" si="22"/>
        <v>RFR EUR</v>
      </c>
      <c r="F314" t="str">
        <f t="shared" ca="1" si="23"/>
        <v>RFR GBP</v>
      </c>
      <c r="J314" s="1"/>
      <c r="N314" s="1"/>
      <c r="R314" s="1"/>
      <c r="V314" s="1"/>
      <c r="AB314" s="1"/>
      <c r="AF314" s="1"/>
      <c r="AJ314" s="1"/>
      <c r="AN314" s="1"/>
      <c r="AS314" s="1"/>
      <c r="AX314" s="1"/>
      <c r="BA314" s="1"/>
      <c r="BC314" s="1"/>
      <c r="BD314" s="1"/>
      <c r="BG314" s="1"/>
      <c r="BJ314" s="1"/>
      <c r="BM314" s="1"/>
      <c r="BP314" s="1"/>
      <c r="BS314" s="1"/>
    </row>
    <row r="315" spans="1:71" x14ac:dyDescent="0.3">
      <c r="A315" s="19">
        <f t="shared" si="24"/>
        <v>46356</v>
      </c>
      <c r="B315">
        <f t="shared" ca="1" si="20"/>
        <v>-0.56666666666666665</v>
      </c>
      <c r="C315" t="str">
        <f ca="1">IF(currency="USD",'Future et co'!D315,IF(currency="EUR",'Future et co'!E315,IF(currency="GBP",'Future et co'!F315,FALSE)))</f>
        <v>RFR USD</v>
      </c>
      <c r="D315" t="str">
        <f t="shared" ca="1" si="21"/>
        <v>RFR USD</v>
      </c>
      <c r="E315" t="str">
        <f t="shared" ca="1" si="22"/>
        <v>RFR EUR</v>
      </c>
      <c r="F315" t="str">
        <f t="shared" ca="1" si="23"/>
        <v>RFR GBP</v>
      </c>
      <c r="J315" s="1"/>
      <c r="N315" s="1"/>
      <c r="R315" s="1"/>
      <c r="V315" s="1"/>
      <c r="AB315" s="1"/>
      <c r="AF315" s="1"/>
      <c r="AJ315" s="1"/>
      <c r="AN315" s="1"/>
      <c r="AS315" s="1"/>
      <c r="AX315" s="1"/>
      <c r="BA315" s="1"/>
      <c r="BC315" s="1"/>
      <c r="BD315" s="1"/>
      <c r="BG315" s="1"/>
      <c r="BJ315" s="1"/>
      <c r="BM315" s="1"/>
      <c r="BP315" s="1"/>
      <c r="BS315" s="1"/>
    </row>
    <row r="316" spans="1:71" x14ac:dyDescent="0.3">
      <c r="A316" s="19">
        <f t="shared" si="24"/>
        <v>46357</v>
      </c>
      <c r="B316">
        <f t="shared" ca="1" si="20"/>
        <v>-0.56944444444444442</v>
      </c>
      <c r="C316" t="str">
        <f ca="1">IF(currency="USD",'Future et co'!D316,IF(currency="EUR",'Future et co'!E316,IF(currency="GBP",'Future et co'!F316,FALSE)))</f>
        <v>RFR USD</v>
      </c>
      <c r="D316" t="str">
        <f t="shared" ca="1" si="21"/>
        <v>RFR USD</v>
      </c>
      <c r="E316" t="str">
        <f t="shared" ca="1" si="22"/>
        <v>RFR EUR</v>
      </c>
      <c r="F316" t="str">
        <f t="shared" ca="1" si="23"/>
        <v>RFR GBP</v>
      </c>
      <c r="J316" s="1"/>
      <c r="N316" s="1"/>
      <c r="R316" s="1"/>
      <c r="V316" s="1"/>
      <c r="AB316" s="1"/>
      <c r="AF316" s="1"/>
      <c r="AJ316" s="1"/>
      <c r="AN316" s="1"/>
      <c r="AS316" s="1"/>
      <c r="AX316" s="1"/>
      <c r="BA316" s="1"/>
      <c r="BC316" s="1"/>
      <c r="BD316" s="1"/>
      <c r="BG316" s="1"/>
      <c r="BJ316" s="1"/>
      <c r="BM316" s="1"/>
      <c r="BP316" s="1"/>
      <c r="BS316" s="1"/>
    </row>
    <row r="317" spans="1:71" x14ac:dyDescent="0.3">
      <c r="A317" s="19">
        <f t="shared" si="24"/>
        <v>46358</v>
      </c>
      <c r="B317">
        <f t="shared" ca="1" si="20"/>
        <v>-0.57222222222222219</v>
      </c>
      <c r="C317" t="str">
        <f ca="1">IF(currency="USD",'Future et co'!D317,IF(currency="EUR",'Future et co'!E317,IF(currency="GBP",'Future et co'!F317,FALSE)))</f>
        <v>RFR USD</v>
      </c>
      <c r="D317" t="str">
        <f t="shared" ca="1" si="21"/>
        <v>RFR USD</v>
      </c>
      <c r="E317" t="str">
        <f t="shared" ca="1" si="22"/>
        <v>RFR EUR</v>
      </c>
      <c r="F317" t="str">
        <f t="shared" ca="1" si="23"/>
        <v>RFR GBP</v>
      </c>
      <c r="J317" s="1"/>
      <c r="N317" s="1"/>
      <c r="R317" s="1"/>
      <c r="V317" s="1"/>
      <c r="AB317" s="1"/>
      <c r="AF317" s="1"/>
      <c r="AJ317" s="1"/>
      <c r="AN317" s="1"/>
      <c r="AS317" s="1"/>
      <c r="AX317" s="1"/>
      <c r="BA317" s="1"/>
      <c r="BC317" s="1"/>
      <c r="BD317" s="1"/>
      <c r="BG317" s="1"/>
      <c r="BJ317" s="1"/>
      <c r="BM317" s="1"/>
      <c r="BP317" s="1"/>
      <c r="BS317" s="1"/>
    </row>
    <row r="318" spans="1:71" x14ac:dyDescent="0.3">
      <c r="A318" s="19">
        <f t="shared" si="24"/>
        <v>46359</v>
      </c>
      <c r="B318">
        <f t="shared" ca="1" si="20"/>
        <v>-0.57499999999999996</v>
      </c>
      <c r="C318" t="str">
        <f ca="1">IF(currency="USD",'Future et co'!D318,IF(currency="EUR",'Future et co'!E318,IF(currency="GBP",'Future et co'!F318,FALSE)))</f>
        <v>RFR USD</v>
      </c>
      <c r="D318" t="str">
        <f t="shared" ca="1" si="21"/>
        <v>RFR USD</v>
      </c>
      <c r="E318" t="str">
        <f t="shared" ca="1" si="22"/>
        <v>RFR EUR</v>
      </c>
      <c r="F318" t="str">
        <f t="shared" ca="1" si="23"/>
        <v>RFR GBP</v>
      </c>
      <c r="J318" s="1"/>
      <c r="N318" s="1"/>
      <c r="R318" s="1"/>
      <c r="V318" s="1"/>
      <c r="AB318" s="1"/>
      <c r="AF318" s="1"/>
      <c r="AJ318" s="1"/>
      <c r="AN318" s="1"/>
      <c r="AS318" s="1"/>
      <c r="AX318" s="1"/>
      <c r="BA318" s="1"/>
      <c r="BC318" s="1"/>
      <c r="BD318" s="1"/>
      <c r="BG318" s="1"/>
      <c r="BJ318" s="1"/>
      <c r="BM318" s="1"/>
      <c r="BP318" s="1"/>
      <c r="BS318" s="1"/>
    </row>
    <row r="319" spans="1:71" x14ac:dyDescent="0.3">
      <c r="A319" s="19">
        <f t="shared" si="24"/>
        <v>46360</v>
      </c>
      <c r="B319">
        <f t="shared" ca="1" si="20"/>
        <v>-0.57777777777777772</v>
      </c>
      <c r="C319" t="str">
        <f ca="1">IF(currency="USD",'Future et co'!D319,IF(currency="EUR",'Future et co'!E319,IF(currency="GBP",'Future et co'!F319,FALSE)))</f>
        <v>RFR USD</v>
      </c>
      <c r="D319" t="str">
        <f t="shared" ca="1" si="21"/>
        <v>RFR USD</v>
      </c>
      <c r="E319" t="str">
        <f t="shared" ca="1" si="22"/>
        <v>RFR EUR</v>
      </c>
      <c r="F319" t="str">
        <f t="shared" ca="1" si="23"/>
        <v>RFR GBP</v>
      </c>
      <c r="J319" s="1"/>
      <c r="N319" s="1"/>
      <c r="R319" s="1"/>
      <c r="V319" s="1"/>
      <c r="AB319" s="1"/>
      <c r="AF319" s="1"/>
      <c r="AJ319" s="1"/>
      <c r="AN319" s="1"/>
      <c r="AS319" s="1"/>
      <c r="AX319" s="1"/>
      <c r="BA319" s="1"/>
      <c r="BC319" s="1"/>
      <c r="BD319" s="1"/>
      <c r="BG319" s="1"/>
      <c r="BJ319" s="1"/>
      <c r="BM319" s="1"/>
      <c r="BP319" s="1"/>
      <c r="BS319" s="1"/>
    </row>
    <row r="320" spans="1:71" x14ac:dyDescent="0.3">
      <c r="A320" s="19">
        <f t="shared" si="24"/>
        <v>46363</v>
      </c>
      <c r="B320">
        <f t="shared" ca="1" si="20"/>
        <v>-0.58611111111111114</v>
      </c>
      <c r="C320" t="str">
        <f ca="1">IF(currency="USD",'Future et co'!D320,IF(currency="EUR",'Future et co'!E320,IF(currency="GBP",'Future et co'!F320,FALSE)))</f>
        <v>RFR USD</v>
      </c>
      <c r="D320" t="str">
        <f t="shared" ca="1" si="21"/>
        <v>RFR USD</v>
      </c>
      <c r="E320" t="str">
        <f t="shared" ca="1" si="22"/>
        <v>RFR EUR</v>
      </c>
      <c r="F320" t="str">
        <f t="shared" ca="1" si="23"/>
        <v>RFR GBP</v>
      </c>
      <c r="J320" s="1"/>
      <c r="N320" s="1"/>
      <c r="R320" s="1"/>
      <c r="V320" s="1"/>
      <c r="AB320" s="1"/>
      <c r="AF320" s="1"/>
      <c r="AJ320" s="1"/>
      <c r="AN320" s="1"/>
      <c r="AS320" s="1"/>
      <c r="AX320" s="1"/>
      <c r="BA320" s="1"/>
      <c r="BC320" s="1"/>
      <c r="BD320" s="1"/>
      <c r="BG320" s="1"/>
      <c r="BJ320" s="1"/>
      <c r="BM320" s="1"/>
      <c r="BP320" s="1"/>
      <c r="BS320" s="1"/>
    </row>
    <row r="321" spans="1:71" x14ac:dyDescent="0.3">
      <c r="A321" s="19">
        <f t="shared" si="24"/>
        <v>46364</v>
      </c>
      <c r="B321">
        <f t="shared" ca="1" si="20"/>
        <v>-0.58888888888888891</v>
      </c>
      <c r="C321" t="str">
        <f ca="1">IF(currency="USD",'Future et co'!D321,IF(currency="EUR",'Future et co'!E321,IF(currency="GBP",'Future et co'!F321,FALSE)))</f>
        <v>RFR USD</v>
      </c>
      <c r="D321" t="str">
        <f t="shared" ca="1" si="21"/>
        <v>RFR USD</v>
      </c>
      <c r="E321" t="str">
        <f t="shared" ca="1" si="22"/>
        <v>RFR EUR</v>
      </c>
      <c r="F321" t="str">
        <f t="shared" ca="1" si="23"/>
        <v>RFR GBP</v>
      </c>
      <c r="J321" s="1"/>
      <c r="N321" s="1"/>
      <c r="R321" s="1"/>
      <c r="V321" s="1"/>
      <c r="AB321" s="1"/>
      <c r="AF321" s="1"/>
      <c r="AJ321" s="1"/>
      <c r="AN321" s="1"/>
      <c r="AS321" s="1"/>
      <c r="AX321" s="1"/>
      <c r="BA321" s="1"/>
      <c r="BC321" s="1"/>
      <c r="BD321" s="1"/>
      <c r="BG321" s="1"/>
      <c r="BJ321" s="1"/>
      <c r="BM321" s="1"/>
      <c r="BP321" s="1"/>
      <c r="BS321" s="1"/>
    </row>
    <row r="322" spans="1:71" x14ac:dyDescent="0.3">
      <c r="A322" s="19">
        <f t="shared" si="24"/>
        <v>46365</v>
      </c>
      <c r="B322">
        <f t="shared" ca="1" si="20"/>
        <v>-0.59166666666666667</v>
      </c>
      <c r="C322" t="str">
        <f ca="1">IF(currency="USD",'Future et co'!D322,IF(currency="EUR",'Future et co'!E322,IF(currency="GBP",'Future et co'!F322,FALSE)))</f>
        <v>RFR USD</v>
      </c>
      <c r="D322" t="str">
        <f t="shared" ca="1" si="21"/>
        <v>RFR USD</v>
      </c>
      <c r="E322" t="str">
        <f t="shared" ca="1" si="22"/>
        <v>RFR EUR</v>
      </c>
      <c r="F322" t="str">
        <f t="shared" ca="1" si="23"/>
        <v>RFR GBP</v>
      </c>
      <c r="J322" s="1"/>
      <c r="N322" s="1"/>
      <c r="R322" s="1"/>
      <c r="V322" s="1"/>
      <c r="AB322" s="1"/>
      <c r="AF322" s="1"/>
      <c r="AJ322" s="1"/>
      <c r="AN322" s="1"/>
      <c r="AS322" s="1"/>
      <c r="AX322" s="1"/>
      <c r="BA322" s="1"/>
      <c r="BC322" s="1"/>
      <c r="BD322" s="1"/>
      <c r="BG322" s="1"/>
      <c r="BJ322" s="1"/>
      <c r="BM322" s="1"/>
      <c r="BP322" s="1"/>
      <c r="BS322" s="1"/>
    </row>
    <row r="323" spans="1:71" x14ac:dyDescent="0.3">
      <c r="A323" s="19">
        <f t="shared" si="24"/>
        <v>46366</v>
      </c>
      <c r="B323">
        <f t="shared" ca="1" si="20"/>
        <v>-0.59444444444444444</v>
      </c>
      <c r="C323" t="str">
        <f ca="1">IF(currency="USD",'Future et co'!D323,IF(currency="EUR",'Future et co'!E323,IF(currency="GBP",'Future et co'!F323,FALSE)))</f>
        <v>RFR USD</v>
      </c>
      <c r="D323" t="str">
        <f t="shared" ca="1" si="21"/>
        <v>RFR USD</v>
      </c>
      <c r="E323" t="str">
        <f t="shared" ca="1" si="22"/>
        <v>RFR EUR</v>
      </c>
      <c r="F323" t="str">
        <f t="shared" ca="1" si="23"/>
        <v>RFR GBP</v>
      </c>
      <c r="J323" s="1"/>
      <c r="N323" s="1"/>
      <c r="R323" s="1"/>
      <c r="V323" s="1"/>
      <c r="AB323" s="1"/>
      <c r="AF323" s="1"/>
      <c r="AJ323" s="1"/>
      <c r="AN323" s="1"/>
      <c r="AS323" s="1"/>
      <c r="AX323" s="1"/>
      <c r="BA323" s="1"/>
      <c r="BC323" s="1"/>
      <c r="BD323" s="1"/>
      <c r="BG323" s="1"/>
      <c r="BJ323" s="1"/>
      <c r="BM323" s="1"/>
      <c r="BP323" s="1"/>
      <c r="BS323" s="1"/>
    </row>
    <row r="324" spans="1:71" x14ac:dyDescent="0.3">
      <c r="A324" s="19">
        <f t="shared" si="24"/>
        <v>46367</v>
      </c>
      <c r="B324">
        <f t="shared" ca="1" si="20"/>
        <v>-0.59722222222222221</v>
      </c>
      <c r="C324" t="str">
        <f ca="1">IF(currency="USD",'Future et co'!D324,IF(currency="EUR",'Future et co'!E324,IF(currency="GBP",'Future et co'!F324,FALSE)))</f>
        <v>RFR USD</v>
      </c>
      <c r="D324" t="str">
        <f t="shared" ca="1" si="21"/>
        <v>RFR USD</v>
      </c>
      <c r="E324" t="str">
        <f t="shared" ca="1" si="22"/>
        <v>RFR EUR</v>
      </c>
      <c r="F324" t="str">
        <f t="shared" ca="1" si="23"/>
        <v>RFR GBP</v>
      </c>
      <c r="J324" s="1"/>
      <c r="N324" s="1"/>
      <c r="R324" s="1"/>
      <c r="V324" s="1"/>
      <c r="AB324" s="1"/>
      <c r="AF324" s="1"/>
      <c r="AJ324" s="1"/>
      <c r="AN324" s="1"/>
      <c r="AS324" s="1"/>
      <c r="AX324" s="1"/>
      <c r="BA324" s="1"/>
      <c r="BC324" s="1"/>
      <c r="BD324" s="1"/>
      <c r="BG324" s="1"/>
      <c r="BJ324" s="1"/>
      <c r="BM324" s="1"/>
      <c r="BP324" s="1"/>
      <c r="BS324" s="1"/>
    </row>
    <row r="325" spans="1:71" x14ac:dyDescent="0.3">
      <c r="A325" s="19">
        <f t="shared" si="24"/>
        <v>46370</v>
      </c>
      <c r="B325">
        <f t="shared" ca="1" si="20"/>
        <v>-0.60555555555555551</v>
      </c>
      <c r="C325" t="str">
        <f ca="1">IF(currency="USD",'Future et co'!D325,IF(currency="EUR",'Future et co'!E325,IF(currency="GBP",'Future et co'!F325,FALSE)))</f>
        <v>RFR USD</v>
      </c>
      <c r="D325" t="str">
        <f t="shared" ca="1" si="21"/>
        <v>RFR USD</v>
      </c>
      <c r="E325" t="str">
        <f t="shared" ca="1" si="22"/>
        <v>RFR EUR</v>
      </c>
      <c r="F325" t="str">
        <f t="shared" ca="1" si="23"/>
        <v>RFR GBP</v>
      </c>
      <c r="J325" s="1"/>
      <c r="N325" s="1"/>
      <c r="R325" s="1"/>
      <c r="V325" s="1"/>
      <c r="AB325" s="1"/>
      <c r="AF325" s="1"/>
      <c r="AJ325" s="1"/>
      <c r="AN325" s="1"/>
      <c r="AS325" s="1"/>
      <c r="AX325" s="1"/>
      <c r="BA325" s="1"/>
      <c r="BC325" s="1"/>
      <c r="BD325" s="1"/>
      <c r="BG325" s="1"/>
      <c r="BJ325" s="1"/>
      <c r="BM325" s="1"/>
      <c r="BP325" s="1"/>
      <c r="BS325" s="1"/>
    </row>
    <row r="326" spans="1:71" x14ac:dyDescent="0.3">
      <c r="A326" s="19">
        <f t="shared" si="24"/>
        <v>46371</v>
      </c>
      <c r="B326">
        <f t="shared" ca="1" si="20"/>
        <v>-0.60833333333333328</v>
      </c>
      <c r="C326" t="str">
        <f ca="1">IF(currency="USD",'Future et co'!D326,IF(currency="EUR",'Future et co'!E326,IF(currency="GBP",'Future et co'!F326,FALSE)))</f>
        <v>RFR USD</v>
      </c>
      <c r="D326" t="str">
        <f t="shared" ca="1" si="21"/>
        <v>RFR USD</v>
      </c>
      <c r="E326" t="str">
        <f t="shared" ca="1" si="22"/>
        <v>RFR EUR</v>
      </c>
      <c r="F326" t="str">
        <f t="shared" ca="1" si="23"/>
        <v>RFR GBP</v>
      </c>
      <c r="J326" s="1"/>
      <c r="N326" s="1"/>
      <c r="R326" s="1"/>
      <c r="V326" s="1"/>
      <c r="AB326" s="1"/>
      <c r="AF326" s="1"/>
      <c r="AJ326" s="1"/>
      <c r="AN326" s="1"/>
      <c r="AS326" s="1"/>
      <c r="AX326" s="1"/>
      <c r="BA326" s="1"/>
      <c r="BC326" s="1"/>
      <c r="BD326" s="1"/>
      <c r="BG326" s="1"/>
      <c r="BJ326" s="1"/>
      <c r="BM326" s="1"/>
      <c r="BP326" s="1"/>
      <c r="BS326" s="1"/>
    </row>
    <row r="327" spans="1:71" x14ac:dyDescent="0.3">
      <c r="A327" s="19">
        <f t="shared" si="24"/>
        <v>46372</v>
      </c>
      <c r="B327">
        <f t="shared" ca="1" si="20"/>
        <v>-0.61111111111111116</v>
      </c>
      <c r="C327" t="str">
        <f ca="1">IF(currency="USD",'Future et co'!D327,IF(currency="EUR",'Future et co'!E327,IF(currency="GBP",'Future et co'!F327,FALSE)))</f>
        <v>RFR USD</v>
      </c>
      <c r="D327" t="str">
        <f t="shared" ca="1" si="21"/>
        <v>RFR USD</v>
      </c>
      <c r="E327" t="str">
        <f t="shared" ca="1" si="22"/>
        <v>RFR EUR</v>
      </c>
      <c r="F327" t="str">
        <f t="shared" ca="1" si="23"/>
        <v>RFR GBP</v>
      </c>
      <c r="J327" s="1"/>
      <c r="N327" s="1"/>
      <c r="R327" s="1"/>
      <c r="V327" s="1"/>
      <c r="AB327" s="1"/>
      <c r="AF327" s="1"/>
      <c r="AJ327" s="1"/>
      <c r="AN327" s="1"/>
      <c r="AS327" s="1"/>
      <c r="AX327" s="1"/>
      <c r="BA327" s="1"/>
      <c r="BC327" s="1"/>
      <c r="BD327" s="1"/>
      <c r="BG327" s="1"/>
      <c r="BJ327" s="1"/>
      <c r="BM327" s="1"/>
      <c r="BP327" s="1"/>
      <c r="BS327" s="1"/>
    </row>
    <row r="328" spans="1:71" x14ac:dyDescent="0.3">
      <c r="A328" s="19">
        <f t="shared" si="24"/>
        <v>46373</v>
      </c>
      <c r="B328">
        <f t="shared" ca="1" si="20"/>
        <v>-0.61388888888888893</v>
      </c>
      <c r="C328" t="str">
        <f ca="1">IF(currency="USD",'Future et co'!D328,IF(currency="EUR",'Future et co'!E328,IF(currency="GBP",'Future et co'!F328,FALSE)))</f>
        <v>RFR USD</v>
      </c>
      <c r="D328" t="str">
        <f t="shared" ca="1" si="21"/>
        <v>RFR USD</v>
      </c>
      <c r="E328" t="str">
        <f t="shared" ca="1" si="22"/>
        <v>RFR EUR</v>
      </c>
      <c r="F328" t="str">
        <f t="shared" ca="1" si="23"/>
        <v>RFR GBP</v>
      </c>
      <c r="J328" s="1"/>
      <c r="N328" s="1"/>
      <c r="R328" s="1"/>
      <c r="V328" s="1"/>
      <c r="AB328" s="1"/>
      <c r="AF328" s="1"/>
      <c r="AJ328" s="1"/>
      <c r="AN328" s="1"/>
      <c r="AS328" s="1"/>
      <c r="AX328" s="1"/>
      <c r="BA328" s="1"/>
      <c r="BC328" s="1"/>
      <c r="BD328" s="1"/>
      <c r="BG328" s="1"/>
      <c r="BJ328" s="1"/>
      <c r="BM328" s="1"/>
      <c r="BP328" s="1"/>
      <c r="BS328" s="1"/>
    </row>
    <row r="329" spans="1:71" x14ac:dyDescent="0.3">
      <c r="A329" s="19">
        <f t="shared" si="24"/>
        <v>46374</v>
      </c>
      <c r="B329">
        <f t="shared" ca="1" si="20"/>
        <v>-0.6166666666666667</v>
      </c>
      <c r="C329" t="str">
        <f ca="1">IF(currency="USD",'Future et co'!D329,IF(currency="EUR",'Future et co'!E329,IF(currency="GBP",'Future et co'!F329,FALSE)))</f>
        <v>RFR USD</v>
      </c>
      <c r="D329" t="str">
        <f t="shared" ca="1" si="21"/>
        <v>RFR USD</v>
      </c>
      <c r="E329" t="str">
        <f t="shared" ca="1" si="22"/>
        <v>RFR EUR</v>
      </c>
      <c r="F329" t="str">
        <f t="shared" ca="1" si="23"/>
        <v>RFR GBP</v>
      </c>
      <c r="J329" s="1"/>
      <c r="N329" s="1"/>
      <c r="R329" s="1"/>
      <c r="V329" s="1"/>
      <c r="AB329" s="1"/>
      <c r="AF329" s="1"/>
      <c r="AJ329" s="1"/>
      <c r="AN329" s="1"/>
      <c r="AS329" s="1"/>
      <c r="AX329" s="1"/>
      <c r="BA329" s="1"/>
      <c r="BC329" s="1"/>
      <c r="BD329" s="1"/>
      <c r="BG329" s="1"/>
      <c r="BJ329" s="1"/>
      <c r="BM329" s="1"/>
      <c r="BP329" s="1"/>
      <c r="BS329" s="1"/>
    </row>
    <row r="330" spans="1:71" x14ac:dyDescent="0.3">
      <c r="A330" s="19">
        <f t="shared" si="24"/>
        <v>46377</v>
      </c>
      <c r="B330">
        <f t="shared" ca="1" si="20"/>
        <v>-0.625</v>
      </c>
      <c r="C330" t="str">
        <f ca="1">IF(currency="USD",'Future et co'!D330,IF(currency="EUR",'Future et co'!E330,IF(currency="GBP",'Future et co'!F330,FALSE)))</f>
        <v>RFR USD</v>
      </c>
      <c r="D330" t="str">
        <f t="shared" ca="1" si="21"/>
        <v>RFR USD</v>
      </c>
      <c r="E330" t="str">
        <f t="shared" ca="1" si="22"/>
        <v>RFR EUR</v>
      </c>
      <c r="F330" t="str">
        <f t="shared" ca="1" si="23"/>
        <v>RFR GBP</v>
      </c>
      <c r="J330" s="1"/>
      <c r="N330" s="1"/>
      <c r="R330" s="1"/>
      <c r="V330" s="1"/>
      <c r="AB330" s="1"/>
      <c r="AF330" s="1"/>
      <c r="AJ330" s="1"/>
      <c r="AN330" s="1"/>
      <c r="AS330" s="1"/>
      <c r="AX330" s="1"/>
      <c r="BA330" s="1"/>
      <c r="BC330" s="1"/>
      <c r="BD330" s="1"/>
      <c r="BG330" s="1"/>
      <c r="BJ330" s="1"/>
      <c r="BM330" s="1"/>
      <c r="BP330" s="1"/>
      <c r="BS330" s="1"/>
    </row>
    <row r="331" spans="1:71" x14ac:dyDescent="0.3">
      <c r="A331" s="19">
        <f t="shared" si="24"/>
        <v>46378</v>
      </c>
      <c r="B331">
        <f t="shared" ref="B331:B394" ca="1" si="25">($B$7-A331)/360</f>
        <v>-0.62777777777777777</v>
      </c>
      <c r="C331" t="str">
        <f ca="1">IF(currency="USD",'Future et co'!D331,IF(currency="EUR",'Future et co'!E331,IF(currency="GBP",'Future et co'!F331,FALSE)))</f>
        <v>RFR USD</v>
      </c>
      <c r="D331" t="str">
        <f t="shared" ref="D331:D394" ca="1" si="26">IFERROR(IF(B331&lt;0.25,VLOOKUP(A331,$J$11:$L$5325,3,FALSE),IF(AND(B331&gt;=0.25,B331&lt;0.5),VLOOKUP(A331,$N$11:$P$5325,3,FALSE),IF(AND(B331&gt;=0.5,B331&lt;1),VLOOKUP(A331,$R$11:$T$5325,3,FALSE),VLOOKUP(A331,$V$11:$X$5010,3,FALSE)))),D330)</f>
        <v>RFR USD</v>
      </c>
      <c r="E331" t="str">
        <f t="shared" ref="E331:E394" ca="1" si="27">IFERROR(IF(B331&lt;0.25,VLOOKUP(A331,$AF$11:$AH$5325,3,FALSE),IF(AND(B331&gt;=0.25,B331&lt;0.5),VLOOKUP(A331,$AJ$11:$AL$5325,3,FALSE),VLOOKUP(A331,$AN$11:$AP$5325,3,FALSE))),E330)</f>
        <v>RFR EUR</v>
      </c>
      <c r="F331" t="str">
        <f t="shared" ref="F331:F394" ca="1" si="28">IFERROR(VLOOKUP(A331,$AS$11:$AU$9999,3,FALSE),F330)</f>
        <v>RFR GBP</v>
      </c>
      <c r="J331" s="1"/>
      <c r="N331" s="1"/>
      <c r="R331" s="1"/>
      <c r="V331" s="1"/>
      <c r="AB331" s="1"/>
      <c r="AF331" s="1"/>
      <c r="AJ331" s="1"/>
      <c r="AN331" s="1"/>
      <c r="AS331" s="1"/>
      <c r="AX331" s="1"/>
      <c r="BA331" s="1"/>
      <c r="BC331" s="1"/>
      <c r="BD331" s="1"/>
      <c r="BG331" s="1"/>
      <c r="BJ331" s="1"/>
      <c r="BM331" s="1"/>
      <c r="BP331" s="1"/>
      <c r="BS331" s="1"/>
    </row>
    <row r="332" spans="1:71" x14ac:dyDescent="0.3">
      <c r="A332" s="19">
        <f t="shared" si="24"/>
        <v>46379</v>
      </c>
      <c r="B332">
        <f t="shared" ca="1" si="25"/>
        <v>-0.63055555555555554</v>
      </c>
      <c r="C332" t="str">
        <f ca="1">IF(currency="USD",'Future et co'!D332,IF(currency="EUR",'Future et co'!E332,IF(currency="GBP",'Future et co'!F332,FALSE)))</f>
        <v>RFR USD</v>
      </c>
      <c r="D332" t="str">
        <f t="shared" ca="1" si="26"/>
        <v>RFR USD</v>
      </c>
      <c r="E332" t="str">
        <f t="shared" ca="1" si="27"/>
        <v>RFR EUR</v>
      </c>
      <c r="F332" t="str">
        <f t="shared" ca="1" si="28"/>
        <v>RFR GBP</v>
      </c>
      <c r="J332" s="1"/>
      <c r="N332" s="1"/>
      <c r="R332" s="1"/>
      <c r="V332" s="1"/>
      <c r="AB332" s="1"/>
      <c r="AF332" s="1"/>
      <c r="AJ332" s="1"/>
      <c r="AN332" s="1"/>
      <c r="AS332" s="1"/>
      <c r="AX332" s="1"/>
      <c r="BA332" s="1"/>
      <c r="BC332" s="1"/>
      <c r="BD332" s="1"/>
      <c r="BG332" s="1"/>
      <c r="BJ332" s="1"/>
      <c r="BM332" s="1"/>
      <c r="BP332" s="1"/>
      <c r="BS332" s="1"/>
    </row>
    <row r="333" spans="1:71" x14ac:dyDescent="0.3">
      <c r="A333" s="19">
        <f t="shared" ref="A333:A396" si="29">WORKDAY(A332,1)</f>
        <v>46380</v>
      </c>
      <c r="B333">
        <f t="shared" ca="1" si="25"/>
        <v>-0.6333333333333333</v>
      </c>
      <c r="C333" t="str">
        <f ca="1">IF(currency="USD",'Future et co'!D333,IF(currency="EUR",'Future et co'!E333,IF(currency="GBP",'Future et co'!F333,FALSE)))</f>
        <v>RFR USD</v>
      </c>
      <c r="D333" t="str">
        <f t="shared" ca="1" si="26"/>
        <v>RFR USD</v>
      </c>
      <c r="E333" t="str">
        <f t="shared" ca="1" si="27"/>
        <v>RFR EUR</v>
      </c>
      <c r="F333" t="str">
        <f t="shared" ca="1" si="28"/>
        <v>RFR GBP</v>
      </c>
      <c r="J333" s="1"/>
      <c r="N333" s="1"/>
      <c r="R333" s="1"/>
      <c r="V333" s="1"/>
      <c r="AB333" s="1"/>
      <c r="AF333" s="1"/>
      <c r="AJ333" s="1"/>
      <c r="AN333" s="1"/>
      <c r="AS333" s="1"/>
      <c r="AX333" s="1"/>
      <c r="BA333" s="1"/>
      <c r="BC333" s="1"/>
      <c r="BD333" s="1"/>
      <c r="BG333" s="1"/>
      <c r="BJ333" s="1"/>
      <c r="BM333" s="1"/>
      <c r="BP333" s="1"/>
      <c r="BS333" s="1"/>
    </row>
    <row r="334" spans="1:71" x14ac:dyDescent="0.3">
      <c r="A334" s="19">
        <f t="shared" si="29"/>
        <v>46381</v>
      </c>
      <c r="B334">
        <f t="shared" ca="1" si="25"/>
        <v>-0.63611111111111107</v>
      </c>
      <c r="C334" t="str">
        <f ca="1">IF(currency="USD",'Future et co'!D334,IF(currency="EUR",'Future et co'!E334,IF(currency="GBP",'Future et co'!F334,FALSE)))</f>
        <v>RFR USD</v>
      </c>
      <c r="D334" t="str">
        <f t="shared" ca="1" si="26"/>
        <v>RFR USD</v>
      </c>
      <c r="E334" t="str">
        <f t="shared" ca="1" si="27"/>
        <v>RFR EUR</v>
      </c>
      <c r="F334" t="str">
        <f t="shared" ca="1" si="28"/>
        <v>RFR GBP</v>
      </c>
      <c r="J334" s="1"/>
      <c r="N334" s="1"/>
      <c r="R334" s="1"/>
      <c r="V334" s="1"/>
      <c r="AB334" s="1"/>
      <c r="AF334" s="1"/>
      <c r="AJ334" s="1"/>
      <c r="AN334" s="1"/>
      <c r="AS334" s="1"/>
      <c r="AX334" s="1"/>
      <c r="BA334" s="1"/>
      <c r="BC334" s="1"/>
      <c r="BD334" s="1"/>
      <c r="BG334" s="1"/>
      <c r="BJ334" s="1"/>
      <c r="BM334" s="1"/>
      <c r="BP334" s="1"/>
      <c r="BS334" s="1"/>
    </row>
    <row r="335" spans="1:71" x14ac:dyDescent="0.3">
      <c r="A335" s="19">
        <f t="shared" si="29"/>
        <v>46384</v>
      </c>
      <c r="B335">
        <f t="shared" ca="1" si="25"/>
        <v>-0.64444444444444449</v>
      </c>
      <c r="C335" t="str">
        <f ca="1">IF(currency="USD",'Future et co'!D335,IF(currency="EUR",'Future et co'!E335,IF(currency="GBP",'Future et co'!F335,FALSE)))</f>
        <v>RFR USD</v>
      </c>
      <c r="D335" t="str">
        <f t="shared" ca="1" si="26"/>
        <v>RFR USD</v>
      </c>
      <c r="E335" t="str">
        <f t="shared" ca="1" si="27"/>
        <v>RFR EUR</v>
      </c>
      <c r="F335" t="str">
        <f t="shared" ca="1" si="28"/>
        <v>RFR GBP</v>
      </c>
      <c r="J335" s="1"/>
      <c r="N335" s="1"/>
      <c r="R335" s="1"/>
      <c r="V335" s="1"/>
      <c r="AB335" s="1"/>
      <c r="AF335" s="1"/>
      <c r="AJ335" s="1"/>
      <c r="AN335" s="1"/>
      <c r="AS335" s="1"/>
      <c r="AX335" s="1"/>
      <c r="BA335" s="1"/>
      <c r="BC335" s="1"/>
      <c r="BD335" s="1"/>
      <c r="BG335" s="1"/>
      <c r="BJ335" s="1"/>
      <c r="BM335" s="1"/>
      <c r="BP335" s="1"/>
      <c r="BS335" s="1"/>
    </row>
    <row r="336" spans="1:71" x14ac:dyDescent="0.3">
      <c r="A336" s="19">
        <f t="shared" si="29"/>
        <v>46385</v>
      </c>
      <c r="B336">
        <f t="shared" ca="1" si="25"/>
        <v>-0.64722222222222225</v>
      </c>
      <c r="C336" t="str">
        <f ca="1">IF(currency="USD",'Future et co'!D336,IF(currency="EUR",'Future et co'!E336,IF(currency="GBP",'Future et co'!F336,FALSE)))</f>
        <v>RFR USD</v>
      </c>
      <c r="D336" t="str">
        <f t="shared" ca="1" si="26"/>
        <v>RFR USD</v>
      </c>
      <c r="E336" t="str">
        <f t="shared" ca="1" si="27"/>
        <v>RFR EUR</v>
      </c>
      <c r="F336" t="str">
        <f t="shared" ca="1" si="28"/>
        <v>RFR GBP</v>
      </c>
      <c r="J336" s="1"/>
      <c r="N336" s="1"/>
      <c r="R336" s="1"/>
      <c r="V336" s="1"/>
      <c r="AB336" s="1"/>
      <c r="AF336" s="1"/>
      <c r="AJ336" s="1"/>
      <c r="AN336" s="1"/>
      <c r="AS336" s="1"/>
      <c r="AX336" s="1"/>
      <c r="BA336" s="1"/>
      <c r="BC336" s="1"/>
      <c r="BD336" s="1"/>
      <c r="BG336" s="1"/>
      <c r="BJ336" s="1"/>
      <c r="BM336" s="1"/>
      <c r="BP336" s="1"/>
      <c r="BS336" s="1"/>
    </row>
    <row r="337" spans="1:71" x14ac:dyDescent="0.3">
      <c r="A337" s="19">
        <f t="shared" si="29"/>
        <v>46386</v>
      </c>
      <c r="B337">
        <f t="shared" ca="1" si="25"/>
        <v>-0.65</v>
      </c>
      <c r="C337" t="str">
        <f ca="1">IF(currency="USD",'Future et co'!D337,IF(currency="EUR",'Future et co'!E337,IF(currency="GBP",'Future et co'!F337,FALSE)))</f>
        <v>RFR USD</v>
      </c>
      <c r="D337" t="str">
        <f t="shared" ca="1" si="26"/>
        <v>RFR USD</v>
      </c>
      <c r="E337" t="str">
        <f t="shared" ca="1" si="27"/>
        <v>RFR EUR</v>
      </c>
      <c r="F337" t="str">
        <f t="shared" ca="1" si="28"/>
        <v>RFR GBP</v>
      </c>
      <c r="J337" s="1"/>
      <c r="N337" s="1"/>
      <c r="R337" s="1"/>
      <c r="V337" s="1"/>
      <c r="AB337" s="1"/>
      <c r="AF337" s="1"/>
      <c r="AJ337" s="1"/>
      <c r="AN337" s="1"/>
      <c r="AS337" s="1"/>
      <c r="AX337" s="1"/>
      <c r="BA337" s="1"/>
      <c r="BC337" s="1"/>
      <c r="BD337" s="1"/>
      <c r="BG337" s="1"/>
      <c r="BJ337" s="1"/>
      <c r="BM337" s="1"/>
      <c r="BP337" s="1"/>
      <c r="BS337" s="1"/>
    </row>
    <row r="338" spans="1:71" x14ac:dyDescent="0.3">
      <c r="A338" s="19">
        <f t="shared" si="29"/>
        <v>46387</v>
      </c>
      <c r="B338">
        <f t="shared" ca="1" si="25"/>
        <v>-0.65277777777777779</v>
      </c>
      <c r="C338" t="str">
        <f ca="1">IF(currency="USD",'Future et co'!D338,IF(currency="EUR",'Future et co'!E338,IF(currency="GBP",'Future et co'!F338,FALSE)))</f>
        <v>RFR USD</v>
      </c>
      <c r="D338" t="str">
        <f t="shared" ca="1" si="26"/>
        <v>RFR USD</v>
      </c>
      <c r="E338" t="str">
        <f t="shared" ca="1" si="27"/>
        <v>RFR EUR</v>
      </c>
      <c r="F338" t="str">
        <f t="shared" ca="1" si="28"/>
        <v>RFR GBP</v>
      </c>
      <c r="J338" s="1"/>
      <c r="N338" s="1"/>
      <c r="R338" s="1"/>
      <c r="V338" s="1"/>
      <c r="AB338" s="1"/>
      <c r="AF338" s="1"/>
      <c r="AJ338" s="1"/>
      <c r="AN338" s="1"/>
      <c r="AS338" s="1"/>
      <c r="AX338" s="1"/>
      <c r="BA338" s="1"/>
      <c r="BC338" s="1"/>
      <c r="BD338" s="1"/>
      <c r="BG338" s="1"/>
      <c r="BJ338" s="1"/>
      <c r="BM338" s="1"/>
      <c r="BP338" s="1"/>
      <c r="BS338" s="1"/>
    </row>
    <row r="339" spans="1:71" x14ac:dyDescent="0.3">
      <c r="A339" s="19">
        <f t="shared" si="29"/>
        <v>46388</v>
      </c>
      <c r="B339">
        <f t="shared" ca="1" si="25"/>
        <v>-0.65555555555555556</v>
      </c>
      <c r="C339" t="str">
        <f ca="1">IF(currency="USD",'Future et co'!D339,IF(currency="EUR",'Future et co'!E339,IF(currency="GBP",'Future et co'!F339,FALSE)))</f>
        <v>RFR USD</v>
      </c>
      <c r="D339" t="str">
        <f t="shared" ca="1" si="26"/>
        <v>RFR USD</v>
      </c>
      <c r="E339" t="str">
        <f t="shared" ca="1" si="27"/>
        <v>RFR EUR</v>
      </c>
      <c r="F339" t="str">
        <f t="shared" ca="1" si="28"/>
        <v>RFR GBP</v>
      </c>
      <c r="J339" s="1"/>
      <c r="N339" s="1"/>
      <c r="R339" s="1"/>
      <c r="V339" s="1"/>
      <c r="AB339" s="1"/>
      <c r="AF339" s="1"/>
      <c r="AJ339" s="1"/>
      <c r="AN339" s="1"/>
      <c r="AS339" s="1"/>
      <c r="AX339" s="1"/>
      <c r="BA339" s="1"/>
      <c r="BC339" s="1"/>
      <c r="BD339" s="1"/>
      <c r="BG339" s="1"/>
      <c r="BJ339" s="1"/>
      <c r="BM339" s="1"/>
      <c r="BP339" s="1"/>
      <c r="BS339" s="1"/>
    </row>
    <row r="340" spans="1:71" x14ac:dyDescent="0.3">
      <c r="A340" s="19">
        <f t="shared" si="29"/>
        <v>46391</v>
      </c>
      <c r="B340">
        <f t="shared" ca="1" si="25"/>
        <v>-0.66388888888888886</v>
      </c>
      <c r="C340" t="str">
        <f ca="1">IF(currency="USD",'Future et co'!D340,IF(currency="EUR",'Future et co'!E340,IF(currency="GBP",'Future et co'!F340,FALSE)))</f>
        <v>RFR USD</v>
      </c>
      <c r="D340" t="str">
        <f t="shared" ca="1" si="26"/>
        <v>RFR USD</v>
      </c>
      <c r="E340" t="str">
        <f t="shared" ca="1" si="27"/>
        <v>RFR EUR</v>
      </c>
      <c r="F340" t="str">
        <f t="shared" ca="1" si="28"/>
        <v>RFR GBP</v>
      </c>
      <c r="J340" s="1"/>
      <c r="N340" s="1"/>
      <c r="R340" s="1"/>
      <c r="V340" s="1"/>
      <c r="AB340" s="1"/>
      <c r="AF340" s="1"/>
      <c r="AJ340" s="1"/>
      <c r="AN340" s="1"/>
      <c r="AS340" s="1"/>
      <c r="AX340" s="1"/>
      <c r="BA340" s="1"/>
      <c r="BC340" s="1"/>
      <c r="BD340" s="1"/>
      <c r="BG340" s="1"/>
      <c r="BJ340" s="1"/>
      <c r="BM340" s="1"/>
      <c r="BP340" s="1"/>
      <c r="BS340" s="1"/>
    </row>
    <row r="341" spans="1:71" x14ac:dyDescent="0.3">
      <c r="A341" s="19">
        <f t="shared" si="29"/>
        <v>46392</v>
      </c>
      <c r="B341">
        <f t="shared" ca="1" si="25"/>
        <v>-0.66666666666666663</v>
      </c>
      <c r="C341" t="str">
        <f ca="1">IF(currency="USD",'Future et co'!D341,IF(currency="EUR",'Future et co'!E341,IF(currency="GBP",'Future et co'!F341,FALSE)))</f>
        <v>RFR USD</v>
      </c>
      <c r="D341" t="str">
        <f t="shared" ca="1" si="26"/>
        <v>RFR USD</v>
      </c>
      <c r="E341" t="str">
        <f t="shared" ca="1" si="27"/>
        <v>RFR EUR</v>
      </c>
      <c r="F341" t="str">
        <f t="shared" ca="1" si="28"/>
        <v>RFR GBP</v>
      </c>
      <c r="J341" s="1"/>
      <c r="N341" s="1"/>
      <c r="R341" s="1"/>
      <c r="V341" s="1"/>
      <c r="AB341" s="1"/>
      <c r="AF341" s="1"/>
      <c r="AJ341" s="1"/>
      <c r="AN341" s="1"/>
      <c r="AS341" s="1"/>
      <c r="AX341" s="1"/>
      <c r="BA341" s="1"/>
      <c r="BC341" s="1"/>
      <c r="BD341" s="1"/>
      <c r="BG341" s="1"/>
      <c r="BJ341" s="1"/>
      <c r="BM341" s="1"/>
      <c r="BP341" s="1"/>
      <c r="BS341" s="1"/>
    </row>
    <row r="342" spans="1:71" x14ac:dyDescent="0.3">
      <c r="A342" s="19">
        <f t="shared" si="29"/>
        <v>46393</v>
      </c>
      <c r="B342">
        <f t="shared" ca="1" si="25"/>
        <v>-0.6694444444444444</v>
      </c>
      <c r="C342" t="str">
        <f ca="1">IF(currency="USD",'Future et co'!D342,IF(currency="EUR",'Future et co'!E342,IF(currency="GBP",'Future et co'!F342,FALSE)))</f>
        <v>RFR USD</v>
      </c>
      <c r="D342" t="str">
        <f t="shared" ca="1" si="26"/>
        <v>RFR USD</v>
      </c>
      <c r="E342" t="str">
        <f t="shared" ca="1" si="27"/>
        <v>RFR EUR</v>
      </c>
      <c r="F342" t="str">
        <f t="shared" ca="1" si="28"/>
        <v>RFR GBP</v>
      </c>
      <c r="J342" s="1"/>
      <c r="N342" s="1"/>
      <c r="R342" s="1"/>
      <c r="V342" s="1"/>
      <c r="AB342" s="1"/>
      <c r="AF342" s="1"/>
      <c r="AJ342" s="1"/>
      <c r="AN342" s="1"/>
      <c r="AS342" s="1"/>
      <c r="AX342" s="1"/>
      <c r="BA342" s="1"/>
      <c r="BC342" s="1"/>
      <c r="BD342" s="1"/>
      <c r="BG342" s="1"/>
      <c r="BJ342" s="1"/>
      <c r="BM342" s="1"/>
      <c r="BP342" s="1"/>
      <c r="BS342" s="1"/>
    </row>
    <row r="343" spans="1:71" x14ac:dyDescent="0.3">
      <c r="A343" s="19">
        <f t="shared" si="29"/>
        <v>46394</v>
      </c>
      <c r="B343">
        <f t="shared" ca="1" si="25"/>
        <v>-0.67222222222222228</v>
      </c>
      <c r="C343" t="str">
        <f ca="1">IF(currency="USD",'Future et co'!D343,IF(currency="EUR",'Future et co'!E343,IF(currency="GBP",'Future et co'!F343,FALSE)))</f>
        <v>RFR USD</v>
      </c>
      <c r="D343" t="str">
        <f t="shared" ca="1" si="26"/>
        <v>RFR USD</v>
      </c>
      <c r="E343" t="str">
        <f t="shared" ca="1" si="27"/>
        <v>RFR EUR</v>
      </c>
      <c r="F343" t="str">
        <f t="shared" ca="1" si="28"/>
        <v>RFR GBP</v>
      </c>
      <c r="J343" s="1"/>
      <c r="N343" s="1"/>
      <c r="R343" s="1"/>
      <c r="V343" s="1"/>
      <c r="AB343" s="1"/>
      <c r="AF343" s="1"/>
      <c r="AJ343" s="1"/>
      <c r="AN343" s="1"/>
      <c r="AS343" s="1"/>
      <c r="AX343" s="1"/>
      <c r="BA343" s="1"/>
      <c r="BC343" s="1"/>
      <c r="BD343" s="1"/>
      <c r="BG343" s="1"/>
      <c r="BJ343" s="1"/>
      <c r="BM343" s="1"/>
      <c r="BP343" s="1"/>
      <c r="BS343" s="1"/>
    </row>
    <row r="344" spans="1:71" x14ac:dyDescent="0.3">
      <c r="A344" s="19">
        <f t="shared" si="29"/>
        <v>46395</v>
      </c>
      <c r="B344">
        <f t="shared" ca="1" si="25"/>
        <v>-0.67500000000000004</v>
      </c>
      <c r="C344" t="str">
        <f ca="1">IF(currency="USD",'Future et co'!D344,IF(currency="EUR",'Future et co'!E344,IF(currency="GBP",'Future et co'!F344,FALSE)))</f>
        <v>RFR USD</v>
      </c>
      <c r="D344" t="str">
        <f t="shared" ca="1" si="26"/>
        <v>RFR USD</v>
      </c>
      <c r="E344" t="str">
        <f t="shared" ca="1" si="27"/>
        <v>RFR EUR</v>
      </c>
      <c r="F344" t="str">
        <f t="shared" ca="1" si="28"/>
        <v>RFR GBP</v>
      </c>
      <c r="J344" s="1"/>
      <c r="N344" s="1"/>
      <c r="R344" s="1"/>
      <c r="V344" s="1"/>
      <c r="AB344" s="1"/>
      <c r="AF344" s="1"/>
      <c r="AJ344" s="1"/>
      <c r="AN344" s="1"/>
      <c r="AS344" s="1"/>
      <c r="AX344" s="1"/>
      <c r="BA344" s="1"/>
      <c r="BC344" s="1"/>
      <c r="BD344" s="1"/>
      <c r="BG344" s="1"/>
      <c r="BJ344" s="1"/>
      <c r="BM344" s="1"/>
      <c r="BP344" s="1"/>
      <c r="BS344" s="1"/>
    </row>
    <row r="345" spans="1:71" x14ac:dyDescent="0.3">
      <c r="A345" s="19">
        <f t="shared" si="29"/>
        <v>46398</v>
      </c>
      <c r="B345">
        <f t="shared" ca="1" si="25"/>
        <v>-0.68333333333333335</v>
      </c>
      <c r="C345" t="str">
        <f ca="1">IF(currency="USD",'Future et co'!D345,IF(currency="EUR",'Future et co'!E345,IF(currency="GBP",'Future et co'!F345,FALSE)))</f>
        <v>RFR USD</v>
      </c>
      <c r="D345" t="str">
        <f t="shared" ca="1" si="26"/>
        <v>RFR USD</v>
      </c>
      <c r="E345" t="str">
        <f t="shared" ca="1" si="27"/>
        <v>RFR EUR</v>
      </c>
      <c r="F345" t="str">
        <f t="shared" ca="1" si="28"/>
        <v>RFR GBP</v>
      </c>
      <c r="J345" s="1"/>
      <c r="N345" s="1"/>
      <c r="R345" s="1"/>
      <c r="V345" s="1"/>
      <c r="AB345" s="1"/>
      <c r="AF345" s="1"/>
      <c r="AJ345" s="1"/>
      <c r="AN345" s="1"/>
      <c r="AS345" s="1"/>
      <c r="AX345" s="1"/>
      <c r="BA345" s="1"/>
      <c r="BC345" s="1"/>
      <c r="BD345" s="1"/>
      <c r="BG345" s="1"/>
      <c r="BJ345" s="1"/>
      <c r="BM345" s="1"/>
      <c r="BP345" s="1"/>
      <c r="BS345" s="1"/>
    </row>
    <row r="346" spans="1:71" x14ac:dyDescent="0.3">
      <c r="A346" s="19">
        <f t="shared" si="29"/>
        <v>46399</v>
      </c>
      <c r="B346">
        <f t="shared" ca="1" si="25"/>
        <v>-0.68611111111111112</v>
      </c>
      <c r="C346" t="str">
        <f ca="1">IF(currency="USD",'Future et co'!D346,IF(currency="EUR",'Future et co'!E346,IF(currency="GBP",'Future et co'!F346,FALSE)))</f>
        <v>RFR USD</v>
      </c>
      <c r="D346" t="str">
        <f t="shared" ca="1" si="26"/>
        <v>RFR USD</v>
      </c>
      <c r="E346" t="str">
        <f t="shared" ca="1" si="27"/>
        <v>RFR EUR</v>
      </c>
      <c r="F346" t="str">
        <f t="shared" ca="1" si="28"/>
        <v>RFR GBP</v>
      </c>
      <c r="J346" s="1"/>
      <c r="N346" s="1"/>
      <c r="R346" s="1"/>
      <c r="V346" s="1"/>
      <c r="AB346" s="1"/>
      <c r="AF346" s="1"/>
      <c r="AJ346" s="1"/>
      <c r="AN346" s="1"/>
      <c r="AS346" s="1"/>
      <c r="AX346" s="1"/>
      <c r="BA346" s="1"/>
      <c r="BC346" s="1"/>
      <c r="BD346" s="1"/>
      <c r="BG346" s="1"/>
      <c r="BJ346" s="1"/>
      <c r="BM346" s="1"/>
      <c r="BP346" s="1"/>
      <c r="BS346" s="1"/>
    </row>
    <row r="347" spans="1:71" x14ac:dyDescent="0.3">
      <c r="A347" s="19">
        <f t="shared" si="29"/>
        <v>46400</v>
      </c>
      <c r="B347">
        <f t="shared" ca="1" si="25"/>
        <v>-0.68888888888888888</v>
      </c>
      <c r="C347" t="str">
        <f ca="1">IF(currency="USD",'Future et co'!D347,IF(currency="EUR",'Future et co'!E347,IF(currency="GBP",'Future et co'!F347,FALSE)))</f>
        <v>RFR USD</v>
      </c>
      <c r="D347" t="str">
        <f t="shared" ca="1" si="26"/>
        <v>RFR USD</v>
      </c>
      <c r="E347" t="str">
        <f t="shared" ca="1" si="27"/>
        <v>RFR EUR</v>
      </c>
      <c r="F347" t="str">
        <f t="shared" ca="1" si="28"/>
        <v>RFR GBP</v>
      </c>
      <c r="J347" s="1"/>
      <c r="N347" s="1"/>
      <c r="R347" s="1"/>
      <c r="V347" s="1"/>
      <c r="AB347" s="1"/>
      <c r="AF347" s="1"/>
      <c r="AJ347" s="1"/>
      <c r="AN347" s="1"/>
      <c r="AS347" s="1"/>
      <c r="AX347" s="1"/>
      <c r="BA347" s="1"/>
      <c r="BC347" s="1"/>
      <c r="BD347" s="1"/>
      <c r="BG347" s="1"/>
      <c r="BJ347" s="1"/>
      <c r="BM347" s="1"/>
      <c r="BP347" s="1"/>
      <c r="BS347" s="1"/>
    </row>
    <row r="348" spans="1:71" x14ac:dyDescent="0.3">
      <c r="A348" s="19">
        <f t="shared" si="29"/>
        <v>46401</v>
      </c>
      <c r="B348">
        <f t="shared" ca="1" si="25"/>
        <v>-0.69166666666666665</v>
      </c>
      <c r="C348" t="str">
        <f ca="1">IF(currency="USD",'Future et co'!D348,IF(currency="EUR",'Future et co'!E348,IF(currency="GBP",'Future et co'!F348,FALSE)))</f>
        <v>RFR USD</v>
      </c>
      <c r="D348" t="str">
        <f t="shared" ca="1" si="26"/>
        <v>RFR USD</v>
      </c>
      <c r="E348" t="str">
        <f t="shared" ca="1" si="27"/>
        <v>RFR EUR</v>
      </c>
      <c r="F348" t="str">
        <f t="shared" ca="1" si="28"/>
        <v>RFR GBP</v>
      </c>
      <c r="J348" s="1"/>
      <c r="N348" s="1"/>
      <c r="R348" s="1"/>
      <c r="V348" s="1"/>
      <c r="AB348" s="1"/>
      <c r="AF348" s="1"/>
      <c r="AJ348" s="1"/>
      <c r="AN348" s="1"/>
      <c r="AS348" s="1"/>
      <c r="AX348" s="1"/>
      <c r="BA348" s="1"/>
      <c r="BC348" s="1"/>
      <c r="BD348" s="1"/>
      <c r="BG348" s="1"/>
      <c r="BJ348" s="1"/>
      <c r="BM348" s="1"/>
      <c r="BP348" s="1"/>
      <c r="BS348" s="1"/>
    </row>
    <row r="349" spans="1:71" x14ac:dyDescent="0.3">
      <c r="A349" s="19">
        <f t="shared" si="29"/>
        <v>46402</v>
      </c>
      <c r="B349">
        <f t="shared" ca="1" si="25"/>
        <v>-0.69444444444444442</v>
      </c>
      <c r="C349" t="str">
        <f ca="1">IF(currency="USD",'Future et co'!D349,IF(currency="EUR",'Future et co'!E349,IF(currency="GBP",'Future et co'!F349,FALSE)))</f>
        <v>RFR USD</v>
      </c>
      <c r="D349" t="str">
        <f t="shared" ca="1" si="26"/>
        <v>RFR USD</v>
      </c>
      <c r="E349" t="str">
        <f t="shared" ca="1" si="27"/>
        <v>RFR EUR</v>
      </c>
      <c r="F349" t="str">
        <f t="shared" ca="1" si="28"/>
        <v>RFR GBP</v>
      </c>
      <c r="J349" s="1"/>
      <c r="N349" s="1"/>
      <c r="R349" s="1"/>
      <c r="V349" s="1"/>
      <c r="AB349" s="1"/>
      <c r="AF349" s="1"/>
      <c r="AJ349" s="1"/>
      <c r="AN349" s="1"/>
      <c r="AS349" s="1"/>
      <c r="AX349" s="1"/>
      <c r="BA349" s="1"/>
      <c r="BC349" s="1"/>
      <c r="BD349" s="1"/>
      <c r="BG349" s="1"/>
      <c r="BJ349" s="1"/>
      <c r="BM349" s="1"/>
      <c r="BP349" s="1"/>
      <c r="BS349" s="1"/>
    </row>
    <row r="350" spans="1:71" x14ac:dyDescent="0.3">
      <c r="A350" s="19">
        <f t="shared" si="29"/>
        <v>46405</v>
      </c>
      <c r="B350">
        <f t="shared" ca="1" si="25"/>
        <v>-0.70277777777777772</v>
      </c>
      <c r="C350" t="str">
        <f ca="1">IF(currency="USD",'Future et co'!D350,IF(currency="EUR",'Future et co'!E350,IF(currency="GBP",'Future et co'!F350,FALSE)))</f>
        <v>RFR USD</v>
      </c>
      <c r="D350" t="str">
        <f t="shared" ca="1" si="26"/>
        <v>RFR USD</v>
      </c>
      <c r="E350" t="str">
        <f t="shared" ca="1" si="27"/>
        <v>RFR EUR</v>
      </c>
      <c r="F350" t="str">
        <f t="shared" ca="1" si="28"/>
        <v>RFR GBP</v>
      </c>
      <c r="J350" s="1"/>
      <c r="N350" s="1"/>
      <c r="R350" s="1"/>
      <c r="V350" s="1"/>
      <c r="AB350" s="1"/>
      <c r="AF350" s="1"/>
      <c r="AJ350" s="1"/>
      <c r="AN350" s="1"/>
      <c r="AS350" s="1"/>
      <c r="AX350" s="1"/>
      <c r="BA350" s="1"/>
      <c r="BC350" s="1"/>
      <c r="BD350" s="1"/>
      <c r="BG350" s="1"/>
      <c r="BJ350" s="1"/>
      <c r="BM350" s="1"/>
      <c r="BP350" s="1"/>
      <c r="BS350" s="1"/>
    </row>
    <row r="351" spans="1:71" x14ac:dyDescent="0.3">
      <c r="A351" s="19">
        <f t="shared" si="29"/>
        <v>46406</v>
      </c>
      <c r="B351">
        <f t="shared" ca="1" si="25"/>
        <v>-0.7055555555555556</v>
      </c>
      <c r="C351" t="str">
        <f ca="1">IF(currency="USD",'Future et co'!D351,IF(currency="EUR",'Future et co'!E351,IF(currency="GBP",'Future et co'!F351,FALSE)))</f>
        <v>RFR USD</v>
      </c>
      <c r="D351" t="str">
        <f t="shared" ca="1" si="26"/>
        <v>RFR USD</v>
      </c>
      <c r="E351" t="str">
        <f t="shared" ca="1" si="27"/>
        <v>RFR EUR</v>
      </c>
      <c r="F351" t="str">
        <f t="shared" ca="1" si="28"/>
        <v>RFR GBP</v>
      </c>
      <c r="J351" s="1"/>
      <c r="N351" s="1"/>
      <c r="R351" s="1"/>
      <c r="V351" s="1"/>
      <c r="AB351" s="1"/>
      <c r="AF351" s="1"/>
      <c r="AJ351" s="1"/>
      <c r="AN351" s="1"/>
      <c r="AS351" s="1"/>
      <c r="AX351" s="1"/>
      <c r="BA351" s="1"/>
      <c r="BC351" s="1"/>
      <c r="BD351" s="1"/>
      <c r="BG351" s="1"/>
      <c r="BJ351" s="1"/>
      <c r="BM351" s="1"/>
      <c r="BP351" s="1"/>
      <c r="BS351" s="1"/>
    </row>
    <row r="352" spans="1:71" x14ac:dyDescent="0.3">
      <c r="A352" s="19">
        <f t="shared" si="29"/>
        <v>46407</v>
      </c>
      <c r="B352">
        <f t="shared" ca="1" si="25"/>
        <v>-0.70833333333333337</v>
      </c>
      <c r="C352" t="str">
        <f ca="1">IF(currency="USD",'Future et co'!D352,IF(currency="EUR",'Future et co'!E352,IF(currency="GBP",'Future et co'!F352,FALSE)))</f>
        <v>RFR USD</v>
      </c>
      <c r="D352" t="str">
        <f t="shared" ca="1" si="26"/>
        <v>RFR USD</v>
      </c>
      <c r="E352" t="str">
        <f t="shared" ca="1" si="27"/>
        <v>RFR EUR</v>
      </c>
      <c r="F352" t="str">
        <f t="shared" ca="1" si="28"/>
        <v>RFR GBP</v>
      </c>
      <c r="J352" s="1"/>
      <c r="N352" s="1"/>
      <c r="R352" s="1"/>
      <c r="V352" s="1"/>
      <c r="AB352" s="1"/>
      <c r="AF352" s="1"/>
      <c r="AJ352" s="1"/>
      <c r="AN352" s="1"/>
      <c r="AS352" s="1"/>
      <c r="AX352" s="1"/>
      <c r="BA352" s="1"/>
      <c r="BC352" s="1"/>
      <c r="BD352" s="1"/>
      <c r="BG352" s="1"/>
      <c r="BJ352" s="1"/>
      <c r="BM352" s="1"/>
      <c r="BP352" s="1"/>
      <c r="BS352" s="1"/>
    </row>
    <row r="353" spans="1:71" x14ac:dyDescent="0.3">
      <c r="A353" s="19">
        <f t="shared" si="29"/>
        <v>46408</v>
      </c>
      <c r="B353">
        <f t="shared" ca="1" si="25"/>
        <v>-0.71111111111111114</v>
      </c>
      <c r="C353" t="str">
        <f ca="1">IF(currency="USD",'Future et co'!D353,IF(currency="EUR",'Future et co'!E353,IF(currency="GBP",'Future et co'!F353,FALSE)))</f>
        <v>RFR USD</v>
      </c>
      <c r="D353" t="str">
        <f t="shared" ca="1" si="26"/>
        <v>RFR USD</v>
      </c>
      <c r="E353" t="str">
        <f t="shared" ca="1" si="27"/>
        <v>RFR EUR</v>
      </c>
      <c r="F353" t="str">
        <f t="shared" ca="1" si="28"/>
        <v>RFR GBP</v>
      </c>
      <c r="J353" s="1"/>
      <c r="N353" s="1"/>
      <c r="R353" s="1"/>
      <c r="V353" s="1"/>
      <c r="AB353" s="1"/>
      <c r="AF353" s="1"/>
      <c r="AJ353" s="1"/>
      <c r="AN353" s="1"/>
      <c r="AS353" s="1"/>
      <c r="AX353" s="1"/>
      <c r="BA353" s="1"/>
      <c r="BC353" s="1"/>
      <c r="BD353" s="1"/>
      <c r="BG353" s="1"/>
      <c r="BJ353" s="1"/>
      <c r="BM353" s="1"/>
      <c r="BP353" s="1"/>
      <c r="BS353" s="1"/>
    </row>
    <row r="354" spans="1:71" x14ac:dyDescent="0.3">
      <c r="A354" s="19">
        <f t="shared" si="29"/>
        <v>46409</v>
      </c>
      <c r="B354">
        <f t="shared" ca="1" si="25"/>
        <v>-0.71388888888888891</v>
      </c>
      <c r="C354" t="str">
        <f ca="1">IF(currency="USD",'Future et co'!D354,IF(currency="EUR",'Future et co'!E354,IF(currency="GBP",'Future et co'!F354,FALSE)))</f>
        <v>RFR USD</v>
      </c>
      <c r="D354" t="str">
        <f t="shared" ca="1" si="26"/>
        <v>RFR USD</v>
      </c>
      <c r="E354" t="str">
        <f t="shared" ca="1" si="27"/>
        <v>RFR EUR</v>
      </c>
      <c r="F354" t="str">
        <f t="shared" ca="1" si="28"/>
        <v>RFR GBP</v>
      </c>
      <c r="J354" s="1"/>
      <c r="N354" s="1"/>
      <c r="R354" s="1"/>
      <c r="V354" s="1"/>
      <c r="AB354" s="1"/>
      <c r="AF354" s="1"/>
      <c r="AJ354" s="1"/>
      <c r="AN354" s="1"/>
      <c r="AS354" s="1"/>
      <c r="AX354" s="1"/>
      <c r="BA354" s="1"/>
      <c r="BC354" s="1"/>
      <c r="BD354" s="1"/>
      <c r="BG354" s="1"/>
      <c r="BJ354" s="1"/>
      <c r="BM354" s="1"/>
      <c r="BP354" s="1"/>
      <c r="BS354" s="1"/>
    </row>
    <row r="355" spans="1:71" x14ac:dyDescent="0.3">
      <c r="A355" s="19">
        <f t="shared" si="29"/>
        <v>46412</v>
      </c>
      <c r="B355">
        <f t="shared" ca="1" si="25"/>
        <v>-0.72222222222222221</v>
      </c>
      <c r="C355" t="str">
        <f ca="1">IF(currency="USD",'Future et co'!D355,IF(currency="EUR",'Future et co'!E355,IF(currency="GBP",'Future et co'!F355,FALSE)))</f>
        <v>RFR USD</v>
      </c>
      <c r="D355" t="str">
        <f t="shared" ca="1" si="26"/>
        <v>RFR USD</v>
      </c>
      <c r="E355" t="str">
        <f t="shared" ca="1" si="27"/>
        <v>RFR EUR</v>
      </c>
      <c r="F355" t="str">
        <f t="shared" ca="1" si="28"/>
        <v>RFR GBP</v>
      </c>
      <c r="J355" s="1"/>
      <c r="N355" s="1"/>
      <c r="R355" s="1"/>
      <c r="V355" s="1"/>
      <c r="AB355" s="1"/>
      <c r="AF355" s="1"/>
      <c r="AJ355" s="1"/>
      <c r="AN355" s="1"/>
      <c r="AS355" s="1"/>
      <c r="AX355" s="1"/>
      <c r="BA355" s="1"/>
      <c r="BC355" s="1"/>
      <c r="BD355" s="1"/>
      <c r="BG355" s="1"/>
      <c r="BJ355" s="1"/>
      <c r="BM355" s="1"/>
      <c r="BP355" s="1"/>
      <c r="BS355" s="1"/>
    </row>
    <row r="356" spans="1:71" x14ac:dyDescent="0.3">
      <c r="A356" s="19">
        <f t="shared" si="29"/>
        <v>46413</v>
      </c>
      <c r="B356">
        <f t="shared" ca="1" si="25"/>
        <v>-0.72499999999999998</v>
      </c>
      <c r="C356" t="str">
        <f ca="1">IF(currency="USD",'Future et co'!D356,IF(currency="EUR",'Future et co'!E356,IF(currency="GBP",'Future et co'!F356,FALSE)))</f>
        <v>RFR USD</v>
      </c>
      <c r="D356" t="str">
        <f t="shared" ca="1" si="26"/>
        <v>RFR USD</v>
      </c>
      <c r="E356" t="str">
        <f t="shared" ca="1" si="27"/>
        <v>RFR EUR</v>
      </c>
      <c r="F356" t="str">
        <f t="shared" ca="1" si="28"/>
        <v>RFR GBP</v>
      </c>
      <c r="J356" s="1"/>
      <c r="N356" s="1"/>
      <c r="R356" s="1"/>
      <c r="V356" s="1"/>
      <c r="AB356" s="1"/>
      <c r="AF356" s="1"/>
      <c r="AJ356" s="1"/>
      <c r="AN356" s="1"/>
      <c r="AS356" s="1"/>
      <c r="AX356" s="1"/>
      <c r="BA356" s="1"/>
      <c r="BC356" s="1"/>
      <c r="BD356" s="1"/>
      <c r="BG356" s="1"/>
      <c r="BJ356" s="1"/>
      <c r="BM356" s="1"/>
      <c r="BP356" s="1"/>
      <c r="BS356" s="1"/>
    </row>
    <row r="357" spans="1:71" x14ac:dyDescent="0.3">
      <c r="A357" s="19">
        <f t="shared" si="29"/>
        <v>46414</v>
      </c>
      <c r="B357">
        <f t="shared" ca="1" si="25"/>
        <v>-0.72777777777777775</v>
      </c>
      <c r="C357" t="str">
        <f ca="1">IF(currency="USD",'Future et co'!D357,IF(currency="EUR",'Future et co'!E357,IF(currency="GBP",'Future et co'!F357,FALSE)))</f>
        <v>RFR USD</v>
      </c>
      <c r="D357" t="str">
        <f t="shared" ca="1" si="26"/>
        <v>RFR USD</v>
      </c>
      <c r="E357" t="str">
        <f t="shared" ca="1" si="27"/>
        <v>RFR EUR</v>
      </c>
      <c r="F357" t="str">
        <f t="shared" ca="1" si="28"/>
        <v>RFR GBP</v>
      </c>
      <c r="J357" s="1"/>
      <c r="N357" s="1"/>
      <c r="R357" s="1"/>
      <c r="V357" s="1"/>
      <c r="AB357" s="1"/>
      <c r="AF357" s="1"/>
      <c r="AJ357" s="1"/>
      <c r="AN357" s="1"/>
      <c r="AS357" s="1"/>
      <c r="AX357" s="1"/>
      <c r="BA357" s="1"/>
      <c r="BC357" s="1"/>
      <c r="BD357" s="1"/>
      <c r="BG357" s="1"/>
      <c r="BJ357" s="1"/>
      <c r="BM357" s="1"/>
      <c r="BP357" s="1"/>
      <c r="BS357" s="1"/>
    </row>
    <row r="358" spans="1:71" x14ac:dyDescent="0.3">
      <c r="A358" s="19">
        <f t="shared" si="29"/>
        <v>46415</v>
      </c>
      <c r="B358">
        <f t="shared" ca="1" si="25"/>
        <v>-0.73055555555555551</v>
      </c>
      <c r="C358" t="str">
        <f ca="1">IF(currency="USD",'Future et co'!D358,IF(currency="EUR",'Future et co'!E358,IF(currency="GBP",'Future et co'!F358,FALSE)))</f>
        <v>RFR USD</v>
      </c>
      <c r="D358" t="str">
        <f t="shared" ca="1" si="26"/>
        <v>RFR USD</v>
      </c>
      <c r="E358" t="str">
        <f t="shared" ca="1" si="27"/>
        <v>RFR EUR</v>
      </c>
      <c r="F358" t="str">
        <f t="shared" ca="1" si="28"/>
        <v>RFR GBP</v>
      </c>
      <c r="J358" s="1"/>
      <c r="N358" s="1"/>
      <c r="R358" s="1"/>
      <c r="V358" s="1"/>
      <c r="AB358" s="1"/>
      <c r="AF358" s="1"/>
      <c r="AJ358" s="1"/>
      <c r="AN358" s="1"/>
      <c r="AS358" s="1"/>
      <c r="AX358" s="1"/>
      <c r="BA358" s="1"/>
      <c r="BC358" s="1"/>
      <c r="BD358" s="1"/>
      <c r="BG358" s="1"/>
      <c r="BJ358" s="1"/>
      <c r="BM358" s="1"/>
      <c r="BP358" s="1"/>
      <c r="BS358" s="1"/>
    </row>
    <row r="359" spans="1:71" x14ac:dyDescent="0.3">
      <c r="A359" s="19">
        <f t="shared" si="29"/>
        <v>46416</v>
      </c>
      <c r="B359">
        <f t="shared" ca="1" si="25"/>
        <v>-0.73333333333333328</v>
      </c>
      <c r="C359" t="str">
        <f ca="1">IF(currency="USD",'Future et co'!D359,IF(currency="EUR",'Future et co'!E359,IF(currency="GBP",'Future et co'!F359,FALSE)))</f>
        <v>RFR USD</v>
      </c>
      <c r="D359" t="str">
        <f t="shared" ca="1" si="26"/>
        <v>RFR USD</v>
      </c>
      <c r="E359" t="str">
        <f t="shared" ca="1" si="27"/>
        <v>RFR EUR</v>
      </c>
      <c r="F359" t="str">
        <f t="shared" ca="1" si="28"/>
        <v>RFR GBP</v>
      </c>
      <c r="J359" s="1"/>
      <c r="N359" s="1"/>
      <c r="R359" s="1"/>
      <c r="V359" s="1"/>
      <c r="AB359" s="1"/>
      <c r="AF359" s="1"/>
      <c r="AJ359" s="1"/>
      <c r="AN359" s="1"/>
      <c r="AS359" s="1"/>
      <c r="AX359" s="1"/>
      <c r="BA359" s="1"/>
      <c r="BC359" s="1"/>
      <c r="BD359" s="1"/>
      <c r="BG359" s="1"/>
      <c r="BJ359" s="1"/>
      <c r="BM359" s="1"/>
      <c r="BP359" s="1"/>
      <c r="BS359" s="1"/>
    </row>
    <row r="360" spans="1:71" x14ac:dyDescent="0.3">
      <c r="A360" s="19">
        <f t="shared" si="29"/>
        <v>46419</v>
      </c>
      <c r="B360">
        <f t="shared" ca="1" si="25"/>
        <v>-0.7416666666666667</v>
      </c>
      <c r="C360" t="str">
        <f ca="1">IF(currency="USD",'Future et co'!D360,IF(currency="EUR",'Future et co'!E360,IF(currency="GBP",'Future et co'!F360,FALSE)))</f>
        <v>RFR USD</v>
      </c>
      <c r="D360" t="str">
        <f t="shared" ca="1" si="26"/>
        <v>RFR USD</v>
      </c>
      <c r="E360" t="str">
        <f t="shared" ca="1" si="27"/>
        <v>RFR EUR</v>
      </c>
      <c r="F360" t="str">
        <f t="shared" ca="1" si="28"/>
        <v>RFR GBP</v>
      </c>
      <c r="J360" s="1"/>
      <c r="N360" s="1"/>
      <c r="R360" s="1"/>
      <c r="V360" s="1"/>
      <c r="AB360" s="1"/>
      <c r="AF360" s="1"/>
      <c r="AJ360" s="1"/>
      <c r="AN360" s="1"/>
      <c r="AS360" s="1"/>
      <c r="AX360" s="1"/>
      <c r="BA360" s="1"/>
      <c r="BC360" s="1"/>
      <c r="BD360" s="1"/>
      <c r="BG360" s="1"/>
      <c r="BJ360" s="1"/>
      <c r="BM360" s="1"/>
      <c r="BP360" s="1"/>
      <c r="BS360" s="1"/>
    </row>
    <row r="361" spans="1:71" x14ac:dyDescent="0.3">
      <c r="A361" s="19">
        <f t="shared" si="29"/>
        <v>46420</v>
      </c>
      <c r="B361">
        <f t="shared" ca="1" si="25"/>
        <v>-0.74444444444444446</v>
      </c>
      <c r="C361" t="str">
        <f ca="1">IF(currency="USD",'Future et co'!D361,IF(currency="EUR",'Future et co'!E361,IF(currency="GBP",'Future et co'!F361,FALSE)))</f>
        <v>RFR USD</v>
      </c>
      <c r="D361" t="str">
        <f t="shared" ca="1" si="26"/>
        <v>RFR USD</v>
      </c>
      <c r="E361" t="str">
        <f t="shared" ca="1" si="27"/>
        <v>RFR EUR</v>
      </c>
      <c r="F361" t="str">
        <f t="shared" ca="1" si="28"/>
        <v>RFR GBP</v>
      </c>
      <c r="J361" s="1"/>
      <c r="N361" s="1"/>
      <c r="R361" s="1"/>
      <c r="V361" s="1"/>
      <c r="AB361" s="1"/>
      <c r="AF361" s="1"/>
      <c r="AJ361" s="1"/>
      <c r="AN361" s="1"/>
      <c r="AS361" s="1"/>
      <c r="AX361" s="1"/>
      <c r="BA361" s="1"/>
      <c r="BC361" s="1"/>
      <c r="BD361" s="1"/>
      <c r="BG361" s="1"/>
      <c r="BJ361" s="1"/>
      <c r="BM361" s="1"/>
      <c r="BP361" s="1"/>
      <c r="BS361" s="1"/>
    </row>
    <row r="362" spans="1:71" x14ac:dyDescent="0.3">
      <c r="A362" s="19">
        <f t="shared" si="29"/>
        <v>46421</v>
      </c>
      <c r="B362">
        <f t="shared" ca="1" si="25"/>
        <v>-0.74722222222222223</v>
      </c>
      <c r="C362" t="str">
        <f ca="1">IF(currency="USD",'Future et co'!D362,IF(currency="EUR",'Future et co'!E362,IF(currency="GBP",'Future et co'!F362,FALSE)))</f>
        <v>RFR USD</v>
      </c>
      <c r="D362" t="str">
        <f t="shared" ca="1" si="26"/>
        <v>RFR USD</v>
      </c>
      <c r="E362" t="str">
        <f t="shared" ca="1" si="27"/>
        <v>RFR EUR</v>
      </c>
      <c r="F362" t="str">
        <f t="shared" ca="1" si="28"/>
        <v>RFR GBP</v>
      </c>
      <c r="J362" s="1"/>
      <c r="N362" s="1"/>
      <c r="R362" s="1"/>
      <c r="V362" s="1"/>
      <c r="AB362" s="1"/>
      <c r="AF362" s="1"/>
      <c r="AJ362" s="1"/>
      <c r="AN362" s="1"/>
      <c r="AS362" s="1"/>
      <c r="AX362" s="1"/>
      <c r="BA362" s="1"/>
      <c r="BC362" s="1"/>
      <c r="BD362" s="1"/>
      <c r="BG362" s="1"/>
      <c r="BJ362" s="1"/>
      <c r="BM362" s="1"/>
      <c r="BP362" s="1"/>
      <c r="BS362" s="1"/>
    </row>
    <row r="363" spans="1:71" x14ac:dyDescent="0.3">
      <c r="A363" s="19">
        <f t="shared" si="29"/>
        <v>46422</v>
      </c>
      <c r="B363">
        <f t="shared" ca="1" si="25"/>
        <v>-0.75</v>
      </c>
      <c r="C363" t="str">
        <f ca="1">IF(currency="USD",'Future et co'!D363,IF(currency="EUR",'Future et co'!E363,IF(currency="GBP",'Future et co'!F363,FALSE)))</f>
        <v>RFR USD</v>
      </c>
      <c r="D363" t="str">
        <f t="shared" ca="1" si="26"/>
        <v>RFR USD</v>
      </c>
      <c r="E363" t="str">
        <f t="shared" ca="1" si="27"/>
        <v>RFR EUR</v>
      </c>
      <c r="F363" t="str">
        <f t="shared" ca="1" si="28"/>
        <v>RFR GBP</v>
      </c>
      <c r="J363" s="1"/>
      <c r="N363" s="1"/>
      <c r="R363" s="1"/>
      <c r="V363" s="1"/>
      <c r="AB363" s="1"/>
      <c r="AF363" s="1"/>
      <c r="AJ363" s="1"/>
      <c r="AN363" s="1"/>
      <c r="AS363" s="1"/>
      <c r="AX363" s="1"/>
      <c r="BA363" s="1"/>
      <c r="BC363" s="1"/>
      <c r="BD363" s="1"/>
      <c r="BG363" s="1"/>
      <c r="BJ363" s="1"/>
      <c r="BM363" s="1"/>
      <c r="BP363" s="1"/>
      <c r="BS363" s="1"/>
    </row>
    <row r="364" spans="1:71" x14ac:dyDescent="0.3">
      <c r="A364" s="19">
        <f t="shared" si="29"/>
        <v>46423</v>
      </c>
      <c r="B364">
        <f t="shared" ca="1" si="25"/>
        <v>-0.75277777777777777</v>
      </c>
      <c r="C364" t="str">
        <f ca="1">IF(currency="USD",'Future et co'!D364,IF(currency="EUR",'Future et co'!E364,IF(currency="GBP",'Future et co'!F364,FALSE)))</f>
        <v>RFR USD</v>
      </c>
      <c r="D364" t="str">
        <f t="shared" ca="1" si="26"/>
        <v>RFR USD</v>
      </c>
      <c r="E364" t="str">
        <f t="shared" ca="1" si="27"/>
        <v>RFR EUR</v>
      </c>
      <c r="F364" t="str">
        <f t="shared" ca="1" si="28"/>
        <v>RFR GBP</v>
      </c>
      <c r="J364" s="1"/>
      <c r="N364" s="1"/>
      <c r="R364" s="1"/>
      <c r="V364" s="1"/>
      <c r="AB364" s="1"/>
      <c r="AF364" s="1"/>
      <c r="AJ364" s="1"/>
      <c r="AN364" s="1"/>
      <c r="AS364" s="1"/>
      <c r="AX364" s="1"/>
      <c r="BA364" s="1"/>
      <c r="BC364" s="1"/>
      <c r="BD364" s="1"/>
      <c r="BG364" s="1"/>
      <c r="BJ364" s="1"/>
      <c r="BM364" s="1"/>
      <c r="BP364" s="1"/>
      <c r="BS364" s="1"/>
    </row>
    <row r="365" spans="1:71" x14ac:dyDescent="0.3">
      <c r="A365" s="19">
        <f t="shared" si="29"/>
        <v>46426</v>
      </c>
      <c r="B365">
        <f t="shared" ca="1" si="25"/>
        <v>-0.76111111111111107</v>
      </c>
      <c r="C365" t="str">
        <f ca="1">IF(currency="USD",'Future et co'!D365,IF(currency="EUR",'Future et co'!E365,IF(currency="GBP",'Future et co'!F365,FALSE)))</f>
        <v>RFR USD</v>
      </c>
      <c r="D365" t="str">
        <f t="shared" ca="1" si="26"/>
        <v>RFR USD</v>
      </c>
      <c r="E365" t="str">
        <f t="shared" ca="1" si="27"/>
        <v>RFR EUR</v>
      </c>
      <c r="F365" t="str">
        <f t="shared" ca="1" si="28"/>
        <v>RFR GBP</v>
      </c>
      <c r="J365" s="1"/>
      <c r="N365" s="1"/>
      <c r="R365" s="1"/>
      <c r="V365" s="1"/>
      <c r="AB365" s="1"/>
      <c r="AF365" s="1"/>
      <c r="AJ365" s="1"/>
      <c r="AN365" s="1"/>
      <c r="AS365" s="1"/>
      <c r="AX365" s="1"/>
      <c r="BA365" s="1"/>
      <c r="BC365" s="1"/>
      <c r="BD365" s="1"/>
      <c r="BG365" s="1"/>
      <c r="BJ365" s="1"/>
      <c r="BM365" s="1"/>
      <c r="BP365" s="1"/>
      <c r="BS365" s="1"/>
    </row>
    <row r="366" spans="1:71" x14ac:dyDescent="0.3">
      <c r="A366" s="19">
        <f t="shared" si="29"/>
        <v>46427</v>
      </c>
      <c r="B366">
        <f t="shared" ca="1" si="25"/>
        <v>-0.76388888888888884</v>
      </c>
      <c r="C366" t="str">
        <f ca="1">IF(currency="USD",'Future et co'!D366,IF(currency="EUR",'Future et co'!E366,IF(currency="GBP",'Future et co'!F366,FALSE)))</f>
        <v>RFR USD</v>
      </c>
      <c r="D366" t="str">
        <f t="shared" ca="1" si="26"/>
        <v>RFR USD</v>
      </c>
      <c r="E366" t="str">
        <f t="shared" ca="1" si="27"/>
        <v>RFR EUR</v>
      </c>
      <c r="F366" t="str">
        <f t="shared" ca="1" si="28"/>
        <v>RFR GBP</v>
      </c>
      <c r="J366" s="1"/>
      <c r="N366" s="1"/>
      <c r="R366" s="1"/>
      <c r="V366" s="1"/>
      <c r="AB366" s="1"/>
      <c r="AF366" s="1"/>
      <c r="AJ366" s="1"/>
      <c r="AN366" s="1"/>
      <c r="AS366" s="1"/>
      <c r="AX366" s="1"/>
      <c r="BA366" s="1"/>
      <c r="BC366" s="1"/>
      <c r="BD366" s="1"/>
      <c r="BG366" s="1"/>
      <c r="BJ366" s="1"/>
      <c r="BM366" s="1"/>
      <c r="BP366" s="1"/>
      <c r="BS366" s="1"/>
    </row>
    <row r="367" spans="1:71" x14ac:dyDescent="0.3">
      <c r="A367" s="19">
        <f t="shared" si="29"/>
        <v>46428</v>
      </c>
      <c r="B367">
        <f t="shared" ca="1" si="25"/>
        <v>-0.76666666666666672</v>
      </c>
      <c r="C367" t="str">
        <f ca="1">IF(currency="USD",'Future et co'!D367,IF(currency="EUR",'Future et co'!E367,IF(currency="GBP",'Future et co'!F367,FALSE)))</f>
        <v>RFR USD</v>
      </c>
      <c r="D367" t="str">
        <f t="shared" ca="1" si="26"/>
        <v>RFR USD</v>
      </c>
      <c r="E367" t="str">
        <f t="shared" ca="1" si="27"/>
        <v>RFR EUR</v>
      </c>
      <c r="F367" t="str">
        <f t="shared" ca="1" si="28"/>
        <v>RFR GBP</v>
      </c>
      <c r="J367" s="1"/>
      <c r="N367" s="1"/>
      <c r="R367" s="1"/>
      <c r="V367" s="1"/>
      <c r="AB367" s="1"/>
      <c r="AF367" s="1"/>
      <c r="AJ367" s="1"/>
      <c r="AN367" s="1"/>
      <c r="AS367" s="1"/>
      <c r="AX367" s="1"/>
      <c r="BA367" s="1"/>
      <c r="BC367" s="1"/>
      <c r="BD367" s="1"/>
      <c r="BG367" s="1"/>
      <c r="BJ367" s="1"/>
      <c r="BM367" s="1"/>
      <c r="BP367" s="1"/>
      <c r="BS367" s="1"/>
    </row>
    <row r="368" spans="1:71" x14ac:dyDescent="0.3">
      <c r="A368" s="19">
        <f t="shared" si="29"/>
        <v>46429</v>
      </c>
      <c r="B368">
        <f t="shared" ca="1" si="25"/>
        <v>-0.76944444444444449</v>
      </c>
      <c r="C368" t="str">
        <f ca="1">IF(currency="USD",'Future et co'!D368,IF(currency="EUR",'Future et co'!E368,IF(currency="GBP",'Future et co'!F368,FALSE)))</f>
        <v>RFR USD</v>
      </c>
      <c r="D368" t="str">
        <f t="shared" ca="1" si="26"/>
        <v>RFR USD</v>
      </c>
      <c r="E368" t="str">
        <f t="shared" ca="1" si="27"/>
        <v>RFR EUR</v>
      </c>
      <c r="F368" t="str">
        <f t="shared" ca="1" si="28"/>
        <v>RFR GBP</v>
      </c>
      <c r="J368" s="1"/>
      <c r="N368" s="1"/>
      <c r="R368" s="1"/>
      <c r="V368" s="1"/>
      <c r="AB368" s="1"/>
      <c r="AF368" s="1"/>
      <c r="AJ368" s="1"/>
      <c r="AN368" s="1"/>
      <c r="AS368" s="1"/>
      <c r="AX368" s="1"/>
      <c r="BA368" s="1"/>
      <c r="BC368" s="1"/>
      <c r="BD368" s="1"/>
      <c r="BG368" s="1"/>
      <c r="BJ368" s="1"/>
      <c r="BM368" s="1"/>
      <c r="BP368" s="1"/>
      <c r="BS368" s="1"/>
    </row>
    <row r="369" spans="1:71" x14ac:dyDescent="0.3">
      <c r="A369" s="19">
        <f t="shared" si="29"/>
        <v>46430</v>
      </c>
      <c r="B369">
        <f t="shared" ca="1" si="25"/>
        <v>-0.77222222222222225</v>
      </c>
      <c r="C369" t="str">
        <f ca="1">IF(currency="USD",'Future et co'!D369,IF(currency="EUR",'Future et co'!E369,IF(currency="GBP",'Future et co'!F369,FALSE)))</f>
        <v>RFR USD</v>
      </c>
      <c r="D369" t="str">
        <f t="shared" ca="1" si="26"/>
        <v>RFR USD</v>
      </c>
      <c r="E369" t="str">
        <f t="shared" ca="1" si="27"/>
        <v>RFR EUR</v>
      </c>
      <c r="F369" t="str">
        <f t="shared" ca="1" si="28"/>
        <v>RFR GBP</v>
      </c>
      <c r="J369" s="1"/>
      <c r="N369" s="1"/>
      <c r="R369" s="1"/>
      <c r="V369" s="1"/>
      <c r="AB369" s="1"/>
      <c r="AF369" s="1"/>
      <c r="AJ369" s="1"/>
      <c r="AN369" s="1"/>
      <c r="AS369" s="1"/>
      <c r="AX369" s="1"/>
      <c r="BA369" s="1"/>
      <c r="BC369" s="1"/>
      <c r="BD369" s="1"/>
      <c r="BG369" s="1"/>
      <c r="BJ369" s="1"/>
      <c r="BM369" s="1"/>
      <c r="BP369" s="1"/>
      <c r="BS369" s="1"/>
    </row>
    <row r="370" spans="1:71" x14ac:dyDescent="0.3">
      <c r="A370" s="19">
        <f t="shared" si="29"/>
        <v>46433</v>
      </c>
      <c r="B370">
        <f t="shared" ca="1" si="25"/>
        <v>-0.78055555555555556</v>
      </c>
      <c r="C370" t="str">
        <f ca="1">IF(currency="USD",'Future et co'!D370,IF(currency="EUR",'Future et co'!E370,IF(currency="GBP",'Future et co'!F370,FALSE)))</f>
        <v>RFR USD</v>
      </c>
      <c r="D370" t="str">
        <f t="shared" ca="1" si="26"/>
        <v>RFR USD</v>
      </c>
      <c r="E370" t="str">
        <f t="shared" ca="1" si="27"/>
        <v>RFR EUR</v>
      </c>
      <c r="F370" t="str">
        <f t="shared" ca="1" si="28"/>
        <v>RFR GBP</v>
      </c>
      <c r="J370" s="1"/>
      <c r="N370" s="1"/>
      <c r="R370" s="1"/>
      <c r="V370" s="1"/>
      <c r="AB370" s="1"/>
      <c r="AF370" s="1"/>
      <c r="AJ370" s="1"/>
      <c r="AN370" s="1"/>
      <c r="AS370" s="1"/>
      <c r="AX370" s="1"/>
      <c r="BA370" s="1"/>
      <c r="BC370" s="1"/>
      <c r="BD370" s="1"/>
      <c r="BG370" s="1"/>
      <c r="BJ370" s="1"/>
      <c r="BM370" s="1"/>
      <c r="BP370" s="1"/>
      <c r="BS370" s="1"/>
    </row>
    <row r="371" spans="1:71" x14ac:dyDescent="0.3">
      <c r="A371" s="19">
        <f t="shared" si="29"/>
        <v>46434</v>
      </c>
      <c r="B371">
        <f t="shared" ca="1" si="25"/>
        <v>-0.78333333333333333</v>
      </c>
      <c r="C371" t="str">
        <f ca="1">IF(currency="USD",'Future et co'!D371,IF(currency="EUR",'Future et co'!E371,IF(currency="GBP",'Future et co'!F371,FALSE)))</f>
        <v>RFR USD</v>
      </c>
      <c r="D371" t="str">
        <f t="shared" ca="1" si="26"/>
        <v>RFR USD</v>
      </c>
      <c r="E371" t="str">
        <f t="shared" ca="1" si="27"/>
        <v>RFR EUR</v>
      </c>
      <c r="F371" t="str">
        <f t="shared" ca="1" si="28"/>
        <v>RFR GBP</v>
      </c>
      <c r="J371" s="1"/>
      <c r="N371" s="1"/>
      <c r="R371" s="1"/>
      <c r="V371" s="1"/>
      <c r="AB371" s="1"/>
      <c r="AF371" s="1"/>
      <c r="AJ371" s="1"/>
      <c r="AN371" s="1"/>
      <c r="AS371" s="1"/>
      <c r="AX371" s="1"/>
      <c r="BA371" s="1"/>
      <c r="BC371" s="1"/>
      <c r="BD371" s="1"/>
      <c r="BG371" s="1"/>
      <c r="BJ371" s="1"/>
      <c r="BM371" s="1"/>
      <c r="BP371" s="1"/>
      <c r="BS371" s="1"/>
    </row>
    <row r="372" spans="1:71" x14ac:dyDescent="0.3">
      <c r="A372" s="19">
        <f t="shared" si="29"/>
        <v>46435</v>
      </c>
      <c r="B372">
        <f t="shared" ca="1" si="25"/>
        <v>-0.78611111111111109</v>
      </c>
      <c r="C372" t="str">
        <f ca="1">IF(currency="USD",'Future et co'!D372,IF(currency="EUR",'Future et co'!E372,IF(currency="GBP",'Future et co'!F372,FALSE)))</f>
        <v>RFR USD</v>
      </c>
      <c r="D372" t="str">
        <f t="shared" ca="1" si="26"/>
        <v>RFR USD</v>
      </c>
      <c r="E372" t="str">
        <f t="shared" ca="1" si="27"/>
        <v>RFR EUR</v>
      </c>
      <c r="F372" t="str">
        <f t="shared" ca="1" si="28"/>
        <v>RFR GBP</v>
      </c>
      <c r="J372" s="1"/>
      <c r="N372" s="1"/>
      <c r="R372" s="1"/>
      <c r="V372" s="1"/>
      <c r="AB372" s="1"/>
      <c r="AF372" s="1"/>
      <c r="AJ372" s="1"/>
      <c r="AN372" s="1"/>
      <c r="AS372" s="1"/>
      <c r="AX372" s="1"/>
      <c r="BA372" s="1"/>
      <c r="BC372" s="1"/>
      <c r="BD372" s="1"/>
      <c r="BG372" s="1"/>
      <c r="BJ372" s="1"/>
      <c r="BM372" s="1"/>
      <c r="BP372" s="1"/>
      <c r="BS372" s="1"/>
    </row>
    <row r="373" spans="1:71" x14ac:dyDescent="0.3">
      <c r="A373" s="19">
        <f t="shared" si="29"/>
        <v>46436</v>
      </c>
      <c r="B373">
        <f t="shared" ca="1" si="25"/>
        <v>-0.78888888888888886</v>
      </c>
      <c r="C373" t="str">
        <f ca="1">IF(currency="USD",'Future et co'!D373,IF(currency="EUR",'Future et co'!E373,IF(currency="GBP",'Future et co'!F373,FALSE)))</f>
        <v>RFR USD</v>
      </c>
      <c r="D373" t="str">
        <f t="shared" ca="1" si="26"/>
        <v>RFR USD</v>
      </c>
      <c r="E373" t="str">
        <f t="shared" ca="1" si="27"/>
        <v>RFR EUR</v>
      </c>
      <c r="F373" t="str">
        <f t="shared" ca="1" si="28"/>
        <v>RFR GBP</v>
      </c>
      <c r="J373" s="1"/>
      <c r="N373" s="1"/>
      <c r="R373" s="1"/>
      <c r="V373" s="1"/>
      <c r="AB373" s="1"/>
      <c r="AF373" s="1"/>
      <c r="AJ373" s="1"/>
      <c r="AN373" s="1"/>
      <c r="AS373" s="1"/>
      <c r="AX373" s="1"/>
      <c r="BA373" s="1"/>
      <c r="BC373" s="1"/>
      <c r="BD373" s="1"/>
      <c r="BG373" s="1"/>
      <c r="BJ373" s="1"/>
      <c r="BM373" s="1"/>
      <c r="BP373" s="1"/>
      <c r="BS373" s="1"/>
    </row>
    <row r="374" spans="1:71" x14ac:dyDescent="0.3">
      <c r="A374" s="19">
        <f t="shared" si="29"/>
        <v>46437</v>
      </c>
      <c r="B374">
        <f t="shared" ca="1" si="25"/>
        <v>-0.79166666666666663</v>
      </c>
      <c r="C374" t="str">
        <f ca="1">IF(currency="USD",'Future et co'!D374,IF(currency="EUR",'Future et co'!E374,IF(currency="GBP",'Future et co'!F374,FALSE)))</f>
        <v>RFR USD</v>
      </c>
      <c r="D374" t="str">
        <f t="shared" ca="1" si="26"/>
        <v>RFR USD</v>
      </c>
      <c r="E374" t="str">
        <f t="shared" ca="1" si="27"/>
        <v>RFR EUR</v>
      </c>
      <c r="F374" t="str">
        <f t="shared" ca="1" si="28"/>
        <v>RFR GBP</v>
      </c>
      <c r="J374" s="1"/>
      <c r="N374" s="1"/>
      <c r="R374" s="1"/>
      <c r="V374" s="1"/>
      <c r="AB374" s="1"/>
      <c r="AF374" s="1"/>
      <c r="AJ374" s="1"/>
      <c r="AN374" s="1"/>
      <c r="AS374" s="1"/>
      <c r="AX374" s="1"/>
      <c r="BA374" s="1"/>
      <c r="BC374" s="1"/>
      <c r="BD374" s="1"/>
      <c r="BG374" s="1"/>
      <c r="BJ374" s="1"/>
      <c r="BM374" s="1"/>
      <c r="BP374" s="1"/>
      <c r="BS374" s="1"/>
    </row>
    <row r="375" spans="1:71" x14ac:dyDescent="0.3">
      <c r="A375" s="19">
        <f t="shared" si="29"/>
        <v>46440</v>
      </c>
      <c r="B375">
        <f t="shared" ca="1" si="25"/>
        <v>-0.8</v>
      </c>
      <c r="C375" t="str">
        <f ca="1">IF(currency="USD",'Future et co'!D375,IF(currency="EUR",'Future et co'!E375,IF(currency="GBP",'Future et co'!F375,FALSE)))</f>
        <v>RFR USD</v>
      </c>
      <c r="D375" t="str">
        <f t="shared" ca="1" si="26"/>
        <v>RFR USD</v>
      </c>
      <c r="E375" t="str">
        <f t="shared" ca="1" si="27"/>
        <v>RFR EUR</v>
      </c>
      <c r="F375" t="str">
        <f t="shared" ca="1" si="28"/>
        <v>RFR GBP</v>
      </c>
      <c r="J375" s="1"/>
      <c r="N375" s="1"/>
      <c r="R375" s="1"/>
      <c r="V375" s="1"/>
      <c r="AB375" s="1"/>
      <c r="AF375" s="1"/>
      <c r="AJ375" s="1"/>
      <c r="AN375" s="1"/>
      <c r="AS375" s="1"/>
      <c r="AX375" s="1"/>
      <c r="BA375" s="1"/>
      <c r="BC375" s="1"/>
      <c r="BD375" s="1"/>
      <c r="BG375" s="1"/>
      <c r="BJ375" s="1"/>
      <c r="BM375" s="1"/>
      <c r="BP375" s="1"/>
      <c r="BS375" s="1"/>
    </row>
    <row r="376" spans="1:71" x14ac:dyDescent="0.3">
      <c r="A376" s="19">
        <f t="shared" si="29"/>
        <v>46441</v>
      </c>
      <c r="B376">
        <f t="shared" ca="1" si="25"/>
        <v>-0.80277777777777781</v>
      </c>
      <c r="C376" t="str">
        <f ca="1">IF(currency="USD",'Future et co'!D376,IF(currency="EUR",'Future et co'!E376,IF(currency="GBP",'Future et co'!F376,FALSE)))</f>
        <v>RFR USD</v>
      </c>
      <c r="D376" t="str">
        <f t="shared" ca="1" si="26"/>
        <v>RFR USD</v>
      </c>
      <c r="E376" t="str">
        <f t="shared" ca="1" si="27"/>
        <v>RFR EUR</v>
      </c>
      <c r="F376" t="str">
        <f t="shared" ca="1" si="28"/>
        <v>RFR GBP</v>
      </c>
      <c r="J376" s="1"/>
      <c r="N376" s="1"/>
      <c r="R376" s="1"/>
      <c r="V376" s="1"/>
      <c r="AB376" s="1"/>
      <c r="AF376" s="1"/>
      <c r="AJ376" s="1"/>
      <c r="AN376" s="1"/>
      <c r="AS376" s="1"/>
      <c r="AX376" s="1"/>
      <c r="BA376" s="1"/>
      <c r="BC376" s="1"/>
      <c r="BD376" s="1"/>
      <c r="BG376" s="1"/>
      <c r="BJ376" s="1"/>
      <c r="BM376" s="1"/>
      <c r="BP376" s="1"/>
      <c r="BS376" s="1"/>
    </row>
    <row r="377" spans="1:71" x14ac:dyDescent="0.3">
      <c r="A377" s="19">
        <f t="shared" si="29"/>
        <v>46442</v>
      </c>
      <c r="B377">
        <f t="shared" ca="1" si="25"/>
        <v>-0.80555555555555558</v>
      </c>
      <c r="C377" t="str">
        <f ca="1">IF(currency="USD",'Future et co'!D377,IF(currency="EUR",'Future et co'!E377,IF(currency="GBP",'Future et co'!F377,FALSE)))</f>
        <v>RFR USD</v>
      </c>
      <c r="D377" t="str">
        <f t="shared" ca="1" si="26"/>
        <v>RFR USD</v>
      </c>
      <c r="E377" t="str">
        <f t="shared" ca="1" si="27"/>
        <v>RFR EUR</v>
      </c>
      <c r="F377" t="str">
        <f t="shared" ca="1" si="28"/>
        <v>RFR GBP</v>
      </c>
      <c r="J377" s="1"/>
      <c r="N377" s="1"/>
      <c r="R377" s="1"/>
      <c r="V377" s="1"/>
      <c r="AB377" s="1"/>
      <c r="AF377" s="1"/>
      <c r="AJ377" s="1"/>
      <c r="AN377" s="1"/>
      <c r="AS377" s="1"/>
      <c r="AX377" s="1"/>
      <c r="BA377" s="1"/>
      <c r="BC377" s="1"/>
      <c r="BD377" s="1"/>
      <c r="BG377" s="1"/>
      <c r="BJ377" s="1"/>
      <c r="BM377" s="1"/>
      <c r="BP377" s="1"/>
      <c r="BS377" s="1"/>
    </row>
    <row r="378" spans="1:71" x14ac:dyDescent="0.3">
      <c r="A378" s="19">
        <f t="shared" si="29"/>
        <v>46443</v>
      </c>
      <c r="B378">
        <f t="shared" ca="1" si="25"/>
        <v>-0.80833333333333335</v>
      </c>
      <c r="C378" t="str">
        <f ca="1">IF(currency="USD",'Future et co'!D378,IF(currency="EUR",'Future et co'!E378,IF(currency="GBP",'Future et co'!F378,FALSE)))</f>
        <v>RFR USD</v>
      </c>
      <c r="D378" t="str">
        <f t="shared" ca="1" si="26"/>
        <v>RFR USD</v>
      </c>
      <c r="E378" t="str">
        <f t="shared" ca="1" si="27"/>
        <v>RFR EUR</v>
      </c>
      <c r="F378" t="str">
        <f t="shared" ca="1" si="28"/>
        <v>RFR GBP</v>
      </c>
      <c r="J378" s="1"/>
      <c r="N378" s="1"/>
      <c r="R378" s="1"/>
      <c r="V378" s="1"/>
      <c r="AB378" s="1"/>
      <c r="AF378" s="1"/>
      <c r="AJ378" s="1"/>
      <c r="AN378" s="1"/>
      <c r="AS378" s="1"/>
      <c r="AX378" s="1"/>
      <c r="BA378" s="1"/>
      <c r="BC378" s="1"/>
      <c r="BD378" s="1"/>
      <c r="BG378" s="1"/>
      <c r="BJ378" s="1"/>
      <c r="BM378" s="1"/>
      <c r="BP378" s="1"/>
      <c r="BS378" s="1"/>
    </row>
    <row r="379" spans="1:71" x14ac:dyDescent="0.3">
      <c r="A379" s="19">
        <f t="shared" si="29"/>
        <v>46444</v>
      </c>
      <c r="B379">
        <f t="shared" ca="1" si="25"/>
        <v>-0.81111111111111112</v>
      </c>
      <c r="C379" t="str">
        <f ca="1">IF(currency="USD",'Future et co'!D379,IF(currency="EUR",'Future et co'!E379,IF(currency="GBP",'Future et co'!F379,FALSE)))</f>
        <v>RFR USD</v>
      </c>
      <c r="D379" t="str">
        <f t="shared" ca="1" si="26"/>
        <v>RFR USD</v>
      </c>
      <c r="E379" t="str">
        <f t="shared" ca="1" si="27"/>
        <v>RFR EUR</v>
      </c>
      <c r="F379" t="str">
        <f t="shared" ca="1" si="28"/>
        <v>RFR GBP</v>
      </c>
      <c r="J379" s="1"/>
      <c r="N379" s="1"/>
      <c r="R379" s="1"/>
      <c r="V379" s="1"/>
      <c r="AB379" s="1"/>
      <c r="AF379" s="1"/>
      <c r="AJ379" s="1"/>
      <c r="AN379" s="1"/>
      <c r="AS379" s="1"/>
      <c r="AX379" s="1"/>
      <c r="BA379" s="1"/>
      <c r="BC379" s="1"/>
      <c r="BD379" s="1"/>
      <c r="BG379" s="1"/>
      <c r="BJ379" s="1"/>
      <c r="BM379" s="1"/>
      <c r="BP379" s="1"/>
      <c r="BS379" s="1"/>
    </row>
    <row r="380" spans="1:71" x14ac:dyDescent="0.3">
      <c r="A380" s="19">
        <f t="shared" si="29"/>
        <v>46447</v>
      </c>
      <c r="B380">
        <f t="shared" ca="1" si="25"/>
        <v>-0.81944444444444442</v>
      </c>
      <c r="C380" t="str">
        <f ca="1">IF(currency="USD",'Future et co'!D380,IF(currency="EUR",'Future et co'!E380,IF(currency="GBP",'Future et co'!F380,FALSE)))</f>
        <v>RFR USD</v>
      </c>
      <c r="D380" t="str">
        <f t="shared" ca="1" si="26"/>
        <v>RFR USD</v>
      </c>
      <c r="E380" t="str">
        <f t="shared" ca="1" si="27"/>
        <v>RFR EUR</v>
      </c>
      <c r="F380" t="str">
        <f t="shared" ca="1" si="28"/>
        <v>RFR GBP</v>
      </c>
      <c r="J380" s="1"/>
      <c r="N380" s="1"/>
      <c r="R380" s="1"/>
      <c r="V380" s="1"/>
      <c r="AB380" s="1"/>
      <c r="AF380" s="1"/>
      <c r="AJ380" s="1"/>
      <c r="AN380" s="1"/>
      <c r="AS380" s="1"/>
      <c r="AX380" s="1"/>
      <c r="BA380" s="1"/>
      <c r="BC380" s="1"/>
      <c r="BD380" s="1"/>
      <c r="BG380" s="1"/>
      <c r="BJ380" s="1"/>
      <c r="BM380" s="1"/>
      <c r="BP380" s="1"/>
      <c r="BS380" s="1"/>
    </row>
    <row r="381" spans="1:71" x14ac:dyDescent="0.3">
      <c r="A381" s="19">
        <f t="shared" si="29"/>
        <v>46448</v>
      </c>
      <c r="B381">
        <f t="shared" ca="1" si="25"/>
        <v>-0.82222222222222219</v>
      </c>
      <c r="C381" t="str">
        <f ca="1">IF(currency="USD",'Future et co'!D381,IF(currency="EUR",'Future et co'!E381,IF(currency="GBP",'Future et co'!F381,FALSE)))</f>
        <v>RFR USD</v>
      </c>
      <c r="D381" t="str">
        <f t="shared" ca="1" si="26"/>
        <v>RFR USD</v>
      </c>
      <c r="E381" t="str">
        <f t="shared" ca="1" si="27"/>
        <v>RFR EUR</v>
      </c>
      <c r="F381" t="str">
        <f t="shared" ca="1" si="28"/>
        <v>RFR GBP</v>
      </c>
      <c r="J381" s="1"/>
      <c r="N381" s="1"/>
      <c r="R381" s="1"/>
      <c r="V381" s="1"/>
      <c r="AB381" s="1"/>
      <c r="AF381" s="1"/>
      <c r="AJ381" s="1"/>
      <c r="AN381" s="1"/>
      <c r="AS381" s="1"/>
      <c r="AX381" s="1"/>
      <c r="BA381" s="1"/>
      <c r="BC381" s="1"/>
      <c r="BD381" s="1"/>
      <c r="BG381" s="1"/>
      <c r="BJ381" s="1"/>
      <c r="BM381" s="1"/>
      <c r="BP381" s="1"/>
      <c r="BS381" s="1"/>
    </row>
    <row r="382" spans="1:71" x14ac:dyDescent="0.3">
      <c r="A382" s="19">
        <f t="shared" si="29"/>
        <v>46449</v>
      </c>
      <c r="B382">
        <f t="shared" ca="1" si="25"/>
        <v>-0.82499999999999996</v>
      </c>
      <c r="C382" t="str">
        <f ca="1">IF(currency="USD",'Future et co'!D382,IF(currency="EUR",'Future et co'!E382,IF(currency="GBP",'Future et co'!F382,FALSE)))</f>
        <v>RFR USD</v>
      </c>
      <c r="D382" t="str">
        <f t="shared" ca="1" si="26"/>
        <v>RFR USD</v>
      </c>
      <c r="E382" t="str">
        <f t="shared" ca="1" si="27"/>
        <v>RFR EUR</v>
      </c>
      <c r="F382" t="str">
        <f t="shared" ca="1" si="28"/>
        <v>RFR GBP</v>
      </c>
      <c r="J382" s="1"/>
      <c r="N382" s="1"/>
      <c r="R382" s="1"/>
      <c r="V382" s="1"/>
      <c r="AB382" s="1"/>
      <c r="AF382" s="1"/>
      <c r="AJ382" s="1"/>
      <c r="AN382" s="1"/>
      <c r="AS382" s="1"/>
      <c r="AX382" s="1"/>
      <c r="BA382" s="1"/>
      <c r="BC382" s="1"/>
      <c r="BD382" s="1"/>
      <c r="BG382" s="1"/>
      <c r="BJ382" s="1"/>
      <c r="BM382" s="1"/>
      <c r="BP382" s="1"/>
      <c r="BS382" s="1"/>
    </row>
    <row r="383" spans="1:71" x14ac:dyDescent="0.3">
      <c r="A383" s="19">
        <f t="shared" si="29"/>
        <v>46450</v>
      </c>
      <c r="B383">
        <f t="shared" ca="1" si="25"/>
        <v>-0.82777777777777772</v>
      </c>
      <c r="C383" t="str">
        <f ca="1">IF(currency="USD",'Future et co'!D383,IF(currency="EUR",'Future et co'!E383,IF(currency="GBP",'Future et co'!F383,FALSE)))</f>
        <v>RFR USD</v>
      </c>
      <c r="D383" t="str">
        <f t="shared" ca="1" si="26"/>
        <v>RFR USD</v>
      </c>
      <c r="E383" t="str">
        <f t="shared" ca="1" si="27"/>
        <v>RFR EUR</v>
      </c>
      <c r="F383" t="str">
        <f t="shared" ca="1" si="28"/>
        <v>RFR GBP</v>
      </c>
      <c r="J383" s="1"/>
      <c r="N383" s="1"/>
      <c r="R383" s="1"/>
      <c r="V383" s="1"/>
      <c r="AB383" s="1"/>
      <c r="AF383" s="1"/>
      <c r="AJ383" s="1"/>
      <c r="AN383" s="1"/>
      <c r="AS383" s="1"/>
      <c r="AX383" s="1"/>
      <c r="BA383" s="1"/>
      <c r="BC383" s="1"/>
      <c r="BD383" s="1"/>
      <c r="BG383" s="1"/>
      <c r="BJ383" s="1"/>
      <c r="BM383" s="1"/>
      <c r="BP383" s="1"/>
      <c r="BS383" s="1"/>
    </row>
    <row r="384" spans="1:71" x14ac:dyDescent="0.3">
      <c r="A384" s="19">
        <f t="shared" si="29"/>
        <v>46451</v>
      </c>
      <c r="B384">
        <f t="shared" ca="1" si="25"/>
        <v>-0.8305555555555556</v>
      </c>
      <c r="C384" t="str">
        <f ca="1">IF(currency="USD",'Future et co'!D384,IF(currency="EUR",'Future et co'!E384,IF(currency="GBP",'Future et co'!F384,FALSE)))</f>
        <v>RFR USD</v>
      </c>
      <c r="D384" t="str">
        <f t="shared" ca="1" si="26"/>
        <v>RFR USD</v>
      </c>
      <c r="E384" t="str">
        <f t="shared" ca="1" si="27"/>
        <v>RFR EUR</v>
      </c>
      <c r="F384" t="str">
        <f t="shared" ca="1" si="28"/>
        <v>RFR GBP</v>
      </c>
      <c r="J384" s="1"/>
      <c r="N384" s="1"/>
      <c r="R384" s="1"/>
      <c r="V384" s="1"/>
      <c r="AB384" s="1"/>
      <c r="AF384" s="1"/>
      <c r="AJ384" s="1"/>
      <c r="AN384" s="1"/>
      <c r="AS384" s="1"/>
      <c r="AX384" s="1"/>
      <c r="BA384" s="1"/>
      <c r="BC384" s="1"/>
      <c r="BD384" s="1"/>
      <c r="BG384" s="1"/>
      <c r="BJ384" s="1"/>
      <c r="BM384" s="1"/>
      <c r="BP384" s="1"/>
      <c r="BS384" s="1"/>
    </row>
    <row r="385" spans="1:71" x14ac:dyDescent="0.3">
      <c r="A385" s="19">
        <f t="shared" si="29"/>
        <v>46454</v>
      </c>
      <c r="B385">
        <f t="shared" ca="1" si="25"/>
        <v>-0.83888888888888891</v>
      </c>
      <c r="C385" t="str">
        <f ca="1">IF(currency="USD",'Future et co'!D385,IF(currency="EUR",'Future et co'!E385,IF(currency="GBP",'Future et co'!F385,FALSE)))</f>
        <v>RFR USD</v>
      </c>
      <c r="D385" t="str">
        <f t="shared" ca="1" si="26"/>
        <v>RFR USD</v>
      </c>
      <c r="E385" t="str">
        <f t="shared" ca="1" si="27"/>
        <v>RFR EUR</v>
      </c>
      <c r="F385" t="str">
        <f t="shared" ca="1" si="28"/>
        <v>RFR GBP</v>
      </c>
      <c r="J385" s="1"/>
      <c r="N385" s="1"/>
      <c r="R385" s="1"/>
      <c r="V385" s="1"/>
      <c r="AB385" s="1"/>
      <c r="AF385" s="1"/>
      <c r="AJ385" s="1"/>
      <c r="AN385" s="1"/>
      <c r="AS385" s="1"/>
      <c r="AX385" s="1"/>
      <c r="BA385" s="1"/>
      <c r="BC385" s="1"/>
      <c r="BD385" s="1"/>
      <c r="BG385" s="1"/>
      <c r="BJ385" s="1"/>
      <c r="BM385" s="1"/>
      <c r="BP385" s="1"/>
      <c r="BS385" s="1"/>
    </row>
    <row r="386" spans="1:71" x14ac:dyDescent="0.3">
      <c r="A386" s="19">
        <f t="shared" si="29"/>
        <v>46455</v>
      </c>
      <c r="B386">
        <f t="shared" ca="1" si="25"/>
        <v>-0.84166666666666667</v>
      </c>
      <c r="C386" t="str">
        <f ca="1">IF(currency="USD",'Future et co'!D386,IF(currency="EUR",'Future et co'!E386,IF(currency="GBP",'Future et co'!F386,FALSE)))</f>
        <v>RFR USD</v>
      </c>
      <c r="D386" t="str">
        <f t="shared" ca="1" si="26"/>
        <v>RFR USD</v>
      </c>
      <c r="E386" t="str">
        <f t="shared" ca="1" si="27"/>
        <v>RFR EUR</v>
      </c>
      <c r="F386" t="str">
        <f t="shared" ca="1" si="28"/>
        <v>RFR GBP</v>
      </c>
      <c r="J386" s="1"/>
      <c r="N386" s="1"/>
      <c r="R386" s="1"/>
      <c r="V386" s="1"/>
      <c r="AB386" s="1"/>
      <c r="AF386" s="1"/>
      <c r="AJ386" s="1"/>
      <c r="AN386" s="1"/>
      <c r="AS386" s="1"/>
      <c r="AX386" s="1"/>
      <c r="BA386" s="1"/>
      <c r="BC386" s="1"/>
      <c r="BD386" s="1"/>
      <c r="BG386" s="1"/>
      <c r="BJ386" s="1"/>
      <c r="BM386" s="1"/>
      <c r="BP386" s="1"/>
      <c r="BS386" s="1"/>
    </row>
    <row r="387" spans="1:71" x14ac:dyDescent="0.3">
      <c r="A387" s="19">
        <f t="shared" si="29"/>
        <v>46456</v>
      </c>
      <c r="B387">
        <f t="shared" ca="1" si="25"/>
        <v>-0.84444444444444444</v>
      </c>
      <c r="C387" t="str">
        <f ca="1">IF(currency="USD",'Future et co'!D387,IF(currency="EUR",'Future et co'!E387,IF(currency="GBP",'Future et co'!F387,FALSE)))</f>
        <v>RFR USD</v>
      </c>
      <c r="D387" t="str">
        <f t="shared" ca="1" si="26"/>
        <v>RFR USD</v>
      </c>
      <c r="E387" t="str">
        <f t="shared" ca="1" si="27"/>
        <v>RFR EUR</v>
      </c>
      <c r="F387" t="str">
        <f t="shared" ca="1" si="28"/>
        <v>RFR GBP</v>
      </c>
      <c r="J387" s="1"/>
      <c r="N387" s="1"/>
      <c r="R387" s="1"/>
      <c r="V387" s="1"/>
      <c r="AB387" s="1"/>
      <c r="AF387" s="1"/>
      <c r="AJ387" s="1"/>
      <c r="AN387" s="1"/>
      <c r="AS387" s="1"/>
      <c r="AX387" s="1"/>
      <c r="BA387" s="1"/>
      <c r="BC387" s="1"/>
      <c r="BD387" s="1"/>
      <c r="BG387" s="1"/>
      <c r="BJ387" s="1"/>
      <c r="BM387" s="1"/>
      <c r="BP387" s="1"/>
      <c r="BS387" s="1"/>
    </row>
    <row r="388" spans="1:71" x14ac:dyDescent="0.3">
      <c r="A388" s="19">
        <f t="shared" si="29"/>
        <v>46457</v>
      </c>
      <c r="B388">
        <f t="shared" ca="1" si="25"/>
        <v>-0.84722222222222221</v>
      </c>
      <c r="C388" t="str">
        <f ca="1">IF(currency="USD",'Future et co'!D388,IF(currency="EUR",'Future et co'!E388,IF(currency="GBP",'Future et co'!F388,FALSE)))</f>
        <v>RFR USD</v>
      </c>
      <c r="D388" t="str">
        <f t="shared" ca="1" si="26"/>
        <v>RFR USD</v>
      </c>
      <c r="E388" t="str">
        <f t="shared" ca="1" si="27"/>
        <v>RFR EUR</v>
      </c>
      <c r="F388" t="str">
        <f t="shared" ca="1" si="28"/>
        <v>RFR GBP</v>
      </c>
      <c r="J388" s="1"/>
      <c r="N388" s="1"/>
      <c r="R388" s="1"/>
      <c r="V388" s="1"/>
      <c r="AB388" s="1"/>
      <c r="AF388" s="1"/>
      <c r="AJ388" s="1"/>
      <c r="AN388" s="1"/>
      <c r="AS388" s="1"/>
      <c r="AX388" s="1"/>
      <c r="BA388" s="1"/>
      <c r="BC388" s="1"/>
      <c r="BD388" s="1"/>
      <c r="BG388" s="1"/>
      <c r="BJ388" s="1"/>
      <c r="BM388" s="1"/>
      <c r="BP388" s="1"/>
      <c r="BS388" s="1"/>
    </row>
    <row r="389" spans="1:71" x14ac:dyDescent="0.3">
      <c r="A389" s="19">
        <f t="shared" si="29"/>
        <v>46458</v>
      </c>
      <c r="B389">
        <f t="shared" ca="1" si="25"/>
        <v>-0.85</v>
      </c>
      <c r="C389" t="str">
        <f ca="1">IF(currency="USD",'Future et co'!D389,IF(currency="EUR",'Future et co'!E389,IF(currency="GBP",'Future et co'!F389,FALSE)))</f>
        <v>RFR USD</v>
      </c>
      <c r="D389" t="str">
        <f t="shared" ca="1" si="26"/>
        <v>RFR USD</v>
      </c>
      <c r="E389" t="str">
        <f t="shared" ca="1" si="27"/>
        <v>RFR EUR</v>
      </c>
      <c r="F389" t="str">
        <f t="shared" ca="1" si="28"/>
        <v>RFR GBP</v>
      </c>
      <c r="J389" s="1"/>
      <c r="N389" s="1"/>
      <c r="R389" s="1"/>
      <c r="V389" s="1"/>
      <c r="AB389" s="1"/>
      <c r="AF389" s="1"/>
      <c r="AJ389" s="1"/>
      <c r="AN389" s="1"/>
      <c r="AS389" s="1"/>
      <c r="AX389" s="1"/>
      <c r="BA389" s="1"/>
      <c r="BC389" s="1"/>
      <c r="BD389" s="1"/>
      <c r="BG389" s="1"/>
      <c r="BJ389" s="1"/>
      <c r="BM389" s="1"/>
      <c r="BP389" s="1"/>
      <c r="BS389" s="1"/>
    </row>
    <row r="390" spans="1:71" x14ac:dyDescent="0.3">
      <c r="A390" s="19">
        <f t="shared" si="29"/>
        <v>46461</v>
      </c>
      <c r="B390">
        <f t="shared" ca="1" si="25"/>
        <v>-0.85833333333333328</v>
      </c>
      <c r="C390" t="str">
        <f ca="1">IF(currency="USD",'Future et co'!D390,IF(currency="EUR",'Future et co'!E390,IF(currency="GBP",'Future et co'!F390,FALSE)))</f>
        <v>RFR USD</v>
      </c>
      <c r="D390" t="str">
        <f t="shared" ca="1" si="26"/>
        <v>RFR USD</v>
      </c>
      <c r="E390" t="str">
        <f t="shared" ca="1" si="27"/>
        <v>RFR EUR</v>
      </c>
      <c r="F390" t="str">
        <f t="shared" ca="1" si="28"/>
        <v>RFR GBP</v>
      </c>
      <c r="J390" s="1"/>
      <c r="N390" s="1"/>
      <c r="R390" s="1"/>
      <c r="V390" s="1"/>
      <c r="AB390" s="1"/>
      <c r="AF390" s="1"/>
      <c r="AJ390" s="1"/>
      <c r="AN390" s="1"/>
      <c r="AS390" s="1"/>
      <c r="AX390" s="1"/>
      <c r="BA390" s="1"/>
      <c r="BC390" s="1"/>
      <c r="BD390" s="1"/>
      <c r="BG390" s="1"/>
      <c r="BJ390" s="1"/>
      <c r="BM390" s="1"/>
      <c r="BP390" s="1"/>
      <c r="BS390" s="1"/>
    </row>
    <row r="391" spans="1:71" x14ac:dyDescent="0.3">
      <c r="A391" s="19">
        <f t="shared" si="29"/>
        <v>46462</v>
      </c>
      <c r="B391">
        <f t="shared" ca="1" si="25"/>
        <v>-0.86111111111111116</v>
      </c>
      <c r="C391" t="str">
        <f ca="1">IF(currency="USD",'Future et co'!D391,IF(currency="EUR",'Future et co'!E391,IF(currency="GBP",'Future et co'!F391,FALSE)))</f>
        <v>RFR USD</v>
      </c>
      <c r="D391" t="str">
        <f t="shared" ca="1" si="26"/>
        <v>RFR USD</v>
      </c>
      <c r="E391" t="str">
        <f t="shared" ca="1" si="27"/>
        <v>RFR EUR</v>
      </c>
      <c r="F391" t="str">
        <f t="shared" ca="1" si="28"/>
        <v>RFR GBP</v>
      </c>
      <c r="J391" s="1"/>
      <c r="N391" s="1"/>
      <c r="R391" s="1"/>
      <c r="V391" s="1"/>
      <c r="AB391" s="1"/>
      <c r="AF391" s="1"/>
      <c r="AJ391" s="1"/>
      <c r="AN391" s="1"/>
      <c r="AS391" s="1"/>
      <c r="AX391" s="1"/>
      <c r="BA391" s="1"/>
      <c r="BC391" s="1"/>
      <c r="BD391" s="1"/>
      <c r="BG391" s="1"/>
      <c r="BJ391" s="1"/>
      <c r="BM391" s="1"/>
      <c r="BP391" s="1"/>
      <c r="BS391" s="1"/>
    </row>
    <row r="392" spans="1:71" x14ac:dyDescent="0.3">
      <c r="A392" s="19">
        <f t="shared" si="29"/>
        <v>46463</v>
      </c>
      <c r="B392">
        <f t="shared" ca="1" si="25"/>
        <v>-0.86388888888888893</v>
      </c>
      <c r="C392" t="str">
        <f ca="1">IF(currency="USD",'Future et co'!D392,IF(currency="EUR",'Future et co'!E392,IF(currency="GBP",'Future et co'!F392,FALSE)))</f>
        <v>RFR USD</v>
      </c>
      <c r="D392" t="str">
        <f t="shared" ca="1" si="26"/>
        <v>RFR USD</v>
      </c>
      <c r="E392" t="str">
        <f t="shared" ca="1" si="27"/>
        <v>RFR EUR</v>
      </c>
      <c r="F392" t="str">
        <f t="shared" ca="1" si="28"/>
        <v>RFR GBP</v>
      </c>
      <c r="J392" s="1"/>
      <c r="N392" s="1"/>
      <c r="R392" s="1"/>
      <c r="V392" s="1"/>
      <c r="AB392" s="1"/>
      <c r="AF392" s="1"/>
      <c r="AJ392" s="1"/>
      <c r="AN392" s="1"/>
      <c r="AS392" s="1"/>
      <c r="AX392" s="1"/>
      <c r="BA392" s="1"/>
      <c r="BC392" s="1"/>
      <c r="BD392" s="1"/>
      <c r="BG392" s="1"/>
      <c r="BJ392" s="1"/>
      <c r="BM392" s="1"/>
      <c r="BP392" s="1"/>
      <c r="BS392" s="1"/>
    </row>
    <row r="393" spans="1:71" x14ac:dyDescent="0.3">
      <c r="A393" s="19">
        <f t="shared" si="29"/>
        <v>46464</v>
      </c>
      <c r="B393">
        <f t="shared" ca="1" si="25"/>
        <v>-0.8666666666666667</v>
      </c>
      <c r="C393" t="str">
        <f ca="1">IF(currency="USD",'Future et co'!D393,IF(currency="EUR",'Future et co'!E393,IF(currency="GBP",'Future et co'!F393,FALSE)))</f>
        <v>RFR USD</v>
      </c>
      <c r="D393" t="str">
        <f t="shared" ca="1" si="26"/>
        <v>RFR USD</v>
      </c>
      <c r="E393" t="str">
        <f t="shared" ca="1" si="27"/>
        <v>RFR EUR</v>
      </c>
      <c r="F393" t="str">
        <f t="shared" ca="1" si="28"/>
        <v>RFR GBP</v>
      </c>
      <c r="J393" s="1"/>
      <c r="N393" s="1"/>
      <c r="R393" s="1"/>
      <c r="V393" s="1"/>
      <c r="AB393" s="1"/>
      <c r="AF393" s="1"/>
      <c r="AJ393" s="1"/>
      <c r="AN393" s="1"/>
      <c r="AS393" s="1"/>
      <c r="AX393" s="1"/>
      <c r="BA393" s="1"/>
      <c r="BC393" s="1"/>
      <c r="BD393" s="1"/>
      <c r="BG393" s="1"/>
      <c r="BJ393" s="1"/>
      <c r="BM393" s="1"/>
      <c r="BP393" s="1"/>
      <c r="BS393" s="1"/>
    </row>
    <row r="394" spans="1:71" x14ac:dyDescent="0.3">
      <c r="A394" s="19">
        <f t="shared" si="29"/>
        <v>46465</v>
      </c>
      <c r="B394">
        <f t="shared" ca="1" si="25"/>
        <v>-0.86944444444444446</v>
      </c>
      <c r="C394" t="str">
        <f ca="1">IF(currency="USD",'Future et co'!D394,IF(currency="EUR",'Future et co'!E394,IF(currency="GBP",'Future et co'!F394,FALSE)))</f>
        <v>RFR USD</v>
      </c>
      <c r="D394" t="str">
        <f t="shared" ca="1" si="26"/>
        <v>RFR USD</v>
      </c>
      <c r="E394" t="str">
        <f t="shared" ca="1" si="27"/>
        <v>RFR EUR</v>
      </c>
      <c r="F394" t="str">
        <f t="shared" ca="1" si="28"/>
        <v>RFR GBP</v>
      </c>
      <c r="J394" s="1"/>
      <c r="N394" s="1"/>
      <c r="R394" s="1"/>
      <c r="V394" s="1"/>
      <c r="AB394" s="1"/>
      <c r="AF394" s="1"/>
      <c r="AJ394" s="1"/>
      <c r="AN394" s="1"/>
      <c r="AS394" s="1"/>
      <c r="AX394" s="1"/>
      <c r="BA394" s="1"/>
      <c r="BC394" s="1"/>
      <c r="BD394" s="1"/>
      <c r="BG394" s="1"/>
      <c r="BJ394" s="1"/>
      <c r="BM394" s="1"/>
      <c r="BP394" s="1"/>
      <c r="BS394" s="1"/>
    </row>
    <row r="395" spans="1:71" x14ac:dyDescent="0.3">
      <c r="A395" s="19">
        <f t="shared" si="29"/>
        <v>46468</v>
      </c>
      <c r="B395">
        <f t="shared" ref="B395:B458" ca="1" si="30">($B$7-A395)/360</f>
        <v>-0.87777777777777777</v>
      </c>
      <c r="C395" t="str">
        <f ca="1">IF(currency="USD",'Future et co'!D395,IF(currency="EUR",'Future et co'!E395,IF(currency="GBP",'Future et co'!F395,FALSE)))</f>
        <v>RFR USD</v>
      </c>
      <c r="D395" t="str">
        <f t="shared" ref="D395:D458" ca="1" si="31">IFERROR(IF(B395&lt;0.25,VLOOKUP(A395,$J$11:$L$5325,3,FALSE),IF(AND(B395&gt;=0.25,B395&lt;0.5),VLOOKUP(A395,$N$11:$P$5325,3,FALSE),IF(AND(B395&gt;=0.5,B395&lt;1),VLOOKUP(A395,$R$11:$T$5325,3,FALSE),VLOOKUP(A395,$V$11:$X$5010,3,FALSE)))),D394)</f>
        <v>RFR USD</v>
      </c>
      <c r="E395" t="str">
        <f t="shared" ref="E395:E458" ca="1" si="32">IFERROR(IF(B395&lt;0.25,VLOOKUP(A395,$AF$11:$AH$5325,3,FALSE),IF(AND(B395&gt;=0.25,B395&lt;0.5),VLOOKUP(A395,$AJ$11:$AL$5325,3,FALSE),VLOOKUP(A395,$AN$11:$AP$5325,3,FALSE))),E394)</f>
        <v>RFR EUR</v>
      </c>
      <c r="F395" t="str">
        <f t="shared" ref="F395:F458" ca="1" si="33">IFERROR(VLOOKUP(A395,$AS$11:$AU$9999,3,FALSE),F394)</f>
        <v>RFR GBP</v>
      </c>
      <c r="J395" s="1"/>
      <c r="N395" s="1"/>
      <c r="R395" s="1"/>
      <c r="V395" s="1"/>
      <c r="AB395" s="1"/>
      <c r="AF395" s="1"/>
      <c r="AJ395" s="1"/>
      <c r="AN395" s="1"/>
      <c r="AS395" s="1"/>
      <c r="AX395" s="1"/>
      <c r="BA395" s="1"/>
      <c r="BC395" s="1"/>
      <c r="BD395" s="1"/>
      <c r="BG395" s="1"/>
      <c r="BJ395" s="1"/>
      <c r="BM395" s="1"/>
      <c r="BP395" s="1"/>
      <c r="BS395" s="1"/>
    </row>
    <row r="396" spans="1:71" x14ac:dyDescent="0.3">
      <c r="A396" s="19">
        <f t="shared" si="29"/>
        <v>46469</v>
      </c>
      <c r="B396">
        <f t="shared" ca="1" si="30"/>
        <v>-0.88055555555555554</v>
      </c>
      <c r="C396" t="str">
        <f ca="1">IF(currency="USD",'Future et co'!D396,IF(currency="EUR",'Future et co'!E396,IF(currency="GBP",'Future et co'!F396,FALSE)))</f>
        <v>RFR USD</v>
      </c>
      <c r="D396" t="str">
        <f t="shared" ca="1" si="31"/>
        <v>RFR USD</v>
      </c>
      <c r="E396" t="str">
        <f t="shared" ca="1" si="32"/>
        <v>RFR EUR</v>
      </c>
      <c r="F396" t="str">
        <f t="shared" ca="1" si="33"/>
        <v>RFR GBP</v>
      </c>
      <c r="J396" s="1"/>
      <c r="N396" s="1"/>
      <c r="R396" s="1"/>
      <c r="V396" s="1"/>
      <c r="AB396" s="1"/>
      <c r="AF396" s="1"/>
      <c r="AJ396" s="1"/>
      <c r="AN396" s="1"/>
      <c r="AS396" s="1"/>
      <c r="AX396" s="1"/>
      <c r="BA396" s="1"/>
      <c r="BC396" s="1"/>
      <c r="BD396" s="1"/>
      <c r="BG396" s="1"/>
      <c r="BJ396" s="1"/>
      <c r="BM396" s="1"/>
      <c r="BP396" s="1"/>
      <c r="BS396" s="1"/>
    </row>
    <row r="397" spans="1:71" x14ac:dyDescent="0.3">
      <c r="A397" s="19">
        <f t="shared" ref="A397:A460" si="34">WORKDAY(A396,1)</f>
        <v>46470</v>
      </c>
      <c r="B397">
        <f t="shared" ca="1" si="30"/>
        <v>-0.8833333333333333</v>
      </c>
      <c r="C397" t="str">
        <f ca="1">IF(currency="USD",'Future et co'!D397,IF(currency="EUR",'Future et co'!E397,IF(currency="GBP",'Future et co'!F397,FALSE)))</f>
        <v>RFR USD</v>
      </c>
      <c r="D397" t="str">
        <f t="shared" ca="1" si="31"/>
        <v>RFR USD</v>
      </c>
      <c r="E397" t="str">
        <f t="shared" ca="1" si="32"/>
        <v>RFR EUR</v>
      </c>
      <c r="F397" t="str">
        <f t="shared" ca="1" si="33"/>
        <v>RFR GBP</v>
      </c>
      <c r="J397" s="1"/>
      <c r="N397" s="1"/>
      <c r="R397" s="1"/>
      <c r="V397" s="1"/>
      <c r="AB397" s="1"/>
      <c r="AF397" s="1"/>
      <c r="AJ397" s="1"/>
      <c r="AN397" s="1"/>
      <c r="AS397" s="1"/>
      <c r="AX397" s="1"/>
      <c r="BA397" s="1"/>
      <c r="BC397" s="1"/>
      <c r="BD397" s="1"/>
      <c r="BG397" s="1"/>
      <c r="BJ397" s="1"/>
      <c r="BM397" s="1"/>
      <c r="BP397" s="1"/>
      <c r="BS397" s="1"/>
    </row>
    <row r="398" spans="1:71" x14ac:dyDescent="0.3">
      <c r="A398" s="19">
        <f t="shared" si="34"/>
        <v>46471</v>
      </c>
      <c r="B398">
        <f t="shared" ca="1" si="30"/>
        <v>-0.88611111111111107</v>
      </c>
      <c r="C398" t="str">
        <f ca="1">IF(currency="USD",'Future et co'!D398,IF(currency="EUR",'Future et co'!E398,IF(currency="GBP",'Future et co'!F398,FALSE)))</f>
        <v>RFR USD</v>
      </c>
      <c r="D398" t="str">
        <f t="shared" ca="1" si="31"/>
        <v>RFR USD</v>
      </c>
      <c r="E398" t="str">
        <f t="shared" ca="1" si="32"/>
        <v>RFR EUR</v>
      </c>
      <c r="F398" t="str">
        <f t="shared" ca="1" si="33"/>
        <v>RFR GBP</v>
      </c>
      <c r="J398" s="1"/>
      <c r="N398" s="1"/>
      <c r="R398" s="1"/>
      <c r="V398" s="1"/>
      <c r="AB398" s="1"/>
      <c r="AF398" s="1"/>
      <c r="AJ398" s="1"/>
      <c r="AN398" s="1"/>
      <c r="AS398" s="1"/>
      <c r="AX398" s="1"/>
      <c r="BA398" s="1"/>
      <c r="BC398" s="1"/>
      <c r="BD398" s="1"/>
      <c r="BG398" s="1"/>
      <c r="BJ398" s="1"/>
      <c r="BM398" s="1"/>
      <c r="BP398" s="1"/>
      <c r="BS398" s="1"/>
    </row>
    <row r="399" spans="1:71" x14ac:dyDescent="0.3">
      <c r="A399" s="19">
        <f t="shared" si="34"/>
        <v>46472</v>
      </c>
      <c r="B399">
        <f t="shared" ca="1" si="30"/>
        <v>-0.88888888888888884</v>
      </c>
      <c r="C399" t="str">
        <f ca="1">IF(currency="USD",'Future et co'!D399,IF(currency="EUR",'Future et co'!E399,IF(currency="GBP",'Future et co'!F399,FALSE)))</f>
        <v>RFR USD</v>
      </c>
      <c r="D399" t="str">
        <f t="shared" ca="1" si="31"/>
        <v>RFR USD</v>
      </c>
      <c r="E399" t="str">
        <f t="shared" ca="1" si="32"/>
        <v>RFR EUR</v>
      </c>
      <c r="F399" t="str">
        <f t="shared" ca="1" si="33"/>
        <v>RFR GBP</v>
      </c>
      <c r="J399" s="1"/>
      <c r="N399" s="1"/>
      <c r="R399" s="1"/>
      <c r="V399" s="1"/>
      <c r="AB399" s="1"/>
      <c r="AF399" s="1"/>
      <c r="AJ399" s="1"/>
      <c r="AN399" s="1"/>
      <c r="AS399" s="1"/>
      <c r="AX399" s="1"/>
      <c r="BA399" s="1"/>
      <c r="BC399" s="1"/>
      <c r="BD399" s="1"/>
      <c r="BG399" s="1"/>
      <c r="BJ399" s="1"/>
      <c r="BM399" s="1"/>
      <c r="BP399" s="1"/>
      <c r="BS399" s="1"/>
    </row>
    <row r="400" spans="1:71" x14ac:dyDescent="0.3">
      <c r="A400" s="19">
        <f t="shared" si="34"/>
        <v>46475</v>
      </c>
      <c r="B400">
        <f t="shared" ca="1" si="30"/>
        <v>-0.89722222222222225</v>
      </c>
      <c r="C400" t="str">
        <f ca="1">IF(currency="USD",'Future et co'!D400,IF(currency="EUR",'Future et co'!E400,IF(currency="GBP",'Future et co'!F400,FALSE)))</f>
        <v>RFR USD</v>
      </c>
      <c r="D400" t="str">
        <f t="shared" ca="1" si="31"/>
        <v>RFR USD</v>
      </c>
      <c r="E400" t="str">
        <f t="shared" ca="1" si="32"/>
        <v>RFR EUR</v>
      </c>
      <c r="F400" t="str">
        <f t="shared" ca="1" si="33"/>
        <v>RFR GBP</v>
      </c>
      <c r="J400" s="1"/>
      <c r="N400" s="1"/>
      <c r="R400" s="1"/>
      <c r="V400" s="1"/>
      <c r="AB400" s="1"/>
      <c r="AF400" s="1"/>
      <c r="AJ400" s="1"/>
      <c r="AN400" s="1"/>
      <c r="AS400" s="1"/>
      <c r="AX400" s="1"/>
      <c r="BA400" s="1"/>
      <c r="BC400" s="1"/>
      <c r="BD400" s="1"/>
      <c r="BG400" s="1"/>
      <c r="BJ400" s="1"/>
      <c r="BM400" s="1"/>
      <c r="BP400" s="1"/>
      <c r="BS400" s="1"/>
    </row>
    <row r="401" spans="1:71" x14ac:dyDescent="0.3">
      <c r="A401" s="19">
        <f t="shared" si="34"/>
        <v>46476</v>
      </c>
      <c r="B401">
        <f t="shared" ca="1" si="30"/>
        <v>-0.9</v>
      </c>
      <c r="C401" t="str">
        <f ca="1">IF(currency="USD",'Future et co'!D401,IF(currency="EUR",'Future et co'!E401,IF(currency="GBP",'Future et co'!F401,FALSE)))</f>
        <v>RFR USD</v>
      </c>
      <c r="D401" t="str">
        <f t="shared" ca="1" si="31"/>
        <v>RFR USD</v>
      </c>
      <c r="E401" t="str">
        <f t="shared" ca="1" si="32"/>
        <v>RFR EUR</v>
      </c>
      <c r="F401" t="str">
        <f t="shared" ca="1" si="33"/>
        <v>RFR GBP</v>
      </c>
      <c r="J401" s="1"/>
      <c r="N401" s="1"/>
      <c r="R401" s="1"/>
      <c r="V401" s="1"/>
      <c r="AB401" s="1"/>
      <c r="AF401" s="1"/>
      <c r="AJ401" s="1"/>
      <c r="AN401" s="1"/>
      <c r="AS401" s="1"/>
      <c r="AX401" s="1"/>
      <c r="BA401" s="1"/>
      <c r="BC401" s="1"/>
      <c r="BD401" s="1"/>
      <c r="BG401" s="1"/>
      <c r="BJ401" s="1"/>
      <c r="BM401" s="1"/>
      <c r="BP401" s="1"/>
      <c r="BS401" s="1"/>
    </row>
    <row r="402" spans="1:71" x14ac:dyDescent="0.3">
      <c r="A402" s="19">
        <f t="shared" si="34"/>
        <v>46477</v>
      </c>
      <c r="B402">
        <f t="shared" ca="1" si="30"/>
        <v>-0.90277777777777779</v>
      </c>
      <c r="C402" t="str">
        <f ca="1">IF(currency="USD",'Future et co'!D402,IF(currency="EUR",'Future et co'!E402,IF(currency="GBP",'Future et co'!F402,FALSE)))</f>
        <v>RFR USD</v>
      </c>
      <c r="D402" t="str">
        <f t="shared" ca="1" si="31"/>
        <v>RFR USD</v>
      </c>
      <c r="E402" t="str">
        <f t="shared" ca="1" si="32"/>
        <v>RFR EUR</v>
      </c>
      <c r="F402" t="str">
        <f t="shared" ca="1" si="33"/>
        <v>RFR GBP</v>
      </c>
      <c r="J402" s="1"/>
      <c r="N402" s="1"/>
      <c r="R402" s="1"/>
      <c r="V402" s="1"/>
      <c r="AB402" s="1"/>
      <c r="AF402" s="1"/>
      <c r="AJ402" s="1"/>
      <c r="AN402" s="1"/>
      <c r="AS402" s="1"/>
      <c r="AX402" s="1"/>
      <c r="BA402" s="1"/>
      <c r="BC402" s="1"/>
      <c r="BD402" s="1"/>
      <c r="BG402" s="1"/>
      <c r="BJ402" s="1"/>
      <c r="BM402" s="1"/>
      <c r="BP402" s="1"/>
      <c r="BS402" s="1"/>
    </row>
    <row r="403" spans="1:71" x14ac:dyDescent="0.3">
      <c r="A403" s="19">
        <f t="shared" si="34"/>
        <v>46478</v>
      </c>
      <c r="B403">
        <f t="shared" ca="1" si="30"/>
        <v>-0.90555555555555556</v>
      </c>
      <c r="C403" t="str">
        <f ca="1">IF(currency="USD",'Future et co'!D403,IF(currency="EUR",'Future et co'!E403,IF(currency="GBP",'Future et co'!F403,FALSE)))</f>
        <v>RFR USD</v>
      </c>
      <c r="D403" t="str">
        <f t="shared" ca="1" si="31"/>
        <v>RFR USD</v>
      </c>
      <c r="E403" t="str">
        <f t="shared" ca="1" si="32"/>
        <v>RFR EUR</v>
      </c>
      <c r="F403" t="str">
        <f t="shared" ca="1" si="33"/>
        <v>RFR GBP</v>
      </c>
      <c r="J403" s="1"/>
      <c r="N403" s="1"/>
      <c r="R403" s="1"/>
      <c r="V403" s="1"/>
      <c r="AB403" s="1"/>
      <c r="AF403" s="1"/>
      <c r="AJ403" s="1"/>
      <c r="AN403" s="1"/>
      <c r="AS403" s="1"/>
      <c r="AX403" s="1"/>
      <c r="BA403" s="1"/>
      <c r="BC403" s="1"/>
      <c r="BD403" s="1"/>
      <c r="BG403" s="1"/>
      <c r="BJ403" s="1"/>
      <c r="BM403" s="1"/>
      <c r="BP403" s="1"/>
      <c r="BS403" s="1"/>
    </row>
    <row r="404" spans="1:71" x14ac:dyDescent="0.3">
      <c r="A404" s="19">
        <f t="shared" si="34"/>
        <v>46479</v>
      </c>
      <c r="B404">
        <f t="shared" ca="1" si="30"/>
        <v>-0.90833333333333333</v>
      </c>
      <c r="C404" t="str">
        <f ca="1">IF(currency="USD",'Future et co'!D404,IF(currency="EUR",'Future et co'!E404,IF(currency="GBP",'Future et co'!F404,FALSE)))</f>
        <v>RFR USD</v>
      </c>
      <c r="D404" t="str">
        <f t="shared" ca="1" si="31"/>
        <v>RFR USD</v>
      </c>
      <c r="E404" t="str">
        <f t="shared" ca="1" si="32"/>
        <v>RFR EUR</v>
      </c>
      <c r="F404" t="str">
        <f t="shared" ca="1" si="33"/>
        <v>RFR GBP</v>
      </c>
      <c r="J404" s="1"/>
      <c r="N404" s="1"/>
      <c r="R404" s="1"/>
      <c r="V404" s="1"/>
      <c r="AB404" s="1"/>
      <c r="AF404" s="1"/>
      <c r="AJ404" s="1"/>
      <c r="AN404" s="1"/>
      <c r="AS404" s="1"/>
      <c r="AX404" s="1"/>
      <c r="BA404" s="1"/>
      <c r="BC404" s="1"/>
      <c r="BD404" s="1"/>
      <c r="BG404" s="1"/>
      <c r="BJ404" s="1"/>
      <c r="BM404" s="1"/>
      <c r="BP404" s="1"/>
      <c r="BS404" s="1"/>
    </row>
    <row r="405" spans="1:71" x14ac:dyDescent="0.3">
      <c r="A405" s="19">
        <f t="shared" si="34"/>
        <v>46482</v>
      </c>
      <c r="B405">
        <f t="shared" ca="1" si="30"/>
        <v>-0.91666666666666663</v>
      </c>
      <c r="C405" t="str">
        <f ca="1">IF(currency="USD",'Future et co'!D405,IF(currency="EUR",'Future et co'!E405,IF(currency="GBP",'Future et co'!F405,FALSE)))</f>
        <v>RFR USD</v>
      </c>
      <c r="D405" t="str">
        <f t="shared" ca="1" si="31"/>
        <v>RFR USD</v>
      </c>
      <c r="E405" t="str">
        <f t="shared" ca="1" si="32"/>
        <v>RFR EUR</v>
      </c>
      <c r="F405" t="str">
        <f t="shared" ca="1" si="33"/>
        <v>RFR GBP</v>
      </c>
      <c r="J405" s="1"/>
      <c r="N405" s="1"/>
      <c r="R405" s="1"/>
      <c r="V405" s="1"/>
      <c r="AB405" s="1"/>
      <c r="AF405" s="1"/>
      <c r="AJ405" s="1"/>
      <c r="AN405" s="1"/>
      <c r="AS405" s="1"/>
      <c r="AX405" s="1"/>
      <c r="BA405" s="1"/>
      <c r="BC405" s="1"/>
      <c r="BD405" s="1"/>
      <c r="BG405" s="1"/>
      <c r="BJ405" s="1"/>
      <c r="BM405" s="1"/>
      <c r="BP405" s="1"/>
      <c r="BS405" s="1"/>
    </row>
    <row r="406" spans="1:71" x14ac:dyDescent="0.3">
      <c r="A406" s="19">
        <f t="shared" si="34"/>
        <v>46483</v>
      </c>
      <c r="B406">
        <f t="shared" ca="1" si="30"/>
        <v>-0.9194444444444444</v>
      </c>
      <c r="C406" t="str">
        <f ca="1">IF(currency="USD",'Future et co'!D406,IF(currency="EUR",'Future et co'!E406,IF(currency="GBP",'Future et co'!F406,FALSE)))</f>
        <v>RFR USD</v>
      </c>
      <c r="D406" t="str">
        <f t="shared" ca="1" si="31"/>
        <v>RFR USD</v>
      </c>
      <c r="E406" t="str">
        <f t="shared" ca="1" si="32"/>
        <v>RFR EUR</v>
      </c>
      <c r="F406" t="str">
        <f t="shared" ca="1" si="33"/>
        <v>RFR GBP</v>
      </c>
      <c r="J406" s="1"/>
      <c r="N406" s="1"/>
      <c r="R406" s="1"/>
      <c r="V406" s="1"/>
      <c r="AB406" s="1"/>
      <c r="AF406" s="1"/>
      <c r="AJ406" s="1"/>
      <c r="AN406" s="1"/>
      <c r="AS406" s="1"/>
      <c r="AX406" s="1"/>
      <c r="BA406" s="1"/>
      <c r="BC406" s="1"/>
      <c r="BD406" s="1"/>
      <c r="BG406" s="1"/>
      <c r="BJ406" s="1"/>
      <c r="BM406" s="1"/>
      <c r="BP406" s="1"/>
      <c r="BS406" s="1"/>
    </row>
    <row r="407" spans="1:71" x14ac:dyDescent="0.3">
      <c r="A407" s="19">
        <f t="shared" si="34"/>
        <v>46484</v>
      </c>
      <c r="B407">
        <f t="shared" ca="1" si="30"/>
        <v>-0.92222222222222228</v>
      </c>
      <c r="C407" t="str">
        <f ca="1">IF(currency="USD",'Future et co'!D407,IF(currency="EUR",'Future et co'!E407,IF(currency="GBP",'Future et co'!F407,FALSE)))</f>
        <v>RFR USD</v>
      </c>
      <c r="D407" t="str">
        <f t="shared" ca="1" si="31"/>
        <v>RFR USD</v>
      </c>
      <c r="E407" t="str">
        <f t="shared" ca="1" si="32"/>
        <v>RFR EUR</v>
      </c>
      <c r="F407" t="str">
        <f t="shared" ca="1" si="33"/>
        <v>RFR GBP</v>
      </c>
      <c r="J407" s="1"/>
      <c r="N407" s="1"/>
      <c r="R407" s="1"/>
      <c r="V407" s="1"/>
      <c r="AB407" s="1"/>
      <c r="AF407" s="1"/>
      <c r="AJ407" s="1"/>
      <c r="AN407" s="1"/>
      <c r="AS407" s="1"/>
      <c r="AX407" s="1"/>
      <c r="BA407" s="1"/>
      <c r="BC407" s="1"/>
      <c r="BD407" s="1"/>
      <c r="BG407" s="1"/>
      <c r="BJ407" s="1"/>
      <c r="BM407" s="1"/>
      <c r="BP407" s="1"/>
      <c r="BS407" s="1"/>
    </row>
    <row r="408" spans="1:71" x14ac:dyDescent="0.3">
      <c r="A408" s="19">
        <f t="shared" si="34"/>
        <v>46485</v>
      </c>
      <c r="B408">
        <f t="shared" ca="1" si="30"/>
        <v>-0.92500000000000004</v>
      </c>
      <c r="C408" t="str">
        <f ca="1">IF(currency="USD",'Future et co'!D408,IF(currency="EUR",'Future et co'!E408,IF(currency="GBP",'Future et co'!F408,FALSE)))</f>
        <v>RFR USD</v>
      </c>
      <c r="D408" t="str">
        <f t="shared" ca="1" si="31"/>
        <v>RFR USD</v>
      </c>
      <c r="E408" t="str">
        <f t="shared" ca="1" si="32"/>
        <v>RFR EUR</v>
      </c>
      <c r="F408" t="str">
        <f t="shared" ca="1" si="33"/>
        <v>RFR GBP</v>
      </c>
      <c r="J408" s="1"/>
      <c r="N408" s="1"/>
      <c r="R408" s="1"/>
      <c r="V408" s="1"/>
      <c r="AB408" s="1"/>
      <c r="AF408" s="1"/>
      <c r="AJ408" s="1"/>
      <c r="AN408" s="1"/>
      <c r="AS408" s="1"/>
      <c r="AX408" s="1"/>
      <c r="BA408" s="1"/>
      <c r="BC408" s="1"/>
      <c r="BD408" s="1"/>
      <c r="BG408" s="1"/>
      <c r="BJ408" s="1"/>
      <c r="BM408" s="1"/>
      <c r="BP408" s="1"/>
      <c r="BS408" s="1"/>
    </row>
    <row r="409" spans="1:71" x14ac:dyDescent="0.3">
      <c r="A409" s="19">
        <f t="shared" si="34"/>
        <v>46486</v>
      </c>
      <c r="B409">
        <f t="shared" ca="1" si="30"/>
        <v>-0.92777777777777781</v>
      </c>
      <c r="C409" t="str">
        <f ca="1">IF(currency="USD",'Future et co'!D409,IF(currency="EUR",'Future et co'!E409,IF(currency="GBP",'Future et co'!F409,FALSE)))</f>
        <v>RFR USD</v>
      </c>
      <c r="D409" t="str">
        <f t="shared" ca="1" si="31"/>
        <v>RFR USD</v>
      </c>
      <c r="E409" t="str">
        <f t="shared" ca="1" si="32"/>
        <v>RFR EUR</v>
      </c>
      <c r="F409" t="str">
        <f t="shared" ca="1" si="33"/>
        <v>RFR GBP</v>
      </c>
      <c r="J409" s="1"/>
      <c r="N409" s="1"/>
      <c r="R409" s="1"/>
      <c r="V409" s="1"/>
      <c r="AB409" s="1"/>
      <c r="AF409" s="1"/>
      <c r="AJ409" s="1"/>
      <c r="AN409" s="1"/>
      <c r="AS409" s="1"/>
      <c r="AX409" s="1"/>
      <c r="BA409" s="1"/>
      <c r="BC409" s="1"/>
      <c r="BD409" s="1"/>
      <c r="BG409" s="1"/>
      <c r="BJ409" s="1"/>
      <c r="BM409" s="1"/>
      <c r="BP409" s="1"/>
      <c r="BS409" s="1"/>
    </row>
    <row r="410" spans="1:71" x14ac:dyDescent="0.3">
      <c r="A410" s="19">
        <f t="shared" si="34"/>
        <v>46489</v>
      </c>
      <c r="B410">
        <f t="shared" ca="1" si="30"/>
        <v>-0.93611111111111112</v>
      </c>
      <c r="C410" t="str">
        <f ca="1">IF(currency="USD",'Future et co'!D410,IF(currency="EUR",'Future et co'!E410,IF(currency="GBP",'Future et co'!F410,FALSE)))</f>
        <v>RFR USD</v>
      </c>
      <c r="D410" t="str">
        <f t="shared" ca="1" si="31"/>
        <v>RFR USD</v>
      </c>
      <c r="E410" t="str">
        <f t="shared" ca="1" si="32"/>
        <v>RFR EUR</v>
      </c>
      <c r="F410" t="str">
        <f t="shared" ca="1" si="33"/>
        <v>RFR GBP</v>
      </c>
      <c r="J410" s="1"/>
      <c r="N410" s="1"/>
      <c r="R410" s="1"/>
      <c r="V410" s="1"/>
      <c r="AB410" s="1"/>
      <c r="AF410" s="1"/>
      <c r="AJ410" s="1"/>
      <c r="AN410" s="1"/>
      <c r="AS410" s="1"/>
      <c r="AX410" s="1"/>
      <c r="BA410" s="1"/>
      <c r="BC410" s="1"/>
      <c r="BD410" s="1"/>
      <c r="BG410" s="1"/>
      <c r="BJ410" s="1"/>
      <c r="BM410" s="1"/>
      <c r="BP410" s="1"/>
      <c r="BS410" s="1"/>
    </row>
    <row r="411" spans="1:71" x14ac:dyDescent="0.3">
      <c r="A411" s="19">
        <f t="shared" si="34"/>
        <v>46490</v>
      </c>
      <c r="B411">
        <f t="shared" ca="1" si="30"/>
        <v>-0.93888888888888888</v>
      </c>
      <c r="C411" t="str">
        <f ca="1">IF(currency="USD",'Future et co'!D411,IF(currency="EUR",'Future et co'!E411,IF(currency="GBP",'Future et co'!F411,FALSE)))</f>
        <v>RFR USD</v>
      </c>
      <c r="D411" t="str">
        <f t="shared" ca="1" si="31"/>
        <v>RFR USD</v>
      </c>
      <c r="E411" t="str">
        <f t="shared" ca="1" si="32"/>
        <v>RFR EUR</v>
      </c>
      <c r="F411" t="str">
        <f t="shared" ca="1" si="33"/>
        <v>RFR GBP</v>
      </c>
      <c r="J411" s="1"/>
      <c r="N411" s="1"/>
      <c r="R411" s="1"/>
      <c r="V411" s="1"/>
      <c r="AB411" s="1"/>
      <c r="AF411" s="1"/>
      <c r="AJ411" s="1"/>
      <c r="AN411" s="1"/>
      <c r="AS411" s="1"/>
      <c r="AX411" s="1"/>
      <c r="BA411" s="1"/>
      <c r="BC411" s="1"/>
      <c r="BD411" s="1"/>
      <c r="BG411" s="1"/>
      <c r="BJ411" s="1"/>
      <c r="BM411" s="1"/>
      <c r="BP411" s="1"/>
      <c r="BS411" s="1"/>
    </row>
    <row r="412" spans="1:71" x14ac:dyDescent="0.3">
      <c r="A412" s="19">
        <f t="shared" si="34"/>
        <v>46491</v>
      </c>
      <c r="B412">
        <f t="shared" ca="1" si="30"/>
        <v>-0.94166666666666665</v>
      </c>
      <c r="C412" t="str">
        <f ca="1">IF(currency="USD",'Future et co'!D412,IF(currency="EUR",'Future et co'!E412,IF(currency="GBP",'Future et co'!F412,FALSE)))</f>
        <v>RFR USD</v>
      </c>
      <c r="D412" t="str">
        <f t="shared" ca="1" si="31"/>
        <v>RFR USD</v>
      </c>
      <c r="E412" t="str">
        <f t="shared" ca="1" si="32"/>
        <v>RFR EUR</v>
      </c>
      <c r="F412" t="str">
        <f t="shared" ca="1" si="33"/>
        <v>RFR GBP</v>
      </c>
      <c r="J412" s="1"/>
      <c r="N412" s="1"/>
      <c r="R412" s="1"/>
      <c r="V412" s="1"/>
      <c r="AB412" s="1"/>
      <c r="AF412" s="1"/>
      <c r="AJ412" s="1"/>
      <c r="AN412" s="1"/>
      <c r="AS412" s="1"/>
      <c r="AX412" s="1"/>
      <c r="BA412" s="1"/>
      <c r="BC412" s="1"/>
      <c r="BD412" s="1"/>
      <c r="BG412" s="1"/>
      <c r="BJ412" s="1"/>
      <c r="BM412" s="1"/>
      <c r="BP412" s="1"/>
      <c r="BS412" s="1"/>
    </row>
    <row r="413" spans="1:71" x14ac:dyDescent="0.3">
      <c r="A413" s="19">
        <f t="shared" si="34"/>
        <v>46492</v>
      </c>
      <c r="B413">
        <f t="shared" ca="1" si="30"/>
        <v>-0.94444444444444442</v>
      </c>
      <c r="C413" t="str">
        <f ca="1">IF(currency="USD",'Future et co'!D413,IF(currency="EUR",'Future et co'!E413,IF(currency="GBP",'Future et co'!F413,FALSE)))</f>
        <v>RFR USD</v>
      </c>
      <c r="D413" t="str">
        <f t="shared" ca="1" si="31"/>
        <v>RFR USD</v>
      </c>
      <c r="E413" t="str">
        <f t="shared" ca="1" si="32"/>
        <v>RFR EUR</v>
      </c>
      <c r="F413" t="str">
        <f t="shared" ca="1" si="33"/>
        <v>RFR GBP</v>
      </c>
      <c r="J413" s="1"/>
      <c r="N413" s="1"/>
      <c r="R413" s="1"/>
      <c r="V413" s="1"/>
      <c r="AB413" s="1"/>
      <c r="AF413" s="1"/>
      <c r="AJ413" s="1"/>
      <c r="AN413" s="1"/>
      <c r="AS413" s="1"/>
      <c r="AX413" s="1"/>
      <c r="BA413" s="1"/>
      <c r="BC413" s="1"/>
      <c r="BD413" s="1"/>
      <c r="BG413" s="1"/>
      <c r="BJ413" s="1"/>
      <c r="BM413" s="1"/>
      <c r="BP413" s="1"/>
      <c r="BS413" s="1"/>
    </row>
    <row r="414" spans="1:71" x14ac:dyDescent="0.3">
      <c r="A414" s="19">
        <f t="shared" si="34"/>
        <v>46493</v>
      </c>
      <c r="B414">
        <f t="shared" ca="1" si="30"/>
        <v>-0.94722222222222219</v>
      </c>
      <c r="C414" t="str">
        <f ca="1">IF(currency="USD",'Future et co'!D414,IF(currency="EUR",'Future et co'!E414,IF(currency="GBP",'Future et co'!F414,FALSE)))</f>
        <v>RFR USD</v>
      </c>
      <c r="D414" t="str">
        <f t="shared" ca="1" si="31"/>
        <v>RFR USD</v>
      </c>
      <c r="E414" t="str">
        <f t="shared" ca="1" si="32"/>
        <v>RFR EUR</v>
      </c>
      <c r="F414" t="str">
        <f t="shared" ca="1" si="33"/>
        <v>RFR GBP</v>
      </c>
      <c r="J414" s="1"/>
      <c r="N414" s="1"/>
      <c r="R414" s="1"/>
      <c r="V414" s="1"/>
      <c r="AB414" s="1"/>
      <c r="AF414" s="1"/>
      <c r="AJ414" s="1"/>
      <c r="AN414" s="1"/>
      <c r="AS414" s="1"/>
      <c r="AX414" s="1"/>
      <c r="BA414" s="1"/>
      <c r="BC414" s="1"/>
      <c r="BD414" s="1"/>
      <c r="BG414" s="1"/>
      <c r="BJ414" s="1"/>
      <c r="BM414" s="1"/>
      <c r="BP414" s="1"/>
      <c r="BS414" s="1"/>
    </row>
    <row r="415" spans="1:71" x14ac:dyDescent="0.3">
      <c r="A415" s="19">
        <f t="shared" si="34"/>
        <v>46496</v>
      </c>
      <c r="B415">
        <f t="shared" ca="1" si="30"/>
        <v>-0.9555555555555556</v>
      </c>
      <c r="C415" t="str">
        <f ca="1">IF(currency="USD",'Future et co'!D415,IF(currency="EUR",'Future et co'!E415,IF(currency="GBP",'Future et co'!F415,FALSE)))</f>
        <v>RFR USD</v>
      </c>
      <c r="D415" t="str">
        <f t="shared" ca="1" si="31"/>
        <v>RFR USD</v>
      </c>
      <c r="E415" t="str">
        <f t="shared" ca="1" si="32"/>
        <v>RFR EUR</v>
      </c>
      <c r="F415" t="str">
        <f t="shared" ca="1" si="33"/>
        <v>RFR GBP</v>
      </c>
      <c r="J415" s="1"/>
      <c r="N415" s="1"/>
      <c r="R415" s="1"/>
      <c r="V415" s="1"/>
      <c r="AB415" s="1"/>
      <c r="AF415" s="1"/>
      <c r="AJ415" s="1"/>
      <c r="AN415" s="1"/>
      <c r="AS415" s="1"/>
      <c r="AX415" s="1"/>
      <c r="BA415" s="1"/>
      <c r="BC415" s="1"/>
      <c r="BD415" s="1"/>
      <c r="BG415" s="1"/>
      <c r="BJ415" s="1"/>
      <c r="BM415" s="1"/>
      <c r="BP415" s="1"/>
      <c r="BS415" s="1"/>
    </row>
    <row r="416" spans="1:71" x14ac:dyDescent="0.3">
      <c r="A416" s="19">
        <f t="shared" si="34"/>
        <v>46497</v>
      </c>
      <c r="B416">
        <f t="shared" ca="1" si="30"/>
        <v>-0.95833333333333337</v>
      </c>
      <c r="C416" t="str">
        <f ca="1">IF(currency="USD",'Future et co'!D416,IF(currency="EUR",'Future et co'!E416,IF(currency="GBP",'Future et co'!F416,FALSE)))</f>
        <v>RFR USD</v>
      </c>
      <c r="D416" t="str">
        <f t="shared" ca="1" si="31"/>
        <v>RFR USD</v>
      </c>
      <c r="E416" t="str">
        <f t="shared" ca="1" si="32"/>
        <v>RFR EUR</v>
      </c>
      <c r="F416" t="str">
        <f t="shared" ca="1" si="33"/>
        <v>RFR GBP</v>
      </c>
      <c r="J416" s="1"/>
      <c r="N416" s="1"/>
      <c r="R416" s="1"/>
      <c r="V416" s="1"/>
      <c r="AB416" s="1"/>
      <c r="AF416" s="1"/>
      <c r="AJ416" s="1"/>
      <c r="AN416" s="1"/>
      <c r="AS416" s="1"/>
      <c r="AX416" s="1"/>
      <c r="BA416" s="1"/>
      <c r="BC416" s="1"/>
      <c r="BD416" s="1"/>
      <c r="BG416" s="1"/>
      <c r="BJ416" s="1"/>
      <c r="BM416" s="1"/>
      <c r="BP416" s="1"/>
      <c r="BS416" s="1"/>
    </row>
    <row r="417" spans="1:71" x14ac:dyDescent="0.3">
      <c r="A417" s="19">
        <f t="shared" si="34"/>
        <v>46498</v>
      </c>
      <c r="B417">
        <f t="shared" ca="1" si="30"/>
        <v>-0.96111111111111114</v>
      </c>
      <c r="C417" t="str">
        <f ca="1">IF(currency="USD",'Future et co'!D417,IF(currency="EUR",'Future et co'!E417,IF(currency="GBP",'Future et co'!F417,FALSE)))</f>
        <v>RFR USD</v>
      </c>
      <c r="D417" t="str">
        <f t="shared" ca="1" si="31"/>
        <v>RFR USD</v>
      </c>
      <c r="E417" t="str">
        <f t="shared" ca="1" si="32"/>
        <v>RFR EUR</v>
      </c>
      <c r="F417" t="str">
        <f t="shared" ca="1" si="33"/>
        <v>RFR GBP</v>
      </c>
      <c r="J417" s="1"/>
      <c r="N417" s="1"/>
      <c r="R417" s="1"/>
      <c r="V417" s="1"/>
      <c r="AB417" s="1"/>
      <c r="AF417" s="1"/>
      <c r="AJ417" s="1"/>
      <c r="AN417" s="1"/>
      <c r="AS417" s="1"/>
      <c r="AX417" s="1"/>
      <c r="BA417" s="1"/>
      <c r="BC417" s="1"/>
      <c r="BD417" s="1"/>
      <c r="BG417" s="1"/>
      <c r="BJ417" s="1"/>
      <c r="BM417" s="1"/>
      <c r="BP417" s="1"/>
      <c r="BS417" s="1"/>
    </row>
    <row r="418" spans="1:71" x14ac:dyDescent="0.3">
      <c r="A418" s="19">
        <f t="shared" si="34"/>
        <v>46499</v>
      </c>
      <c r="B418">
        <f t="shared" ca="1" si="30"/>
        <v>-0.96388888888888891</v>
      </c>
      <c r="C418" t="str">
        <f ca="1">IF(currency="USD",'Future et co'!D418,IF(currency="EUR",'Future et co'!E418,IF(currency="GBP",'Future et co'!F418,FALSE)))</f>
        <v>RFR USD</v>
      </c>
      <c r="D418" t="str">
        <f t="shared" ca="1" si="31"/>
        <v>RFR USD</v>
      </c>
      <c r="E418" t="str">
        <f t="shared" ca="1" si="32"/>
        <v>RFR EUR</v>
      </c>
      <c r="F418" t="str">
        <f t="shared" ca="1" si="33"/>
        <v>RFR GBP</v>
      </c>
      <c r="J418" s="1"/>
      <c r="N418" s="1"/>
      <c r="R418" s="1"/>
      <c r="V418" s="1"/>
      <c r="AB418" s="1"/>
      <c r="AF418" s="1"/>
      <c r="AJ418" s="1"/>
      <c r="AN418" s="1"/>
      <c r="AS418" s="1"/>
      <c r="AX418" s="1"/>
      <c r="BA418" s="1"/>
      <c r="BC418" s="1"/>
      <c r="BD418" s="1"/>
      <c r="BG418" s="1"/>
      <c r="BJ418" s="1"/>
      <c r="BM418" s="1"/>
      <c r="BP418" s="1"/>
      <c r="BS418" s="1"/>
    </row>
    <row r="419" spans="1:71" x14ac:dyDescent="0.3">
      <c r="A419" s="19">
        <f t="shared" si="34"/>
        <v>46500</v>
      </c>
      <c r="B419">
        <f t="shared" ca="1" si="30"/>
        <v>-0.96666666666666667</v>
      </c>
      <c r="C419" t="str">
        <f ca="1">IF(currency="USD",'Future et co'!D419,IF(currency="EUR",'Future et co'!E419,IF(currency="GBP",'Future et co'!F419,FALSE)))</f>
        <v>RFR USD</v>
      </c>
      <c r="D419" t="str">
        <f t="shared" ca="1" si="31"/>
        <v>RFR USD</v>
      </c>
      <c r="E419" t="str">
        <f t="shared" ca="1" si="32"/>
        <v>RFR EUR</v>
      </c>
      <c r="F419" t="str">
        <f t="shared" ca="1" si="33"/>
        <v>RFR GBP</v>
      </c>
      <c r="J419" s="1"/>
      <c r="N419" s="1"/>
      <c r="R419" s="1"/>
      <c r="V419" s="1"/>
      <c r="AB419" s="1"/>
      <c r="AF419" s="1"/>
      <c r="AJ419" s="1"/>
      <c r="AN419" s="1"/>
      <c r="AS419" s="1"/>
      <c r="AX419" s="1"/>
      <c r="BA419" s="1"/>
      <c r="BC419" s="1"/>
      <c r="BD419" s="1"/>
      <c r="BG419" s="1"/>
      <c r="BJ419" s="1"/>
      <c r="BM419" s="1"/>
      <c r="BP419" s="1"/>
      <c r="BS419" s="1"/>
    </row>
    <row r="420" spans="1:71" x14ac:dyDescent="0.3">
      <c r="A420" s="19">
        <f t="shared" si="34"/>
        <v>46503</v>
      </c>
      <c r="B420">
        <f t="shared" ca="1" si="30"/>
        <v>-0.97499999999999998</v>
      </c>
      <c r="C420" t="str">
        <f ca="1">IF(currency="USD",'Future et co'!D420,IF(currency="EUR",'Future et co'!E420,IF(currency="GBP",'Future et co'!F420,FALSE)))</f>
        <v>RFR USD</v>
      </c>
      <c r="D420" t="str">
        <f t="shared" ca="1" si="31"/>
        <v>RFR USD</v>
      </c>
      <c r="E420" t="str">
        <f t="shared" ca="1" si="32"/>
        <v>RFR EUR</v>
      </c>
      <c r="F420" t="str">
        <f t="shared" ca="1" si="33"/>
        <v>RFR GBP</v>
      </c>
      <c r="J420" s="1"/>
      <c r="N420" s="1"/>
      <c r="R420" s="1"/>
      <c r="V420" s="1"/>
      <c r="AB420" s="1"/>
      <c r="AF420" s="1"/>
      <c r="AJ420" s="1"/>
      <c r="AN420" s="1"/>
      <c r="AS420" s="1"/>
      <c r="AX420" s="1"/>
      <c r="BA420" s="1"/>
      <c r="BC420" s="1"/>
      <c r="BD420" s="1"/>
      <c r="BG420" s="1"/>
      <c r="BJ420" s="1"/>
      <c r="BM420" s="1"/>
      <c r="BP420" s="1"/>
      <c r="BS420" s="1"/>
    </row>
    <row r="421" spans="1:71" x14ac:dyDescent="0.3">
      <c r="A421" s="19">
        <f t="shared" si="34"/>
        <v>46504</v>
      </c>
      <c r="B421">
        <f t="shared" ca="1" si="30"/>
        <v>-0.97777777777777775</v>
      </c>
      <c r="C421" t="str">
        <f ca="1">IF(currency="USD",'Future et co'!D421,IF(currency="EUR",'Future et co'!E421,IF(currency="GBP",'Future et co'!F421,FALSE)))</f>
        <v>RFR USD</v>
      </c>
      <c r="D421" t="str">
        <f t="shared" ca="1" si="31"/>
        <v>RFR USD</v>
      </c>
      <c r="E421" t="str">
        <f t="shared" ca="1" si="32"/>
        <v>RFR EUR</v>
      </c>
      <c r="F421" t="str">
        <f t="shared" ca="1" si="33"/>
        <v>RFR GBP</v>
      </c>
      <c r="J421" s="1"/>
      <c r="N421" s="1"/>
      <c r="R421" s="1"/>
      <c r="V421" s="1"/>
      <c r="AB421" s="1"/>
      <c r="AF421" s="1"/>
      <c r="AJ421" s="1"/>
      <c r="AN421" s="1"/>
      <c r="AS421" s="1"/>
      <c r="AX421" s="1"/>
      <c r="BA421" s="1"/>
      <c r="BC421" s="1"/>
      <c r="BD421" s="1"/>
      <c r="BG421" s="1"/>
      <c r="BJ421" s="1"/>
      <c r="BM421" s="1"/>
      <c r="BP421" s="1"/>
      <c r="BS421" s="1"/>
    </row>
    <row r="422" spans="1:71" x14ac:dyDescent="0.3">
      <c r="A422" s="19">
        <f t="shared" si="34"/>
        <v>46505</v>
      </c>
      <c r="B422">
        <f t="shared" ca="1" si="30"/>
        <v>-0.98055555555555551</v>
      </c>
      <c r="C422" t="str">
        <f ca="1">IF(currency="USD",'Future et co'!D422,IF(currency="EUR",'Future et co'!E422,IF(currency="GBP",'Future et co'!F422,FALSE)))</f>
        <v>RFR USD</v>
      </c>
      <c r="D422" t="str">
        <f t="shared" ca="1" si="31"/>
        <v>RFR USD</v>
      </c>
      <c r="E422" t="str">
        <f t="shared" ca="1" si="32"/>
        <v>RFR EUR</v>
      </c>
      <c r="F422" t="str">
        <f t="shared" ca="1" si="33"/>
        <v>RFR GBP</v>
      </c>
      <c r="J422" s="1"/>
      <c r="N422" s="1"/>
      <c r="R422" s="1"/>
      <c r="V422" s="1"/>
      <c r="AB422" s="1"/>
      <c r="AF422" s="1"/>
      <c r="AJ422" s="1"/>
      <c r="AN422" s="1"/>
      <c r="AS422" s="1"/>
      <c r="AX422" s="1"/>
      <c r="BA422" s="1"/>
      <c r="BC422" s="1"/>
      <c r="BD422" s="1"/>
      <c r="BG422" s="1"/>
      <c r="BJ422" s="1"/>
      <c r="BM422" s="1"/>
      <c r="BP422" s="1"/>
      <c r="BS422" s="1"/>
    </row>
    <row r="423" spans="1:71" x14ac:dyDescent="0.3">
      <c r="A423" s="19">
        <f t="shared" si="34"/>
        <v>46506</v>
      </c>
      <c r="B423">
        <f t="shared" ca="1" si="30"/>
        <v>-0.98333333333333328</v>
      </c>
      <c r="C423" t="str">
        <f ca="1">IF(currency="USD",'Future et co'!D423,IF(currency="EUR",'Future et co'!E423,IF(currency="GBP",'Future et co'!F423,FALSE)))</f>
        <v>RFR USD</v>
      </c>
      <c r="D423" t="str">
        <f t="shared" ca="1" si="31"/>
        <v>RFR USD</v>
      </c>
      <c r="E423" t="str">
        <f t="shared" ca="1" si="32"/>
        <v>RFR EUR</v>
      </c>
      <c r="F423" t="str">
        <f t="shared" ca="1" si="33"/>
        <v>RFR GBP</v>
      </c>
      <c r="J423" s="1"/>
      <c r="N423" s="1"/>
      <c r="R423" s="1"/>
      <c r="V423" s="1"/>
      <c r="AB423" s="1"/>
      <c r="AF423" s="1"/>
      <c r="AJ423" s="1"/>
      <c r="AN423" s="1"/>
      <c r="AS423" s="1"/>
      <c r="AX423" s="1"/>
      <c r="BA423" s="1"/>
      <c r="BC423" s="1"/>
      <c r="BD423" s="1"/>
      <c r="BG423" s="1"/>
      <c r="BJ423" s="1"/>
      <c r="BM423" s="1"/>
      <c r="BP423" s="1"/>
      <c r="BS423" s="1"/>
    </row>
    <row r="424" spans="1:71" x14ac:dyDescent="0.3">
      <c r="A424" s="19">
        <f t="shared" si="34"/>
        <v>46507</v>
      </c>
      <c r="B424">
        <f t="shared" ca="1" si="30"/>
        <v>-0.98611111111111116</v>
      </c>
      <c r="C424" t="str">
        <f ca="1">IF(currency="USD",'Future et co'!D424,IF(currency="EUR",'Future et co'!E424,IF(currency="GBP",'Future et co'!F424,FALSE)))</f>
        <v>RFR USD</v>
      </c>
      <c r="D424" t="str">
        <f t="shared" ca="1" si="31"/>
        <v>RFR USD</v>
      </c>
      <c r="E424" t="str">
        <f t="shared" ca="1" si="32"/>
        <v>RFR EUR</v>
      </c>
      <c r="F424" t="str">
        <f t="shared" ca="1" si="33"/>
        <v>RFR GBP</v>
      </c>
      <c r="J424" s="1"/>
      <c r="N424" s="1"/>
      <c r="R424" s="1"/>
      <c r="V424" s="1"/>
      <c r="AB424" s="1"/>
      <c r="AF424" s="1"/>
      <c r="AJ424" s="1"/>
      <c r="AN424" s="1"/>
      <c r="AS424" s="1"/>
      <c r="AX424" s="1"/>
      <c r="BA424" s="1"/>
      <c r="BC424" s="1"/>
      <c r="BD424" s="1"/>
      <c r="BG424" s="1"/>
      <c r="BJ424" s="1"/>
      <c r="BM424" s="1"/>
      <c r="BP424" s="1"/>
      <c r="BS424" s="1"/>
    </row>
    <row r="425" spans="1:71" x14ac:dyDescent="0.3">
      <c r="A425" s="19">
        <f t="shared" si="34"/>
        <v>46510</v>
      </c>
      <c r="B425">
        <f t="shared" ca="1" si="30"/>
        <v>-0.99444444444444446</v>
      </c>
      <c r="C425" t="str">
        <f ca="1">IF(currency="USD",'Future et co'!D425,IF(currency="EUR",'Future et co'!E425,IF(currency="GBP",'Future et co'!F425,FALSE)))</f>
        <v>RFR USD</v>
      </c>
      <c r="D425" t="str">
        <f t="shared" ca="1" si="31"/>
        <v>RFR USD</v>
      </c>
      <c r="E425" t="str">
        <f t="shared" ca="1" si="32"/>
        <v>RFR EUR</v>
      </c>
      <c r="F425" t="str">
        <f t="shared" ca="1" si="33"/>
        <v>RFR GBP</v>
      </c>
      <c r="J425" s="1"/>
      <c r="N425" s="1"/>
      <c r="R425" s="1"/>
      <c r="V425" s="1"/>
      <c r="AB425" s="1"/>
      <c r="AF425" s="1"/>
      <c r="AJ425" s="1"/>
      <c r="AN425" s="1"/>
      <c r="AS425" s="1"/>
      <c r="AX425" s="1"/>
      <c r="BA425" s="1"/>
      <c r="BC425" s="1"/>
      <c r="BD425" s="1"/>
      <c r="BG425" s="1"/>
      <c r="BJ425" s="1"/>
      <c r="BM425" s="1"/>
      <c r="BP425" s="1"/>
      <c r="BS425" s="1"/>
    </row>
    <row r="426" spans="1:71" x14ac:dyDescent="0.3">
      <c r="A426" s="19">
        <f t="shared" si="34"/>
        <v>46511</v>
      </c>
      <c r="B426">
        <f t="shared" ca="1" si="30"/>
        <v>-0.99722222222222223</v>
      </c>
      <c r="C426" t="str">
        <f ca="1">IF(currency="USD",'Future et co'!D426,IF(currency="EUR",'Future et co'!E426,IF(currency="GBP",'Future et co'!F426,FALSE)))</f>
        <v>RFR USD</v>
      </c>
      <c r="D426" t="str">
        <f t="shared" ca="1" si="31"/>
        <v>RFR USD</v>
      </c>
      <c r="E426" t="str">
        <f t="shared" ca="1" si="32"/>
        <v>RFR EUR</v>
      </c>
      <c r="F426" t="str">
        <f t="shared" ca="1" si="33"/>
        <v>RFR GBP</v>
      </c>
      <c r="J426" s="1"/>
      <c r="N426" s="1"/>
      <c r="R426" s="1"/>
      <c r="V426" s="1"/>
      <c r="AB426" s="1"/>
      <c r="AF426" s="1"/>
      <c r="AJ426" s="1"/>
      <c r="AN426" s="1"/>
      <c r="AS426" s="1"/>
      <c r="AX426" s="1"/>
      <c r="BA426" s="1"/>
      <c r="BC426" s="1"/>
      <c r="BD426" s="1"/>
      <c r="BG426" s="1"/>
      <c r="BJ426" s="1"/>
      <c r="BM426" s="1"/>
      <c r="BP426" s="1"/>
      <c r="BS426" s="1"/>
    </row>
    <row r="427" spans="1:71" x14ac:dyDescent="0.3">
      <c r="A427" s="19">
        <f t="shared" si="34"/>
        <v>46512</v>
      </c>
      <c r="B427">
        <f t="shared" ca="1" si="30"/>
        <v>-1</v>
      </c>
      <c r="C427" t="str">
        <f ca="1">IF(currency="USD",'Future et co'!D427,IF(currency="EUR",'Future et co'!E427,IF(currency="GBP",'Future et co'!F427,FALSE)))</f>
        <v>RFR USD</v>
      </c>
      <c r="D427" t="str">
        <f t="shared" ca="1" si="31"/>
        <v>RFR USD</v>
      </c>
      <c r="E427" t="str">
        <f t="shared" ca="1" si="32"/>
        <v>RFR EUR</v>
      </c>
      <c r="F427" t="str">
        <f t="shared" ca="1" si="33"/>
        <v>RFR GBP</v>
      </c>
      <c r="J427" s="1"/>
      <c r="N427" s="1"/>
      <c r="R427" s="1"/>
      <c r="V427" s="1"/>
      <c r="AB427" s="1"/>
      <c r="AF427" s="1"/>
      <c r="AJ427" s="1"/>
      <c r="AN427" s="1"/>
      <c r="AS427" s="1"/>
      <c r="AX427" s="1"/>
      <c r="BA427" s="1"/>
      <c r="BC427" s="1"/>
      <c r="BD427" s="1"/>
      <c r="BG427" s="1"/>
      <c r="BJ427" s="1"/>
      <c r="BM427" s="1"/>
      <c r="BP427" s="1"/>
      <c r="BS427" s="1"/>
    </row>
    <row r="428" spans="1:71" x14ac:dyDescent="0.3">
      <c r="A428" s="19">
        <f t="shared" si="34"/>
        <v>46513</v>
      </c>
      <c r="B428">
        <f t="shared" ca="1" si="30"/>
        <v>-1.0027777777777778</v>
      </c>
      <c r="C428" t="str">
        <f ca="1">IF(currency="USD",'Future et co'!D428,IF(currency="EUR",'Future et co'!E428,IF(currency="GBP",'Future et co'!F428,FALSE)))</f>
        <v>RFR USD</v>
      </c>
      <c r="D428" t="str">
        <f t="shared" ca="1" si="31"/>
        <v>RFR USD</v>
      </c>
      <c r="E428" t="str">
        <f t="shared" ca="1" si="32"/>
        <v>RFR EUR</v>
      </c>
      <c r="F428" t="str">
        <f t="shared" ca="1" si="33"/>
        <v>RFR GBP</v>
      </c>
      <c r="J428" s="1"/>
      <c r="N428" s="1"/>
      <c r="R428" s="1"/>
      <c r="V428" s="1"/>
      <c r="AB428" s="1"/>
      <c r="AF428" s="1"/>
      <c r="AJ428" s="1"/>
      <c r="AN428" s="1"/>
      <c r="AS428" s="1"/>
      <c r="AX428" s="1"/>
      <c r="BA428" s="1"/>
      <c r="BC428" s="1"/>
      <c r="BD428" s="1"/>
      <c r="BG428" s="1"/>
      <c r="BJ428" s="1"/>
      <c r="BM428" s="1"/>
      <c r="BP428" s="1"/>
      <c r="BS428" s="1"/>
    </row>
    <row r="429" spans="1:71" x14ac:dyDescent="0.3">
      <c r="A429" s="19">
        <f t="shared" si="34"/>
        <v>46514</v>
      </c>
      <c r="B429">
        <f t="shared" ca="1" si="30"/>
        <v>-1.0055555555555555</v>
      </c>
      <c r="C429" t="str">
        <f ca="1">IF(currency="USD",'Future et co'!D429,IF(currency="EUR",'Future et co'!E429,IF(currency="GBP",'Future et co'!F429,FALSE)))</f>
        <v>RFR USD</v>
      </c>
      <c r="D429" t="str">
        <f t="shared" ca="1" si="31"/>
        <v>RFR USD</v>
      </c>
      <c r="E429" t="str">
        <f t="shared" ca="1" si="32"/>
        <v>RFR EUR</v>
      </c>
      <c r="F429" t="str">
        <f t="shared" ca="1" si="33"/>
        <v>RFR GBP</v>
      </c>
      <c r="J429" s="1"/>
      <c r="N429" s="1"/>
      <c r="R429" s="1"/>
      <c r="V429" s="1"/>
      <c r="AB429" s="1"/>
      <c r="AF429" s="1"/>
      <c r="AJ429" s="1"/>
      <c r="AN429" s="1"/>
      <c r="AS429" s="1"/>
      <c r="AX429" s="1"/>
      <c r="BA429" s="1"/>
      <c r="BC429" s="1"/>
      <c r="BD429" s="1"/>
      <c r="BG429" s="1"/>
      <c r="BJ429" s="1"/>
      <c r="BM429" s="1"/>
      <c r="BP429" s="1"/>
      <c r="BS429" s="1"/>
    </row>
    <row r="430" spans="1:71" x14ac:dyDescent="0.3">
      <c r="A430" s="19">
        <f t="shared" si="34"/>
        <v>46517</v>
      </c>
      <c r="B430">
        <f t="shared" ca="1" si="30"/>
        <v>-1.0138888888888888</v>
      </c>
      <c r="C430" t="str">
        <f ca="1">IF(currency="USD",'Future et co'!D430,IF(currency="EUR",'Future et co'!E430,IF(currency="GBP",'Future et co'!F430,FALSE)))</f>
        <v>RFR USD</v>
      </c>
      <c r="D430" t="str">
        <f t="shared" ca="1" si="31"/>
        <v>RFR USD</v>
      </c>
      <c r="E430" t="str">
        <f t="shared" ca="1" si="32"/>
        <v>RFR EUR</v>
      </c>
      <c r="F430" t="str">
        <f t="shared" ca="1" si="33"/>
        <v>RFR GBP</v>
      </c>
      <c r="J430" s="1"/>
      <c r="N430" s="1"/>
      <c r="R430" s="1"/>
      <c r="V430" s="1"/>
      <c r="AB430" s="1"/>
      <c r="AF430" s="1"/>
      <c r="AJ430" s="1"/>
      <c r="AN430" s="1"/>
      <c r="AS430" s="1"/>
      <c r="AX430" s="1"/>
      <c r="BA430" s="1"/>
      <c r="BC430" s="1"/>
      <c r="BD430" s="1"/>
      <c r="BG430" s="1"/>
      <c r="BJ430" s="1"/>
      <c r="BM430" s="1"/>
      <c r="BP430" s="1"/>
      <c r="BS430" s="1"/>
    </row>
    <row r="431" spans="1:71" x14ac:dyDescent="0.3">
      <c r="A431" s="19">
        <f t="shared" si="34"/>
        <v>46518</v>
      </c>
      <c r="B431">
        <f t="shared" ca="1" si="30"/>
        <v>-1.0166666666666666</v>
      </c>
      <c r="C431" t="str">
        <f ca="1">IF(currency="USD",'Future et co'!D431,IF(currency="EUR",'Future et co'!E431,IF(currency="GBP",'Future et co'!F431,FALSE)))</f>
        <v>RFR USD</v>
      </c>
      <c r="D431" t="str">
        <f t="shared" ca="1" si="31"/>
        <v>RFR USD</v>
      </c>
      <c r="E431" t="str">
        <f t="shared" ca="1" si="32"/>
        <v>RFR EUR</v>
      </c>
      <c r="F431" t="str">
        <f t="shared" ca="1" si="33"/>
        <v>RFR GBP</v>
      </c>
      <c r="J431" s="1"/>
      <c r="N431" s="1"/>
      <c r="R431" s="1"/>
      <c r="V431" s="1"/>
      <c r="AB431" s="1"/>
      <c r="AF431" s="1"/>
      <c r="AJ431" s="1"/>
      <c r="AN431" s="1"/>
      <c r="AS431" s="1"/>
      <c r="AX431" s="1"/>
      <c r="BA431" s="1"/>
      <c r="BC431" s="1"/>
      <c r="BD431" s="1"/>
      <c r="BG431" s="1"/>
      <c r="BJ431" s="1"/>
      <c r="BM431" s="1"/>
      <c r="BP431" s="1"/>
      <c r="BS431" s="1"/>
    </row>
    <row r="432" spans="1:71" x14ac:dyDescent="0.3">
      <c r="A432" s="19">
        <f t="shared" si="34"/>
        <v>46519</v>
      </c>
      <c r="B432">
        <f t="shared" ca="1" si="30"/>
        <v>-1.0194444444444444</v>
      </c>
      <c r="C432" t="str">
        <f ca="1">IF(currency="USD",'Future et co'!D432,IF(currency="EUR",'Future et co'!E432,IF(currency="GBP",'Future et co'!F432,FALSE)))</f>
        <v>RFR USD</v>
      </c>
      <c r="D432" t="str">
        <f t="shared" ca="1" si="31"/>
        <v>RFR USD</v>
      </c>
      <c r="E432" t="str">
        <f t="shared" ca="1" si="32"/>
        <v>RFR EUR</v>
      </c>
      <c r="F432" t="str">
        <f t="shared" ca="1" si="33"/>
        <v>RFR GBP</v>
      </c>
      <c r="J432" s="1"/>
      <c r="N432" s="1"/>
      <c r="R432" s="1"/>
      <c r="V432" s="1"/>
      <c r="AB432" s="1"/>
      <c r="AF432" s="1"/>
      <c r="AJ432" s="1"/>
      <c r="AN432" s="1"/>
      <c r="AS432" s="1"/>
      <c r="AX432" s="1"/>
      <c r="BA432" s="1"/>
      <c r="BC432" s="1"/>
      <c r="BD432" s="1"/>
      <c r="BG432" s="1"/>
      <c r="BJ432" s="1"/>
      <c r="BM432" s="1"/>
      <c r="BP432" s="1"/>
      <c r="BS432" s="1"/>
    </row>
    <row r="433" spans="1:71" x14ac:dyDescent="0.3">
      <c r="A433" s="19">
        <f t="shared" si="34"/>
        <v>46520</v>
      </c>
      <c r="B433">
        <f t="shared" ca="1" si="30"/>
        <v>-1.0222222222222221</v>
      </c>
      <c r="C433" t="str">
        <f ca="1">IF(currency="USD",'Future et co'!D433,IF(currency="EUR",'Future et co'!E433,IF(currency="GBP",'Future et co'!F433,FALSE)))</f>
        <v>RFR USD</v>
      </c>
      <c r="D433" t="str">
        <f t="shared" ca="1" si="31"/>
        <v>RFR USD</v>
      </c>
      <c r="E433" t="str">
        <f t="shared" ca="1" si="32"/>
        <v>RFR EUR</v>
      </c>
      <c r="F433" t="str">
        <f t="shared" ca="1" si="33"/>
        <v>RFR GBP</v>
      </c>
      <c r="J433" s="1"/>
      <c r="N433" s="1"/>
      <c r="R433" s="1"/>
      <c r="V433" s="1"/>
      <c r="AB433" s="1"/>
      <c r="AF433" s="1"/>
      <c r="AJ433" s="1"/>
      <c r="AN433" s="1"/>
      <c r="AS433" s="1"/>
      <c r="AX433" s="1"/>
      <c r="BA433" s="1"/>
      <c r="BC433" s="1"/>
      <c r="BD433" s="1"/>
      <c r="BG433" s="1"/>
      <c r="BJ433" s="1"/>
      <c r="BM433" s="1"/>
      <c r="BP433" s="1"/>
      <c r="BS433" s="1"/>
    </row>
    <row r="434" spans="1:71" x14ac:dyDescent="0.3">
      <c r="A434" s="19">
        <f t="shared" si="34"/>
        <v>46521</v>
      </c>
      <c r="B434">
        <f t="shared" ca="1" si="30"/>
        <v>-1.0249999999999999</v>
      </c>
      <c r="C434" t="str">
        <f ca="1">IF(currency="USD",'Future et co'!D434,IF(currency="EUR",'Future et co'!E434,IF(currency="GBP",'Future et co'!F434,FALSE)))</f>
        <v>RFR USD</v>
      </c>
      <c r="D434" t="str">
        <f t="shared" ca="1" si="31"/>
        <v>RFR USD</v>
      </c>
      <c r="E434" t="str">
        <f t="shared" ca="1" si="32"/>
        <v>RFR EUR</v>
      </c>
      <c r="F434" t="str">
        <f t="shared" ca="1" si="33"/>
        <v>RFR GBP</v>
      </c>
      <c r="J434" s="1"/>
      <c r="N434" s="1"/>
      <c r="R434" s="1"/>
      <c r="V434" s="1"/>
      <c r="AB434" s="1"/>
      <c r="AF434" s="1"/>
      <c r="AJ434" s="1"/>
      <c r="AN434" s="1"/>
      <c r="AS434" s="1"/>
      <c r="AX434" s="1"/>
      <c r="BA434" s="1"/>
      <c r="BC434" s="1"/>
      <c r="BD434" s="1"/>
      <c r="BG434" s="1"/>
      <c r="BJ434" s="1"/>
      <c r="BM434" s="1"/>
      <c r="BP434" s="1"/>
      <c r="BS434" s="1"/>
    </row>
    <row r="435" spans="1:71" x14ac:dyDescent="0.3">
      <c r="A435" s="19">
        <f t="shared" si="34"/>
        <v>46524</v>
      </c>
      <c r="B435">
        <f t="shared" ca="1" si="30"/>
        <v>-1.0333333333333334</v>
      </c>
      <c r="C435" t="str">
        <f ca="1">IF(currency="USD",'Future et co'!D435,IF(currency="EUR",'Future et co'!E435,IF(currency="GBP",'Future et co'!F435,FALSE)))</f>
        <v>RFR USD</v>
      </c>
      <c r="D435" t="str">
        <f t="shared" ca="1" si="31"/>
        <v>RFR USD</v>
      </c>
      <c r="E435" t="str">
        <f t="shared" ca="1" si="32"/>
        <v>RFR EUR</v>
      </c>
      <c r="F435" t="str">
        <f t="shared" ca="1" si="33"/>
        <v>RFR GBP</v>
      </c>
      <c r="J435" s="1"/>
      <c r="N435" s="1"/>
      <c r="R435" s="1"/>
      <c r="V435" s="1"/>
      <c r="AB435" s="1"/>
      <c r="AF435" s="1"/>
      <c r="AJ435" s="1"/>
      <c r="AN435" s="1"/>
      <c r="AS435" s="1"/>
      <c r="AX435" s="1"/>
      <c r="BA435" s="1"/>
      <c r="BC435" s="1"/>
      <c r="BD435" s="1"/>
      <c r="BG435" s="1"/>
      <c r="BJ435" s="1"/>
      <c r="BM435" s="1"/>
      <c r="BP435" s="1"/>
      <c r="BS435" s="1"/>
    </row>
    <row r="436" spans="1:71" x14ac:dyDescent="0.3">
      <c r="A436" s="19">
        <f t="shared" si="34"/>
        <v>46525</v>
      </c>
      <c r="B436">
        <f t="shared" ca="1" si="30"/>
        <v>-1.0361111111111112</v>
      </c>
      <c r="C436" t="str">
        <f ca="1">IF(currency="USD",'Future et co'!D436,IF(currency="EUR",'Future et co'!E436,IF(currency="GBP",'Future et co'!F436,FALSE)))</f>
        <v>RFR USD</v>
      </c>
      <c r="D436" t="str">
        <f t="shared" ca="1" si="31"/>
        <v>RFR USD</v>
      </c>
      <c r="E436" t="str">
        <f t="shared" ca="1" si="32"/>
        <v>RFR EUR</v>
      </c>
      <c r="F436" t="str">
        <f t="shared" ca="1" si="33"/>
        <v>RFR GBP</v>
      </c>
      <c r="J436" s="1"/>
      <c r="N436" s="1"/>
      <c r="R436" s="1"/>
      <c r="V436" s="1"/>
      <c r="AB436" s="1"/>
      <c r="AF436" s="1"/>
      <c r="AJ436" s="1"/>
      <c r="AN436" s="1"/>
      <c r="AS436" s="1"/>
      <c r="AX436" s="1"/>
      <c r="BA436" s="1"/>
      <c r="BC436" s="1"/>
      <c r="BD436" s="1"/>
      <c r="BG436" s="1"/>
      <c r="BJ436" s="1"/>
      <c r="BM436" s="1"/>
      <c r="BP436" s="1"/>
      <c r="BS436" s="1"/>
    </row>
    <row r="437" spans="1:71" x14ac:dyDescent="0.3">
      <c r="A437" s="19">
        <f t="shared" si="34"/>
        <v>46526</v>
      </c>
      <c r="B437">
        <f t="shared" ca="1" si="30"/>
        <v>-1.038888888888889</v>
      </c>
      <c r="C437" t="str">
        <f ca="1">IF(currency="USD",'Future et co'!D437,IF(currency="EUR",'Future et co'!E437,IF(currency="GBP",'Future et co'!F437,FALSE)))</f>
        <v>RFR USD</v>
      </c>
      <c r="D437" t="str">
        <f t="shared" ca="1" si="31"/>
        <v>RFR USD</v>
      </c>
      <c r="E437" t="str">
        <f t="shared" ca="1" si="32"/>
        <v>RFR EUR</v>
      </c>
      <c r="F437" t="str">
        <f t="shared" ca="1" si="33"/>
        <v>RFR GBP</v>
      </c>
      <c r="J437" s="1"/>
      <c r="N437" s="1"/>
      <c r="R437" s="1"/>
      <c r="V437" s="1"/>
      <c r="AB437" s="1"/>
      <c r="AF437" s="1"/>
      <c r="AJ437" s="1"/>
      <c r="AN437" s="1"/>
      <c r="AS437" s="1"/>
      <c r="AX437" s="1"/>
      <c r="BA437" s="1"/>
      <c r="BC437" s="1"/>
      <c r="BD437" s="1"/>
      <c r="BG437" s="1"/>
      <c r="BJ437" s="1"/>
      <c r="BM437" s="1"/>
      <c r="BP437" s="1"/>
      <c r="BS437" s="1"/>
    </row>
    <row r="438" spans="1:71" x14ac:dyDescent="0.3">
      <c r="A438" s="19">
        <f t="shared" si="34"/>
        <v>46527</v>
      </c>
      <c r="B438">
        <f t="shared" ca="1" si="30"/>
        <v>-1.0416666666666667</v>
      </c>
      <c r="C438" t="str">
        <f ca="1">IF(currency="USD",'Future et co'!D438,IF(currency="EUR",'Future et co'!E438,IF(currency="GBP",'Future et co'!F438,FALSE)))</f>
        <v>RFR USD</v>
      </c>
      <c r="D438" t="str">
        <f t="shared" ca="1" si="31"/>
        <v>RFR USD</v>
      </c>
      <c r="E438" t="str">
        <f t="shared" ca="1" si="32"/>
        <v>RFR EUR</v>
      </c>
      <c r="F438" t="str">
        <f t="shared" ca="1" si="33"/>
        <v>RFR GBP</v>
      </c>
      <c r="J438" s="1"/>
      <c r="N438" s="1"/>
      <c r="R438" s="1"/>
      <c r="V438" s="1"/>
      <c r="AB438" s="1"/>
      <c r="AF438" s="1"/>
      <c r="AJ438" s="1"/>
      <c r="AN438" s="1"/>
      <c r="AS438" s="1"/>
      <c r="AX438" s="1"/>
      <c r="BA438" s="1"/>
      <c r="BC438" s="1"/>
      <c r="BD438" s="1"/>
      <c r="BG438" s="1"/>
      <c r="BJ438" s="1"/>
      <c r="BM438" s="1"/>
      <c r="BP438" s="1"/>
      <c r="BS438" s="1"/>
    </row>
    <row r="439" spans="1:71" x14ac:dyDescent="0.3">
      <c r="A439" s="19">
        <f t="shared" si="34"/>
        <v>46528</v>
      </c>
      <c r="B439">
        <f t="shared" ca="1" si="30"/>
        <v>-1.0444444444444445</v>
      </c>
      <c r="C439" t="str">
        <f ca="1">IF(currency="USD",'Future et co'!D439,IF(currency="EUR",'Future et co'!E439,IF(currency="GBP",'Future et co'!F439,FALSE)))</f>
        <v>RFR USD</v>
      </c>
      <c r="D439" t="str">
        <f t="shared" ca="1" si="31"/>
        <v>RFR USD</v>
      </c>
      <c r="E439" t="str">
        <f t="shared" ca="1" si="32"/>
        <v>RFR EUR</v>
      </c>
      <c r="F439" t="str">
        <f t="shared" ca="1" si="33"/>
        <v>RFR GBP</v>
      </c>
      <c r="J439" s="1"/>
      <c r="N439" s="1"/>
      <c r="R439" s="1"/>
      <c r="V439" s="1"/>
      <c r="AB439" s="1"/>
      <c r="AF439" s="1"/>
      <c r="AJ439" s="1"/>
      <c r="AN439" s="1"/>
      <c r="AS439" s="1"/>
      <c r="AX439" s="1"/>
      <c r="BA439" s="1"/>
      <c r="BC439" s="1"/>
      <c r="BD439" s="1"/>
      <c r="BG439" s="1"/>
      <c r="BJ439" s="1"/>
      <c r="BM439" s="1"/>
      <c r="BP439" s="1"/>
      <c r="BS439" s="1"/>
    </row>
    <row r="440" spans="1:71" x14ac:dyDescent="0.3">
      <c r="A440" s="19">
        <f t="shared" si="34"/>
        <v>46531</v>
      </c>
      <c r="B440">
        <f t="shared" ca="1" si="30"/>
        <v>-1.0527777777777778</v>
      </c>
      <c r="C440" t="str">
        <f ca="1">IF(currency="USD",'Future et co'!D440,IF(currency="EUR",'Future et co'!E440,IF(currency="GBP",'Future et co'!F440,FALSE)))</f>
        <v>RFR USD</v>
      </c>
      <c r="D440" t="str">
        <f t="shared" ca="1" si="31"/>
        <v>RFR USD</v>
      </c>
      <c r="E440" t="str">
        <f t="shared" ca="1" si="32"/>
        <v>RFR EUR</v>
      </c>
      <c r="F440" t="str">
        <f t="shared" ca="1" si="33"/>
        <v>RFR GBP</v>
      </c>
      <c r="J440" s="1"/>
      <c r="N440" s="1"/>
      <c r="R440" s="1"/>
      <c r="V440" s="1"/>
      <c r="AB440" s="1"/>
      <c r="AF440" s="1"/>
      <c r="AJ440" s="1"/>
      <c r="AN440" s="1"/>
      <c r="AS440" s="1"/>
      <c r="AX440" s="1"/>
      <c r="BA440" s="1"/>
      <c r="BC440" s="1"/>
      <c r="BD440" s="1"/>
      <c r="BG440" s="1"/>
      <c r="BJ440" s="1"/>
      <c r="BM440" s="1"/>
      <c r="BP440" s="1"/>
      <c r="BS440" s="1"/>
    </row>
    <row r="441" spans="1:71" x14ac:dyDescent="0.3">
      <c r="A441" s="19">
        <f t="shared" si="34"/>
        <v>46532</v>
      </c>
      <c r="B441">
        <f t="shared" ca="1" si="30"/>
        <v>-1.0555555555555556</v>
      </c>
      <c r="C441" t="str">
        <f ca="1">IF(currency="USD",'Future et co'!D441,IF(currency="EUR",'Future et co'!E441,IF(currency="GBP",'Future et co'!F441,FALSE)))</f>
        <v>RFR USD</v>
      </c>
      <c r="D441" t="str">
        <f t="shared" ca="1" si="31"/>
        <v>RFR USD</v>
      </c>
      <c r="E441" t="str">
        <f t="shared" ca="1" si="32"/>
        <v>RFR EUR</v>
      </c>
      <c r="F441" t="str">
        <f t="shared" ca="1" si="33"/>
        <v>RFR GBP</v>
      </c>
      <c r="J441" s="1"/>
      <c r="N441" s="1"/>
      <c r="R441" s="1"/>
      <c r="V441" s="1"/>
      <c r="AB441" s="1"/>
      <c r="AF441" s="1"/>
      <c r="AJ441" s="1"/>
      <c r="AN441" s="1"/>
      <c r="AS441" s="1"/>
      <c r="AX441" s="1"/>
      <c r="BA441" s="1"/>
      <c r="BC441" s="1"/>
      <c r="BD441" s="1"/>
      <c r="BG441" s="1"/>
      <c r="BJ441" s="1"/>
      <c r="BM441" s="1"/>
      <c r="BP441" s="1"/>
      <c r="BS441" s="1"/>
    </row>
    <row r="442" spans="1:71" x14ac:dyDescent="0.3">
      <c r="A442" s="19">
        <f t="shared" si="34"/>
        <v>46533</v>
      </c>
      <c r="B442">
        <f t="shared" ca="1" si="30"/>
        <v>-1.0583333333333333</v>
      </c>
      <c r="C442" t="str">
        <f ca="1">IF(currency="USD",'Future et co'!D442,IF(currency="EUR",'Future et co'!E442,IF(currency="GBP",'Future et co'!F442,FALSE)))</f>
        <v>RFR USD</v>
      </c>
      <c r="D442" t="str">
        <f t="shared" ca="1" si="31"/>
        <v>RFR USD</v>
      </c>
      <c r="E442" t="str">
        <f t="shared" ca="1" si="32"/>
        <v>RFR EUR</v>
      </c>
      <c r="F442" t="str">
        <f t="shared" ca="1" si="33"/>
        <v>RFR GBP</v>
      </c>
      <c r="J442" s="1"/>
      <c r="N442" s="1"/>
      <c r="R442" s="1"/>
      <c r="V442" s="1"/>
      <c r="AB442" s="1"/>
      <c r="AF442" s="1"/>
      <c r="AJ442" s="1"/>
      <c r="AN442" s="1"/>
      <c r="AS442" s="1"/>
      <c r="AX442" s="1"/>
      <c r="BA442" s="1"/>
      <c r="BC442" s="1"/>
      <c r="BD442" s="1"/>
      <c r="BG442" s="1"/>
      <c r="BJ442" s="1"/>
      <c r="BM442" s="1"/>
      <c r="BP442" s="1"/>
      <c r="BS442" s="1"/>
    </row>
    <row r="443" spans="1:71" x14ac:dyDescent="0.3">
      <c r="A443" s="19">
        <f t="shared" si="34"/>
        <v>46534</v>
      </c>
      <c r="B443">
        <f t="shared" ca="1" si="30"/>
        <v>-1.0611111111111111</v>
      </c>
      <c r="C443" t="str">
        <f ca="1">IF(currency="USD",'Future et co'!D443,IF(currency="EUR",'Future et co'!E443,IF(currency="GBP",'Future et co'!F443,FALSE)))</f>
        <v>RFR USD</v>
      </c>
      <c r="D443" t="str">
        <f t="shared" ca="1" si="31"/>
        <v>RFR USD</v>
      </c>
      <c r="E443" t="str">
        <f t="shared" ca="1" si="32"/>
        <v>RFR EUR</v>
      </c>
      <c r="F443" t="str">
        <f t="shared" ca="1" si="33"/>
        <v>RFR GBP</v>
      </c>
      <c r="J443" s="1"/>
      <c r="N443" s="1"/>
      <c r="R443" s="1"/>
      <c r="V443" s="1"/>
      <c r="AB443" s="1"/>
      <c r="AF443" s="1"/>
      <c r="AJ443" s="1"/>
      <c r="AN443" s="1"/>
      <c r="AS443" s="1"/>
      <c r="AX443" s="1"/>
      <c r="BA443" s="1"/>
      <c r="BC443" s="1"/>
      <c r="BD443" s="1"/>
      <c r="BG443" s="1"/>
      <c r="BJ443" s="1"/>
      <c r="BM443" s="1"/>
      <c r="BP443" s="1"/>
      <c r="BS443" s="1"/>
    </row>
    <row r="444" spans="1:71" x14ac:dyDescent="0.3">
      <c r="A444" s="19">
        <f t="shared" si="34"/>
        <v>46535</v>
      </c>
      <c r="B444">
        <f t="shared" ca="1" si="30"/>
        <v>-1.0638888888888889</v>
      </c>
      <c r="C444" t="str">
        <f ca="1">IF(currency="USD",'Future et co'!D444,IF(currency="EUR",'Future et co'!E444,IF(currency="GBP",'Future et co'!F444,FALSE)))</f>
        <v>RFR USD</v>
      </c>
      <c r="D444" t="str">
        <f t="shared" ca="1" si="31"/>
        <v>RFR USD</v>
      </c>
      <c r="E444" t="str">
        <f t="shared" ca="1" si="32"/>
        <v>RFR EUR</v>
      </c>
      <c r="F444" t="str">
        <f t="shared" ca="1" si="33"/>
        <v>RFR GBP</v>
      </c>
      <c r="J444" s="1"/>
      <c r="N444" s="1"/>
      <c r="R444" s="1"/>
      <c r="V444" s="1"/>
      <c r="AB444" s="1"/>
      <c r="AF444" s="1"/>
      <c r="AJ444" s="1"/>
      <c r="AN444" s="1"/>
      <c r="AS444" s="1"/>
      <c r="AX444" s="1"/>
      <c r="BA444" s="1"/>
      <c r="BC444" s="1"/>
      <c r="BD444" s="1"/>
      <c r="BG444" s="1"/>
      <c r="BJ444" s="1"/>
      <c r="BM444" s="1"/>
      <c r="BP444" s="1"/>
      <c r="BS444" s="1"/>
    </row>
    <row r="445" spans="1:71" x14ac:dyDescent="0.3">
      <c r="A445" s="19">
        <f t="shared" si="34"/>
        <v>46538</v>
      </c>
      <c r="B445">
        <f t="shared" ca="1" si="30"/>
        <v>-1.0722222222222222</v>
      </c>
      <c r="C445" t="str">
        <f ca="1">IF(currency="USD",'Future et co'!D445,IF(currency="EUR",'Future et co'!E445,IF(currency="GBP",'Future et co'!F445,FALSE)))</f>
        <v>RFR USD</v>
      </c>
      <c r="D445" t="str">
        <f t="shared" ca="1" si="31"/>
        <v>RFR USD</v>
      </c>
      <c r="E445" t="str">
        <f t="shared" ca="1" si="32"/>
        <v>RFR EUR</v>
      </c>
      <c r="F445" t="str">
        <f t="shared" ca="1" si="33"/>
        <v>RFR GBP</v>
      </c>
      <c r="J445" s="1"/>
      <c r="N445" s="1"/>
      <c r="R445" s="1"/>
      <c r="V445" s="1"/>
      <c r="AB445" s="1"/>
      <c r="AF445" s="1"/>
      <c r="AJ445" s="1"/>
      <c r="AN445" s="1"/>
      <c r="AS445" s="1"/>
      <c r="AX445" s="1"/>
      <c r="BA445" s="1"/>
      <c r="BC445" s="1"/>
      <c r="BD445" s="1"/>
      <c r="BG445" s="1"/>
      <c r="BJ445" s="1"/>
      <c r="BM445" s="1"/>
      <c r="BP445" s="1"/>
      <c r="BS445" s="1"/>
    </row>
    <row r="446" spans="1:71" x14ac:dyDescent="0.3">
      <c r="A446" s="19">
        <f t="shared" si="34"/>
        <v>46539</v>
      </c>
      <c r="B446">
        <f t="shared" ca="1" si="30"/>
        <v>-1.075</v>
      </c>
      <c r="C446" t="str">
        <f ca="1">IF(currency="USD",'Future et co'!D446,IF(currency="EUR",'Future et co'!E446,IF(currency="GBP",'Future et co'!F446,FALSE)))</f>
        <v>RFR USD</v>
      </c>
      <c r="D446" t="str">
        <f t="shared" ca="1" si="31"/>
        <v>RFR USD</v>
      </c>
      <c r="E446" t="str">
        <f t="shared" ca="1" si="32"/>
        <v>RFR EUR</v>
      </c>
      <c r="F446" t="str">
        <f t="shared" ca="1" si="33"/>
        <v>RFR GBP</v>
      </c>
      <c r="J446" s="1"/>
      <c r="N446" s="1"/>
      <c r="R446" s="1"/>
      <c r="V446" s="1"/>
      <c r="AB446" s="1"/>
      <c r="AF446" s="1"/>
      <c r="AJ446" s="1"/>
      <c r="AN446" s="1"/>
      <c r="AS446" s="1"/>
      <c r="AX446" s="1"/>
      <c r="BA446" s="1"/>
      <c r="BC446" s="1"/>
      <c r="BD446" s="1"/>
      <c r="BG446" s="1"/>
      <c r="BJ446" s="1"/>
      <c r="BM446" s="1"/>
      <c r="BP446" s="1"/>
      <c r="BS446" s="1"/>
    </row>
    <row r="447" spans="1:71" x14ac:dyDescent="0.3">
      <c r="A447" s="19">
        <f t="shared" si="34"/>
        <v>46540</v>
      </c>
      <c r="B447">
        <f t="shared" ca="1" si="30"/>
        <v>-1.0777777777777777</v>
      </c>
      <c r="C447" t="str">
        <f ca="1">IF(currency="USD",'Future et co'!D447,IF(currency="EUR",'Future et co'!E447,IF(currency="GBP",'Future et co'!F447,FALSE)))</f>
        <v>RFR USD</v>
      </c>
      <c r="D447" t="str">
        <f t="shared" ca="1" si="31"/>
        <v>RFR USD</v>
      </c>
      <c r="E447" t="str">
        <f t="shared" ca="1" si="32"/>
        <v>RFR EUR</v>
      </c>
      <c r="F447" t="str">
        <f t="shared" ca="1" si="33"/>
        <v>RFR GBP</v>
      </c>
      <c r="J447" s="1"/>
      <c r="N447" s="1"/>
      <c r="R447" s="1"/>
      <c r="V447" s="1"/>
      <c r="AB447" s="1"/>
      <c r="AF447" s="1"/>
      <c r="AJ447" s="1"/>
      <c r="AN447" s="1"/>
      <c r="AS447" s="1"/>
      <c r="AX447" s="1"/>
      <c r="BA447" s="1"/>
      <c r="BC447" s="1"/>
      <c r="BD447" s="1"/>
      <c r="BG447" s="1"/>
      <c r="BJ447" s="1"/>
      <c r="BM447" s="1"/>
      <c r="BP447" s="1"/>
      <c r="BS447" s="1"/>
    </row>
    <row r="448" spans="1:71" x14ac:dyDescent="0.3">
      <c r="A448" s="19">
        <f t="shared" si="34"/>
        <v>46541</v>
      </c>
      <c r="B448">
        <f t="shared" ca="1" si="30"/>
        <v>-1.0805555555555555</v>
      </c>
      <c r="C448" t="str">
        <f ca="1">IF(currency="USD",'Future et co'!D448,IF(currency="EUR",'Future et co'!E448,IF(currency="GBP",'Future et co'!F448,FALSE)))</f>
        <v>RFR USD</v>
      </c>
      <c r="D448" t="str">
        <f t="shared" ca="1" si="31"/>
        <v>RFR USD</v>
      </c>
      <c r="E448" t="str">
        <f t="shared" ca="1" si="32"/>
        <v>RFR EUR</v>
      </c>
      <c r="F448" t="str">
        <f t="shared" ca="1" si="33"/>
        <v>RFR GBP</v>
      </c>
      <c r="J448" s="1"/>
      <c r="N448" s="1"/>
      <c r="R448" s="1"/>
      <c r="V448" s="1"/>
      <c r="AB448" s="1"/>
      <c r="AF448" s="1"/>
      <c r="AJ448" s="1"/>
      <c r="AN448" s="1"/>
      <c r="AS448" s="1"/>
      <c r="AX448" s="1"/>
      <c r="BA448" s="1"/>
      <c r="BC448" s="1"/>
      <c r="BD448" s="1"/>
      <c r="BG448" s="1"/>
      <c r="BJ448" s="1"/>
      <c r="BM448" s="1"/>
      <c r="BP448" s="1"/>
      <c r="BS448" s="1"/>
    </row>
    <row r="449" spans="1:71" x14ac:dyDescent="0.3">
      <c r="A449" s="19">
        <f t="shared" si="34"/>
        <v>46542</v>
      </c>
      <c r="B449">
        <f t="shared" ca="1" si="30"/>
        <v>-1.0833333333333333</v>
      </c>
      <c r="C449" t="str">
        <f ca="1">IF(currency="USD",'Future et co'!D449,IF(currency="EUR",'Future et co'!E449,IF(currency="GBP",'Future et co'!F449,FALSE)))</f>
        <v>RFR USD</v>
      </c>
      <c r="D449" t="str">
        <f t="shared" ca="1" si="31"/>
        <v>RFR USD</v>
      </c>
      <c r="E449" t="str">
        <f t="shared" ca="1" si="32"/>
        <v>RFR EUR</v>
      </c>
      <c r="F449" t="str">
        <f t="shared" ca="1" si="33"/>
        <v>RFR GBP</v>
      </c>
      <c r="J449" s="1"/>
      <c r="N449" s="1"/>
      <c r="R449" s="1"/>
      <c r="V449" s="1"/>
      <c r="AB449" s="1"/>
      <c r="AF449" s="1"/>
      <c r="AJ449" s="1"/>
      <c r="AN449" s="1"/>
      <c r="AS449" s="1"/>
      <c r="AX449" s="1"/>
      <c r="BA449" s="1"/>
      <c r="BC449" s="1"/>
      <c r="BD449" s="1"/>
      <c r="BG449" s="1"/>
      <c r="BJ449" s="1"/>
      <c r="BM449" s="1"/>
      <c r="BP449" s="1"/>
      <c r="BS449" s="1"/>
    </row>
    <row r="450" spans="1:71" x14ac:dyDescent="0.3">
      <c r="A450" s="19">
        <f t="shared" si="34"/>
        <v>46545</v>
      </c>
      <c r="B450">
        <f t="shared" ca="1" si="30"/>
        <v>-1.0916666666666666</v>
      </c>
      <c r="C450" t="str">
        <f ca="1">IF(currency="USD",'Future et co'!D450,IF(currency="EUR",'Future et co'!E450,IF(currency="GBP",'Future et co'!F450,FALSE)))</f>
        <v>RFR USD</v>
      </c>
      <c r="D450" t="str">
        <f t="shared" ca="1" si="31"/>
        <v>RFR USD</v>
      </c>
      <c r="E450" t="str">
        <f t="shared" ca="1" si="32"/>
        <v>RFR EUR</v>
      </c>
      <c r="F450" t="str">
        <f t="shared" ca="1" si="33"/>
        <v>RFR GBP</v>
      </c>
      <c r="J450" s="1"/>
      <c r="N450" s="1"/>
      <c r="R450" s="1"/>
      <c r="V450" s="1"/>
      <c r="AB450" s="1"/>
      <c r="AF450" s="1"/>
      <c r="AJ450" s="1"/>
      <c r="AN450" s="1"/>
      <c r="AS450" s="1"/>
      <c r="AX450" s="1"/>
      <c r="BA450" s="1"/>
      <c r="BC450" s="1"/>
      <c r="BD450" s="1"/>
      <c r="BG450" s="1"/>
      <c r="BJ450" s="1"/>
      <c r="BM450" s="1"/>
      <c r="BP450" s="1"/>
      <c r="BS450" s="1"/>
    </row>
    <row r="451" spans="1:71" x14ac:dyDescent="0.3">
      <c r="A451" s="19">
        <f t="shared" si="34"/>
        <v>46546</v>
      </c>
      <c r="B451">
        <f t="shared" ca="1" si="30"/>
        <v>-1.0944444444444446</v>
      </c>
      <c r="C451" t="str">
        <f ca="1">IF(currency="USD",'Future et co'!D451,IF(currency="EUR",'Future et co'!E451,IF(currency="GBP",'Future et co'!F451,FALSE)))</f>
        <v>RFR USD</v>
      </c>
      <c r="D451" t="str">
        <f t="shared" ca="1" si="31"/>
        <v>RFR USD</v>
      </c>
      <c r="E451" t="str">
        <f t="shared" ca="1" si="32"/>
        <v>RFR EUR</v>
      </c>
      <c r="F451" t="str">
        <f t="shared" ca="1" si="33"/>
        <v>RFR GBP</v>
      </c>
      <c r="J451" s="1"/>
      <c r="N451" s="1"/>
      <c r="R451" s="1"/>
      <c r="V451" s="1"/>
      <c r="AB451" s="1"/>
      <c r="AF451" s="1"/>
      <c r="AJ451" s="1"/>
      <c r="AN451" s="1"/>
      <c r="AS451" s="1"/>
      <c r="AX451" s="1"/>
      <c r="BA451" s="1"/>
      <c r="BC451" s="1"/>
      <c r="BD451" s="1"/>
      <c r="BG451" s="1"/>
      <c r="BJ451" s="1"/>
      <c r="BM451" s="1"/>
      <c r="BP451" s="1"/>
      <c r="BS451" s="1"/>
    </row>
    <row r="452" spans="1:71" x14ac:dyDescent="0.3">
      <c r="A452" s="19">
        <f t="shared" si="34"/>
        <v>46547</v>
      </c>
      <c r="B452">
        <f t="shared" ca="1" si="30"/>
        <v>-1.0972222222222223</v>
      </c>
      <c r="C452" t="str">
        <f ca="1">IF(currency="USD",'Future et co'!D452,IF(currency="EUR",'Future et co'!E452,IF(currency="GBP",'Future et co'!F452,FALSE)))</f>
        <v>RFR USD</v>
      </c>
      <c r="D452" t="str">
        <f t="shared" ca="1" si="31"/>
        <v>RFR USD</v>
      </c>
      <c r="E452" t="str">
        <f t="shared" ca="1" si="32"/>
        <v>RFR EUR</v>
      </c>
      <c r="F452" t="str">
        <f t="shared" ca="1" si="33"/>
        <v>RFR GBP</v>
      </c>
      <c r="J452" s="1"/>
      <c r="N452" s="1"/>
      <c r="R452" s="1"/>
      <c r="V452" s="1"/>
      <c r="AB452" s="1"/>
      <c r="AF452" s="1"/>
      <c r="AJ452" s="1"/>
      <c r="AN452" s="1"/>
      <c r="AS452" s="1"/>
      <c r="AX452" s="1"/>
      <c r="BA452" s="1"/>
      <c r="BC452" s="1"/>
      <c r="BD452" s="1"/>
      <c r="BG452" s="1"/>
      <c r="BJ452" s="1"/>
      <c r="BM452" s="1"/>
      <c r="BP452" s="1"/>
      <c r="BS452" s="1"/>
    </row>
    <row r="453" spans="1:71" x14ac:dyDescent="0.3">
      <c r="A453" s="19">
        <f t="shared" si="34"/>
        <v>46548</v>
      </c>
      <c r="B453">
        <f t="shared" ca="1" si="30"/>
        <v>-1.1000000000000001</v>
      </c>
      <c r="C453" t="str">
        <f ca="1">IF(currency="USD",'Future et co'!D453,IF(currency="EUR",'Future et co'!E453,IF(currency="GBP",'Future et co'!F453,FALSE)))</f>
        <v>RFR USD</v>
      </c>
      <c r="D453" t="str">
        <f t="shared" ca="1" si="31"/>
        <v>RFR USD</v>
      </c>
      <c r="E453" t="str">
        <f t="shared" ca="1" si="32"/>
        <v>RFR EUR</v>
      </c>
      <c r="F453" t="str">
        <f t="shared" ca="1" si="33"/>
        <v>RFR GBP</v>
      </c>
      <c r="J453" s="1"/>
      <c r="N453" s="1"/>
      <c r="R453" s="1"/>
      <c r="V453" s="1"/>
      <c r="AB453" s="1"/>
      <c r="AF453" s="1"/>
      <c r="AJ453" s="1"/>
      <c r="AN453" s="1"/>
      <c r="AS453" s="1"/>
      <c r="AX453" s="1"/>
      <c r="BA453" s="1"/>
      <c r="BC453" s="1"/>
      <c r="BD453" s="1"/>
      <c r="BG453" s="1"/>
      <c r="BJ453" s="1"/>
      <c r="BM453" s="1"/>
      <c r="BP453" s="1"/>
      <c r="BS453" s="1"/>
    </row>
    <row r="454" spans="1:71" x14ac:dyDescent="0.3">
      <c r="A454" s="19">
        <f t="shared" si="34"/>
        <v>46549</v>
      </c>
      <c r="B454">
        <f t="shared" ca="1" si="30"/>
        <v>-1.1027777777777779</v>
      </c>
      <c r="C454" t="str">
        <f ca="1">IF(currency="USD",'Future et co'!D454,IF(currency="EUR",'Future et co'!E454,IF(currency="GBP",'Future et co'!F454,FALSE)))</f>
        <v>RFR USD</v>
      </c>
      <c r="D454" t="str">
        <f t="shared" ca="1" si="31"/>
        <v>RFR USD</v>
      </c>
      <c r="E454" t="str">
        <f t="shared" ca="1" si="32"/>
        <v>RFR EUR</v>
      </c>
      <c r="F454" t="str">
        <f t="shared" ca="1" si="33"/>
        <v>RFR GBP</v>
      </c>
      <c r="J454" s="1"/>
      <c r="N454" s="1"/>
      <c r="R454" s="1"/>
      <c r="V454" s="1"/>
      <c r="AB454" s="1"/>
      <c r="AF454" s="1"/>
      <c r="AJ454" s="1"/>
      <c r="AN454" s="1"/>
      <c r="AS454" s="1"/>
      <c r="AX454" s="1"/>
      <c r="BA454" s="1"/>
      <c r="BC454" s="1"/>
      <c r="BD454" s="1"/>
      <c r="BG454" s="1"/>
      <c r="BJ454" s="1"/>
      <c r="BM454" s="1"/>
      <c r="BP454" s="1"/>
      <c r="BS454" s="1"/>
    </row>
    <row r="455" spans="1:71" x14ac:dyDescent="0.3">
      <c r="A455" s="19">
        <f t="shared" si="34"/>
        <v>46552</v>
      </c>
      <c r="B455">
        <f t="shared" ca="1" si="30"/>
        <v>-1.1111111111111112</v>
      </c>
      <c r="C455" t="str">
        <f ca="1">IF(currency="USD",'Future et co'!D455,IF(currency="EUR",'Future et co'!E455,IF(currency="GBP",'Future et co'!F455,FALSE)))</f>
        <v>RFR USD</v>
      </c>
      <c r="D455" t="str">
        <f t="shared" ca="1" si="31"/>
        <v>RFR USD</v>
      </c>
      <c r="E455" t="str">
        <f t="shared" ca="1" si="32"/>
        <v>RFR EUR</v>
      </c>
      <c r="F455" t="str">
        <f t="shared" ca="1" si="33"/>
        <v>RFR GBP</v>
      </c>
      <c r="J455" s="1"/>
      <c r="N455" s="1"/>
      <c r="R455" s="1"/>
      <c r="V455" s="1"/>
      <c r="AB455" s="1"/>
      <c r="AF455" s="1"/>
      <c r="AJ455" s="1"/>
      <c r="AN455" s="1"/>
      <c r="AS455" s="1"/>
      <c r="AX455" s="1"/>
      <c r="BA455" s="1"/>
      <c r="BC455" s="1"/>
      <c r="BD455" s="1"/>
      <c r="BG455" s="1"/>
      <c r="BJ455" s="1"/>
      <c r="BM455" s="1"/>
      <c r="BP455" s="1"/>
      <c r="BS455" s="1"/>
    </row>
    <row r="456" spans="1:71" x14ac:dyDescent="0.3">
      <c r="A456" s="19">
        <f t="shared" si="34"/>
        <v>46553</v>
      </c>
      <c r="B456">
        <f t="shared" ca="1" si="30"/>
        <v>-1.1138888888888889</v>
      </c>
      <c r="C456" t="str">
        <f ca="1">IF(currency="USD",'Future et co'!D456,IF(currency="EUR",'Future et co'!E456,IF(currency="GBP",'Future et co'!F456,FALSE)))</f>
        <v>RFR USD</v>
      </c>
      <c r="D456" t="str">
        <f t="shared" ca="1" si="31"/>
        <v>RFR USD</v>
      </c>
      <c r="E456" t="str">
        <f t="shared" ca="1" si="32"/>
        <v>RFR EUR</v>
      </c>
      <c r="F456" t="str">
        <f t="shared" ca="1" si="33"/>
        <v>RFR GBP</v>
      </c>
      <c r="J456" s="1"/>
      <c r="N456" s="1"/>
      <c r="R456" s="1"/>
      <c r="V456" s="1"/>
      <c r="AB456" s="1"/>
      <c r="AF456" s="1"/>
      <c r="AJ456" s="1"/>
      <c r="AN456" s="1"/>
      <c r="AS456" s="1"/>
      <c r="AX456" s="1"/>
      <c r="BA456" s="1"/>
      <c r="BC456" s="1"/>
      <c r="BD456" s="1"/>
      <c r="BG456" s="1"/>
      <c r="BJ456" s="1"/>
      <c r="BM456" s="1"/>
      <c r="BP456" s="1"/>
      <c r="BS456" s="1"/>
    </row>
    <row r="457" spans="1:71" x14ac:dyDescent="0.3">
      <c r="A457" s="19">
        <f t="shared" si="34"/>
        <v>46554</v>
      </c>
      <c r="B457">
        <f t="shared" ca="1" si="30"/>
        <v>-1.1166666666666667</v>
      </c>
      <c r="C457" t="str">
        <f ca="1">IF(currency="USD",'Future et co'!D457,IF(currency="EUR",'Future et co'!E457,IF(currency="GBP",'Future et co'!F457,FALSE)))</f>
        <v>RFR USD</v>
      </c>
      <c r="D457" t="str">
        <f t="shared" ca="1" si="31"/>
        <v>RFR USD</v>
      </c>
      <c r="E457" t="str">
        <f t="shared" ca="1" si="32"/>
        <v>RFR EUR</v>
      </c>
      <c r="F457" t="str">
        <f t="shared" ca="1" si="33"/>
        <v>RFR GBP</v>
      </c>
      <c r="J457" s="1"/>
      <c r="N457" s="1"/>
      <c r="R457" s="1"/>
      <c r="V457" s="1"/>
      <c r="AB457" s="1"/>
      <c r="AF457" s="1"/>
      <c r="AJ457" s="1"/>
      <c r="AN457" s="1"/>
      <c r="AS457" s="1"/>
      <c r="AX457" s="1"/>
      <c r="BA457" s="1"/>
      <c r="BC457" s="1"/>
      <c r="BD457" s="1"/>
      <c r="BG457" s="1"/>
      <c r="BJ457" s="1"/>
      <c r="BM457" s="1"/>
      <c r="BP457" s="1"/>
      <c r="BS457" s="1"/>
    </row>
    <row r="458" spans="1:71" x14ac:dyDescent="0.3">
      <c r="A458" s="19">
        <f t="shared" si="34"/>
        <v>46555</v>
      </c>
      <c r="B458">
        <f t="shared" ca="1" si="30"/>
        <v>-1.1194444444444445</v>
      </c>
      <c r="C458" t="str">
        <f ca="1">IF(currency="USD",'Future et co'!D458,IF(currency="EUR",'Future et co'!E458,IF(currency="GBP",'Future et co'!F458,FALSE)))</f>
        <v>RFR USD</v>
      </c>
      <c r="D458" t="str">
        <f t="shared" ca="1" si="31"/>
        <v>RFR USD</v>
      </c>
      <c r="E458" t="str">
        <f t="shared" ca="1" si="32"/>
        <v>RFR EUR</v>
      </c>
      <c r="F458" t="str">
        <f t="shared" ca="1" si="33"/>
        <v>RFR GBP</v>
      </c>
      <c r="J458" s="1"/>
      <c r="N458" s="1"/>
      <c r="R458" s="1"/>
      <c r="V458" s="1"/>
      <c r="AB458" s="1"/>
      <c r="AF458" s="1"/>
      <c r="AJ458" s="1"/>
      <c r="AN458" s="1"/>
      <c r="AS458" s="1"/>
      <c r="AX458" s="1"/>
      <c r="BA458" s="1"/>
      <c r="BC458" s="1"/>
      <c r="BD458" s="1"/>
      <c r="BG458" s="1"/>
      <c r="BJ458" s="1"/>
      <c r="BM458" s="1"/>
      <c r="BP458" s="1"/>
      <c r="BS458" s="1"/>
    </row>
    <row r="459" spans="1:71" x14ac:dyDescent="0.3">
      <c r="A459" s="19">
        <f t="shared" si="34"/>
        <v>46556</v>
      </c>
      <c r="B459">
        <f t="shared" ref="B459:B522" ca="1" si="35">($B$7-A459)/360</f>
        <v>-1.1222222222222222</v>
      </c>
      <c r="C459" t="str">
        <f ca="1">IF(currency="USD",'Future et co'!D459,IF(currency="EUR",'Future et co'!E459,IF(currency="GBP",'Future et co'!F459,FALSE)))</f>
        <v>RFR USD</v>
      </c>
      <c r="D459" t="str">
        <f t="shared" ref="D459:D522" ca="1" si="36">IFERROR(IF(B459&lt;0.25,VLOOKUP(A459,$J$11:$L$5325,3,FALSE),IF(AND(B459&gt;=0.25,B459&lt;0.5),VLOOKUP(A459,$N$11:$P$5325,3,FALSE),IF(AND(B459&gt;=0.5,B459&lt;1),VLOOKUP(A459,$R$11:$T$5325,3,FALSE),VLOOKUP(A459,$V$11:$X$5010,3,FALSE)))),D458)</f>
        <v>RFR USD</v>
      </c>
      <c r="E459" t="str">
        <f t="shared" ref="E459:E522" ca="1" si="37">IFERROR(IF(B459&lt;0.25,VLOOKUP(A459,$AF$11:$AH$5325,3,FALSE),IF(AND(B459&gt;=0.25,B459&lt;0.5),VLOOKUP(A459,$AJ$11:$AL$5325,3,FALSE),VLOOKUP(A459,$AN$11:$AP$5325,3,FALSE))),E458)</f>
        <v>RFR EUR</v>
      </c>
      <c r="F459" t="str">
        <f t="shared" ref="F459:F522" ca="1" si="38">IFERROR(VLOOKUP(A459,$AS$11:$AU$9999,3,FALSE),F458)</f>
        <v>RFR GBP</v>
      </c>
      <c r="J459" s="1"/>
      <c r="N459" s="1"/>
      <c r="R459" s="1"/>
      <c r="V459" s="1"/>
      <c r="AB459" s="1"/>
      <c r="AF459" s="1"/>
      <c r="AJ459" s="1"/>
      <c r="AN459" s="1"/>
      <c r="AS459" s="1"/>
      <c r="AX459" s="1"/>
      <c r="BA459" s="1"/>
      <c r="BC459" s="1"/>
      <c r="BD459" s="1"/>
      <c r="BG459" s="1"/>
      <c r="BJ459" s="1"/>
      <c r="BM459" s="1"/>
      <c r="BP459" s="1"/>
      <c r="BS459" s="1"/>
    </row>
    <row r="460" spans="1:71" x14ac:dyDescent="0.3">
      <c r="A460" s="19">
        <f t="shared" si="34"/>
        <v>46559</v>
      </c>
      <c r="B460">
        <f t="shared" ca="1" si="35"/>
        <v>-1.1305555555555555</v>
      </c>
      <c r="C460" t="str">
        <f ca="1">IF(currency="USD",'Future et co'!D460,IF(currency="EUR",'Future et co'!E460,IF(currency="GBP",'Future et co'!F460,FALSE)))</f>
        <v>RFR USD</v>
      </c>
      <c r="D460" t="str">
        <f t="shared" ca="1" si="36"/>
        <v>RFR USD</v>
      </c>
      <c r="E460" t="str">
        <f t="shared" ca="1" si="37"/>
        <v>RFR EUR</v>
      </c>
      <c r="F460" t="str">
        <f t="shared" ca="1" si="38"/>
        <v>RFR GBP</v>
      </c>
      <c r="J460" s="1"/>
      <c r="N460" s="1"/>
      <c r="R460" s="1"/>
      <c r="V460" s="1"/>
      <c r="AB460" s="1"/>
      <c r="AF460" s="1"/>
      <c r="AJ460" s="1"/>
      <c r="AN460" s="1"/>
      <c r="AS460" s="1"/>
      <c r="AX460" s="1"/>
      <c r="BA460" s="1"/>
      <c r="BC460" s="1"/>
      <c r="BD460" s="1"/>
      <c r="BG460" s="1"/>
      <c r="BJ460" s="1"/>
      <c r="BM460" s="1"/>
      <c r="BP460" s="1"/>
      <c r="BS460" s="1"/>
    </row>
    <row r="461" spans="1:71" x14ac:dyDescent="0.3">
      <c r="A461" s="19">
        <f t="shared" ref="A461:A524" si="39">WORKDAY(A460,1)</f>
        <v>46560</v>
      </c>
      <c r="B461">
        <f t="shared" ca="1" si="35"/>
        <v>-1.1333333333333333</v>
      </c>
      <c r="C461" t="str">
        <f ca="1">IF(currency="USD",'Future et co'!D461,IF(currency="EUR",'Future et co'!E461,IF(currency="GBP",'Future et co'!F461,FALSE)))</f>
        <v>RFR USD</v>
      </c>
      <c r="D461" t="str">
        <f t="shared" ca="1" si="36"/>
        <v>RFR USD</v>
      </c>
      <c r="E461" t="str">
        <f t="shared" ca="1" si="37"/>
        <v>RFR EUR</v>
      </c>
      <c r="F461" t="str">
        <f t="shared" ca="1" si="38"/>
        <v>RFR GBP</v>
      </c>
      <c r="J461" s="1"/>
      <c r="N461" s="1"/>
      <c r="R461" s="1"/>
      <c r="V461" s="1"/>
      <c r="AB461" s="1"/>
      <c r="AF461" s="1"/>
      <c r="AJ461" s="1"/>
      <c r="AN461" s="1"/>
      <c r="AS461" s="1"/>
      <c r="AX461" s="1"/>
      <c r="BA461" s="1"/>
      <c r="BC461" s="1"/>
      <c r="BD461" s="1"/>
      <c r="BG461" s="1"/>
      <c r="BJ461" s="1"/>
      <c r="BM461" s="1"/>
      <c r="BP461" s="1"/>
      <c r="BS461" s="1"/>
    </row>
    <row r="462" spans="1:71" x14ac:dyDescent="0.3">
      <c r="A462" s="19">
        <f t="shared" si="39"/>
        <v>46561</v>
      </c>
      <c r="B462">
        <f t="shared" ca="1" si="35"/>
        <v>-1.1361111111111111</v>
      </c>
      <c r="C462" t="str">
        <f ca="1">IF(currency="USD",'Future et co'!D462,IF(currency="EUR",'Future et co'!E462,IF(currency="GBP",'Future et co'!F462,FALSE)))</f>
        <v>RFR USD</v>
      </c>
      <c r="D462" t="str">
        <f t="shared" ca="1" si="36"/>
        <v>RFR USD</v>
      </c>
      <c r="E462" t="str">
        <f t="shared" ca="1" si="37"/>
        <v>RFR EUR</v>
      </c>
      <c r="F462" t="str">
        <f t="shared" ca="1" si="38"/>
        <v>RFR GBP</v>
      </c>
      <c r="J462" s="1"/>
      <c r="N462" s="1"/>
      <c r="R462" s="1"/>
      <c r="V462" s="1"/>
      <c r="AB462" s="1"/>
      <c r="AF462" s="1"/>
      <c r="AJ462" s="1"/>
      <c r="AN462" s="1"/>
      <c r="AS462" s="1"/>
      <c r="AX462" s="1"/>
      <c r="BA462" s="1"/>
      <c r="BC462" s="1"/>
      <c r="BD462" s="1"/>
      <c r="BG462" s="1"/>
      <c r="BJ462" s="1"/>
      <c r="BM462" s="1"/>
      <c r="BP462" s="1"/>
      <c r="BS462" s="1"/>
    </row>
    <row r="463" spans="1:71" x14ac:dyDescent="0.3">
      <c r="A463" s="19">
        <f t="shared" si="39"/>
        <v>46562</v>
      </c>
      <c r="B463">
        <f t="shared" ca="1" si="35"/>
        <v>-1.1388888888888888</v>
      </c>
      <c r="C463" t="str">
        <f ca="1">IF(currency="USD",'Future et co'!D463,IF(currency="EUR",'Future et co'!E463,IF(currency="GBP",'Future et co'!F463,FALSE)))</f>
        <v>RFR USD</v>
      </c>
      <c r="D463" t="str">
        <f t="shared" ca="1" si="36"/>
        <v>RFR USD</v>
      </c>
      <c r="E463" t="str">
        <f t="shared" ca="1" si="37"/>
        <v>RFR EUR</v>
      </c>
      <c r="F463" t="str">
        <f t="shared" ca="1" si="38"/>
        <v>RFR GBP</v>
      </c>
      <c r="J463" s="1"/>
      <c r="N463" s="1"/>
      <c r="R463" s="1"/>
      <c r="V463" s="1"/>
      <c r="AB463" s="1"/>
      <c r="AF463" s="1"/>
      <c r="AJ463" s="1"/>
      <c r="AN463" s="1"/>
      <c r="AS463" s="1"/>
      <c r="AX463" s="1"/>
      <c r="BA463" s="1"/>
      <c r="BC463" s="1"/>
      <c r="BD463" s="1"/>
      <c r="BG463" s="1"/>
      <c r="BJ463" s="1"/>
      <c r="BM463" s="1"/>
      <c r="BP463" s="1"/>
      <c r="BS463" s="1"/>
    </row>
    <row r="464" spans="1:71" x14ac:dyDescent="0.3">
      <c r="A464" s="19">
        <f t="shared" si="39"/>
        <v>46563</v>
      </c>
      <c r="B464">
        <f t="shared" ca="1" si="35"/>
        <v>-1.1416666666666666</v>
      </c>
      <c r="C464" t="str">
        <f ca="1">IF(currency="USD",'Future et co'!D464,IF(currency="EUR",'Future et co'!E464,IF(currency="GBP",'Future et co'!F464,FALSE)))</f>
        <v>RFR USD</v>
      </c>
      <c r="D464" t="str">
        <f t="shared" ca="1" si="36"/>
        <v>RFR USD</v>
      </c>
      <c r="E464" t="str">
        <f t="shared" ca="1" si="37"/>
        <v>RFR EUR</v>
      </c>
      <c r="F464" t="str">
        <f t="shared" ca="1" si="38"/>
        <v>RFR GBP</v>
      </c>
      <c r="J464" s="1"/>
      <c r="N464" s="1"/>
      <c r="R464" s="1"/>
      <c r="V464" s="1"/>
      <c r="AB464" s="1"/>
      <c r="AF464" s="1"/>
      <c r="AJ464" s="1"/>
      <c r="AN464" s="1"/>
      <c r="AS464" s="1"/>
      <c r="AX464" s="1"/>
      <c r="BA464" s="1"/>
      <c r="BC464" s="1"/>
      <c r="BD464" s="1"/>
      <c r="BG464" s="1"/>
      <c r="BJ464" s="1"/>
      <c r="BM464" s="1"/>
      <c r="BP464" s="1"/>
      <c r="BS464" s="1"/>
    </row>
    <row r="465" spans="1:71" x14ac:dyDescent="0.3">
      <c r="A465" s="19">
        <f t="shared" si="39"/>
        <v>46566</v>
      </c>
      <c r="B465">
        <f t="shared" ca="1" si="35"/>
        <v>-1.1499999999999999</v>
      </c>
      <c r="C465" t="str">
        <f ca="1">IF(currency="USD",'Future et co'!D465,IF(currency="EUR",'Future et co'!E465,IF(currency="GBP",'Future et co'!F465,FALSE)))</f>
        <v>RFR USD</v>
      </c>
      <c r="D465" t="str">
        <f t="shared" ca="1" si="36"/>
        <v>RFR USD</v>
      </c>
      <c r="E465" t="str">
        <f t="shared" ca="1" si="37"/>
        <v>RFR EUR</v>
      </c>
      <c r="F465" t="str">
        <f t="shared" ca="1" si="38"/>
        <v>RFR GBP</v>
      </c>
      <c r="J465" s="1"/>
      <c r="N465" s="1"/>
      <c r="R465" s="1"/>
      <c r="V465" s="1"/>
      <c r="AB465" s="1"/>
      <c r="AF465" s="1"/>
      <c r="AJ465" s="1"/>
      <c r="AN465" s="1"/>
      <c r="AS465" s="1"/>
      <c r="AX465" s="1"/>
      <c r="BA465" s="1"/>
      <c r="BC465" s="1"/>
      <c r="BD465" s="1"/>
      <c r="BG465" s="1"/>
      <c r="BJ465" s="1"/>
      <c r="BM465" s="1"/>
      <c r="BP465" s="1"/>
      <c r="BS465" s="1"/>
    </row>
    <row r="466" spans="1:71" x14ac:dyDescent="0.3">
      <c r="A466" s="19">
        <f t="shared" si="39"/>
        <v>46567</v>
      </c>
      <c r="B466">
        <f t="shared" ca="1" si="35"/>
        <v>-1.1527777777777777</v>
      </c>
      <c r="C466" t="str">
        <f ca="1">IF(currency="USD",'Future et co'!D466,IF(currency="EUR",'Future et co'!E466,IF(currency="GBP",'Future et co'!F466,FALSE)))</f>
        <v>RFR USD</v>
      </c>
      <c r="D466" t="str">
        <f t="shared" ca="1" si="36"/>
        <v>RFR USD</v>
      </c>
      <c r="E466" t="str">
        <f t="shared" ca="1" si="37"/>
        <v>RFR EUR</v>
      </c>
      <c r="F466" t="str">
        <f t="shared" ca="1" si="38"/>
        <v>RFR GBP</v>
      </c>
      <c r="J466" s="1"/>
      <c r="N466" s="1"/>
      <c r="R466" s="1"/>
      <c r="V466" s="1"/>
      <c r="AB466" s="1"/>
      <c r="AF466" s="1"/>
      <c r="AJ466" s="1"/>
      <c r="AN466" s="1"/>
      <c r="AS466" s="1"/>
      <c r="AX466" s="1"/>
      <c r="BA466" s="1"/>
      <c r="BC466" s="1"/>
      <c r="BD466" s="1"/>
      <c r="BG466" s="1"/>
      <c r="BJ466" s="1"/>
      <c r="BM466" s="1"/>
      <c r="BP466" s="1"/>
      <c r="BS466" s="1"/>
    </row>
    <row r="467" spans="1:71" x14ac:dyDescent="0.3">
      <c r="A467" s="19">
        <f t="shared" si="39"/>
        <v>46568</v>
      </c>
      <c r="B467">
        <f t="shared" ca="1" si="35"/>
        <v>-1.1555555555555554</v>
      </c>
      <c r="C467" t="str">
        <f ca="1">IF(currency="USD",'Future et co'!D467,IF(currency="EUR",'Future et co'!E467,IF(currency="GBP",'Future et co'!F467,FALSE)))</f>
        <v>RFR USD</v>
      </c>
      <c r="D467" t="str">
        <f t="shared" ca="1" si="36"/>
        <v>RFR USD</v>
      </c>
      <c r="E467" t="str">
        <f t="shared" ca="1" si="37"/>
        <v>RFR EUR</v>
      </c>
      <c r="F467" t="str">
        <f t="shared" ca="1" si="38"/>
        <v>RFR GBP</v>
      </c>
      <c r="J467" s="1"/>
      <c r="N467" s="1"/>
      <c r="R467" s="1"/>
      <c r="V467" s="1"/>
      <c r="AB467" s="1"/>
      <c r="AF467" s="1"/>
      <c r="AJ467" s="1"/>
      <c r="AN467" s="1"/>
      <c r="AS467" s="1"/>
      <c r="AX467" s="1"/>
      <c r="BA467" s="1"/>
      <c r="BC467" s="1"/>
      <c r="BD467" s="1"/>
      <c r="BG467" s="1"/>
      <c r="BJ467" s="1"/>
      <c r="BM467" s="1"/>
      <c r="BP467" s="1"/>
      <c r="BS467" s="1"/>
    </row>
    <row r="468" spans="1:71" x14ac:dyDescent="0.3">
      <c r="A468" s="19">
        <f t="shared" si="39"/>
        <v>46569</v>
      </c>
      <c r="B468">
        <f t="shared" ca="1" si="35"/>
        <v>-1.1583333333333334</v>
      </c>
      <c r="C468" t="str">
        <f ca="1">IF(currency="USD",'Future et co'!D468,IF(currency="EUR",'Future et co'!E468,IF(currency="GBP",'Future et co'!F468,FALSE)))</f>
        <v>RFR USD</v>
      </c>
      <c r="D468" t="str">
        <f t="shared" ca="1" si="36"/>
        <v>RFR USD</v>
      </c>
      <c r="E468" t="str">
        <f t="shared" ca="1" si="37"/>
        <v>RFR EUR</v>
      </c>
      <c r="F468" t="str">
        <f t="shared" ca="1" si="38"/>
        <v>RFR GBP</v>
      </c>
      <c r="J468" s="1"/>
      <c r="N468" s="1"/>
      <c r="R468" s="1"/>
      <c r="V468" s="1"/>
      <c r="AB468" s="1"/>
      <c r="AF468" s="1"/>
      <c r="AJ468" s="1"/>
      <c r="AN468" s="1"/>
      <c r="AS468" s="1"/>
      <c r="AX468" s="1"/>
      <c r="BA468" s="1"/>
      <c r="BC468" s="1"/>
      <c r="BD468" s="1"/>
      <c r="BG468" s="1"/>
      <c r="BJ468" s="1"/>
      <c r="BM468" s="1"/>
      <c r="BP468" s="1"/>
      <c r="BS468" s="1"/>
    </row>
    <row r="469" spans="1:71" x14ac:dyDescent="0.3">
      <c r="A469" s="19">
        <f t="shared" si="39"/>
        <v>46570</v>
      </c>
      <c r="B469">
        <f t="shared" ca="1" si="35"/>
        <v>-1.1611111111111112</v>
      </c>
      <c r="C469" t="str">
        <f ca="1">IF(currency="USD",'Future et co'!D469,IF(currency="EUR",'Future et co'!E469,IF(currency="GBP",'Future et co'!F469,FALSE)))</f>
        <v>RFR USD</v>
      </c>
      <c r="D469" t="str">
        <f t="shared" ca="1" si="36"/>
        <v>RFR USD</v>
      </c>
      <c r="E469" t="str">
        <f t="shared" ca="1" si="37"/>
        <v>RFR EUR</v>
      </c>
      <c r="F469" t="str">
        <f t="shared" ca="1" si="38"/>
        <v>RFR GBP</v>
      </c>
      <c r="J469" s="1"/>
      <c r="N469" s="1"/>
      <c r="R469" s="1"/>
      <c r="V469" s="1"/>
      <c r="AB469" s="1"/>
      <c r="AF469" s="1"/>
      <c r="AJ469" s="1"/>
      <c r="AN469" s="1"/>
      <c r="AS469" s="1"/>
      <c r="AX469" s="1"/>
      <c r="BA469" s="1"/>
      <c r="BC469" s="1"/>
      <c r="BD469" s="1"/>
      <c r="BG469" s="1"/>
      <c r="BJ469" s="1"/>
      <c r="BM469" s="1"/>
      <c r="BP469" s="1"/>
      <c r="BS469" s="1"/>
    </row>
    <row r="470" spans="1:71" x14ac:dyDescent="0.3">
      <c r="A470" s="19">
        <f t="shared" si="39"/>
        <v>46573</v>
      </c>
      <c r="B470">
        <f t="shared" ca="1" si="35"/>
        <v>-1.1694444444444445</v>
      </c>
      <c r="C470" t="str">
        <f ca="1">IF(currency="USD",'Future et co'!D470,IF(currency="EUR",'Future et co'!E470,IF(currency="GBP",'Future et co'!F470,FALSE)))</f>
        <v>RFR USD</v>
      </c>
      <c r="D470" t="str">
        <f t="shared" ca="1" si="36"/>
        <v>RFR USD</v>
      </c>
      <c r="E470" t="str">
        <f t="shared" ca="1" si="37"/>
        <v>RFR EUR</v>
      </c>
      <c r="F470" t="str">
        <f t="shared" ca="1" si="38"/>
        <v>RFR GBP</v>
      </c>
      <c r="J470" s="1"/>
      <c r="N470" s="1"/>
      <c r="R470" s="1"/>
      <c r="V470" s="1"/>
      <c r="AB470" s="1"/>
      <c r="AF470" s="1"/>
      <c r="AJ470" s="1"/>
      <c r="AN470" s="1"/>
      <c r="AS470" s="1"/>
      <c r="AX470" s="1"/>
      <c r="BA470" s="1"/>
      <c r="BC470" s="1"/>
      <c r="BD470" s="1"/>
      <c r="BG470" s="1"/>
      <c r="BJ470" s="1"/>
      <c r="BM470" s="1"/>
      <c r="BP470" s="1"/>
      <c r="BS470" s="1"/>
    </row>
    <row r="471" spans="1:71" x14ac:dyDescent="0.3">
      <c r="A471" s="19">
        <f t="shared" si="39"/>
        <v>46574</v>
      </c>
      <c r="B471">
        <f t="shared" ca="1" si="35"/>
        <v>-1.1722222222222223</v>
      </c>
      <c r="C471" t="str">
        <f ca="1">IF(currency="USD",'Future et co'!D471,IF(currency="EUR",'Future et co'!E471,IF(currency="GBP",'Future et co'!F471,FALSE)))</f>
        <v>RFR USD</v>
      </c>
      <c r="D471" t="str">
        <f t="shared" ca="1" si="36"/>
        <v>RFR USD</v>
      </c>
      <c r="E471" t="str">
        <f t="shared" ca="1" si="37"/>
        <v>RFR EUR</v>
      </c>
      <c r="F471" t="str">
        <f t="shared" ca="1" si="38"/>
        <v>RFR GBP</v>
      </c>
      <c r="J471" s="1"/>
      <c r="N471" s="1"/>
      <c r="R471" s="1"/>
      <c r="V471" s="1"/>
      <c r="AB471" s="1"/>
      <c r="AF471" s="1"/>
      <c r="AJ471" s="1"/>
      <c r="AN471" s="1"/>
      <c r="AS471" s="1"/>
      <c r="AX471" s="1"/>
      <c r="BA471" s="1"/>
      <c r="BC471" s="1"/>
      <c r="BD471" s="1"/>
      <c r="BG471" s="1"/>
      <c r="BJ471" s="1"/>
      <c r="BM471" s="1"/>
      <c r="BP471" s="1"/>
      <c r="BS471" s="1"/>
    </row>
    <row r="472" spans="1:71" x14ac:dyDescent="0.3">
      <c r="A472" s="19">
        <f t="shared" si="39"/>
        <v>46575</v>
      </c>
      <c r="B472">
        <f t="shared" ca="1" si="35"/>
        <v>-1.175</v>
      </c>
      <c r="C472" t="str">
        <f ca="1">IF(currency="USD",'Future et co'!D472,IF(currency="EUR",'Future et co'!E472,IF(currency="GBP",'Future et co'!F472,FALSE)))</f>
        <v>RFR USD</v>
      </c>
      <c r="D472" t="str">
        <f t="shared" ca="1" si="36"/>
        <v>RFR USD</v>
      </c>
      <c r="E472" t="str">
        <f t="shared" ca="1" si="37"/>
        <v>RFR EUR</v>
      </c>
      <c r="F472" t="str">
        <f t="shared" ca="1" si="38"/>
        <v>RFR GBP</v>
      </c>
      <c r="J472" s="1"/>
      <c r="N472" s="1"/>
      <c r="R472" s="1"/>
      <c r="V472" s="1"/>
      <c r="AB472" s="1"/>
      <c r="AF472" s="1"/>
      <c r="AJ472" s="1"/>
      <c r="AN472" s="1"/>
      <c r="AS472" s="1"/>
      <c r="AX472" s="1"/>
      <c r="BA472" s="1"/>
      <c r="BC472" s="1"/>
      <c r="BD472" s="1"/>
      <c r="BG472" s="1"/>
      <c r="BJ472" s="1"/>
      <c r="BM472" s="1"/>
      <c r="BP472" s="1"/>
      <c r="BS472" s="1"/>
    </row>
    <row r="473" spans="1:71" x14ac:dyDescent="0.3">
      <c r="A473" s="19">
        <f t="shared" si="39"/>
        <v>46576</v>
      </c>
      <c r="B473">
        <f t="shared" ca="1" si="35"/>
        <v>-1.1777777777777778</v>
      </c>
      <c r="C473" t="str">
        <f ca="1">IF(currency="USD",'Future et co'!D473,IF(currency="EUR",'Future et co'!E473,IF(currency="GBP",'Future et co'!F473,FALSE)))</f>
        <v>RFR USD</v>
      </c>
      <c r="D473" t="str">
        <f t="shared" ca="1" si="36"/>
        <v>RFR USD</v>
      </c>
      <c r="E473" t="str">
        <f t="shared" ca="1" si="37"/>
        <v>RFR EUR</v>
      </c>
      <c r="F473" t="str">
        <f t="shared" ca="1" si="38"/>
        <v>RFR GBP</v>
      </c>
      <c r="J473" s="1"/>
      <c r="N473" s="1"/>
      <c r="R473" s="1"/>
      <c r="V473" s="1"/>
      <c r="AB473" s="1"/>
      <c r="AF473" s="1"/>
      <c r="AJ473" s="1"/>
      <c r="AN473" s="1"/>
      <c r="AS473" s="1"/>
      <c r="AX473" s="1"/>
      <c r="BA473" s="1"/>
      <c r="BC473" s="1"/>
      <c r="BD473" s="1"/>
      <c r="BG473" s="1"/>
      <c r="BJ473" s="1"/>
      <c r="BM473" s="1"/>
      <c r="BP473" s="1"/>
      <c r="BS473" s="1"/>
    </row>
    <row r="474" spans="1:71" x14ac:dyDescent="0.3">
      <c r="A474" s="19">
        <f t="shared" si="39"/>
        <v>46577</v>
      </c>
      <c r="B474">
        <f t="shared" ca="1" si="35"/>
        <v>-1.1805555555555556</v>
      </c>
      <c r="C474" t="str">
        <f ca="1">IF(currency="USD",'Future et co'!D474,IF(currency="EUR",'Future et co'!E474,IF(currency="GBP",'Future et co'!F474,FALSE)))</f>
        <v>RFR USD</v>
      </c>
      <c r="D474" t="str">
        <f t="shared" ca="1" si="36"/>
        <v>RFR USD</v>
      </c>
      <c r="E474" t="str">
        <f t="shared" ca="1" si="37"/>
        <v>RFR EUR</v>
      </c>
      <c r="F474" t="str">
        <f t="shared" ca="1" si="38"/>
        <v>RFR GBP</v>
      </c>
      <c r="J474" s="1"/>
      <c r="N474" s="1"/>
      <c r="R474" s="1"/>
      <c r="V474" s="1"/>
      <c r="AB474" s="1"/>
      <c r="AF474" s="1"/>
      <c r="AJ474" s="1"/>
      <c r="AN474" s="1"/>
      <c r="AS474" s="1"/>
      <c r="AX474" s="1"/>
      <c r="BA474" s="1"/>
      <c r="BC474" s="1"/>
      <c r="BD474" s="1"/>
      <c r="BG474" s="1"/>
      <c r="BJ474" s="1"/>
      <c r="BM474" s="1"/>
      <c r="BP474" s="1"/>
      <c r="BS474" s="1"/>
    </row>
    <row r="475" spans="1:71" x14ac:dyDescent="0.3">
      <c r="A475" s="19">
        <f t="shared" si="39"/>
        <v>46580</v>
      </c>
      <c r="B475">
        <f t="shared" ca="1" si="35"/>
        <v>-1.1888888888888889</v>
      </c>
      <c r="C475" t="str">
        <f ca="1">IF(currency="USD",'Future et co'!D475,IF(currency="EUR",'Future et co'!E475,IF(currency="GBP",'Future et co'!F475,FALSE)))</f>
        <v>RFR USD</v>
      </c>
      <c r="D475" t="str">
        <f t="shared" ca="1" si="36"/>
        <v>RFR USD</v>
      </c>
      <c r="E475" t="str">
        <f t="shared" ca="1" si="37"/>
        <v>RFR EUR</v>
      </c>
      <c r="F475" t="str">
        <f t="shared" ca="1" si="38"/>
        <v>RFR GBP</v>
      </c>
      <c r="J475" s="1"/>
      <c r="N475" s="1"/>
      <c r="R475" s="1"/>
      <c r="V475" s="1"/>
      <c r="AB475" s="1"/>
      <c r="AF475" s="1"/>
      <c r="AJ475" s="1"/>
      <c r="AN475" s="1"/>
      <c r="AS475" s="1"/>
      <c r="AX475" s="1"/>
      <c r="BA475" s="1"/>
      <c r="BC475" s="1"/>
      <c r="BD475" s="1"/>
      <c r="BG475" s="1"/>
      <c r="BJ475" s="1"/>
      <c r="BM475" s="1"/>
      <c r="BP475" s="1"/>
      <c r="BS475" s="1"/>
    </row>
    <row r="476" spans="1:71" x14ac:dyDescent="0.3">
      <c r="A476" s="19">
        <f t="shared" si="39"/>
        <v>46581</v>
      </c>
      <c r="B476">
        <f t="shared" ca="1" si="35"/>
        <v>-1.1916666666666667</v>
      </c>
      <c r="C476" t="str">
        <f ca="1">IF(currency="USD",'Future et co'!D476,IF(currency="EUR",'Future et co'!E476,IF(currency="GBP",'Future et co'!F476,FALSE)))</f>
        <v>RFR USD</v>
      </c>
      <c r="D476" t="str">
        <f t="shared" ca="1" si="36"/>
        <v>RFR USD</v>
      </c>
      <c r="E476" t="str">
        <f t="shared" ca="1" si="37"/>
        <v>RFR EUR</v>
      </c>
      <c r="F476" t="str">
        <f t="shared" ca="1" si="38"/>
        <v>RFR GBP</v>
      </c>
      <c r="J476" s="1"/>
      <c r="N476" s="1"/>
      <c r="R476" s="1"/>
      <c r="V476" s="1"/>
      <c r="AB476" s="1"/>
      <c r="AF476" s="1"/>
      <c r="AJ476" s="1"/>
      <c r="AN476" s="1"/>
      <c r="AS476" s="1"/>
      <c r="AX476" s="1"/>
      <c r="BA476" s="1"/>
      <c r="BC476" s="1"/>
      <c r="BD476" s="1"/>
      <c r="BG476" s="1"/>
      <c r="BJ476" s="1"/>
      <c r="BM476" s="1"/>
      <c r="BP476" s="1"/>
      <c r="BS476" s="1"/>
    </row>
    <row r="477" spans="1:71" x14ac:dyDescent="0.3">
      <c r="A477" s="19">
        <f t="shared" si="39"/>
        <v>46582</v>
      </c>
      <c r="B477">
        <f t="shared" ca="1" si="35"/>
        <v>-1.1944444444444444</v>
      </c>
      <c r="C477" t="str">
        <f ca="1">IF(currency="USD",'Future et co'!D477,IF(currency="EUR",'Future et co'!E477,IF(currency="GBP",'Future et co'!F477,FALSE)))</f>
        <v>RFR USD</v>
      </c>
      <c r="D477" t="str">
        <f t="shared" ca="1" si="36"/>
        <v>RFR USD</v>
      </c>
      <c r="E477" t="str">
        <f t="shared" ca="1" si="37"/>
        <v>RFR EUR</v>
      </c>
      <c r="F477" t="str">
        <f t="shared" ca="1" si="38"/>
        <v>RFR GBP</v>
      </c>
      <c r="J477" s="1"/>
      <c r="N477" s="1"/>
      <c r="R477" s="1"/>
      <c r="V477" s="1"/>
      <c r="AB477" s="1"/>
      <c r="AF477" s="1"/>
      <c r="AJ477" s="1"/>
      <c r="AN477" s="1"/>
      <c r="AS477" s="1"/>
      <c r="AX477" s="1"/>
      <c r="BA477" s="1"/>
      <c r="BC477" s="1"/>
      <c r="BD477" s="1"/>
      <c r="BG477" s="1"/>
      <c r="BJ477" s="1"/>
      <c r="BM477" s="1"/>
      <c r="BP477" s="1"/>
      <c r="BS477" s="1"/>
    </row>
    <row r="478" spans="1:71" x14ac:dyDescent="0.3">
      <c r="A478" s="19">
        <f t="shared" si="39"/>
        <v>46583</v>
      </c>
      <c r="B478">
        <f t="shared" ca="1" si="35"/>
        <v>-1.1972222222222222</v>
      </c>
      <c r="C478" t="str">
        <f ca="1">IF(currency="USD",'Future et co'!D478,IF(currency="EUR",'Future et co'!E478,IF(currency="GBP",'Future et co'!F478,FALSE)))</f>
        <v>RFR USD</v>
      </c>
      <c r="D478" t="str">
        <f t="shared" ca="1" si="36"/>
        <v>RFR USD</v>
      </c>
      <c r="E478" t="str">
        <f t="shared" ca="1" si="37"/>
        <v>RFR EUR</v>
      </c>
      <c r="F478" t="str">
        <f t="shared" ca="1" si="38"/>
        <v>RFR GBP</v>
      </c>
      <c r="J478" s="1"/>
      <c r="N478" s="1"/>
      <c r="R478" s="1"/>
      <c r="V478" s="1"/>
      <c r="AB478" s="1"/>
      <c r="AF478" s="1"/>
      <c r="AJ478" s="1"/>
      <c r="AN478" s="1"/>
      <c r="AS478" s="1"/>
      <c r="AX478" s="1"/>
      <c r="BA478" s="1"/>
      <c r="BC478" s="1"/>
      <c r="BD478" s="1"/>
      <c r="BG478" s="1"/>
      <c r="BJ478" s="1"/>
      <c r="BM478" s="1"/>
      <c r="BP478" s="1"/>
      <c r="BS478" s="1"/>
    </row>
    <row r="479" spans="1:71" x14ac:dyDescent="0.3">
      <c r="A479" s="19">
        <f t="shared" si="39"/>
        <v>46584</v>
      </c>
      <c r="B479">
        <f t="shared" ca="1" si="35"/>
        <v>-1.2</v>
      </c>
      <c r="C479" t="str">
        <f ca="1">IF(currency="USD",'Future et co'!D479,IF(currency="EUR",'Future et co'!E479,IF(currency="GBP",'Future et co'!F479,FALSE)))</f>
        <v>RFR USD</v>
      </c>
      <c r="D479" t="str">
        <f t="shared" ca="1" si="36"/>
        <v>RFR USD</v>
      </c>
      <c r="E479" t="str">
        <f t="shared" ca="1" si="37"/>
        <v>RFR EUR</v>
      </c>
      <c r="F479" t="str">
        <f t="shared" ca="1" si="38"/>
        <v>RFR GBP</v>
      </c>
      <c r="J479" s="1"/>
      <c r="N479" s="1"/>
      <c r="R479" s="1"/>
      <c r="V479" s="1"/>
      <c r="AB479" s="1"/>
      <c r="AF479" s="1"/>
      <c r="AJ479" s="1"/>
      <c r="AN479" s="1"/>
      <c r="AS479" s="1"/>
      <c r="AX479" s="1"/>
      <c r="BA479" s="1"/>
      <c r="BC479" s="1"/>
      <c r="BD479" s="1"/>
      <c r="BG479" s="1"/>
      <c r="BJ479" s="1"/>
      <c r="BM479" s="1"/>
      <c r="BP479" s="1"/>
      <c r="BS479" s="1"/>
    </row>
    <row r="480" spans="1:71" x14ac:dyDescent="0.3">
      <c r="A480" s="19">
        <f t="shared" si="39"/>
        <v>46587</v>
      </c>
      <c r="B480">
        <f t="shared" ca="1" si="35"/>
        <v>-1.2083333333333333</v>
      </c>
      <c r="C480" t="str">
        <f ca="1">IF(currency="USD",'Future et co'!D480,IF(currency="EUR",'Future et co'!E480,IF(currency="GBP",'Future et co'!F480,FALSE)))</f>
        <v>RFR USD</v>
      </c>
      <c r="D480" t="str">
        <f t="shared" ca="1" si="36"/>
        <v>RFR USD</v>
      </c>
      <c r="E480" t="str">
        <f t="shared" ca="1" si="37"/>
        <v>RFR EUR</v>
      </c>
      <c r="F480" t="str">
        <f t="shared" ca="1" si="38"/>
        <v>RFR GBP</v>
      </c>
      <c r="J480" s="1"/>
      <c r="N480" s="1"/>
      <c r="R480" s="1"/>
      <c r="V480" s="1"/>
      <c r="AB480" s="1"/>
      <c r="AF480" s="1"/>
      <c r="AJ480" s="1"/>
      <c r="AN480" s="1"/>
      <c r="AS480" s="1"/>
      <c r="AX480" s="1"/>
      <c r="BA480" s="1"/>
      <c r="BC480" s="1"/>
      <c r="BD480" s="1"/>
      <c r="BG480" s="1"/>
      <c r="BJ480" s="1"/>
      <c r="BM480" s="1"/>
      <c r="BP480" s="1"/>
      <c r="BS480" s="1"/>
    </row>
    <row r="481" spans="1:71" x14ac:dyDescent="0.3">
      <c r="A481" s="19">
        <f t="shared" si="39"/>
        <v>46588</v>
      </c>
      <c r="B481">
        <f t="shared" ca="1" si="35"/>
        <v>-1.211111111111111</v>
      </c>
      <c r="C481" t="str">
        <f ca="1">IF(currency="USD",'Future et co'!D481,IF(currency="EUR",'Future et co'!E481,IF(currency="GBP",'Future et co'!F481,FALSE)))</f>
        <v>RFR USD</v>
      </c>
      <c r="D481" t="str">
        <f t="shared" ca="1" si="36"/>
        <v>RFR USD</v>
      </c>
      <c r="E481" t="str">
        <f t="shared" ca="1" si="37"/>
        <v>RFR EUR</v>
      </c>
      <c r="F481" t="str">
        <f t="shared" ca="1" si="38"/>
        <v>RFR GBP</v>
      </c>
      <c r="J481" s="1"/>
      <c r="N481" s="1"/>
      <c r="R481" s="1"/>
      <c r="V481" s="1"/>
      <c r="AB481" s="1"/>
      <c r="AF481" s="1"/>
      <c r="AJ481" s="1"/>
      <c r="AN481" s="1"/>
      <c r="AS481" s="1"/>
      <c r="AX481" s="1"/>
      <c r="BA481" s="1"/>
      <c r="BC481" s="1"/>
      <c r="BD481" s="1"/>
      <c r="BG481" s="1"/>
      <c r="BJ481" s="1"/>
      <c r="BM481" s="1"/>
      <c r="BP481" s="1"/>
      <c r="BS481" s="1"/>
    </row>
    <row r="482" spans="1:71" x14ac:dyDescent="0.3">
      <c r="A482" s="19">
        <f t="shared" si="39"/>
        <v>46589</v>
      </c>
      <c r="B482">
        <f t="shared" ca="1" si="35"/>
        <v>-1.2138888888888888</v>
      </c>
      <c r="C482" t="str">
        <f ca="1">IF(currency="USD",'Future et co'!D482,IF(currency="EUR",'Future et co'!E482,IF(currency="GBP",'Future et co'!F482,FALSE)))</f>
        <v>RFR USD</v>
      </c>
      <c r="D482" t="str">
        <f t="shared" ca="1" si="36"/>
        <v>RFR USD</v>
      </c>
      <c r="E482" t="str">
        <f t="shared" ca="1" si="37"/>
        <v>RFR EUR</v>
      </c>
      <c r="F482" t="str">
        <f t="shared" ca="1" si="38"/>
        <v>RFR GBP</v>
      </c>
      <c r="J482" s="1"/>
      <c r="N482" s="1"/>
      <c r="R482" s="1"/>
      <c r="V482" s="1"/>
      <c r="AB482" s="1"/>
      <c r="AF482" s="1"/>
      <c r="AJ482" s="1"/>
      <c r="AN482" s="1"/>
      <c r="AS482" s="1"/>
      <c r="AX482" s="1"/>
      <c r="BA482" s="1"/>
      <c r="BC482" s="1"/>
      <c r="BD482" s="1"/>
      <c r="BG482" s="1"/>
      <c r="BJ482" s="1"/>
      <c r="BM482" s="1"/>
      <c r="BP482" s="1"/>
      <c r="BS482" s="1"/>
    </row>
    <row r="483" spans="1:71" x14ac:dyDescent="0.3">
      <c r="A483" s="19">
        <f t="shared" si="39"/>
        <v>46590</v>
      </c>
      <c r="B483">
        <f t="shared" ca="1" si="35"/>
        <v>-1.2166666666666666</v>
      </c>
      <c r="C483" t="str">
        <f ca="1">IF(currency="USD",'Future et co'!D483,IF(currency="EUR",'Future et co'!E483,IF(currency="GBP",'Future et co'!F483,FALSE)))</f>
        <v>RFR USD</v>
      </c>
      <c r="D483" t="str">
        <f t="shared" ca="1" si="36"/>
        <v>RFR USD</v>
      </c>
      <c r="E483" t="str">
        <f t="shared" ca="1" si="37"/>
        <v>RFR EUR</v>
      </c>
      <c r="F483" t="str">
        <f t="shared" ca="1" si="38"/>
        <v>RFR GBP</v>
      </c>
      <c r="J483" s="1"/>
      <c r="N483" s="1"/>
      <c r="R483" s="1"/>
      <c r="V483" s="1"/>
      <c r="AB483" s="1"/>
      <c r="AF483" s="1"/>
      <c r="AJ483" s="1"/>
      <c r="AN483" s="1"/>
      <c r="AS483" s="1"/>
      <c r="AX483" s="1"/>
      <c r="BA483" s="1"/>
      <c r="BC483" s="1"/>
      <c r="BD483" s="1"/>
      <c r="BG483" s="1"/>
      <c r="BJ483" s="1"/>
      <c r="BM483" s="1"/>
      <c r="BP483" s="1"/>
      <c r="BS483" s="1"/>
    </row>
    <row r="484" spans="1:71" x14ac:dyDescent="0.3">
      <c r="A484" s="19">
        <f t="shared" si="39"/>
        <v>46591</v>
      </c>
      <c r="B484">
        <f t="shared" ca="1" si="35"/>
        <v>-1.2194444444444446</v>
      </c>
      <c r="C484" t="str">
        <f ca="1">IF(currency="USD",'Future et co'!D484,IF(currency="EUR",'Future et co'!E484,IF(currency="GBP",'Future et co'!F484,FALSE)))</f>
        <v>RFR USD</v>
      </c>
      <c r="D484" t="str">
        <f t="shared" ca="1" si="36"/>
        <v>RFR USD</v>
      </c>
      <c r="E484" t="str">
        <f t="shared" ca="1" si="37"/>
        <v>RFR EUR</v>
      </c>
      <c r="F484" t="str">
        <f t="shared" ca="1" si="38"/>
        <v>RFR GBP</v>
      </c>
      <c r="J484" s="1"/>
      <c r="N484" s="1"/>
      <c r="R484" s="1"/>
      <c r="V484" s="1"/>
      <c r="AB484" s="1"/>
      <c r="AF484" s="1"/>
      <c r="AJ484" s="1"/>
      <c r="AN484" s="1"/>
      <c r="AS484" s="1"/>
      <c r="AX484" s="1"/>
      <c r="BA484" s="1"/>
      <c r="BC484" s="1"/>
      <c r="BD484" s="1"/>
      <c r="BG484" s="1"/>
      <c r="BJ484" s="1"/>
      <c r="BM484" s="1"/>
      <c r="BP484" s="1"/>
      <c r="BS484" s="1"/>
    </row>
    <row r="485" spans="1:71" x14ac:dyDescent="0.3">
      <c r="A485" s="19">
        <f t="shared" si="39"/>
        <v>46594</v>
      </c>
      <c r="B485">
        <f t="shared" ca="1" si="35"/>
        <v>-1.2277777777777779</v>
      </c>
      <c r="C485" t="str">
        <f ca="1">IF(currency="USD",'Future et co'!D485,IF(currency="EUR",'Future et co'!E485,IF(currency="GBP",'Future et co'!F485,FALSE)))</f>
        <v>RFR USD</v>
      </c>
      <c r="D485" t="str">
        <f t="shared" ca="1" si="36"/>
        <v>RFR USD</v>
      </c>
      <c r="E485" t="str">
        <f t="shared" ca="1" si="37"/>
        <v>RFR EUR</v>
      </c>
      <c r="F485" t="str">
        <f t="shared" ca="1" si="38"/>
        <v>RFR GBP</v>
      </c>
      <c r="J485" s="1"/>
      <c r="N485" s="1"/>
      <c r="R485" s="1"/>
      <c r="V485" s="1"/>
      <c r="AB485" s="1"/>
      <c r="AF485" s="1"/>
      <c r="AJ485" s="1"/>
      <c r="AN485" s="1"/>
      <c r="AS485" s="1"/>
      <c r="AX485" s="1"/>
      <c r="BA485" s="1"/>
      <c r="BC485" s="1"/>
      <c r="BD485" s="1"/>
      <c r="BG485" s="1"/>
      <c r="BJ485" s="1"/>
      <c r="BM485" s="1"/>
      <c r="BP485" s="1"/>
      <c r="BS485" s="1"/>
    </row>
    <row r="486" spans="1:71" x14ac:dyDescent="0.3">
      <c r="A486" s="19">
        <f t="shared" si="39"/>
        <v>46595</v>
      </c>
      <c r="B486">
        <f t="shared" ca="1" si="35"/>
        <v>-1.2305555555555556</v>
      </c>
      <c r="C486" t="str">
        <f ca="1">IF(currency="USD",'Future et co'!D486,IF(currency="EUR",'Future et co'!E486,IF(currency="GBP",'Future et co'!F486,FALSE)))</f>
        <v>RFR USD</v>
      </c>
      <c r="D486" t="str">
        <f t="shared" ca="1" si="36"/>
        <v>RFR USD</v>
      </c>
      <c r="E486" t="str">
        <f t="shared" ca="1" si="37"/>
        <v>RFR EUR</v>
      </c>
      <c r="F486" t="str">
        <f t="shared" ca="1" si="38"/>
        <v>RFR GBP</v>
      </c>
      <c r="J486" s="1"/>
      <c r="N486" s="1"/>
      <c r="R486" s="1"/>
      <c r="V486" s="1"/>
      <c r="AB486" s="1"/>
      <c r="AF486" s="1"/>
      <c r="AJ486" s="1"/>
      <c r="AN486" s="1"/>
      <c r="AS486" s="1"/>
      <c r="AX486" s="1"/>
      <c r="BA486" s="1"/>
      <c r="BC486" s="1"/>
      <c r="BD486" s="1"/>
      <c r="BG486" s="1"/>
      <c r="BJ486" s="1"/>
      <c r="BM486" s="1"/>
      <c r="BP486" s="1"/>
      <c r="BS486" s="1"/>
    </row>
    <row r="487" spans="1:71" x14ac:dyDescent="0.3">
      <c r="A487" s="19">
        <f t="shared" si="39"/>
        <v>46596</v>
      </c>
      <c r="B487">
        <f t="shared" ca="1" si="35"/>
        <v>-1.2333333333333334</v>
      </c>
      <c r="C487" t="str">
        <f ca="1">IF(currency="USD",'Future et co'!D487,IF(currency="EUR",'Future et co'!E487,IF(currency="GBP",'Future et co'!F487,FALSE)))</f>
        <v>RFR USD</v>
      </c>
      <c r="D487" t="str">
        <f t="shared" ca="1" si="36"/>
        <v>RFR USD</v>
      </c>
      <c r="E487" t="str">
        <f t="shared" ca="1" si="37"/>
        <v>RFR EUR</v>
      </c>
      <c r="F487" t="str">
        <f t="shared" ca="1" si="38"/>
        <v>RFR GBP</v>
      </c>
      <c r="J487" s="1"/>
      <c r="N487" s="1"/>
      <c r="R487" s="1"/>
      <c r="V487" s="1"/>
      <c r="AB487" s="1"/>
      <c r="AF487" s="1"/>
      <c r="AJ487" s="1"/>
      <c r="AN487" s="1"/>
      <c r="AS487" s="1"/>
      <c r="AX487" s="1"/>
      <c r="BA487" s="1"/>
      <c r="BC487" s="1"/>
      <c r="BD487" s="1"/>
      <c r="BG487" s="1"/>
      <c r="BJ487" s="1"/>
      <c r="BM487" s="1"/>
      <c r="BP487" s="1"/>
      <c r="BS487" s="1"/>
    </row>
    <row r="488" spans="1:71" x14ac:dyDescent="0.3">
      <c r="A488" s="19">
        <f t="shared" si="39"/>
        <v>46597</v>
      </c>
      <c r="B488">
        <f t="shared" ca="1" si="35"/>
        <v>-1.2361111111111112</v>
      </c>
      <c r="C488" t="str">
        <f ca="1">IF(currency="USD",'Future et co'!D488,IF(currency="EUR",'Future et co'!E488,IF(currency="GBP",'Future et co'!F488,FALSE)))</f>
        <v>RFR USD</v>
      </c>
      <c r="D488" t="str">
        <f t="shared" ca="1" si="36"/>
        <v>RFR USD</v>
      </c>
      <c r="E488" t="str">
        <f t="shared" ca="1" si="37"/>
        <v>RFR EUR</v>
      </c>
      <c r="F488" t="str">
        <f t="shared" ca="1" si="38"/>
        <v>RFR GBP</v>
      </c>
      <c r="J488" s="1"/>
      <c r="N488" s="1"/>
      <c r="R488" s="1"/>
      <c r="V488" s="1"/>
      <c r="AB488" s="1"/>
      <c r="AF488" s="1"/>
      <c r="AJ488" s="1"/>
      <c r="AN488" s="1"/>
      <c r="AS488" s="1"/>
      <c r="AX488" s="1"/>
      <c r="BA488" s="1"/>
      <c r="BC488" s="1"/>
      <c r="BD488" s="1"/>
      <c r="BG488" s="1"/>
      <c r="BJ488" s="1"/>
      <c r="BM488" s="1"/>
      <c r="BP488" s="1"/>
      <c r="BS488" s="1"/>
    </row>
    <row r="489" spans="1:71" x14ac:dyDescent="0.3">
      <c r="A489" s="19">
        <f t="shared" si="39"/>
        <v>46598</v>
      </c>
      <c r="B489">
        <f t="shared" ca="1" si="35"/>
        <v>-1.2388888888888889</v>
      </c>
      <c r="C489" t="str">
        <f ca="1">IF(currency="USD",'Future et co'!D489,IF(currency="EUR",'Future et co'!E489,IF(currency="GBP",'Future et co'!F489,FALSE)))</f>
        <v>RFR USD</v>
      </c>
      <c r="D489" t="str">
        <f t="shared" ca="1" si="36"/>
        <v>RFR USD</v>
      </c>
      <c r="E489" t="str">
        <f t="shared" ca="1" si="37"/>
        <v>RFR EUR</v>
      </c>
      <c r="F489" t="str">
        <f t="shared" ca="1" si="38"/>
        <v>RFR GBP</v>
      </c>
      <c r="J489" s="1"/>
      <c r="N489" s="1"/>
      <c r="R489" s="1"/>
      <c r="V489" s="1"/>
      <c r="AB489" s="1"/>
      <c r="AF489" s="1"/>
      <c r="AJ489" s="1"/>
      <c r="AN489" s="1"/>
      <c r="AS489" s="1"/>
      <c r="AX489" s="1"/>
      <c r="BA489" s="1"/>
      <c r="BC489" s="1"/>
      <c r="BD489" s="1"/>
      <c r="BG489" s="1"/>
      <c r="BJ489" s="1"/>
      <c r="BM489" s="1"/>
      <c r="BP489" s="1"/>
      <c r="BS489" s="1"/>
    </row>
    <row r="490" spans="1:71" x14ac:dyDescent="0.3">
      <c r="A490" s="19">
        <f t="shared" si="39"/>
        <v>46601</v>
      </c>
      <c r="B490">
        <f t="shared" ca="1" si="35"/>
        <v>-1.2472222222222222</v>
      </c>
      <c r="C490" t="str">
        <f ca="1">IF(currency="USD",'Future et co'!D490,IF(currency="EUR",'Future et co'!E490,IF(currency="GBP",'Future et co'!F490,FALSE)))</f>
        <v>RFR USD</v>
      </c>
      <c r="D490" t="str">
        <f t="shared" ca="1" si="36"/>
        <v>RFR USD</v>
      </c>
      <c r="E490" t="str">
        <f t="shared" ca="1" si="37"/>
        <v>RFR EUR</v>
      </c>
      <c r="F490" t="str">
        <f t="shared" ca="1" si="38"/>
        <v>RFR GBP</v>
      </c>
      <c r="J490" s="1"/>
      <c r="N490" s="1"/>
      <c r="R490" s="1"/>
      <c r="V490" s="1"/>
      <c r="AB490" s="1"/>
      <c r="AF490" s="1"/>
      <c r="AJ490" s="1"/>
      <c r="AN490" s="1"/>
      <c r="AS490" s="1"/>
      <c r="AX490" s="1"/>
      <c r="BA490" s="1"/>
      <c r="BC490" s="1"/>
      <c r="BD490" s="1"/>
      <c r="BG490" s="1"/>
      <c r="BJ490" s="1"/>
      <c r="BM490" s="1"/>
      <c r="BP490" s="1"/>
      <c r="BS490" s="1"/>
    </row>
    <row r="491" spans="1:71" x14ac:dyDescent="0.3">
      <c r="A491" s="19">
        <f t="shared" si="39"/>
        <v>46602</v>
      </c>
      <c r="B491">
        <f t="shared" ca="1" si="35"/>
        <v>-1.25</v>
      </c>
      <c r="C491" t="str">
        <f ca="1">IF(currency="USD",'Future et co'!D491,IF(currency="EUR",'Future et co'!E491,IF(currency="GBP",'Future et co'!F491,FALSE)))</f>
        <v>RFR USD</v>
      </c>
      <c r="D491" t="str">
        <f t="shared" ca="1" si="36"/>
        <v>RFR USD</v>
      </c>
      <c r="E491" t="str">
        <f t="shared" ca="1" si="37"/>
        <v>RFR EUR</v>
      </c>
      <c r="F491" t="str">
        <f t="shared" ca="1" si="38"/>
        <v>RFR GBP</v>
      </c>
      <c r="J491" s="1"/>
      <c r="N491" s="1"/>
      <c r="R491" s="1"/>
      <c r="V491" s="1"/>
      <c r="AB491" s="1"/>
      <c r="AF491" s="1"/>
      <c r="AJ491" s="1"/>
      <c r="AN491" s="1"/>
      <c r="AS491" s="1"/>
      <c r="AX491" s="1"/>
      <c r="BA491" s="1"/>
      <c r="BC491" s="1"/>
      <c r="BD491" s="1"/>
      <c r="BG491" s="1"/>
      <c r="BJ491" s="1"/>
      <c r="BM491" s="1"/>
      <c r="BP491" s="1"/>
      <c r="BS491" s="1"/>
    </row>
    <row r="492" spans="1:71" x14ac:dyDescent="0.3">
      <c r="A492" s="19">
        <f t="shared" si="39"/>
        <v>46603</v>
      </c>
      <c r="B492">
        <f t="shared" ca="1" si="35"/>
        <v>-1.2527777777777778</v>
      </c>
      <c r="C492" t="str">
        <f ca="1">IF(currency="USD",'Future et co'!D492,IF(currency="EUR",'Future et co'!E492,IF(currency="GBP",'Future et co'!F492,FALSE)))</f>
        <v>RFR USD</v>
      </c>
      <c r="D492" t="str">
        <f t="shared" ca="1" si="36"/>
        <v>RFR USD</v>
      </c>
      <c r="E492" t="str">
        <f t="shared" ca="1" si="37"/>
        <v>RFR EUR</v>
      </c>
      <c r="F492" t="str">
        <f t="shared" ca="1" si="38"/>
        <v>RFR GBP</v>
      </c>
      <c r="J492" s="1"/>
      <c r="N492" s="1"/>
      <c r="R492" s="1"/>
      <c r="V492" s="1"/>
      <c r="AB492" s="1"/>
      <c r="AF492" s="1"/>
      <c r="AJ492" s="1"/>
      <c r="AN492" s="1"/>
      <c r="AS492" s="1"/>
      <c r="AX492" s="1"/>
      <c r="BA492" s="1"/>
      <c r="BC492" s="1"/>
      <c r="BD492" s="1"/>
      <c r="BG492" s="1"/>
      <c r="BJ492" s="1"/>
      <c r="BM492" s="1"/>
      <c r="BP492" s="1"/>
      <c r="BS492" s="1"/>
    </row>
    <row r="493" spans="1:71" x14ac:dyDescent="0.3">
      <c r="A493" s="19">
        <f t="shared" si="39"/>
        <v>46604</v>
      </c>
      <c r="B493">
        <f t="shared" ca="1" si="35"/>
        <v>-1.2555555555555555</v>
      </c>
      <c r="C493" t="str">
        <f ca="1">IF(currency="USD",'Future et co'!D493,IF(currency="EUR",'Future et co'!E493,IF(currency="GBP",'Future et co'!F493,FALSE)))</f>
        <v>RFR USD</v>
      </c>
      <c r="D493" t="str">
        <f t="shared" ca="1" si="36"/>
        <v>RFR USD</v>
      </c>
      <c r="E493" t="str">
        <f t="shared" ca="1" si="37"/>
        <v>RFR EUR</v>
      </c>
      <c r="F493" t="str">
        <f t="shared" ca="1" si="38"/>
        <v>RFR GBP</v>
      </c>
      <c r="J493" s="1"/>
      <c r="N493" s="1"/>
      <c r="R493" s="1"/>
      <c r="V493" s="1"/>
      <c r="AB493" s="1"/>
      <c r="AF493" s="1"/>
      <c r="AJ493" s="1"/>
      <c r="AN493" s="1"/>
      <c r="AS493" s="1"/>
      <c r="AX493" s="1"/>
      <c r="BA493" s="1"/>
      <c r="BC493" s="1"/>
      <c r="BD493" s="1"/>
      <c r="BG493" s="1"/>
      <c r="BJ493" s="1"/>
      <c r="BM493" s="1"/>
      <c r="BP493" s="1"/>
      <c r="BS493" s="1"/>
    </row>
    <row r="494" spans="1:71" x14ac:dyDescent="0.3">
      <c r="A494" s="19">
        <f t="shared" si="39"/>
        <v>46605</v>
      </c>
      <c r="B494">
        <f t="shared" ca="1" si="35"/>
        <v>-1.2583333333333333</v>
      </c>
      <c r="C494" t="str">
        <f ca="1">IF(currency="USD",'Future et co'!D494,IF(currency="EUR",'Future et co'!E494,IF(currency="GBP",'Future et co'!F494,FALSE)))</f>
        <v>RFR USD</v>
      </c>
      <c r="D494" t="str">
        <f t="shared" ca="1" si="36"/>
        <v>RFR USD</v>
      </c>
      <c r="E494" t="str">
        <f t="shared" ca="1" si="37"/>
        <v>RFR EUR</v>
      </c>
      <c r="F494" t="str">
        <f t="shared" ca="1" si="38"/>
        <v>RFR GBP</v>
      </c>
      <c r="J494" s="1"/>
      <c r="N494" s="1"/>
      <c r="R494" s="1"/>
      <c r="V494" s="1"/>
      <c r="AB494" s="1"/>
      <c r="AF494" s="1"/>
      <c r="AJ494" s="1"/>
      <c r="AN494" s="1"/>
      <c r="AS494" s="1"/>
      <c r="AX494" s="1"/>
      <c r="BA494" s="1"/>
      <c r="BC494" s="1"/>
      <c r="BD494" s="1"/>
      <c r="BG494" s="1"/>
      <c r="BJ494" s="1"/>
      <c r="BM494" s="1"/>
      <c r="BP494" s="1"/>
      <c r="BS494" s="1"/>
    </row>
    <row r="495" spans="1:71" x14ac:dyDescent="0.3">
      <c r="A495" s="19">
        <f t="shared" si="39"/>
        <v>46608</v>
      </c>
      <c r="B495">
        <f t="shared" ca="1" si="35"/>
        <v>-1.2666666666666666</v>
      </c>
      <c r="C495" t="str">
        <f ca="1">IF(currency="USD",'Future et co'!D495,IF(currency="EUR",'Future et co'!E495,IF(currency="GBP",'Future et co'!F495,FALSE)))</f>
        <v>RFR USD</v>
      </c>
      <c r="D495" t="str">
        <f t="shared" ca="1" si="36"/>
        <v>RFR USD</v>
      </c>
      <c r="E495" t="str">
        <f t="shared" ca="1" si="37"/>
        <v>RFR EUR</v>
      </c>
      <c r="F495" t="str">
        <f t="shared" ca="1" si="38"/>
        <v>RFR GBP</v>
      </c>
      <c r="J495" s="1"/>
      <c r="N495" s="1"/>
      <c r="R495" s="1"/>
      <c r="V495" s="1"/>
      <c r="AB495" s="1"/>
      <c r="AF495" s="1"/>
      <c r="AJ495" s="1"/>
      <c r="AN495" s="1"/>
      <c r="AS495" s="1"/>
      <c r="AX495" s="1"/>
      <c r="BA495" s="1"/>
      <c r="BC495" s="1"/>
      <c r="BD495" s="1"/>
      <c r="BG495" s="1"/>
      <c r="BJ495" s="1"/>
      <c r="BM495" s="1"/>
      <c r="BP495" s="1"/>
      <c r="BS495" s="1"/>
    </row>
    <row r="496" spans="1:71" x14ac:dyDescent="0.3">
      <c r="A496" s="19">
        <f t="shared" si="39"/>
        <v>46609</v>
      </c>
      <c r="B496">
        <f t="shared" ca="1" si="35"/>
        <v>-1.2694444444444444</v>
      </c>
      <c r="C496" t="str">
        <f ca="1">IF(currency="USD",'Future et co'!D496,IF(currency="EUR",'Future et co'!E496,IF(currency="GBP",'Future et co'!F496,FALSE)))</f>
        <v>RFR USD</v>
      </c>
      <c r="D496" t="str">
        <f t="shared" ca="1" si="36"/>
        <v>RFR USD</v>
      </c>
      <c r="E496" t="str">
        <f t="shared" ca="1" si="37"/>
        <v>RFR EUR</v>
      </c>
      <c r="F496" t="str">
        <f t="shared" ca="1" si="38"/>
        <v>RFR GBP</v>
      </c>
      <c r="J496" s="1"/>
      <c r="N496" s="1"/>
      <c r="R496" s="1"/>
      <c r="V496" s="1"/>
      <c r="AB496" s="1"/>
      <c r="AF496" s="1"/>
      <c r="AJ496" s="1"/>
      <c r="AN496" s="1"/>
      <c r="AS496" s="1"/>
      <c r="AX496" s="1"/>
      <c r="BA496" s="1"/>
      <c r="BC496" s="1"/>
      <c r="BD496" s="1"/>
      <c r="BG496" s="1"/>
      <c r="BJ496" s="1"/>
      <c r="BM496" s="1"/>
      <c r="BP496" s="1"/>
      <c r="BS496" s="1"/>
    </row>
    <row r="497" spans="1:71" x14ac:dyDescent="0.3">
      <c r="A497" s="19">
        <f t="shared" si="39"/>
        <v>46610</v>
      </c>
      <c r="B497">
        <f t="shared" ca="1" si="35"/>
        <v>-1.2722222222222221</v>
      </c>
      <c r="C497" t="str">
        <f ca="1">IF(currency="USD",'Future et co'!D497,IF(currency="EUR",'Future et co'!E497,IF(currency="GBP",'Future et co'!F497,FALSE)))</f>
        <v>RFR USD</v>
      </c>
      <c r="D497" t="str">
        <f t="shared" ca="1" si="36"/>
        <v>RFR USD</v>
      </c>
      <c r="E497" t="str">
        <f t="shared" ca="1" si="37"/>
        <v>RFR EUR</v>
      </c>
      <c r="F497" t="str">
        <f t="shared" ca="1" si="38"/>
        <v>RFR GBP</v>
      </c>
      <c r="J497" s="1"/>
      <c r="N497" s="1"/>
      <c r="R497" s="1"/>
      <c r="V497" s="1"/>
      <c r="AB497" s="1"/>
      <c r="AF497" s="1"/>
      <c r="AJ497" s="1"/>
      <c r="AN497" s="1"/>
      <c r="AS497" s="1"/>
      <c r="AX497" s="1"/>
      <c r="BA497" s="1"/>
      <c r="BC497" s="1"/>
      <c r="BD497" s="1"/>
      <c r="BG497" s="1"/>
      <c r="BJ497" s="1"/>
      <c r="BM497" s="1"/>
      <c r="BP497" s="1"/>
      <c r="BS497" s="1"/>
    </row>
    <row r="498" spans="1:71" x14ac:dyDescent="0.3">
      <c r="A498" s="19">
        <f t="shared" si="39"/>
        <v>46611</v>
      </c>
      <c r="B498">
        <f t="shared" ca="1" si="35"/>
        <v>-1.2749999999999999</v>
      </c>
      <c r="C498" t="str">
        <f ca="1">IF(currency="USD",'Future et co'!D498,IF(currency="EUR",'Future et co'!E498,IF(currency="GBP",'Future et co'!F498,FALSE)))</f>
        <v>RFR USD</v>
      </c>
      <c r="D498" t="str">
        <f t="shared" ca="1" si="36"/>
        <v>RFR USD</v>
      </c>
      <c r="E498" t="str">
        <f t="shared" ca="1" si="37"/>
        <v>RFR EUR</v>
      </c>
      <c r="F498" t="str">
        <f t="shared" ca="1" si="38"/>
        <v>RFR GBP</v>
      </c>
      <c r="J498" s="1"/>
      <c r="N498" s="1"/>
      <c r="R498" s="1"/>
      <c r="V498" s="1"/>
      <c r="AB498" s="1"/>
      <c r="AF498" s="1"/>
      <c r="AJ498" s="1"/>
      <c r="AN498" s="1"/>
      <c r="AS498" s="1"/>
      <c r="AX498" s="1"/>
      <c r="BA498" s="1"/>
      <c r="BC498" s="1"/>
      <c r="BD498" s="1"/>
      <c r="BG498" s="1"/>
      <c r="BJ498" s="1"/>
      <c r="BM498" s="1"/>
      <c r="BP498" s="1"/>
      <c r="BS498" s="1"/>
    </row>
    <row r="499" spans="1:71" x14ac:dyDescent="0.3">
      <c r="A499" s="19">
        <f t="shared" si="39"/>
        <v>46612</v>
      </c>
      <c r="B499">
        <f t="shared" ca="1" si="35"/>
        <v>-1.2777777777777777</v>
      </c>
      <c r="C499" t="str">
        <f ca="1">IF(currency="USD",'Future et co'!D499,IF(currency="EUR",'Future et co'!E499,IF(currency="GBP",'Future et co'!F499,FALSE)))</f>
        <v>RFR USD</v>
      </c>
      <c r="D499" t="str">
        <f t="shared" ca="1" si="36"/>
        <v>RFR USD</v>
      </c>
      <c r="E499" t="str">
        <f t="shared" ca="1" si="37"/>
        <v>RFR EUR</v>
      </c>
      <c r="F499" t="str">
        <f t="shared" ca="1" si="38"/>
        <v>RFR GBP</v>
      </c>
      <c r="J499" s="1"/>
      <c r="N499" s="1"/>
      <c r="R499" s="1"/>
      <c r="V499" s="1"/>
      <c r="AB499" s="1"/>
      <c r="AF499" s="1"/>
      <c r="AJ499" s="1"/>
      <c r="AN499" s="1"/>
      <c r="AS499" s="1"/>
      <c r="AX499" s="1"/>
      <c r="BA499" s="1"/>
      <c r="BC499" s="1"/>
      <c r="BD499" s="1"/>
      <c r="BG499" s="1"/>
      <c r="BJ499" s="1"/>
      <c r="BM499" s="1"/>
      <c r="BP499" s="1"/>
      <c r="BS499" s="1"/>
    </row>
    <row r="500" spans="1:71" x14ac:dyDescent="0.3">
      <c r="A500" s="19">
        <f t="shared" si="39"/>
        <v>46615</v>
      </c>
      <c r="B500">
        <f t="shared" ca="1" si="35"/>
        <v>-1.2861111111111112</v>
      </c>
      <c r="C500" t="str">
        <f ca="1">IF(currency="USD",'Future et co'!D500,IF(currency="EUR",'Future et co'!E500,IF(currency="GBP",'Future et co'!F500,FALSE)))</f>
        <v>RFR USD</v>
      </c>
      <c r="D500" t="str">
        <f t="shared" ca="1" si="36"/>
        <v>RFR USD</v>
      </c>
      <c r="E500" t="str">
        <f t="shared" ca="1" si="37"/>
        <v>RFR EUR</v>
      </c>
      <c r="F500" t="str">
        <f t="shared" ca="1" si="38"/>
        <v>RFR GBP</v>
      </c>
      <c r="J500" s="1"/>
      <c r="N500" s="1"/>
      <c r="R500" s="1"/>
      <c r="V500" s="1"/>
      <c r="AB500" s="1"/>
      <c r="AF500" s="1"/>
      <c r="AJ500" s="1"/>
      <c r="AN500" s="1"/>
      <c r="AS500" s="1"/>
      <c r="AX500" s="1"/>
      <c r="BA500" s="1"/>
      <c r="BC500" s="1"/>
      <c r="BD500" s="1"/>
      <c r="BG500" s="1"/>
      <c r="BJ500" s="1"/>
      <c r="BM500" s="1"/>
      <c r="BP500" s="1"/>
      <c r="BS500" s="1"/>
    </row>
    <row r="501" spans="1:71" x14ac:dyDescent="0.3">
      <c r="A501" s="19">
        <f t="shared" si="39"/>
        <v>46616</v>
      </c>
      <c r="B501">
        <f t="shared" ca="1" si="35"/>
        <v>-1.288888888888889</v>
      </c>
      <c r="C501" t="str">
        <f ca="1">IF(currency="USD",'Future et co'!D501,IF(currency="EUR",'Future et co'!E501,IF(currency="GBP",'Future et co'!F501,FALSE)))</f>
        <v>RFR USD</v>
      </c>
      <c r="D501" t="str">
        <f t="shared" ca="1" si="36"/>
        <v>RFR USD</v>
      </c>
      <c r="E501" t="str">
        <f t="shared" ca="1" si="37"/>
        <v>RFR EUR</v>
      </c>
      <c r="F501" t="str">
        <f t="shared" ca="1" si="38"/>
        <v>RFR GBP</v>
      </c>
      <c r="J501" s="1"/>
      <c r="N501" s="1"/>
      <c r="R501" s="1"/>
      <c r="V501" s="1"/>
      <c r="AB501" s="1"/>
      <c r="AF501" s="1"/>
      <c r="AJ501" s="1"/>
      <c r="AN501" s="1"/>
      <c r="AS501" s="1"/>
      <c r="AX501" s="1"/>
      <c r="BA501" s="1"/>
      <c r="BC501" s="1"/>
      <c r="BD501" s="1"/>
      <c r="BG501" s="1"/>
      <c r="BJ501" s="1"/>
      <c r="BM501" s="1"/>
      <c r="BP501" s="1"/>
      <c r="BS501" s="1"/>
    </row>
    <row r="502" spans="1:71" x14ac:dyDescent="0.3">
      <c r="A502" s="19">
        <f t="shared" si="39"/>
        <v>46617</v>
      </c>
      <c r="B502">
        <f t="shared" ca="1" si="35"/>
        <v>-1.2916666666666667</v>
      </c>
      <c r="C502" t="str">
        <f ca="1">IF(currency="USD",'Future et co'!D502,IF(currency="EUR",'Future et co'!E502,IF(currency="GBP",'Future et co'!F502,FALSE)))</f>
        <v>RFR USD</v>
      </c>
      <c r="D502" t="str">
        <f t="shared" ca="1" si="36"/>
        <v>RFR USD</v>
      </c>
      <c r="E502" t="str">
        <f t="shared" ca="1" si="37"/>
        <v>RFR EUR</v>
      </c>
      <c r="F502" t="str">
        <f t="shared" ca="1" si="38"/>
        <v>RFR GBP</v>
      </c>
      <c r="J502" s="1"/>
      <c r="N502" s="1"/>
      <c r="R502" s="1"/>
      <c r="V502" s="1"/>
      <c r="AB502" s="1"/>
      <c r="AF502" s="1"/>
      <c r="AJ502" s="1"/>
      <c r="AN502" s="1"/>
      <c r="AS502" s="1"/>
      <c r="AX502" s="1"/>
      <c r="BA502" s="1"/>
      <c r="BC502" s="1"/>
      <c r="BD502" s="1"/>
      <c r="BG502" s="1"/>
      <c r="BJ502" s="1"/>
      <c r="BM502" s="1"/>
      <c r="BP502" s="1"/>
      <c r="BS502" s="1"/>
    </row>
    <row r="503" spans="1:71" x14ac:dyDescent="0.3">
      <c r="A503" s="19">
        <f t="shared" si="39"/>
        <v>46618</v>
      </c>
      <c r="B503">
        <f t="shared" ca="1" si="35"/>
        <v>-1.2944444444444445</v>
      </c>
      <c r="C503" t="str">
        <f ca="1">IF(currency="USD",'Future et co'!D503,IF(currency="EUR",'Future et co'!E503,IF(currency="GBP",'Future et co'!F503,FALSE)))</f>
        <v>RFR USD</v>
      </c>
      <c r="D503" t="str">
        <f t="shared" ca="1" si="36"/>
        <v>RFR USD</v>
      </c>
      <c r="E503" t="str">
        <f t="shared" ca="1" si="37"/>
        <v>RFR EUR</v>
      </c>
      <c r="F503" t="str">
        <f t="shared" ca="1" si="38"/>
        <v>RFR GBP</v>
      </c>
      <c r="J503" s="1"/>
      <c r="N503" s="1"/>
      <c r="R503" s="1"/>
      <c r="V503" s="1"/>
      <c r="AB503" s="1"/>
      <c r="AF503" s="1"/>
      <c r="AJ503" s="1"/>
      <c r="AN503" s="1"/>
      <c r="AS503" s="1"/>
      <c r="AX503" s="1"/>
      <c r="BA503" s="1"/>
      <c r="BC503" s="1"/>
      <c r="BD503" s="1"/>
      <c r="BG503" s="1"/>
      <c r="BJ503" s="1"/>
      <c r="BM503" s="1"/>
      <c r="BP503" s="1"/>
      <c r="BS503" s="1"/>
    </row>
    <row r="504" spans="1:71" x14ac:dyDescent="0.3">
      <c r="A504" s="19">
        <f t="shared" si="39"/>
        <v>46619</v>
      </c>
      <c r="B504">
        <f t="shared" ca="1" si="35"/>
        <v>-1.2972222222222223</v>
      </c>
      <c r="C504" t="str">
        <f ca="1">IF(currency="USD",'Future et co'!D504,IF(currency="EUR",'Future et co'!E504,IF(currency="GBP",'Future et co'!F504,FALSE)))</f>
        <v>RFR USD</v>
      </c>
      <c r="D504" t="str">
        <f t="shared" ca="1" si="36"/>
        <v>RFR USD</v>
      </c>
      <c r="E504" t="str">
        <f t="shared" ca="1" si="37"/>
        <v>RFR EUR</v>
      </c>
      <c r="F504" t="str">
        <f t="shared" ca="1" si="38"/>
        <v>RFR GBP</v>
      </c>
      <c r="J504" s="1"/>
      <c r="N504" s="1"/>
      <c r="R504" s="1"/>
      <c r="V504" s="1"/>
      <c r="AB504" s="1"/>
      <c r="AF504" s="1"/>
      <c r="AJ504" s="1"/>
      <c r="AN504" s="1"/>
      <c r="AS504" s="1"/>
      <c r="AX504" s="1"/>
      <c r="BA504" s="1"/>
      <c r="BC504" s="1"/>
      <c r="BD504" s="1"/>
      <c r="BG504" s="1"/>
      <c r="BJ504" s="1"/>
      <c r="BM504" s="1"/>
      <c r="BP504" s="1"/>
      <c r="BS504" s="1"/>
    </row>
    <row r="505" spans="1:71" x14ac:dyDescent="0.3">
      <c r="A505" s="19">
        <f t="shared" si="39"/>
        <v>46622</v>
      </c>
      <c r="B505">
        <f t="shared" ca="1" si="35"/>
        <v>-1.3055555555555556</v>
      </c>
      <c r="C505" t="str">
        <f ca="1">IF(currency="USD",'Future et co'!D505,IF(currency="EUR",'Future et co'!E505,IF(currency="GBP",'Future et co'!F505,FALSE)))</f>
        <v>RFR USD</v>
      </c>
      <c r="D505" t="str">
        <f t="shared" ca="1" si="36"/>
        <v>RFR USD</v>
      </c>
      <c r="E505" t="str">
        <f t="shared" ca="1" si="37"/>
        <v>RFR EUR</v>
      </c>
      <c r="F505" t="str">
        <f t="shared" ca="1" si="38"/>
        <v>RFR GBP</v>
      </c>
      <c r="J505" s="1"/>
      <c r="N505" s="1"/>
      <c r="R505" s="1"/>
      <c r="V505" s="1"/>
      <c r="AB505" s="1"/>
      <c r="AF505" s="1"/>
      <c r="AJ505" s="1"/>
      <c r="AN505" s="1"/>
      <c r="AS505" s="1"/>
      <c r="AX505" s="1"/>
      <c r="BA505" s="1"/>
      <c r="BC505" s="1"/>
      <c r="BD505" s="1"/>
      <c r="BG505" s="1"/>
      <c r="BJ505" s="1"/>
      <c r="BM505" s="1"/>
      <c r="BP505" s="1"/>
      <c r="BS505" s="1"/>
    </row>
    <row r="506" spans="1:71" x14ac:dyDescent="0.3">
      <c r="A506" s="19">
        <f t="shared" si="39"/>
        <v>46623</v>
      </c>
      <c r="B506">
        <f t="shared" ca="1" si="35"/>
        <v>-1.3083333333333333</v>
      </c>
      <c r="C506" t="str">
        <f ca="1">IF(currency="USD",'Future et co'!D506,IF(currency="EUR",'Future et co'!E506,IF(currency="GBP",'Future et co'!F506,FALSE)))</f>
        <v>RFR USD</v>
      </c>
      <c r="D506" t="str">
        <f t="shared" ca="1" si="36"/>
        <v>RFR USD</v>
      </c>
      <c r="E506" t="str">
        <f t="shared" ca="1" si="37"/>
        <v>RFR EUR</v>
      </c>
      <c r="F506" t="str">
        <f t="shared" ca="1" si="38"/>
        <v>RFR GBP</v>
      </c>
      <c r="J506" s="1"/>
      <c r="N506" s="1"/>
      <c r="R506" s="1"/>
      <c r="V506" s="1"/>
      <c r="AB506" s="1"/>
      <c r="AF506" s="1"/>
      <c r="AJ506" s="1"/>
      <c r="AN506" s="1"/>
      <c r="AS506" s="1"/>
      <c r="AX506" s="1"/>
      <c r="BA506" s="1"/>
      <c r="BC506" s="1"/>
      <c r="BD506" s="1"/>
      <c r="BG506" s="1"/>
      <c r="BJ506" s="1"/>
      <c r="BM506" s="1"/>
      <c r="BP506" s="1"/>
      <c r="BS506" s="1"/>
    </row>
    <row r="507" spans="1:71" x14ac:dyDescent="0.3">
      <c r="A507" s="19">
        <f t="shared" si="39"/>
        <v>46624</v>
      </c>
      <c r="B507">
        <f t="shared" ca="1" si="35"/>
        <v>-1.3111111111111111</v>
      </c>
      <c r="C507" t="str">
        <f ca="1">IF(currency="USD",'Future et co'!D507,IF(currency="EUR",'Future et co'!E507,IF(currency="GBP",'Future et co'!F507,FALSE)))</f>
        <v>RFR USD</v>
      </c>
      <c r="D507" t="str">
        <f t="shared" ca="1" si="36"/>
        <v>RFR USD</v>
      </c>
      <c r="E507" t="str">
        <f t="shared" ca="1" si="37"/>
        <v>RFR EUR</v>
      </c>
      <c r="F507" t="str">
        <f t="shared" ca="1" si="38"/>
        <v>RFR GBP</v>
      </c>
      <c r="J507" s="1"/>
      <c r="N507" s="1"/>
      <c r="R507" s="1"/>
      <c r="V507" s="1"/>
      <c r="AB507" s="1"/>
      <c r="AF507" s="1"/>
      <c r="AJ507" s="1"/>
      <c r="AN507" s="1"/>
      <c r="AS507" s="1"/>
      <c r="AX507" s="1"/>
      <c r="BA507" s="1"/>
      <c r="BC507" s="1"/>
      <c r="BD507" s="1"/>
      <c r="BG507" s="1"/>
      <c r="BJ507" s="1"/>
      <c r="BM507" s="1"/>
      <c r="BP507" s="1"/>
      <c r="BS507" s="1"/>
    </row>
    <row r="508" spans="1:71" x14ac:dyDescent="0.3">
      <c r="A508" s="19">
        <f t="shared" si="39"/>
        <v>46625</v>
      </c>
      <c r="B508">
        <f t="shared" ca="1" si="35"/>
        <v>-1.3138888888888889</v>
      </c>
      <c r="C508" t="str">
        <f ca="1">IF(currency="USD",'Future et co'!D508,IF(currency="EUR",'Future et co'!E508,IF(currency="GBP",'Future et co'!F508,FALSE)))</f>
        <v>RFR USD</v>
      </c>
      <c r="D508" t="str">
        <f t="shared" ca="1" si="36"/>
        <v>RFR USD</v>
      </c>
      <c r="E508" t="str">
        <f t="shared" ca="1" si="37"/>
        <v>RFR EUR</v>
      </c>
      <c r="F508" t="str">
        <f t="shared" ca="1" si="38"/>
        <v>RFR GBP</v>
      </c>
      <c r="J508" s="1"/>
      <c r="N508" s="1"/>
      <c r="R508" s="1"/>
      <c r="V508" s="1"/>
      <c r="AB508" s="1"/>
      <c r="AF508" s="1"/>
      <c r="AJ508" s="1"/>
      <c r="AN508" s="1"/>
      <c r="AS508" s="1"/>
      <c r="AX508" s="1"/>
      <c r="BA508" s="1"/>
      <c r="BC508" s="1"/>
      <c r="BD508" s="1"/>
      <c r="BG508" s="1"/>
      <c r="BJ508" s="1"/>
      <c r="BM508" s="1"/>
      <c r="BP508" s="1"/>
      <c r="BS508" s="1"/>
    </row>
    <row r="509" spans="1:71" x14ac:dyDescent="0.3">
      <c r="A509" s="19">
        <f t="shared" si="39"/>
        <v>46626</v>
      </c>
      <c r="B509">
        <f t="shared" ca="1" si="35"/>
        <v>-1.3166666666666667</v>
      </c>
      <c r="C509" t="str">
        <f ca="1">IF(currency="USD",'Future et co'!D509,IF(currency="EUR",'Future et co'!E509,IF(currency="GBP",'Future et co'!F509,FALSE)))</f>
        <v>RFR USD</v>
      </c>
      <c r="D509" t="str">
        <f t="shared" ca="1" si="36"/>
        <v>RFR USD</v>
      </c>
      <c r="E509" t="str">
        <f t="shared" ca="1" si="37"/>
        <v>RFR EUR</v>
      </c>
      <c r="F509" t="str">
        <f t="shared" ca="1" si="38"/>
        <v>RFR GBP</v>
      </c>
      <c r="J509" s="1"/>
      <c r="N509" s="1"/>
      <c r="R509" s="1"/>
      <c r="V509" s="1"/>
      <c r="AB509" s="1"/>
      <c r="AF509" s="1"/>
      <c r="AJ509" s="1"/>
      <c r="AN509" s="1"/>
      <c r="AS509" s="1"/>
      <c r="AX509" s="1"/>
      <c r="BA509" s="1"/>
      <c r="BC509" s="1"/>
      <c r="BD509" s="1"/>
      <c r="BG509" s="1"/>
      <c r="BJ509" s="1"/>
      <c r="BM509" s="1"/>
      <c r="BP509" s="1"/>
      <c r="BS509" s="1"/>
    </row>
    <row r="510" spans="1:71" x14ac:dyDescent="0.3">
      <c r="A510" s="19">
        <f t="shared" si="39"/>
        <v>46629</v>
      </c>
      <c r="B510">
        <f t="shared" ca="1" si="35"/>
        <v>-1.325</v>
      </c>
      <c r="C510" t="str">
        <f ca="1">IF(currency="USD",'Future et co'!D510,IF(currency="EUR",'Future et co'!E510,IF(currency="GBP",'Future et co'!F510,FALSE)))</f>
        <v>RFR USD</v>
      </c>
      <c r="D510" t="str">
        <f t="shared" ca="1" si="36"/>
        <v>RFR USD</v>
      </c>
      <c r="E510" t="str">
        <f t="shared" ca="1" si="37"/>
        <v>RFR EUR</v>
      </c>
      <c r="F510" t="str">
        <f t="shared" ca="1" si="38"/>
        <v>RFR GBP</v>
      </c>
      <c r="J510" s="1"/>
      <c r="N510" s="1"/>
      <c r="R510" s="1"/>
      <c r="V510" s="1"/>
      <c r="AB510" s="1"/>
      <c r="AF510" s="1"/>
      <c r="AJ510" s="1"/>
      <c r="AN510" s="1"/>
      <c r="AS510" s="1"/>
      <c r="AX510" s="1"/>
      <c r="BA510" s="1"/>
      <c r="BC510" s="1"/>
      <c r="BD510" s="1"/>
      <c r="BG510" s="1"/>
      <c r="BJ510" s="1"/>
      <c r="BM510" s="1"/>
      <c r="BP510" s="1"/>
      <c r="BS510" s="1"/>
    </row>
    <row r="511" spans="1:71" x14ac:dyDescent="0.3">
      <c r="A511" s="19">
        <f t="shared" si="39"/>
        <v>46630</v>
      </c>
      <c r="B511">
        <f t="shared" ca="1" si="35"/>
        <v>-1.3277777777777777</v>
      </c>
      <c r="C511" t="str">
        <f ca="1">IF(currency="USD",'Future et co'!D511,IF(currency="EUR",'Future et co'!E511,IF(currency="GBP",'Future et co'!F511,FALSE)))</f>
        <v>RFR USD</v>
      </c>
      <c r="D511" t="str">
        <f t="shared" ca="1" si="36"/>
        <v>RFR USD</v>
      </c>
      <c r="E511" t="str">
        <f t="shared" ca="1" si="37"/>
        <v>RFR EUR</v>
      </c>
      <c r="F511" t="str">
        <f t="shared" ca="1" si="38"/>
        <v>RFR GBP</v>
      </c>
      <c r="J511" s="1"/>
      <c r="N511" s="1"/>
      <c r="R511" s="1"/>
      <c r="V511" s="1"/>
      <c r="AB511" s="1"/>
      <c r="AF511" s="1"/>
      <c r="AJ511" s="1"/>
      <c r="AN511" s="1"/>
      <c r="AS511" s="1"/>
      <c r="AX511" s="1"/>
      <c r="BA511" s="1"/>
      <c r="BC511" s="1"/>
      <c r="BD511" s="1"/>
      <c r="BG511" s="1"/>
      <c r="BJ511" s="1"/>
      <c r="BM511" s="1"/>
      <c r="BP511" s="1"/>
      <c r="BS511" s="1"/>
    </row>
    <row r="512" spans="1:71" x14ac:dyDescent="0.3">
      <c r="A512" s="19">
        <f t="shared" si="39"/>
        <v>46631</v>
      </c>
      <c r="B512">
        <f t="shared" ca="1" si="35"/>
        <v>-1.3305555555555555</v>
      </c>
      <c r="C512" t="str">
        <f ca="1">IF(currency="USD",'Future et co'!D512,IF(currency="EUR",'Future et co'!E512,IF(currency="GBP",'Future et co'!F512,FALSE)))</f>
        <v>RFR USD</v>
      </c>
      <c r="D512" t="str">
        <f t="shared" ca="1" si="36"/>
        <v>RFR USD</v>
      </c>
      <c r="E512" t="str">
        <f t="shared" ca="1" si="37"/>
        <v>RFR EUR</v>
      </c>
      <c r="F512" t="str">
        <f t="shared" ca="1" si="38"/>
        <v>RFR GBP</v>
      </c>
      <c r="J512" s="1"/>
      <c r="N512" s="1"/>
      <c r="R512" s="1"/>
      <c r="V512" s="1"/>
      <c r="AB512" s="1"/>
      <c r="AF512" s="1"/>
      <c r="AJ512" s="1"/>
      <c r="AN512" s="1"/>
      <c r="AS512" s="1"/>
      <c r="AX512" s="1"/>
      <c r="BA512" s="1"/>
      <c r="BC512" s="1"/>
      <c r="BD512" s="1"/>
      <c r="BG512" s="1"/>
      <c r="BJ512" s="1"/>
      <c r="BM512" s="1"/>
      <c r="BP512" s="1"/>
      <c r="BS512" s="1"/>
    </row>
    <row r="513" spans="1:71" x14ac:dyDescent="0.3">
      <c r="A513" s="19">
        <f t="shared" si="39"/>
        <v>46632</v>
      </c>
      <c r="B513">
        <f t="shared" ca="1" si="35"/>
        <v>-1.3333333333333333</v>
      </c>
      <c r="C513" t="str">
        <f ca="1">IF(currency="USD",'Future et co'!D513,IF(currency="EUR",'Future et co'!E513,IF(currency="GBP",'Future et co'!F513,FALSE)))</f>
        <v>RFR USD</v>
      </c>
      <c r="D513" t="str">
        <f t="shared" ca="1" si="36"/>
        <v>RFR USD</v>
      </c>
      <c r="E513" t="str">
        <f t="shared" ca="1" si="37"/>
        <v>RFR EUR</v>
      </c>
      <c r="F513" t="str">
        <f t="shared" ca="1" si="38"/>
        <v>RFR GBP</v>
      </c>
      <c r="J513" s="1"/>
      <c r="N513" s="1"/>
      <c r="R513" s="1"/>
      <c r="V513" s="1"/>
      <c r="AB513" s="1"/>
      <c r="AF513" s="1"/>
      <c r="AJ513" s="1"/>
      <c r="AN513" s="1"/>
      <c r="AS513" s="1"/>
      <c r="AX513" s="1"/>
      <c r="BA513" s="1"/>
      <c r="BC513" s="1"/>
      <c r="BD513" s="1"/>
      <c r="BG513" s="1"/>
      <c r="BJ513" s="1"/>
      <c r="BM513" s="1"/>
      <c r="BP513" s="1"/>
      <c r="BS513" s="1"/>
    </row>
    <row r="514" spans="1:71" x14ac:dyDescent="0.3">
      <c r="A514" s="19">
        <f t="shared" si="39"/>
        <v>46633</v>
      </c>
      <c r="B514">
        <f t="shared" ca="1" si="35"/>
        <v>-1.336111111111111</v>
      </c>
      <c r="C514" t="str">
        <f ca="1">IF(currency="USD",'Future et co'!D514,IF(currency="EUR",'Future et co'!E514,IF(currency="GBP",'Future et co'!F514,FALSE)))</f>
        <v>RFR USD</v>
      </c>
      <c r="D514" t="str">
        <f t="shared" ca="1" si="36"/>
        <v>RFR USD</v>
      </c>
      <c r="E514" t="str">
        <f t="shared" ca="1" si="37"/>
        <v>RFR EUR</v>
      </c>
      <c r="F514" t="str">
        <f t="shared" ca="1" si="38"/>
        <v>RFR GBP</v>
      </c>
      <c r="J514" s="1"/>
      <c r="N514" s="1"/>
      <c r="R514" s="1"/>
      <c r="V514" s="1"/>
      <c r="AB514" s="1"/>
      <c r="AF514" s="1"/>
      <c r="AJ514" s="1"/>
      <c r="AN514" s="1"/>
      <c r="AS514" s="1"/>
      <c r="AX514" s="1"/>
      <c r="BA514" s="1"/>
      <c r="BC514" s="1"/>
      <c r="BD514" s="1"/>
      <c r="BG514" s="1"/>
      <c r="BJ514" s="1"/>
      <c r="BM514" s="1"/>
      <c r="BP514" s="1"/>
      <c r="BS514" s="1"/>
    </row>
    <row r="515" spans="1:71" x14ac:dyDescent="0.3">
      <c r="A515" s="19">
        <f t="shared" si="39"/>
        <v>46636</v>
      </c>
      <c r="B515">
        <f t="shared" ca="1" si="35"/>
        <v>-1.3444444444444446</v>
      </c>
      <c r="C515" t="str">
        <f ca="1">IF(currency="USD",'Future et co'!D515,IF(currency="EUR",'Future et co'!E515,IF(currency="GBP",'Future et co'!F515,FALSE)))</f>
        <v>RFR USD</v>
      </c>
      <c r="D515" t="str">
        <f t="shared" ca="1" si="36"/>
        <v>RFR USD</v>
      </c>
      <c r="E515" t="str">
        <f t="shared" ca="1" si="37"/>
        <v>RFR EUR</v>
      </c>
      <c r="F515" t="str">
        <f t="shared" ca="1" si="38"/>
        <v>RFR GBP</v>
      </c>
      <c r="J515" s="1"/>
      <c r="N515" s="1"/>
      <c r="R515" s="1"/>
      <c r="V515" s="1"/>
      <c r="AB515" s="1"/>
      <c r="AF515" s="1"/>
      <c r="AJ515" s="1"/>
      <c r="AN515" s="1"/>
      <c r="AS515" s="1"/>
      <c r="AX515" s="1"/>
      <c r="BA515" s="1"/>
      <c r="BC515" s="1"/>
      <c r="BD515" s="1"/>
      <c r="BG515" s="1"/>
      <c r="BJ515" s="1"/>
      <c r="BM515" s="1"/>
      <c r="BP515" s="1"/>
      <c r="BS515" s="1"/>
    </row>
    <row r="516" spans="1:71" x14ac:dyDescent="0.3">
      <c r="A516" s="19">
        <f t="shared" si="39"/>
        <v>46637</v>
      </c>
      <c r="B516">
        <f t="shared" ca="1" si="35"/>
        <v>-1.3472222222222223</v>
      </c>
      <c r="C516" t="str">
        <f ca="1">IF(currency="USD",'Future et co'!D516,IF(currency="EUR",'Future et co'!E516,IF(currency="GBP",'Future et co'!F516,FALSE)))</f>
        <v>RFR USD</v>
      </c>
      <c r="D516" t="str">
        <f t="shared" ca="1" si="36"/>
        <v>RFR USD</v>
      </c>
      <c r="E516" t="str">
        <f t="shared" ca="1" si="37"/>
        <v>RFR EUR</v>
      </c>
      <c r="F516" t="str">
        <f t="shared" ca="1" si="38"/>
        <v>RFR GBP</v>
      </c>
      <c r="J516" s="1"/>
      <c r="N516" s="1"/>
      <c r="R516" s="1"/>
      <c r="V516" s="1"/>
      <c r="AB516" s="1"/>
      <c r="AF516" s="1"/>
      <c r="AJ516" s="1"/>
      <c r="AN516" s="1"/>
      <c r="AS516" s="1"/>
      <c r="AX516" s="1"/>
      <c r="BA516" s="1"/>
      <c r="BC516" s="1"/>
      <c r="BD516" s="1"/>
      <c r="BG516" s="1"/>
      <c r="BJ516" s="1"/>
      <c r="BM516" s="1"/>
      <c r="BP516" s="1"/>
      <c r="BS516" s="1"/>
    </row>
    <row r="517" spans="1:71" x14ac:dyDescent="0.3">
      <c r="A517" s="19">
        <f t="shared" si="39"/>
        <v>46638</v>
      </c>
      <c r="B517">
        <f t="shared" ca="1" si="35"/>
        <v>-1.35</v>
      </c>
      <c r="C517" t="str">
        <f ca="1">IF(currency="USD",'Future et co'!D517,IF(currency="EUR",'Future et co'!E517,IF(currency="GBP",'Future et co'!F517,FALSE)))</f>
        <v>RFR USD</v>
      </c>
      <c r="D517" t="str">
        <f t="shared" ca="1" si="36"/>
        <v>RFR USD</v>
      </c>
      <c r="E517" t="str">
        <f t="shared" ca="1" si="37"/>
        <v>RFR EUR</v>
      </c>
      <c r="F517" t="str">
        <f t="shared" ca="1" si="38"/>
        <v>RFR GBP</v>
      </c>
      <c r="J517" s="1"/>
      <c r="N517" s="1"/>
      <c r="R517" s="1"/>
      <c r="V517" s="1"/>
      <c r="AB517" s="1"/>
      <c r="AF517" s="1"/>
      <c r="AJ517" s="1"/>
      <c r="AN517" s="1"/>
      <c r="AS517" s="1"/>
      <c r="AX517" s="1"/>
      <c r="BA517" s="1"/>
      <c r="BC517" s="1"/>
      <c r="BD517" s="1"/>
      <c r="BG517" s="1"/>
      <c r="BJ517" s="1"/>
      <c r="BM517" s="1"/>
      <c r="BP517" s="1"/>
      <c r="BS517" s="1"/>
    </row>
    <row r="518" spans="1:71" x14ac:dyDescent="0.3">
      <c r="A518" s="19">
        <f t="shared" si="39"/>
        <v>46639</v>
      </c>
      <c r="B518">
        <f t="shared" ca="1" si="35"/>
        <v>-1.3527777777777779</v>
      </c>
      <c r="C518" t="str">
        <f ca="1">IF(currency="USD",'Future et co'!D518,IF(currency="EUR",'Future et co'!E518,IF(currency="GBP",'Future et co'!F518,FALSE)))</f>
        <v>RFR USD</v>
      </c>
      <c r="D518" t="str">
        <f t="shared" ca="1" si="36"/>
        <v>RFR USD</v>
      </c>
      <c r="E518" t="str">
        <f t="shared" ca="1" si="37"/>
        <v>RFR EUR</v>
      </c>
      <c r="F518" t="str">
        <f t="shared" ca="1" si="38"/>
        <v>RFR GBP</v>
      </c>
      <c r="J518" s="1"/>
      <c r="N518" s="1"/>
      <c r="R518" s="1"/>
      <c r="V518" s="1"/>
      <c r="AB518" s="1"/>
      <c r="AF518" s="1"/>
      <c r="AJ518" s="1"/>
      <c r="AN518" s="1"/>
      <c r="AS518" s="1"/>
      <c r="AX518" s="1"/>
      <c r="BA518" s="1"/>
      <c r="BC518" s="1"/>
      <c r="BD518" s="1"/>
      <c r="BG518" s="1"/>
      <c r="BJ518" s="1"/>
      <c r="BM518" s="1"/>
      <c r="BP518" s="1"/>
      <c r="BS518" s="1"/>
    </row>
    <row r="519" spans="1:71" x14ac:dyDescent="0.3">
      <c r="A519" s="19">
        <f t="shared" si="39"/>
        <v>46640</v>
      </c>
      <c r="B519">
        <f t="shared" ca="1" si="35"/>
        <v>-1.3555555555555556</v>
      </c>
      <c r="C519" t="str">
        <f ca="1">IF(currency="USD",'Future et co'!D519,IF(currency="EUR",'Future et co'!E519,IF(currency="GBP",'Future et co'!F519,FALSE)))</f>
        <v>RFR USD</v>
      </c>
      <c r="D519" t="str">
        <f t="shared" ca="1" si="36"/>
        <v>RFR USD</v>
      </c>
      <c r="E519" t="str">
        <f t="shared" ca="1" si="37"/>
        <v>RFR EUR</v>
      </c>
      <c r="F519" t="str">
        <f t="shared" ca="1" si="38"/>
        <v>RFR GBP</v>
      </c>
      <c r="J519" s="1"/>
      <c r="N519" s="1"/>
      <c r="R519" s="1"/>
      <c r="V519" s="1"/>
      <c r="AB519" s="1"/>
      <c r="AF519" s="1"/>
      <c r="AJ519" s="1"/>
      <c r="AN519" s="1"/>
      <c r="AS519" s="1"/>
      <c r="AX519" s="1"/>
      <c r="BA519" s="1"/>
      <c r="BC519" s="1"/>
      <c r="BD519" s="1"/>
      <c r="BG519" s="1"/>
      <c r="BJ519" s="1"/>
      <c r="BM519" s="1"/>
      <c r="BP519" s="1"/>
      <c r="BS519" s="1"/>
    </row>
    <row r="520" spans="1:71" x14ac:dyDescent="0.3">
      <c r="A520" s="19">
        <f t="shared" si="39"/>
        <v>46643</v>
      </c>
      <c r="B520">
        <f t="shared" ca="1" si="35"/>
        <v>-1.3638888888888889</v>
      </c>
      <c r="C520" t="str">
        <f ca="1">IF(currency="USD",'Future et co'!D520,IF(currency="EUR",'Future et co'!E520,IF(currency="GBP",'Future et co'!F520,FALSE)))</f>
        <v>RFR USD</v>
      </c>
      <c r="D520" t="str">
        <f t="shared" ca="1" si="36"/>
        <v>RFR USD</v>
      </c>
      <c r="E520" t="str">
        <f t="shared" ca="1" si="37"/>
        <v>RFR EUR</v>
      </c>
      <c r="F520" t="str">
        <f t="shared" ca="1" si="38"/>
        <v>RFR GBP</v>
      </c>
      <c r="J520" s="1"/>
      <c r="N520" s="1"/>
      <c r="R520" s="1"/>
      <c r="V520" s="1"/>
      <c r="AB520" s="1"/>
      <c r="AF520" s="1"/>
      <c r="AJ520" s="1"/>
      <c r="AN520" s="1"/>
      <c r="AS520" s="1"/>
      <c r="AX520" s="1"/>
      <c r="BA520" s="1"/>
      <c r="BC520" s="1"/>
      <c r="BD520" s="1"/>
      <c r="BG520" s="1"/>
      <c r="BJ520" s="1"/>
      <c r="BM520" s="1"/>
      <c r="BP520" s="1"/>
      <c r="BS520" s="1"/>
    </row>
    <row r="521" spans="1:71" x14ac:dyDescent="0.3">
      <c r="A521" s="19">
        <f t="shared" si="39"/>
        <v>46644</v>
      </c>
      <c r="B521">
        <f t="shared" ca="1" si="35"/>
        <v>-1.3666666666666667</v>
      </c>
      <c r="C521" t="str">
        <f ca="1">IF(currency="USD",'Future et co'!D521,IF(currency="EUR",'Future et co'!E521,IF(currency="GBP",'Future et co'!F521,FALSE)))</f>
        <v>RFR USD</v>
      </c>
      <c r="D521" t="str">
        <f t="shared" ca="1" si="36"/>
        <v>RFR USD</v>
      </c>
      <c r="E521" t="str">
        <f t="shared" ca="1" si="37"/>
        <v>RFR EUR</v>
      </c>
      <c r="F521" t="str">
        <f t="shared" ca="1" si="38"/>
        <v>RFR GBP</v>
      </c>
      <c r="J521" s="1"/>
      <c r="N521" s="1"/>
      <c r="R521" s="1"/>
      <c r="V521" s="1"/>
      <c r="AB521" s="1"/>
      <c r="AF521" s="1"/>
      <c r="AJ521" s="1"/>
      <c r="AN521" s="1"/>
      <c r="AS521" s="1"/>
      <c r="AX521" s="1"/>
      <c r="BA521" s="1"/>
      <c r="BC521" s="1"/>
      <c r="BD521" s="1"/>
      <c r="BG521" s="1"/>
      <c r="BJ521" s="1"/>
      <c r="BM521" s="1"/>
      <c r="BP521" s="1"/>
      <c r="BS521" s="1"/>
    </row>
    <row r="522" spans="1:71" x14ac:dyDescent="0.3">
      <c r="A522" s="19">
        <f t="shared" si="39"/>
        <v>46645</v>
      </c>
      <c r="B522">
        <f t="shared" ca="1" si="35"/>
        <v>-1.3694444444444445</v>
      </c>
      <c r="C522" t="str">
        <f ca="1">IF(currency="USD",'Future et co'!D522,IF(currency="EUR",'Future et co'!E522,IF(currency="GBP",'Future et co'!F522,FALSE)))</f>
        <v>RFR USD</v>
      </c>
      <c r="D522" t="str">
        <f t="shared" ca="1" si="36"/>
        <v>RFR USD</v>
      </c>
      <c r="E522" t="str">
        <f t="shared" ca="1" si="37"/>
        <v>RFR EUR</v>
      </c>
      <c r="F522" t="str">
        <f t="shared" ca="1" si="38"/>
        <v>RFR GBP</v>
      </c>
      <c r="J522" s="1"/>
      <c r="N522" s="1"/>
      <c r="R522" s="1"/>
      <c r="V522" s="1"/>
      <c r="AB522" s="1"/>
      <c r="AF522" s="1"/>
      <c r="AJ522" s="1"/>
      <c r="AN522" s="1"/>
      <c r="AS522" s="1"/>
      <c r="AX522" s="1"/>
      <c r="BA522" s="1"/>
      <c r="BC522" s="1"/>
      <c r="BD522" s="1"/>
      <c r="BG522" s="1"/>
      <c r="BJ522" s="1"/>
      <c r="BM522" s="1"/>
      <c r="BP522" s="1"/>
      <c r="BS522" s="1"/>
    </row>
    <row r="523" spans="1:71" x14ac:dyDescent="0.3">
      <c r="A523" s="19">
        <f t="shared" si="39"/>
        <v>46646</v>
      </c>
      <c r="B523">
        <f t="shared" ref="B523:B586" ca="1" si="40">($B$7-A523)/360</f>
        <v>-1.3722222222222222</v>
      </c>
      <c r="C523" t="str">
        <f ca="1">IF(currency="USD",'Future et co'!D523,IF(currency="EUR",'Future et co'!E523,IF(currency="GBP",'Future et co'!F523,FALSE)))</f>
        <v>RFR USD</v>
      </c>
      <c r="D523" t="str">
        <f t="shared" ref="D523:D586" ca="1" si="41">IFERROR(IF(B523&lt;0.25,VLOOKUP(A523,$J$11:$L$5325,3,FALSE),IF(AND(B523&gt;=0.25,B523&lt;0.5),VLOOKUP(A523,$N$11:$P$5325,3,FALSE),IF(AND(B523&gt;=0.5,B523&lt;1),VLOOKUP(A523,$R$11:$T$5325,3,FALSE),VLOOKUP(A523,$V$11:$X$5010,3,FALSE)))),D522)</f>
        <v>RFR USD</v>
      </c>
      <c r="E523" t="str">
        <f t="shared" ref="E523:E586" ca="1" si="42">IFERROR(IF(B523&lt;0.25,VLOOKUP(A523,$AF$11:$AH$5325,3,FALSE),IF(AND(B523&gt;=0.25,B523&lt;0.5),VLOOKUP(A523,$AJ$11:$AL$5325,3,FALSE),VLOOKUP(A523,$AN$11:$AP$5325,3,FALSE))),E522)</f>
        <v>RFR EUR</v>
      </c>
      <c r="F523" t="str">
        <f t="shared" ref="F523:F586" ca="1" si="43">IFERROR(VLOOKUP(A523,$AS$11:$AU$9999,3,FALSE),F522)</f>
        <v>RFR GBP</v>
      </c>
      <c r="J523" s="1"/>
      <c r="N523" s="1"/>
      <c r="R523" s="1"/>
      <c r="V523" s="1"/>
      <c r="AB523" s="1"/>
      <c r="AF523" s="1"/>
      <c r="AJ523" s="1"/>
      <c r="AN523" s="1"/>
      <c r="AS523" s="1"/>
      <c r="AX523" s="1"/>
      <c r="BA523" s="1"/>
      <c r="BC523" s="1"/>
      <c r="BD523" s="1"/>
      <c r="BG523" s="1"/>
      <c r="BJ523" s="1"/>
      <c r="BM523" s="1"/>
      <c r="BP523" s="1"/>
      <c r="BS523" s="1"/>
    </row>
    <row r="524" spans="1:71" x14ac:dyDescent="0.3">
      <c r="A524" s="19">
        <f t="shared" si="39"/>
        <v>46647</v>
      </c>
      <c r="B524">
        <f t="shared" ca="1" si="40"/>
        <v>-1.375</v>
      </c>
      <c r="C524" t="str">
        <f ca="1">IF(currency="USD",'Future et co'!D524,IF(currency="EUR",'Future et co'!E524,IF(currency="GBP",'Future et co'!F524,FALSE)))</f>
        <v>RFR USD</v>
      </c>
      <c r="D524" t="str">
        <f t="shared" ca="1" si="41"/>
        <v>RFR USD</v>
      </c>
      <c r="E524" t="str">
        <f t="shared" ca="1" si="42"/>
        <v>RFR EUR</v>
      </c>
      <c r="F524" t="str">
        <f t="shared" ca="1" si="43"/>
        <v>RFR GBP</v>
      </c>
      <c r="J524" s="1"/>
      <c r="N524" s="1"/>
      <c r="R524" s="1"/>
      <c r="V524" s="1"/>
      <c r="AB524" s="1"/>
      <c r="AF524" s="1"/>
      <c r="AJ524" s="1"/>
      <c r="AN524" s="1"/>
      <c r="AS524" s="1"/>
      <c r="AX524" s="1"/>
      <c r="BA524" s="1"/>
      <c r="BC524" s="1"/>
      <c r="BD524" s="1"/>
      <c r="BG524" s="1"/>
      <c r="BJ524" s="1"/>
      <c r="BM524" s="1"/>
      <c r="BP524" s="1"/>
      <c r="BS524" s="1"/>
    </row>
    <row r="525" spans="1:71" x14ac:dyDescent="0.3">
      <c r="A525" s="19">
        <f t="shared" ref="A525:A588" si="44">WORKDAY(A524,1)</f>
        <v>46650</v>
      </c>
      <c r="B525">
        <f t="shared" ca="1" si="40"/>
        <v>-1.3833333333333333</v>
      </c>
      <c r="C525" t="str">
        <f ca="1">IF(currency="USD",'Future et co'!D525,IF(currency="EUR",'Future et co'!E525,IF(currency="GBP",'Future et co'!F525,FALSE)))</f>
        <v>RFR USD</v>
      </c>
      <c r="D525" t="str">
        <f t="shared" ca="1" si="41"/>
        <v>RFR USD</v>
      </c>
      <c r="E525" t="str">
        <f t="shared" ca="1" si="42"/>
        <v>RFR EUR</v>
      </c>
      <c r="F525" t="str">
        <f t="shared" ca="1" si="43"/>
        <v>RFR GBP</v>
      </c>
      <c r="J525" s="1"/>
      <c r="N525" s="1"/>
      <c r="R525" s="1"/>
      <c r="V525" s="1"/>
      <c r="AB525" s="1"/>
      <c r="AF525" s="1"/>
      <c r="AJ525" s="1"/>
      <c r="AN525" s="1"/>
      <c r="AS525" s="1"/>
      <c r="AX525" s="1"/>
      <c r="BA525" s="1"/>
      <c r="BC525" s="1"/>
      <c r="BD525" s="1"/>
      <c r="BG525" s="1"/>
      <c r="BJ525" s="1"/>
      <c r="BM525" s="1"/>
      <c r="BP525" s="1"/>
      <c r="BS525" s="1"/>
    </row>
    <row r="526" spans="1:71" x14ac:dyDescent="0.3">
      <c r="A526" s="19">
        <f t="shared" si="44"/>
        <v>46651</v>
      </c>
      <c r="B526">
        <f t="shared" ca="1" si="40"/>
        <v>-1.3861111111111111</v>
      </c>
      <c r="C526" t="str">
        <f ca="1">IF(currency="USD",'Future et co'!D526,IF(currency="EUR",'Future et co'!E526,IF(currency="GBP",'Future et co'!F526,FALSE)))</f>
        <v>RFR USD</v>
      </c>
      <c r="D526" t="str">
        <f t="shared" ca="1" si="41"/>
        <v>RFR USD</v>
      </c>
      <c r="E526" t="str">
        <f t="shared" ca="1" si="42"/>
        <v>RFR EUR</v>
      </c>
      <c r="F526" t="str">
        <f t="shared" ca="1" si="43"/>
        <v>RFR GBP</v>
      </c>
      <c r="J526" s="1"/>
      <c r="N526" s="1"/>
      <c r="R526" s="1"/>
      <c r="V526" s="1"/>
      <c r="AB526" s="1"/>
      <c r="AF526" s="1"/>
      <c r="AJ526" s="1"/>
      <c r="AN526" s="1"/>
      <c r="AS526" s="1"/>
      <c r="AX526" s="1"/>
      <c r="BA526" s="1"/>
      <c r="BC526" s="1"/>
      <c r="BD526" s="1"/>
      <c r="BG526" s="1"/>
      <c r="BJ526" s="1"/>
      <c r="BM526" s="1"/>
      <c r="BP526" s="1"/>
      <c r="BS526" s="1"/>
    </row>
    <row r="527" spans="1:71" x14ac:dyDescent="0.3">
      <c r="A527" s="19">
        <f t="shared" si="44"/>
        <v>46652</v>
      </c>
      <c r="B527">
        <f t="shared" ca="1" si="40"/>
        <v>-1.3888888888888888</v>
      </c>
      <c r="C527" t="str">
        <f ca="1">IF(currency="USD",'Future et co'!D527,IF(currency="EUR",'Future et co'!E527,IF(currency="GBP",'Future et co'!F527,FALSE)))</f>
        <v>RFR USD</v>
      </c>
      <c r="D527" t="str">
        <f t="shared" ca="1" si="41"/>
        <v>RFR USD</v>
      </c>
      <c r="E527" t="str">
        <f t="shared" ca="1" si="42"/>
        <v>RFR EUR</v>
      </c>
      <c r="F527" t="str">
        <f t="shared" ca="1" si="43"/>
        <v>RFR GBP</v>
      </c>
      <c r="J527" s="1"/>
      <c r="N527" s="1"/>
      <c r="R527" s="1"/>
      <c r="V527" s="1"/>
      <c r="AB527" s="1"/>
      <c r="AF527" s="1"/>
      <c r="AJ527" s="1"/>
      <c r="AN527" s="1"/>
      <c r="AS527" s="1"/>
      <c r="AX527" s="1"/>
      <c r="BA527" s="1"/>
      <c r="BC527" s="1"/>
      <c r="BD527" s="1"/>
      <c r="BG527" s="1"/>
      <c r="BJ527" s="1"/>
      <c r="BM527" s="1"/>
      <c r="BP527" s="1"/>
      <c r="BS527" s="1"/>
    </row>
    <row r="528" spans="1:71" x14ac:dyDescent="0.3">
      <c r="A528" s="19">
        <f t="shared" si="44"/>
        <v>46653</v>
      </c>
      <c r="B528">
        <f t="shared" ca="1" si="40"/>
        <v>-1.3916666666666666</v>
      </c>
      <c r="C528" t="str">
        <f ca="1">IF(currency="USD",'Future et co'!D528,IF(currency="EUR",'Future et co'!E528,IF(currency="GBP",'Future et co'!F528,FALSE)))</f>
        <v>RFR USD</v>
      </c>
      <c r="D528" t="str">
        <f t="shared" ca="1" si="41"/>
        <v>RFR USD</v>
      </c>
      <c r="E528" t="str">
        <f t="shared" ca="1" si="42"/>
        <v>RFR EUR</v>
      </c>
      <c r="F528" t="str">
        <f t="shared" ca="1" si="43"/>
        <v>RFR GBP</v>
      </c>
      <c r="J528" s="1"/>
      <c r="N528" s="1"/>
      <c r="R528" s="1"/>
      <c r="V528" s="1"/>
      <c r="AB528" s="1"/>
      <c r="AF528" s="1"/>
      <c r="AJ528" s="1"/>
      <c r="AN528" s="1"/>
      <c r="AS528" s="1"/>
      <c r="AX528" s="1"/>
      <c r="BA528" s="1"/>
      <c r="BC528" s="1"/>
      <c r="BD528" s="1"/>
      <c r="BG528" s="1"/>
      <c r="BJ528" s="1"/>
      <c r="BM528" s="1"/>
      <c r="BP528" s="1"/>
      <c r="BS528" s="1"/>
    </row>
    <row r="529" spans="1:71" x14ac:dyDescent="0.3">
      <c r="A529" s="19">
        <f t="shared" si="44"/>
        <v>46654</v>
      </c>
      <c r="B529">
        <f t="shared" ca="1" si="40"/>
        <v>-1.3944444444444444</v>
      </c>
      <c r="C529" t="str">
        <f ca="1">IF(currency="USD",'Future et co'!D529,IF(currency="EUR",'Future et co'!E529,IF(currency="GBP",'Future et co'!F529,FALSE)))</f>
        <v>RFR USD</v>
      </c>
      <c r="D529" t="str">
        <f t="shared" ca="1" si="41"/>
        <v>RFR USD</v>
      </c>
      <c r="E529" t="str">
        <f t="shared" ca="1" si="42"/>
        <v>RFR EUR</v>
      </c>
      <c r="F529" t="str">
        <f t="shared" ca="1" si="43"/>
        <v>RFR GBP</v>
      </c>
      <c r="J529" s="1"/>
      <c r="N529" s="1"/>
      <c r="R529" s="1"/>
      <c r="V529" s="1"/>
      <c r="AB529" s="1"/>
      <c r="AF529" s="1"/>
      <c r="AJ529" s="1"/>
      <c r="AN529" s="1"/>
      <c r="AS529" s="1"/>
      <c r="AX529" s="1"/>
      <c r="BA529" s="1"/>
      <c r="BC529" s="1"/>
      <c r="BD529" s="1"/>
      <c r="BG529" s="1"/>
      <c r="BJ529" s="1"/>
      <c r="BM529" s="1"/>
      <c r="BP529" s="1"/>
      <c r="BS529" s="1"/>
    </row>
    <row r="530" spans="1:71" x14ac:dyDescent="0.3">
      <c r="A530" s="19">
        <f t="shared" si="44"/>
        <v>46657</v>
      </c>
      <c r="B530">
        <f t="shared" ca="1" si="40"/>
        <v>-1.4027777777777777</v>
      </c>
      <c r="C530" t="str">
        <f ca="1">IF(currency="USD",'Future et co'!D530,IF(currency="EUR",'Future et co'!E530,IF(currency="GBP",'Future et co'!F530,FALSE)))</f>
        <v>RFR USD</v>
      </c>
      <c r="D530" t="str">
        <f t="shared" ca="1" si="41"/>
        <v>RFR USD</v>
      </c>
      <c r="E530" t="str">
        <f t="shared" ca="1" si="42"/>
        <v>RFR EUR</v>
      </c>
      <c r="F530" t="str">
        <f t="shared" ca="1" si="43"/>
        <v>RFR GBP</v>
      </c>
      <c r="J530" s="1"/>
      <c r="N530" s="1"/>
      <c r="R530" s="1"/>
      <c r="V530" s="1"/>
      <c r="AB530" s="1"/>
      <c r="AF530" s="1"/>
      <c r="AJ530" s="1"/>
      <c r="AN530" s="1"/>
      <c r="AS530" s="1"/>
      <c r="AX530" s="1"/>
      <c r="BA530" s="1"/>
      <c r="BC530" s="1"/>
      <c r="BD530" s="1"/>
      <c r="BG530" s="1"/>
      <c r="BJ530" s="1"/>
      <c r="BM530" s="1"/>
      <c r="BP530" s="1"/>
      <c r="BS530" s="1"/>
    </row>
    <row r="531" spans="1:71" x14ac:dyDescent="0.3">
      <c r="A531" s="19">
        <f t="shared" si="44"/>
        <v>46658</v>
      </c>
      <c r="B531">
        <f t="shared" ca="1" si="40"/>
        <v>-1.4055555555555554</v>
      </c>
      <c r="C531" t="str">
        <f ca="1">IF(currency="USD",'Future et co'!D531,IF(currency="EUR",'Future et co'!E531,IF(currency="GBP",'Future et co'!F531,FALSE)))</f>
        <v>RFR USD</v>
      </c>
      <c r="D531" t="str">
        <f t="shared" ca="1" si="41"/>
        <v>RFR USD</v>
      </c>
      <c r="E531" t="str">
        <f t="shared" ca="1" si="42"/>
        <v>RFR EUR</v>
      </c>
      <c r="F531" t="str">
        <f t="shared" ca="1" si="43"/>
        <v>RFR GBP</v>
      </c>
      <c r="J531" s="1"/>
      <c r="N531" s="1"/>
      <c r="R531" s="1"/>
      <c r="V531" s="1"/>
      <c r="AB531" s="1"/>
      <c r="AF531" s="1"/>
      <c r="AJ531" s="1"/>
      <c r="AN531" s="1"/>
      <c r="AS531" s="1"/>
      <c r="AX531" s="1"/>
      <c r="BA531" s="1"/>
      <c r="BC531" s="1"/>
      <c r="BD531" s="1"/>
      <c r="BG531" s="1"/>
      <c r="BJ531" s="1"/>
      <c r="BM531" s="1"/>
      <c r="BP531" s="1"/>
      <c r="BS531" s="1"/>
    </row>
    <row r="532" spans="1:71" x14ac:dyDescent="0.3">
      <c r="A532" s="19">
        <f t="shared" si="44"/>
        <v>46659</v>
      </c>
      <c r="B532">
        <f t="shared" ca="1" si="40"/>
        <v>-1.4083333333333334</v>
      </c>
      <c r="C532" t="str">
        <f ca="1">IF(currency="USD",'Future et co'!D532,IF(currency="EUR",'Future et co'!E532,IF(currency="GBP",'Future et co'!F532,FALSE)))</f>
        <v>RFR USD</v>
      </c>
      <c r="D532" t="str">
        <f t="shared" ca="1" si="41"/>
        <v>RFR USD</v>
      </c>
      <c r="E532" t="str">
        <f t="shared" ca="1" si="42"/>
        <v>RFR EUR</v>
      </c>
      <c r="F532" t="str">
        <f t="shared" ca="1" si="43"/>
        <v>RFR GBP</v>
      </c>
      <c r="J532" s="1"/>
      <c r="N532" s="1"/>
      <c r="R532" s="1"/>
      <c r="V532" s="1"/>
      <c r="AB532" s="1"/>
      <c r="AF532" s="1"/>
      <c r="AJ532" s="1"/>
      <c r="AN532" s="1"/>
      <c r="AS532" s="1"/>
      <c r="AX532" s="1"/>
      <c r="BA532" s="1"/>
      <c r="BC532" s="1"/>
      <c r="BD532" s="1"/>
      <c r="BG532" s="1"/>
      <c r="BJ532" s="1"/>
      <c r="BM532" s="1"/>
      <c r="BP532" s="1"/>
      <c r="BS532" s="1"/>
    </row>
    <row r="533" spans="1:71" x14ac:dyDescent="0.3">
      <c r="A533" s="19">
        <f t="shared" si="44"/>
        <v>46660</v>
      </c>
      <c r="B533">
        <f t="shared" ca="1" si="40"/>
        <v>-1.4111111111111112</v>
      </c>
      <c r="C533" t="str">
        <f ca="1">IF(currency="USD",'Future et co'!D533,IF(currency="EUR",'Future et co'!E533,IF(currency="GBP",'Future et co'!F533,FALSE)))</f>
        <v>RFR USD</v>
      </c>
      <c r="D533" t="str">
        <f t="shared" ca="1" si="41"/>
        <v>RFR USD</v>
      </c>
      <c r="E533" t="str">
        <f t="shared" ca="1" si="42"/>
        <v>RFR EUR</v>
      </c>
      <c r="F533" t="str">
        <f t="shared" ca="1" si="43"/>
        <v>RFR GBP</v>
      </c>
      <c r="J533" s="1"/>
      <c r="N533" s="1"/>
      <c r="R533" s="1"/>
      <c r="V533" s="1"/>
      <c r="AB533" s="1"/>
      <c r="AF533" s="1"/>
      <c r="AJ533" s="1"/>
      <c r="AN533" s="1"/>
      <c r="AS533" s="1"/>
      <c r="AX533" s="1"/>
      <c r="BA533" s="1"/>
      <c r="BC533" s="1"/>
      <c r="BD533" s="1"/>
      <c r="BG533" s="1"/>
      <c r="BJ533" s="1"/>
      <c r="BM533" s="1"/>
      <c r="BP533" s="1"/>
      <c r="BS533" s="1"/>
    </row>
    <row r="534" spans="1:71" x14ac:dyDescent="0.3">
      <c r="A534" s="19">
        <f t="shared" si="44"/>
        <v>46661</v>
      </c>
      <c r="B534">
        <f t="shared" ca="1" si="40"/>
        <v>-1.413888888888889</v>
      </c>
      <c r="C534" t="str">
        <f ca="1">IF(currency="USD",'Future et co'!D534,IF(currency="EUR",'Future et co'!E534,IF(currency="GBP",'Future et co'!F534,FALSE)))</f>
        <v>RFR USD</v>
      </c>
      <c r="D534" t="str">
        <f t="shared" ca="1" si="41"/>
        <v>RFR USD</v>
      </c>
      <c r="E534" t="str">
        <f t="shared" ca="1" si="42"/>
        <v>RFR EUR</v>
      </c>
      <c r="F534" t="str">
        <f t="shared" ca="1" si="43"/>
        <v>RFR GBP</v>
      </c>
      <c r="J534" s="1"/>
      <c r="N534" s="1"/>
      <c r="R534" s="1"/>
      <c r="V534" s="1"/>
      <c r="AB534" s="1"/>
      <c r="AF534" s="1"/>
      <c r="AJ534" s="1"/>
      <c r="AN534" s="1"/>
      <c r="AS534" s="1"/>
      <c r="AX534" s="1"/>
      <c r="BA534" s="1"/>
      <c r="BC534" s="1"/>
      <c r="BD534" s="1"/>
      <c r="BG534" s="1"/>
      <c r="BJ534" s="1"/>
      <c r="BM534" s="1"/>
      <c r="BP534" s="1"/>
      <c r="BS534" s="1"/>
    </row>
    <row r="535" spans="1:71" x14ac:dyDescent="0.3">
      <c r="A535" s="19">
        <f t="shared" si="44"/>
        <v>46664</v>
      </c>
      <c r="B535">
        <f t="shared" ca="1" si="40"/>
        <v>-1.4222222222222223</v>
      </c>
      <c r="C535" t="str">
        <f ca="1">IF(currency="USD",'Future et co'!D535,IF(currency="EUR",'Future et co'!E535,IF(currency="GBP",'Future et co'!F535,FALSE)))</f>
        <v>RFR USD</v>
      </c>
      <c r="D535" t="str">
        <f t="shared" ca="1" si="41"/>
        <v>RFR USD</v>
      </c>
      <c r="E535" t="str">
        <f t="shared" ca="1" si="42"/>
        <v>RFR EUR</v>
      </c>
      <c r="F535" t="str">
        <f t="shared" ca="1" si="43"/>
        <v>RFR GBP</v>
      </c>
      <c r="J535" s="1"/>
      <c r="N535" s="1"/>
      <c r="R535" s="1"/>
      <c r="V535" s="1"/>
      <c r="AB535" s="1"/>
      <c r="AF535" s="1"/>
      <c r="AJ535" s="1"/>
      <c r="AN535" s="1"/>
      <c r="AS535" s="1"/>
      <c r="AX535" s="1"/>
      <c r="BA535" s="1"/>
      <c r="BC535" s="1"/>
      <c r="BD535" s="1"/>
      <c r="BG535" s="1"/>
      <c r="BJ535" s="1"/>
      <c r="BM535" s="1"/>
      <c r="BP535" s="1"/>
      <c r="BS535" s="1"/>
    </row>
    <row r="536" spans="1:71" x14ac:dyDescent="0.3">
      <c r="A536" s="19">
        <f t="shared" si="44"/>
        <v>46665</v>
      </c>
      <c r="B536">
        <f t="shared" ca="1" si="40"/>
        <v>-1.425</v>
      </c>
      <c r="C536" t="str">
        <f ca="1">IF(currency="USD",'Future et co'!D536,IF(currency="EUR",'Future et co'!E536,IF(currency="GBP",'Future et co'!F536,FALSE)))</f>
        <v>RFR USD</v>
      </c>
      <c r="D536" t="str">
        <f t="shared" ca="1" si="41"/>
        <v>RFR USD</v>
      </c>
      <c r="E536" t="str">
        <f t="shared" ca="1" si="42"/>
        <v>RFR EUR</v>
      </c>
      <c r="F536" t="str">
        <f t="shared" ca="1" si="43"/>
        <v>RFR GBP</v>
      </c>
      <c r="J536" s="1"/>
      <c r="N536" s="1"/>
      <c r="R536" s="1"/>
      <c r="V536" s="1"/>
      <c r="AB536" s="1"/>
      <c r="AF536" s="1"/>
      <c r="AJ536" s="1"/>
      <c r="AN536" s="1"/>
      <c r="AS536" s="1"/>
      <c r="AX536" s="1"/>
      <c r="BA536" s="1"/>
      <c r="BC536" s="1"/>
      <c r="BD536" s="1"/>
      <c r="BG536" s="1"/>
      <c r="BJ536" s="1"/>
      <c r="BM536" s="1"/>
      <c r="BP536" s="1"/>
      <c r="BS536" s="1"/>
    </row>
    <row r="537" spans="1:71" x14ac:dyDescent="0.3">
      <c r="A537" s="19">
        <f t="shared" si="44"/>
        <v>46666</v>
      </c>
      <c r="B537">
        <f t="shared" ca="1" si="40"/>
        <v>-1.4277777777777778</v>
      </c>
      <c r="C537" t="str">
        <f ca="1">IF(currency="USD",'Future et co'!D537,IF(currency="EUR",'Future et co'!E537,IF(currency="GBP",'Future et co'!F537,FALSE)))</f>
        <v>RFR USD</v>
      </c>
      <c r="D537" t="str">
        <f t="shared" ca="1" si="41"/>
        <v>RFR USD</v>
      </c>
      <c r="E537" t="str">
        <f t="shared" ca="1" si="42"/>
        <v>RFR EUR</v>
      </c>
      <c r="F537" t="str">
        <f t="shared" ca="1" si="43"/>
        <v>RFR GBP</v>
      </c>
      <c r="J537" s="1"/>
      <c r="N537" s="1"/>
      <c r="R537" s="1"/>
      <c r="V537" s="1"/>
      <c r="AB537" s="1"/>
      <c r="AF537" s="1"/>
      <c r="AJ537" s="1"/>
      <c r="AN537" s="1"/>
      <c r="AS537" s="1"/>
      <c r="AX537" s="1"/>
      <c r="BA537" s="1"/>
      <c r="BC537" s="1"/>
      <c r="BD537" s="1"/>
      <c r="BG537" s="1"/>
      <c r="BJ537" s="1"/>
      <c r="BM537" s="1"/>
      <c r="BP537" s="1"/>
      <c r="BS537" s="1"/>
    </row>
    <row r="538" spans="1:71" x14ac:dyDescent="0.3">
      <c r="A538" s="19">
        <f t="shared" si="44"/>
        <v>46667</v>
      </c>
      <c r="B538">
        <f t="shared" ca="1" si="40"/>
        <v>-1.4305555555555556</v>
      </c>
      <c r="C538" t="str">
        <f ca="1">IF(currency="USD",'Future et co'!D538,IF(currency="EUR",'Future et co'!E538,IF(currency="GBP",'Future et co'!F538,FALSE)))</f>
        <v>RFR USD</v>
      </c>
      <c r="D538" t="str">
        <f t="shared" ca="1" si="41"/>
        <v>RFR USD</v>
      </c>
      <c r="E538" t="str">
        <f t="shared" ca="1" si="42"/>
        <v>RFR EUR</v>
      </c>
      <c r="F538" t="str">
        <f t="shared" ca="1" si="43"/>
        <v>RFR GBP</v>
      </c>
      <c r="J538" s="1"/>
      <c r="N538" s="1"/>
      <c r="R538" s="1"/>
      <c r="V538" s="1"/>
      <c r="AB538" s="1"/>
      <c r="AF538" s="1"/>
      <c r="AJ538" s="1"/>
      <c r="AN538" s="1"/>
      <c r="AS538" s="1"/>
      <c r="AX538" s="1"/>
      <c r="BA538" s="1"/>
      <c r="BC538" s="1"/>
      <c r="BD538" s="1"/>
      <c r="BG538" s="1"/>
      <c r="BJ538" s="1"/>
      <c r="BM538" s="1"/>
      <c r="BP538" s="1"/>
      <c r="BS538" s="1"/>
    </row>
    <row r="539" spans="1:71" x14ac:dyDescent="0.3">
      <c r="A539" s="19">
        <f t="shared" si="44"/>
        <v>46668</v>
      </c>
      <c r="B539">
        <f t="shared" ca="1" si="40"/>
        <v>-1.4333333333333333</v>
      </c>
      <c r="C539" t="str">
        <f ca="1">IF(currency="USD",'Future et co'!D539,IF(currency="EUR",'Future et co'!E539,IF(currency="GBP",'Future et co'!F539,FALSE)))</f>
        <v>RFR USD</v>
      </c>
      <c r="D539" t="str">
        <f t="shared" ca="1" si="41"/>
        <v>RFR USD</v>
      </c>
      <c r="E539" t="str">
        <f t="shared" ca="1" si="42"/>
        <v>RFR EUR</v>
      </c>
      <c r="F539" t="str">
        <f t="shared" ca="1" si="43"/>
        <v>RFR GBP</v>
      </c>
      <c r="J539" s="1"/>
      <c r="N539" s="1"/>
      <c r="R539" s="1"/>
      <c r="V539" s="1"/>
      <c r="AB539" s="1"/>
      <c r="AF539" s="1"/>
      <c r="AJ539" s="1"/>
      <c r="AN539" s="1"/>
      <c r="AS539" s="1"/>
      <c r="AX539" s="1"/>
      <c r="BA539" s="1"/>
      <c r="BC539" s="1"/>
      <c r="BD539" s="1"/>
      <c r="BG539" s="1"/>
      <c r="BJ539" s="1"/>
      <c r="BM539" s="1"/>
      <c r="BP539" s="1"/>
      <c r="BS539" s="1"/>
    </row>
    <row r="540" spans="1:71" x14ac:dyDescent="0.3">
      <c r="A540" s="19">
        <f t="shared" si="44"/>
        <v>46671</v>
      </c>
      <c r="B540">
        <f t="shared" ca="1" si="40"/>
        <v>-1.4416666666666667</v>
      </c>
      <c r="C540" t="str">
        <f ca="1">IF(currency="USD",'Future et co'!D540,IF(currency="EUR",'Future et co'!E540,IF(currency="GBP",'Future et co'!F540,FALSE)))</f>
        <v>RFR USD</v>
      </c>
      <c r="D540" t="str">
        <f t="shared" ca="1" si="41"/>
        <v>RFR USD</v>
      </c>
      <c r="E540" t="str">
        <f t="shared" ca="1" si="42"/>
        <v>RFR EUR</v>
      </c>
      <c r="F540" t="str">
        <f t="shared" ca="1" si="43"/>
        <v>RFR GBP</v>
      </c>
      <c r="J540" s="1"/>
      <c r="N540" s="1"/>
      <c r="R540" s="1"/>
      <c r="V540" s="1"/>
      <c r="AB540" s="1"/>
      <c r="AF540" s="1"/>
      <c r="AJ540" s="1"/>
      <c r="AN540" s="1"/>
      <c r="AS540" s="1"/>
      <c r="AX540" s="1"/>
      <c r="BA540" s="1"/>
      <c r="BC540" s="1"/>
      <c r="BD540" s="1"/>
      <c r="BG540" s="1"/>
      <c r="BJ540" s="1"/>
      <c r="BM540" s="1"/>
      <c r="BP540" s="1"/>
      <c r="BS540" s="1"/>
    </row>
    <row r="541" spans="1:71" x14ac:dyDescent="0.3">
      <c r="A541" s="19">
        <f t="shared" si="44"/>
        <v>46672</v>
      </c>
      <c r="B541">
        <f t="shared" ca="1" si="40"/>
        <v>-1.4444444444444444</v>
      </c>
      <c r="C541" t="str">
        <f ca="1">IF(currency="USD",'Future et co'!D541,IF(currency="EUR",'Future et co'!E541,IF(currency="GBP",'Future et co'!F541,FALSE)))</f>
        <v>RFR USD</v>
      </c>
      <c r="D541" t="str">
        <f t="shared" ca="1" si="41"/>
        <v>RFR USD</v>
      </c>
      <c r="E541" t="str">
        <f t="shared" ca="1" si="42"/>
        <v>RFR EUR</v>
      </c>
      <c r="F541" t="str">
        <f t="shared" ca="1" si="43"/>
        <v>RFR GBP</v>
      </c>
      <c r="J541" s="1"/>
      <c r="N541" s="1"/>
      <c r="R541" s="1"/>
      <c r="V541" s="1"/>
      <c r="AB541" s="1"/>
      <c r="AF541" s="1"/>
      <c r="AJ541" s="1"/>
      <c r="AN541" s="1"/>
      <c r="AS541" s="1"/>
      <c r="AX541" s="1"/>
      <c r="BA541" s="1"/>
      <c r="BC541" s="1"/>
      <c r="BD541" s="1"/>
      <c r="BG541" s="1"/>
      <c r="BJ541" s="1"/>
      <c r="BM541" s="1"/>
      <c r="BP541" s="1"/>
      <c r="BS541" s="1"/>
    </row>
    <row r="542" spans="1:71" x14ac:dyDescent="0.3">
      <c r="A542" s="19">
        <f t="shared" si="44"/>
        <v>46673</v>
      </c>
      <c r="B542">
        <f t="shared" ca="1" si="40"/>
        <v>-1.4472222222222222</v>
      </c>
      <c r="C542" t="str">
        <f ca="1">IF(currency="USD",'Future et co'!D542,IF(currency="EUR",'Future et co'!E542,IF(currency="GBP",'Future et co'!F542,FALSE)))</f>
        <v>RFR USD</v>
      </c>
      <c r="D542" t="str">
        <f t="shared" ca="1" si="41"/>
        <v>RFR USD</v>
      </c>
      <c r="E542" t="str">
        <f t="shared" ca="1" si="42"/>
        <v>RFR EUR</v>
      </c>
      <c r="F542" t="str">
        <f t="shared" ca="1" si="43"/>
        <v>RFR GBP</v>
      </c>
      <c r="J542" s="1"/>
      <c r="N542" s="1"/>
      <c r="R542" s="1"/>
      <c r="V542" s="1"/>
      <c r="AB542" s="1"/>
      <c r="AF542" s="1"/>
      <c r="AJ542" s="1"/>
      <c r="AN542" s="1"/>
      <c r="AS542" s="1"/>
      <c r="AX542" s="1"/>
      <c r="BA542" s="1"/>
      <c r="BC542" s="1"/>
      <c r="BD542" s="1"/>
      <c r="BG542" s="1"/>
      <c r="BJ542" s="1"/>
      <c r="BM542" s="1"/>
      <c r="BP542" s="1"/>
      <c r="BS542" s="1"/>
    </row>
    <row r="543" spans="1:71" x14ac:dyDescent="0.3">
      <c r="A543" s="19">
        <f t="shared" si="44"/>
        <v>46674</v>
      </c>
      <c r="B543">
        <f t="shared" ca="1" si="40"/>
        <v>-1.45</v>
      </c>
      <c r="C543" t="str">
        <f ca="1">IF(currency="USD",'Future et co'!D543,IF(currency="EUR",'Future et co'!E543,IF(currency="GBP",'Future et co'!F543,FALSE)))</f>
        <v>RFR USD</v>
      </c>
      <c r="D543" t="str">
        <f t="shared" ca="1" si="41"/>
        <v>RFR USD</v>
      </c>
      <c r="E543" t="str">
        <f t="shared" ca="1" si="42"/>
        <v>RFR EUR</v>
      </c>
      <c r="F543" t="str">
        <f t="shared" ca="1" si="43"/>
        <v>RFR GBP</v>
      </c>
      <c r="J543" s="1"/>
      <c r="N543" s="1"/>
      <c r="R543" s="1"/>
      <c r="V543" s="1"/>
      <c r="AB543" s="1"/>
      <c r="AF543" s="1"/>
      <c r="AJ543" s="1"/>
      <c r="AN543" s="1"/>
      <c r="AS543" s="1"/>
      <c r="AX543" s="1"/>
      <c r="BA543" s="1"/>
      <c r="BC543" s="1"/>
      <c r="BD543" s="1"/>
      <c r="BG543" s="1"/>
      <c r="BJ543" s="1"/>
      <c r="BM543" s="1"/>
      <c r="BP543" s="1"/>
      <c r="BS543" s="1"/>
    </row>
    <row r="544" spans="1:71" x14ac:dyDescent="0.3">
      <c r="A544" s="19">
        <f t="shared" si="44"/>
        <v>46675</v>
      </c>
      <c r="B544">
        <f t="shared" ca="1" si="40"/>
        <v>-1.4527777777777777</v>
      </c>
      <c r="C544" t="str">
        <f ca="1">IF(currency="USD",'Future et co'!D544,IF(currency="EUR",'Future et co'!E544,IF(currency="GBP",'Future et co'!F544,FALSE)))</f>
        <v>RFR USD</v>
      </c>
      <c r="D544" t="str">
        <f t="shared" ca="1" si="41"/>
        <v>RFR USD</v>
      </c>
      <c r="E544" t="str">
        <f t="shared" ca="1" si="42"/>
        <v>RFR EUR</v>
      </c>
      <c r="F544" t="str">
        <f t="shared" ca="1" si="43"/>
        <v>RFR GBP</v>
      </c>
      <c r="J544" s="1"/>
      <c r="N544" s="1"/>
      <c r="R544" s="1"/>
      <c r="V544" s="1"/>
      <c r="AB544" s="1"/>
      <c r="AF544" s="1"/>
      <c r="AJ544" s="1"/>
      <c r="AN544" s="1"/>
      <c r="AS544" s="1"/>
      <c r="AX544" s="1"/>
      <c r="BA544" s="1"/>
      <c r="BC544" s="1"/>
      <c r="BD544" s="1"/>
      <c r="BG544" s="1"/>
      <c r="BJ544" s="1"/>
      <c r="BM544" s="1"/>
      <c r="BP544" s="1"/>
      <c r="BS544" s="1"/>
    </row>
    <row r="545" spans="1:71" x14ac:dyDescent="0.3">
      <c r="A545" s="19">
        <f t="shared" si="44"/>
        <v>46678</v>
      </c>
      <c r="B545">
        <f t="shared" ca="1" si="40"/>
        <v>-1.461111111111111</v>
      </c>
      <c r="C545" t="str">
        <f ca="1">IF(currency="USD",'Future et co'!D545,IF(currency="EUR",'Future et co'!E545,IF(currency="GBP",'Future et co'!F545,FALSE)))</f>
        <v>RFR USD</v>
      </c>
      <c r="D545" t="str">
        <f t="shared" ca="1" si="41"/>
        <v>RFR USD</v>
      </c>
      <c r="E545" t="str">
        <f t="shared" ca="1" si="42"/>
        <v>RFR EUR</v>
      </c>
      <c r="F545" t="str">
        <f t="shared" ca="1" si="43"/>
        <v>RFR GBP</v>
      </c>
      <c r="J545" s="1"/>
      <c r="N545" s="1"/>
      <c r="R545" s="1"/>
      <c r="V545" s="1"/>
      <c r="AB545" s="1"/>
      <c r="AF545" s="1"/>
      <c r="AJ545" s="1"/>
      <c r="AN545" s="1"/>
      <c r="AS545" s="1"/>
      <c r="AX545" s="1"/>
      <c r="BA545" s="1"/>
      <c r="BC545" s="1"/>
      <c r="BD545" s="1"/>
      <c r="BG545" s="1"/>
      <c r="BJ545" s="1"/>
      <c r="BM545" s="1"/>
      <c r="BP545" s="1"/>
      <c r="BS545" s="1"/>
    </row>
    <row r="546" spans="1:71" x14ac:dyDescent="0.3">
      <c r="A546" s="19">
        <f t="shared" si="44"/>
        <v>46679</v>
      </c>
      <c r="B546">
        <f t="shared" ca="1" si="40"/>
        <v>-1.4638888888888888</v>
      </c>
      <c r="C546" t="str">
        <f ca="1">IF(currency="USD",'Future et co'!D546,IF(currency="EUR",'Future et co'!E546,IF(currency="GBP",'Future et co'!F546,FALSE)))</f>
        <v>RFR USD</v>
      </c>
      <c r="D546" t="str">
        <f t="shared" ca="1" si="41"/>
        <v>RFR USD</v>
      </c>
      <c r="E546" t="str">
        <f t="shared" ca="1" si="42"/>
        <v>RFR EUR</v>
      </c>
      <c r="F546" t="str">
        <f t="shared" ca="1" si="43"/>
        <v>RFR GBP</v>
      </c>
      <c r="J546" s="1"/>
      <c r="N546" s="1"/>
      <c r="R546" s="1"/>
      <c r="V546" s="1"/>
      <c r="AB546" s="1"/>
      <c r="AF546" s="1"/>
      <c r="AJ546" s="1"/>
      <c r="AN546" s="1"/>
      <c r="AS546" s="1"/>
      <c r="AX546" s="1"/>
      <c r="BA546" s="1"/>
      <c r="BC546" s="1"/>
      <c r="BD546" s="1"/>
      <c r="BG546" s="1"/>
      <c r="BJ546" s="1"/>
      <c r="BM546" s="1"/>
      <c r="BP546" s="1"/>
      <c r="BS546" s="1"/>
    </row>
    <row r="547" spans="1:71" x14ac:dyDescent="0.3">
      <c r="A547" s="19">
        <f t="shared" si="44"/>
        <v>46680</v>
      </c>
      <c r="B547">
        <f t="shared" ca="1" si="40"/>
        <v>-1.4666666666666666</v>
      </c>
      <c r="C547" t="str">
        <f ca="1">IF(currency="USD",'Future et co'!D547,IF(currency="EUR",'Future et co'!E547,IF(currency="GBP",'Future et co'!F547,FALSE)))</f>
        <v>RFR USD</v>
      </c>
      <c r="D547" t="str">
        <f t="shared" ca="1" si="41"/>
        <v>RFR USD</v>
      </c>
      <c r="E547" t="str">
        <f t="shared" ca="1" si="42"/>
        <v>RFR EUR</v>
      </c>
      <c r="F547" t="str">
        <f t="shared" ca="1" si="43"/>
        <v>RFR GBP</v>
      </c>
      <c r="J547" s="1"/>
      <c r="N547" s="1"/>
      <c r="R547" s="1"/>
      <c r="V547" s="1"/>
      <c r="AB547" s="1"/>
      <c r="AF547" s="1"/>
      <c r="AJ547" s="1"/>
      <c r="AN547" s="1"/>
      <c r="AS547" s="1"/>
      <c r="AX547" s="1"/>
      <c r="BA547" s="1"/>
      <c r="BC547" s="1"/>
      <c r="BD547" s="1"/>
      <c r="BG547" s="1"/>
      <c r="BJ547" s="1"/>
      <c r="BM547" s="1"/>
      <c r="BP547" s="1"/>
      <c r="BS547" s="1"/>
    </row>
    <row r="548" spans="1:71" x14ac:dyDescent="0.3">
      <c r="A548" s="19">
        <f t="shared" si="44"/>
        <v>46681</v>
      </c>
      <c r="B548">
        <f t="shared" ca="1" si="40"/>
        <v>-1.4694444444444446</v>
      </c>
      <c r="C548" t="str">
        <f ca="1">IF(currency="USD",'Future et co'!D548,IF(currency="EUR",'Future et co'!E548,IF(currency="GBP",'Future et co'!F548,FALSE)))</f>
        <v>RFR USD</v>
      </c>
      <c r="D548" t="str">
        <f t="shared" ca="1" si="41"/>
        <v>RFR USD</v>
      </c>
      <c r="E548" t="str">
        <f t="shared" ca="1" si="42"/>
        <v>RFR EUR</v>
      </c>
      <c r="F548" t="str">
        <f t="shared" ca="1" si="43"/>
        <v>RFR GBP</v>
      </c>
      <c r="J548" s="1"/>
      <c r="N548" s="1"/>
      <c r="R548" s="1"/>
      <c r="V548" s="1"/>
      <c r="AB548" s="1"/>
      <c r="AF548" s="1"/>
      <c r="AJ548" s="1"/>
      <c r="AN548" s="1"/>
      <c r="AS548" s="1"/>
      <c r="AX548" s="1"/>
      <c r="BA548" s="1"/>
      <c r="BC548" s="1"/>
      <c r="BD548" s="1"/>
      <c r="BG548" s="1"/>
      <c r="BJ548" s="1"/>
      <c r="BM548" s="1"/>
      <c r="BP548" s="1"/>
      <c r="BS548" s="1"/>
    </row>
    <row r="549" spans="1:71" x14ac:dyDescent="0.3">
      <c r="A549" s="19">
        <f t="shared" si="44"/>
        <v>46682</v>
      </c>
      <c r="B549">
        <f t="shared" ca="1" si="40"/>
        <v>-1.4722222222222223</v>
      </c>
      <c r="C549" t="str">
        <f ca="1">IF(currency="USD",'Future et co'!D549,IF(currency="EUR",'Future et co'!E549,IF(currency="GBP",'Future et co'!F549,FALSE)))</f>
        <v>RFR USD</v>
      </c>
      <c r="D549" t="str">
        <f t="shared" ca="1" si="41"/>
        <v>RFR USD</v>
      </c>
      <c r="E549" t="str">
        <f t="shared" ca="1" si="42"/>
        <v>RFR EUR</v>
      </c>
      <c r="F549" t="str">
        <f t="shared" ca="1" si="43"/>
        <v>RFR GBP</v>
      </c>
      <c r="J549" s="1"/>
      <c r="N549" s="1"/>
      <c r="R549" s="1"/>
      <c r="V549" s="1"/>
      <c r="AB549" s="1"/>
      <c r="AF549" s="1"/>
      <c r="AJ549" s="1"/>
      <c r="AN549" s="1"/>
      <c r="AS549" s="1"/>
      <c r="AX549" s="1"/>
      <c r="BA549" s="1"/>
      <c r="BC549" s="1"/>
      <c r="BD549" s="1"/>
      <c r="BG549" s="1"/>
      <c r="BJ549" s="1"/>
      <c r="BM549" s="1"/>
      <c r="BP549" s="1"/>
      <c r="BS549" s="1"/>
    </row>
    <row r="550" spans="1:71" x14ac:dyDescent="0.3">
      <c r="A550" s="19">
        <f t="shared" si="44"/>
        <v>46685</v>
      </c>
      <c r="B550">
        <f t="shared" ca="1" si="40"/>
        <v>-1.4805555555555556</v>
      </c>
      <c r="C550" t="str">
        <f ca="1">IF(currency="USD",'Future et co'!D550,IF(currency="EUR",'Future et co'!E550,IF(currency="GBP",'Future et co'!F550,FALSE)))</f>
        <v>RFR USD</v>
      </c>
      <c r="D550" t="str">
        <f t="shared" ca="1" si="41"/>
        <v>RFR USD</v>
      </c>
      <c r="E550" t="str">
        <f t="shared" ca="1" si="42"/>
        <v>RFR EUR</v>
      </c>
      <c r="F550" t="str">
        <f t="shared" ca="1" si="43"/>
        <v>RFR GBP</v>
      </c>
      <c r="J550" s="1"/>
      <c r="N550" s="1"/>
      <c r="R550" s="1"/>
      <c r="V550" s="1"/>
      <c r="AB550" s="1"/>
      <c r="AF550" s="1"/>
      <c r="AJ550" s="1"/>
      <c r="AN550" s="1"/>
      <c r="AS550" s="1"/>
      <c r="AX550" s="1"/>
      <c r="BA550" s="1"/>
      <c r="BC550" s="1"/>
      <c r="BD550" s="1"/>
      <c r="BG550" s="1"/>
      <c r="BJ550" s="1"/>
      <c r="BM550" s="1"/>
      <c r="BP550" s="1"/>
      <c r="BS550" s="1"/>
    </row>
    <row r="551" spans="1:71" x14ac:dyDescent="0.3">
      <c r="A551" s="19">
        <f t="shared" si="44"/>
        <v>46686</v>
      </c>
      <c r="B551">
        <f t="shared" ca="1" si="40"/>
        <v>-1.4833333333333334</v>
      </c>
      <c r="C551" t="str">
        <f ca="1">IF(currency="USD",'Future et co'!D551,IF(currency="EUR",'Future et co'!E551,IF(currency="GBP",'Future et co'!F551,FALSE)))</f>
        <v>RFR USD</v>
      </c>
      <c r="D551" t="str">
        <f t="shared" ca="1" si="41"/>
        <v>RFR USD</v>
      </c>
      <c r="E551" t="str">
        <f t="shared" ca="1" si="42"/>
        <v>RFR EUR</v>
      </c>
      <c r="F551" t="str">
        <f t="shared" ca="1" si="43"/>
        <v>RFR GBP</v>
      </c>
      <c r="J551" s="1"/>
      <c r="N551" s="1"/>
      <c r="R551" s="1"/>
      <c r="V551" s="1"/>
      <c r="AB551" s="1"/>
      <c r="AF551" s="1"/>
      <c r="AJ551" s="1"/>
      <c r="AN551" s="1"/>
      <c r="AS551" s="1"/>
      <c r="AX551" s="1"/>
      <c r="BA551" s="1"/>
      <c r="BC551" s="1"/>
      <c r="BD551" s="1"/>
      <c r="BG551" s="1"/>
      <c r="BJ551" s="1"/>
      <c r="BM551" s="1"/>
      <c r="BP551" s="1"/>
      <c r="BS551" s="1"/>
    </row>
    <row r="552" spans="1:71" x14ac:dyDescent="0.3">
      <c r="A552" s="19">
        <f t="shared" si="44"/>
        <v>46687</v>
      </c>
      <c r="B552">
        <f t="shared" ca="1" si="40"/>
        <v>-1.4861111111111112</v>
      </c>
      <c r="C552" t="str">
        <f ca="1">IF(currency="USD",'Future et co'!D552,IF(currency="EUR",'Future et co'!E552,IF(currency="GBP",'Future et co'!F552,FALSE)))</f>
        <v>RFR USD</v>
      </c>
      <c r="D552" t="str">
        <f t="shared" ca="1" si="41"/>
        <v>RFR USD</v>
      </c>
      <c r="E552" t="str">
        <f t="shared" ca="1" si="42"/>
        <v>RFR EUR</v>
      </c>
      <c r="F552" t="str">
        <f t="shared" ca="1" si="43"/>
        <v>RFR GBP</v>
      </c>
      <c r="J552" s="1"/>
      <c r="N552" s="1"/>
      <c r="R552" s="1"/>
      <c r="V552" s="1"/>
      <c r="AB552" s="1"/>
      <c r="AF552" s="1"/>
      <c r="AJ552" s="1"/>
      <c r="AN552" s="1"/>
      <c r="AS552" s="1"/>
      <c r="AX552" s="1"/>
      <c r="BA552" s="1"/>
      <c r="BC552" s="1"/>
      <c r="BD552" s="1"/>
      <c r="BG552" s="1"/>
      <c r="BJ552" s="1"/>
      <c r="BM552" s="1"/>
      <c r="BP552" s="1"/>
      <c r="BS552" s="1"/>
    </row>
    <row r="553" spans="1:71" x14ac:dyDescent="0.3">
      <c r="A553" s="19">
        <f t="shared" si="44"/>
        <v>46688</v>
      </c>
      <c r="B553">
        <f t="shared" ca="1" si="40"/>
        <v>-1.4888888888888889</v>
      </c>
      <c r="C553" t="str">
        <f ca="1">IF(currency="USD",'Future et co'!D553,IF(currency="EUR",'Future et co'!E553,IF(currency="GBP",'Future et co'!F553,FALSE)))</f>
        <v>RFR USD</v>
      </c>
      <c r="D553" t="str">
        <f t="shared" ca="1" si="41"/>
        <v>RFR USD</v>
      </c>
      <c r="E553" t="str">
        <f t="shared" ca="1" si="42"/>
        <v>RFR EUR</v>
      </c>
      <c r="F553" t="str">
        <f t="shared" ca="1" si="43"/>
        <v>RFR GBP</v>
      </c>
      <c r="J553" s="1"/>
      <c r="N553" s="1"/>
      <c r="R553" s="1"/>
      <c r="V553" s="1"/>
      <c r="AB553" s="1"/>
      <c r="AF553" s="1"/>
      <c r="AJ553" s="1"/>
      <c r="AN553" s="1"/>
      <c r="AS553" s="1"/>
      <c r="AX553" s="1"/>
      <c r="BA553" s="1"/>
      <c r="BC553" s="1"/>
      <c r="BD553" s="1"/>
      <c r="BG553" s="1"/>
      <c r="BJ553" s="1"/>
      <c r="BM553" s="1"/>
      <c r="BP553" s="1"/>
      <c r="BS553" s="1"/>
    </row>
    <row r="554" spans="1:71" x14ac:dyDescent="0.3">
      <c r="A554" s="19">
        <f t="shared" si="44"/>
        <v>46689</v>
      </c>
      <c r="B554">
        <f t="shared" ca="1" si="40"/>
        <v>-1.4916666666666667</v>
      </c>
      <c r="C554" t="str">
        <f ca="1">IF(currency="USD",'Future et co'!D554,IF(currency="EUR",'Future et co'!E554,IF(currency="GBP",'Future et co'!F554,FALSE)))</f>
        <v>RFR USD</v>
      </c>
      <c r="D554" t="str">
        <f t="shared" ca="1" si="41"/>
        <v>RFR USD</v>
      </c>
      <c r="E554" t="str">
        <f t="shared" ca="1" si="42"/>
        <v>RFR EUR</v>
      </c>
      <c r="F554" t="str">
        <f t="shared" ca="1" si="43"/>
        <v>RFR GBP</v>
      </c>
      <c r="J554" s="1"/>
      <c r="N554" s="1"/>
      <c r="R554" s="1"/>
      <c r="V554" s="1"/>
      <c r="AB554" s="1"/>
      <c r="AF554" s="1"/>
      <c r="AJ554" s="1"/>
      <c r="AN554" s="1"/>
      <c r="AS554" s="1"/>
      <c r="AX554" s="1"/>
      <c r="BA554" s="1"/>
      <c r="BC554" s="1"/>
      <c r="BD554" s="1"/>
      <c r="BG554" s="1"/>
      <c r="BJ554" s="1"/>
      <c r="BM554" s="1"/>
      <c r="BP554" s="1"/>
      <c r="BS554" s="1"/>
    </row>
    <row r="555" spans="1:71" x14ac:dyDescent="0.3">
      <c r="A555" s="19">
        <f t="shared" si="44"/>
        <v>46692</v>
      </c>
      <c r="B555">
        <f t="shared" ca="1" si="40"/>
        <v>-1.5</v>
      </c>
      <c r="C555" t="str">
        <f ca="1">IF(currency="USD",'Future et co'!D555,IF(currency="EUR",'Future et co'!E555,IF(currency="GBP",'Future et co'!F555,FALSE)))</f>
        <v>RFR USD</v>
      </c>
      <c r="D555" t="str">
        <f t="shared" ca="1" si="41"/>
        <v>RFR USD</v>
      </c>
      <c r="E555" t="str">
        <f t="shared" ca="1" si="42"/>
        <v>RFR EUR</v>
      </c>
      <c r="F555" t="str">
        <f t="shared" ca="1" si="43"/>
        <v>RFR GBP</v>
      </c>
      <c r="J555" s="1"/>
      <c r="N555" s="1"/>
      <c r="R555" s="1"/>
      <c r="V555" s="1"/>
      <c r="AB555" s="1"/>
      <c r="AF555" s="1"/>
      <c r="AJ555" s="1"/>
      <c r="AN555" s="1"/>
      <c r="AS555" s="1"/>
      <c r="AX555" s="1"/>
      <c r="BA555" s="1"/>
      <c r="BC555" s="1"/>
      <c r="BD555" s="1"/>
      <c r="BG555" s="1"/>
      <c r="BJ555" s="1"/>
      <c r="BM555" s="1"/>
      <c r="BP555" s="1"/>
    </row>
    <row r="556" spans="1:71" x14ac:dyDescent="0.3">
      <c r="A556" s="19">
        <f t="shared" si="44"/>
        <v>46693</v>
      </c>
      <c r="B556">
        <f t="shared" ca="1" si="40"/>
        <v>-1.5027777777777778</v>
      </c>
      <c r="C556" t="str">
        <f ca="1">IF(currency="USD",'Future et co'!D556,IF(currency="EUR",'Future et co'!E556,IF(currency="GBP",'Future et co'!F556,FALSE)))</f>
        <v>RFR USD</v>
      </c>
      <c r="D556" t="str">
        <f t="shared" ca="1" si="41"/>
        <v>RFR USD</v>
      </c>
      <c r="E556" t="str">
        <f t="shared" ca="1" si="42"/>
        <v>RFR EUR</v>
      </c>
      <c r="F556" t="str">
        <f t="shared" ca="1" si="43"/>
        <v>RFR GBP</v>
      </c>
      <c r="J556" s="1"/>
      <c r="N556" s="1"/>
      <c r="R556" s="1"/>
      <c r="V556" s="1"/>
      <c r="AB556" s="1"/>
      <c r="AF556" s="1"/>
      <c r="AJ556" s="1"/>
      <c r="AN556" s="1"/>
      <c r="AS556" s="1"/>
      <c r="AX556" s="1"/>
      <c r="BA556" s="1"/>
      <c r="BC556" s="1"/>
      <c r="BD556" s="1"/>
      <c r="BG556" s="1"/>
      <c r="BJ556" s="1"/>
      <c r="BM556" s="1"/>
      <c r="BP556" s="1"/>
    </row>
    <row r="557" spans="1:71" x14ac:dyDescent="0.3">
      <c r="A557" s="19">
        <f t="shared" si="44"/>
        <v>46694</v>
      </c>
      <c r="B557">
        <f t="shared" ca="1" si="40"/>
        <v>-1.5055555555555555</v>
      </c>
      <c r="C557" t="str">
        <f ca="1">IF(currency="USD",'Future et co'!D557,IF(currency="EUR",'Future et co'!E557,IF(currency="GBP",'Future et co'!F557,FALSE)))</f>
        <v>RFR USD</v>
      </c>
      <c r="D557" t="str">
        <f t="shared" ca="1" si="41"/>
        <v>RFR USD</v>
      </c>
      <c r="E557" t="str">
        <f t="shared" ca="1" si="42"/>
        <v>RFR EUR</v>
      </c>
      <c r="F557" t="str">
        <f t="shared" ca="1" si="43"/>
        <v>RFR GBP</v>
      </c>
      <c r="J557" s="1"/>
      <c r="N557" s="1"/>
      <c r="R557" s="1"/>
      <c r="V557" s="1"/>
      <c r="AB557" s="1"/>
      <c r="AF557" s="1"/>
      <c r="AJ557" s="1"/>
      <c r="AN557" s="1"/>
      <c r="AS557" s="1"/>
      <c r="AX557" s="1"/>
      <c r="BA557" s="1"/>
      <c r="BC557" s="1"/>
      <c r="BD557" s="1"/>
      <c r="BG557" s="1"/>
      <c r="BJ557" s="1"/>
      <c r="BM557" s="1"/>
      <c r="BP557" s="1"/>
    </row>
    <row r="558" spans="1:71" x14ac:dyDescent="0.3">
      <c r="A558" s="19">
        <f t="shared" si="44"/>
        <v>46695</v>
      </c>
      <c r="B558">
        <f t="shared" ca="1" si="40"/>
        <v>-1.5083333333333333</v>
      </c>
      <c r="C558" t="str">
        <f ca="1">IF(currency="USD",'Future et co'!D558,IF(currency="EUR",'Future et co'!E558,IF(currency="GBP",'Future et co'!F558,FALSE)))</f>
        <v>RFR USD</v>
      </c>
      <c r="D558" t="str">
        <f t="shared" ca="1" si="41"/>
        <v>RFR USD</v>
      </c>
      <c r="E558" t="str">
        <f t="shared" ca="1" si="42"/>
        <v>RFR EUR</v>
      </c>
      <c r="F558" t="str">
        <f t="shared" ca="1" si="43"/>
        <v>RFR GBP</v>
      </c>
      <c r="J558" s="1"/>
      <c r="N558" s="1"/>
      <c r="R558" s="1"/>
      <c r="V558" s="1"/>
      <c r="AB558" s="1"/>
      <c r="AF558" s="1"/>
      <c r="AJ558" s="1"/>
      <c r="AN558" s="1"/>
      <c r="AS558" s="1"/>
      <c r="AX558" s="1"/>
      <c r="BA558" s="1"/>
      <c r="BC558" s="1"/>
      <c r="BD558" s="1"/>
      <c r="BG558" s="1"/>
      <c r="BJ558" s="1"/>
      <c r="BM558" s="1"/>
      <c r="BP558" s="1"/>
    </row>
    <row r="559" spans="1:71" x14ac:dyDescent="0.3">
      <c r="A559" s="19">
        <f t="shared" si="44"/>
        <v>46696</v>
      </c>
      <c r="B559">
        <f t="shared" ca="1" si="40"/>
        <v>-1.5111111111111111</v>
      </c>
      <c r="C559" t="str">
        <f ca="1">IF(currency="USD",'Future et co'!D559,IF(currency="EUR",'Future et co'!E559,IF(currency="GBP",'Future et co'!F559,FALSE)))</f>
        <v>RFR USD</v>
      </c>
      <c r="D559" t="str">
        <f t="shared" ca="1" si="41"/>
        <v>RFR USD</v>
      </c>
      <c r="E559" t="str">
        <f t="shared" ca="1" si="42"/>
        <v>RFR EUR</v>
      </c>
      <c r="F559" t="str">
        <f t="shared" ca="1" si="43"/>
        <v>RFR GBP</v>
      </c>
      <c r="J559" s="1"/>
      <c r="N559" s="1"/>
      <c r="R559" s="1"/>
      <c r="V559" s="1"/>
      <c r="AB559" s="1"/>
      <c r="AF559" s="1"/>
      <c r="AJ559" s="1"/>
      <c r="AN559" s="1"/>
      <c r="AS559" s="1"/>
      <c r="AX559" s="1"/>
      <c r="BA559" s="1"/>
      <c r="BC559" s="1"/>
      <c r="BD559" s="1"/>
      <c r="BG559" s="1"/>
      <c r="BJ559" s="1"/>
      <c r="BM559" s="1"/>
      <c r="BP559" s="1"/>
    </row>
    <row r="560" spans="1:71" x14ac:dyDescent="0.3">
      <c r="A560" s="19">
        <f t="shared" si="44"/>
        <v>46699</v>
      </c>
      <c r="B560">
        <f t="shared" ca="1" si="40"/>
        <v>-1.5194444444444444</v>
      </c>
      <c r="C560" t="str">
        <f ca="1">IF(currency="USD",'Future et co'!D560,IF(currency="EUR",'Future et co'!E560,IF(currency="GBP",'Future et co'!F560,FALSE)))</f>
        <v>RFR USD</v>
      </c>
      <c r="D560" t="str">
        <f t="shared" ca="1" si="41"/>
        <v>RFR USD</v>
      </c>
      <c r="E560" t="str">
        <f t="shared" ca="1" si="42"/>
        <v>RFR EUR</v>
      </c>
      <c r="F560" t="str">
        <f t="shared" ca="1" si="43"/>
        <v>RFR GBP</v>
      </c>
      <c r="J560" s="1"/>
      <c r="N560" s="1"/>
      <c r="R560" s="1"/>
      <c r="V560" s="1"/>
      <c r="AB560" s="1"/>
      <c r="AF560" s="1"/>
      <c r="AJ560" s="1"/>
      <c r="AN560" s="1"/>
      <c r="AS560" s="1"/>
      <c r="AX560" s="1"/>
      <c r="BA560" s="1"/>
      <c r="BC560" s="1"/>
      <c r="BD560" s="1"/>
      <c r="BG560" s="1"/>
      <c r="BJ560" s="1"/>
      <c r="BM560" s="1"/>
      <c r="BP560" s="1"/>
    </row>
    <row r="561" spans="1:68" x14ac:dyDescent="0.3">
      <c r="A561" s="19">
        <f t="shared" si="44"/>
        <v>46700</v>
      </c>
      <c r="B561">
        <f t="shared" ca="1" si="40"/>
        <v>-1.5222222222222221</v>
      </c>
      <c r="C561" t="str">
        <f ca="1">IF(currency="USD",'Future et co'!D561,IF(currency="EUR",'Future et co'!E561,IF(currency="GBP",'Future et co'!F561,FALSE)))</f>
        <v>RFR USD</v>
      </c>
      <c r="D561" t="str">
        <f t="shared" ca="1" si="41"/>
        <v>RFR USD</v>
      </c>
      <c r="E561" t="str">
        <f t="shared" ca="1" si="42"/>
        <v>RFR EUR</v>
      </c>
      <c r="F561" t="str">
        <f t="shared" ca="1" si="43"/>
        <v>RFR GBP</v>
      </c>
      <c r="J561" s="1"/>
      <c r="N561" s="1"/>
      <c r="R561" s="1"/>
      <c r="V561" s="1"/>
      <c r="AB561" s="1"/>
      <c r="AF561" s="1"/>
      <c r="AJ561" s="1"/>
      <c r="AN561" s="1"/>
      <c r="AS561" s="1"/>
      <c r="AX561" s="1"/>
      <c r="BA561" s="1"/>
      <c r="BC561" s="1"/>
      <c r="BD561" s="1"/>
      <c r="BG561" s="1"/>
      <c r="BJ561" s="1"/>
      <c r="BM561" s="1"/>
      <c r="BP561" s="1"/>
    </row>
    <row r="562" spans="1:68" x14ac:dyDescent="0.3">
      <c r="A562" s="19">
        <f t="shared" si="44"/>
        <v>46701</v>
      </c>
      <c r="B562">
        <f t="shared" ca="1" si="40"/>
        <v>-1.5249999999999999</v>
      </c>
      <c r="C562" t="str">
        <f ca="1">IF(currency="USD",'Future et co'!D562,IF(currency="EUR",'Future et co'!E562,IF(currency="GBP",'Future et co'!F562,FALSE)))</f>
        <v>RFR USD</v>
      </c>
      <c r="D562" t="str">
        <f t="shared" ca="1" si="41"/>
        <v>RFR USD</v>
      </c>
      <c r="E562" t="str">
        <f t="shared" ca="1" si="42"/>
        <v>RFR EUR</v>
      </c>
      <c r="F562" t="str">
        <f t="shared" ca="1" si="43"/>
        <v>RFR GBP</v>
      </c>
      <c r="J562" s="1"/>
      <c r="N562" s="1"/>
      <c r="R562" s="1"/>
      <c r="V562" s="1"/>
      <c r="AB562" s="1"/>
      <c r="AF562" s="1"/>
      <c r="AJ562" s="1"/>
      <c r="AN562" s="1"/>
      <c r="AS562" s="1"/>
      <c r="AX562" s="1"/>
      <c r="BA562" s="1"/>
      <c r="BC562" s="1"/>
      <c r="BD562" s="1"/>
      <c r="BG562" s="1"/>
      <c r="BJ562" s="1"/>
      <c r="BM562" s="1"/>
      <c r="BP562" s="1"/>
    </row>
    <row r="563" spans="1:68" x14ac:dyDescent="0.3">
      <c r="A563" s="19">
        <f t="shared" si="44"/>
        <v>46702</v>
      </c>
      <c r="B563">
        <f t="shared" ca="1" si="40"/>
        <v>-1.5277777777777777</v>
      </c>
      <c r="C563" t="str">
        <f ca="1">IF(currency="USD",'Future et co'!D563,IF(currency="EUR",'Future et co'!E563,IF(currency="GBP",'Future et co'!F563,FALSE)))</f>
        <v>RFR USD</v>
      </c>
      <c r="D563" t="str">
        <f t="shared" ca="1" si="41"/>
        <v>RFR USD</v>
      </c>
      <c r="E563" t="str">
        <f t="shared" ca="1" si="42"/>
        <v>RFR EUR</v>
      </c>
      <c r="F563" t="str">
        <f t="shared" ca="1" si="43"/>
        <v>RFR GBP</v>
      </c>
      <c r="J563" s="1"/>
      <c r="N563" s="1"/>
      <c r="R563" s="1"/>
      <c r="V563" s="1"/>
      <c r="AB563" s="1"/>
      <c r="AF563" s="1"/>
      <c r="AJ563" s="1"/>
      <c r="AN563" s="1"/>
      <c r="AS563" s="1"/>
      <c r="AX563" s="1"/>
      <c r="BA563" s="1"/>
      <c r="BC563" s="1"/>
      <c r="BD563" s="1"/>
      <c r="BG563" s="1"/>
      <c r="BJ563" s="1"/>
      <c r="BM563" s="1"/>
      <c r="BP563" s="1"/>
    </row>
    <row r="564" spans="1:68" x14ac:dyDescent="0.3">
      <c r="A564" s="19">
        <f t="shared" si="44"/>
        <v>46703</v>
      </c>
      <c r="B564">
        <f t="shared" ca="1" si="40"/>
        <v>-1.5305555555555554</v>
      </c>
      <c r="C564" t="str">
        <f ca="1">IF(currency="USD",'Future et co'!D564,IF(currency="EUR",'Future et co'!E564,IF(currency="GBP",'Future et co'!F564,FALSE)))</f>
        <v>RFR USD</v>
      </c>
      <c r="D564" t="str">
        <f t="shared" ca="1" si="41"/>
        <v>RFR USD</v>
      </c>
      <c r="E564" t="str">
        <f t="shared" ca="1" si="42"/>
        <v>RFR EUR</v>
      </c>
      <c r="F564" t="str">
        <f t="shared" ca="1" si="43"/>
        <v>RFR GBP</v>
      </c>
      <c r="J564" s="1"/>
      <c r="N564" s="1"/>
      <c r="R564" s="1"/>
      <c r="V564" s="1"/>
      <c r="AB564" s="1"/>
      <c r="AF564" s="1"/>
      <c r="AJ564" s="1"/>
      <c r="AN564" s="1"/>
      <c r="AS564" s="1"/>
      <c r="AX564" s="1"/>
      <c r="BA564" s="1"/>
      <c r="BC564" s="1"/>
      <c r="BD564" s="1"/>
      <c r="BG564" s="1"/>
      <c r="BJ564" s="1"/>
      <c r="BM564" s="1"/>
      <c r="BP564" s="1"/>
    </row>
    <row r="565" spans="1:68" x14ac:dyDescent="0.3">
      <c r="A565" s="19">
        <f t="shared" si="44"/>
        <v>46706</v>
      </c>
      <c r="B565">
        <f t="shared" ca="1" si="40"/>
        <v>-1.538888888888889</v>
      </c>
      <c r="C565" t="str">
        <f ca="1">IF(currency="USD",'Future et co'!D565,IF(currency="EUR",'Future et co'!E565,IF(currency="GBP",'Future et co'!F565,FALSE)))</f>
        <v>RFR USD</v>
      </c>
      <c r="D565" t="str">
        <f t="shared" ca="1" si="41"/>
        <v>RFR USD</v>
      </c>
      <c r="E565" t="str">
        <f t="shared" ca="1" si="42"/>
        <v>RFR EUR</v>
      </c>
      <c r="F565" t="str">
        <f t="shared" ca="1" si="43"/>
        <v>RFR GBP</v>
      </c>
      <c r="J565" s="1"/>
      <c r="N565" s="1"/>
      <c r="R565" s="1"/>
      <c r="V565" s="1"/>
      <c r="AB565" s="1"/>
      <c r="AF565" s="1"/>
      <c r="AJ565" s="1"/>
      <c r="AN565" s="1"/>
      <c r="AS565" s="1"/>
      <c r="AX565" s="1"/>
      <c r="BA565" s="1"/>
      <c r="BC565" s="1"/>
      <c r="BD565" s="1"/>
      <c r="BG565" s="1"/>
      <c r="BJ565" s="1"/>
      <c r="BM565" s="1"/>
      <c r="BP565" s="1"/>
    </row>
    <row r="566" spans="1:68" x14ac:dyDescent="0.3">
      <c r="A566" s="19">
        <f t="shared" si="44"/>
        <v>46707</v>
      </c>
      <c r="B566">
        <f t="shared" ca="1" si="40"/>
        <v>-1.5416666666666667</v>
      </c>
      <c r="C566" t="str">
        <f ca="1">IF(currency="USD",'Future et co'!D566,IF(currency="EUR",'Future et co'!E566,IF(currency="GBP",'Future et co'!F566,FALSE)))</f>
        <v>RFR USD</v>
      </c>
      <c r="D566" t="str">
        <f t="shared" ca="1" si="41"/>
        <v>RFR USD</v>
      </c>
      <c r="E566" t="str">
        <f t="shared" ca="1" si="42"/>
        <v>RFR EUR</v>
      </c>
      <c r="F566" t="str">
        <f t="shared" ca="1" si="43"/>
        <v>RFR GBP</v>
      </c>
      <c r="J566" s="1"/>
      <c r="N566" s="1"/>
      <c r="R566" s="1"/>
      <c r="V566" s="1"/>
      <c r="AB566" s="1"/>
      <c r="AF566" s="1"/>
      <c r="AJ566" s="1"/>
      <c r="AN566" s="1"/>
      <c r="AS566" s="1"/>
      <c r="AX566" s="1"/>
      <c r="BA566" s="1"/>
      <c r="BC566" s="1"/>
      <c r="BD566" s="1"/>
      <c r="BG566" s="1"/>
      <c r="BJ566" s="1"/>
      <c r="BM566" s="1"/>
      <c r="BP566" s="1"/>
    </row>
    <row r="567" spans="1:68" x14ac:dyDescent="0.3">
      <c r="A567" s="19">
        <f t="shared" si="44"/>
        <v>46708</v>
      </c>
      <c r="B567">
        <f t="shared" ca="1" si="40"/>
        <v>-1.5444444444444445</v>
      </c>
      <c r="C567" t="str">
        <f ca="1">IF(currency="USD",'Future et co'!D567,IF(currency="EUR",'Future et co'!E567,IF(currency="GBP",'Future et co'!F567,FALSE)))</f>
        <v>RFR USD</v>
      </c>
      <c r="D567" t="str">
        <f t="shared" ca="1" si="41"/>
        <v>RFR USD</v>
      </c>
      <c r="E567" t="str">
        <f t="shared" ca="1" si="42"/>
        <v>RFR EUR</v>
      </c>
      <c r="F567" t="str">
        <f t="shared" ca="1" si="43"/>
        <v>RFR GBP</v>
      </c>
      <c r="J567" s="1"/>
      <c r="N567" s="1"/>
      <c r="R567" s="1"/>
      <c r="V567" s="1"/>
      <c r="AB567" s="1"/>
      <c r="AF567" s="1"/>
      <c r="AJ567" s="1"/>
      <c r="AN567" s="1"/>
      <c r="AS567" s="1"/>
      <c r="AX567" s="1"/>
      <c r="BA567" s="1"/>
      <c r="BC567" s="1"/>
      <c r="BD567" s="1"/>
      <c r="BG567" s="1"/>
      <c r="BJ567" s="1"/>
      <c r="BM567" s="1"/>
      <c r="BP567" s="1"/>
    </row>
    <row r="568" spans="1:68" x14ac:dyDescent="0.3">
      <c r="A568" s="19">
        <f t="shared" si="44"/>
        <v>46709</v>
      </c>
      <c r="B568">
        <f t="shared" ca="1" si="40"/>
        <v>-1.5472222222222223</v>
      </c>
      <c r="C568" t="str">
        <f ca="1">IF(currency="USD",'Future et co'!D568,IF(currency="EUR",'Future et co'!E568,IF(currency="GBP",'Future et co'!F568,FALSE)))</f>
        <v>RFR USD</v>
      </c>
      <c r="D568" t="str">
        <f t="shared" ca="1" si="41"/>
        <v>RFR USD</v>
      </c>
      <c r="E568" t="str">
        <f t="shared" ca="1" si="42"/>
        <v>RFR EUR</v>
      </c>
      <c r="F568" t="str">
        <f t="shared" ca="1" si="43"/>
        <v>RFR GBP</v>
      </c>
      <c r="J568" s="1"/>
      <c r="N568" s="1"/>
      <c r="R568" s="1"/>
      <c r="V568" s="1"/>
      <c r="AB568" s="1"/>
      <c r="AF568" s="1"/>
      <c r="AJ568" s="1"/>
      <c r="AN568" s="1"/>
      <c r="AS568" s="1"/>
      <c r="AX568" s="1"/>
      <c r="BA568" s="1"/>
      <c r="BC568" s="1"/>
      <c r="BD568" s="1"/>
      <c r="BG568" s="1"/>
      <c r="BJ568" s="1"/>
      <c r="BM568" s="1"/>
      <c r="BP568" s="1"/>
    </row>
    <row r="569" spans="1:68" x14ac:dyDescent="0.3">
      <c r="A569" s="19">
        <f t="shared" si="44"/>
        <v>46710</v>
      </c>
      <c r="B569">
        <f t="shared" ca="1" si="40"/>
        <v>-1.55</v>
      </c>
      <c r="C569" t="str">
        <f ca="1">IF(currency="USD",'Future et co'!D569,IF(currency="EUR",'Future et co'!E569,IF(currency="GBP",'Future et co'!F569,FALSE)))</f>
        <v>RFR USD</v>
      </c>
      <c r="D569" t="str">
        <f t="shared" ca="1" si="41"/>
        <v>RFR USD</v>
      </c>
      <c r="E569" t="str">
        <f t="shared" ca="1" si="42"/>
        <v>RFR EUR</v>
      </c>
      <c r="F569" t="str">
        <f t="shared" ca="1" si="43"/>
        <v>RFR GBP</v>
      </c>
      <c r="J569" s="1"/>
      <c r="N569" s="1"/>
      <c r="R569" s="1"/>
      <c r="V569" s="1"/>
      <c r="AB569" s="1"/>
      <c r="AF569" s="1"/>
      <c r="AJ569" s="1"/>
      <c r="AN569" s="1"/>
      <c r="AS569" s="1"/>
      <c r="AX569" s="1"/>
      <c r="BA569" s="1"/>
      <c r="BC569" s="1"/>
      <c r="BD569" s="1"/>
      <c r="BG569" s="1"/>
      <c r="BJ569" s="1"/>
      <c r="BM569" s="1"/>
      <c r="BP569" s="1"/>
    </row>
    <row r="570" spans="1:68" x14ac:dyDescent="0.3">
      <c r="A570" s="19">
        <f t="shared" si="44"/>
        <v>46713</v>
      </c>
      <c r="B570">
        <f t="shared" ca="1" si="40"/>
        <v>-1.5583333333333333</v>
      </c>
      <c r="C570" t="str">
        <f ca="1">IF(currency="USD",'Future et co'!D570,IF(currency="EUR",'Future et co'!E570,IF(currency="GBP",'Future et co'!F570,FALSE)))</f>
        <v>RFR USD</v>
      </c>
      <c r="D570" t="str">
        <f t="shared" ca="1" si="41"/>
        <v>RFR USD</v>
      </c>
      <c r="E570" t="str">
        <f t="shared" ca="1" si="42"/>
        <v>RFR EUR</v>
      </c>
      <c r="F570" t="str">
        <f t="shared" ca="1" si="43"/>
        <v>RFR GBP</v>
      </c>
      <c r="J570" s="1"/>
      <c r="N570" s="1"/>
      <c r="R570" s="1"/>
      <c r="V570" s="1"/>
      <c r="AB570" s="1"/>
      <c r="AF570" s="1"/>
      <c r="AJ570" s="1"/>
      <c r="AN570" s="1"/>
      <c r="AS570" s="1"/>
      <c r="AX570" s="1"/>
      <c r="BA570" s="1"/>
      <c r="BC570" s="1"/>
      <c r="BD570" s="1"/>
      <c r="BG570" s="1"/>
      <c r="BJ570" s="1"/>
      <c r="BM570" s="1"/>
      <c r="BP570" s="1"/>
    </row>
    <row r="571" spans="1:68" x14ac:dyDescent="0.3">
      <c r="A571" s="19">
        <f t="shared" si="44"/>
        <v>46714</v>
      </c>
      <c r="B571">
        <f t="shared" ca="1" si="40"/>
        <v>-1.5611111111111111</v>
      </c>
      <c r="C571" t="str">
        <f ca="1">IF(currency="USD",'Future et co'!D571,IF(currency="EUR",'Future et co'!E571,IF(currency="GBP",'Future et co'!F571,FALSE)))</f>
        <v>RFR USD</v>
      </c>
      <c r="D571" t="str">
        <f t="shared" ca="1" si="41"/>
        <v>RFR USD</v>
      </c>
      <c r="E571" t="str">
        <f t="shared" ca="1" si="42"/>
        <v>RFR EUR</v>
      </c>
      <c r="F571" t="str">
        <f t="shared" ca="1" si="43"/>
        <v>RFR GBP</v>
      </c>
      <c r="J571" s="1"/>
      <c r="N571" s="1"/>
      <c r="R571" s="1"/>
      <c r="V571" s="1"/>
      <c r="AB571" s="1"/>
      <c r="AF571" s="1"/>
      <c r="AJ571" s="1"/>
      <c r="AN571" s="1"/>
      <c r="AS571" s="1"/>
      <c r="AX571" s="1"/>
      <c r="BA571" s="1"/>
      <c r="BC571" s="1"/>
      <c r="BD571" s="1"/>
      <c r="BG571" s="1"/>
      <c r="BJ571" s="1"/>
      <c r="BM571" s="1"/>
      <c r="BP571" s="1"/>
    </row>
    <row r="572" spans="1:68" x14ac:dyDescent="0.3">
      <c r="A572" s="19">
        <f t="shared" si="44"/>
        <v>46715</v>
      </c>
      <c r="B572">
        <f t="shared" ca="1" si="40"/>
        <v>-1.5638888888888889</v>
      </c>
      <c r="C572" t="str">
        <f ca="1">IF(currency="USD",'Future et co'!D572,IF(currency="EUR",'Future et co'!E572,IF(currency="GBP",'Future et co'!F572,FALSE)))</f>
        <v>RFR USD</v>
      </c>
      <c r="D572" t="str">
        <f t="shared" ca="1" si="41"/>
        <v>RFR USD</v>
      </c>
      <c r="E572" t="str">
        <f t="shared" ca="1" si="42"/>
        <v>RFR EUR</v>
      </c>
      <c r="F572" t="str">
        <f t="shared" ca="1" si="43"/>
        <v>RFR GBP</v>
      </c>
      <c r="J572" s="1"/>
      <c r="N572" s="1"/>
      <c r="R572" s="1"/>
      <c r="V572" s="1"/>
      <c r="AB572" s="1"/>
      <c r="AF572" s="1"/>
      <c r="AJ572" s="1"/>
      <c r="AN572" s="1"/>
      <c r="AS572" s="1"/>
      <c r="AX572" s="1"/>
      <c r="BA572" s="1"/>
      <c r="BC572" s="1"/>
      <c r="BD572" s="1"/>
      <c r="BG572" s="1"/>
      <c r="BJ572" s="1"/>
      <c r="BM572" s="1"/>
      <c r="BP572" s="1"/>
    </row>
    <row r="573" spans="1:68" x14ac:dyDescent="0.3">
      <c r="A573" s="19">
        <f t="shared" si="44"/>
        <v>46716</v>
      </c>
      <c r="B573">
        <f t="shared" ca="1" si="40"/>
        <v>-1.5666666666666667</v>
      </c>
      <c r="C573" t="str">
        <f ca="1">IF(currency="USD",'Future et co'!D573,IF(currency="EUR",'Future et co'!E573,IF(currency="GBP",'Future et co'!F573,FALSE)))</f>
        <v>RFR USD</v>
      </c>
      <c r="D573" t="str">
        <f t="shared" ca="1" si="41"/>
        <v>RFR USD</v>
      </c>
      <c r="E573" t="str">
        <f t="shared" ca="1" si="42"/>
        <v>RFR EUR</v>
      </c>
      <c r="F573" t="str">
        <f t="shared" ca="1" si="43"/>
        <v>RFR GBP</v>
      </c>
      <c r="J573" s="1"/>
      <c r="N573" s="1"/>
      <c r="R573" s="1"/>
      <c r="V573" s="1"/>
      <c r="AB573" s="1"/>
      <c r="AF573" s="1"/>
      <c r="AJ573" s="1"/>
      <c r="AN573" s="1"/>
      <c r="AS573" s="1"/>
      <c r="AX573" s="1"/>
      <c r="BA573" s="1"/>
      <c r="BC573" s="1"/>
      <c r="BD573" s="1"/>
      <c r="BG573" s="1"/>
      <c r="BJ573" s="1"/>
      <c r="BM573" s="1"/>
      <c r="BP573" s="1"/>
    </row>
    <row r="574" spans="1:68" x14ac:dyDescent="0.3">
      <c r="A574" s="19">
        <f t="shared" si="44"/>
        <v>46717</v>
      </c>
      <c r="B574">
        <f t="shared" ca="1" si="40"/>
        <v>-1.5694444444444444</v>
      </c>
      <c r="C574" t="str">
        <f ca="1">IF(currency="USD",'Future et co'!D574,IF(currency="EUR",'Future et co'!E574,IF(currency="GBP",'Future et co'!F574,FALSE)))</f>
        <v>RFR USD</v>
      </c>
      <c r="D574" t="str">
        <f t="shared" ca="1" si="41"/>
        <v>RFR USD</v>
      </c>
      <c r="E574" t="str">
        <f t="shared" ca="1" si="42"/>
        <v>RFR EUR</v>
      </c>
      <c r="F574" t="str">
        <f t="shared" ca="1" si="43"/>
        <v>RFR GBP</v>
      </c>
      <c r="J574" s="1"/>
      <c r="N574" s="1"/>
      <c r="R574" s="1"/>
      <c r="V574" s="1"/>
      <c r="AB574" s="1"/>
      <c r="AF574" s="1"/>
      <c r="AJ574" s="1"/>
      <c r="AN574" s="1"/>
      <c r="AS574" s="1"/>
      <c r="AX574" s="1"/>
      <c r="BA574" s="1"/>
      <c r="BC574" s="1"/>
      <c r="BD574" s="1"/>
      <c r="BG574" s="1"/>
      <c r="BJ574" s="1"/>
      <c r="BM574" s="1"/>
      <c r="BP574" s="1"/>
    </row>
    <row r="575" spans="1:68" x14ac:dyDescent="0.3">
      <c r="A575" s="19">
        <f t="shared" si="44"/>
        <v>46720</v>
      </c>
      <c r="B575">
        <f t="shared" ca="1" si="40"/>
        <v>-1.5777777777777777</v>
      </c>
      <c r="C575" t="str">
        <f ca="1">IF(currency="USD",'Future et co'!D575,IF(currency="EUR",'Future et co'!E575,IF(currency="GBP",'Future et co'!F575,FALSE)))</f>
        <v>RFR USD</v>
      </c>
      <c r="D575" t="str">
        <f t="shared" ca="1" si="41"/>
        <v>RFR USD</v>
      </c>
      <c r="E575" t="str">
        <f t="shared" ca="1" si="42"/>
        <v>RFR EUR</v>
      </c>
      <c r="F575" t="str">
        <f t="shared" ca="1" si="43"/>
        <v>RFR GBP</v>
      </c>
      <c r="J575" s="1"/>
      <c r="N575" s="1"/>
      <c r="R575" s="1"/>
      <c r="V575" s="1"/>
      <c r="AB575" s="1"/>
      <c r="AF575" s="1"/>
      <c r="AJ575" s="1"/>
      <c r="AN575" s="1"/>
      <c r="AS575" s="1"/>
      <c r="AX575" s="1"/>
      <c r="BA575" s="1"/>
      <c r="BC575" s="1"/>
      <c r="BD575" s="1"/>
      <c r="BG575" s="1"/>
      <c r="BM575" s="1"/>
      <c r="BP575" s="1"/>
    </row>
    <row r="576" spans="1:68" x14ac:dyDescent="0.3">
      <c r="A576" s="19">
        <f t="shared" si="44"/>
        <v>46721</v>
      </c>
      <c r="B576">
        <f t="shared" ca="1" si="40"/>
        <v>-1.5805555555555555</v>
      </c>
      <c r="C576" t="str">
        <f ca="1">IF(currency="USD",'Future et co'!D576,IF(currency="EUR",'Future et co'!E576,IF(currency="GBP",'Future et co'!F576,FALSE)))</f>
        <v>RFR USD</v>
      </c>
      <c r="D576" t="str">
        <f t="shared" ca="1" si="41"/>
        <v>RFR USD</v>
      </c>
      <c r="E576" t="str">
        <f t="shared" ca="1" si="42"/>
        <v>RFR EUR</v>
      </c>
      <c r="F576" t="str">
        <f t="shared" ca="1" si="43"/>
        <v>RFR GBP</v>
      </c>
      <c r="J576" s="1"/>
      <c r="N576" s="1"/>
      <c r="R576" s="1"/>
      <c r="V576" s="1"/>
      <c r="AB576" s="1"/>
      <c r="AF576" s="1"/>
      <c r="AJ576" s="1"/>
      <c r="AN576" s="1"/>
      <c r="AS576" s="1"/>
      <c r="AX576" s="1"/>
      <c r="BA576" s="1"/>
      <c r="BC576" s="1"/>
      <c r="BM576" s="1"/>
      <c r="BP576" s="1"/>
    </row>
    <row r="577" spans="1:68" x14ac:dyDescent="0.3">
      <c r="A577" s="19">
        <f t="shared" si="44"/>
        <v>46722</v>
      </c>
      <c r="B577">
        <f t="shared" ca="1" si="40"/>
        <v>-1.5833333333333333</v>
      </c>
      <c r="C577" t="str">
        <f ca="1">IF(currency="USD",'Future et co'!D577,IF(currency="EUR",'Future et co'!E577,IF(currency="GBP",'Future et co'!F577,FALSE)))</f>
        <v>RFR USD</v>
      </c>
      <c r="D577" t="str">
        <f t="shared" ca="1" si="41"/>
        <v>RFR USD</v>
      </c>
      <c r="E577" t="str">
        <f t="shared" ca="1" si="42"/>
        <v>RFR EUR</v>
      </c>
      <c r="F577" t="str">
        <f t="shared" ca="1" si="43"/>
        <v>RFR GBP</v>
      </c>
      <c r="J577" s="1"/>
      <c r="N577" s="1"/>
      <c r="R577" s="1"/>
      <c r="V577" s="1"/>
      <c r="AB577" s="1"/>
      <c r="AF577" s="1"/>
      <c r="AJ577" s="1"/>
      <c r="AN577" s="1"/>
      <c r="AS577" s="1"/>
      <c r="AX577" s="1"/>
      <c r="BA577" s="1"/>
      <c r="BC577" s="1"/>
      <c r="BM577" s="1"/>
      <c r="BP577" s="1"/>
    </row>
    <row r="578" spans="1:68" x14ac:dyDescent="0.3">
      <c r="A578" s="19">
        <f t="shared" si="44"/>
        <v>46723</v>
      </c>
      <c r="B578">
        <f t="shared" ca="1" si="40"/>
        <v>-1.586111111111111</v>
      </c>
      <c r="C578" t="str">
        <f ca="1">IF(currency="USD",'Future et co'!D578,IF(currency="EUR",'Future et co'!E578,IF(currency="GBP",'Future et co'!F578,FALSE)))</f>
        <v>RFR USD</v>
      </c>
      <c r="D578" t="str">
        <f t="shared" ca="1" si="41"/>
        <v>RFR USD</v>
      </c>
      <c r="E578" t="str">
        <f t="shared" ca="1" si="42"/>
        <v>RFR EUR</v>
      </c>
      <c r="F578" t="str">
        <f t="shared" ca="1" si="43"/>
        <v>RFR GBP</v>
      </c>
      <c r="J578" s="1"/>
      <c r="N578" s="1"/>
      <c r="R578" s="1"/>
      <c r="V578" s="1"/>
      <c r="AB578" s="1"/>
      <c r="AF578" s="1"/>
      <c r="AJ578" s="1"/>
      <c r="AN578" s="1"/>
      <c r="AS578" s="1"/>
      <c r="AX578" s="1"/>
      <c r="BA578" s="1"/>
      <c r="BC578" s="1"/>
      <c r="BM578" s="1"/>
      <c r="BP578" s="1"/>
    </row>
    <row r="579" spans="1:68" x14ac:dyDescent="0.3">
      <c r="A579" s="19">
        <f t="shared" si="44"/>
        <v>46724</v>
      </c>
      <c r="B579">
        <f t="shared" ca="1" si="40"/>
        <v>-1.5888888888888888</v>
      </c>
      <c r="C579" t="str">
        <f ca="1">IF(currency="USD",'Future et co'!D579,IF(currency="EUR",'Future et co'!E579,IF(currency="GBP",'Future et co'!F579,FALSE)))</f>
        <v>RFR USD</v>
      </c>
      <c r="D579" t="str">
        <f t="shared" ca="1" si="41"/>
        <v>RFR USD</v>
      </c>
      <c r="E579" t="str">
        <f t="shared" ca="1" si="42"/>
        <v>RFR EUR</v>
      </c>
      <c r="F579" t="str">
        <f t="shared" ca="1" si="43"/>
        <v>RFR GBP</v>
      </c>
      <c r="J579" s="1"/>
      <c r="N579" s="1"/>
      <c r="R579" s="1"/>
      <c r="V579" s="1"/>
      <c r="AB579" s="1"/>
      <c r="AF579" s="1"/>
      <c r="AJ579" s="1"/>
      <c r="AN579" s="1"/>
      <c r="AS579" s="1"/>
      <c r="AX579" s="1"/>
      <c r="BA579" s="1"/>
      <c r="BC579" s="1"/>
      <c r="BM579" s="1"/>
      <c r="BP579" s="1"/>
    </row>
    <row r="580" spans="1:68" x14ac:dyDescent="0.3">
      <c r="A580" s="19">
        <f t="shared" si="44"/>
        <v>46727</v>
      </c>
      <c r="B580">
        <f t="shared" ca="1" si="40"/>
        <v>-1.5972222222222223</v>
      </c>
      <c r="C580" t="str">
        <f ca="1">IF(currency="USD",'Future et co'!D580,IF(currency="EUR",'Future et co'!E580,IF(currency="GBP",'Future et co'!F580,FALSE)))</f>
        <v>RFR USD</v>
      </c>
      <c r="D580" t="str">
        <f t="shared" ca="1" si="41"/>
        <v>RFR USD</v>
      </c>
      <c r="E580" t="str">
        <f t="shared" ca="1" si="42"/>
        <v>RFR EUR</v>
      </c>
      <c r="F580" t="str">
        <f t="shared" ca="1" si="43"/>
        <v>RFR GBP</v>
      </c>
      <c r="J580" s="1"/>
      <c r="N580" s="1"/>
      <c r="R580" s="1"/>
      <c r="V580" s="1"/>
      <c r="AB580" s="1"/>
      <c r="AF580" s="1"/>
      <c r="AJ580" s="1"/>
      <c r="AN580" s="1"/>
      <c r="AS580" s="1"/>
      <c r="AX580" s="1"/>
      <c r="BA580" s="1"/>
      <c r="BC580" s="1"/>
      <c r="BM580" s="1"/>
      <c r="BP580" s="1"/>
    </row>
    <row r="581" spans="1:68" x14ac:dyDescent="0.3">
      <c r="A581" s="19">
        <f t="shared" si="44"/>
        <v>46728</v>
      </c>
      <c r="B581">
        <f t="shared" ca="1" si="40"/>
        <v>-1.6</v>
      </c>
      <c r="C581" t="str">
        <f ca="1">IF(currency="USD",'Future et co'!D581,IF(currency="EUR",'Future et co'!E581,IF(currency="GBP",'Future et co'!F581,FALSE)))</f>
        <v>RFR USD</v>
      </c>
      <c r="D581" t="str">
        <f t="shared" ca="1" si="41"/>
        <v>RFR USD</v>
      </c>
      <c r="E581" t="str">
        <f t="shared" ca="1" si="42"/>
        <v>RFR EUR</v>
      </c>
      <c r="F581" t="str">
        <f t="shared" ca="1" si="43"/>
        <v>RFR GBP</v>
      </c>
      <c r="J581" s="1"/>
      <c r="N581" s="1"/>
      <c r="R581" s="1"/>
      <c r="V581" s="1"/>
      <c r="AB581" s="1"/>
      <c r="AF581" s="1"/>
      <c r="AJ581" s="1"/>
      <c r="AN581" s="1"/>
      <c r="AS581" s="1"/>
      <c r="AX581" s="1"/>
      <c r="BA581" s="1"/>
      <c r="BC581" s="1"/>
      <c r="BM581" s="1"/>
      <c r="BP581" s="1"/>
    </row>
    <row r="582" spans="1:68" x14ac:dyDescent="0.3">
      <c r="A582" s="19">
        <f t="shared" si="44"/>
        <v>46729</v>
      </c>
      <c r="B582">
        <f t="shared" ca="1" si="40"/>
        <v>-1.6027777777777779</v>
      </c>
      <c r="C582" t="str">
        <f ca="1">IF(currency="USD",'Future et co'!D582,IF(currency="EUR",'Future et co'!E582,IF(currency="GBP",'Future et co'!F582,FALSE)))</f>
        <v>RFR USD</v>
      </c>
      <c r="D582" t="str">
        <f t="shared" ca="1" si="41"/>
        <v>RFR USD</v>
      </c>
      <c r="E582" t="str">
        <f t="shared" ca="1" si="42"/>
        <v>RFR EUR</v>
      </c>
      <c r="F582" t="str">
        <f t="shared" ca="1" si="43"/>
        <v>RFR GBP</v>
      </c>
      <c r="J582" s="1"/>
      <c r="N582" s="1"/>
      <c r="R582" s="1"/>
      <c r="V582" s="1"/>
      <c r="AB582" s="1"/>
      <c r="AF582" s="1"/>
      <c r="AJ582" s="1"/>
      <c r="AN582" s="1"/>
      <c r="AS582" s="1"/>
      <c r="AX582" s="1"/>
      <c r="BA582" s="1"/>
      <c r="BC582" s="1"/>
      <c r="BM582" s="1"/>
      <c r="BP582" s="1"/>
    </row>
    <row r="583" spans="1:68" x14ac:dyDescent="0.3">
      <c r="A583" s="19">
        <f t="shared" si="44"/>
        <v>46730</v>
      </c>
      <c r="B583">
        <f t="shared" ca="1" si="40"/>
        <v>-1.6055555555555556</v>
      </c>
      <c r="C583" t="str">
        <f ca="1">IF(currency="USD",'Future et co'!D583,IF(currency="EUR",'Future et co'!E583,IF(currency="GBP",'Future et co'!F583,FALSE)))</f>
        <v>RFR USD</v>
      </c>
      <c r="D583" t="str">
        <f t="shared" ca="1" si="41"/>
        <v>RFR USD</v>
      </c>
      <c r="E583" t="str">
        <f t="shared" ca="1" si="42"/>
        <v>RFR EUR</v>
      </c>
      <c r="F583" t="str">
        <f t="shared" ca="1" si="43"/>
        <v>RFR GBP</v>
      </c>
      <c r="J583" s="1"/>
      <c r="N583" s="1"/>
      <c r="R583" s="1"/>
      <c r="V583" s="1"/>
      <c r="AB583" s="1"/>
      <c r="AF583" s="1"/>
      <c r="AJ583" s="1"/>
      <c r="AN583" s="1"/>
      <c r="AS583" s="1"/>
      <c r="AX583" s="1"/>
      <c r="BA583" s="1"/>
      <c r="BC583" s="1"/>
      <c r="BM583" s="1"/>
      <c r="BP583" s="1"/>
    </row>
    <row r="584" spans="1:68" x14ac:dyDescent="0.3">
      <c r="A584" s="19">
        <f t="shared" si="44"/>
        <v>46731</v>
      </c>
      <c r="B584">
        <f t="shared" ca="1" si="40"/>
        <v>-1.6083333333333334</v>
      </c>
      <c r="C584" t="str">
        <f ca="1">IF(currency="USD",'Future et co'!D584,IF(currency="EUR",'Future et co'!E584,IF(currency="GBP",'Future et co'!F584,FALSE)))</f>
        <v>RFR USD</v>
      </c>
      <c r="D584" t="str">
        <f t="shared" ca="1" si="41"/>
        <v>RFR USD</v>
      </c>
      <c r="E584" t="str">
        <f t="shared" ca="1" si="42"/>
        <v>RFR EUR</v>
      </c>
      <c r="F584" t="str">
        <f t="shared" ca="1" si="43"/>
        <v>RFR GBP</v>
      </c>
      <c r="J584" s="1"/>
      <c r="N584" s="1"/>
      <c r="R584" s="1"/>
      <c r="V584" s="1"/>
      <c r="AB584" s="1"/>
      <c r="AF584" s="1"/>
      <c r="AJ584" s="1"/>
      <c r="AN584" s="1"/>
      <c r="AS584" s="1"/>
      <c r="AX584" s="1"/>
      <c r="BA584" s="1"/>
      <c r="BC584" s="1"/>
      <c r="BM584" s="1"/>
      <c r="BP584" s="1"/>
    </row>
    <row r="585" spans="1:68" x14ac:dyDescent="0.3">
      <c r="A585" s="19">
        <f t="shared" si="44"/>
        <v>46734</v>
      </c>
      <c r="B585">
        <f t="shared" ca="1" si="40"/>
        <v>-1.6166666666666667</v>
      </c>
      <c r="C585" t="str">
        <f ca="1">IF(currency="USD",'Future et co'!D585,IF(currency="EUR",'Future et co'!E585,IF(currency="GBP",'Future et co'!F585,FALSE)))</f>
        <v>RFR USD</v>
      </c>
      <c r="D585" t="str">
        <f t="shared" ca="1" si="41"/>
        <v>RFR USD</v>
      </c>
      <c r="E585" t="str">
        <f t="shared" ca="1" si="42"/>
        <v>RFR EUR</v>
      </c>
      <c r="F585" t="str">
        <f t="shared" ca="1" si="43"/>
        <v>RFR GBP</v>
      </c>
      <c r="J585" s="1"/>
      <c r="N585" s="1"/>
      <c r="R585" s="1"/>
      <c r="V585" s="1"/>
      <c r="AB585" s="1"/>
      <c r="AF585" s="1"/>
      <c r="AJ585" s="1"/>
      <c r="AN585" s="1"/>
      <c r="AS585" s="1"/>
      <c r="AX585" s="1"/>
      <c r="BA585" s="1"/>
      <c r="BC585" s="1"/>
      <c r="BM585" s="1"/>
      <c r="BP585" s="1"/>
    </row>
    <row r="586" spans="1:68" x14ac:dyDescent="0.3">
      <c r="A586" s="19">
        <f t="shared" si="44"/>
        <v>46735</v>
      </c>
      <c r="B586">
        <f t="shared" ca="1" si="40"/>
        <v>-1.6194444444444445</v>
      </c>
      <c r="C586" t="str">
        <f ca="1">IF(currency="USD",'Future et co'!D586,IF(currency="EUR",'Future et co'!E586,IF(currency="GBP",'Future et co'!F586,FALSE)))</f>
        <v>RFR USD</v>
      </c>
      <c r="D586" t="str">
        <f t="shared" ca="1" si="41"/>
        <v>RFR USD</v>
      </c>
      <c r="E586" t="str">
        <f t="shared" ca="1" si="42"/>
        <v>RFR EUR</v>
      </c>
      <c r="F586" t="str">
        <f t="shared" ca="1" si="43"/>
        <v>RFR GBP</v>
      </c>
      <c r="J586" s="1"/>
      <c r="N586" s="1"/>
      <c r="R586" s="1"/>
      <c r="V586" s="1"/>
      <c r="AB586" s="1"/>
      <c r="AF586" s="1"/>
      <c r="AJ586" s="1"/>
      <c r="AN586" s="1"/>
      <c r="AS586" s="1"/>
      <c r="AX586" s="1"/>
      <c r="BA586" s="1"/>
      <c r="BC586" s="1"/>
      <c r="BM586" s="1"/>
      <c r="BP586" s="1"/>
    </row>
    <row r="587" spans="1:68" x14ac:dyDescent="0.3">
      <c r="A587" s="19">
        <f t="shared" si="44"/>
        <v>46736</v>
      </c>
      <c r="B587">
        <f t="shared" ref="B587:B650" ca="1" si="45">($B$7-A587)/360</f>
        <v>-1.6222222222222222</v>
      </c>
      <c r="C587" t="str">
        <f ca="1">IF(currency="USD",'Future et co'!D587,IF(currency="EUR",'Future et co'!E587,IF(currency="GBP",'Future et co'!F587,FALSE)))</f>
        <v>RFR USD</v>
      </c>
      <c r="D587" t="str">
        <f t="shared" ref="D587:D650" ca="1" si="46">IFERROR(IF(B587&lt;0.25,VLOOKUP(A587,$J$11:$L$5325,3,FALSE),IF(AND(B587&gt;=0.25,B587&lt;0.5),VLOOKUP(A587,$N$11:$P$5325,3,FALSE),IF(AND(B587&gt;=0.5,B587&lt;1),VLOOKUP(A587,$R$11:$T$5325,3,FALSE),VLOOKUP(A587,$V$11:$X$5010,3,FALSE)))),D586)</f>
        <v>RFR USD</v>
      </c>
      <c r="E587" t="str">
        <f t="shared" ref="E587:E650" ca="1" si="47">IFERROR(IF(B587&lt;0.25,VLOOKUP(A587,$AF$11:$AH$5325,3,FALSE),IF(AND(B587&gt;=0.25,B587&lt;0.5),VLOOKUP(A587,$AJ$11:$AL$5325,3,FALSE),VLOOKUP(A587,$AN$11:$AP$5325,3,FALSE))),E586)</f>
        <v>RFR EUR</v>
      </c>
      <c r="F587" t="str">
        <f t="shared" ref="F587:F650" ca="1" si="48">IFERROR(VLOOKUP(A587,$AS$11:$AU$9999,3,FALSE),F586)</f>
        <v>RFR GBP</v>
      </c>
      <c r="J587" s="1"/>
      <c r="N587" s="1"/>
      <c r="R587" s="1"/>
      <c r="V587" s="1"/>
      <c r="AB587" s="1"/>
      <c r="AF587" s="1"/>
      <c r="AJ587" s="1"/>
      <c r="AN587" s="1"/>
      <c r="AS587" s="1"/>
      <c r="AX587" s="1"/>
      <c r="BA587" s="1"/>
      <c r="BC587" s="1"/>
      <c r="BM587" s="1"/>
      <c r="BP587" s="1"/>
    </row>
    <row r="588" spans="1:68" x14ac:dyDescent="0.3">
      <c r="A588" s="19">
        <f t="shared" si="44"/>
        <v>46737</v>
      </c>
      <c r="B588">
        <f t="shared" ca="1" si="45"/>
        <v>-1.625</v>
      </c>
      <c r="C588" t="str">
        <f ca="1">IF(currency="USD",'Future et co'!D588,IF(currency="EUR",'Future et co'!E588,IF(currency="GBP",'Future et co'!F588,FALSE)))</f>
        <v>RFR USD</v>
      </c>
      <c r="D588" t="str">
        <f t="shared" ca="1" si="46"/>
        <v>RFR USD</v>
      </c>
      <c r="E588" t="str">
        <f t="shared" ca="1" si="47"/>
        <v>RFR EUR</v>
      </c>
      <c r="F588" t="str">
        <f t="shared" ca="1" si="48"/>
        <v>RFR GBP</v>
      </c>
      <c r="J588" s="1"/>
      <c r="N588" s="1"/>
      <c r="R588" s="1"/>
      <c r="V588" s="1"/>
      <c r="AB588" s="1"/>
      <c r="AF588" s="1"/>
      <c r="AJ588" s="1"/>
      <c r="AN588" s="1"/>
      <c r="AS588" s="1"/>
      <c r="AX588" s="1"/>
      <c r="BA588" s="1"/>
      <c r="BC588" s="1"/>
      <c r="BM588" s="1"/>
      <c r="BP588" s="1"/>
    </row>
    <row r="589" spans="1:68" x14ac:dyDescent="0.3">
      <c r="A589" s="19">
        <f t="shared" ref="A589:A652" si="49">WORKDAY(A588,1)</f>
        <v>46738</v>
      </c>
      <c r="B589">
        <f t="shared" ca="1" si="45"/>
        <v>-1.6277777777777778</v>
      </c>
      <c r="C589" t="str">
        <f ca="1">IF(currency="USD",'Future et co'!D589,IF(currency="EUR",'Future et co'!E589,IF(currency="GBP",'Future et co'!F589,FALSE)))</f>
        <v>RFR USD</v>
      </c>
      <c r="D589" t="str">
        <f t="shared" ca="1" si="46"/>
        <v>RFR USD</v>
      </c>
      <c r="E589" t="str">
        <f t="shared" ca="1" si="47"/>
        <v>RFR EUR</v>
      </c>
      <c r="F589" t="str">
        <f t="shared" ca="1" si="48"/>
        <v>RFR GBP</v>
      </c>
      <c r="J589" s="1"/>
      <c r="N589" s="1"/>
      <c r="R589" s="1"/>
      <c r="V589" s="1"/>
      <c r="AB589" s="1"/>
      <c r="AF589" s="1"/>
      <c r="AJ589" s="1"/>
      <c r="AN589" s="1"/>
      <c r="AS589" s="1"/>
      <c r="AX589" s="1"/>
      <c r="BA589" s="1"/>
      <c r="BC589" s="1"/>
      <c r="BM589" s="1"/>
      <c r="BP589" s="1"/>
    </row>
    <row r="590" spans="1:68" x14ac:dyDescent="0.3">
      <c r="A590" s="19">
        <f t="shared" si="49"/>
        <v>46741</v>
      </c>
      <c r="B590">
        <f t="shared" ca="1" si="45"/>
        <v>-1.6361111111111111</v>
      </c>
      <c r="C590" t="str">
        <f ca="1">IF(currency="USD",'Future et co'!D590,IF(currency="EUR",'Future et co'!E590,IF(currency="GBP",'Future et co'!F590,FALSE)))</f>
        <v>RFR USD</v>
      </c>
      <c r="D590" t="str">
        <f t="shared" ca="1" si="46"/>
        <v>RFR USD</v>
      </c>
      <c r="E590" t="str">
        <f t="shared" ca="1" si="47"/>
        <v>RFR EUR</v>
      </c>
      <c r="F590" t="str">
        <f t="shared" ca="1" si="48"/>
        <v>RFR GBP</v>
      </c>
      <c r="J590" s="1"/>
      <c r="N590" s="1"/>
      <c r="R590" s="1"/>
      <c r="V590" s="1"/>
      <c r="AB590" s="1"/>
      <c r="AF590" s="1"/>
      <c r="AJ590" s="1"/>
      <c r="AN590" s="1"/>
      <c r="AS590" s="1"/>
      <c r="AX590" s="1"/>
      <c r="BA590" s="1"/>
      <c r="BC590" s="1"/>
      <c r="BM590" s="1"/>
      <c r="BP590" s="1"/>
    </row>
    <row r="591" spans="1:68" x14ac:dyDescent="0.3">
      <c r="A591" s="19">
        <f t="shared" si="49"/>
        <v>46742</v>
      </c>
      <c r="B591">
        <f t="shared" ca="1" si="45"/>
        <v>-1.6388888888888888</v>
      </c>
      <c r="C591" t="str">
        <f ca="1">IF(currency="USD",'Future et co'!D591,IF(currency="EUR",'Future et co'!E591,IF(currency="GBP",'Future et co'!F591,FALSE)))</f>
        <v>RFR USD</v>
      </c>
      <c r="D591" t="str">
        <f t="shared" ca="1" si="46"/>
        <v>RFR USD</v>
      </c>
      <c r="E591" t="str">
        <f t="shared" ca="1" si="47"/>
        <v>RFR EUR</v>
      </c>
      <c r="F591" t="str">
        <f t="shared" ca="1" si="48"/>
        <v>RFR GBP</v>
      </c>
      <c r="J591" s="1"/>
      <c r="N591" s="1"/>
      <c r="R591" s="1"/>
      <c r="V591" s="1"/>
      <c r="AB591" s="1"/>
      <c r="AF591" s="1"/>
      <c r="AJ591" s="1"/>
      <c r="AN591" s="1"/>
      <c r="AS591" s="1"/>
      <c r="AX591" s="1"/>
      <c r="BA591" s="1"/>
      <c r="BC591" s="1"/>
      <c r="BM591" s="1"/>
      <c r="BP591" s="1"/>
    </row>
    <row r="592" spans="1:68" x14ac:dyDescent="0.3">
      <c r="A592" s="19">
        <f t="shared" si="49"/>
        <v>46743</v>
      </c>
      <c r="B592">
        <f t="shared" ca="1" si="45"/>
        <v>-1.6416666666666666</v>
      </c>
      <c r="C592" t="str">
        <f ca="1">IF(currency="USD",'Future et co'!D592,IF(currency="EUR",'Future et co'!E592,IF(currency="GBP",'Future et co'!F592,FALSE)))</f>
        <v>RFR USD</v>
      </c>
      <c r="D592" t="str">
        <f t="shared" ca="1" si="46"/>
        <v>RFR USD</v>
      </c>
      <c r="E592" t="str">
        <f t="shared" ca="1" si="47"/>
        <v>RFR EUR</v>
      </c>
      <c r="F592" t="str">
        <f t="shared" ca="1" si="48"/>
        <v>RFR GBP</v>
      </c>
      <c r="J592" s="1"/>
      <c r="N592" s="1"/>
      <c r="R592" s="1"/>
      <c r="V592" s="1"/>
      <c r="AB592" s="1"/>
      <c r="AF592" s="1"/>
      <c r="AJ592" s="1"/>
      <c r="AN592" s="1"/>
      <c r="AS592" s="1"/>
      <c r="AX592" s="1"/>
      <c r="BA592" s="1"/>
      <c r="BC592" s="1"/>
      <c r="BM592" s="1"/>
      <c r="BP592" s="1"/>
    </row>
    <row r="593" spans="1:68" x14ac:dyDescent="0.3">
      <c r="A593" s="19">
        <f t="shared" si="49"/>
        <v>46744</v>
      </c>
      <c r="B593">
        <f t="shared" ca="1" si="45"/>
        <v>-1.6444444444444444</v>
      </c>
      <c r="C593" t="str">
        <f ca="1">IF(currency="USD",'Future et co'!D593,IF(currency="EUR",'Future et co'!E593,IF(currency="GBP",'Future et co'!F593,FALSE)))</f>
        <v>RFR USD</v>
      </c>
      <c r="D593" t="str">
        <f t="shared" ca="1" si="46"/>
        <v>RFR USD</v>
      </c>
      <c r="E593" t="str">
        <f t="shared" ca="1" si="47"/>
        <v>RFR EUR</v>
      </c>
      <c r="F593" t="str">
        <f t="shared" ca="1" si="48"/>
        <v>RFR GBP</v>
      </c>
      <c r="J593" s="1"/>
      <c r="N593" s="1"/>
      <c r="R593" s="1"/>
      <c r="V593" s="1"/>
      <c r="AB593" s="1"/>
      <c r="AF593" s="1"/>
      <c r="AJ593" s="1"/>
      <c r="AN593" s="1"/>
      <c r="AS593" s="1"/>
      <c r="AX593" s="1"/>
      <c r="BA593" s="1"/>
      <c r="BC593" s="1"/>
      <c r="BM593" s="1"/>
      <c r="BP593" s="1"/>
    </row>
    <row r="594" spans="1:68" x14ac:dyDescent="0.3">
      <c r="A594" s="19">
        <f t="shared" si="49"/>
        <v>46745</v>
      </c>
      <c r="B594">
        <f t="shared" ca="1" si="45"/>
        <v>-1.6472222222222221</v>
      </c>
      <c r="C594" t="str">
        <f ca="1">IF(currency="USD",'Future et co'!D594,IF(currency="EUR",'Future et co'!E594,IF(currency="GBP",'Future et co'!F594,FALSE)))</f>
        <v>RFR USD</v>
      </c>
      <c r="D594" t="str">
        <f t="shared" ca="1" si="46"/>
        <v>RFR USD</v>
      </c>
      <c r="E594" t="str">
        <f t="shared" ca="1" si="47"/>
        <v>RFR EUR</v>
      </c>
      <c r="F594" t="str">
        <f t="shared" ca="1" si="48"/>
        <v>RFR GBP</v>
      </c>
      <c r="J594" s="1"/>
      <c r="N594" s="1"/>
      <c r="R594" s="1"/>
      <c r="V594" s="1"/>
      <c r="AB594" s="1"/>
      <c r="AF594" s="1"/>
      <c r="AJ594" s="1"/>
      <c r="AN594" s="1"/>
      <c r="AS594" s="1"/>
      <c r="AX594" s="1"/>
      <c r="BA594" s="1"/>
      <c r="BC594" s="1"/>
      <c r="BM594" s="1"/>
      <c r="BP594" s="1"/>
    </row>
    <row r="595" spans="1:68" x14ac:dyDescent="0.3">
      <c r="A595" s="19">
        <f t="shared" si="49"/>
        <v>46748</v>
      </c>
      <c r="B595">
        <f t="shared" ca="1" si="45"/>
        <v>-1.6555555555555554</v>
      </c>
      <c r="C595" t="str">
        <f ca="1">IF(currency="USD",'Future et co'!D595,IF(currency="EUR",'Future et co'!E595,IF(currency="GBP",'Future et co'!F595,FALSE)))</f>
        <v>RFR USD</v>
      </c>
      <c r="D595" t="str">
        <f t="shared" ca="1" si="46"/>
        <v>RFR USD</v>
      </c>
      <c r="E595" t="str">
        <f t="shared" ca="1" si="47"/>
        <v>RFR EUR</v>
      </c>
      <c r="F595" t="str">
        <f t="shared" ca="1" si="48"/>
        <v>RFR GBP</v>
      </c>
      <c r="J595" s="1"/>
      <c r="N595" s="1"/>
      <c r="R595" s="1"/>
      <c r="V595" s="1"/>
      <c r="AB595" s="1"/>
      <c r="AF595" s="1"/>
      <c r="AJ595" s="1"/>
      <c r="AN595" s="1"/>
      <c r="AS595" s="1"/>
      <c r="AX595" s="1"/>
      <c r="BA595" s="1"/>
      <c r="BC595" s="1"/>
      <c r="BM595" s="1"/>
      <c r="BP595" s="1"/>
    </row>
    <row r="596" spans="1:68" x14ac:dyDescent="0.3">
      <c r="A596" s="19">
        <f t="shared" si="49"/>
        <v>46749</v>
      </c>
      <c r="B596">
        <f t="shared" ca="1" si="45"/>
        <v>-1.6583333333333334</v>
      </c>
      <c r="C596" t="str">
        <f ca="1">IF(currency="USD",'Future et co'!D596,IF(currency="EUR",'Future et co'!E596,IF(currency="GBP",'Future et co'!F596,FALSE)))</f>
        <v>RFR USD</v>
      </c>
      <c r="D596" t="str">
        <f t="shared" ca="1" si="46"/>
        <v>RFR USD</v>
      </c>
      <c r="E596" t="str">
        <f t="shared" ca="1" si="47"/>
        <v>RFR EUR</v>
      </c>
      <c r="F596" t="str">
        <f t="shared" ca="1" si="48"/>
        <v>RFR GBP</v>
      </c>
      <c r="J596" s="1"/>
      <c r="N596" s="1"/>
      <c r="R596" s="1"/>
      <c r="V596" s="1"/>
      <c r="AB596" s="1"/>
      <c r="AF596" s="1"/>
      <c r="AJ596" s="1"/>
      <c r="AN596" s="1"/>
      <c r="AS596" s="1"/>
      <c r="AX596" s="1"/>
      <c r="BA596" s="1"/>
      <c r="BC596" s="1"/>
      <c r="BM596" s="1"/>
      <c r="BP596" s="1"/>
    </row>
    <row r="597" spans="1:68" x14ac:dyDescent="0.3">
      <c r="A597" s="19">
        <f t="shared" si="49"/>
        <v>46750</v>
      </c>
      <c r="B597">
        <f t="shared" ca="1" si="45"/>
        <v>-1.6611111111111112</v>
      </c>
      <c r="C597" t="str">
        <f ca="1">IF(currency="USD",'Future et co'!D597,IF(currency="EUR",'Future et co'!E597,IF(currency="GBP",'Future et co'!F597,FALSE)))</f>
        <v>RFR USD</v>
      </c>
      <c r="D597" t="str">
        <f t="shared" ca="1" si="46"/>
        <v>RFR USD</v>
      </c>
      <c r="E597" t="str">
        <f t="shared" ca="1" si="47"/>
        <v>RFR EUR</v>
      </c>
      <c r="F597" t="str">
        <f t="shared" ca="1" si="48"/>
        <v>RFR GBP</v>
      </c>
      <c r="J597" s="1"/>
      <c r="N597" s="1"/>
      <c r="R597" s="1"/>
      <c r="V597" s="1"/>
      <c r="AB597" s="1"/>
      <c r="AF597" s="1"/>
      <c r="AJ597" s="1"/>
      <c r="AN597" s="1"/>
      <c r="AS597" s="1"/>
      <c r="AX597" s="1"/>
      <c r="BA597" s="1"/>
      <c r="BC597" s="1"/>
      <c r="BM597" s="1"/>
      <c r="BP597" s="1"/>
    </row>
    <row r="598" spans="1:68" x14ac:dyDescent="0.3">
      <c r="A598" s="19">
        <f t="shared" si="49"/>
        <v>46751</v>
      </c>
      <c r="B598">
        <f t="shared" ca="1" si="45"/>
        <v>-1.663888888888889</v>
      </c>
      <c r="C598" t="str">
        <f ca="1">IF(currency="USD",'Future et co'!D598,IF(currency="EUR",'Future et co'!E598,IF(currency="GBP",'Future et co'!F598,FALSE)))</f>
        <v>RFR USD</v>
      </c>
      <c r="D598" t="str">
        <f t="shared" ca="1" si="46"/>
        <v>RFR USD</v>
      </c>
      <c r="E598" t="str">
        <f t="shared" ca="1" si="47"/>
        <v>RFR EUR</v>
      </c>
      <c r="F598" t="str">
        <f t="shared" ca="1" si="48"/>
        <v>RFR GBP</v>
      </c>
      <c r="J598" s="1"/>
      <c r="N598" s="1"/>
      <c r="R598" s="1"/>
      <c r="V598" s="1"/>
      <c r="AB598" s="1"/>
      <c r="AF598" s="1"/>
      <c r="AJ598" s="1"/>
      <c r="AN598" s="1"/>
      <c r="AS598" s="1"/>
      <c r="AX598" s="1"/>
      <c r="BA598" s="1"/>
      <c r="BC598" s="1"/>
      <c r="BM598" s="1"/>
      <c r="BP598" s="1"/>
    </row>
    <row r="599" spans="1:68" x14ac:dyDescent="0.3">
      <c r="A599" s="19">
        <f t="shared" si="49"/>
        <v>46752</v>
      </c>
      <c r="B599">
        <f t="shared" ca="1" si="45"/>
        <v>-1.6666666666666667</v>
      </c>
      <c r="C599" t="str">
        <f ca="1">IF(currency="USD",'Future et co'!D599,IF(currency="EUR",'Future et co'!E599,IF(currency="GBP",'Future et co'!F599,FALSE)))</f>
        <v>RFR USD</v>
      </c>
      <c r="D599" t="str">
        <f t="shared" ca="1" si="46"/>
        <v>RFR USD</v>
      </c>
      <c r="E599" t="str">
        <f t="shared" ca="1" si="47"/>
        <v>RFR EUR</v>
      </c>
      <c r="F599" t="str">
        <f t="shared" ca="1" si="48"/>
        <v>RFR GBP</v>
      </c>
      <c r="J599" s="1"/>
      <c r="N599" s="1"/>
      <c r="R599" s="1"/>
      <c r="V599" s="1"/>
      <c r="AB599" s="1"/>
      <c r="AF599" s="1"/>
      <c r="AJ599" s="1"/>
      <c r="AN599" s="1"/>
      <c r="AS599" s="1"/>
      <c r="AX599" s="1"/>
      <c r="BA599" s="1"/>
      <c r="BC599" s="1"/>
      <c r="BM599" s="1"/>
      <c r="BP599" s="1"/>
    </row>
    <row r="600" spans="1:68" x14ac:dyDescent="0.3">
      <c r="A600" s="19">
        <f t="shared" si="49"/>
        <v>46755</v>
      </c>
      <c r="B600">
        <f t="shared" ca="1" si="45"/>
        <v>-1.675</v>
      </c>
      <c r="C600" t="str">
        <f ca="1">IF(currency="USD",'Future et co'!D600,IF(currency="EUR",'Future et co'!E600,IF(currency="GBP",'Future et co'!F600,FALSE)))</f>
        <v>RFR USD</v>
      </c>
      <c r="D600" t="str">
        <f t="shared" ca="1" si="46"/>
        <v>RFR USD</v>
      </c>
      <c r="E600" t="str">
        <f t="shared" ca="1" si="47"/>
        <v>RFR EUR</v>
      </c>
      <c r="F600" t="str">
        <f t="shared" ca="1" si="48"/>
        <v>RFR GBP</v>
      </c>
      <c r="J600" s="1"/>
      <c r="N600" s="1"/>
      <c r="R600" s="1"/>
      <c r="V600" s="1"/>
      <c r="AB600" s="1"/>
      <c r="AF600" s="1"/>
      <c r="AJ600" s="1"/>
      <c r="AN600" s="1"/>
      <c r="AS600" s="1"/>
      <c r="AX600" s="1"/>
      <c r="BA600" s="1"/>
      <c r="BC600" s="1"/>
      <c r="BM600" s="1"/>
      <c r="BP600" s="1"/>
    </row>
    <row r="601" spans="1:68" x14ac:dyDescent="0.3">
      <c r="A601" s="19">
        <f t="shared" si="49"/>
        <v>46756</v>
      </c>
      <c r="B601">
        <f t="shared" ca="1" si="45"/>
        <v>-1.6777777777777778</v>
      </c>
      <c r="C601" t="str">
        <f ca="1">IF(currency="USD",'Future et co'!D601,IF(currency="EUR",'Future et co'!E601,IF(currency="GBP",'Future et co'!F601,FALSE)))</f>
        <v>RFR USD</v>
      </c>
      <c r="D601" t="str">
        <f t="shared" ca="1" si="46"/>
        <v>RFR USD</v>
      </c>
      <c r="E601" t="str">
        <f t="shared" ca="1" si="47"/>
        <v>RFR EUR</v>
      </c>
      <c r="F601" t="str">
        <f t="shared" ca="1" si="48"/>
        <v>RFR GBP</v>
      </c>
      <c r="J601" s="1"/>
      <c r="N601" s="1"/>
      <c r="R601" s="1"/>
      <c r="V601" s="1"/>
      <c r="AB601" s="1"/>
      <c r="AF601" s="1"/>
      <c r="AJ601" s="1"/>
      <c r="AN601" s="1"/>
      <c r="AS601" s="1"/>
      <c r="AX601" s="1"/>
      <c r="BA601" s="1"/>
      <c r="BC601" s="1"/>
      <c r="BM601" s="1"/>
      <c r="BP601" s="1"/>
    </row>
    <row r="602" spans="1:68" x14ac:dyDescent="0.3">
      <c r="A602" s="19">
        <f t="shared" si="49"/>
        <v>46757</v>
      </c>
      <c r="B602">
        <f t="shared" ca="1" si="45"/>
        <v>-1.6805555555555556</v>
      </c>
      <c r="C602" t="str">
        <f ca="1">IF(currency="USD",'Future et co'!D602,IF(currency="EUR",'Future et co'!E602,IF(currency="GBP",'Future et co'!F602,FALSE)))</f>
        <v>RFR USD</v>
      </c>
      <c r="D602" t="str">
        <f t="shared" ca="1" si="46"/>
        <v>RFR USD</v>
      </c>
      <c r="E602" t="str">
        <f t="shared" ca="1" si="47"/>
        <v>RFR EUR</v>
      </c>
      <c r="F602" t="str">
        <f t="shared" ca="1" si="48"/>
        <v>RFR GBP</v>
      </c>
      <c r="J602" s="1"/>
      <c r="N602" s="1"/>
      <c r="R602" s="1"/>
      <c r="V602" s="1"/>
      <c r="AB602" s="1"/>
      <c r="AF602" s="1"/>
      <c r="AJ602" s="1"/>
      <c r="AN602" s="1"/>
      <c r="AS602" s="1"/>
      <c r="AX602" s="1"/>
      <c r="BA602" s="1"/>
      <c r="BC602" s="1"/>
      <c r="BM602" s="1"/>
      <c r="BP602" s="1"/>
    </row>
    <row r="603" spans="1:68" x14ac:dyDescent="0.3">
      <c r="A603" s="19">
        <f t="shared" si="49"/>
        <v>46758</v>
      </c>
      <c r="B603">
        <f t="shared" ca="1" si="45"/>
        <v>-1.6833333333333333</v>
      </c>
      <c r="C603" t="str">
        <f ca="1">IF(currency="USD",'Future et co'!D603,IF(currency="EUR",'Future et co'!E603,IF(currency="GBP",'Future et co'!F603,FALSE)))</f>
        <v>RFR USD</v>
      </c>
      <c r="D603" t="str">
        <f t="shared" ca="1" si="46"/>
        <v>RFR USD</v>
      </c>
      <c r="E603" t="str">
        <f t="shared" ca="1" si="47"/>
        <v>RFR EUR</v>
      </c>
      <c r="F603" t="str">
        <f t="shared" ca="1" si="48"/>
        <v>RFR GBP</v>
      </c>
      <c r="J603" s="1"/>
      <c r="N603" s="1"/>
      <c r="R603" s="1"/>
      <c r="V603" s="1"/>
      <c r="AB603" s="1"/>
      <c r="AF603" s="1"/>
      <c r="AJ603" s="1"/>
      <c r="AN603" s="1"/>
      <c r="AS603" s="1"/>
      <c r="AX603" s="1"/>
      <c r="BA603" s="1"/>
      <c r="BC603" s="1"/>
      <c r="BM603" s="1"/>
      <c r="BP603" s="1"/>
    </row>
    <row r="604" spans="1:68" x14ac:dyDescent="0.3">
      <c r="A604" s="19">
        <f t="shared" si="49"/>
        <v>46759</v>
      </c>
      <c r="B604">
        <f t="shared" ca="1" si="45"/>
        <v>-1.6861111111111111</v>
      </c>
      <c r="C604" t="str">
        <f ca="1">IF(currency="USD",'Future et co'!D604,IF(currency="EUR",'Future et co'!E604,IF(currency="GBP",'Future et co'!F604,FALSE)))</f>
        <v>RFR USD</v>
      </c>
      <c r="D604" t="str">
        <f t="shared" ca="1" si="46"/>
        <v>RFR USD</v>
      </c>
      <c r="E604" t="str">
        <f t="shared" ca="1" si="47"/>
        <v>RFR EUR</v>
      </c>
      <c r="F604" t="str">
        <f t="shared" ca="1" si="48"/>
        <v>RFR GBP</v>
      </c>
      <c r="J604" s="1"/>
      <c r="N604" s="1"/>
      <c r="R604" s="1"/>
      <c r="V604" s="1"/>
      <c r="AB604" s="1"/>
      <c r="AF604" s="1"/>
      <c r="AJ604" s="1"/>
      <c r="AN604" s="1"/>
      <c r="AS604" s="1"/>
      <c r="AX604" s="1"/>
      <c r="BA604" s="1"/>
      <c r="BC604" s="1"/>
      <c r="BM604" s="1"/>
      <c r="BP604" s="1"/>
    </row>
    <row r="605" spans="1:68" x14ac:dyDescent="0.3">
      <c r="A605" s="19">
        <f t="shared" si="49"/>
        <v>46762</v>
      </c>
      <c r="B605">
        <f t="shared" ca="1" si="45"/>
        <v>-1.6944444444444444</v>
      </c>
      <c r="C605" t="str">
        <f ca="1">IF(currency="USD",'Future et co'!D605,IF(currency="EUR",'Future et co'!E605,IF(currency="GBP",'Future et co'!F605,FALSE)))</f>
        <v>RFR USD</v>
      </c>
      <c r="D605" t="str">
        <f t="shared" ca="1" si="46"/>
        <v>RFR USD</v>
      </c>
      <c r="E605" t="str">
        <f t="shared" ca="1" si="47"/>
        <v>RFR EUR</v>
      </c>
      <c r="F605" t="str">
        <f t="shared" ca="1" si="48"/>
        <v>RFR GBP</v>
      </c>
      <c r="J605" s="1"/>
      <c r="N605" s="1"/>
      <c r="R605" s="1"/>
      <c r="V605" s="1"/>
      <c r="AB605" s="1"/>
      <c r="AF605" s="1"/>
      <c r="AJ605" s="1"/>
      <c r="AN605" s="1"/>
      <c r="AS605" s="1"/>
      <c r="AX605" s="1"/>
      <c r="BA605" s="1"/>
      <c r="BC605" s="1"/>
      <c r="BM605" s="1"/>
      <c r="BP605" s="1"/>
    </row>
    <row r="606" spans="1:68" x14ac:dyDescent="0.3">
      <c r="A606" s="19">
        <f t="shared" si="49"/>
        <v>46763</v>
      </c>
      <c r="B606">
        <f t="shared" ca="1" si="45"/>
        <v>-1.6972222222222222</v>
      </c>
      <c r="C606" t="str">
        <f ca="1">IF(currency="USD",'Future et co'!D606,IF(currency="EUR",'Future et co'!E606,IF(currency="GBP",'Future et co'!F606,FALSE)))</f>
        <v>RFR USD</v>
      </c>
      <c r="D606" t="str">
        <f t="shared" ca="1" si="46"/>
        <v>RFR USD</v>
      </c>
      <c r="E606" t="str">
        <f t="shared" ca="1" si="47"/>
        <v>RFR EUR</v>
      </c>
      <c r="F606" t="str">
        <f t="shared" ca="1" si="48"/>
        <v>RFR GBP</v>
      </c>
      <c r="J606" s="1"/>
      <c r="N606" s="1"/>
      <c r="R606" s="1"/>
      <c r="V606" s="1"/>
      <c r="AB606" s="1"/>
      <c r="AF606" s="1"/>
      <c r="AJ606" s="1"/>
      <c r="AN606" s="1"/>
      <c r="AS606" s="1"/>
      <c r="AX606" s="1"/>
      <c r="BA606" s="1"/>
      <c r="BC606" s="1"/>
      <c r="BM606" s="1"/>
      <c r="BP606" s="1"/>
    </row>
    <row r="607" spans="1:68" x14ac:dyDescent="0.3">
      <c r="A607" s="19">
        <f t="shared" si="49"/>
        <v>46764</v>
      </c>
      <c r="B607">
        <f t="shared" ca="1" si="45"/>
        <v>-1.7</v>
      </c>
      <c r="C607" t="str">
        <f ca="1">IF(currency="USD",'Future et co'!D607,IF(currency="EUR",'Future et co'!E607,IF(currency="GBP",'Future et co'!F607,FALSE)))</f>
        <v>RFR USD</v>
      </c>
      <c r="D607" t="str">
        <f t="shared" ca="1" si="46"/>
        <v>RFR USD</v>
      </c>
      <c r="E607" t="str">
        <f t="shared" ca="1" si="47"/>
        <v>RFR EUR</v>
      </c>
      <c r="F607" t="str">
        <f t="shared" ca="1" si="48"/>
        <v>RFR GBP</v>
      </c>
      <c r="J607" s="1"/>
      <c r="N607" s="1"/>
      <c r="R607" s="1"/>
      <c r="V607" s="1"/>
      <c r="AB607" s="1"/>
      <c r="AF607" s="1"/>
      <c r="AJ607" s="1"/>
      <c r="AN607" s="1"/>
      <c r="AS607" s="1"/>
      <c r="AX607" s="1"/>
      <c r="BA607" s="1"/>
      <c r="BC607" s="1"/>
      <c r="BM607" s="1"/>
      <c r="BP607" s="1"/>
    </row>
    <row r="608" spans="1:68" x14ac:dyDescent="0.3">
      <c r="A608" s="19">
        <f t="shared" si="49"/>
        <v>46765</v>
      </c>
      <c r="B608">
        <f t="shared" ca="1" si="45"/>
        <v>-1.7027777777777777</v>
      </c>
      <c r="C608" t="str">
        <f ca="1">IF(currency="USD",'Future et co'!D608,IF(currency="EUR",'Future et co'!E608,IF(currency="GBP",'Future et co'!F608,FALSE)))</f>
        <v>RFR USD</v>
      </c>
      <c r="D608" t="str">
        <f t="shared" ca="1" si="46"/>
        <v>RFR USD</v>
      </c>
      <c r="E608" t="str">
        <f t="shared" ca="1" si="47"/>
        <v>RFR EUR</v>
      </c>
      <c r="F608" t="str">
        <f t="shared" ca="1" si="48"/>
        <v>RFR GBP</v>
      </c>
      <c r="J608" s="1"/>
      <c r="N608" s="1"/>
      <c r="R608" s="1"/>
      <c r="V608" s="1"/>
      <c r="AB608" s="1"/>
      <c r="AF608" s="1"/>
      <c r="AJ608" s="1"/>
      <c r="AN608" s="1"/>
      <c r="AS608" s="1"/>
      <c r="AX608" s="1"/>
      <c r="BA608" s="1"/>
      <c r="BC608" s="1"/>
      <c r="BM608" s="1"/>
      <c r="BP608" s="1"/>
    </row>
    <row r="609" spans="1:68" x14ac:dyDescent="0.3">
      <c r="A609" s="19">
        <f t="shared" si="49"/>
        <v>46766</v>
      </c>
      <c r="B609">
        <f t="shared" ca="1" si="45"/>
        <v>-1.7055555555555555</v>
      </c>
      <c r="C609" t="str">
        <f ca="1">IF(currency="USD",'Future et co'!D609,IF(currency="EUR",'Future et co'!E609,IF(currency="GBP",'Future et co'!F609,FALSE)))</f>
        <v>RFR USD</v>
      </c>
      <c r="D609" t="str">
        <f t="shared" ca="1" si="46"/>
        <v>RFR USD</v>
      </c>
      <c r="E609" t="str">
        <f t="shared" ca="1" si="47"/>
        <v>RFR EUR</v>
      </c>
      <c r="F609" t="str">
        <f t="shared" ca="1" si="48"/>
        <v>RFR GBP</v>
      </c>
      <c r="J609" s="1"/>
      <c r="N609" s="1"/>
      <c r="R609" s="1"/>
      <c r="V609" s="1"/>
      <c r="AB609" s="1"/>
      <c r="AF609" s="1"/>
      <c r="AJ609" s="1"/>
      <c r="AN609" s="1"/>
      <c r="AS609" s="1"/>
      <c r="AX609" s="1"/>
      <c r="BA609" s="1"/>
      <c r="BC609" s="1"/>
      <c r="BM609" s="1"/>
      <c r="BP609" s="1"/>
    </row>
    <row r="610" spans="1:68" x14ac:dyDescent="0.3">
      <c r="A610" s="19">
        <f t="shared" si="49"/>
        <v>46769</v>
      </c>
      <c r="B610">
        <f t="shared" ca="1" si="45"/>
        <v>-1.7138888888888888</v>
      </c>
      <c r="C610" t="str">
        <f ca="1">IF(currency="USD",'Future et co'!D610,IF(currency="EUR",'Future et co'!E610,IF(currency="GBP",'Future et co'!F610,FALSE)))</f>
        <v>RFR USD</v>
      </c>
      <c r="D610" t="str">
        <f t="shared" ca="1" si="46"/>
        <v>RFR USD</v>
      </c>
      <c r="E610" t="str">
        <f t="shared" ca="1" si="47"/>
        <v>RFR EUR</v>
      </c>
      <c r="F610" t="str">
        <f t="shared" ca="1" si="48"/>
        <v>RFR GBP</v>
      </c>
      <c r="J610" s="1"/>
      <c r="N610" s="1"/>
      <c r="R610" s="1"/>
      <c r="V610" s="1"/>
      <c r="AB610" s="1"/>
      <c r="AF610" s="1"/>
      <c r="AJ610" s="1"/>
      <c r="AN610" s="1"/>
      <c r="AS610" s="1"/>
      <c r="AX610" s="1"/>
      <c r="BA610" s="1"/>
      <c r="BC610" s="1"/>
      <c r="BM610" s="1"/>
      <c r="BP610" s="1"/>
    </row>
    <row r="611" spans="1:68" x14ac:dyDescent="0.3">
      <c r="A611" s="19">
        <f t="shared" si="49"/>
        <v>46770</v>
      </c>
      <c r="B611">
        <f t="shared" ca="1" si="45"/>
        <v>-1.7166666666666666</v>
      </c>
      <c r="C611" t="str">
        <f ca="1">IF(currency="USD",'Future et co'!D611,IF(currency="EUR",'Future et co'!E611,IF(currency="GBP",'Future et co'!F611,FALSE)))</f>
        <v>RFR USD</v>
      </c>
      <c r="D611" t="str">
        <f t="shared" ca="1" si="46"/>
        <v>RFR USD</v>
      </c>
      <c r="E611" t="str">
        <f t="shared" ca="1" si="47"/>
        <v>RFR EUR</v>
      </c>
      <c r="F611" t="str">
        <f t="shared" ca="1" si="48"/>
        <v>RFR GBP</v>
      </c>
      <c r="J611" s="1"/>
      <c r="N611" s="1"/>
      <c r="R611" s="1"/>
      <c r="V611" s="1"/>
      <c r="AB611" s="1"/>
      <c r="AF611" s="1"/>
      <c r="AJ611" s="1"/>
      <c r="AN611" s="1"/>
      <c r="AS611" s="1"/>
      <c r="AX611" s="1"/>
      <c r="BA611" s="1"/>
      <c r="BC611" s="1"/>
      <c r="BM611" s="1"/>
      <c r="BP611" s="1"/>
    </row>
    <row r="612" spans="1:68" x14ac:dyDescent="0.3">
      <c r="A612" s="19">
        <f t="shared" si="49"/>
        <v>46771</v>
      </c>
      <c r="B612">
        <f t="shared" ca="1" si="45"/>
        <v>-1.7194444444444446</v>
      </c>
      <c r="C612" t="str">
        <f ca="1">IF(currency="USD",'Future et co'!D612,IF(currency="EUR",'Future et co'!E612,IF(currency="GBP",'Future et co'!F612,FALSE)))</f>
        <v>RFR USD</v>
      </c>
      <c r="D612" t="str">
        <f t="shared" ca="1" si="46"/>
        <v>RFR USD</v>
      </c>
      <c r="E612" t="str">
        <f t="shared" ca="1" si="47"/>
        <v>RFR EUR</v>
      </c>
      <c r="F612" t="str">
        <f t="shared" ca="1" si="48"/>
        <v>RFR GBP</v>
      </c>
      <c r="J612" s="1"/>
      <c r="N612" s="1"/>
      <c r="R612" s="1"/>
      <c r="V612" s="1"/>
      <c r="AB612" s="1"/>
      <c r="AF612" s="1"/>
      <c r="AJ612" s="1"/>
      <c r="AN612" s="1"/>
      <c r="AS612" s="1"/>
      <c r="AX612" s="1"/>
      <c r="BA612" s="1"/>
      <c r="BC612" s="1"/>
      <c r="BM612" s="1"/>
      <c r="BP612" s="1"/>
    </row>
    <row r="613" spans="1:68" x14ac:dyDescent="0.3">
      <c r="A613" s="19">
        <f t="shared" si="49"/>
        <v>46772</v>
      </c>
      <c r="B613">
        <f t="shared" ca="1" si="45"/>
        <v>-1.7222222222222223</v>
      </c>
      <c r="C613" t="str">
        <f ca="1">IF(currency="USD",'Future et co'!D613,IF(currency="EUR",'Future et co'!E613,IF(currency="GBP",'Future et co'!F613,FALSE)))</f>
        <v>RFR USD</v>
      </c>
      <c r="D613" t="str">
        <f t="shared" ca="1" si="46"/>
        <v>RFR USD</v>
      </c>
      <c r="E613" t="str">
        <f t="shared" ca="1" si="47"/>
        <v>RFR EUR</v>
      </c>
      <c r="F613" t="str">
        <f t="shared" ca="1" si="48"/>
        <v>RFR GBP</v>
      </c>
      <c r="J613" s="1"/>
      <c r="N613" s="1"/>
      <c r="R613" s="1"/>
      <c r="V613" s="1"/>
      <c r="AB613" s="1"/>
      <c r="AF613" s="1"/>
      <c r="AJ613" s="1"/>
      <c r="AN613" s="1"/>
      <c r="AS613" s="1"/>
      <c r="AX613" s="1"/>
      <c r="BA613" s="1"/>
      <c r="BC613" s="1"/>
      <c r="BM613" s="1"/>
      <c r="BP613" s="1"/>
    </row>
    <row r="614" spans="1:68" x14ac:dyDescent="0.3">
      <c r="A614" s="19">
        <f t="shared" si="49"/>
        <v>46773</v>
      </c>
      <c r="B614">
        <f t="shared" ca="1" si="45"/>
        <v>-1.7250000000000001</v>
      </c>
      <c r="C614" t="str">
        <f ca="1">IF(currency="USD",'Future et co'!D614,IF(currency="EUR",'Future et co'!E614,IF(currency="GBP",'Future et co'!F614,FALSE)))</f>
        <v>RFR USD</v>
      </c>
      <c r="D614" t="str">
        <f t="shared" ca="1" si="46"/>
        <v>RFR USD</v>
      </c>
      <c r="E614" t="str">
        <f t="shared" ca="1" si="47"/>
        <v>RFR EUR</v>
      </c>
      <c r="F614" t="str">
        <f t="shared" ca="1" si="48"/>
        <v>RFR GBP</v>
      </c>
      <c r="J614" s="1"/>
      <c r="N614" s="1"/>
      <c r="R614" s="1"/>
      <c r="V614" s="1"/>
      <c r="AB614" s="1"/>
      <c r="AF614" s="1"/>
      <c r="AJ614" s="1"/>
      <c r="AN614" s="1"/>
      <c r="AS614" s="1"/>
      <c r="AX614" s="1"/>
      <c r="BA614" s="1"/>
      <c r="BC614" s="1"/>
      <c r="BM614" s="1"/>
      <c r="BP614" s="1"/>
    </row>
    <row r="615" spans="1:68" x14ac:dyDescent="0.3">
      <c r="A615" s="19">
        <f t="shared" si="49"/>
        <v>46776</v>
      </c>
      <c r="B615">
        <f t="shared" ca="1" si="45"/>
        <v>-1.7333333333333334</v>
      </c>
      <c r="C615" t="str">
        <f ca="1">IF(currency="USD",'Future et co'!D615,IF(currency="EUR",'Future et co'!E615,IF(currency="GBP",'Future et co'!F615,FALSE)))</f>
        <v>RFR USD</v>
      </c>
      <c r="D615" t="str">
        <f t="shared" ca="1" si="46"/>
        <v>RFR USD</v>
      </c>
      <c r="E615" t="str">
        <f t="shared" ca="1" si="47"/>
        <v>RFR EUR</v>
      </c>
      <c r="F615" t="str">
        <f t="shared" ca="1" si="48"/>
        <v>RFR GBP</v>
      </c>
      <c r="J615" s="1"/>
      <c r="N615" s="1"/>
      <c r="R615" s="1"/>
      <c r="V615" s="1"/>
      <c r="AB615" s="1"/>
      <c r="AF615" s="1"/>
      <c r="AJ615" s="1"/>
      <c r="AN615" s="1"/>
      <c r="AS615" s="1"/>
      <c r="AX615" s="1"/>
      <c r="BA615" s="1"/>
      <c r="BC615" s="1"/>
      <c r="BM615" s="1"/>
      <c r="BP615" s="1"/>
    </row>
    <row r="616" spans="1:68" x14ac:dyDescent="0.3">
      <c r="A616" s="19">
        <f t="shared" si="49"/>
        <v>46777</v>
      </c>
      <c r="B616">
        <f t="shared" ca="1" si="45"/>
        <v>-1.7361111111111112</v>
      </c>
      <c r="C616" t="str">
        <f ca="1">IF(currency="USD",'Future et co'!D616,IF(currency="EUR",'Future et co'!E616,IF(currency="GBP",'Future et co'!F616,FALSE)))</f>
        <v>RFR USD</v>
      </c>
      <c r="D616" t="str">
        <f t="shared" ca="1" si="46"/>
        <v>RFR USD</v>
      </c>
      <c r="E616" t="str">
        <f t="shared" ca="1" si="47"/>
        <v>RFR EUR</v>
      </c>
      <c r="F616" t="str">
        <f t="shared" ca="1" si="48"/>
        <v>RFR GBP</v>
      </c>
      <c r="J616" s="1"/>
      <c r="N616" s="1"/>
      <c r="R616" s="1"/>
      <c r="V616" s="1"/>
      <c r="AB616" s="1"/>
      <c r="AF616" s="1"/>
      <c r="AJ616" s="1"/>
      <c r="AN616" s="1"/>
      <c r="AS616" s="1"/>
      <c r="AX616" s="1"/>
      <c r="BA616" s="1"/>
      <c r="BC616" s="1"/>
      <c r="BM616" s="1"/>
      <c r="BP616" s="1"/>
    </row>
    <row r="617" spans="1:68" x14ac:dyDescent="0.3">
      <c r="A617" s="19">
        <f t="shared" si="49"/>
        <v>46778</v>
      </c>
      <c r="B617">
        <f t="shared" ca="1" si="45"/>
        <v>-1.7388888888888889</v>
      </c>
      <c r="C617" t="str">
        <f ca="1">IF(currency="USD",'Future et co'!D617,IF(currency="EUR",'Future et co'!E617,IF(currency="GBP",'Future et co'!F617,FALSE)))</f>
        <v>RFR USD</v>
      </c>
      <c r="D617" t="str">
        <f t="shared" ca="1" si="46"/>
        <v>RFR USD</v>
      </c>
      <c r="E617" t="str">
        <f t="shared" ca="1" si="47"/>
        <v>RFR EUR</v>
      </c>
      <c r="F617" t="str">
        <f t="shared" ca="1" si="48"/>
        <v>RFR GBP</v>
      </c>
      <c r="J617" s="1"/>
      <c r="N617" s="1"/>
      <c r="R617" s="1"/>
      <c r="V617" s="1"/>
      <c r="AB617" s="1"/>
      <c r="AF617" s="1"/>
      <c r="AJ617" s="1"/>
      <c r="AN617" s="1"/>
      <c r="AS617" s="1"/>
      <c r="AX617" s="1"/>
      <c r="BA617" s="1"/>
      <c r="BC617" s="1"/>
      <c r="BM617" s="1"/>
      <c r="BP617" s="1"/>
    </row>
    <row r="618" spans="1:68" x14ac:dyDescent="0.3">
      <c r="A618" s="19">
        <f t="shared" si="49"/>
        <v>46779</v>
      </c>
      <c r="B618">
        <f t="shared" ca="1" si="45"/>
        <v>-1.7416666666666667</v>
      </c>
      <c r="C618" t="str">
        <f ca="1">IF(currency="USD",'Future et co'!D618,IF(currency="EUR",'Future et co'!E618,IF(currency="GBP",'Future et co'!F618,FALSE)))</f>
        <v>RFR USD</v>
      </c>
      <c r="D618" t="str">
        <f t="shared" ca="1" si="46"/>
        <v>RFR USD</v>
      </c>
      <c r="E618" t="str">
        <f t="shared" ca="1" si="47"/>
        <v>RFR EUR</v>
      </c>
      <c r="F618" t="str">
        <f t="shared" ca="1" si="48"/>
        <v>RFR GBP</v>
      </c>
      <c r="J618" s="1"/>
      <c r="N618" s="1"/>
      <c r="R618" s="1"/>
      <c r="V618" s="1"/>
      <c r="AB618" s="1"/>
      <c r="AF618" s="1"/>
      <c r="AJ618" s="1"/>
      <c r="AN618" s="1"/>
      <c r="AS618" s="1"/>
      <c r="AX618" s="1"/>
      <c r="BA618" s="1"/>
      <c r="BC618" s="1"/>
      <c r="BM618" s="1"/>
      <c r="BP618" s="1"/>
    </row>
    <row r="619" spans="1:68" x14ac:dyDescent="0.3">
      <c r="A619" s="19">
        <f t="shared" si="49"/>
        <v>46780</v>
      </c>
      <c r="B619">
        <f t="shared" ca="1" si="45"/>
        <v>-1.7444444444444445</v>
      </c>
      <c r="C619" t="str">
        <f ca="1">IF(currency="USD",'Future et co'!D619,IF(currency="EUR",'Future et co'!E619,IF(currency="GBP",'Future et co'!F619,FALSE)))</f>
        <v>RFR USD</v>
      </c>
      <c r="D619" t="str">
        <f t="shared" ca="1" si="46"/>
        <v>RFR USD</v>
      </c>
      <c r="E619" t="str">
        <f t="shared" ca="1" si="47"/>
        <v>RFR EUR</v>
      </c>
      <c r="F619" t="str">
        <f t="shared" ca="1" si="48"/>
        <v>RFR GBP</v>
      </c>
      <c r="J619" s="1"/>
      <c r="N619" s="1"/>
      <c r="R619" s="1"/>
      <c r="V619" s="1"/>
      <c r="AB619" s="1"/>
      <c r="AF619" s="1"/>
      <c r="AJ619" s="1"/>
      <c r="AN619" s="1"/>
      <c r="AS619" s="1"/>
      <c r="AX619" s="1"/>
      <c r="BA619" s="1"/>
      <c r="BC619" s="1"/>
      <c r="BM619" s="1"/>
      <c r="BP619" s="1"/>
    </row>
    <row r="620" spans="1:68" x14ac:dyDescent="0.3">
      <c r="A620" s="19">
        <f t="shared" si="49"/>
        <v>46783</v>
      </c>
      <c r="B620">
        <f t="shared" ca="1" si="45"/>
        <v>-1.7527777777777778</v>
      </c>
      <c r="C620" t="str">
        <f ca="1">IF(currency="USD",'Future et co'!D620,IF(currency="EUR",'Future et co'!E620,IF(currency="GBP",'Future et co'!F620,FALSE)))</f>
        <v>RFR USD</v>
      </c>
      <c r="D620" t="str">
        <f t="shared" ca="1" si="46"/>
        <v>RFR USD</v>
      </c>
      <c r="E620" t="str">
        <f t="shared" ca="1" si="47"/>
        <v>RFR EUR</v>
      </c>
      <c r="F620" t="str">
        <f t="shared" ca="1" si="48"/>
        <v>RFR GBP</v>
      </c>
      <c r="J620" s="1"/>
      <c r="N620" s="1"/>
      <c r="R620" s="1"/>
      <c r="V620" s="1"/>
      <c r="AB620" s="1"/>
      <c r="AF620" s="1"/>
      <c r="AJ620" s="1"/>
      <c r="AN620" s="1"/>
      <c r="AS620" s="1"/>
      <c r="AX620" s="1"/>
      <c r="BA620" s="1"/>
      <c r="BC620" s="1"/>
      <c r="BM620" s="1"/>
      <c r="BP620" s="1"/>
    </row>
    <row r="621" spans="1:68" x14ac:dyDescent="0.3">
      <c r="A621" s="19">
        <f t="shared" si="49"/>
        <v>46784</v>
      </c>
      <c r="B621">
        <f t="shared" ca="1" si="45"/>
        <v>-1.7555555555555555</v>
      </c>
      <c r="C621" t="str">
        <f ca="1">IF(currency="USD",'Future et co'!D621,IF(currency="EUR",'Future et co'!E621,IF(currency="GBP",'Future et co'!F621,FALSE)))</f>
        <v>RFR USD</v>
      </c>
      <c r="D621" t="str">
        <f t="shared" ca="1" si="46"/>
        <v>RFR USD</v>
      </c>
      <c r="E621" t="str">
        <f t="shared" ca="1" si="47"/>
        <v>RFR EUR</v>
      </c>
      <c r="F621" t="str">
        <f t="shared" ca="1" si="48"/>
        <v>RFR GBP</v>
      </c>
      <c r="J621" s="1"/>
      <c r="N621" s="1"/>
      <c r="R621" s="1"/>
      <c r="V621" s="1"/>
      <c r="AB621" s="1"/>
      <c r="AF621" s="1"/>
      <c r="AJ621" s="1"/>
      <c r="AN621" s="1"/>
      <c r="AS621" s="1"/>
      <c r="AX621" s="1"/>
      <c r="BA621" s="1"/>
      <c r="BC621" s="1"/>
      <c r="BM621" s="1"/>
      <c r="BP621" s="1"/>
    </row>
    <row r="622" spans="1:68" x14ac:dyDescent="0.3">
      <c r="A622" s="19">
        <f t="shared" si="49"/>
        <v>46785</v>
      </c>
      <c r="B622">
        <f t="shared" ca="1" si="45"/>
        <v>-1.7583333333333333</v>
      </c>
      <c r="C622" t="str">
        <f ca="1">IF(currency="USD",'Future et co'!D622,IF(currency="EUR",'Future et co'!E622,IF(currency="GBP",'Future et co'!F622,FALSE)))</f>
        <v>RFR USD</v>
      </c>
      <c r="D622" t="str">
        <f t="shared" ca="1" si="46"/>
        <v>RFR USD</v>
      </c>
      <c r="E622" t="str">
        <f t="shared" ca="1" si="47"/>
        <v>RFR EUR</v>
      </c>
      <c r="F622" t="str">
        <f t="shared" ca="1" si="48"/>
        <v>RFR GBP</v>
      </c>
      <c r="J622" s="1"/>
      <c r="N622" s="1"/>
      <c r="R622" s="1"/>
      <c r="V622" s="1"/>
      <c r="AB622" s="1"/>
      <c r="AF622" s="1"/>
      <c r="AJ622" s="1"/>
      <c r="AN622" s="1"/>
      <c r="AS622" s="1"/>
      <c r="AX622" s="1"/>
      <c r="BA622" s="1"/>
      <c r="BC622" s="1"/>
      <c r="BM622" s="1"/>
      <c r="BP622" s="1"/>
    </row>
    <row r="623" spans="1:68" x14ac:dyDescent="0.3">
      <c r="A623" s="19">
        <f t="shared" si="49"/>
        <v>46786</v>
      </c>
      <c r="B623">
        <f t="shared" ca="1" si="45"/>
        <v>-1.7611111111111111</v>
      </c>
      <c r="C623" t="str">
        <f ca="1">IF(currency="USD",'Future et co'!D623,IF(currency="EUR",'Future et co'!E623,IF(currency="GBP",'Future et co'!F623,FALSE)))</f>
        <v>RFR USD</v>
      </c>
      <c r="D623" t="str">
        <f t="shared" ca="1" si="46"/>
        <v>RFR USD</v>
      </c>
      <c r="E623" t="str">
        <f t="shared" ca="1" si="47"/>
        <v>RFR EUR</v>
      </c>
      <c r="F623" t="str">
        <f t="shared" ca="1" si="48"/>
        <v>RFR GBP</v>
      </c>
      <c r="J623" s="1"/>
      <c r="N623" s="1"/>
      <c r="R623" s="1"/>
      <c r="V623" s="1"/>
      <c r="AB623" s="1"/>
      <c r="AF623" s="1"/>
      <c r="AJ623" s="1"/>
      <c r="AN623" s="1"/>
      <c r="AS623" s="1"/>
      <c r="AX623" s="1"/>
      <c r="BA623" s="1"/>
      <c r="BC623" s="1"/>
      <c r="BM623" s="1"/>
      <c r="BP623" s="1"/>
    </row>
    <row r="624" spans="1:68" x14ac:dyDescent="0.3">
      <c r="A624" s="19">
        <f t="shared" si="49"/>
        <v>46787</v>
      </c>
      <c r="B624">
        <f t="shared" ca="1" si="45"/>
        <v>-1.7638888888888888</v>
      </c>
      <c r="C624" t="str">
        <f ca="1">IF(currency="USD",'Future et co'!D624,IF(currency="EUR",'Future et co'!E624,IF(currency="GBP",'Future et co'!F624,FALSE)))</f>
        <v>RFR USD</v>
      </c>
      <c r="D624" t="str">
        <f t="shared" ca="1" si="46"/>
        <v>RFR USD</v>
      </c>
      <c r="E624" t="str">
        <f t="shared" ca="1" si="47"/>
        <v>RFR EUR</v>
      </c>
      <c r="F624" t="str">
        <f t="shared" ca="1" si="48"/>
        <v>RFR GBP</v>
      </c>
      <c r="J624" s="1"/>
      <c r="N624" s="1"/>
      <c r="R624" s="1"/>
      <c r="V624" s="1"/>
      <c r="AB624" s="1"/>
      <c r="AF624" s="1"/>
      <c r="AJ624" s="1"/>
      <c r="AN624" s="1"/>
      <c r="AS624" s="1"/>
      <c r="AX624" s="1"/>
      <c r="BA624" s="1"/>
      <c r="BC624" s="1"/>
      <c r="BM624" s="1"/>
      <c r="BP624" s="1"/>
    </row>
    <row r="625" spans="1:68" x14ac:dyDescent="0.3">
      <c r="A625" s="19">
        <f t="shared" si="49"/>
        <v>46790</v>
      </c>
      <c r="B625">
        <f t="shared" ca="1" si="45"/>
        <v>-1.7722222222222221</v>
      </c>
      <c r="C625" t="str">
        <f ca="1">IF(currency="USD",'Future et co'!D625,IF(currency="EUR",'Future et co'!E625,IF(currency="GBP",'Future et co'!F625,FALSE)))</f>
        <v>RFR USD</v>
      </c>
      <c r="D625" t="str">
        <f t="shared" ca="1" si="46"/>
        <v>RFR USD</v>
      </c>
      <c r="E625" t="str">
        <f t="shared" ca="1" si="47"/>
        <v>RFR EUR</v>
      </c>
      <c r="F625" t="str">
        <f t="shared" ca="1" si="48"/>
        <v>RFR GBP</v>
      </c>
      <c r="J625" s="1"/>
      <c r="N625" s="1"/>
      <c r="R625" s="1"/>
      <c r="V625" s="1"/>
      <c r="AB625" s="1"/>
      <c r="AF625" s="1"/>
      <c r="AJ625" s="1"/>
      <c r="AN625" s="1"/>
      <c r="AS625" s="1"/>
      <c r="AX625" s="1"/>
      <c r="BA625" s="1"/>
      <c r="BC625" s="1"/>
      <c r="BM625" s="1"/>
      <c r="BP625" s="1"/>
    </row>
    <row r="626" spans="1:68" x14ac:dyDescent="0.3">
      <c r="A626" s="19">
        <f t="shared" si="49"/>
        <v>46791</v>
      </c>
      <c r="B626">
        <f t="shared" ca="1" si="45"/>
        <v>-1.7749999999999999</v>
      </c>
      <c r="C626" t="str">
        <f ca="1">IF(currency="USD",'Future et co'!D626,IF(currency="EUR",'Future et co'!E626,IF(currency="GBP",'Future et co'!F626,FALSE)))</f>
        <v>RFR USD</v>
      </c>
      <c r="D626" t="str">
        <f t="shared" ca="1" si="46"/>
        <v>RFR USD</v>
      </c>
      <c r="E626" t="str">
        <f t="shared" ca="1" si="47"/>
        <v>RFR EUR</v>
      </c>
      <c r="F626" t="str">
        <f t="shared" ca="1" si="48"/>
        <v>RFR GBP</v>
      </c>
      <c r="J626" s="1"/>
      <c r="N626" s="1"/>
      <c r="R626" s="1"/>
      <c r="V626" s="1"/>
      <c r="AB626" s="1"/>
      <c r="AF626" s="1"/>
      <c r="AJ626" s="1"/>
      <c r="AN626" s="1"/>
      <c r="AS626" s="1"/>
      <c r="AX626" s="1"/>
      <c r="BA626" s="1"/>
      <c r="BC626" s="1"/>
      <c r="BM626" s="1"/>
      <c r="BP626" s="1"/>
    </row>
    <row r="627" spans="1:68" x14ac:dyDescent="0.3">
      <c r="A627" s="19">
        <f t="shared" si="49"/>
        <v>46792</v>
      </c>
      <c r="B627">
        <f t="shared" ca="1" si="45"/>
        <v>-1.7777777777777777</v>
      </c>
      <c r="C627" t="str">
        <f ca="1">IF(currency="USD",'Future et co'!D627,IF(currency="EUR",'Future et co'!E627,IF(currency="GBP",'Future et co'!F627,FALSE)))</f>
        <v>RFR USD</v>
      </c>
      <c r="D627" t="str">
        <f t="shared" ca="1" si="46"/>
        <v>RFR USD</v>
      </c>
      <c r="E627" t="str">
        <f t="shared" ca="1" si="47"/>
        <v>RFR EUR</v>
      </c>
      <c r="F627" t="str">
        <f t="shared" ca="1" si="48"/>
        <v>RFR GBP</v>
      </c>
      <c r="J627" s="1"/>
      <c r="N627" s="1"/>
      <c r="R627" s="1"/>
      <c r="V627" s="1"/>
      <c r="AB627" s="1"/>
      <c r="AF627" s="1"/>
      <c r="AJ627" s="1"/>
      <c r="AN627" s="1"/>
      <c r="AS627" s="1"/>
      <c r="AX627" s="1"/>
      <c r="BA627" s="1"/>
      <c r="BC627" s="1"/>
      <c r="BM627" s="1"/>
      <c r="BP627" s="1"/>
    </row>
    <row r="628" spans="1:68" x14ac:dyDescent="0.3">
      <c r="A628" s="19">
        <f t="shared" si="49"/>
        <v>46793</v>
      </c>
      <c r="B628">
        <f t="shared" ca="1" si="45"/>
        <v>-1.7805555555555554</v>
      </c>
      <c r="C628" t="str">
        <f ca="1">IF(currency="USD",'Future et co'!D628,IF(currency="EUR",'Future et co'!E628,IF(currency="GBP",'Future et co'!F628,FALSE)))</f>
        <v>RFR USD</v>
      </c>
      <c r="D628" t="str">
        <f t="shared" ca="1" si="46"/>
        <v>RFR USD</v>
      </c>
      <c r="E628" t="str">
        <f t="shared" ca="1" si="47"/>
        <v>RFR EUR</v>
      </c>
      <c r="F628" t="str">
        <f t="shared" ca="1" si="48"/>
        <v>RFR GBP</v>
      </c>
      <c r="J628" s="1"/>
      <c r="N628" s="1"/>
      <c r="R628" s="1"/>
      <c r="V628" s="1"/>
      <c r="AB628" s="1"/>
      <c r="AF628" s="1"/>
      <c r="AJ628" s="1"/>
      <c r="AN628" s="1"/>
      <c r="AS628" s="1"/>
      <c r="AX628" s="1"/>
      <c r="BA628" s="1"/>
      <c r="BC628" s="1"/>
      <c r="BM628" s="1"/>
      <c r="BP628" s="1"/>
    </row>
    <row r="629" spans="1:68" x14ac:dyDescent="0.3">
      <c r="A629" s="19">
        <f t="shared" si="49"/>
        <v>46794</v>
      </c>
      <c r="B629">
        <f t="shared" ca="1" si="45"/>
        <v>-1.7833333333333334</v>
      </c>
      <c r="C629" t="str">
        <f ca="1">IF(currency="USD",'Future et co'!D629,IF(currency="EUR",'Future et co'!E629,IF(currency="GBP",'Future et co'!F629,FALSE)))</f>
        <v>RFR USD</v>
      </c>
      <c r="D629" t="str">
        <f t="shared" ca="1" si="46"/>
        <v>RFR USD</v>
      </c>
      <c r="E629" t="str">
        <f t="shared" ca="1" si="47"/>
        <v>RFR EUR</v>
      </c>
      <c r="F629" t="str">
        <f t="shared" ca="1" si="48"/>
        <v>RFR GBP</v>
      </c>
      <c r="J629" s="1"/>
      <c r="N629" s="1"/>
      <c r="R629" s="1"/>
      <c r="V629" s="1"/>
      <c r="AB629" s="1"/>
      <c r="AF629" s="1"/>
      <c r="AJ629" s="1"/>
      <c r="AN629" s="1"/>
      <c r="AS629" s="1"/>
      <c r="AX629" s="1"/>
      <c r="BA629" s="1"/>
      <c r="BC629" s="1"/>
      <c r="BM629" s="1"/>
      <c r="BP629" s="1"/>
    </row>
    <row r="630" spans="1:68" x14ac:dyDescent="0.3">
      <c r="A630" s="19">
        <f t="shared" si="49"/>
        <v>46797</v>
      </c>
      <c r="B630">
        <f t="shared" ca="1" si="45"/>
        <v>-1.7916666666666667</v>
      </c>
      <c r="C630" t="str">
        <f ca="1">IF(currency="USD",'Future et co'!D630,IF(currency="EUR",'Future et co'!E630,IF(currency="GBP",'Future et co'!F630,FALSE)))</f>
        <v>RFR USD</v>
      </c>
      <c r="D630" t="str">
        <f t="shared" ca="1" si="46"/>
        <v>RFR USD</v>
      </c>
      <c r="E630" t="str">
        <f t="shared" ca="1" si="47"/>
        <v>RFR EUR</v>
      </c>
      <c r="F630" t="str">
        <f t="shared" ca="1" si="48"/>
        <v>RFR GBP</v>
      </c>
      <c r="J630" s="1"/>
      <c r="N630" s="1"/>
      <c r="R630" s="1"/>
      <c r="V630" s="1"/>
      <c r="AB630" s="1"/>
      <c r="AF630" s="1"/>
      <c r="AJ630" s="1"/>
      <c r="AN630" s="1"/>
      <c r="AS630" s="1"/>
      <c r="AX630" s="1"/>
      <c r="BA630" s="1"/>
      <c r="BC630" s="1"/>
      <c r="BM630" s="1"/>
      <c r="BP630" s="1"/>
    </row>
    <row r="631" spans="1:68" x14ac:dyDescent="0.3">
      <c r="A631" s="19">
        <f t="shared" si="49"/>
        <v>46798</v>
      </c>
      <c r="B631">
        <f t="shared" ca="1" si="45"/>
        <v>-1.7944444444444445</v>
      </c>
      <c r="C631" t="str">
        <f ca="1">IF(currency="USD",'Future et co'!D631,IF(currency="EUR",'Future et co'!E631,IF(currency="GBP",'Future et co'!F631,FALSE)))</f>
        <v>RFR USD</v>
      </c>
      <c r="D631" t="str">
        <f t="shared" ca="1" si="46"/>
        <v>RFR USD</v>
      </c>
      <c r="E631" t="str">
        <f t="shared" ca="1" si="47"/>
        <v>RFR EUR</v>
      </c>
      <c r="F631" t="str">
        <f t="shared" ca="1" si="48"/>
        <v>RFR GBP</v>
      </c>
      <c r="J631" s="1"/>
      <c r="N631" s="1"/>
      <c r="R631" s="1"/>
      <c r="V631" s="1"/>
      <c r="AB631" s="1"/>
      <c r="AF631" s="1"/>
      <c r="AJ631" s="1"/>
      <c r="AN631" s="1"/>
      <c r="AS631" s="1"/>
      <c r="AX631" s="1"/>
      <c r="BA631" s="1"/>
      <c r="BC631" s="1"/>
      <c r="BM631" s="1"/>
      <c r="BP631" s="1"/>
    </row>
    <row r="632" spans="1:68" x14ac:dyDescent="0.3">
      <c r="A632" s="19">
        <f t="shared" si="49"/>
        <v>46799</v>
      </c>
      <c r="B632">
        <f t="shared" ca="1" si="45"/>
        <v>-1.7972222222222223</v>
      </c>
      <c r="C632" t="str">
        <f ca="1">IF(currency="USD",'Future et co'!D632,IF(currency="EUR",'Future et co'!E632,IF(currency="GBP",'Future et co'!F632,FALSE)))</f>
        <v>RFR USD</v>
      </c>
      <c r="D632" t="str">
        <f t="shared" ca="1" si="46"/>
        <v>RFR USD</v>
      </c>
      <c r="E632" t="str">
        <f t="shared" ca="1" si="47"/>
        <v>RFR EUR</v>
      </c>
      <c r="F632" t="str">
        <f t="shared" ca="1" si="48"/>
        <v>RFR GBP</v>
      </c>
      <c r="J632" s="1"/>
      <c r="N632" s="1"/>
      <c r="R632" s="1"/>
      <c r="V632" s="1"/>
      <c r="AB632" s="1"/>
      <c r="AF632" s="1"/>
      <c r="AJ632" s="1"/>
      <c r="AN632" s="1"/>
      <c r="AS632" s="1"/>
      <c r="AX632" s="1"/>
      <c r="BA632" s="1"/>
      <c r="BC632" s="1"/>
      <c r="BM632" s="1"/>
      <c r="BP632" s="1"/>
    </row>
    <row r="633" spans="1:68" x14ac:dyDescent="0.3">
      <c r="A633" s="19">
        <f t="shared" si="49"/>
        <v>46800</v>
      </c>
      <c r="B633">
        <f t="shared" ca="1" si="45"/>
        <v>-1.8</v>
      </c>
      <c r="C633" t="str">
        <f ca="1">IF(currency="USD",'Future et co'!D633,IF(currency="EUR",'Future et co'!E633,IF(currency="GBP",'Future et co'!F633,FALSE)))</f>
        <v>RFR USD</v>
      </c>
      <c r="D633" t="str">
        <f t="shared" ca="1" si="46"/>
        <v>RFR USD</v>
      </c>
      <c r="E633" t="str">
        <f t="shared" ca="1" si="47"/>
        <v>RFR EUR</v>
      </c>
      <c r="F633" t="str">
        <f t="shared" ca="1" si="48"/>
        <v>RFR GBP</v>
      </c>
      <c r="J633" s="1"/>
      <c r="N633" s="1"/>
      <c r="R633" s="1"/>
      <c r="V633" s="1"/>
      <c r="AB633" s="1"/>
      <c r="AF633" s="1"/>
      <c r="AJ633" s="1"/>
      <c r="AN633" s="1"/>
      <c r="AS633" s="1"/>
      <c r="AX633" s="1"/>
      <c r="BA633" s="1"/>
      <c r="BC633" s="1"/>
      <c r="BM633" s="1"/>
      <c r="BP633" s="1"/>
    </row>
    <row r="634" spans="1:68" x14ac:dyDescent="0.3">
      <c r="A634" s="19">
        <f t="shared" si="49"/>
        <v>46801</v>
      </c>
      <c r="B634">
        <f t="shared" ca="1" si="45"/>
        <v>-1.8027777777777778</v>
      </c>
      <c r="C634" t="str">
        <f ca="1">IF(currency="USD",'Future et co'!D634,IF(currency="EUR",'Future et co'!E634,IF(currency="GBP",'Future et co'!F634,FALSE)))</f>
        <v>RFR USD</v>
      </c>
      <c r="D634" t="str">
        <f t="shared" ca="1" si="46"/>
        <v>RFR USD</v>
      </c>
      <c r="E634" t="str">
        <f t="shared" ca="1" si="47"/>
        <v>RFR EUR</v>
      </c>
      <c r="F634" t="str">
        <f t="shared" ca="1" si="48"/>
        <v>RFR GBP</v>
      </c>
      <c r="J634" s="1"/>
      <c r="N634" s="1"/>
      <c r="R634" s="1"/>
      <c r="V634" s="1"/>
      <c r="AB634" s="1"/>
      <c r="AF634" s="1"/>
      <c r="AJ634" s="1"/>
      <c r="AN634" s="1"/>
      <c r="AS634" s="1"/>
      <c r="AX634" s="1"/>
      <c r="BA634" s="1"/>
      <c r="BC634" s="1"/>
      <c r="BM634" s="1"/>
      <c r="BP634" s="1"/>
    </row>
    <row r="635" spans="1:68" x14ac:dyDescent="0.3">
      <c r="A635" s="19">
        <f t="shared" si="49"/>
        <v>46804</v>
      </c>
      <c r="B635">
        <f t="shared" ca="1" si="45"/>
        <v>-1.8111111111111111</v>
      </c>
      <c r="C635" t="str">
        <f ca="1">IF(currency="USD",'Future et co'!D635,IF(currency="EUR",'Future et co'!E635,IF(currency="GBP",'Future et co'!F635,FALSE)))</f>
        <v>RFR USD</v>
      </c>
      <c r="D635" t="str">
        <f t="shared" ca="1" si="46"/>
        <v>RFR USD</v>
      </c>
      <c r="E635" t="str">
        <f t="shared" ca="1" si="47"/>
        <v>RFR EUR</v>
      </c>
      <c r="F635" t="str">
        <f t="shared" ca="1" si="48"/>
        <v>RFR GBP</v>
      </c>
      <c r="J635" s="1"/>
      <c r="N635" s="1"/>
      <c r="R635" s="1"/>
      <c r="V635" s="1"/>
      <c r="AB635" s="1"/>
      <c r="AF635" s="1"/>
      <c r="AJ635" s="1"/>
      <c r="AN635" s="1"/>
      <c r="AS635" s="1"/>
      <c r="AX635" s="1"/>
      <c r="BA635" s="1"/>
      <c r="BC635" s="1"/>
      <c r="BM635" s="1"/>
      <c r="BP635" s="1"/>
    </row>
    <row r="636" spans="1:68" x14ac:dyDescent="0.3">
      <c r="A636" s="19">
        <f t="shared" si="49"/>
        <v>46805</v>
      </c>
      <c r="B636">
        <f t="shared" ca="1" si="45"/>
        <v>-1.8138888888888889</v>
      </c>
      <c r="C636" t="str">
        <f ca="1">IF(currency="USD",'Future et co'!D636,IF(currency="EUR",'Future et co'!E636,IF(currency="GBP",'Future et co'!F636,FALSE)))</f>
        <v>RFR USD</v>
      </c>
      <c r="D636" t="str">
        <f t="shared" ca="1" si="46"/>
        <v>RFR USD</v>
      </c>
      <c r="E636" t="str">
        <f t="shared" ca="1" si="47"/>
        <v>RFR EUR</v>
      </c>
      <c r="F636" t="str">
        <f t="shared" ca="1" si="48"/>
        <v>RFR GBP</v>
      </c>
      <c r="J636" s="1"/>
      <c r="N636" s="1"/>
      <c r="R636" s="1"/>
      <c r="V636" s="1"/>
      <c r="AB636" s="1"/>
      <c r="AF636" s="1"/>
      <c r="AJ636" s="1"/>
      <c r="AN636" s="1"/>
      <c r="AS636" s="1"/>
      <c r="AX636" s="1"/>
      <c r="BA636" s="1"/>
      <c r="BC636" s="1"/>
      <c r="BM636" s="1"/>
      <c r="BP636" s="1"/>
    </row>
    <row r="637" spans="1:68" x14ac:dyDescent="0.3">
      <c r="A637" s="19">
        <f t="shared" si="49"/>
        <v>46806</v>
      </c>
      <c r="B637">
        <f t="shared" ca="1" si="45"/>
        <v>-1.8166666666666667</v>
      </c>
      <c r="C637" t="str">
        <f ca="1">IF(currency="USD",'Future et co'!D637,IF(currency="EUR",'Future et co'!E637,IF(currency="GBP",'Future et co'!F637,FALSE)))</f>
        <v>RFR USD</v>
      </c>
      <c r="D637" t="str">
        <f t="shared" ca="1" si="46"/>
        <v>RFR USD</v>
      </c>
      <c r="E637" t="str">
        <f t="shared" ca="1" si="47"/>
        <v>RFR EUR</v>
      </c>
      <c r="F637" t="str">
        <f t="shared" ca="1" si="48"/>
        <v>RFR GBP</v>
      </c>
      <c r="J637" s="1"/>
      <c r="N637" s="1"/>
      <c r="R637" s="1"/>
      <c r="V637" s="1"/>
      <c r="AB637" s="1"/>
      <c r="AF637" s="1"/>
      <c r="AJ637" s="1"/>
      <c r="AN637" s="1"/>
      <c r="AS637" s="1"/>
      <c r="AX637" s="1"/>
      <c r="BA637" s="1"/>
      <c r="BC637" s="1"/>
      <c r="BM637" s="1"/>
      <c r="BP637" s="1"/>
    </row>
    <row r="638" spans="1:68" x14ac:dyDescent="0.3">
      <c r="A638" s="19">
        <f t="shared" si="49"/>
        <v>46807</v>
      </c>
      <c r="B638">
        <f t="shared" ca="1" si="45"/>
        <v>-1.8194444444444444</v>
      </c>
      <c r="C638" t="str">
        <f ca="1">IF(currency="USD",'Future et co'!D638,IF(currency="EUR",'Future et co'!E638,IF(currency="GBP",'Future et co'!F638,FALSE)))</f>
        <v>RFR USD</v>
      </c>
      <c r="D638" t="str">
        <f t="shared" ca="1" si="46"/>
        <v>RFR USD</v>
      </c>
      <c r="E638" t="str">
        <f t="shared" ca="1" si="47"/>
        <v>RFR EUR</v>
      </c>
      <c r="F638" t="str">
        <f t="shared" ca="1" si="48"/>
        <v>RFR GBP</v>
      </c>
      <c r="J638" s="1"/>
      <c r="N638" s="1"/>
      <c r="R638" s="1"/>
      <c r="V638" s="1"/>
      <c r="AB638" s="1"/>
      <c r="AF638" s="1"/>
      <c r="AJ638" s="1"/>
      <c r="AN638" s="1"/>
      <c r="AS638" s="1"/>
      <c r="AX638" s="1"/>
      <c r="BA638" s="1"/>
      <c r="BC638" s="1"/>
      <c r="BM638" s="1"/>
      <c r="BP638" s="1"/>
    </row>
    <row r="639" spans="1:68" x14ac:dyDescent="0.3">
      <c r="A639" s="19">
        <f t="shared" si="49"/>
        <v>46808</v>
      </c>
      <c r="B639">
        <f t="shared" ca="1" si="45"/>
        <v>-1.8222222222222222</v>
      </c>
      <c r="C639" t="str">
        <f ca="1">IF(currency="USD",'Future et co'!D639,IF(currency="EUR",'Future et co'!E639,IF(currency="GBP",'Future et co'!F639,FALSE)))</f>
        <v>RFR USD</v>
      </c>
      <c r="D639" t="str">
        <f t="shared" ca="1" si="46"/>
        <v>RFR USD</v>
      </c>
      <c r="E639" t="str">
        <f t="shared" ca="1" si="47"/>
        <v>RFR EUR</v>
      </c>
      <c r="F639" t="str">
        <f t="shared" ca="1" si="48"/>
        <v>RFR GBP</v>
      </c>
      <c r="J639" s="1"/>
      <c r="N639" s="1"/>
      <c r="R639" s="1"/>
      <c r="V639" s="1"/>
      <c r="AB639" s="1"/>
      <c r="AF639" s="1"/>
      <c r="AJ639" s="1"/>
      <c r="AN639" s="1"/>
      <c r="AS639" s="1"/>
      <c r="AX639" s="1"/>
      <c r="BA639" s="1"/>
      <c r="BC639" s="1"/>
      <c r="BM639" s="1"/>
      <c r="BP639" s="1"/>
    </row>
    <row r="640" spans="1:68" x14ac:dyDescent="0.3">
      <c r="A640" s="19">
        <f t="shared" si="49"/>
        <v>46811</v>
      </c>
      <c r="B640">
        <f t="shared" ca="1" si="45"/>
        <v>-1.8305555555555555</v>
      </c>
      <c r="C640" t="str">
        <f ca="1">IF(currency="USD",'Future et co'!D640,IF(currency="EUR",'Future et co'!E640,IF(currency="GBP",'Future et co'!F640,FALSE)))</f>
        <v>RFR USD</v>
      </c>
      <c r="D640" t="str">
        <f t="shared" ca="1" si="46"/>
        <v>RFR USD</v>
      </c>
      <c r="E640" t="str">
        <f t="shared" ca="1" si="47"/>
        <v>RFR EUR</v>
      </c>
      <c r="F640" t="str">
        <f t="shared" ca="1" si="48"/>
        <v>RFR GBP</v>
      </c>
      <c r="J640" s="1"/>
      <c r="N640" s="1"/>
      <c r="R640" s="1"/>
      <c r="V640" s="1"/>
      <c r="AB640" s="1"/>
      <c r="AF640" s="1"/>
      <c r="AJ640" s="1"/>
      <c r="AN640" s="1"/>
      <c r="AS640" s="1"/>
      <c r="AX640" s="1"/>
      <c r="BA640" s="1"/>
      <c r="BC640" s="1"/>
      <c r="BM640" s="1"/>
      <c r="BP640" s="1"/>
    </row>
    <row r="641" spans="1:68" x14ac:dyDescent="0.3">
      <c r="A641" s="19">
        <f t="shared" si="49"/>
        <v>46812</v>
      </c>
      <c r="B641">
        <f t="shared" ca="1" si="45"/>
        <v>-1.8333333333333333</v>
      </c>
      <c r="C641" t="str">
        <f ca="1">IF(currency="USD",'Future et co'!D641,IF(currency="EUR",'Future et co'!E641,IF(currency="GBP",'Future et co'!F641,FALSE)))</f>
        <v>RFR USD</v>
      </c>
      <c r="D641" t="str">
        <f t="shared" ca="1" si="46"/>
        <v>RFR USD</v>
      </c>
      <c r="E641" t="str">
        <f t="shared" ca="1" si="47"/>
        <v>RFR EUR</v>
      </c>
      <c r="F641" t="str">
        <f t="shared" ca="1" si="48"/>
        <v>RFR GBP</v>
      </c>
      <c r="J641" s="1"/>
      <c r="N641" s="1"/>
      <c r="R641" s="1"/>
      <c r="V641" s="1"/>
      <c r="AB641" s="1"/>
      <c r="AF641" s="1"/>
      <c r="AJ641" s="1"/>
      <c r="AN641" s="1"/>
      <c r="AS641" s="1"/>
      <c r="AX641" s="1"/>
      <c r="BA641" s="1"/>
      <c r="BC641" s="1"/>
      <c r="BM641" s="1"/>
      <c r="BP641" s="1"/>
    </row>
    <row r="642" spans="1:68" x14ac:dyDescent="0.3">
      <c r="A642" s="19">
        <f t="shared" si="49"/>
        <v>46813</v>
      </c>
      <c r="B642">
        <f t="shared" ca="1" si="45"/>
        <v>-1.836111111111111</v>
      </c>
      <c r="C642" t="str">
        <f ca="1">IF(currency="USD",'Future et co'!D642,IF(currency="EUR",'Future et co'!E642,IF(currency="GBP",'Future et co'!F642,FALSE)))</f>
        <v>RFR USD</v>
      </c>
      <c r="D642" t="str">
        <f t="shared" ca="1" si="46"/>
        <v>RFR USD</v>
      </c>
      <c r="E642" t="str">
        <f t="shared" ca="1" si="47"/>
        <v>RFR EUR</v>
      </c>
      <c r="F642" t="str">
        <f t="shared" ca="1" si="48"/>
        <v>RFR GBP</v>
      </c>
      <c r="J642" s="1"/>
      <c r="N642" s="1"/>
      <c r="R642" s="1"/>
      <c r="V642" s="1"/>
      <c r="AB642" s="1"/>
      <c r="AF642" s="1"/>
      <c r="AJ642" s="1"/>
      <c r="AN642" s="1"/>
      <c r="AS642" s="1"/>
      <c r="AX642" s="1"/>
      <c r="BA642" s="1"/>
      <c r="BC642" s="1"/>
      <c r="BM642" s="1"/>
      <c r="BP642" s="1"/>
    </row>
    <row r="643" spans="1:68" x14ac:dyDescent="0.3">
      <c r="A643" s="19">
        <f t="shared" si="49"/>
        <v>46814</v>
      </c>
      <c r="B643">
        <f t="shared" ca="1" si="45"/>
        <v>-1.8388888888888888</v>
      </c>
      <c r="C643" t="str">
        <f ca="1">IF(currency="USD",'Future et co'!D643,IF(currency="EUR",'Future et co'!E643,IF(currency="GBP",'Future et co'!F643,FALSE)))</f>
        <v>RFR USD</v>
      </c>
      <c r="D643" t="str">
        <f t="shared" ca="1" si="46"/>
        <v>RFR USD</v>
      </c>
      <c r="E643" t="str">
        <f t="shared" ca="1" si="47"/>
        <v>RFR EUR</v>
      </c>
      <c r="F643" t="str">
        <f t="shared" ca="1" si="48"/>
        <v>RFR GBP</v>
      </c>
      <c r="J643" s="1"/>
      <c r="N643" s="1"/>
      <c r="R643" s="1"/>
      <c r="V643" s="1"/>
      <c r="AB643" s="1"/>
      <c r="AF643" s="1"/>
      <c r="AJ643" s="1"/>
      <c r="AN643" s="1"/>
      <c r="AS643" s="1"/>
      <c r="AX643" s="1"/>
      <c r="BA643" s="1"/>
      <c r="BC643" s="1"/>
      <c r="BM643" s="1"/>
      <c r="BP643" s="1"/>
    </row>
    <row r="644" spans="1:68" x14ac:dyDescent="0.3">
      <c r="A644" s="19">
        <f t="shared" si="49"/>
        <v>46815</v>
      </c>
      <c r="B644">
        <f t="shared" ca="1" si="45"/>
        <v>-1.8416666666666666</v>
      </c>
      <c r="C644" t="str">
        <f ca="1">IF(currency="USD",'Future et co'!D644,IF(currency="EUR",'Future et co'!E644,IF(currency="GBP",'Future et co'!F644,FALSE)))</f>
        <v>RFR USD</v>
      </c>
      <c r="D644" t="str">
        <f t="shared" ca="1" si="46"/>
        <v>RFR USD</v>
      </c>
      <c r="E644" t="str">
        <f t="shared" ca="1" si="47"/>
        <v>RFR EUR</v>
      </c>
      <c r="F644" t="str">
        <f t="shared" ca="1" si="48"/>
        <v>RFR GBP</v>
      </c>
      <c r="J644" s="1"/>
      <c r="N644" s="1"/>
      <c r="R644" s="1"/>
      <c r="V644" s="1"/>
      <c r="AB644" s="1"/>
      <c r="AF644" s="1"/>
      <c r="AJ644" s="1"/>
      <c r="AN644" s="1"/>
      <c r="AS644" s="1"/>
      <c r="AX644" s="1"/>
      <c r="BA644" s="1"/>
      <c r="BC644" s="1"/>
      <c r="BM644" s="1"/>
      <c r="BP644" s="1"/>
    </row>
    <row r="645" spans="1:68" x14ac:dyDescent="0.3">
      <c r="A645" s="19">
        <f t="shared" si="49"/>
        <v>46818</v>
      </c>
      <c r="B645">
        <f t="shared" ca="1" si="45"/>
        <v>-1.85</v>
      </c>
      <c r="C645" t="str">
        <f ca="1">IF(currency="USD",'Future et co'!D645,IF(currency="EUR",'Future et co'!E645,IF(currency="GBP",'Future et co'!F645,FALSE)))</f>
        <v>RFR USD</v>
      </c>
      <c r="D645" t="str">
        <f t="shared" ca="1" si="46"/>
        <v>RFR USD</v>
      </c>
      <c r="E645" t="str">
        <f t="shared" ca="1" si="47"/>
        <v>RFR EUR</v>
      </c>
      <c r="F645" t="str">
        <f t="shared" ca="1" si="48"/>
        <v>RFR GBP</v>
      </c>
      <c r="J645" s="1"/>
      <c r="N645" s="1"/>
      <c r="R645" s="1"/>
      <c r="V645" s="1"/>
      <c r="AB645" s="1"/>
      <c r="AF645" s="1"/>
      <c r="AJ645" s="1"/>
      <c r="AN645" s="1"/>
      <c r="AS645" s="1"/>
      <c r="AX645" s="1"/>
      <c r="BA645" s="1"/>
      <c r="BC645" s="1"/>
      <c r="BM645" s="1"/>
      <c r="BP645" s="1"/>
    </row>
    <row r="646" spans="1:68" x14ac:dyDescent="0.3">
      <c r="A646" s="19">
        <f t="shared" si="49"/>
        <v>46819</v>
      </c>
      <c r="B646">
        <f t="shared" ca="1" si="45"/>
        <v>-1.8527777777777779</v>
      </c>
      <c r="C646" t="str">
        <f ca="1">IF(currency="USD",'Future et co'!D646,IF(currency="EUR",'Future et co'!E646,IF(currency="GBP",'Future et co'!F646,FALSE)))</f>
        <v>RFR USD</v>
      </c>
      <c r="D646" t="str">
        <f t="shared" ca="1" si="46"/>
        <v>RFR USD</v>
      </c>
      <c r="E646" t="str">
        <f t="shared" ca="1" si="47"/>
        <v>RFR EUR</v>
      </c>
      <c r="F646" t="str">
        <f t="shared" ca="1" si="48"/>
        <v>RFR GBP</v>
      </c>
      <c r="J646" s="1"/>
      <c r="N646" s="1"/>
      <c r="R646" s="1"/>
      <c r="V646" s="1"/>
      <c r="AB646" s="1"/>
      <c r="AF646" s="1"/>
      <c r="AJ646" s="1"/>
      <c r="AN646" s="1"/>
      <c r="AS646" s="1"/>
      <c r="AX646" s="1"/>
      <c r="BA646" s="1"/>
      <c r="BC646" s="1"/>
      <c r="BM646" s="1"/>
      <c r="BP646" s="1"/>
    </row>
    <row r="647" spans="1:68" x14ac:dyDescent="0.3">
      <c r="A647" s="19">
        <f t="shared" si="49"/>
        <v>46820</v>
      </c>
      <c r="B647">
        <f t="shared" ca="1" si="45"/>
        <v>-1.8555555555555556</v>
      </c>
      <c r="C647" t="str">
        <f ca="1">IF(currency="USD",'Future et co'!D647,IF(currency="EUR",'Future et co'!E647,IF(currency="GBP",'Future et co'!F647,FALSE)))</f>
        <v>RFR USD</v>
      </c>
      <c r="D647" t="str">
        <f t="shared" ca="1" si="46"/>
        <v>RFR USD</v>
      </c>
      <c r="E647" t="str">
        <f t="shared" ca="1" si="47"/>
        <v>RFR EUR</v>
      </c>
      <c r="F647" t="str">
        <f t="shared" ca="1" si="48"/>
        <v>RFR GBP</v>
      </c>
      <c r="J647" s="1"/>
      <c r="N647" s="1"/>
      <c r="R647" s="1"/>
      <c r="V647" s="1"/>
      <c r="AB647" s="1"/>
      <c r="AF647" s="1"/>
      <c r="AJ647" s="1"/>
      <c r="AN647" s="1"/>
      <c r="AS647" s="1"/>
      <c r="AX647" s="1"/>
      <c r="BA647" s="1"/>
      <c r="BC647" s="1"/>
      <c r="BM647" s="1"/>
      <c r="BP647" s="1"/>
    </row>
    <row r="648" spans="1:68" x14ac:dyDescent="0.3">
      <c r="A648" s="19">
        <f t="shared" si="49"/>
        <v>46821</v>
      </c>
      <c r="B648">
        <f t="shared" ca="1" si="45"/>
        <v>-1.8583333333333334</v>
      </c>
      <c r="C648" t="str">
        <f ca="1">IF(currency="USD",'Future et co'!D648,IF(currency="EUR",'Future et co'!E648,IF(currency="GBP",'Future et co'!F648,FALSE)))</f>
        <v>RFR USD</v>
      </c>
      <c r="D648" t="str">
        <f t="shared" ca="1" si="46"/>
        <v>RFR USD</v>
      </c>
      <c r="E648" t="str">
        <f t="shared" ca="1" si="47"/>
        <v>RFR EUR</v>
      </c>
      <c r="F648" t="str">
        <f t="shared" ca="1" si="48"/>
        <v>RFR GBP</v>
      </c>
      <c r="J648" s="1"/>
      <c r="N648" s="1"/>
      <c r="R648" s="1"/>
      <c r="V648" s="1"/>
      <c r="AB648" s="1"/>
      <c r="AF648" s="1"/>
      <c r="AJ648" s="1"/>
      <c r="AN648" s="1"/>
      <c r="AS648" s="1"/>
      <c r="AX648" s="1"/>
      <c r="BA648" s="1"/>
      <c r="BC648" s="1"/>
      <c r="BM648" s="1"/>
      <c r="BP648" s="1"/>
    </row>
    <row r="649" spans="1:68" x14ac:dyDescent="0.3">
      <c r="A649" s="19">
        <f t="shared" si="49"/>
        <v>46822</v>
      </c>
      <c r="B649">
        <f t="shared" ca="1" si="45"/>
        <v>-1.8611111111111112</v>
      </c>
      <c r="C649" t="str">
        <f ca="1">IF(currency="USD",'Future et co'!D649,IF(currency="EUR",'Future et co'!E649,IF(currency="GBP",'Future et co'!F649,FALSE)))</f>
        <v>RFR USD</v>
      </c>
      <c r="D649" t="str">
        <f t="shared" ca="1" si="46"/>
        <v>RFR USD</v>
      </c>
      <c r="E649" t="str">
        <f t="shared" ca="1" si="47"/>
        <v>RFR EUR</v>
      </c>
      <c r="F649" t="str">
        <f t="shared" ca="1" si="48"/>
        <v>RFR GBP</v>
      </c>
      <c r="J649" s="1"/>
      <c r="N649" s="1"/>
      <c r="R649" s="1"/>
      <c r="V649" s="1"/>
      <c r="AB649" s="1"/>
      <c r="AF649" s="1"/>
      <c r="AJ649" s="1"/>
      <c r="AN649" s="1"/>
      <c r="AS649" s="1"/>
      <c r="AX649" s="1"/>
      <c r="BA649" s="1"/>
      <c r="BC649" s="1"/>
      <c r="BM649" s="1"/>
      <c r="BP649" s="1"/>
    </row>
    <row r="650" spans="1:68" x14ac:dyDescent="0.3">
      <c r="A650" s="19">
        <f t="shared" si="49"/>
        <v>46825</v>
      </c>
      <c r="B650">
        <f t="shared" ca="1" si="45"/>
        <v>-1.8694444444444445</v>
      </c>
      <c r="C650" t="str">
        <f ca="1">IF(currency="USD",'Future et co'!D650,IF(currency="EUR",'Future et co'!E650,IF(currency="GBP",'Future et co'!F650,FALSE)))</f>
        <v>RFR USD</v>
      </c>
      <c r="D650" t="str">
        <f t="shared" ca="1" si="46"/>
        <v>RFR USD</v>
      </c>
      <c r="E650" t="str">
        <f t="shared" ca="1" si="47"/>
        <v>RFR EUR</v>
      </c>
      <c r="F650" t="str">
        <f t="shared" ca="1" si="48"/>
        <v>RFR GBP</v>
      </c>
      <c r="J650" s="1"/>
      <c r="N650" s="1"/>
      <c r="R650" s="1"/>
      <c r="V650" s="1"/>
      <c r="AB650" s="1"/>
      <c r="AF650" s="1"/>
      <c r="AJ650" s="1"/>
      <c r="AN650" s="1"/>
      <c r="AS650" s="1"/>
      <c r="AX650" s="1"/>
      <c r="BA650" s="1"/>
      <c r="BC650" s="1"/>
      <c r="BM650" s="1"/>
      <c r="BP650" s="1"/>
    </row>
    <row r="651" spans="1:68" x14ac:dyDescent="0.3">
      <c r="A651" s="19">
        <f t="shared" si="49"/>
        <v>46826</v>
      </c>
      <c r="B651">
        <f t="shared" ref="B651:B714" ca="1" si="50">($B$7-A651)/360</f>
        <v>-1.8722222222222222</v>
      </c>
      <c r="C651" t="str">
        <f ca="1">IF(currency="USD",'Future et co'!D651,IF(currency="EUR",'Future et co'!E651,IF(currency="GBP",'Future et co'!F651,FALSE)))</f>
        <v>RFR USD</v>
      </c>
      <c r="D651" t="str">
        <f t="shared" ref="D651:D714" ca="1" si="51">IFERROR(IF(B651&lt;0.25,VLOOKUP(A651,$J$11:$L$5325,3,FALSE),IF(AND(B651&gt;=0.25,B651&lt;0.5),VLOOKUP(A651,$N$11:$P$5325,3,FALSE),IF(AND(B651&gt;=0.5,B651&lt;1),VLOOKUP(A651,$R$11:$T$5325,3,FALSE),VLOOKUP(A651,$V$11:$X$5010,3,FALSE)))),D650)</f>
        <v>RFR USD</v>
      </c>
      <c r="E651" t="str">
        <f t="shared" ref="E651:E714" ca="1" si="52">IFERROR(IF(B651&lt;0.25,VLOOKUP(A651,$AF$11:$AH$5325,3,FALSE),IF(AND(B651&gt;=0.25,B651&lt;0.5),VLOOKUP(A651,$AJ$11:$AL$5325,3,FALSE),VLOOKUP(A651,$AN$11:$AP$5325,3,FALSE))),E650)</f>
        <v>RFR EUR</v>
      </c>
      <c r="F651" t="str">
        <f t="shared" ref="F651:F714" ca="1" si="53">IFERROR(VLOOKUP(A651,$AS$11:$AU$9999,3,FALSE),F650)</f>
        <v>RFR GBP</v>
      </c>
      <c r="J651" s="1"/>
      <c r="N651" s="1"/>
      <c r="R651" s="1"/>
      <c r="V651" s="1"/>
      <c r="AB651" s="1"/>
      <c r="AF651" s="1"/>
      <c r="AJ651" s="1"/>
      <c r="AN651" s="1"/>
      <c r="AS651" s="1"/>
      <c r="AX651" s="1"/>
      <c r="BA651" s="1"/>
      <c r="BC651" s="1"/>
      <c r="BM651" s="1"/>
      <c r="BP651" s="1"/>
    </row>
    <row r="652" spans="1:68" x14ac:dyDescent="0.3">
      <c r="A652" s="19">
        <f t="shared" si="49"/>
        <v>46827</v>
      </c>
      <c r="B652">
        <f t="shared" ca="1" si="50"/>
        <v>-1.875</v>
      </c>
      <c r="C652" t="str">
        <f ca="1">IF(currency="USD",'Future et co'!D652,IF(currency="EUR",'Future et co'!E652,IF(currency="GBP",'Future et co'!F652,FALSE)))</f>
        <v>RFR USD</v>
      </c>
      <c r="D652" t="str">
        <f t="shared" ca="1" si="51"/>
        <v>RFR USD</v>
      </c>
      <c r="E652" t="str">
        <f t="shared" ca="1" si="52"/>
        <v>RFR EUR</v>
      </c>
      <c r="F652" t="str">
        <f t="shared" ca="1" si="53"/>
        <v>RFR GBP</v>
      </c>
      <c r="J652" s="1"/>
      <c r="N652" s="1"/>
      <c r="R652" s="1"/>
      <c r="V652" s="1"/>
      <c r="AB652" s="1"/>
      <c r="AF652" s="1"/>
      <c r="AJ652" s="1"/>
      <c r="AN652" s="1"/>
      <c r="AS652" s="1"/>
      <c r="AX652" s="1"/>
      <c r="BA652" s="1"/>
      <c r="BC652" s="1"/>
      <c r="BM652" s="1"/>
      <c r="BP652" s="1"/>
    </row>
    <row r="653" spans="1:68" x14ac:dyDescent="0.3">
      <c r="A653" s="19">
        <f t="shared" ref="A653:A716" si="54">WORKDAY(A652,1)</f>
        <v>46828</v>
      </c>
      <c r="B653">
        <f t="shared" ca="1" si="50"/>
        <v>-1.8777777777777778</v>
      </c>
      <c r="C653" t="str">
        <f ca="1">IF(currency="USD",'Future et co'!D653,IF(currency="EUR",'Future et co'!E653,IF(currency="GBP",'Future et co'!F653,FALSE)))</f>
        <v>RFR USD</v>
      </c>
      <c r="D653" t="str">
        <f t="shared" ca="1" si="51"/>
        <v>RFR USD</v>
      </c>
      <c r="E653" t="str">
        <f t="shared" ca="1" si="52"/>
        <v>RFR EUR</v>
      </c>
      <c r="F653" t="str">
        <f t="shared" ca="1" si="53"/>
        <v>RFR GBP</v>
      </c>
      <c r="J653" s="1"/>
      <c r="N653" s="1"/>
      <c r="R653" s="1"/>
      <c r="V653" s="1"/>
      <c r="AB653" s="1"/>
      <c r="AF653" s="1"/>
      <c r="AJ653" s="1"/>
      <c r="AN653" s="1"/>
      <c r="AS653" s="1"/>
      <c r="AX653" s="1"/>
      <c r="BA653" s="1"/>
      <c r="BC653" s="1"/>
      <c r="BM653" s="1"/>
      <c r="BP653" s="1"/>
    </row>
    <row r="654" spans="1:68" x14ac:dyDescent="0.3">
      <c r="A654" s="19">
        <f t="shared" si="54"/>
        <v>46829</v>
      </c>
      <c r="B654">
        <f t="shared" ca="1" si="50"/>
        <v>-1.8805555555555555</v>
      </c>
      <c r="C654" t="str">
        <f ca="1">IF(currency="USD",'Future et co'!D654,IF(currency="EUR",'Future et co'!E654,IF(currency="GBP",'Future et co'!F654,FALSE)))</f>
        <v>RFR USD</v>
      </c>
      <c r="D654" t="str">
        <f t="shared" ca="1" si="51"/>
        <v>RFR USD</v>
      </c>
      <c r="E654" t="str">
        <f t="shared" ca="1" si="52"/>
        <v>RFR EUR</v>
      </c>
      <c r="F654" t="str">
        <f t="shared" ca="1" si="53"/>
        <v>RFR GBP</v>
      </c>
      <c r="J654" s="1"/>
      <c r="N654" s="1"/>
      <c r="R654" s="1"/>
      <c r="V654" s="1"/>
      <c r="AB654" s="1"/>
      <c r="AF654" s="1"/>
      <c r="AJ654" s="1"/>
      <c r="AN654" s="1"/>
      <c r="AS654" s="1"/>
      <c r="AX654" s="1"/>
      <c r="BA654" s="1"/>
      <c r="BC654" s="1"/>
      <c r="BM654" s="1"/>
      <c r="BP654" s="1"/>
    </row>
    <row r="655" spans="1:68" x14ac:dyDescent="0.3">
      <c r="A655" s="19">
        <f t="shared" si="54"/>
        <v>46832</v>
      </c>
      <c r="B655">
        <f t="shared" ca="1" si="50"/>
        <v>-1.8888888888888888</v>
      </c>
      <c r="C655" t="str">
        <f ca="1">IF(currency="USD",'Future et co'!D655,IF(currency="EUR",'Future et co'!E655,IF(currency="GBP",'Future et co'!F655,FALSE)))</f>
        <v>RFR USD</v>
      </c>
      <c r="D655" t="str">
        <f t="shared" ca="1" si="51"/>
        <v>RFR USD</v>
      </c>
      <c r="E655" t="str">
        <f t="shared" ca="1" si="52"/>
        <v>RFR EUR</v>
      </c>
      <c r="F655" t="str">
        <f t="shared" ca="1" si="53"/>
        <v>RFR GBP</v>
      </c>
      <c r="J655" s="1"/>
      <c r="N655" s="1"/>
      <c r="R655" s="1"/>
      <c r="V655" s="1"/>
      <c r="AB655" s="1"/>
      <c r="AF655" s="1"/>
      <c r="AJ655" s="1"/>
      <c r="AN655" s="1"/>
      <c r="AS655" s="1"/>
      <c r="AX655" s="1"/>
      <c r="BA655" s="1"/>
      <c r="BC655" s="1"/>
      <c r="BM655" s="1"/>
      <c r="BP655" s="1"/>
    </row>
    <row r="656" spans="1:68" x14ac:dyDescent="0.3">
      <c r="A656" s="19">
        <f t="shared" si="54"/>
        <v>46833</v>
      </c>
      <c r="B656">
        <f t="shared" ca="1" si="50"/>
        <v>-1.8916666666666666</v>
      </c>
      <c r="C656" t="str">
        <f ca="1">IF(currency="USD",'Future et co'!D656,IF(currency="EUR",'Future et co'!E656,IF(currency="GBP",'Future et co'!F656,FALSE)))</f>
        <v>RFR USD</v>
      </c>
      <c r="D656" t="str">
        <f t="shared" ca="1" si="51"/>
        <v>RFR USD</v>
      </c>
      <c r="E656" t="str">
        <f t="shared" ca="1" si="52"/>
        <v>RFR EUR</v>
      </c>
      <c r="F656" t="str">
        <f t="shared" ca="1" si="53"/>
        <v>RFR GBP</v>
      </c>
      <c r="J656" s="1"/>
      <c r="N656" s="1"/>
      <c r="R656" s="1"/>
      <c r="V656" s="1"/>
      <c r="AB656" s="1"/>
      <c r="AF656" s="1"/>
      <c r="AJ656" s="1"/>
      <c r="AN656" s="1"/>
      <c r="AS656" s="1"/>
      <c r="AX656" s="1"/>
      <c r="BA656" s="1"/>
      <c r="BC656" s="1"/>
      <c r="BM656" s="1"/>
      <c r="BP656" s="1"/>
    </row>
    <row r="657" spans="1:68" x14ac:dyDescent="0.3">
      <c r="A657" s="19">
        <f t="shared" si="54"/>
        <v>46834</v>
      </c>
      <c r="B657">
        <f t="shared" ca="1" si="50"/>
        <v>-1.8944444444444444</v>
      </c>
      <c r="C657" t="str">
        <f ca="1">IF(currency="USD",'Future et co'!D657,IF(currency="EUR",'Future et co'!E657,IF(currency="GBP",'Future et co'!F657,FALSE)))</f>
        <v>RFR USD</v>
      </c>
      <c r="D657" t="str">
        <f t="shared" ca="1" si="51"/>
        <v>RFR USD</v>
      </c>
      <c r="E657" t="str">
        <f t="shared" ca="1" si="52"/>
        <v>RFR EUR</v>
      </c>
      <c r="F657" t="str">
        <f t="shared" ca="1" si="53"/>
        <v>RFR GBP</v>
      </c>
      <c r="J657" s="1"/>
      <c r="N657" s="1"/>
      <c r="R657" s="1"/>
      <c r="V657" s="1"/>
      <c r="AB657" s="1"/>
      <c r="AF657" s="1"/>
      <c r="AJ657" s="1"/>
      <c r="AN657" s="1"/>
      <c r="AS657" s="1"/>
      <c r="AX657" s="1"/>
      <c r="BA657" s="1"/>
      <c r="BC657" s="1"/>
      <c r="BM657" s="1"/>
      <c r="BP657" s="1"/>
    </row>
    <row r="658" spans="1:68" x14ac:dyDescent="0.3">
      <c r="A658" s="19">
        <f t="shared" si="54"/>
        <v>46835</v>
      </c>
      <c r="B658">
        <f t="shared" ca="1" si="50"/>
        <v>-1.8972222222222221</v>
      </c>
      <c r="C658" t="str">
        <f ca="1">IF(currency="USD",'Future et co'!D658,IF(currency="EUR",'Future et co'!E658,IF(currency="GBP",'Future et co'!F658,FALSE)))</f>
        <v>RFR USD</v>
      </c>
      <c r="D658" t="str">
        <f t="shared" ca="1" si="51"/>
        <v>RFR USD</v>
      </c>
      <c r="E658" t="str">
        <f t="shared" ca="1" si="52"/>
        <v>RFR EUR</v>
      </c>
      <c r="F658" t="str">
        <f t="shared" ca="1" si="53"/>
        <v>RFR GBP</v>
      </c>
      <c r="J658" s="1"/>
      <c r="N658" s="1"/>
      <c r="R658" s="1"/>
      <c r="V658" s="1"/>
      <c r="AB658" s="1"/>
      <c r="AF658" s="1"/>
      <c r="AJ658" s="1"/>
      <c r="AN658" s="1"/>
      <c r="AS658" s="1"/>
      <c r="AX658" s="1"/>
      <c r="BA658" s="1"/>
      <c r="BC658" s="1"/>
      <c r="BM658" s="1"/>
      <c r="BP658" s="1"/>
    </row>
    <row r="659" spans="1:68" x14ac:dyDescent="0.3">
      <c r="A659" s="19">
        <f t="shared" si="54"/>
        <v>46836</v>
      </c>
      <c r="B659">
        <f t="shared" ca="1" si="50"/>
        <v>-1.9</v>
      </c>
      <c r="C659" t="str">
        <f ca="1">IF(currency="USD",'Future et co'!D659,IF(currency="EUR",'Future et co'!E659,IF(currency="GBP",'Future et co'!F659,FALSE)))</f>
        <v>RFR USD</v>
      </c>
      <c r="D659" t="str">
        <f t="shared" ca="1" si="51"/>
        <v>RFR USD</v>
      </c>
      <c r="E659" t="str">
        <f t="shared" ca="1" si="52"/>
        <v>RFR EUR</v>
      </c>
      <c r="F659" t="str">
        <f t="shared" ca="1" si="53"/>
        <v>RFR GBP</v>
      </c>
      <c r="J659" s="1"/>
      <c r="N659" s="1"/>
      <c r="R659" s="1"/>
      <c r="V659" s="1"/>
      <c r="AB659" s="1"/>
      <c r="AF659" s="1"/>
      <c r="AJ659" s="1"/>
      <c r="AN659" s="1"/>
      <c r="AS659" s="1"/>
      <c r="AX659" s="1"/>
      <c r="BA659" s="1"/>
      <c r="BC659" s="1"/>
      <c r="BM659" s="1"/>
      <c r="BP659" s="1"/>
    </row>
    <row r="660" spans="1:68" x14ac:dyDescent="0.3">
      <c r="A660" s="19">
        <f t="shared" si="54"/>
        <v>46839</v>
      </c>
      <c r="B660">
        <f t="shared" ca="1" si="50"/>
        <v>-1.9083333333333334</v>
      </c>
      <c r="C660" t="str">
        <f ca="1">IF(currency="USD",'Future et co'!D660,IF(currency="EUR",'Future et co'!E660,IF(currency="GBP",'Future et co'!F660,FALSE)))</f>
        <v>RFR USD</v>
      </c>
      <c r="D660" t="str">
        <f t="shared" ca="1" si="51"/>
        <v>RFR USD</v>
      </c>
      <c r="E660" t="str">
        <f t="shared" ca="1" si="52"/>
        <v>RFR EUR</v>
      </c>
      <c r="F660" t="str">
        <f t="shared" ca="1" si="53"/>
        <v>RFR GBP</v>
      </c>
      <c r="J660" s="1"/>
      <c r="N660" s="1"/>
      <c r="R660" s="1"/>
      <c r="V660" s="1"/>
      <c r="AB660" s="1"/>
      <c r="AF660" s="1"/>
      <c r="AJ660" s="1"/>
      <c r="AN660" s="1"/>
      <c r="AS660" s="1"/>
      <c r="AX660" s="1"/>
      <c r="BA660" s="1"/>
      <c r="BC660" s="1"/>
      <c r="BM660" s="1"/>
      <c r="BP660" s="1"/>
    </row>
    <row r="661" spans="1:68" x14ac:dyDescent="0.3">
      <c r="A661" s="19">
        <f t="shared" si="54"/>
        <v>46840</v>
      </c>
      <c r="B661">
        <f t="shared" ca="1" si="50"/>
        <v>-1.9111111111111112</v>
      </c>
      <c r="C661" t="str">
        <f ca="1">IF(currency="USD",'Future et co'!D661,IF(currency="EUR",'Future et co'!E661,IF(currency="GBP",'Future et co'!F661,FALSE)))</f>
        <v>RFR USD</v>
      </c>
      <c r="D661" t="str">
        <f t="shared" ca="1" si="51"/>
        <v>RFR USD</v>
      </c>
      <c r="E661" t="str">
        <f t="shared" ca="1" si="52"/>
        <v>RFR EUR</v>
      </c>
      <c r="F661" t="str">
        <f t="shared" ca="1" si="53"/>
        <v>RFR GBP</v>
      </c>
      <c r="J661" s="1"/>
      <c r="N661" s="1"/>
      <c r="R661" s="1"/>
      <c r="V661" s="1"/>
      <c r="AB661" s="1"/>
      <c r="AF661" s="1"/>
      <c r="AJ661" s="1"/>
      <c r="AN661" s="1"/>
      <c r="AS661" s="1"/>
      <c r="AX661" s="1"/>
      <c r="BA661" s="1"/>
      <c r="BC661" s="1"/>
      <c r="BM661" s="1"/>
      <c r="BP661" s="1"/>
    </row>
    <row r="662" spans="1:68" x14ac:dyDescent="0.3">
      <c r="A662" s="19">
        <f t="shared" si="54"/>
        <v>46841</v>
      </c>
      <c r="B662">
        <f t="shared" ca="1" si="50"/>
        <v>-1.913888888888889</v>
      </c>
      <c r="C662" t="str">
        <f ca="1">IF(currency="USD",'Future et co'!D662,IF(currency="EUR",'Future et co'!E662,IF(currency="GBP",'Future et co'!F662,FALSE)))</f>
        <v>RFR USD</v>
      </c>
      <c r="D662" t="str">
        <f t="shared" ca="1" si="51"/>
        <v>RFR USD</v>
      </c>
      <c r="E662" t="str">
        <f t="shared" ca="1" si="52"/>
        <v>RFR EUR</v>
      </c>
      <c r="F662" t="str">
        <f t="shared" ca="1" si="53"/>
        <v>RFR GBP</v>
      </c>
      <c r="J662" s="1"/>
      <c r="N662" s="1"/>
      <c r="R662" s="1"/>
      <c r="V662" s="1"/>
      <c r="AB662" s="1"/>
      <c r="AF662" s="1"/>
      <c r="AJ662" s="1"/>
      <c r="AN662" s="1"/>
      <c r="AS662" s="1"/>
      <c r="AX662" s="1"/>
      <c r="BA662" s="1"/>
      <c r="BC662" s="1"/>
      <c r="BM662" s="1"/>
      <c r="BP662" s="1"/>
    </row>
    <row r="663" spans="1:68" x14ac:dyDescent="0.3">
      <c r="A663" s="19">
        <f t="shared" si="54"/>
        <v>46842</v>
      </c>
      <c r="B663">
        <f t="shared" ca="1" si="50"/>
        <v>-1.9166666666666667</v>
      </c>
      <c r="C663" t="str">
        <f ca="1">IF(currency="USD",'Future et co'!D663,IF(currency="EUR",'Future et co'!E663,IF(currency="GBP",'Future et co'!F663,FALSE)))</f>
        <v>RFR USD</v>
      </c>
      <c r="D663" t="str">
        <f t="shared" ca="1" si="51"/>
        <v>RFR USD</v>
      </c>
      <c r="E663" t="str">
        <f t="shared" ca="1" si="52"/>
        <v>RFR EUR</v>
      </c>
      <c r="F663" t="str">
        <f t="shared" ca="1" si="53"/>
        <v>RFR GBP</v>
      </c>
      <c r="J663" s="1"/>
      <c r="N663" s="1"/>
      <c r="R663" s="1"/>
      <c r="V663" s="1"/>
      <c r="AB663" s="1"/>
      <c r="AF663" s="1"/>
      <c r="AJ663" s="1"/>
      <c r="AN663" s="1"/>
      <c r="AS663" s="1"/>
      <c r="AX663" s="1"/>
      <c r="BA663" s="1"/>
      <c r="BC663" s="1"/>
      <c r="BM663" s="1"/>
      <c r="BP663" s="1"/>
    </row>
    <row r="664" spans="1:68" x14ac:dyDescent="0.3">
      <c r="A664" s="19">
        <f t="shared" si="54"/>
        <v>46843</v>
      </c>
      <c r="B664">
        <f t="shared" ca="1" si="50"/>
        <v>-1.9194444444444445</v>
      </c>
      <c r="C664" t="str">
        <f ca="1">IF(currency="USD",'Future et co'!D664,IF(currency="EUR",'Future et co'!E664,IF(currency="GBP",'Future et co'!F664,FALSE)))</f>
        <v>RFR USD</v>
      </c>
      <c r="D664" t="str">
        <f t="shared" ca="1" si="51"/>
        <v>RFR USD</v>
      </c>
      <c r="E664" t="str">
        <f t="shared" ca="1" si="52"/>
        <v>RFR EUR</v>
      </c>
      <c r="F664" t="str">
        <f t="shared" ca="1" si="53"/>
        <v>RFR GBP</v>
      </c>
      <c r="J664" s="1"/>
      <c r="N664" s="1"/>
      <c r="R664" s="1"/>
      <c r="V664" s="1"/>
      <c r="AB664" s="1"/>
      <c r="AF664" s="1"/>
      <c r="AJ664" s="1"/>
      <c r="AN664" s="1"/>
      <c r="AS664" s="1"/>
      <c r="AX664" s="1"/>
      <c r="BA664" s="1"/>
      <c r="BC664" s="1"/>
      <c r="BM664" s="1"/>
      <c r="BP664" s="1"/>
    </row>
    <row r="665" spans="1:68" x14ac:dyDescent="0.3">
      <c r="A665" s="19">
        <f t="shared" si="54"/>
        <v>46846</v>
      </c>
      <c r="B665">
        <f t="shared" ca="1" si="50"/>
        <v>-1.9277777777777778</v>
      </c>
      <c r="C665" t="str">
        <f ca="1">IF(currency="USD",'Future et co'!D665,IF(currency="EUR",'Future et co'!E665,IF(currency="GBP",'Future et co'!F665,FALSE)))</f>
        <v>RFR USD</v>
      </c>
      <c r="D665" t="str">
        <f t="shared" ca="1" si="51"/>
        <v>RFR USD</v>
      </c>
      <c r="E665" t="str">
        <f t="shared" ca="1" si="52"/>
        <v>RFR EUR</v>
      </c>
      <c r="F665" t="str">
        <f t="shared" ca="1" si="53"/>
        <v>RFR GBP</v>
      </c>
      <c r="J665" s="1"/>
      <c r="N665" s="1"/>
      <c r="R665" s="1"/>
      <c r="V665" s="1"/>
      <c r="AB665" s="1"/>
      <c r="AF665" s="1"/>
      <c r="AJ665" s="1"/>
      <c r="AN665" s="1"/>
      <c r="AS665" s="1"/>
      <c r="AX665" s="1"/>
      <c r="BA665" s="1"/>
      <c r="BC665" s="1"/>
      <c r="BM665" s="1"/>
      <c r="BP665" s="1"/>
    </row>
    <row r="666" spans="1:68" x14ac:dyDescent="0.3">
      <c r="A666" s="19">
        <f t="shared" si="54"/>
        <v>46847</v>
      </c>
      <c r="B666">
        <f t="shared" ca="1" si="50"/>
        <v>-1.9305555555555556</v>
      </c>
      <c r="C666" t="str">
        <f ca="1">IF(currency="USD",'Future et co'!D666,IF(currency="EUR",'Future et co'!E666,IF(currency="GBP",'Future et co'!F666,FALSE)))</f>
        <v>RFR USD</v>
      </c>
      <c r="D666" t="str">
        <f t="shared" ca="1" si="51"/>
        <v>RFR USD</v>
      </c>
      <c r="E666" t="str">
        <f t="shared" ca="1" si="52"/>
        <v>RFR EUR</v>
      </c>
      <c r="F666" t="str">
        <f t="shared" ca="1" si="53"/>
        <v>RFR GBP</v>
      </c>
      <c r="J666" s="1"/>
      <c r="N666" s="1"/>
      <c r="R666" s="1"/>
      <c r="V666" s="1"/>
      <c r="AB666" s="1"/>
      <c r="AF666" s="1"/>
      <c r="AJ666" s="1"/>
      <c r="AN666" s="1"/>
      <c r="AS666" s="1"/>
      <c r="AX666" s="1"/>
      <c r="BA666" s="1"/>
      <c r="BC666" s="1"/>
      <c r="BM666" s="1"/>
      <c r="BP666" s="1"/>
    </row>
    <row r="667" spans="1:68" x14ac:dyDescent="0.3">
      <c r="A667" s="19">
        <f t="shared" si="54"/>
        <v>46848</v>
      </c>
      <c r="B667">
        <f t="shared" ca="1" si="50"/>
        <v>-1.9333333333333333</v>
      </c>
      <c r="C667" t="str">
        <f ca="1">IF(currency="USD",'Future et co'!D667,IF(currency="EUR",'Future et co'!E667,IF(currency="GBP",'Future et co'!F667,FALSE)))</f>
        <v>RFR USD</v>
      </c>
      <c r="D667" t="str">
        <f t="shared" ca="1" si="51"/>
        <v>RFR USD</v>
      </c>
      <c r="E667" t="str">
        <f t="shared" ca="1" si="52"/>
        <v>RFR EUR</v>
      </c>
      <c r="F667" t="str">
        <f t="shared" ca="1" si="53"/>
        <v>RFR GBP</v>
      </c>
      <c r="J667" s="1"/>
      <c r="N667" s="1"/>
      <c r="R667" s="1"/>
      <c r="V667" s="1"/>
      <c r="AB667" s="1"/>
      <c r="AF667" s="1"/>
      <c r="AJ667" s="1"/>
      <c r="AN667" s="1"/>
      <c r="AS667" s="1"/>
      <c r="AX667" s="1"/>
      <c r="BA667" s="1"/>
      <c r="BC667" s="1"/>
      <c r="BM667" s="1"/>
      <c r="BP667" s="1"/>
    </row>
    <row r="668" spans="1:68" x14ac:dyDescent="0.3">
      <c r="A668" s="19">
        <f t="shared" si="54"/>
        <v>46849</v>
      </c>
      <c r="B668">
        <f t="shared" ca="1" si="50"/>
        <v>-1.9361111111111111</v>
      </c>
      <c r="C668" t="str">
        <f ca="1">IF(currency="USD",'Future et co'!D668,IF(currency="EUR",'Future et co'!E668,IF(currency="GBP",'Future et co'!F668,FALSE)))</f>
        <v>RFR USD</v>
      </c>
      <c r="D668" t="str">
        <f t="shared" ca="1" si="51"/>
        <v>RFR USD</v>
      </c>
      <c r="E668" t="str">
        <f t="shared" ca="1" si="52"/>
        <v>RFR EUR</v>
      </c>
      <c r="F668" t="str">
        <f t="shared" ca="1" si="53"/>
        <v>RFR GBP</v>
      </c>
      <c r="J668" s="1"/>
      <c r="N668" s="1"/>
      <c r="R668" s="1"/>
      <c r="V668" s="1"/>
      <c r="AB668" s="1"/>
      <c r="AF668" s="1"/>
      <c r="AJ668" s="1"/>
      <c r="AN668" s="1"/>
      <c r="AS668" s="1"/>
      <c r="AX668" s="1"/>
      <c r="BA668" s="1"/>
      <c r="BC668" s="1"/>
      <c r="BM668" s="1"/>
      <c r="BP668" s="1"/>
    </row>
    <row r="669" spans="1:68" x14ac:dyDescent="0.3">
      <c r="A669" s="19">
        <f t="shared" si="54"/>
        <v>46850</v>
      </c>
      <c r="B669">
        <f t="shared" ca="1" si="50"/>
        <v>-1.9388888888888889</v>
      </c>
      <c r="C669" t="str">
        <f ca="1">IF(currency="USD",'Future et co'!D669,IF(currency="EUR",'Future et co'!E669,IF(currency="GBP",'Future et co'!F669,FALSE)))</f>
        <v>RFR USD</v>
      </c>
      <c r="D669" t="str">
        <f t="shared" ca="1" si="51"/>
        <v>RFR USD</v>
      </c>
      <c r="E669" t="str">
        <f t="shared" ca="1" si="52"/>
        <v>RFR EUR</v>
      </c>
      <c r="F669" t="str">
        <f t="shared" ca="1" si="53"/>
        <v>RFR GBP</v>
      </c>
      <c r="J669" s="1"/>
      <c r="N669" s="1"/>
      <c r="R669" s="1"/>
      <c r="V669" s="1"/>
      <c r="AB669" s="1"/>
      <c r="AF669" s="1"/>
      <c r="AJ669" s="1"/>
      <c r="AN669" s="1"/>
      <c r="AS669" s="1"/>
      <c r="AX669" s="1"/>
      <c r="BA669" s="1"/>
      <c r="BC669" s="1"/>
      <c r="BM669" s="1"/>
      <c r="BP669" s="1"/>
    </row>
    <row r="670" spans="1:68" x14ac:dyDescent="0.3">
      <c r="A670" s="19">
        <f t="shared" si="54"/>
        <v>46853</v>
      </c>
      <c r="B670">
        <f t="shared" ca="1" si="50"/>
        <v>-1.9472222222222222</v>
      </c>
      <c r="C670" t="str">
        <f ca="1">IF(currency="USD",'Future et co'!D670,IF(currency="EUR",'Future et co'!E670,IF(currency="GBP",'Future et co'!F670,FALSE)))</f>
        <v>RFR USD</v>
      </c>
      <c r="D670" t="str">
        <f t="shared" ca="1" si="51"/>
        <v>RFR USD</v>
      </c>
      <c r="E670" t="str">
        <f t="shared" ca="1" si="52"/>
        <v>RFR EUR</v>
      </c>
      <c r="F670" t="str">
        <f t="shared" ca="1" si="53"/>
        <v>RFR GBP</v>
      </c>
      <c r="J670" s="1"/>
      <c r="N670" s="1"/>
      <c r="R670" s="1"/>
      <c r="V670" s="1"/>
      <c r="AB670" s="1"/>
      <c r="AF670" s="1"/>
      <c r="AJ670" s="1"/>
      <c r="AN670" s="1"/>
      <c r="AS670" s="1"/>
      <c r="AX670" s="1"/>
      <c r="BA670" s="1"/>
      <c r="BC670" s="1"/>
      <c r="BM670" s="1"/>
      <c r="BP670" s="1"/>
    </row>
    <row r="671" spans="1:68" x14ac:dyDescent="0.3">
      <c r="A671" s="19">
        <f t="shared" si="54"/>
        <v>46854</v>
      </c>
      <c r="B671">
        <f t="shared" ca="1" si="50"/>
        <v>-1.95</v>
      </c>
      <c r="C671" t="str">
        <f ca="1">IF(currency="USD",'Future et co'!D671,IF(currency="EUR",'Future et co'!E671,IF(currency="GBP",'Future et co'!F671,FALSE)))</f>
        <v>RFR USD</v>
      </c>
      <c r="D671" t="str">
        <f t="shared" ca="1" si="51"/>
        <v>RFR USD</v>
      </c>
      <c r="E671" t="str">
        <f t="shared" ca="1" si="52"/>
        <v>RFR EUR</v>
      </c>
      <c r="F671" t="str">
        <f t="shared" ca="1" si="53"/>
        <v>RFR GBP</v>
      </c>
      <c r="J671" s="1"/>
      <c r="N671" s="1"/>
      <c r="R671" s="1"/>
      <c r="V671" s="1"/>
      <c r="AB671" s="1"/>
      <c r="AF671" s="1"/>
      <c r="AJ671" s="1"/>
      <c r="AN671" s="1"/>
      <c r="AS671" s="1"/>
      <c r="AX671" s="1"/>
      <c r="BA671" s="1"/>
      <c r="BC671" s="1"/>
      <c r="BM671" s="1"/>
      <c r="BP671" s="1"/>
    </row>
    <row r="672" spans="1:68" x14ac:dyDescent="0.3">
      <c r="A672" s="19">
        <f t="shared" si="54"/>
        <v>46855</v>
      </c>
      <c r="B672">
        <f t="shared" ca="1" si="50"/>
        <v>-1.9527777777777777</v>
      </c>
      <c r="C672" t="str">
        <f ca="1">IF(currency="USD",'Future et co'!D672,IF(currency="EUR",'Future et co'!E672,IF(currency="GBP",'Future et co'!F672,FALSE)))</f>
        <v>RFR USD</v>
      </c>
      <c r="D672" t="str">
        <f t="shared" ca="1" si="51"/>
        <v>RFR USD</v>
      </c>
      <c r="E672" t="str">
        <f t="shared" ca="1" si="52"/>
        <v>RFR EUR</v>
      </c>
      <c r="F672" t="str">
        <f t="shared" ca="1" si="53"/>
        <v>RFR GBP</v>
      </c>
      <c r="J672" s="1"/>
      <c r="N672" s="1"/>
      <c r="R672" s="1"/>
      <c r="V672" s="1"/>
      <c r="AB672" s="1"/>
      <c r="AF672" s="1"/>
      <c r="AJ672" s="1"/>
      <c r="AN672" s="1"/>
      <c r="AS672" s="1"/>
      <c r="AX672" s="1"/>
      <c r="BA672" s="1"/>
      <c r="BC672" s="1"/>
      <c r="BM672" s="1"/>
      <c r="BP672" s="1"/>
    </row>
    <row r="673" spans="1:68" x14ac:dyDescent="0.3">
      <c r="A673" s="19">
        <f t="shared" si="54"/>
        <v>46856</v>
      </c>
      <c r="B673">
        <f t="shared" ca="1" si="50"/>
        <v>-1.9555555555555555</v>
      </c>
      <c r="C673" t="str">
        <f ca="1">IF(currency="USD",'Future et co'!D673,IF(currency="EUR",'Future et co'!E673,IF(currency="GBP",'Future et co'!F673,FALSE)))</f>
        <v>RFR USD</v>
      </c>
      <c r="D673" t="str">
        <f t="shared" ca="1" si="51"/>
        <v>RFR USD</v>
      </c>
      <c r="E673" t="str">
        <f t="shared" ca="1" si="52"/>
        <v>RFR EUR</v>
      </c>
      <c r="F673" t="str">
        <f t="shared" ca="1" si="53"/>
        <v>RFR GBP</v>
      </c>
      <c r="J673" s="1"/>
      <c r="N673" s="1"/>
      <c r="R673" s="1"/>
      <c r="V673" s="1"/>
      <c r="AB673" s="1"/>
      <c r="AF673" s="1"/>
      <c r="AJ673" s="1"/>
      <c r="AN673" s="1"/>
      <c r="AS673" s="1"/>
      <c r="AX673" s="1"/>
      <c r="BA673" s="1"/>
      <c r="BC673" s="1"/>
      <c r="BM673" s="1"/>
      <c r="BP673" s="1"/>
    </row>
    <row r="674" spans="1:68" x14ac:dyDescent="0.3">
      <c r="A674" s="19">
        <f t="shared" si="54"/>
        <v>46857</v>
      </c>
      <c r="B674">
        <f t="shared" ca="1" si="50"/>
        <v>-1.9583333333333333</v>
      </c>
      <c r="C674" t="str">
        <f ca="1">IF(currency="USD",'Future et co'!D674,IF(currency="EUR",'Future et co'!E674,IF(currency="GBP",'Future et co'!F674,FALSE)))</f>
        <v>RFR USD</v>
      </c>
      <c r="D674" t="str">
        <f t="shared" ca="1" si="51"/>
        <v>RFR USD</v>
      </c>
      <c r="E674" t="str">
        <f t="shared" ca="1" si="52"/>
        <v>RFR EUR</v>
      </c>
      <c r="F674" t="str">
        <f t="shared" ca="1" si="53"/>
        <v>RFR GBP</v>
      </c>
      <c r="J674" s="1"/>
      <c r="N674" s="1"/>
      <c r="R674" s="1"/>
      <c r="V674" s="1"/>
      <c r="AB674" s="1"/>
      <c r="AF674" s="1"/>
      <c r="AJ674" s="1"/>
      <c r="AN674" s="1"/>
      <c r="AS674" s="1"/>
      <c r="AX674" s="1"/>
      <c r="BA674" s="1"/>
      <c r="BC674" s="1"/>
      <c r="BM674" s="1"/>
      <c r="BP674" s="1"/>
    </row>
    <row r="675" spans="1:68" x14ac:dyDescent="0.3">
      <c r="A675" s="19">
        <f t="shared" si="54"/>
        <v>46860</v>
      </c>
      <c r="B675">
        <f t="shared" ca="1" si="50"/>
        <v>-1.9666666666666666</v>
      </c>
      <c r="C675" t="str">
        <f ca="1">IF(currency="USD",'Future et co'!D675,IF(currency="EUR",'Future et co'!E675,IF(currency="GBP",'Future et co'!F675,FALSE)))</f>
        <v>RFR USD</v>
      </c>
      <c r="D675" t="str">
        <f t="shared" ca="1" si="51"/>
        <v>RFR USD</v>
      </c>
      <c r="E675" t="str">
        <f t="shared" ca="1" si="52"/>
        <v>RFR EUR</v>
      </c>
      <c r="F675" t="str">
        <f t="shared" ca="1" si="53"/>
        <v>RFR GBP</v>
      </c>
      <c r="J675" s="1"/>
      <c r="N675" s="1"/>
      <c r="R675" s="1"/>
      <c r="V675" s="1"/>
      <c r="AB675" s="1"/>
      <c r="AF675" s="1"/>
      <c r="AJ675" s="1"/>
      <c r="AN675" s="1"/>
      <c r="AS675" s="1"/>
      <c r="AX675" s="1"/>
      <c r="BA675" s="1"/>
      <c r="BC675" s="1"/>
      <c r="BM675" s="1"/>
      <c r="BP675" s="1"/>
    </row>
    <row r="676" spans="1:68" x14ac:dyDescent="0.3">
      <c r="A676" s="19">
        <f t="shared" si="54"/>
        <v>46861</v>
      </c>
      <c r="B676">
        <f t="shared" ca="1" si="50"/>
        <v>-1.9694444444444446</v>
      </c>
      <c r="C676" t="str">
        <f ca="1">IF(currency="USD",'Future et co'!D676,IF(currency="EUR",'Future et co'!E676,IF(currency="GBP",'Future et co'!F676,FALSE)))</f>
        <v>RFR USD</v>
      </c>
      <c r="D676" t="str">
        <f t="shared" ca="1" si="51"/>
        <v>RFR USD</v>
      </c>
      <c r="E676" t="str">
        <f t="shared" ca="1" si="52"/>
        <v>RFR EUR</v>
      </c>
      <c r="F676" t="str">
        <f t="shared" ca="1" si="53"/>
        <v>RFR GBP</v>
      </c>
      <c r="J676" s="1"/>
      <c r="N676" s="1"/>
      <c r="R676" s="1"/>
      <c r="V676" s="1"/>
      <c r="AB676" s="1"/>
      <c r="AF676" s="1"/>
      <c r="AJ676" s="1"/>
      <c r="AN676" s="1"/>
      <c r="AS676" s="1"/>
      <c r="AX676" s="1"/>
      <c r="BA676" s="1"/>
      <c r="BC676" s="1"/>
      <c r="BM676" s="1"/>
      <c r="BP676" s="1"/>
    </row>
    <row r="677" spans="1:68" x14ac:dyDescent="0.3">
      <c r="A677" s="19">
        <f t="shared" si="54"/>
        <v>46862</v>
      </c>
      <c r="B677">
        <f t="shared" ca="1" si="50"/>
        <v>-1.9722222222222223</v>
      </c>
      <c r="C677" t="str">
        <f ca="1">IF(currency="USD",'Future et co'!D677,IF(currency="EUR",'Future et co'!E677,IF(currency="GBP",'Future et co'!F677,FALSE)))</f>
        <v>RFR USD</v>
      </c>
      <c r="D677" t="str">
        <f t="shared" ca="1" si="51"/>
        <v>RFR USD</v>
      </c>
      <c r="E677" t="str">
        <f t="shared" ca="1" si="52"/>
        <v>RFR EUR</v>
      </c>
      <c r="F677" t="str">
        <f t="shared" ca="1" si="53"/>
        <v>RFR GBP</v>
      </c>
      <c r="J677" s="1"/>
      <c r="N677" s="1"/>
      <c r="R677" s="1"/>
      <c r="V677" s="1"/>
      <c r="AB677" s="1"/>
      <c r="AF677" s="1"/>
      <c r="AJ677" s="1"/>
      <c r="AN677" s="1"/>
      <c r="AS677" s="1"/>
      <c r="AX677" s="1"/>
      <c r="BA677" s="1"/>
      <c r="BC677" s="1"/>
      <c r="BM677" s="1"/>
      <c r="BP677" s="1"/>
    </row>
    <row r="678" spans="1:68" x14ac:dyDescent="0.3">
      <c r="A678" s="19">
        <f t="shared" si="54"/>
        <v>46863</v>
      </c>
      <c r="B678">
        <f t="shared" ca="1" si="50"/>
        <v>-1.9750000000000001</v>
      </c>
      <c r="C678" t="str">
        <f ca="1">IF(currency="USD",'Future et co'!D678,IF(currency="EUR",'Future et co'!E678,IF(currency="GBP",'Future et co'!F678,FALSE)))</f>
        <v>RFR USD</v>
      </c>
      <c r="D678" t="str">
        <f t="shared" ca="1" si="51"/>
        <v>RFR USD</v>
      </c>
      <c r="E678" t="str">
        <f t="shared" ca="1" si="52"/>
        <v>RFR EUR</v>
      </c>
      <c r="F678" t="str">
        <f t="shared" ca="1" si="53"/>
        <v>RFR GBP</v>
      </c>
      <c r="J678" s="1"/>
      <c r="N678" s="1"/>
      <c r="R678" s="1"/>
      <c r="V678" s="1"/>
      <c r="AB678" s="1"/>
      <c r="AF678" s="1"/>
      <c r="AJ678" s="1"/>
      <c r="AN678" s="1"/>
      <c r="AS678" s="1"/>
      <c r="AX678" s="1"/>
      <c r="BA678" s="1"/>
      <c r="BC678" s="1"/>
      <c r="BM678" s="1"/>
      <c r="BP678" s="1"/>
    </row>
    <row r="679" spans="1:68" x14ac:dyDescent="0.3">
      <c r="A679" s="19">
        <f t="shared" si="54"/>
        <v>46864</v>
      </c>
      <c r="B679">
        <f t="shared" ca="1" si="50"/>
        <v>-1.9777777777777779</v>
      </c>
      <c r="C679" t="str">
        <f ca="1">IF(currency="USD",'Future et co'!D679,IF(currency="EUR",'Future et co'!E679,IF(currency="GBP",'Future et co'!F679,FALSE)))</f>
        <v>RFR USD</v>
      </c>
      <c r="D679" t="str">
        <f t="shared" ca="1" si="51"/>
        <v>RFR USD</v>
      </c>
      <c r="E679" t="str">
        <f t="shared" ca="1" si="52"/>
        <v>RFR EUR</v>
      </c>
      <c r="F679" t="str">
        <f t="shared" ca="1" si="53"/>
        <v>RFR GBP</v>
      </c>
      <c r="J679" s="1"/>
      <c r="N679" s="1"/>
      <c r="R679" s="1"/>
      <c r="V679" s="1"/>
      <c r="AB679" s="1"/>
      <c r="AF679" s="1"/>
      <c r="AJ679" s="1"/>
      <c r="AN679" s="1"/>
      <c r="AS679" s="1"/>
      <c r="AX679" s="1"/>
      <c r="BA679" s="1"/>
      <c r="BC679" s="1"/>
      <c r="BM679" s="1"/>
      <c r="BP679" s="1"/>
    </row>
    <row r="680" spans="1:68" x14ac:dyDescent="0.3">
      <c r="A680" s="19">
        <f t="shared" si="54"/>
        <v>46867</v>
      </c>
      <c r="B680">
        <f t="shared" ca="1" si="50"/>
        <v>-1.9861111111111112</v>
      </c>
      <c r="C680" t="str">
        <f ca="1">IF(currency="USD",'Future et co'!D680,IF(currency="EUR",'Future et co'!E680,IF(currency="GBP",'Future et co'!F680,FALSE)))</f>
        <v>RFR USD</v>
      </c>
      <c r="D680" t="str">
        <f t="shared" ca="1" si="51"/>
        <v>RFR USD</v>
      </c>
      <c r="E680" t="str">
        <f t="shared" ca="1" si="52"/>
        <v>RFR EUR</v>
      </c>
      <c r="F680" t="str">
        <f t="shared" ca="1" si="53"/>
        <v>RFR GBP</v>
      </c>
      <c r="J680" s="1"/>
      <c r="N680" s="1"/>
      <c r="R680" s="1"/>
      <c r="V680" s="1"/>
      <c r="AB680" s="1"/>
      <c r="AF680" s="1"/>
      <c r="AJ680" s="1"/>
      <c r="AN680" s="1"/>
      <c r="AS680" s="1"/>
      <c r="AX680" s="1"/>
      <c r="BA680" s="1"/>
      <c r="BC680" s="1"/>
      <c r="BM680" s="1"/>
      <c r="BP680" s="1"/>
    </row>
    <row r="681" spans="1:68" x14ac:dyDescent="0.3">
      <c r="A681" s="19">
        <f t="shared" si="54"/>
        <v>46868</v>
      </c>
      <c r="B681">
        <f t="shared" ca="1" si="50"/>
        <v>-1.9888888888888889</v>
      </c>
      <c r="C681" t="str">
        <f ca="1">IF(currency="USD",'Future et co'!D681,IF(currency="EUR",'Future et co'!E681,IF(currency="GBP",'Future et co'!F681,FALSE)))</f>
        <v>RFR USD</v>
      </c>
      <c r="D681" t="str">
        <f t="shared" ca="1" si="51"/>
        <v>RFR USD</v>
      </c>
      <c r="E681" t="str">
        <f t="shared" ca="1" si="52"/>
        <v>RFR EUR</v>
      </c>
      <c r="F681" t="str">
        <f t="shared" ca="1" si="53"/>
        <v>RFR GBP</v>
      </c>
      <c r="J681" s="1"/>
      <c r="N681" s="1"/>
      <c r="R681" s="1"/>
      <c r="V681" s="1"/>
      <c r="AB681" s="1"/>
      <c r="AF681" s="1"/>
      <c r="AJ681" s="1"/>
      <c r="AN681" s="1"/>
      <c r="AS681" s="1"/>
      <c r="AX681" s="1"/>
      <c r="BA681" s="1"/>
      <c r="BC681" s="1"/>
      <c r="BM681" s="1"/>
      <c r="BP681" s="1"/>
    </row>
    <row r="682" spans="1:68" x14ac:dyDescent="0.3">
      <c r="A682" s="19">
        <f t="shared" si="54"/>
        <v>46869</v>
      </c>
      <c r="B682">
        <f t="shared" ca="1" si="50"/>
        <v>-1.9916666666666667</v>
      </c>
      <c r="C682" t="str">
        <f ca="1">IF(currency="USD",'Future et co'!D682,IF(currency="EUR",'Future et co'!E682,IF(currency="GBP",'Future et co'!F682,FALSE)))</f>
        <v>RFR USD</v>
      </c>
      <c r="D682" t="str">
        <f t="shared" ca="1" si="51"/>
        <v>RFR USD</v>
      </c>
      <c r="E682" t="str">
        <f t="shared" ca="1" si="52"/>
        <v>RFR EUR</v>
      </c>
      <c r="F682" t="str">
        <f t="shared" ca="1" si="53"/>
        <v>RFR GBP</v>
      </c>
      <c r="J682" s="1"/>
      <c r="N682" s="1"/>
      <c r="R682" s="1"/>
      <c r="V682" s="1"/>
      <c r="AB682" s="1"/>
      <c r="AF682" s="1"/>
      <c r="AJ682" s="1"/>
      <c r="AN682" s="1"/>
      <c r="AS682" s="1"/>
      <c r="AX682" s="1"/>
      <c r="BA682" s="1"/>
      <c r="BC682" s="1"/>
      <c r="BM682" s="1"/>
      <c r="BP682" s="1"/>
    </row>
    <row r="683" spans="1:68" x14ac:dyDescent="0.3">
      <c r="A683" s="19">
        <f t="shared" si="54"/>
        <v>46870</v>
      </c>
      <c r="B683">
        <f t="shared" ca="1" si="50"/>
        <v>-1.9944444444444445</v>
      </c>
      <c r="C683" t="str">
        <f ca="1">IF(currency="USD",'Future et co'!D683,IF(currency="EUR",'Future et co'!E683,IF(currency="GBP",'Future et co'!F683,FALSE)))</f>
        <v>RFR USD</v>
      </c>
      <c r="D683" t="str">
        <f t="shared" ca="1" si="51"/>
        <v>RFR USD</v>
      </c>
      <c r="E683" t="str">
        <f t="shared" ca="1" si="52"/>
        <v>RFR EUR</v>
      </c>
      <c r="F683" t="str">
        <f t="shared" ca="1" si="53"/>
        <v>RFR GBP</v>
      </c>
      <c r="J683" s="1"/>
      <c r="N683" s="1"/>
      <c r="R683" s="1"/>
      <c r="V683" s="1"/>
      <c r="AB683" s="1"/>
      <c r="AF683" s="1"/>
      <c r="AJ683" s="1"/>
      <c r="AN683" s="1"/>
      <c r="AS683" s="1"/>
      <c r="AX683" s="1"/>
      <c r="BA683" s="1"/>
      <c r="BC683" s="1"/>
      <c r="BM683" s="1"/>
      <c r="BP683" s="1"/>
    </row>
    <row r="684" spans="1:68" x14ac:dyDescent="0.3">
      <c r="A684" s="19">
        <f t="shared" si="54"/>
        <v>46871</v>
      </c>
      <c r="B684">
        <f t="shared" ca="1" si="50"/>
        <v>-1.9972222222222222</v>
      </c>
      <c r="C684" t="str">
        <f ca="1">IF(currency="USD",'Future et co'!D684,IF(currency="EUR",'Future et co'!E684,IF(currency="GBP",'Future et co'!F684,FALSE)))</f>
        <v>RFR USD</v>
      </c>
      <c r="D684" t="str">
        <f t="shared" ca="1" si="51"/>
        <v>RFR USD</v>
      </c>
      <c r="E684" t="str">
        <f t="shared" ca="1" si="52"/>
        <v>RFR EUR</v>
      </c>
      <c r="F684" t="str">
        <f t="shared" ca="1" si="53"/>
        <v>RFR GBP</v>
      </c>
      <c r="J684" s="1"/>
      <c r="N684" s="1"/>
      <c r="R684" s="1"/>
      <c r="V684" s="1"/>
      <c r="AB684" s="1"/>
      <c r="AF684" s="1"/>
      <c r="AJ684" s="1"/>
      <c r="AN684" s="1"/>
      <c r="AS684" s="1"/>
      <c r="AX684" s="1"/>
      <c r="BA684" s="1"/>
      <c r="BC684" s="1"/>
      <c r="BM684" s="1"/>
      <c r="BP684" s="1"/>
    </row>
    <row r="685" spans="1:68" x14ac:dyDescent="0.3">
      <c r="A685" s="19">
        <f t="shared" si="54"/>
        <v>46874</v>
      </c>
      <c r="B685">
        <f t="shared" ca="1" si="50"/>
        <v>-2.0055555555555555</v>
      </c>
      <c r="C685" t="str">
        <f ca="1">IF(currency="USD",'Future et co'!D685,IF(currency="EUR",'Future et co'!E685,IF(currency="GBP",'Future et co'!F685,FALSE)))</f>
        <v>RFR USD</v>
      </c>
      <c r="D685" t="str">
        <f t="shared" ca="1" si="51"/>
        <v>RFR USD</v>
      </c>
      <c r="E685" t="str">
        <f t="shared" ca="1" si="52"/>
        <v>RFR EUR</v>
      </c>
      <c r="F685" t="str">
        <f t="shared" ca="1" si="53"/>
        <v>RFR GBP</v>
      </c>
      <c r="J685" s="1"/>
      <c r="N685" s="1"/>
      <c r="R685" s="1"/>
      <c r="V685" s="1"/>
      <c r="AB685" s="1"/>
      <c r="AF685" s="1"/>
      <c r="AJ685" s="1"/>
      <c r="AN685" s="1"/>
      <c r="AS685" s="1"/>
      <c r="AX685" s="1"/>
      <c r="BA685" s="1"/>
      <c r="BC685" s="1"/>
      <c r="BM685" s="1"/>
      <c r="BP685" s="1"/>
    </row>
    <row r="686" spans="1:68" x14ac:dyDescent="0.3">
      <c r="A686" s="19">
        <f t="shared" si="54"/>
        <v>46875</v>
      </c>
      <c r="B686">
        <f t="shared" ca="1" si="50"/>
        <v>-2.0083333333333333</v>
      </c>
      <c r="C686" t="str">
        <f ca="1">IF(currency="USD",'Future et co'!D686,IF(currency="EUR",'Future et co'!E686,IF(currency="GBP",'Future et co'!F686,FALSE)))</f>
        <v>RFR USD</v>
      </c>
      <c r="D686" t="str">
        <f t="shared" ca="1" si="51"/>
        <v>RFR USD</v>
      </c>
      <c r="E686" t="str">
        <f t="shared" ca="1" si="52"/>
        <v>RFR EUR</v>
      </c>
      <c r="F686" t="str">
        <f t="shared" ca="1" si="53"/>
        <v>RFR GBP</v>
      </c>
      <c r="J686" s="1"/>
      <c r="N686" s="1"/>
      <c r="R686" s="1"/>
      <c r="V686" s="1"/>
      <c r="AB686" s="1"/>
      <c r="AF686" s="1"/>
      <c r="AJ686" s="1"/>
      <c r="AN686" s="1"/>
      <c r="AS686" s="1"/>
      <c r="AX686" s="1"/>
      <c r="BA686" s="1"/>
      <c r="BC686" s="1"/>
      <c r="BM686" s="1"/>
      <c r="BP686" s="1"/>
    </row>
    <row r="687" spans="1:68" x14ac:dyDescent="0.3">
      <c r="A687" s="19">
        <f t="shared" si="54"/>
        <v>46876</v>
      </c>
      <c r="B687">
        <f t="shared" ca="1" si="50"/>
        <v>-2.0111111111111111</v>
      </c>
      <c r="C687" t="str">
        <f ca="1">IF(currency="USD",'Future et co'!D687,IF(currency="EUR",'Future et co'!E687,IF(currency="GBP",'Future et co'!F687,FALSE)))</f>
        <v>RFR USD</v>
      </c>
      <c r="D687" t="str">
        <f t="shared" ca="1" si="51"/>
        <v>RFR USD</v>
      </c>
      <c r="E687" t="str">
        <f t="shared" ca="1" si="52"/>
        <v>RFR EUR</v>
      </c>
      <c r="F687" t="str">
        <f t="shared" ca="1" si="53"/>
        <v>RFR GBP</v>
      </c>
      <c r="J687" s="1"/>
      <c r="N687" s="1"/>
      <c r="R687" s="1"/>
      <c r="V687" s="1"/>
      <c r="AB687" s="1"/>
      <c r="AF687" s="1"/>
      <c r="AJ687" s="1"/>
      <c r="AN687" s="1"/>
      <c r="AS687" s="1"/>
      <c r="AX687" s="1"/>
      <c r="BA687" s="1"/>
      <c r="BC687" s="1"/>
      <c r="BM687" s="1"/>
      <c r="BP687" s="1"/>
    </row>
    <row r="688" spans="1:68" x14ac:dyDescent="0.3">
      <c r="A688" s="19">
        <f t="shared" si="54"/>
        <v>46877</v>
      </c>
      <c r="B688">
        <f t="shared" ca="1" si="50"/>
        <v>-2.0138888888888888</v>
      </c>
      <c r="C688" t="str">
        <f ca="1">IF(currency="USD",'Future et co'!D688,IF(currency="EUR",'Future et co'!E688,IF(currency="GBP",'Future et co'!F688,FALSE)))</f>
        <v>RFR USD</v>
      </c>
      <c r="D688" t="str">
        <f t="shared" ca="1" si="51"/>
        <v>RFR USD</v>
      </c>
      <c r="E688" t="str">
        <f t="shared" ca="1" si="52"/>
        <v>RFR EUR</v>
      </c>
      <c r="F688" t="str">
        <f t="shared" ca="1" si="53"/>
        <v>RFR GBP</v>
      </c>
      <c r="J688" s="1"/>
      <c r="N688" s="1"/>
      <c r="R688" s="1"/>
      <c r="V688" s="1"/>
      <c r="AB688" s="1"/>
      <c r="AF688" s="1"/>
      <c r="AJ688" s="1"/>
      <c r="AN688" s="1"/>
      <c r="AS688" s="1"/>
      <c r="AX688" s="1"/>
      <c r="BA688" s="1"/>
      <c r="BC688" s="1"/>
      <c r="BM688" s="1"/>
      <c r="BP688" s="1"/>
    </row>
    <row r="689" spans="1:68" x14ac:dyDescent="0.3">
      <c r="A689" s="19">
        <f t="shared" si="54"/>
        <v>46878</v>
      </c>
      <c r="B689">
        <f t="shared" ca="1" si="50"/>
        <v>-2.0166666666666666</v>
      </c>
      <c r="C689" t="str">
        <f ca="1">IF(currency="USD",'Future et co'!D689,IF(currency="EUR",'Future et co'!E689,IF(currency="GBP",'Future et co'!F689,FALSE)))</f>
        <v>RFR USD</v>
      </c>
      <c r="D689" t="str">
        <f t="shared" ca="1" si="51"/>
        <v>RFR USD</v>
      </c>
      <c r="E689" t="str">
        <f t="shared" ca="1" si="52"/>
        <v>RFR EUR</v>
      </c>
      <c r="F689" t="str">
        <f t="shared" ca="1" si="53"/>
        <v>RFR GBP</v>
      </c>
      <c r="J689" s="1"/>
      <c r="N689" s="1"/>
      <c r="R689" s="1"/>
      <c r="V689" s="1"/>
      <c r="AB689" s="1"/>
      <c r="AF689" s="1"/>
      <c r="AJ689" s="1"/>
      <c r="AN689" s="1"/>
      <c r="AS689" s="1"/>
      <c r="AX689" s="1"/>
      <c r="BA689" s="1"/>
      <c r="BC689" s="1"/>
      <c r="BM689" s="1"/>
      <c r="BP689" s="1"/>
    </row>
    <row r="690" spans="1:68" x14ac:dyDescent="0.3">
      <c r="A690" s="19">
        <f t="shared" si="54"/>
        <v>46881</v>
      </c>
      <c r="B690">
        <f t="shared" ca="1" si="50"/>
        <v>-2.0249999999999999</v>
      </c>
      <c r="C690" t="str">
        <f ca="1">IF(currency="USD",'Future et co'!D690,IF(currency="EUR",'Future et co'!E690,IF(currency="GBP",'Future et co'!F690,FALSE)))</f>
        <v>RFR USD</v>
      </c>
      <c r="D690" t="str">
        <f t="shared" ca="1" si="51"/>
        <v>RFR USD</v>
      </c>
      <c r="E690" t="str">
        <f t="shared" ca="1" si="52"/>
        <v>RFR EUR</v>
      </c>
      <c r="F690" t="str">
        <f t="shared" ca="1" si="53"/>
        <v>RFR GBP</v>
      </c>
      <c r="J690" s="1"/>
      <c r="N690" s="1"/>
      <c r="R690" s="1"/>
      <c r="V690" s="1"/>
      <c r="AB690" s="1"/>
      <c r="AF690" s="1"/>
      <c r="AJ690" s="1"/>
      <c r="AN690" s="1"/>
      <c r="AS690" s="1"/>
      <c r="AX690" s="1"/>
      <c r="BA690" s="1"/>
      <c r="BC690" s="1"/>
      <c r="BM690" s="1"/>
      <c r="BP690" s="1"/>
    </row>
    <row r="691" spans="1:68" x14ac:dyDescent="0.3">
      <c r="A691" s="19">
        <f t="shared" si="54"/>
        <v>46882</v>
      </c>
      <c r="B691">
        <f t="shared" ca="1" si="50"/>
        <v>-2.0277777777777777</v>
      </c>
      <c r="C691" t="str">
        <f ca="1">IF(currency="USD",'Future et co'!D691,IF(currency="EUR",'Future et co'!E691,IF(currency="GBP",'Future et co'!F691,FALSE)))</f>
        <v>RFR USD</v>
      </c>
      <c r="D691" t="str">
        <f t="shared" ca="1" si="51"/>
        <v>RFR USD</v>
      </c>
      <c r="E691" t="str">
        <f t="shared" ca="1" si="52"/>
        <v>RFR EUR</v>
      </c>
      <c r="F691" t="str">
        <f t="shared" ca="1" si="53"/>
        <v>RFR GBP</v>
      </c>
      <c r="J691" s="1"/>
      <c r="N691" s="1"/>
      <c r="R691" s="1"/>
      <c r="V691" s="1"/>
      <c r="AB691" s="1"/>
      <c r="AF691" s="1"/>
      <c r="AJ691" s="1"/>
      <c r="AN691" s="1"/>
      <c r="AS691" s="1"/>
      <c r="AX691" s="1"/>
      <c r="BA691" s="1"/>
      <c r="BC691" s="1"/>
      <c r="BM691" s="1"/>
      <c r="BP691" s="1"/>
    </row>
    <row r="692" spans="1:68" x14ac:dyDescent="0.3">
      <c r="A692" s="19">
        <f t="shared" si="54"/>
        <v>46883</v>
      </c>
      <c r="B692">
        <f t="shared" ca="1" si="50"/>
        <v>-2.0305555555555554</v>
      </c>
      <c r="C692" t="str">
        <f ca="1">IF(currency="USD",'Future et co'!D692,IF(currency="EUR",'Future et co'!E692,IF(currency="GBP",'Future et co'!F692,FALSE)))</f>
        <v>RFR USD</v>
      </c>
      <c r="D692" t="str">
        <f t="shared" ca="1" si="51"/>
        <v>RFR USD</v>
      </c>
      <c r="E692" t="str">
        <f t="shared" ca="1" si="52"/>
        <v>RFR EUR</v>
      </c>
      <c r="F692" t="str">
        <f t="shared" ca="1" si="53"/>
        <v>RFR GBP</v>
      </c>
      <c r="J692" s="1"/>
      <c r="N692" s="1"/>
      <c r="R692" s="1"/>
      <c r="V692" s="1"/>
      <c r="AB692" s="1"/>
      <c r="AF692" s="1"/>
      <c r="AJ692" s="1"/>
      <c r="AN692" s="1"/>
      <c r="AS692" s="1"/>
      <c r="AX692" s="1"/>
      <c r="BA692" s="1"/>
      <c r="BC692" s="1"/>
      <c r="BM692" s="1"/>
      <c r="BP692" s="1"/>
    </row>
    <row r="693" spans="1:68" x14ac:dyDescent="0.3">
      <c r="A693" s="19">
        <f t="shared" si="54"/>
        <v>46884</v>
      </c>
      <c r="B693">
        <f t="shared" ca="1" si="50"/>
        <v>-2.0333333333333332</v>
      </c>
      <c r="C693" t="str">
        <f ca="1">IF(currency="USD",'Future et co'!D693,IF(currency="EUR",'Future et co'!E693,IF(currency="GBP",'Future et co'!F693,FALSE)))</f>
        <v>RFR USD</v>
      </c>
      <c r="D693" t="str">
        <f t="shared" ca="1" si="51"/>
        <v>RFR USD</v>
      </c>
      <c r="E693" t="str">
        <f t="shared" ca="1" si="52"/>
        <v>RFR EUR</v>
      </c>
      <c r="F693" t="str">
        <f t="shared" ca="1" si="53"/>
        <v>RFR GBP</v>
      </c>
      <c r="J693" s="1"/>
      <c r="N693" s="1"/>
      <c r="R693" s="1"/>
      <c r="V693" s="1"/>
      <c r="AB693" s="1"/>
      <c r="AF693" s="1"/>
      <c r="AJ693" s="1"/>
      <c r="AN693" s="1"/>
      <c r="AS693" s="1"/>
      <c r="AX693" s="1"/>
      <c r="BA693" s="1"/>
      <c r="BC693" s="1"/>
      <c r="BM693" s="1"/>
      <c r="BP693" s="1"/>
    </row>
    <row r="694" spans="1:68" x14ac:dyDescent="0.3">
      <c r="A694" s="19">
        <f t="shared" si="54"/>
        <v>46885</v>
      </c>
      <c r="B694">
        <f t="shared" ca="1" si="50"/>
        <v>-2.036111111111111</v>
      </c>
      <c r="C694" t="str">
        <f ca="1">IF(currency="USD",'Future et co'!D694,IF(currency="EUR",'Future et co'!E694,IF(currency="GBP",'Future et co'!F694,FALSE)))</f>
        <v>RFR USD</v>
      </c>
      <c r="D694" t="str">
        <f t="shared" ca="1" si="51"/>
        <v>RFR USD</v>
      </c>
      <c r="E694" t="str">
        <f t="shared" ca="1" si="52"/>
        <v>RFR EUR</v>
      </c>
      <c r="F694" t="str">
        <f t="shared" ca="1" si="53"/>
        <v>RFR GBP</v>
      </c>
      <c r="J694" s="1"/>
      <c r="N694" s="1"/>
      <c r="R694" s="1"/>
      <c r="V694" s="1"/>
      <c r="AB694" s="1"/>
      <c r="AF694" s="1"/>
      <c r="AJ694" s="1"/>
      <c r="AN694" s="1"/>
      <c r="AS694" s="1"/>
      <c r="AX694" s="1"/>
      <c r="BA694" s="1"/>
      <c r="BC694" s="1"/>
      <c r="BM694" s="1"/>
      <c r="BP694" s="1"/>
    </row>
    <row r="695" spans="1:68" x14ac:dyDescent="0.3">
      <c r="A695" s="19">
        <f t="shared" si="54"/>
        <v>46888</v>
      </c>
      <c r="B695">
        <f t="shared" ca="1" si="50"/>
        <v>-2.0444444444444443</v>
      </c>
      <c r="C695" t="str">
        <f ca="1">IF(currency="USD",'Future et co'!D695,IF(currency="EUR",'Future et co'!E695,IF(currency="GBP",'Future et co'!F695,FALSE)))</f>
        <v>RFR USD</v>
      </c>
      <c r="D695" t="str">
        <f t="shared" ca="1" si="51"/>
        <v>RFR USD</v>
      </c>
      <c r="E695" t="str">
        <f t="shared" ca="1" si="52"/>
        <v>RFR EUR</v>
      </c>
      <c r="F695" t="str">
        <f t="shared" ca="1" si="53"/>
        <v>RFR GBP</v>
      </c>
      <c r="J695" s="1"/>
      <c r="N695" s="1"/>
      <c r="R695" s="1"/>
      <c r="V695" s="1"/>
      <c r="AB695" s="1"/>
      <c r="AF695" s="1"/>
      <c r="AJ695" s="1"/>
      <c r="AN695" s="1"/>
      <c r="AS695" s="1"/>
      <c r="AX695" s="1"/>
      <c r="BA695" s="1"/>
      <c r="BC695" s="1"/>
      <c r="BM695" s="1"/>
      <c r="BP695" s="1"/>
    </row>
    <row r="696" spans="1:68" x14ac:dyDescent="0.3">
      <c r="A696" s="19">
        <f t="shared" si="54"/>
        <v>46889</v>
      </c>
      <c r="B696">
        <f t="shared" ca="1" si="50"/>
        <v>-2.0472222222222221</v>
      </c>
      <c r="C696" t="str">
        <f ca="1">IF(currency="USD",'Future et co'!D696,IF(currency="EUR",'Future et co'!E696,IF(currency="GBP",'Future et co'!F696,FALSE)))</f>
        <v>RFR USD</v>
      </c>
      <c r="D696" t="str">
        <f t="shared" ca="1" si="51"/>
        <v>RFR USD</v>
      </c>
      <c r="E696" t="str">
        <f t="shared" ca="1" si="52"/>
        <v>RFR EUR</v>
      </c>
      <c r="F696" t="str">
        <f t="shared" ca="1" si="53"/>
        <v>RFR GBP</v>
      </c>
      <c r="J696" s="1"/>
      <c r="N696" s="1"/>
      <c r="R696" s="1"/>
      <c r="V696" s="1"/>
      <c r="AB696" s="1"/>
      <c r="AF696" s="1"/>
      <c r="AJ696" s="1"/>
      <c r="AN696" s="1"/>
      <c r="AS696" s="1"/>
      <c r="AX696" s="1"/>
      <c r="BA696" s="1"/>
      <c r="BC696" s="1"/>
      <c r="BM696" s="1"/>
      <c r="BP696" s="1"/>
    </row>
    <row r="697" spans="1:68" x14ac:dyDescent="0.3">
      <c r="A697" s="19">
        <f t="shared" si="54"/>
        <v>46890</v>
      </c>
      <c r="B697">
        <f t="shared" ca="1" si="50"/>
        <v>-2.0499999999999998</v>
      </c>
      <c r="C697" t="str">
        <f ca="1">IF(currency="USD",'Future et co'!D697,IF(currency="EUR",'Future et co'!E697,IF(currency="GBP",'Future et co'!F697,FALSE)))</f>
        <v>RFR USD</v>
      </c>
      <c r="D697" t="str">
        <f t="shared" ca="1" si="51"/>
        <v>RFR USD</v>
      </c>
      <c r="E697" t="str">
        <f t="shared" ca="1" si="52"/>
        <v>RFR EUR</v>
      </c>
      <c r="F697" t="str">
        <f t="shared" ca="1" si="53"/>
        <v>RFR GBP</v>
      </c>
      <c r="J697" s="1"/>
      <c r="N697" s="1"/>
      <c r="R697" s="1"/>
      <c r="V697" s="1"/>
      <c r="AB697" s="1"/>
      <c r="AF697" s="1"/>
      <c r="AJ697" s="1"/>
      <c r="AN697" s="1"/>
      <c r="AS697" s="1"/>
      <c r="AX697" s="1"/>
      <c r="BA697" s="1"/>
      <c r="BC697" s="1"/>
      <c r="BM697" s="1"/>
      <c r="BP697" s="1"/>
    </row>
    <row r="698" spans="1:68" x14ac:dyDescent="0.3">
      <c r="A698" s="19">
        <f t="shared" si="54"/>
        <v>46891</v>
      </c>
      <c r="B698">
        <f t="shared" ca="1" si="50"/>
        <v>-2.0527777777777776</v>
      </c>
      <c r="C698" t="str">
        <f ca="1">IF(currency="USD",'Future et co'!D698,IF(currency="EUR",'Future et co'!E698,IF(currency="GBP",'Future et co'!F698,FALSE)))</f>
        <v>RFR USD</v>
      </c>
      <c r="D698" t="str">
        <f t="shared" ca="1" si="51"/>
        <v>RFR USD</v>
      </c>
      <c r="E698" t="str">
        <f t="shared" ca="1" si="52"/>
        <v>RFR EUR</v>
      </c>
      <c r="F698" t="str">
        <f t="shared" ca="1" si="53"/>
        <v>RFR GBP</v>
      </c>
      <c r="J698" s="1"/>
      <c r="N698" s="1"/>
      <c r="R698" s="1"/>
      <c r="V698" s="1"/>
      <c r="AB698" s="1"/>
      <c r="AF698" s="1"/>
      <c r="AJ698" s="1"/>
      <c r="AN698" s="1"/>
      <c r="AS698" s="1"/>
      <c r="AX698" s="1"/>
      <c r="BA698" s="1"/>
      <c r="BC698" s="1"/>
      <c r="BM698" s="1"/>
      <c r="BP698" s="1"/>
    </row>
    <row r="699" spans="1:68" x14ac:dyDescent="0.3">
      <c r="A699" s="19">
        <f t="shared" si="54"/>
        <v>46892</v>
      </c>
      <c r="B699">
        <f t="shared" ca="1" si="50"/>
        <v>-2.0555555555555554</v>
      </c>
      <c r="C699" t="str">
        <f ca="1">IF(currency="USD",'Future et co'!D699,IF(currency="EUR",'Future et co'!E699,IF(currency="GBP",'Future et co'!F699,FALSE)))</f>
        <v>RFR USD</v>
      </c>
      <c r="D699" t="str">
        <f t="shared" ca="1" si="51"/>
        <v>RFR USD</v>
      </c>
      <c r="E699" t="str">
        <f t="shared" ca="1" si="52"/>
        <v>RFR EUR</v>
      </c>
      <c r="F699" t="str">
        <f t="shared" ca="1" si="53"/>
        <v>RFR GBP</v>
      </c>
      <c r="J699" s="1"/>
      <c r="N699" s="1"/>
      <c r="R699" s="1"/>
      <c r="V699" s="1"/>
      <c r="AB699" s="1"/>
      <c r="AF699" s="1"/>
      <c r="AJ699" s="1"/>
      <c r="AN699" s="1"/>
      <c r="AS699" s="1"/>
      <c r="AX699" s="1"/>
      <c r="BA699" s="1"/>
      <c r="BC699" s="1"/>
      <c r="BM699" s="1"/>
      <c r="BP699" s="1"/>
    </row>
    <row r="700" spans="1:68" x14ac:dyDescent="0.3">
      <c r="A700" s="19">
        <f t="shared" si="54"/>
        <v>46895</v>
      </c>
      <c r="B700">
        <f t="shared" ca="1" si="50"/>
        <v>-2.0638888888888891</v>
      </c>
      <c r="C700" t="str">
        <f ca="1">IF(currency="USD",'Future et co'!D700,IF(currency="EUR",'Future et co'!E700,IF(currency="GBP",'Future et co'!F700,FALSE)))</f>
        <v>RFR USD</v>
      </c>
      <c r="D700" t="str">
        <f t="shared" ca="1" si="51"/>
        <v>RFR USD</v>
      </c>
      <c r="E700" t="str">
        <f t="shared" ca="1" si="52"/>
        <v>RFR EUR</v>
      </c>
      <c r="F700" t="str">
        <f t="shared" ca="1" si="53"/>
        <v>RFR GBP</v>
      </c>
      <c r="J700" s="1"/>
      <c r="N700" s="1"/>
      <c r="R700" s="1"/>
      <c r="V700" s="1"/>
      <c r="AB700" s="1"/>
      <c r="AF700" s="1"/>
      <c r="AJ700" s="1"/>
      <c r="AN700" s="1"/>
      <c r="AS700" s="1"/>
      <c r="AX700" s="1"/>
      <c r="BA700" s="1"/>
      <c r="BC700" s="1"/>
      <c r="BM700" s="1"/>
      <c r="BP700" s="1"/>
    </row>
    <row r="701" spans="1:68" x14ac:dyDescent="0.3">
      <c r="A701" s="19">
        <f t="shared" si="54"/>
        <v>46896</v>
      </c>
      <c r="B701">
        <f t="shared" ca="1" si="50"/>
        <v>-2.0666666666666669</v>
      </c>
      <c r="C701" t="str">
        <f ca="1">IF(currency="USD",'Future et co'!D701,IF(currency="EUR",'Future et co'!E701,IF(currency="GBP",'Future et co'!F701,FALSE)))</f>
        <v>RFR USD</v>
      </c>
      <c r="D701" t="str">
        <f t="shared" ca="1" si="51"/>
        <v>RFR USD</v>
      </c>
      <c r="E701" t="str">
        <f t="shared" ca="1" si="52"/>
        <v>RFR EUR</v>
      </c>
      <c r="F701" t="str">
        <f t="shared" ca="1" si="53"/>
        <v>RFR GBP</v>
      </c>
      <c r="J701" s="1"/>
      <c r="N701" s="1"/>
      <c r="R701" s="1"/>
      <c r="V701" s="1"/>
      <c r="AB701" s="1"/>
      <c r="AF701" s="1"/>
      <c r="AJ701" s="1"/>
      <c r="AN701" s="1"/>
      <c r="AS701" s="1"/>
      <c r="AX701" s="1"/>
      <c r="BA701" s="1"/>
      <c r="BC701" s="1"/>
      <c r="BM701" s="1"/>
      <c r="BP701" s="1"/>
    </row>
    <row r="702" spans="1:68" x14ac:dyDescent="0.3">
      <c r="A702" s="19">
        <f t="shared" si="54"/>
        <v>46897</v>
      </c>
      <c r="B702">
        <f t="shared" ca="1" si="50"/>
        <v>-2.0694444444444446</v>
      </c>
      <c r="C702" t="str">
        <f ca="1">IF(currency="USD",'Future et co'!D702,IF(currency="EUR",'Future et co'!E702,IF(currency="GBP",'Future et co'!F702,FALSE)))</f>
        <v>RFR USD</v>
      </c>
      <c r="D702" t="str">
        <f t="shared" ca="1" si="51"/>
        <v>RFR USD</v>
      </c>
      <c r="E702" t="str">
        <f t="shared" ca="1" si="52"/>
        <v>RFR EUR</v>
      </c>
      <c r="F702" t="str">
        <f t="shared" ca="1" si="53"/>
        <v>RFR GBP</v>
      </c>
      <c r="J702" s="1"/>
      <c r="N702" s="1"/>
      <c r="R702" s="1"/>
      <c r="V702" s="1"/>
      <c r="AB702" s="1"/>
      <c r="AF702" s="1"/>
      <c r="AJ702" s="1"/>
      <c r="AN702" s="1"/>
      <c r="AS702" s="1"/>
      <c r="AX702" s="1"/>
      <c r="BA702" s="1"/>
      <c r="BC702" s="1"/>
      <c r="BM702" s="1"/>
      <c r="BP702" s="1"/>
    </row>
    <row r="703" spans="1:68" x14ac:dyDescent="0.3">
      <c r="A703" s="19">
        <f t="shared" si="54"/>
        <v>46898</v>
      </c>
      <c r="B703">
        <f t="shared" ca="1" si="50"/>
        <v>-2.0722222222222224</v>
      </c>
      <c r="C703" t="str">
        <f ca="1">IF(currency="USD",'Future et co'!D703,IF(currency="EUR",'Future et co'!E703,IF(currency="GBP",'Future et co'!F703,FALSE)))</f>
        <v>RFR USD</v>
      </c>
      <c r="D703" t="str">
        <f t="shared" ca="1" si="51"/>
        <v>RFR USD</v>
      </c>
      <c r="E703" t="str">
        <f t="shared" ca="1" si="52"/>
        <v>RFR EUR</v>
      </c>
      <c r="F703" t="str">
        <f t="shared" ca="1" si="53"/>
        <v>RFR GBP</v>
      </c>
      <c r="J703" s="1"/>
      <c r="N703" s="1"/>
      <c r="R703" s="1"/>
      <c r="V703" s="1"/>
      <c r="AB703" s="1"/>
      <c r="AF703" s="1"/>
      <c r="AJ703" s="1"/>
      <c r="AN703" s="1"/>
      <c r="AS703" s="1"/>
      <c r="AX703" s="1"/>
      <c r="BA703" s="1"/>
      <c r="BC703" s="1"/>
      <c r="BM703" s="1"/>
      <c r="BP703" s="1"/>
    </row>
    <row r="704" spans="1:68" x14ac:dyDescent="0.3">
      <c r="A704" s="19">
        <f t="shared" si="54"/>
        <v>46899</v>
      </c>
      <c r="B704">
        <f t="shared" ca="1" si="50"/>
        <v>-2.0750000000000002</v>
      </c>
      <c r="C704" t="str">
        <f ca="1">IF(currency="USD",'Future et co'!D704,IF(currency="EUR",'Future et co'!E704,IF(currency="GBP",'Future et co'!F704,FALSE)))</f>
        <v>RFR USD</v>
      </c>
      <c r="D704" t="str">
        <f t="shared" ca="1" si="51"/>
        <v>RFR USD</v>
      </c>
      <c r="E704" t="str">
        <f t="shared" ca="1" si="52"/>
        <v>RFR EUR</v>
      </c>
      <c r="F704" t="str">
        <f t="shared" ca="1" si="53"/>
        <v>RFR GBP</v>
      </c>
      <c r="J704" s="1"/>
      <c r="N704" s="1"/>
      <c r="R704" s="1"/>
      <c r="V704" s="1"/>
      <c r="AB704" s="1"/>
      <c r="AF704" s="1"/>
      <c r="AJ704" s="1"/>
      <c r="AN704" s="1"/>
      <c r="AS704" s="1"/>
      <c r="AX704" s="1"/>
      <c r="BA704" s="1"/>
      <c r="BC704" s="1"/>
      <c r="BM704" s="1"/>
      <c r="BP704" s="1"/>
    </row>
    <row r="705" spans="1:68" x14ac:dyDescent="0.3">
      <c r="A705" s="19">
        <f t="shared" si="54"/>
        <v>46902</v>
      </c>
      <c r="B705">
        <f t="shared" ca="1" si="50"/>
        <v>-2.0833333333333335</v>
      </c>
      <c r="C705" t="str">
        <f ca="1">IF(currency="USD",'Future et co'!D705,IF(currency="EUR",'Future et co'!E705,IF(currency="GBP",'Future et co'!F705,FALSE)))</f>
        <v>RFR USD</v>
      </c>
      <c r="D705" t="str">
        <f t="shared" ca="1" si="51"/>
        <v>RFR USD</v>
      </c>
      <c r="E705" t="str">
        <f t="shared" ca="1" si="52"/>
        <v>RFR EUR</v>
      </c>
      <c r="F705" t="str">
        <f t="shared" ca="1" si="53"/>
        <v>RFR GBP</v>
      </c>
      <c r="J705" s="1"/>
      <c r="N705" s="1"/>
      <c r="R705" s="1"/>
      <c r="V705" s="1"/>
      <c r="AB705" s="1"/>
      <c r="AF705" s="1"/>
      <c r="AJ705" s="1"/>
      <c r="AN705" s="1"/>
      <c r="AS705" s="1"/>
      <c r="AX705" s="1"/>
      <c r="BA705" s="1"/>
      <c r="BC705" s="1"/>
      <c r="BM705" s="1"/>
      <c r="BP705" s="1"/>
    </row>
    <row r="706" spans="1:68" x14ac:dyDescent="0.3">
      <c r="A706" s="19">
        <f t="shared" si="54"/>
        <v>46903</v>
      </c>
      <c r="B706">
        <f t="shared" ca="1" si="50"/>
        <v>-2.0861111111111112</v>
      </c>
      <c r="C706" t="str">
        <f ca="1">IF(currency="USD",'Future et co'!D706,IF(currency="EUR",'Future et co'!E706,IF(currency="GBP",'Future et co'!F706,FALSE)))</f>
        <v>RFR USD</v>
      </c>
      <c r="D706" t="str">
        <f t="shared" ca="1" si="51"/>
        <v>RFR USD</v>
      </c>
      <c r="E706" t="str">
        <f t="shared" ca="1" si="52"/>
        <v>RFR EUR</v>
      </c>
      <c r="F706" t="str">
        <f t="shared" ca="1" si="53"/>
        <v>RFR GBP</v>
      </c>
      <c r="J706" s="1"/>
      <c r="N706" s="1"/>
      <c r="R706" s="1"/>
      <c r="V706" s="1"/>
      <c r="AB706" s="1"/>
      <c r="AF706" s="1"/>
      <c r="AJ706" s="1"/>
      <c r="AN706" s="1"/>
      <c r="AS706" s="1"/>
      <c r="AX706" s="1"/>
      <c r="BA706" s="1"/>
      <c r="BC706" s="1"/>
      <c r="BM706" s="1"/>
      <c r="BP706" s="1"/>
    </row>
    <row r="707" spans="1:68" x14ac:dyDescent="0.3">
      <c r="A707" s="19">
        <f t="shared" si="54"/>
        <v>46904</v>
      </c>
      <c r="B707">
        <f t="shared" ca="1" si="50"/>
        <v>-2.088888888888889</v>
      </c>
      <c r="C707" t="str">
        <f ca="1">IF(currency="USD",'Future et co'!D707,IF(currency="EUR",'Future et co'!E707,IF(currency="GBP",'Future et co'!F707,FALSE)))</f>
        <v>RFR USD</v>
      </c>
      <c r="D707" t="str">
        <f t="shared" ca="1" si="51"/>
        <v>RFR USD</v>
      </c>
      <c r="E707" t="str">
        <f t="shared" ca="1" si="52"/>
        <v>RFR EUR</v>
      </c>
      <c r="F707" t="str">
        <f t="shared" ca="1" si="53"/>
        <v>RFR GBP</v>
      </c>
      <c r="J707" s="1"/>
      <c r="N707" s="1"/>
      <c r="R707" s="1"/>
      <c r="V707" s="1"/>
      <c r="AB707" s="1"/>
      <c r="AF707" s="1"/>
      <c r="AJ707" s="1"/>
      <c r="AN707" s="1"/>
      <c r="AS707" s="1"/>
      <c r="AX707" s="1"/>
      <c r="BA707" s="1"/>
      <c r="BC707" s="1"/>
      <c r="BM707" s="1"/>
      <c r="BP707" s="1"/>
    </row>
    <row r="708" spans="1:68" x14ac:dyDescent="0.3">
      <c r="A708" s="19">
        <f t="shared" si="54"/>
        <v>46905</v>
      </c>
      <c r="B708">
        <f t="shared" ca="1" si="50"/>
        <v>-2.0916666666666668</v>
      </c>
      <c r="C708" t="str">
        <f ca="1">IF(currency="USD",'Future et co'!D708,IF(currency="EUR",'Future et co'!E708,IF(currency="GBP",'Future et co'!F708,FALSE)))</f>
        <v>RFR USD</v>
      </c>
      <c r="D708" t="str">
        <f t="shared" ca="1" si="51"/>
        <v>RFR USD</v>
      </c>
      <c r="E708" t="str">
        <f t="shared" ca="1" si="52"/>
        <v>RFR EUR</v>
      </c>
      <c r="F708" t="str">
        <f t="shared" ca="1" si="53"/>
        <v>RFR GBP</v>
      </c>
      <c r="J708" s="1"/>
      <c r="N708" s="1"/>
      <c r="R708" s="1"/>
      <c r="V708" s="1"/>
      <c r="AB708" s="1"/>
      <c r="AF708" s="1"/>
      <c r="AJ708" s="1"/>
      <c r="AN708" s="1"/>
      <c r="AS708" s="1"/>
      <c r="AX708" s="1"/>
      <c r="BA708" s="1"/>
      <c r="BC708" s="1"/>
      <c r="BM708" s="1"/>
      <c r="BP708" s="1"/>
    </row>
    <row r="709" spans="1:68" x14ac:dyDescent="0.3">
      <c r="A709" s="19">
        <f t="shared" si="54"/>
        <v>46906</v>
      </c>
      <c r="B709">
        <f t="shared" ca="1" si="50"/>
        <v>-2.0944444444444446</v>
      </c>
      <c r="C709" t="str">
        <f ca="1">IF(currency="USD",'Future et co'!D709,IF(currency="EUR",'Future et co'!E709,IF(currency="GBP",'Future et co'!F709,FALSE)))</f>
        <v>RFR USD</v>
      </c>
      <c r="D709" t="str">
        <f t="shared" ca="1" si="51"/>
        <v>RFR USD</v>
      </c>
      <c r="E709" t="str">
        <f t="shared" ca="1" si="52"/>
        <v>RFR EUR</v>
      </c>
      <c r="F709" t="str">
        <f t="shared" ca="1" si="53"/>
        <v>RFR GBP</v>
      </c>
      <c r="J709" s="1"/>
      <c r="N709" s="1"/>
      <c r="R709" s="1"/>
      <c r="V709" s="1"/>
      <c r="AB709" s="1"/>
      <c r="AF709" s="1"/>
      <c r="AJ709" s="1"/>
      <c r="AN709" s="1"/>
      <c r="AS709" s="1"/>
      <c r="AX709" s="1"/>
      <c r="BA709" s="1"/>
      <c r="BC709" s="1"/>
      <c r="BM709" s="1"/>
      <c r="BP709" s="1"/>
    </row>
    <row r="710" spans="1:68" x14ac:dyDescent="0.3">
      <c r="A710" s="19">
        <f t="shared" si="54"/>
        <v>46909</v>
      </c>
      <c r="B710">
        <f t="shared" ca="1" si="50"/>
        <v>-2.1027777777777779</v>
      </c>
      <c r="C710" t="str">
        <f ca="1">IF(currency="USD",'Future et co'!D710,IF(currency="EUR",'Future et co'!E710,IF(currency="GBP",'Future et co'!F710,FALSE)))</f>
        <v>RFR USD</v>
      </c>
      <c r="D710" t="str">
        <f t="shared" ca="1" si="51"/>
        <v>RFR USD</v>
      </c>
      <c r="E710" t="str">
        <f t="shared" ca="1" si="52"/>
        <v>RFR EUR</v>
      </c>
      <c r="F710" t="str">
        <f t="shared" ca="1" si="53"/>
        <v>RFR GBP</v>
      </c>
      <c r="J710" s="1"/>
      <c r="N710" s="1"/>
      <c r="R710" s="1"/>
      <c r="V710" s="1"/>
      <c r="AB710" s="1"/>
      <c r="AF710" s="1"/>
      <c r="AJ710" s="1"/>
      <c r="AN710" s="1"/>
      <c r="AS710" s="1"/>
      <c r="AX710" s="1"/>
      <c r="BA710" s="1"/>
      <c r="BC710" s="1"/>
      <c r="BM710" s="1"/>
      <c r="BP710" s="1"/>
    </row>
    <row r="711" spans="1:68" x14ac:dyDescent="0.3">
      <c r="A711" s="19">
        <f t="shared" si="54"/>
        <v>46910</v>
      </c>
      <c r="B711">
        <f t="shared" ca="1" si="50"/>
        <v>-2.1055555555555556</v>
      </c>
      <c r="C711" t="str">
        <f ca="1">IF(currency="USD",'Future et co'!D711,IF(currency="EUR",'Future et co'!E711,IF(currency="GBP",'Future et co'!F711,FALSE)))</f>
        <v>RFR USD</v>
      </c>
      <c r="D711" t="str">
        <f t="shared" ca="1" si="51"/>
        <v>RFR USD</v>
      </c>
      <c r="E711" t="str">
        <f t="shared" ca="1" si="52"/>
        <v>RFR EUR</v>
      </c>
      <c r="F711" t="str">
        <f t="shared" ca="1" si="53"/>
        <v>RFR GBP</v>
      </c>
      <c r="J711" s="1"/>
      <c r="N711" s="1"/>
      <c r="R711" s="1"/>
      <c r="V711" s="1"/>
      <c r="AB711" s="1"/>
      <c r="AF711" s="1"/>
      <c r="AJ711" s="1"/>
      <c r="AN711" s="1"/>
      <c r="AS711" s="1"/>
      <c r="AX711" s="1"/>
      <c r="BA711" s="1"/>
      <c r="BC711" s="1"/>
      <c r="BM711" s="1"/>
      <c r="BP711" s="1"/>
    </row>
    <row r="712" spans="1:68" x14ac:dyDescent="0.3">
      <c r="A712" s="19">
        <f t="shared" si="54"/>
        <v>46911</v>
      </c>
      <c r="B712">
        <f t="shared" ca="1" si="50"/>
        <v>-2.1083333333333334</v>
      </c>
      <c r="C712" t="str">
        <f ca="1">IF(currency="USD",'Future et co'!D712,IF(currency="EUR",'Future et co'!E712,IF(currency="GBP",'Future et co'!F712,FALSE)))</f>
        <v>RFR USD</v>
      </c>
      <c r="D712" t="str">
        <f t="shared" ca="1" si="51"/>
        <v>RFR USD</v>
      </c>
      <c r="E712" t="str">
        <f t="shared" ca="1" si="52"/>
        <v>RFR EUR</v>
      </c>
      <c r="F712" t="str">
        <f t="shared" ca="1" si="53"/>
        <v>RFR GBP</v>
      </c>
      <c r="J712" s="1"/>
      <c r="N712" s="1"/>
      <c r="R712" s="1"/>
      <c r="V712" s="1"/>
      <c r="AB712" s="1"/>
      <c r="AF712" s="1"/>
      <c r="AJ712" s="1"/>
      <c r="AN712" s="1"/>
      <c r="AS712" s="1"/>
      <c r="AX712" s="1"/>
      <c r="BA712" s="1"/>
      <c r="BC712" s="1"/>
      <c r="BM712" s="1"/>
      <c r="BP712" s="1"/>
    </row>
    <row r="713" spans="1:68" x14ac:dyDescent="0.3">
      <c r="A713" s="19">
        <f t="shared" si="54"/>
        <v>46912</v>
      </c>
      <c r="B713">
        <f t="shared" ca="1" si="50"/>
        <v>-2.1111111111111112</v>
      </c>
      <c r="C713" t="str">
        <f ca="1">IF(currency="USD",'Future et co'!D713,IF(currency="EUR",'Future et co'!E713,IF(currency="GBP",'Future et co'!F713,FALSE)))</f>
        <v>RFR USD</v>
      </c>
      <c r="D713" t="str">
        <f t="shared" ca="1" si="51"/>
        <v>RFR USD</v>
      </c>
      <c r="E713" t="str">
        <f t="shared" ca="1" si="52"/>
        <v>RFR EUR</v>
      </c>
      <c r="F713" t="str">
        <f t="shared" ca="1" si="53"/>
        <v>RFR GBP</v>
      </c>
      <c r="J713" s="1"/>
      <c r="N713" s="1"/>
      <c r="R713" s="1"/>
      <c r="V713" s="1"/>
      <c r="AB713" s="1"/>
      <c r="AF713" s="1"/>
      <c r="AJ713" s="1"/>
      <c r="AN713" s="1"/>
      <c r="AS713" s="1"/>
      <c r="AX713" s="1"/>
      <c r="BA713" s="1"/>
      <c r="BC713" s="1"/>
      <c r="BM713" s="1"/>
      <c r="BP713" s="1"/>
    </row>
    <row r="714" spans="1:68" x14ac:dyDescent="0.3">
      <c r="A714" s="19">
        <f t="shared" si="54"/>
        <v>46913</v>
      </c>
      <c r="B714">
        <f t="shared" ca="1" si="50"/>
        <v>-2.1138888888888889</v>
      </c>
      <c r="C714" t="str">
        <f ca="1">IF(currency="USD",'Future et co'!D714,IF(currency="EUR",'Future et co'!E714,IF(currency="GBP",'Future et co'!F714,FALSE)))</f>
        <v>RFR USD</v>
      </c>
      <c r="D714" t="str">
        <f t="shared" ca="1" si="51"/>
        <v>RFR USD</v>
      </c>
      <c r="E714" t="str">
        <f t="shared" ca="1" si="52"/>
        <v>RFR EUR</v>
      </c>
      <c r="F714" t="str">
        <f t="shared" ca="1" si="53"/>
        <v>RFR GBP</v>
      </c>
      <c r="J714" s="1"/>
      <c r="N714" s="1"/>
      <c r="R714" s="1"/>
      <c r="V714" s="1"/>
      <c r="AB714" s="1"/>
      <c r="AF714" s="1"/>
      <c r="AJ714" s="1"/>
      <c r="AN714" s="1"/>
      <c r="AS714" s="1"/>
      <c r="AX714" s="1"/>
      <c r="BA714" s="1"/>
      <c r="BC714" s="1"/>
      <c r="BM714" s="1"/>
      <c r="BP714" s="1"/>
    </row>
    <row r="715" spans="1:68" x14ac:dyDescent="0.3">
      <c r="A715" s="19">
        <f t="shared" si="54"/>
        <v>46916</v>
      </c>
      <c r="B715">
        <f t="shared" ref="B715:B778" ca="1" si="55">($B$7-A715)/360</f>
        <v>-2.1222222222222222</v>
      </c>
      <c r="C715" t="str">
        <f ca="1">IF(currency="USD",'Future et co'!D715,IF(currency="EUR",'Future et co'!E715,IF(currency="GBP",'Future et co'!F715,FALSE)))</f>
        <v>RFR USD</v>
      </c>
      <c r="D715" t="str">
        <f t="shared" ref="D715:D778" ca="1" si="56">IFERROR(IF(B715&lt;0.25,VLOOKUP(A715,$J$11:$L$5325,3,FALSE),IF(AND(B715&gt;=0.25,B715&lt;0.5),VLOOKUP(A715,$N$11:$P$5325,3,FALSE),IF(AND(B715&gt;=0.5,B715&lt;1),VLOOKUP(A715,$R$11:$T$5325,3,FALSE),VLOOKUP(A715,$V$11:$X$5010,3,FALSE)))),D714)</f>
        <v>RFR USD</v>
      </c>
      <c r="E715" t="str">
        <f t="shared" ref="E715:E778" ca="1" si="57">IFERROR(IF(B715&lt;0.25,VLOOKUP(A715,$AF$11:$AH$5325,3,FALSE),IF(AND(B715&gt;=0.25,B715&lt;0.5),VLOOKUP(A715,$AJ$11:$AL$5325,3,FALSE),VLOOKUP(A715,$AN$11:$AP$5325,3,FALSE))),E714)</f>
        <v>RFR EUR</v>
      </c>
      <c r="F715" t="str">
        <f t="shared" ref="F715:F778" ca="1" si="58">IFERROR(VLOOKUP(A715,$AS$11:$AU$9999,3,FALSE),F714)</f>
        <v>RFR GBP</v>
      </c>
      <c r="J715" s="1"/>
      <c r="N715" s="1"/>
      <c r="R715" s="1"/>
      <c r="V715" s="1"/>
      <c r="AB715" s="1"/>
      <c r="AF715" s="1"/>
      <c r="AJ715" s="1"/>
      <c r="AN715" s="1"/>
      <c r="AS715" s="1"/>
      <c r="AX715" s="1"/>
      <c r="BA715" s="1"/>
      <c r="BC715" s="1"/>
      <c r="BM715" s="1"/>
      <c r="BP715" s="1"/>
    </row>
    <row r="716" spans="1:68" x14ac:dyDescent="0.3">
      <c r="A716" s="19">
        <f t="shared" si="54"/>
        <v>46917</v>
      </c>
      <c r="B716">
        <f t="shared" ca="1" si="55"/>
        <v>-2.125</v>
      </c>
      <c r="C716" t="str">
        <f ca="1">IF(currency="USD",'Future et co'!D716,IF(currency="EUR",'Future et co'!E716,IF(currency="GBP",'Future et co'!F716,FALSE)))</f>
        <v>RFR USD</v>
      </c>
      <c r="D716" t="str">
        <f t="shared" ca="1" si="56"/>
        <v>RFR USD</v>
      </c>
      <c r="E716" t="str">
        <f t="shared" ca="1" si="57"/>
        <v>RFR EUR</v>
      </c>
      <c r="F716" t="str">
        <f t="shared" ca="1" si="58"/>
        <v>RFR GBP</v>
      </c>
      <c r="J716" s="1"/>
      <c r="N716" s="1"/>
      <c r="R716" s="1"/>
      <c r="V716" s="1"/>
      <c r="AB716" s="1"/>
      <c r="AF716" s="1"/>
      <c r="AJ716" s="1"/>
      <c r="AN716" s="1"/>
      <c r="AS716" s="1"/>
      <c r="AX716" s="1"/>
      <c r="BA716" s="1"/>
      <c r="BC716" s="1"/>
      <c r="BM716" s="1"/>
      <c r="BP716" s="1"/>
    </row>
    <row r="717" spans="1:68" x14ac:dyDescent="0.3">
      <c r="A717" s="19">
        <f t="shared" ref="A717:A780" si="59">WORKDAY(A716,1)</f>
        <v>46918</v>
      </c>
      <c r="B717">
        <f t="shared" ca="1" si="55"/>
        <v>-2.1277777777777778</v>
      </c>
      <c r="C717" t="str">
        <f ca="1">IF(currency="USD",'Future et co'!D717,IF(currency="EUR",'Future et co'!E717,IF(currency="GBP",'Future et co'!F717,FALSE)))</f>
        <v>RFR USD</v>
      </c>
      <c r="D717" t="str">
        <f t="shared" ca="1" si="56"/>
        <v>RFR USD</v>
      </c>
      <c r="E717" t="str">
        <f t="shared" ca="1" si="57"/>
        <v>RFR EUR</v>
      </c>
      <c r="F717" t="str">
        <f t="shared" ca="1" si="58"/>
        <v>RFR GBP</v>
      </c>
      <c r="J717" s="1"/>
      <c r="N717" s="1"/>
      <c r="R717" s="1"/>
      <c r="V717" s="1"/>
      <c r="AB717" s="1"/>
      <c r="AF717" s="1"/>
      <c r="AJ717" s="1"/>
      <c r="AN717" s="1"/>
      <c r="AS717" s="1"/>
      <c r="AX717" s="1"/>
      <c r="BA717" s="1"/>
      <c r="BC717" s="1"/>
      <c r="BM717" s="1"/>
      <c r="BP717" s="1"/>
    </row>
    <row r="718" spans="1:68" x14ac:dyDescent="0.3">
      <c r="A718" s="19">
        <f t="shared" si="59"/>
        <v>46919</v>
      </c>
      <c r="B718">
        <f t="shared" ca="1" si="55"/>
        <v>-2.1305555555555555</v>
      </c>
      <c r="C718" t="str">
        <f ca="1">IF(currency="USD",'Future et co'!D718,IF(currency="EUR",'Future et co'!E718,IF(currency="GBP",'Future et co'!F718,FALSE)))</f>
        <v>RFR USD</v>
      </c>
      <c r="D718" t="str">
        <f t="shared" ca="1" si="56"/>
        <v>RFR USD</v>
      </c>
      <c r="E718" t="str">
        <f t="shared" ca="1" si="57"/>
        <v>RFR EUR</v>
      </c>
      <c r="F718" t="str">
        <f t="shared" ca="1" si="58"/>
        <v>RFR GBP</v>
      </c>
      <c r="J718" s="1"/>
      <c r="N718" s="1"/>
      <c r="R718" s="1"/>
      <c r="V718" s="1"/>
      <c r="AB718" s="1"/>
      <c r="AF718" s="1"/>
      <c r="AJ718" s="1"/>
      <c r="AN718" s="1"/>
      <c r="AS718" s="1"/>
      <c r="AX718" s="1"/>
      <c r="BA718" s="1"/>
      <c r="BC718" s="1"/>
      <c r="BM718" s="1"/>
      <c r="BP718" s="1"/>
    </row>
    <row r="719" spans="1:68" x14ac:dyDescent="0.3">
      <c r="A719" s="19">
        <f t="shared" si="59"/>
        <v>46920</v>
      </c>
      <c r="B719">
        <f t="shared" ca="1" si="55"/>
        <v>-2.1333333333333333</v>
      </c>
      <c r="C719" t="str">
        <f ca="1">IF(currency="USD",'Future et co'!D719,IF(currency="EUR",'Future et co'!E719,IF(currency="GBP",'Future et co'!F719,FALSE)))</f>
        <v>RFR USD</v>
      </c>
      <c r="D719" t="str">
        <f t="shared" ca="1" si="56"/>
        <v>RFR USD</v>
      </c>
      <c r="E719" t="str">
        <f t="shared" ca="1" si="57"/>
        <v>RFR EUR</v>
      </c>
      <c r="F719" t="str">
        <f t="shared" ca="1" si="58"/>
        <v>RFR GBP</v>
      </c>
      <c r="J719" s="1"/>
      <c r="N719" s="1"/>
      <c r="R719" s="1"/>
      <c r="V719" s="1"/>
      <c r="AB719" s="1"/>
      <c r="AF719" s="1"/>
      <c r="AJ719" s="1"/>
      <c r="AN719" s="1"/>
      <c r="AS719" s="1"/>
      <c r="AX719" s="1"/>
      <c r="BA719" s="1"/>
      <c r="BC719" s="1"/>
      <c r="BM719" s="1"/>
      <c r="BP719" s="1"/>
    </row>
    <row r="720" spans="1:68" x14ac:dyDescent="0.3">
      <c r="A720" s="19">
        <f t="shared" si="59"/>
        <v>46923</v>
      </c>
      <c r="B720">
        <f t="shared" ca="1" si="55"/>
        <v>-2.1416666666666666</v>
      </c>
      <c r="C720" t="str">
        <f ca="1">IF(currency="USD",'Future et co'!D720,IF(currency="EUR",'Future et co'!E720,IF(currency="GBP",'Future et co'!F720,FALSE)))</f>
        <v>RFR USD</v>
      </c>
      <c r="D720" t="str">
        <f t="shared" ca="1" si="56"/>
        <v>RFR USD</v>
      </c>
      <c r="E720" t="str">
        <f t="shared" ca="1" si="57"/>
        <v>RFR EUR</v>
      </c>
      <c r="F720" t="str">
        <f t="shared" ca="1" si="58"/>
        <v>RFR GBP</v>
      </c>
      <c r="J720" s="1"/>
      <c r="N720" s="1"/>
      <c r="R720" s="1"/>
      <c r="V720" s="1"/>
      <c r="AB720" s="1"/>
      <c r="AF720" s="1"/>
      <c r="AJ720" s="1"/>
      <c r="AN720" s="1"/>
      <c r="AS720" s="1"/>
      <c r="AX720" s="1"/>
      <c r="BA720" s="1"/>
      <c r="BC720" s="1"/>
      <c r="BM720" s="1"/>
      <c r="BP720" s="1"/>
    </row>
    <row r="721" spans="1:68" x14ac:dyDescent="0.3">
      <c r="A721" s="19">
        <f t="shared" si="59"/>
        <v>46924</v>
      </c>
      <c r="B721">
        <f t="shared" ca="1" si="55"/>
        <v>-2.1444444444444444</v>
      </c>
      <c r="C721" t="str">
        <f ca="1">IF(currency="USD",'Future et co'!D721,IF(currency="EUR",'Future et co'!E721,IF(currency="GBP",'Future et co'!F721,FALSE)))</f>
        <v>RFR USD</v>
      </c>
      <c r="D721" t="str">
        <f t="shared" ca="1" si="56"/>
        <v>RFR USD</v>
      </c>
      <c r="E721" t="str">
        <f t="shared" ca="1" si="57"/>
        <v>RFR EUR</v>
      </c>
      <c r="F721" t="str">
        <f t="shared" ca="1" si="58"/>
        <v>RFR GBP</v>
      </c>
      <c r="J721" s="1"/>
      <c r="N721" s="1"/>
      <c r="R721" s="1"/>
      <c r="V721" s="1"/>
      <c r="AB721" s="1"/>
      <c r="AF721" s="1"/>
      <c r="AJ721" s="1"/>
      <c r="AN721" s="1"/>
      <c r="AS721" s="1"/>
      <c r="AX721" s="1"/>
      <c r="BA721" s="1"/>
      <c r="BC721" s="1"/>
      <c r="BM721" s="1"/>
      <c r="BP721" s="1"/>
    </row>
    <row r="722" spans="1:68" x14ac:dyDescent="0.3">
      <c r="A722" s="19">
        <f t="shared" si="59"/>
        <v>46925</v>
      </c>
      <c r="B722">
        <f t="shared" ca="1" si="55"/>
        <v>-2.1472222222222221</v>
      </c>
      <c r="C722" t="str">
        <f ca="1">IF(currency="USD",'Future et co'!D722,IF(currency="EUR",'Future et co'!E722,IF(currency="GBP",'Future et co'!F722,FALSE)))</f>
        <v>RFR USD</v>
      </c>
      <c r="D722" t="str">
        <f t="shared" ca="1" si="56"/>
        <v>RFR USD</v>
      </c>
      <c r="E722" t="str">
        <f t="shared" ca="1" si="57"/>
        <v>RFR EUR</v>
      </c>
      <c r="F722" t="str">
        <f t="shared" ca="1" si="58"/>
        <v>RFR GBP</v>
      </c>
      <c r="J722" s="1"/>
      <c r="N722" s="1"/>
      <c r="R722" s="1"/>
      <c r="V722" s="1"/>
      <c r="AB722" s="1"/>
      <c r="AF722" s="1"/>
      <c r="AJ722" s="1"/>
      <c r="AN722" s="1"/>
      <c r="AS722" s="1"/>
      <c r="AX722" s="1"/>
      <c r="BA722" s="1"/>
      <c r="BC722" s="1"/>
      <c r="BM722" s="1"/>
      <c r="BP722" s="1"/>
    </row>
    <row r="723" spans="1:68" x14ac:dyDescent="0.3">
      <c r="A723" s="19">
        <f t="shared" si="59"/>
        <v>46926</v>
      </c>
      <c r="B723">
        <f t="shared" ca="1" si="55"/>
        <v>-2.15</v>
      </c>
      <c r="C723" t="str">
        <f ca="1">IF(currency="USD",'Future et co'!D723,IF(currency="EUR",'Future et co'!E723,IF(currency="GBP",'Future et co'!F723,FALSE)))</f>
        <v>RFR USD</v>
      </c>
      <c r="D723" t="str">
        <f t="shared" ca="1" si="56"/>
        <v>RFR USD</v>
      </c>
      <c r="E723" t="str">
        <f t="shared" ca="1" si="57"/>
        <v>RFR EUR</v>
      </c>
      <c r="F723" t="str">
        <f t="shared" ca="1" si="58"/>
        <v>RFR GBP</v>
      </c>
      <c r="J723" s="1"/>
      <c r="N723" s="1"/>
      <c r="R723" s="1"/>
      <c r="V723" s="1"/>
      <c r="AB723" s="1"/>
      <c r="AF723" s="1"/>
      <c r="AJ723" s="1"/>
      <c r="AN723" s="1"/>
      <c r="AS723" s="1"/>
      <c r="AX723" s="1"/>
      <c r="BA723" s="1"/>
      <c r="BC723" s="1"/>
      <c r="BM723" s="1"/>
      <c r="BP723" s="1"/>
    </row>
    <row r="724" spans="1:68" x14ac:dyDescent="0.3">
      <c r="A724" s="19">
        <f t="shared" si="59"/>
        <v>46927</v>
      </c>
      <c r="B724">
        <f t="shared" ca="1" si="55"/>
        <v>-2.1527777777777777</v>
      </c>
      <c r="C724" t="str">
        <f ca="1">IF(currency="USD",'Future et co'!D724,IF(currency="EUR",'Future et co'!E724,IF(currency="GBP",'Future et co'!F724,FALSE)))</f>
        <v>RFR USD</v>
      </c>
      <c r="D724" t="str">
        <f t="shared" ca="1" si="56"/>
        <v>RFR USD</v>
      </c>
      <c r="E724" t="str">
        <f t="shared" ca="1" si="57"/>
        <v>RFR EUR</v>
      </c>
      <c r="F724" t="str">
        <f t="shared" ca="1" si="58"/>
        <v>RFR GBP</v>
      </c>
      <c r="J724" s="1"/>
      <c r="N724" s="1"/>
      <c r="R724" s="1"/>
      <c r="V724" s="1"/>
      <c r="AB724" s="1"/>
      <c r="AF724" s="1"/>
      <c r="AJ724" s="1"/>
      <c r="AN724" s="1"/>
      <c r="AS724" s="1"/>
      <c r="AX724" s="1"/>
      <c r="BA724" s="1"/>
      <c r="BC724" s="1"/>
      <c r="BM724" s="1"/>
      <c r="BP724" s="1"/>
    </row>
    <row r="725" spans="1:68" x14ac:dyDescent="0.3">
      <c r="A725" s="19">
        <f t="shared" si="59"/>
        <v>46930</v>
      </c>
      <c r="B725">
        <f t="shared" ca="1" si="55"/>
        <v>-2.161111111111111</v>
      </c>
      <c r="C725" t="str">
        <f ca="1">IF(currency="USD",'Future et co'!D725,IF(currency="EUR",'Future et co'!E725,IF(currency="GBP",'Future et co'!F725,FALSE)))</f>
        <v>RFR USD</v>
      </c>
      <c r="D725" t="str">
        <f t="shared" ca="1" si="56"/>
        <v>RFR USD</v>
      </c>
      <c r="E725" t="str">
        <f t="shared" ca="1" si="57"/>
        <v>RFR EUR</v>
      </c>
      <c r="F725" t="str">
        <f t="shared" ca="1" si="58"/>
        <v>RFR GBP</v>
      </c>
      <c r="J725" s="1"/>
      <c r="N725" s="1"/>
      <c r="R725" s="1"/>
      <c r="V725" s="1"/>
      <c r="AB725" s="1"/>
      <c r="AF725" s="1"/>
      <c r="AJ725" s="1"/>
      <c r="AN725" s="1"/>
      <c r="AS725" s="1"/>
      <c r="AX725" s="1"/>
      <c r="BA725" s="1"/>
      <c r="BC725" s="1"/>
      <c r="BM725" s="1"/>
      <c r="BP725" s="1"/>
    </row>
    <row r="726" spans="1:68" x14ac:dyDescent="0.3">
      <c r="A726" s="19">
        <f t="shared" si="59"/>
        <v>46931</v>
      </c>
      <c r="B726">
        <f t="shared" ca="1" si="55"/>
        <v>-2.1638888888888888</v>
      </c>
      <c r="C726" t="str">
        <f ca="1">IF(currency="USD",'Future et co'!D726,IF(currency="EUR",'Future et co'!E726,IF(currency="GBP",'Future et co'!F726,FALSE)))</f>
        <v>RFR USD</v>
      </c>
      <c r="D726" t="str">
        <f t="shared" ca="1" si="56"/>
        <v>RFR USD</v>
      </c>
      <c r="E726" t="str">
        <f t="shared" ca="1" si="57"/>
        <v>RFR EUR</v>
      </c>
      <c r="F726" t="str">
        <f t="shared" ca="1" si="58"/>
        <v>RFR GBP</v>
      </c>
      <c r="J726" s="1"/>
      <c r="N726" s="1"/>
      <c r="R726" s="1"/>
      <c r="V726" s="1"/>
      <c r="AB726" s="1"/>
      <c r="AF726" s="1"/>
      <c r="AJ726" s="1"/>
      <c r="AN726" s="1"/>
      <c r="AS726" s="1"/>
      <c r="AX726" s="1"/>
      <c r="BA726" s="1"/>
      <c r="BC726" s="1"/>
      <c r="BM726" s="1"/>
      <c r="BP726" s="1"/>
    </row>
    <row r="727" spans="1:68" x14ac:dyDescent="0.3">
      <c r="A727" s="19">
        <f t="shared" si="59"/>
        <v>46932</v>
      </c>
      <c r="B727">
        <f t="shared" ca="1" si="55"/>
        <v>-2.1666666666666665</v>
      </c>
      <c r="C727" t="str">
        <f ca="1">IF(currency="USD",'Future et co'!D727,IF(currency="EUR",'Future et co'!E727,IF(currency="GBP",'Future et co'!F727,FALSE)))</f>
        <v>RFR USD</v>
      </c>
      <c r="D727" t="str">
        <f t="shared" ca="1" si="56"/>
        <v>RFR USD</v>
      </c>
      <c r="E727" t="str">
        <f t="shared" ca="1" si="57"/>
        <v>RFR EUR</v>
      </c>
      <c r="F727" t="str">
        <f t="shared" ca="1" si="58"/>
        <v>RFR GBP</v>
      </c>
      <c r="J727" s="1"/>
      <c r="N727" s="1"/>
      <c r="R727" s="1"/>
      <c r="V727" s="1"/>
      <c r="AB727" s="1"/>
      <c r="AF727" s="1"/>
      <c r="AJ727" s="1"/>
      <c r="AN727" s="1"/>
      <c r="AS727" s="1"/>
      <c r="AX727" s="1"/>
      <c r="BA727" s="1"/>
      <c r="BC727" s="1"/>
      <c r="BM727" s="1"/>
      <c r="BP727" s="1"/>
    </row>
    <row r="728" spans="1:68" x14ac:dyDescent="0.3">
      <c r="A728" s="19">
        <f t="shared" si="59"/>
        <v>46933</v>
      </c>
      <c r="B728">
        <f t="shared" ca="1" si="55"/>
        <v>-2.1694444444444443</v>
      </c>
      <c r="C728" t="str">
        <f ca="1">IF(currency="USD",'Future et co'!D728,IF(currency="EUR",'Future et co'!E728,IF(currency="GBP",'Future et co'!F728,FALSE)))</f>
        <v>RFR USD</v>
      </c>
      <c r="D728" t="str">
        <f t="shared" ca="1" si="56"/>
        <v>RFR USD</v>
      </c>
      <c r="E728" t="str">
        <f t="shared" ca="1" si="57"/>
        <v>RFR EUR</v>
      </c>
      <c r="F728" t="str">
        <f t="shared" ca="1" si="58"/>
        <v>RFR GBP</v>
      </c>
      <c r="J728" s="1"/>
      <c r="N728" s="1"/>
      <c r="R728" s="1"/>
      <c r="V728" s="1"/>
      <c r="AB728" s="1"/>
      <c r="AF728" s="1"/>
      <c r="AJ728" s="1"/>
      <c r="AN728" s="1"/>
      <c r="AS728" s="1"/>
      <c r="AX728" s="1"/>
      <c r="BA728" s="1"/>
      <c r="BC728" s="1"/>
      <c r="BM728" s="1"/>
      <c r="BP728" s="1"/>
    </row>
    <row r="729" spans="1:68" x14ac:dyDescent="0.3">
      <c r="A729" s="19">
        <f t="shared" si="59"/>
        <v>46934</v>
      </c>
      <c r="B729">
        <f t="shared" ca="1" si="55"/>
        <v>-2.1722222222222221</v>
      </c>
      <c r="C729" t="str">
        <f ca="1">IF(currency="USD",'Future et co'!D729,IF(currency="EUR",'Future et co'!E729,IF(currency="GBP",'Future et co'!F729,FALSE)))</f>
        <v>RFR USD</v>
      </c>
      <c r="D729" t="str">
        <f t="shared" ca="1" si="56"/>
        <v>RFR USD</v>
      </c>
      <c r="E729" t="str">
        <f t="shared" ca="1" si="57"/>
        <v>RFR EUR</v>
      </c>
      <c r="F729" t="str">
        <f t="shared" ca="1" si="58"/>
        <v>RFR GBP</v>
      </c>
      <c r="J729" s="1"/>
      <c r="N729" s="1"/>
      <c r="R729" s="1"/>
      <c r="V729" s="1"/>
      <c r="AB729" s="1"/>
      <c r="AF729" s="1"/>
      <c r="AJ729" s="1"/>
      <c r="AN729" s="1"/>
      <c r="AS729" s="1"/>
      <c r="AX729" s="1"/>
      <c r="BA729" s="1"/>
      <c r="BC729" s="1"/>
      <c r="BM729" s="1"/>
      <c r="BP729" s="1"/>
    </row>
    <row r="730" spans="1:68" x14ac:dyDescent="0.3">
      <c r="A730" s="19">
        <f t="shared" si="59"/>
        <v>46937</v>
      </c>
      <c r="B730">
        <f t="shared" ca="1" si="55"/>
        <v>-2.1805555555555554</v>
      </c>
      <c r="C730" t="str">
        <f ca="1">IF(currency="USD",'Future et co'!D730,IF(currency="EUR",'Future et co'!E730,IF(currency="GBP",'Future et co'!F730,FALSE)))</f>
        <v>RFR USD</v>
      </c>
      <c r="D730" t="str">
        <f t="shared" ca="1" si="56"/>
        <v>RFR USD</v>
      </c>
      <c r="E730" t="str">
        <f t="shared" ca="1" si="57"/>
        <v>RFR EUR</v>
      </c>
      <c r="F730" t="str">
        <f t="shared" ca="1" si="58"/>
        <v>RFR GBP</v>
      </c>
      <c r="J730" s="1"/>
      <c r="N730" s="1"/>
      <c r="R730" s="1"/>
      <c r="V730" s="1"/>
      <c r="AB730" s="1"/>
      <c r="AF730" s="1"/>
      <c r="AJ730" s="1"/>
      <c r="AN730" s="1"/>
      <c r="AS730" s="1"/>
      <c r="AX730" s="1"/>
      <c r="BA730" s="1"/>
      <c r="BC730" s="1"/>
      <c r="BM730" s="1"/>
      <c r="BP730" s="1"/>
    </row>
    <row r="731" spans="1:68" x14ac:dyDescent="0.3">
      <c r="A731" s="19">
        <f t="shared" si="59"/>
        <v>46938</v>
      </c>
      <c r="B731">
        <f t="shared" ca="1" si="55"/>
        <v>-2.1833333333333331</v>
      </c>
      <c r="C731" t="str">
        <f ca="1">IF(currency="USD",'Future et co'!D731,IF(currency="EUR",'Future et co'!E731,IF(currency="GBP",'Future et co'!F731,FALSE)))</f>
        <v>RFR USD</v>
      </c>
      <c r="D731" t="str">
        <f t="shared" ca="1" si="56"/>
        <v>RFR USD</v>
      </c>
      <c r="E731" t="str">
        <f t="shared" ca="1" si="57"/>
        <v>RFR EUR</v>
      </c>
      <c r="F731" t="str">
        <f t="shared" ca="1" si="58"/>
        <v>RFR GBP</v>
      </c>
      <c r="J731" s="1"/>
      <c r="N731" s="1"/>
      <c r="R731" s="1"/>
      <c r="V731" s="1"/>
      <c r="AB731" s="1"/>
      <c r="AF731" s="1"/>
      <c r="AJ731" s="1"/>
      <c r="AN731" s="1"/>
      <c r="AS731" s="1"/>
      <c r="AX731" s="1"/>
      <c r="BA731" s="1"/>
      <c r="BC731" s="1"/>
      <c r="BM731" s="1"/>
      <c r="BP731" s="1"/>
    </row>
    <row r="732" spans="1:68" x14ac:dyDescent="0.3">
      <c r="A732" s="19">
        <f t="shared" si="59"/>
        <v>46939</v>
      </c>
      <c r="B732">
        <f t="shared" ca="1" si="55"/>
        <v>-2.1861111111111109</v>
      </c>
      <c r="C732" t="str">
        <f ca="1">IF(currency="USD",'Future et co'!D732,IF(currency="EUR",'Future et co'!E732,IF(currency="GBP",'Future et co'!F732,FALSE)))</f>
        <v>RFR USD</v>
      </c>
      <c r="D732" t="str">
        <f t="shared" ca="1" si="56"/>
        <v>RFR USD</v>
      </c>
      <c r="E732" t="str">
        <f t="shared" ca="1" si="57"/>
        <v>RFR EUR</v>
      </c>
      <c r="F732" t="str">
        <f t="shared" ca="1" si="58"/>
        <v>RFR GBP</v>
      </c>
      <c r="J732" s="1"/>
      <c r="N732" s="1"/>
      <c r="R732" s="1"/>
      <c r="V732" s="1"/>
      <c r="AB732" s="1"/>
      <c r="AF732" s="1"/>
      <c r="AJ732" s="1"/>
      <c r="AN732" s="1"/>
      <c r="AS732" s="1"/>
      <c r="AX732" s="1"/>
      <c r="BA732" s="1"/>
      <c r="BC732" s="1"/>
      <c r="BM732" s="1"/>
      <c r="BP732" s="1"/>
    </row>
    <row r="733" spans="1:68" x14ac:dyDescent="0.3">
      <c r="A733" s="19">
        <f t="shared" si="59"/>
        <v>46940</v>
      </c>
      <c r="B733">
        <f t="shared" ca="1" si="55"/>
        <v>-2.1888888888888891</v>
      </c>
      <c r="C733" t="str">
        <f ca="1">IF(currency="USD",'Future et co'!D733,IF(currency="EUR",'Future et co'!E733,IF(currency="GBP",'Future et co'!F733,FALSE)))</f>
        <v>RFR USD</v>
      </c>
      <c r="D733" t="str">
        <f t="shared" ca="1" si="56"/>
        <v>RFR USD</v>
      </c>
      <c r="E733" t="str">
        <f t="shared" ca="1" si="57"/>
        <v>RFR EUR</v>
      </c>
      <c r="F733" t="str">
        <f t="shared" ca="1" si="58"/>
        <v>RFR GBP</v>
      </c>
      <c r="J733" s="1"/>
      <c r="N733" s="1"/>
      <c r="R733" s="1"/>
      <c r="V733" s="1"/>
      <c r="AB733" s="1"/>
      <c r="AF733" s="1"/>
      <c r="AJ733" s="1"/>
      <c r="AN733" s="1"/>
      <c r="AS733" s="1"/>
      <c r="AX733" s="1"/>
      <c r="BA733" s="1"/>
      <c r="BC733" s="1"/>
      <c r="BM733" s="1"/>
      <c r="BP733" s="1"/>
    </row>
    <row r="734" spans="1:68" x14ac:dyDescent="0.3">
      <c r="A734" s="19">
        <f t="shared" si="59"/>
        <v>46941</v>
      </c>
      <c r="B734">
        <f t="shared" ca="1" si="55"/>
        <v>-2.1916666666666669</v>
      </c>
      <c r="C734" t="str">
        <f ca="1">IF(currency="USD",'Future et co'!D734,IF(currency="EUR",'Future et co'!E734,IF(currency="GBP",'Future et co'!F734,FALSE)))</f>
        <v>RFR USD</v>
      </c>
      <c r="D734" t="str">
        <f t="shared" ca="1" si="56"/>
        <v>RFR USD</v>
      </c>
      <c r="E734" t="str">
        <f t="shared" ca="1" si="57"/>
        <v>RFR EUR</v>
      </c>
      <c r="F734" t="str">
        <f t="shared" ca="1" si="58"/>
        <v>RFR GBP</v>
      </c>
      <c r="J734" s="1"/>
      <c r="N734" s="1"/>
      <c r="R734" s="1"/>
      <c r="V734" s="1"/>
      <c r="AB734" s="1"/>
      <c r="AF734" s="1"/>
      <c r="AJ734" s="1"/>
      <c r="AN734" s="1"/>
      <c r="AS734" s="1"/>
      <c r="AX734" s="1"/>
      <c r="BA734" s="1"/>
      <c r="BC734" s="1"/>
      <c r="BM734" s="1"/>
      <c r="BP734" s="1"/>
    </row>
    <row r="735" spans="1:68" x14ac:dyDescent="0.3">
      <c r="A735" s="19">
        <f t="shared" si="59"/>
        <v>46944</v>
      </c>
      <c r="B735">
        <f t="shared" ca="1" si="55"/>
        <v>-2.2000000000000002</v>
      </c>
      <c r="C735" t="str">
        <f ca="1">IF(currency="USD",'Future et co'!D735,IF(currency="EUR",'Future et co'!E735,IF(currency="GBP",'Future et co'!F735,FALSE)))</f>
        <v>RFR USD</v>
      </c>
      <c r="D735" t="str">
        <f t="shared" ca="1" si="56"/>
        <v>RFR USD</v>
      </c>
      <c r="E735" t="str">
        <f t="shared" ca="1" si="57"/>
        <v>RFR EUR</v>
      </c>
      <c r="F735" t="str">
        <f t="shared" ca="1" si="58"/>
        <v>RFR GBP</v>
      </c>
      <c r="J735" s="1"/>
      <c r="N735" s="1"/>
      <c r="R735" s="1"/>
      <c r="V735" s="1"/>
      <c r="AB735" s="1"/>
      <c r="AF735" s="1"/>
      <c r="AJ735" s="1"/>
      <c r="AN735" s="1"/>
      <c r="AS735" s="1"/>
      <c r="AX735" s="1"/>
      <c r="BA735" s="1"/>
      <c r="BC735" s="1"/>
      <c r="BM735" s="1"/>
      <c r="BP735" s="1"/>
    </row>
    <row r="736" spans="1:68" x14ac:dyDescent="0.3">
      <c r="A736" s="19">
        <f t="shared" si="59"/>
        <v>46945</v>
      </c>
      <c r="B736">
        <f t="shared" ca="1" si="55"/>
        <v>-2.2027777777777779</v>
      </c>
      <c r="C736" t="str">
        <f ca="1">IF(currency="USD",'Future et co'!D736,IF(currency="EUR",'Future et co'!E736,IF(currency="GBP",'Future et co'!F736,FALSE)))</f>
        <v>RFR USD</v>
      </c>
      <c r="D736" t="str">
        <f t="shared" ca="1" si="56"/>
        <v>RFR USD</v>
      </c>
      <c r="E736" t="str">
        <f t="shared" ca="1" si="57"/>
        <v>RFR EUR</v>
      </c>
      <c r="F736" t="str">
        <f t="shared" ca="1" si="58"/>
        <v>RFR GBP</v>
      </c>
      <c r="J736" s="1"/>
      <c r="N736" s="1"/>
      <c r="R736" s="1"/>
      <c r="V736" s="1"/>
      <c r="AB736" s="1"/>
      <c r="AF736" s="1"/>
      <c r="AJ736" s="1"/>
      <c r="AN736" s="1"/>
      <c r="AS736" s="1"/>
      <c r="AX736" s="1"/>
      <c r="BA736" s="1"/>
      <c r="BC736" s="1"/>
      <c r="BM736" s="1"/>
      <c r="BP736" s="1"/>
    </row>
    <row r="737" spans="1:68" x14ac:dyDescent="0.3">
      <c r="A737" s="19">
        <f t="shared" si="59"/>
        <v>46946</v>
      </c>
      <c r="B737">
        <f t="shared" ca="1" si="55"/>
        <v>-2.2055555555555557</v>
      </c>
      <c r="C737" t="str">
        <f ca="1">IF(currency="USD",'Future et co'!D737,IF(currency="EUR",'Future et co'!E737,IF(currency="GBP",'Future et co'!F737,FALSE)))</f>
        <v>RFR USD</v>
      </c>
      <c r="D737" t="str">
        <f t="shared" ca="1" si="56"/>
        <v>RFR USD</v>
      </c>
      <c r="E737" t="str">
        <f t="shared" ca="1" si="57"/>
        <v>RFR EUR</v>
      </c>
      <c r="F737" t="str">
        <f t="shared" ca="1" si="58"/>
        <v>RFR GBP</v>
      </c>
      <c r="J737" s="1"/>
      <c r="N737" s="1"/>
      <c r="R737" s="1"/>
      <c r="V737" s="1"/>
      <c r="AB737" s="1"/>
      <c r="AF737" s="1"/>
      <c r="AJ737" s="1"/>
      <c r="AN737" s="1"/>
      <c r="AS737" s="1"/>
      <c r="AX737" s="1"/>
      <c r="BA737" s="1"/>
      <c r="BC737" s="1"/>
      <c r="BM737" s="1"/>
      <c r="BP737" s="1"/>
    </row>
    <row r="738" spans="1:68" x14ac:dyDescent="0.3">
      <c r="A738" s="19">
        <f t="shared" si="59"/>
        <v>46947</v>
      </c>
      <c r="B738">
        <f t="shared" ca="1" si="55"/>
        <v>-2.2083333333333335</v>
      </c>
      <c r="C738" t="str">
        <f ca="1">IF(currency="USD",'Future et co'!D738,IF(currency="EUR",'Future et co'!E738,IF(currency="GBP",'Future et co'!F738,FALSE)))</f>
        <v>RFR USD</v>
      </c>
      <c r="D738" t="str">
        <f t="shared" ca="1" si="56"/>
        <v>RFR USD</v>
      </c>
      <c r="E738" t="str">
        <f t="shared" ca="1" si="57"/>
        <v>RFR EUR</v>
      </c>
      <c r="F738" t="str">
        <f t="shared" ca="1" si="58"/>
        <v>RFR GBP</v>
      </c>
      <c r="J738" s="1"/>
      <c r="N738" s="1"/>
      <c r="R738" s="1"/>
      <c r="V738" s="1"/>
      <c r="AB738" s="1"/>
      <c r="AF738" s="1"/>
      <c r="AJ738" s="1"/>
      <c r="AN738" s="1"/>
      <c r="AS738" s="1"/>
      <c r="AX738" s="1"/>
      <c r="BA738" s="1"/>
      <c r="BC738" s="1"/>
      <c r="BM738" s="1"/>
      <c r="BP738" s="1"/>
    </row>
    <row r="739" spans="1:68" x14ac:dyDescent="0.3">
      <c r="A739" s="19">
        <f t="shared" si="59"/>
        <v>46948</v>
      </c>
      <c r="B739">
        <f t="shared" ca="1" si="55"/>
        <v>-2.2111111111111112</v>
      </c>
      <c r="C739" t="str">
        <f ca="1">IF(currency="USD",'Future et co'!D739,IF(currency="EUR",'Future et co'!E739,IF(currency="GBP",'Future et co'!F739,FALSE)))</f>
        <v>RFR USD</v>
      </c>
      <c r="D739" t="str">
        <f t="shared" ca="1" si="56"/>
        <v>RFR USD</v>
      </c>
      <c r="E739" t="str">
        <f t="shared" ca="1" si="57"/>
        <v>RFR EUR</v>
      </c>
      <c r="F739" t="str">
        <f t="shared" ca="1" si="58"/>
        <v>RFR GBP</v>
      </c>
      <c r="J739" s="1"/>
      <c r="N739" s="1"/>
      <c r="R739" s="1"/>
      <c r="V739" s="1"/>
      <c r="AB739" s="1"/>
      <c r="AF739" s="1"/>
      <c r="AJ739" s="1"/>
      <c r="AN739" s="1"/>
      <c r="AS739" s="1"/>
      <c r="AX739" s="1"/>
      <c r="BA739" s="1"/>
      <c r="BC739" s="1"/>
      <c r="BM739" s="1"/>
      <c r="BP739" s="1"/>
    </row>
    <row r="740" spans="1:68" x14ac:dyDescent="0.3">
      <c r="A740" s="19">
        <f t="shared" si="59"/>
        <v>46951</v>
      </c>
      <c r="B740">
        <f t="shared" ca="1" si="55"/>
        <v>-2.2194444444444446</v>
      </c>
      <c r="C740" t="str">
        <f ca="1">IF(currency="USD",'Future et co'!D740,IF(currency="EUR",'Future et co'!E740,IF(currency="GBP",'Future et co'!F740,FALSE)))</f>
        <v>RFR USD</v>
      </c>
      <c r="D740" t="str">
        <f t="shared" ca="1" si="56"/>
        <v>RFR USD</v>
      </c>
      <c r="E740" t="str">
        <f t="shared" ca="1" si="57"/>
        <v>RFR EUR</v>
      </c>
      <c r="F740" t="str">
        <f t="shared" ca="1" si="58"/>
        <v>RFR GBP</v>
      </c>
      <c r="J740" s="1"/>
      <c r="N740" s="1"/>
      <c r="R740" s="1"/>
      <c r="V740" s="1"/>
      <c r="AB740" s="1"/>
      <c r="AF740" s="1"/>
      <c r="AJ740" s="1"/>
      <c r="AN740" s="1"/>
      <c r="AS740" s="1"/>
      <c r="AX740" s="1"/>
      <c r="BA740" s="1"/>
      <c r="BC740" s="1"/>
      <c r="BM740" s="1"/>
      <c r="BP740" s="1"/>
    </row>
    <row r="741" spans="1:68" x14ac:dyDescent="0.3">
      <c r="A741" s="19">
        <f t="shared" si="59"/>
        <v>46952</v>
      </c>
      <c r="B741">
        <f t="shared" ca="1" si="55"/>
        <v>-2.2222222222222223</v>
      </c>
      <c r="C741" t="str">
        <f ca="1">IF(currency="USD",'Future et co'!D741,IF(currency="EUR",'Future et co'!E741,IF(currency="GBP",'Future et co'!F741,FALSE)))</f>
        <v>RFR USD</v>
      </c>
      <c r="D741" t="str">
        <f t="shared" ca="1" si="56"/>
        <v>RFR USD</v>
      </c>
      <c r="E741" t="str">
        <f t="shared" ca="1" si="57"/>
        <v>RFR EUR</v>
      </c>
      <c r="F741" t="str">
        <f t="shared" ca="1" si="58"/>
        <v>RFR GBP</v>
      </c>
      <c r="J741" s="1"/>
      <c r="N741" s="1"/>
      <c r="R741" s="1"/>
      <c r="V741" s="1"/>
      <c r="AB741" s="1"/>
      <c r="AF741" s="1"/>
      <c r="AJ741" s="1"/>
      <c r="AN741" s="1"/>
      <c r="AS741" s="1"/>
      <c r="AX741" s="1"/>
      <c r="BA741" s="1"/>
      <c r="BC741" s="1"/>
      <c r="BM741" s="1"/>
      <c r="BP741" s="1"/>
    </row>
    <row r="742" spans="1:68" x14ac:dyDescent="0.3">
      <c r="A742" s="19">
        <f t="shared" si="59"/>
        <v>46953</v>
      </c>
      <c r="B742">
        <f t="shared" ca="1" si="55"/>
        <v>-2.2250000000000001</v>
      </c>
      <c r="C742" t="str">
        <f ca="1">IF(currency="USD",'Future et co'!D742,IF(currency="EUR",'Future et co'!E742,IF(currency="GBP",'Future et co'!F742,FALSE)))</f>
        <v>RFR USD</v>
      </c>
      <c r="D742" t="str">
        <f t="shared" ca="1" si="56"/>
        <v>RFR USD</v>
      </c>
      <c r="E742" t="str">
        <f t="shared" ca="1" si="57"/>
        <v>RFR EUR</v>
      </c>
      <c r="F742" t="str">
        <f t="shared" ca="1" si="58"/>
        <v>RFR GBP</v>
      </c>
      <c r="J742" s="1"/>
      <c r="N742" s="1"/>
      <c r="R742" s="1"/>
      <c r="V742" s="1"/>
      <c r="AB742" s="1"/>
      <c r="AF742" s="1"/>
      <c r="AJ742" s="1"/>
      <c r="AN742" s="1"/>
      <c r="AS742" s="1"/>
      <c r="AX742" s="1"/>
      <c r="BA742" s="1"/>
      <c r="BC742" s="1"/>
      <c r="BM742" s="1"/>
      <c r="BP742" s="1"/>
    </row>
    <row r="743" spans="1:68" x14ac:dyDescent="0.3">
      <c r="A743" s="19">
        <f t="shared" si="59"/>
        <v>46954</v>
      </c>
      <c r="B743">
        <f t="shared" ca="1" si="55"/>
        <v>-2.2277777777777779</v>
      </c>
      <c r="C743" t="str">
        <f ca="1">IF(currency="USD",'Future et co'!D743,IF(currency="EUR",'Future et co'!E743,IF(currency="GBP",'Future et co'!F743,FALSE)))</f>
        <v>RFR USD</v>
      </c>
      <c r="D743" t="str">
        <f t="shared" ca="1" si="56"/>
        <v>RFR USD</v>
      </c>
      <c r="E743" t="str">
        <f t="shared" ca="1" si="57"/>
        <v>RFR EUR</v>
      </c>
      <c r="F743" t="str">
        <f t="shared" ca="1" si="58"/>
        <v>RFR GBP</v>
      </c>
      <c r="J743" s="1"/>
      <c r="N743" s="1"/>
      <c r="R743" s="1"/>
      <c r="V743" s="1"/>
      <c r="AB743" s="1"/>
      <c r="AF743" s="1"/>
      <c r="AJ743" s="1"/>
      <c r="AN743" s="1"/>
      <c r="AS743" s="1"/>
      <c r="AX743" s="1"/>
      <c r="BA743" s="1"/>
      <c r="BC743" s="1"/>
      <c r="BM743" s="1"/>
      <c r="BP743" s="1"/>
    </row>
    <row r="744" spans="1:68" x14ac:dyDescent="0.3">
      <c r="A744" s="19">
        <f t="shared" si="59"/>
        <v>46955</v>
      </c>
      <c r="B744">
        <f t="shared" ca="1" si="55"/>
        <v>-2.2305555555555556</v>
      </c>
      <c r="C744" t="str">
        <f ca="1">IF(currency="USD",'Future et co'!D744,IF(currency="EUR",'Future et co'!E744,IF(currency="GBP",'Future et co'!F744,FALSE)))</f>
        <v>RFR USD</v>
      </c>
      <c r="D744" t="str">
        <f t="shared" ca="1" si="56"/>
        <v>RFR USD</v>
      </c>
      <c r="E744" t="str">
        <f t="shared" ca="1" si="57"/>
        <v>RFR EUR</v>
      </c>
      <c r="F744" t="str">
        <f t="shared" ca="1" si="58"/>
        <v>RFR GBP</v>
      </c>
      <c r="J744" s="1"/>
      <c r="N744" s="1"/>
      <c r="R744" s="1"/>
      <c r="V744" s="1"/>
      <c r="AB744" s="1"/>
      <c r="AF744" s="1"/>
      <c r="AJ744" s="1"/>
      <c r="AN744" s="1"/>
      <c r="AS744" s="1"/>
      <c r="AX744" s="1"/>
      <c r="BA744" s="1"/>
      <c r="BC744" s="1"/>
      <c r="BM744" s="1"/>
      <c r="BP744" s="1"/>
    </row>
    <row r="745" spans="1:68" x14ac:dyDescent="0.3">
      <c r="A745" s="19">
        <f t="shared" si="59"/>
        <v>46958</v>
      </c>
      <c r="B745">
        <f t="shared" ca="1" si="55"/>
        <v>-2.2388888888888889</v>
      </c>
      <c r="C745" t="str">
        <f ca="1">IF(currency="USD",'Future et co'!D745,IF(currency="EUR",'Future et co'!E745,IF(currency="GBP",'Future et co'!F745,FALSE)))</f>
        <v>RFR USD</v>
      </c>
      <c r="D745" t="str">
        <f t="shared" ca="1" si="56"/>
        <v>RFR USD</v>
      </c>
      <c r="E745" t="str">
        <f t="shared" ca="1" si="57"/>
        <v>RFR EUR</v>
      </c>
      <c r="F745" t="str">
        <f t="shared" ca="1" si="58"/>
        <v>RFR GBP</v>
      </c>
      <c r="J745" s="1"/>
      <c r="N745" s="1"/>
      <c r="R745" s="1"/>
      <c r="V745" s="1"/>
      <c r="AB745" s="1"/>
      <c r="AF745" s="1"/>
      <c r="AJ745" s="1"/>
      <c r="AN745" s="1"/>
      <c r="AS745" s="1"/>
      <c r="AX745" s="1"/>
      <c r="BA745" s="1"/>
      <c r="BC745" s="1"/>
      <c r="BM745" s="1"/>
      <c r="BP745" s="1"/>
    </row>
    <row r="746" spans="1:68" x14ac:dyDescent="0.3">
      <c r="A746" s="19">
        <f t="shared" si="59"/>
        <v>46959</v>
      </c>
      <c r="B746">
        <f t="shared" ca="1" si="55"/>
        <v>-2.2416666666666667</v>
      </c>
      <c r="C746" t="str">
        <f ca="1">IF(currency="USD",'Future et co'!D746,IF(currency="EUR",'Future et co'!E746,IF(currency="GBP",'Future et co'!F746,FALSE)))</f>
        <v>RFR USD</v>
      </c>
      <c r="D746" t="str">
        <f t="shared" ca="1" si="56"/>
        <v>RFR USD</v>
      </c>
      <c r="E746" t="str">
        <f t="shared" ca="1" si="57"/>
        <v>RFR EUR</v>
      </c>
      <c r="F746" t="str">
        <f t="shared" ca="1" si="58"/>
        <v>RFR GBP</v>
      </c>
      <c r="J746" s="1"/>
      <c r="N746" s="1"/>
      <c r="R746" s="1"/>
      <c r="V746" s="1"/>
      <c r="AB746" s="1"/>
      <c r="AF746" s="1"/>
      <c r="AJ746" s="1"/>
      <c r="AN746" s="1"/>
      <c r="AS746" s="1"/>
      <c r="AX746" s="1"/>
      <c r="BA746" s="1"/>
      <c r="BC746" s="1"/>
      <c r="BM746" s="1"/>
      <c r="BP746" s="1"/>
    </row>
    <row r="747" spans="1:68" x14ac:dyDescent="0.3">
      <c r="A747" s="19">
        <f t="shared" si="59"/>
        <v>46960</v>
      </c>
      <c r="B747">
        <f t="shared" ca="1" si="55"/>
        <v>-2.2444444444444445</v>
      </c>
      <c r="C747" t="str">
        <f ca="1">IF(currency="USD",'Future et co'!D747,IF(currency="EUR",'Future et co'!E747,IF(currency="GBP",'Future et co'!F747,FALSE)))</f>
        <v>RFR USD</v>
      </c>
      <c r="D747" t="str">
        <f t="shared" ca="1" si="56"/>
        <v>RFR USD</v>
      </c>
      <c r="E747" t="str">
        <f t="shared" ca="1" si="57"/>
        <v>RFR EUR</v>
      </c>
      <c r="F747" t="str">
        <f t="shared" ca="1" si="58"/>
        <v>RFR GBP</v>
      </c>
      <c r="J747" s="1"/>
      <c r="N747" s="1"/>
      <c r="R747" s="1"/>
      <c r="V747" s="1"/>
      <c r="AB747" s="1"/>
      <c r="AF747" s="1"/>
      <c r="AJ747" s="1"/>
      <c r="AN747" s="1"/>
      <c r="AS747" s="1"/>
      <c r="AX747" s="1"/>
      <c r="BA747" s="1"/>
      <c r="BC747" s="1"/>
      <c r="BM747" s="1"/>
      <c r="BP747" s="1"/>
    </row>
    <row r="748" spans="1:68" x14ac:dyDescent="0.3">
      <c r="A748" s="19">
        <f t="shared" si="59"/>
        <v>46961</v>
      </c>
      <c r="B748">
        <f t="shared" ca="1" si="55"/>
        <v>-2.2472222222222222</v>
      </c>
      <c r="C748" t="str">
        <f ca="1">IF(currency="USD",'Future et co'!D748,IF(currency="EUR",'Future et co'!E748,IF(currency="GBP",'Future et co'!F748,FALSE)))</f>
        <v>RFR USD</v>
      </c>
      <c r="D748" t="str">
        <f t="shared" ca="1" si="56"/>
        <v>RFR USD</v>
      </c>
      <c r="E748" t="str">
        <f t="shared" ca="1" si="57"/>
        <v>RFR EUR</v>
      </c>
      <c r="F748" t="str">
        <f t="shared" ca="1" si="58"/>
        <v>RFR GBP</v>
      </c>
      <c r="J748" s="1"/>
      <c r="N748" s="1"/>
      <c r="R748" s="1"/>
      <c r="V748" s="1"/>
      <c r="AB748" s="1"/>
      <c r="AF748" s="1"/>
      <c r="AJ748" s="1"/>
      <c r="AN748" s="1"/>
      <c r="AS748" s="1"/>
      <c r="AX748" s="1"/>
      <c r="BA748" s="1"/>
      <c r="BC748" s="1"/>
      <c r="BM748" s="1"/>
      <c r="BP748" s="1"/>
    </row>
    <row r="749" spans="1:68" x14ac:dyDescent="0.3">
      <c r="A749" s="19">
        <f t="shared" si="59"/>
        <v>46962</v>
      </c>
      <c r="B749">
        <f t="shared" ca="1" si="55"/>
        <v>-2.25</v>
      </c>
      <c r="C749" t="str">
        <f ca="1">IF(currency="USD",'Future et co'!D749,IF(currency="EUR",'Future et co'!E749,IF(currency="GBP",'Future et co'!F749,FALSE)))</f>
        <v>RFR USD</v>
      </c>
      <c r="D749" t="str">
        <f t="shared" ca="1" si="56"/>
        <v>RFR USD</v>
      </c>
      <c r="E749" t="str">
        <f t="shared" ca="1" si="57"/>
        <v>RFR EUR</v>
      </c>
      <c r="F749" t="str">
        <f t="shared" ca="1" si="58"/>
        <v>RFR GBP</v>
      </c>
      <c r="J749" s="1"/>
      <c r="N749" s="1"/>
      <c r="R749" s="1"/>
      <c r="V749" s="1"/>
      <c r="AB749" s="1"/>
      <c r="AF749" s="1"/>
      <c r="AJ749" s="1"/>
      <c r="AN749" s="1"/>
      <c r="AS749" s="1"/>
      <c r="AX749" s="1"/>
      <c r="BA749" s="1"/>
      <c r="BC749" s="1"/>
      <c r="BM749" s="1"/>
      <c r="BP749" s="1"/>
    </row>
    <row r="750" spans="1:68" x14ac:dyDescent="0.3">
      <c r="A750" s="19">
        <f t="shared" si="59"/>
        <v>46965</v>
      </c>
      <c r="B750">
        <f t="shared" ca="1" si="55"/>
        <v>-2.2583333333333333</v>
      </c>
      <c r="C750" t="str">
        <f ca="1">IF(currency="USD",'Future et co'!D750,IF(currency="EUR",'Future et co'!E750,IF(currency="GBP",'Future et co'!F750,FALSE)))</f>
        <v>RFR USD</v>
      </c>
      <c r="D750" t="str">
        <f t="shared" ca="1" si="56"/>
        <v>RFR USD</v>
      </c>
      <c r="E750" t="str">
        <f t="shared" ca="1" si="57"/>
        <v>RFR EUR</v>
      </c>
      <c r="F750" t="str">
        <f t="shared" ca="1" si="58"/>
        <v>RFR GBP</v>
      </c>
      <c r="J750" s="1"/>
      <c r="N750" s="1"/>
      <c r="R750" s="1"/>
      <c r="V750" s="1"/>
      <c r="AB750" s="1"/>
      <c r="AF750" s="1"/>
      <c r="AJ750" s="1"/>
      <c r="AN750" s="1"/>
      <c r="AS750" s="1"/>
      <c r="AX750" s="1"/>
      <c r="BA750" s="1"/>
      <c r="BC750" s="1"/>
      <c r="BM750" s="1"/>
      <c r="BP750" s="1"/>
    </row>
    <row r="751" spans="1:68" x14ac:dyDescent="0.3">
      <c r="A751" s="19">
        <f t="shared" si="59"/>
        <v>46966</v>
      </c>
      <c r="B751">
        <f t="shared" ca="1" si="55"/>
        <v>-2.2611111111111111</v>
      </c>
      <c r="C751" t="str">
        <f ca="1">IF(currency="USD",'Future et co'!D751,IF(currency="EUR",'Future et co'!E751,IF(currency="GBP",'Future et co'!F751,FALSE)))</f>
        <v>RFR USD</v>
      </c>
      <c r="D751" t="str">
        <f t="shared" ca="1" si="56"/>
        <v>RFR USD</v>
      </c>
      <c r="E751" t="str">
        <f t="shared" ca="1" si="57"/>
        <v>RFR EUR</v>
      </c>
      <c r="F751" t="str">
        <f t="shared" ca="1" si="58"/>
        <v>RFR GBP</v>
      </c>
      <c r="J751" s="1"/>
      <c r="N751" s="1"/>
      <c r="R751" s="1"/>
      <c r="V751" s="1"/>
      <c r="AB751" s="1"/>
      <c r="AF751" s="1"/>
      <c r="AJ751" s="1"/>
      <c r="AN751" s="1"/>
      <c r="AS751" s="1"/>
      <c r="AX751" s="1"/>
      <c r="BA751" s="1"/>
      <c r="BC751" s="1"/>
      <c r="BM751" s="1"/>
      <c r="BP751" s="1"/>
    </row>
    <row r="752" spans="1:68" x14ac:dyDescent="0.3">
      <c r="A752" s="19">
        <f t="shared" si="59"/>
        <v>46967</v>
      </c>
      <c r="B752">
        <f t="shared" ca="1" si="55"/>
        <v>-2.2638888888888888</v>
      </c>
      <c r="C752" t="str">
        <f ca="1">IF(currency="USD",'Future et co'!D752,IF(currency="EUR",'Future et co'!E752,IF(currency="GBP",'Future et co'!F752,FALSE)))</f>
        <v>RFR USD</v>
      </c>
      <c r="D752" t="str">
        <f t="shared" ca="1" si="56"/>
        <v>RFR USD</v>
      </c>
      <c r="E752" t="str">
        <f t="shared" ca="1" si="57"/>
        <v>RFR EUR</v>
      </c>
      <c r="F752" t="str">
        <f t="shared" ca="1" si="58"/>
        <v>RFR GBP</v>
      </c>
      <c r="J752" s="1"/>
      <c r="N752" s="1"/>
      <c r="R752" s="1"/>
      <c r="V752" s="1"/>
      <c r="AB752" s="1"/>
      <c r="AF752" s="1"/>
      <c r="AJ752" s="1"/>
      <c r="AN752" s="1"/>
      <c r="AS752" s="1"/>
      <c r="AX752" s="1"/>
      <c r="BA752" s="1"/>
      <c r="BC752" s="1"/>
      <c r="BM752" s="1"/>
      <c r="BP752" s="1"/>
    </row>
    <row r="753" spans="1:68" x14ac:dyDescent="0.3">
      <c r="A753" s="19">
        <f t="shared" si="59"/>
        <v>46968</v>
      </c>
      <c r="B753">
        <f t="shared" ca="1" si="55"/>
        <v>-2.2666666666666666</v>
      </c>
      <c r="C753" t="str">
        <f ca="1">IF(currency="USD",'Future et co'!D753,IF(currency="EUR",'Future et co'!E753,IF(currency="GBP",'Future et co'!F753,FALSE)))</f>
        <v>RFR USD</v>
      </c>
      <c r="D753" t="str">
        <f t="shared" ca="1" si="56"/>
        <v>RFR USD</v>
      </c>
      <c r="E753" t="str">
        <f t="shared" ca="1" si="57"/>
        <v>RFR EUR</v>
      </c>
      <c r="F753" t="str">
        <f t="shared" ca="1" si="58"/>
        <v>RFR GBP</v>
      </c>
      <c r="J753" s="1"/>
      <c r="N753" s="1"/>
      <c r="R753" s="1"/>
      <c r="V753" s="1"/>
      <c r="AB753" s="1"/>
      <c r="AF753" s="1"/>
      <c r="AJ753" s="1"/>
      <c r="AN753" s="1"/>
      <c r="AS753" s="1"/>
      <c r="AX753" s="1"/>
      <c r="BA753" s="1"/>
      <c r="BC753" s="1"/>
      <c r="BM753" s="1"/>
      <c r="BP753" s="1"/>
    </row>
    <row r="754" spans="1:68" x14ac:dyDescent="0.3">
      <c r="A754" s="19">
        <f t="shared" si="59"/>
        <v>46969</v>
      </c>
      <c r="B754">
        <f t="shared" ca="1" si="55"/>
        <v>-2.2694444444444444</v>
      </c>
      <c r="C754" t="str">
        <f ca="1">IF(currency="USD",'Future et co'!D754,IF(currency="EUR",'Future et co'!E754,IF(currency="GBP",'Future et co'!F754,FALSE)))</f>
        <v>RFR USD</v>
      </c>
      <c r="D754" t="str">
        <f t="shared" ca="1" si="56"/>
        <v>RFR USD</v>
      </c>
      <c r="E754" t="str">
        <f t="shared" ca="1" si="57"/>
        <v>RFR EUR</v>
      </c>
      <c r="F754" t="str">
        <f t="shared" ca="1" si="58"/>
        <v>RFR GBP</v>
      </c>
      <c r="J754" s="1"/>
      <c r="N754" s="1"/>
      <c r="R754" s="1"/>
      <c r="V754" s="1"/>
      <c r="AB754" s="1"/>
      <c r="AF754" s="1"/>
      <c r="AJ754" s="1"/>
      <c r="AN754" s="1"/>
      <c r="AS754" s="1"/>
      <c r="AX754" s="1"/>
      <c r="BA754" s="1"/>
      <c r="BC754" s="1"/>
      <c r="BM754" s="1"/>
      <c r="BP754" s="1"/>
    </row>
    <row r="755" spans="1:68" x14ac:dyDescent="0.3">
      <c r="A755" s="19">
        <f t="shared" si="59"/>
        <v>46972</v>
      </c>
      <c r="B755">
        <f t="shared" ca="1" si="55"/>
        <v>-2.2777777777777777</v>
      </c>
      <c r="C755" t="str">
        <f ca="1">IF(currency="USD",'Future et co'!D755,IF(currency="EUR",'Future et co'!E755,IF(currency="GBP",'Future et co'!F755,FALSE)))</f>
        <v>RFR USD</v>
      </c>
      <c r="D755" t="str">
        <f t="shared" ca="1" si="56"/>
        <v>RFR USD</v>
      </c>
      <c r="E755" t="str">
        <f t="shared" ca="1" si="57"/>
        <v>RFR EUR</v>
      </c>
      <c r="F755" t="str">
        <f t="shared" ca="1" si="58"/>
        <v>RFR GBP</v>
      </c>
      <c r="J755" s="1"/>
      <c r="N755" s="1"/>
      <c r="R755" s="1"/>
      <c r="V755" s="1"/>
      <c r="AB755" s="1"/>
      <c r="AF755" s="1"/>
      <c r="AJ755" s="1"/>
      <c r="AN755" s="1"/>
      <c r="AS755" s="1"/>
      <c r="AX755" s="1"/>
      <c r="BA755" s="1"/>
      <c r="BC755" s="1"/>
      <c r="BM755" s="1"/>
      <c r="BP755" s="1"/>
    </row>
    <row r="756" spans="1:68" x14ac:dyDescent="0.3">
      <c r="A756" s="19">
        <f t="shared" si="59"/>
        <v>46973</v>
      </c>
      <c r="B756">
        <f t="shared" ca="1" si="55"/>
        <v>-2.2805555555555554</v>
      </c>
      <c r="C756" t="str">
        <f ca="1">IF(currency="USD",'Future et co'!D756,IF(currency="EUR",'Future et co'!E756,IF(currency="GBP",'Future et co'!F756,FALSE)))</f>
        <v>RFR USD</v>
      </c>
      <c r="D756" t="str">
        <f t="shared" ca="1" si="56"/>
        <v>RFR USD</v>
      </c>
      <c r="E756" t="str">
        <f t="shared" ca="1" si="57"/>
        <v>RFR EUR</v>
      </c>
      <c r="F756" t="str">
        <f t="shared" ca="1" si="58"/>
        <v>RFR GBP</v>
      </c>
      <c r="J756" s="1"/>
      <c r="N756" s="1"/>
      <c r="R756" s="1"/>
      <c r="V756" s="1"/>
      <c r="AB756" s="1"/>
      <c r="AF756" s="1"/>
      <c r="AJ756" s="1"/>
      <c r="AN756" s="1"/>
      <c r="AS756" s="1"/>
      <c r="AX756" s="1"/>
      <c r="BA756" s="1"/>
      <c r="BC756" s="1"/>
      <c r="BM756" s="1"/>
      <c r="BP756" s="1"/>
    </row>
    <row r="757" spans="1:68" x14ac:dyDescent="0.3">
      <c r="A757" s="19">
        <f t="shared" si="59"/>
        <v>46974</v>
      </c>
      <c r="B757">
        <f t="shared" ca="1" si="55"/>
        <v>-2.2833333333333332</v>
      </c>
      <c r="C757" t="str">
        <f ca="1">IF(currency="USD",'Future et co'!D757,IF(currency="EUR",'Future et co'!E757,IF(currency="GBP",'Future et co'!F757,FALSE)))</f>
        <v>RFR USD</v>
      </c>
      <c r="D757" t="str">
        <f t="shared" ca="1" si="56"/>
        <v>RFR USD</v>
      </c>
      <c r="E757" t="str">
        <f t="shared" ca="1" si="57"/>
        <v>RFR EUR</v>
      </c>
      <c r="F757" t="str">
        <f t="shared" ca="1" si="58"/>
        <v>RFR GBP</v>
      </c>
      <c r="J757" s="1"/>
      <c r="N757" s="1"/>
      <c r="R757" s="1"/>
      <c r="V757" s="1"/>
      <c r="AB757" s="1"/>
      <c r="AF757" s="1"/>
      <c r="AJ757" s="1"/>
      <c r="AN757" s="1"/>
      <c r="AS757" s="1"/>
      <c r="AX757" s="1"/>
      <c r="BA757" s="1"/>
      <c r="BC757" s="1"/>
      <c r="BM757" s="1"/>
      <c r="BP757" s="1"/>
    </row>
    <row r="758" spans="1:68" x14ac:dyDescent="0.3">
      <c r="A758" s="19">
        <f t="shared" si="59"/>
        <v>46975</v>
      </c>
      <c r="B758">
        <f t="shared" ca="1" si="55"/>
        <v>-2.286111111111111</v>
      </c>
      <c r="C758" t="str">
        <f ca="1">IF(currency="USD",'Future et co'!D758,IF(currency="EUR",'Future et co'!E758,IF(currency="GBP",'Future et co'!F758,FALSE)))</f>
        <v>RFR USD</v>
      </c>
      <c r="D758" t="str">
        <f t="shared" ca="1" si="56"/>
        <v>RFR USD</v>
      </c>
      <c r="E758" t="str">
        <f t="shared" ca="1" si="57"/>
        <v>RFR EUR</v>
      </c>
      <c r="F758" t="str">
        <f t="shared" ca="1" si="58"/>
        <v>RFR GBP</v>
      </c>
      <c r="J758" s="1"/>
      <c r="N758" s="1"/>
      <c r="R758" s="1"/>
      <c r="V758" s="1"/>
      <c r="AB758" s="1"/>
      <c r="AF758" s="1"/>
      <c r="AJ758" s="1"/>
      <c r="AN758" s="1"/>
      <c r="AS758" s="1"/>
      <c r="AX758" s="1"/>
      <c r="BA758" s="1"/>
      <c r="BC758" s="1"/>
      <c r="BM758" s="1"/>
      <c r="BP758" s="1"/>
    </row>
    <row r="759" spans="1:68" x14ac:dyDescent="0.3">
      <c r="A759" s="19">
        <f t="shared" si="59"/>
        <v>46976</v>
      </c>
      <c r="B759">
        <f t="shared" ca="1" si="55"/>
        <v>-2.2888888888888888</v>
      </c>
      <c r="C759" t="str">
        <f ca="1">IF(currency="USD",'Future et co'!D759,IF(currency="EUR",'Future et co'!E759,IF(currency="GBP",'Future et co'!F759,FALSE)))</f>
        <v>RFR USD</v>
      </c>
      <c r="D759" t="str">
        <f t="shared" ca="1" si="56"/>
        <v>RFR USD</v>
      </c>
      <c r="E759" t="str">
        <f t="shared" ca="1" si="57"/>
        <v>RFR EUR</v>
      </c>
      <c r="F759" t="str">
        <f t="shared" ca="1" si="58"/>
        <v>RFR GBP</v>
      </c>
      <c r="J759" s="1"/>
      <c r="N759" s="1"/>
      <c r="R759" s="1"/>
      <c r="V759" s="1"/>
      <c r="AB759" s="1"/>
      <c r="AF759" s="1"/>
      <c r="AJ759" s="1"/>
      <c r="AN759" s="1"/>
      <c r="AS759" s="1"/>
      <c r="AX759" s="1"/>
      <c r="BA759" s="1"/>
      <c r="BC759" s="1"/>
      <c r="BM759" s="1"/>
      <c r="BP759" s="1"/>
    </row>
    <row r="760" spans="1:68" x14ac:dyDescent="0.3">
      <c r="A760" s="19">
        <f t="shared" si="59"/>
        <v>46979</v>
      </c>
      <c r="B760">
        <f t="shared" ca="1" si="55"/>
        <v>-2.2972222222222221</v>
      </c>
      <c r="C760" t="str">
        <f ca="1">IF(currency="USD",'Future et co'!D760,IF(currency="EUR",'Future et co'!E760,IF(currency="GBP",'Future et co'!F760,FALSE)))</f>
        <v>RFR USD</v>
      </c>
      <c r="D760" t="str">
        <f t="shared" ca="1" si="56"/>
        <v>RFR USD</v>
      </c>
      <c r="E760" t="str">
        <f t="shared" ca="1" si="57"/>
        <v>RFR EUR</v>
      </c>
      <c r="F760" t="str">
        <f t="shared" ca="1" si="58"/>
        <v>RFR GBP</v>
      </c>
      <c r="J760" s="1"/>
      <c r="N760" s="1"/>
      <c r="R760" s="1"/>
      <c r="V760" s="1"/>
      <c r="AB760" s="1"/>
      <c r="AF760" s="1"/>
      <c r="AJ760" s="1"/>
      <c r="AN760" s="1"/>
      <c r="AS760" s="1"/>
      <c r="AX760" s="1"/>
      <c r="BA760" s="1"/>
      <c r="BC760" s="1"/>
      <c r="BM760" s="1"/>
      <c r="BP760" s="1"/>
    </row>
    <row r="761" spans="1:68" x14ac:dyDescent="0.3">
      <c r="A761" s="19">
        <f t="shared" si="59"/>
        <v>46980</v>
      </c>
      <c r="B761">
        <f t="shared" ca="1" si="55"/>
        <v>-2.2999999999999998</v>
      </c>
      <c r="C761" t="str">
        <f ca="1">IF(currency="USD",'Future et co'!D761,IF(currency="EUR",'Future et co'!E761,IF(currency="GBP",'Future et co'!F761,FALSE)))</f>
        <v>RFR USD</v>
      </c>
      <c r="D761" t="str">
        <f t="shared" ca="1" si="56"/>
        <v>RFR USD</v>
      </c>
      <c r="E761" t="str">
        <f t="shared" ca="1" si="57"/>
        <v>RFR EUR</v>
      </c>
      <c r="F761" t="str">
        <f t="shared" ca="1" si="58"/>
        <v>RFR GBP</v>
      </c>
      <c r="J761" s="1"/>
      <c r="N761" s="1"/>
      <c r="R761" s="1"/>
      <c r="V761" s="1"/>
      <c r="AB761" s="1"/>
      <c r="AF761" s="1"/>
      <c r="AJ761" s="1"/>
      <c r="AN761" s="1"/>
      <c r="AS761" s="1"/>
      <c r="AX761" s="1"/>
      <c r="BA761" s="1"/>
      <c r="BC761" s="1"/>
      <c r="BM761" s="1"/>
      <c r="BP761" s="1"/>
    </row>
    <row r="762" spans="1:68" x14ac:dyDescent="0.3">
      <c r="A762" s="19">
        <f t="shared" si="59"/>
        <v>46981</v>
      </c>
      <c r="B762">
        <f t="shared" ca="1" si="55"/>
        <v>-2.3027777777777776</v>
      </c>
      <c r="C762" t="str">
        <f ca="1">IF(currency="USD",'Future et co'!D762,IF(currency="EUR",'Future et co'!E762,IF(currency="GBP",'Future et co'!F762,FALSE)))</f>
        <v>RFR USD</v>
      </c>
      <c r="D762" t="str">
        <f t="shared" ca="1" si="56"/>
        <v>RFR USD</v>
      </c>
      <c r="E762" t="str">
        <f t="shared" ca="1" si="57"/>
        <v>RFR EUR</v>
      </c>
      <c r="F762" t="str">
        <f t="shared" ca="1" si="58"/>
        <v>RFR GBP</v>
      </c>
      <c r="J762" s="1"/>
      <c r="N762" s="1"/>
      <c r="R762" s="1"/>
      <c r="V762" s="1"/>
      <c r="AB762" s="1"/>
      <c r="AF762" s="1"/>
      <c r="AJ762" s="1"/>
      <c r="AN762" s="1"/>
      <c r="AS762" s="1"/>
      <c r="AX762" s="1"/>
      <c r="BA762" s="1"/>
      <c r="BC762" s="1"/>
      <c r="BM762" s="1"/>
      <c r="BP762" s="1"/>
    </row>
    <row r="763" spans="1:68" x14ac:dyDescent="0.3">
      <c r="A763" s="19">
        <f t="shared" si="59"/>
        <v>46982</v>
      </c>
      <c r="B763">
        <f t="shared" ca="1" si="55"/>
        <v>-2.3055555555555554</v>
      </c>
      <c r="C763" t="str">
        <f ca="1">IF(currency="USD",'Future et co'!D763,IF(currency="EUR",'Future et co'!E763,IF(currency="GBP",'Future et co'!F763,FALSE)))</f>
        <v>RFR USD</v>
      </c>
      <c r="D763" t="str">
        <f t="shared" ca="1" si="56"/>
        <v>RFR USD</v>
      </c>
      <c r="E763" t="str">
        <f t="shared" ca="1" si="57"/>
        <v>RFR EUR</v>
      </c>
      <c r="F763" t="str">
        <f t="shared" ca="1" si="58"/>
        <v>RFR GBP</v>
      </c>
      <c r="J763" s="1"/>
      <c r="N763" s="1"/>
      <c r="R763" s="1"/>
      <c r="V763" s="1"/>
      <c r="AB763" s="1"/>
      <c r="AF763" s="1"/>
      <c r="AJ763" s="1"/>
      <c r="AN763" s="1"/>
      <c r="AS763" s="1"/>
      <c r="AX763" s="1"/>
      <c r="BA763" s="1"/>
      <c r="BC763" s="1"/>
      <c r="BM763" s="1"/>
      <c r="BP763" s="1"/>
    </row>
    <row r="764" spans="1:68" x14ac:dyDescent="0.3">
      <c r="A764" s="19">
        <f t="shared" si="59"/>
        <v>46983</v>
      </c>
      <c r="B764">
        <f t="shared" ca="1" si="55"/>
        <v>-2.3083333333333331</v>
      </c>
      <c r="C764" t="str">
        <f ca="1">IF(currency="USD",'Future et co'!D764,IF(currency="EUR",'Future et co'!E764,IF(currency="GBP",'Future et co'!F764,FALSE)))</f>
        <v>RFR USD</v>
      </c>
      <c r="D764" t="str">
        <f t="shared" ca="1" si="56"/>
        <v>RFR USD</v>
      </c>
      <c r="E764" t="str">
        <f t="shared" ca="1" si="57"/>
        <v>RFR EUR</v>
      </c>
      <c r="F764" t="str">
        <f t="shared" ca="1" si="58"/>
        <v>RFR GBP</v>
      </c>
      <c r="J764" s="1"/>
      <c r="N764" s="1"/>
      <c r="R764" s="1"/>
      <c r="V764" s="1"/>
      <c r="AB764" s="1"/>
      <c r="AF764" s="1"/>
      <c r="AJ764" s="1"/>
      <c r="AN764" s="1"/>
      <c r="AS764" s="1"/>
      <c r="AX764" s="1"/>
      <c r="BA764" s="1"/>
      <c r="BC764" s="1"/>
      <c r="BM764" s="1"/>
      <c r="BP764" s="1"/>
    </row>
    <row r="765" spans="1:68" x14ac:dyDescent="0.3">
      <c r="A765" s="19">
        <f t="shared" si="59"/>
        <v>46986</v>
      </c>
      <c r="B765">
        <f t="shared" ca="1" si="55"/>
        <v>-2.3166666666666669</v>
      </c>
      <c r="C765" t="str">
        <f ca="1">IF(currency="USD",'Future et co'!D765,IF(currency="EUR",'Future et co'!E765,IF(currency="GBP",'Future et co'!F765,FALSE)))</f>
        <v>RFR USD</v>
      </c>
      <c r="D765" t="str">
        <f t="shared" ca="1" si="56"/>
        <v>RFR USD</v>
      </c>
      <c r="E765" t="str">
        <f t="shared" ca="1" si="57"/>
        <v>RFR EUR</v>
      </c>
      <c r="F765" t="str">
        <f t="shared" ca="1" si="58"/>
        <v>RFR GBP</v>
      </c>
      <c r="J765" s="1"/>
      <c r="N765" s="1"/>
      <c r="R765" s="1"/>
      <c r="V765" s="1"/>
      <c r="AB765" s="1"/>
      <c r="AF765" s="1"/>
      <c r="AJ765" s="1"/>
      <c r="AN765" s="1"/>
      <c r="AS765" s="1"/>
      <c r="AX765" s="1"/>
      <c r="BA765" s="1"/>
      <c r="BC765" s="1"/>
      <c r="BM765" s="1"/>
      <c r="BP765" s="1"/>
    </row>
    <row r="766" spans="1:68" x14ac:dyDescent="0.3">
      <c r="A766" s="19">
        <f t="shared" si="59"/>
        <v>46987</v>
      </c>
      <c r="B766">
        <f t="shared" ca="1" si="55"/>
        <v>-2.3194444444444446</v>
      </c>
      <c r="C766" t="str">
        <f ca="1">IF(currency="USD",'Future et co'!D766,IF(currency="EUR",'Future et co'!E766,IF(currency="GBP",'Future et co'!F766,FALSE)))</f>
        <v>RFR USD</v>
      </c>
      <c r="D766" t="str">
        <f t="shared" ca="1" si="56"/>
        <v>RFR USD</v>
      </c>
      <c r="E766" t="str">
        <f t="shared" ca="1" si="57"/>
        <v>RFR EUR</v>
      </c>
      <c r="F766" t="str">
        <f t="shared" ca="1" si="58"/>
        <v>RFR GBP</v>
      </c>
      <c r="J766" s="1"/>
      <c r="N766" s="1"/>
      <c r="R766" s="1"/>
      <c r="V766" s="1"/>
      <c r="AB766" s="1"/>
      <c r="AF766" s="1"/>
      <c r="AJ766" s="1"/>
      <c r="AN766" s="1"/>
      <c r="AS766" s="1"/>
      <c r="AX766" s="1"/>
      <c r="BA766" s="1"/>
      <c r="BC766" s="1"/>
      <c r="BM766" s="1"/>
      <c r="BP766" s="1"/>
    </row>
    <row r="767" spans="1:68" x14ac:dyDescent="0.3">
      <c r="A767" s="19">
        <f t="shared" si="59"/>
        <v>46988</v>
      </c>
      <c r="B767">
        <f t="shared" ca="1" si="55"/>
        <v>-2.3222222222222224</v>
      </c>
      <c r="C767" t="str">
        <f ca="1">IF(currency="USD",'Future et co'!D767,IF(currency="EUR",'Future et co'!E767,IF(currency="GBP",'Future et co'!F767,FALSE)))</f>
        <v>RFR USD</v>
      </c>
      <c r="D767" t="str">
        <f t="shared" ca="1" si="56"/>
        <v>RFR USD</v>
      </c>
      <c r="E767" t="str">
        <f t="shared" ca="1" si="57"/>
        <v>RFR EUR</v>
      </c>
      <c r="F767" t="str">
        <f t="shared" ca="1" si="58"/>
        <v>RFR GBP</v>
      </c>
      <c r="J767" s="1"/>
      <c r="N767" s="1"/>
      <c r="R767" s="1"/>
      <c r="V767" s="1"/>
      <c r="AB767" s="1"/>
      <c r="AF767" s="1"/>
      <c r="AJ767" s="1"/>
      <c r="AN767" s="1"/>
      <c r="AS767" s="1"/>
      <c r="AX767" s="1"/>
      <c r="BA767" s="1"/>
      <c r="BC767" s="1"/>
      <c r="BM767" s="1"/>
      <c r="BP767" s="1"/>
    </row>
    <row r="768" spans="1:68" x14ac:dyDescent="0.3">
      <c r="A768" s="19">
        <f t="shared" si="59"/>
        <v>46989</v>
      </c>
      <c r="B768">
        <f t="shared" ca="1" si="55"/>
        <v>-2.3250000000000002</v>
      </c>
      <c r="C768" t="str">
        <f ca="1">IF(currency="USD",'Future et co'!D768,IF(currency="EUR",'Future et co'!E768,IF(currency="GBP",'Future et co'!F768,FALSE)))</f>
        <v>RFR USD</v>
      </c>
      <c r="D768" t="str">
        <f t="shared" ca="1" si="56"/>
        <v>RFR USD</v>
      </c>
      <c r="E768" t="str">
        <f t="shared" ca="1" si="57"/>
        <v>RFR EUR</v>
      </c>
      <c r="F768" t="str">
        <f t="shared" ca="1" si="58"/>
        <v>RFR GBP</v>
      </c>
      <c r="J768" s="1"/>
      <c r="N768" s="1"/>
      <c r="R768" s="1"/>
      <c r="V768" s="1"/>
      <c r="AB768" s="1"/>
      <c r="AF768" s="1"/>
      <c r="AJ768" s="1"/>
      <c r="AN768" s="1"/>
      <c r="AS768" s="1"/>
      <c r="AX768" s="1"/>
      <c r="BA768" s="1"/>
      <c r="BC768" s="1"/>
      <c r="BM768" s="1"/>
      <c r="BP768" s="1"/>
    </row>
    <row r="769" spans="1:68" x14ac:dyDescent="0.3">
      <c r="A769" s="19">
        <f t="shared" si="59"/>
        <v>46990</v>
      </c>
      <c r="B769">
        <f t="shared" ca="1" si="55"/>
        <v>-2.3277777777777779</v>
      </c>
      <c r="C769" t="str">
        <f ca="1">IF(currency="USD",'Future et co'!D769,IF(currency="EUR",'Future et co'!E769,IF(currency="GBP",'Future et co'!F769,FALSE)))</f>
        <v>RFR USD</v>
      </c>
      <c r="D769" t="str">
        <f t="shared" ca="1" si="56"/>
        <v>RFR USD</v>
      </c>
      <c r="E769" t="str">
        <f t="shared" ca="1" si="57"/>
        <v>RFR EUR</v>
      </c>
      <c r="F769" t="str">
        <f t="shared" ca="1" si="58"/>
        <v>RFR GBP</v>
      </c>
      <c r="J769" s="1"/>
      <c r="N769" s="1"/>
      <c r="R769" s="1"/>
      <c r="V769" s="1"/>
      <c r="AB769" s="1"/>
      <c r="AF769" s="1"/>
      <c r="AJ769" s="1"/>
      <c r="AN769" s="1"/>
      <c r="AS769" s="1"/>
      <c r="AX769" s="1"/>
      <c r="BA769" s="1"/>
      <c r="BC769" s="1"/>
      <c r="BM769" s="1"/>
      <c r="BP769" s="1"/>
    </row>
    <row r="770" spans="1:68" x14ac:dyDescent="0.3">
      <c r="A770" s="19">
        <f t="shared" si="59"/>
        <v>46993</v>
      </c>
      <c r="B770">
        <f t="shared" ca="1" si="55"/>
        <v>-2.3361111111111112</v>
      </c>
      <c r="C770" t="str">
        <f ca="1">IF(currency="USD",'Future et co'!D770,IF(currency="EUR",'Future et co'!E770,IF(currency="GBP",'Future et co'!F770,FALSE)))</f>
        <v>RFR USD</v>
      </c>
      <c r="D770" t="str">
        <f t="shared" ca="1" si="56"/>
        <v>RFR USD</v>
      </c>
      <c r="E770" t="str">
        <f t="shared" ca="1" si="57"/>
        <v>RFR EUR</v>
      </c>
      <c r="F770" t="str">
        <f t="shared" ca="1" si="58"/>
        <v>RFR GBP</v>
      </c>
      <c r="J770" s="1"/>
      <c r="N770" s="1"/>
      <c r="R770" s="1"/>
      <c r="V770" s="1"/>
      <c r="AB770" s="1"/>
      <c r="AF770" s="1"/>
      <c r="AJ770" s="1"/>
      <c r="AN770" s="1"/>
      <c r="AS770" s="1"/>
      <c r="AX770" s="1"/>
      <c r="BA770" s="1"/>
      <c r="BC770" s="1"/>
      <c r="BM770" s="1"/>
      <c r="BP770" s="1"/>
    </row>
    <row r="771" spans="1:68" x14ac:dyDescent="0.3">
      <c r="A771" s="19">
        <f t="shared" si="59"/>
        <v>46994</v>
      </c>
      <c r="B771">
        <f t="shared" ca="1" si="55"/>
        <v>-2.338888888888889</v>
      </c>
      <c r="C771" t="str">
        <f ca="1">IF(currency="USD",'Future et co'!D771,IF(currency="EUR",'Future et co'!E771,IF(currency="GBP",'Future et co'!F771,FALSE)))</f>
        <v>RFR USD</v>
      </c>
      <c r="D771" t="str">
        <f t="shared" ca="1" si="56"/>
        <v>RFR USD</v>
      </c>
      <c r="E771" t="str">
        <f t="shared" ca="1" si="57"/>
        <v>RFR EUR</v>
      </c>
      <c r="F771" t="str">
        <f t="shared" ca="1" si="58"/>
        <v>RFR GBP</v>
      </c>
      <c r="J771" s="1"/>
      <c r="N771" s="1"/>
      <c r="R771" s="1"/>
      <c r="V771" s="1"/>
      <c r="AB771" s="1"/>
      <c r="AF771" s="1"/>
      <c r="AJ771" s="1"/>
      <c r="AN771" s="1"/>
      <c r="AS771" s="1"/>
      <c r="AX771" s="1"/>
      <c r="BA771" s="1"/>
      <c r="BC771" s="1"/>
      <c r="BM771" s="1"/>
      <c r="BP771" s="1"/>
    </row>
    <row r="772" spans="1:68" x14ac:dyDescent="0.3">
      <c r="A772" s="19">
        <f t="shared" si="59"/>
        <v>46995</v>
      </c>
      <c r="B772">
        <f t="shared" ca="1" si="55"/>
        <v>-2.3416666666666668</v>
      </c>
      <c r="C772" t="str">
        <f ca="1">IF(currency="USD",'Future et co'!D772,IF(currency="EUR",'Future et co'!E772,IF(currency="GBP",'Future et co'!F772,FALSE)))</f>
        <v>RFR USD</v>
      </c>
      <c r="D772" t="str">
        <f t="shared" ca="1" si="56"/>
        <v>RFR USD</v>
      </c>
      <c r="E772" t="str">
        <f t="shared" ca="1" si="57"/>
        <v>RFR EUR</v>
      </c>
      <c r="F772" t="str">
        <f t="shared" ca="1" si="58"/>
        <v>RFR GBP</v>
      </c>
      <c r="J772" s="1"/>
      <c r="N772" s="1"/>
      <c r="R772" s="1"/>
      <c r="V772" s="1"/>
      <c r="AB772" s="1"/>
      <c r="AF772" s="1"/>
      <c r="AJ772" s="1"/>
      <c r="AN772" s="1"/>
      <c r="AS772" s="1"/>
      <c r="AX772" s="1"/>
      <c r="BA772" s="1"/>
      <c r="BC772" s="1"/>
      <c r="BM772" s="1"/>
      <c r="BP772" s="1"/>
    </row>
    <row r="773" spans="1:68" x14ac:dyDescent="0.3">
      <c r="A773" s="19">
        <f t="shared" si="59"/>
        <v>46996</v>
      </c>
      <c r="B773">
        <f t="shared" ca="1" si="55"/>
        <v>-2.3444444444444446</v>
      </c>
      <c r="C773" t="str">
        <f ca="1">IF(currency="USD",'Future et co'!D773,IF(currency="EUR",'Future et co'!E773,IF(currency="GBP",'Future et co'!F773,FALSE)))</f>
        <v>RFR USD</v>
      </c>
      <c r="D773" t="str">
        <f t="shared" ca="1" si="56"/>
        <v>RFR USD</v>
      </c>
      <c r="E773" t="str">
        <f t="shared" ca="1" si="57"/>
        <v>RFR EUR</v>
      </c>
      <c r="F773" t="str">
        <f t="shared" ca="1" si="58"/>
        <v>RFR GBP</v>
      </c>
      <c r="J773" s="1"/>
      <c r="N773" s="1"/>
      <c r="R773" s="1"/>
      <c r="V773" s="1"/>
      <c r="AB773" s="1"/>
      <c r="AF773" s="1"/>
      <c r="AJ773" s="1"/>
      <c r="AN773" s="1"/>
      <c r="AS773" s="1"/>
      <c r="AX773" s="1"/>
      <c r="BA773" s="1"/>
      <c r="BC773" s="1"/>
      <c r="BM773" s="1"/>
      <c r="BP773" s="1"/>
    </row>
    <row r="774" spans="1:68" x14ac:dyDescent="0.3">
      <c r="A774" s="19">
        <f t="shared" si="59"/>
        <v>46997</v>
      </c>
      <c r="B774">
        <f t="shared" ca="1" si="55"/>
        <v>-2.3472222222222223</v>
      </c>
      <c r="C774" t="str">
        <f ca="1">IF(currency="USD",'Future et co'!D774,IF(currency="EUR",'Future et co'!E774,IF(currency="GBP",'Future et co'!F774,FALSE)))</f>
        <v>RFR USD</v>
      </c>
      <c r="D774" t="str">
        <f t="shared" ca="1" si="56"/>
        <v>RFR USD</v>
      </c>
      <c r="E774" t="str">
        <f t="shared" ca="1" si="57"/>
        <v>RFR EUR</v>
      </c>
      <c r="F774" t="str">
        <f t="shared" ca="1" si="58"/>
        <v>RFR GBP</v>
      </c>
      <c r="J774" s="1"/>
      <c r="N774" s="1"/>
      <c r="R774" s="1"/>
      <c r="V774" s="1"/>
      <c r="AB774" s="1"/>
      <c r="AF774" s="1"/>
      <c r="AJ774" s="1"/>
      <c r="AN774" s="1"/>
      <c r="AS774" s="1"/>
      <c r="AX774" s="1"/>
      <c r="BA774" s="1"/>
      <c r="BC774" s="1"/>
      <c r="BM774" s="1"/>
      <c r="BP774" s="1"/>
    </row>
    <row r="775" spans="1:68" x14ac:dyDescent="0.3">
      <c r="A775" s="19">
        <f t="shared" si="59"/>
        <v>47000</v>
      </c>
      <c r="B775">
        <f t="shared" ca="1" si="55"/>
        <v>-2.3555555555555556</v>
      </c>
      <c r="C775" t="str">
        <f ca="1">IF(currency="USD",'Future et co'!D775,IF(currency="EUR",'Future et co'!E775,IF(currency="GBP",'Future et co'!F775,FALSE)))</f>
        <v>RFR USD</v>
      </c>
      <c r="D775" t="str">
        <f t="shared" ca="1" si="56"/>
        <v>RFR USD</v>
      </c>
      <c r="E775" t="str">
        <f t="shared" ca="1" si="57"/>
        <v>RFR EUR</v>
      </c>
      <c r="F775" t="str">
        <f t="shared" ca="1" si="58"/>
        <v>RFR GBP</v>
      </c>
      <c r="J775" s="1"/>
      <c r="N775" s="1"/>
      <c r="R775" s="1"/>
      <c r="V775" s="1"/>
      <c r="AB775" s="1"/>
      <c r="AF775" s="1"/>
      <c r="AJ775" s="1"/>
      <c r="AN775" s="1"/>
      <c r="AS775" s="1"/>
      <c r="AX775" s="1"/>
      <c r="BA775" s="1"/>
      <c r="BC775" s="1"/>
      <c r="BM775" s="1"/>
      <c r="BP775" s="1"/>
    </row>
    <row r="776" spans="1:68" x14ac:dyDescent="0.3">
      <c r="A776" s="19">
        <f t="shared" si="59"/>
        <v>47001</v>
      </c>
      <c r="B776">
        <f t="shared" ca="1" si="55"/>
        <v>-2.3583333333333334</v>
      </c>
      <c r="C776" t="str">
        <f ca="1">IF(currency="USD",'Future et co'!D776,IF(currency="EUR",'Future et co'!E776,IF(currency="GBP",'Future et co'!F776,FALSE)))</f>
        <v>RFR USD</v>
      </c>
      <c r="D776" t="str">
        <f t="shared" ca="1" si="56"/>
        <v>RFR USD</v>
      </c>
      <c r="E776" t="str">
        <f t="shared" ca="1" si="57"/>
        <v>RFR EUR</v>
      </c>
      <c r="F776" t="str">
        <f t="shared" ca="1" si="58"/>
        <v>RFR GBP</v>
      </c>
      <c r="J776" s="1"/>
      <c r="N776" s="1"/>
      <c r="R776" s="1"/>
      <c r="V776" s="1"/>
      <c r="AB776" s="1"/>
      <c r="AF776" s="1"/>
      <c r="AJ776" s="1"/>
      <c r="AN776" s="1"/>
      <c r="AS776" s="1"/>
      <c r="AX776" s="1"/>
      <c r="BA776" s="1"/>
      <c r="BC776" s="1"/>
      <c r="BM776" s="1"/>
      <c r="BP776" s="1"/>
    </row>
    <row r="777" spans="1:68" x14ac:dyDescent="0.3">
      <c r="A777" s="19">
        <f t="shared" si="59"/>
        <v>47002</v>
      </c>
      <c r="B777">
        <f t="shared" ca="1" si="55"/>
        <v>-2.3611111111111112</v>
      </c>
      <c r="C777" t="str">
        <f ca="1">IF(currency="USD",'Future et co'!D777,IF(currency="EUR",'Future et co'!E777,IF(currency="GBP",'Future et co'!F777,FALSE)))</f>
        <v>RFR USD</v>
      </c>
      <c r="D777" t="str">
        <f t="shared" ca="1" si="56"/>
        <v>RFR USD</v>
      </c>
      <c r="E777" t="str">
        <f t="shared" ca="1" si="57"/>
        <v>RFR EUR</v>
      </c>
      <c r="F777" t="str">
        <f t="shared" ca="1" si="58"/>
        <v>RFR GBP</v>
      </c>
      <c r="J777" s="1"/>
      <c r="N777" s="1"/>
      <c r="R777" s="1"/>
      <c r="V777" s="1"/>
      <c r="AB777" s="1"/>
      <c r="AF777" s="1"/>
      <c r="AJ777" s="1"/>
      <c r="AN777" s="1"/>
      <c r="AS777" s="1"/>
      <c r="AX777" s="1"/>
      <c r="BA777" s="1"/>
      <c r="BC777" s="1"/>
      <c r="BM777" s="1"/>
      <c r="BP777" s="1"/>
    </row>
    <row r="778" spans="1:68" x14ac:dyDescent="0.3">
      <c r="A778" s="19">
        <f t="shared" si="59"/>
        <v>47003</v>
      </c>
      <c r="B778">
        <f t="shared" ca="1" si="55"/>
        <v>-2.3638888888888889</v>
      </c>
      <c r="C778" t="str">
        <f ca="1">IF(currency="USD",'Future et co'!D778,IF(currency="EUR",'Future et co'!E778,IF(currency="GBP",'Future et co'!F778,FALSE)))</f>
        <v>RFR USD</v>
      </c>
      <c r="D778" t="str">
        <f t="shared" ca="1" si="56"/>
        <v>RFR USD</v>
      </c>
      <c r="E778" t="str">
        <f t="shared" ca="1" si="57"/>
        <v>RFR EUR</v>
      </c>
      <c r="F778" t="str">
        <f t="shared" ca="1" si="58"/>
        <v>RFR GBP</v>
      </c>
      <c r="J778" s="1"/>
      <c r="N778" s="1"/>
      <c r="R778" s="1"/>
      <c r="V778" s="1"/>
      <c r="AB778" s="1"/>
      <c r="AF778" s="1"/>
      <c r="AJ778" s="1"/>
      <c r="AN778" s="1"/>
      <c r="AS778" s="1"/>
      <c r="AX778" s="1"/>
      <c r="BA778" s="1"/>
      <c r="BC778" s="1"/>
      <c r="BM778" s="1"/>
      <c r="BP778" s="1"/>
    </row>
    <row r="779" spans="1:68" x14ac:dyDescent="0.3">
      <c r="A779" s="19">
        <f t="shared" si="59"/>
        <v>47004</v>
      </c>
      <c r="B779">
        <f t="shared" ref="B779:B842" ca="1" si="60">($B$7-A779)/360</f>
        <v>-2.3666666666666667</v>
      </c>
      <c r="C779" t="str">
        <f ca="1">IF(currency="USD",'Future et co'!D779,IF(currency="EUR",'Future et co'!E779,IF(currency="GBP",'Future et co'!F779,FALSE)))</f>
        <v>RFR USD</v>
      </c>
      <c r="D779" t="str">
        <f t="shared" ref="D779:D842" ca="1" si="61">IFERROR(IF(B779&lt;0.25,VLOOKUP(A779,$J$11:$L$5325,3,FALSE),IF(AND(B779&gt;=0.25,B779&lt;0.5),VLOOKUP(A779,$N$11:$P$5325,3,FALSE),IF(AND(B779&gt;=0.5,B779&lt;1),VLOOKUP(A779,$R$11:$T$5325,3,FALSE),VLOOKUP(A779,$V$11:$X$5010,3,FALSE)))),D778)</f>
        <v>RFR USD</v>
      </c>
      <c r="E779" t="str">
        <f t="shared" ref="E779:E842" ca="1" si="62">IFERROR(IF(B779&lt;0.25,VLOOKUP(A779,$AF$11:$AH$5325,3,FALSE),IF(AND(B779&gt;=0.25,B779&lt;0.5),VLOOKUP(A779,$AJ$11:$AL$5325,3,FALSE),VLOOKUP(A779,$AN$11:$AP$5325,3,FALSE))),E778)</f>
        <v>RFR EUR</v>
      </c>
      <c r="F779" t="str">
        <f t="shared" ref="F779:F842" ca="1" si="63">IFERROR(VLOOKUP(A779,$AS$11:$AU$9999,3,FALSE),F778)</f>
        <v>RFR GBP</v>
      </c>
      <c r="J779" s="1"/>
      <c r="N779" s="1"/>
      <c r="R779" s="1"/>
      <c r="V779" s="1"/>
      <c r="AB779" s="1"/>
      <c r="AF779" s="1"/>
      <c r="AJ779" s="1"/>
      <c r="AN779" s="1"/>
      <c r="AS779" s="1"/>
      <c r="AX779" s="1"/>
      <c r="BA779" s="1"/>
      <c r="BC779" s="1"/>
      <c r="BM779" s="1"/>
      <c r="BP779" s="1"/>
    </row>
    <row r="780" spans="1:68" x14ac:dyDescent="0.3">
      <c r="A780" s="19">
        <f t="shared" si="59"/>
        <v>47007</v>
      </c>
      <c r="B780">
        <f t="shared" ca="1" si="60"/>
        <v>-2.375</v>
      </c>
      <c r="C780" t="str">
        <f ca="1">IF(currency="USD",'Future et co'!D780,IF(currency="EUR",'Future et co'!E780,IF(currency="GBP",'Future et co'!F780,FALSE)))</f>
        <v>RFR USD</v>
      </c>
      <c r="D780" t="str">
        <f t="shared" ca="1" si="61"/>
        <v>RFR USD</v>
      </c>
      <c r="E780" t="str">
        <f t="shared" ca="1" si="62"/>
        <v>RFR EUR</v>
      </c>
      <c r="F780" t="str">
        <f t="shared" ca="1" si="63"/>
        <v>RFR GBP</v>
      </c>
      <c r="J780" s="1"/>
      <c r="N780" s="1"/>
      <c r="R780" s="1"/>
      <c r="V780" s="1"/>
      <c r="AB780" s="1"/>
      <c r="AF780" s="1"/>
      <c r="AJ780" s="1"/>
      <c r="AN780" s="1"/>
      <c r="AS780" s="1"/>
      <c r="AX780" s="1"/>
      <c r="BA780" s="1"/>
      <c r="BC780" s="1"/>
      <c r="BM780" s="1"/>
      <c r="BP780" s="1"/>
    </row>
    <row r="781" spans="1:68" x14ac:dyDescent="0.3">
      <c r="A781" s="19">
        <f t="shared" ref="A781:A844" si="64">WORKDAY(A780,1)</f>
        <v>47008</v>
      </c>
      <c r="B781">
        <f t="shared" ca="1" si="60"/>
        <v>-2.3777777777777778</v>
      </c>
      <c r="C781" t="str">
        <f ca="1">IF(currency="USD",'Future et co'!D781,IF(currency="EUR",'Future et co'!E781,IF(currency="GBP",'Future et co'!F781,FALSE)))</f>
        <v>RFR USD</v>
      </c>
      <c r="D781" t="str">
        <f t="shared" ca="1" si="61"/>
        <v>RFR USD</v>
      </c>
      <c r="E781" t="str">
        <f t="shared" ca="1" si="62"/>
        <v>RFR EUR</v>
      </c>
      <c r="F781" t="str">
        <f t="shared" ca="1" si="63"/>
        <v>RFR GBP</v>
      </c>
      <c r="J781" s="1"/>
      <c r="N781" s="1"/>
      <c r="R781" s="1"/>
      <c r="V781" s="1"/>
      <c r="AB781" s="1"/>
      <c r="AF781" s="1"/>
      <c r="AJ781" s="1"/>
      <c r="AN781" s="1"/>
      <c r="AS781" s="1"/>
      <c r="AX781" s="1"/>
      <c r="BA781" s="1"/>
      <c r="BC781" s="1"/>
      <c r="BM781" s="1"/>
      <c r="BP781" s="1"/>
    </row>
    <row r="782" spans="1:68" x14ac:dyDescent="0.3">
      <c r="A782" s="19">
        <f t="shared" si="64"/>
        <v>47009</v>
      </c>
      <c r="B782">
        <f t="shared" ca="1" si="60"/>
        <v>-2.3805555555555555</v>
      </c>
      <c r="C782" t="str">
        <f ca="1">IF(currency="USD",'Future et co'!D782,IF(currency="EUR",'Future et co'!E782,IF(currency="GBP",'Future et co'!F782,FALSE)))</f>
        <v>RFR USD</v>
      </c>
      <c r="D782" t="str">
        <f t="shared" ca="1" si="61"/>
        <v>RFR USD</v>
      </c>
      <c r="E782" t="str">
        <f t="shared" ca="1" si="62"/>
        <v>RFR EUR</v>
      </c>
      <c r="F782" t="str">
        <f t="shared" ca="1" si="63"/>
        <v>RFR GBP</v>
      </c>
      <c r="J782" s="1"/>
      <c r="N782" s="1"/>
      <c r="R782" s="1"/>
      <c r="V782" s="1"/>
      <c r="AB782" s="1"/>
      <c r="AF782" s="1"/>
      <c r="AJ782" s="1"/>
      <c r="AN782" s="1"/>
      <c r="AS782" s="1"/>
      <c r="AX782" s="1"/>
      <c r="BA782" s="1"/>
      <c r="BC782" s="1"/>
      <c r="BM782" s="1"/>
      <c r="BP782" s="1"/>
    </row>
    <row r="783" spans="1:68" x14ac:dyDescent="0.3">
      <c r="A783" s="19">
        <f t="shared" si="64"/>
        <v>47010</v>
      </c>
      <c r="B783">
        <f t="shared" ca="1" si="60"/>
        <v>-2.3833333333333333</v>
      </c>
      <c r="C783" t="str">
        <f ca="1">IF(currency="USD",'Future et co'!D783,IF(currency="EUR",'Future et co'!E783,IF(currency="GBP",'Future et co'!F783,FALSE)))</f>
        <v>RFR USD</v>
      </c>
      <c r="D783" t="str">
        <f t="shared" ca="1" si="61"/>
        <v>RFR USD</v>
      </c>
      <c r="E783" t="str">
        <f t="shared" ca="1" si="62"/>
        <v>RFR EUR</v>
      </c>
      <c r="F783" t="str">
        <f t="shared" ca="1" si="63"/>
        <v>RFR GBP</v>
      </c>
      <c r="J783" s="1"/>
      <c r="N783" s="1"/>
      <c r="R783" s="1"/>
      <c r="V783" s="1"/>
      <c r="AB783" s="1"/>
      <c r="AF783" s="1"/>
      <c r="AJ783" s="1"/>
      <c r="AN783" s="1"/>
      <c r="AS783" s="1"/>
      <c r="AX783" s="1"/>
      <c r="BA783" s="1"/>
      <c r="BC783" s="1"/>
      <c r="BM783" s="1"/>
      <c r="BP783" s="1"/>
    </row>
    <row r="784" spans="1:68" x14ac:dyDescent="0.3">
      <c r="A784" s="19">
        <f t="shared" si="64"/>
        <v>47011</v>
      </c>
      <c r="B784">
        <f t="shared" ca="1" si="60"/>
        <v>-2.3861111111111111</v>
      </c>
      <c r="C784" t="str">
        <f ca="1">IF(currency="USD",'Future et co'!D784,IF(currency="EUR",'Future et co'!E784,IF(currency="GBP",'Future et co'!F784,FALSE)))</f>
        <v>RFR USD</v>
      </c>
      <c r="D784" t="str">
        <f t="shared" ca="1" si="61"/>
        <v>RFR USD</v>
      </c>
      <c r="E784" t="str">
        <f t="shared" ca="1" si="62"/>
        <v>RFR EUR</v>
      </c>
      <c r="F784" t="str">
        <f t="shared" ca="1" si="63"/>
        <v>RFR GBP</v>
      </c>
      <c r="J784" s="1"/>
      <c r="N784" s="1"/>
      <c r="R784" s="1"/>
      <c r="V784" s="1"/>
      <c r="AB784" s="1"/>
      <c r="AF784" s="1"/>
      <c r="AJ784" s="1"/>
      <c r="AN784" s="1"/>
      <c r="AS784" s="1"/>
      <c r="AX784" s="1"/>
      <c r="BA784" s="1"/>
      <c r="BC784" s="1"/>
      <c r="BM784" s="1"/>
      <c r="BP784" s="1"/>
    </row>
    <row r="785" spans="1:68" x14ac:dyDescent="0.3">
      <c r="A785" s="19">
        <f t="shared" si="64"/>
        <v>47014</v>
      </c>
      <c r="B785">
        <f t="shared" ca="1" si="60"/>
        <v>-2.3944444444444444</v>
      </c>
      <c r="C785" t="str">
        <f ca="1">IF(currency="USD",'Future et co'!D785,IF(currency="EUR",'Future et co'!E785,IF(currency="GBP",'Future et co'!F785,FALSE)))</f>
        <v>RFR USD</v>
      </c>
      <c r="D785" t="str">
        <f t="shared" ca="1" si="61"/>
        <v>RFR USD</v>
      </c>
      <c r="E785" t="str">
        <f t="shared" ca="1" si="62"/>
        <v>RFR EUR</v>
      </c>
      <c r="F785" t="str">
        <f t="shared" ca="1" si="63"/>
        <v>RFR GBP</v>
      </c>
      <c r="J785" s="1"/>
      <c r="N785" s="1"/>
      <c r="R785" s="1"/>
      <c r="V785" s="1"/>
      <c r="AB785" s="1"/>
      <c r="AF785" s="1"/>
      <c r="AJ785" s="1"/>
      <c r="AN785" s="1"/>
      <c r="AS785" s="1"/>
      <c r="AX785" s="1"/>
      <c r="BA785" s="1"/>
      <c r="BC785" s="1"/>
      <c r="BM785" s="1"/>
      <c r="BP785" s="1"/>
    </row>
    <row r="786" spans="1:68" x14ac:dyDescent="0.3">
      <c r="A786" s="19">
        <f t="shared" si="64"/>
        <v>47015</v>
      </c>
      <c r="B786">
        <f t="shared" ca="1" si="60"/>
        <v>-2.3972222222222221</v>
      </c>
      <c r="C786" t="str">
        <f ca="1">IF(currency="USD",'Future et co'!D786,IF(currency="EUR",'Future et co'!E786,IF(currency="GBP",'Future et co'!F786,FALSE)))</f>
        <v>RFR USD</v>
      </c>
      <c r="D786" t="str">
        <f t="shared" ca="1" si="61"/>
        <v>RFR USD</v>
      </c>
      <c r="E786" t="str">
        <f t="shared" ca="1" si="62"/>
        <v>RFR EUR</v>
      </c>
      <c r="F786" t="str">
        <f t="shared" ca="1" si="63"/>
        <v>RFR GBP</v>
      </c>
      <c r="J786" s="1"/>
      <c r="N786" s="1"/>
      <c r="R786" s="1"/>
      <c r="V786" s="1"/>
      <c r="AB786" s="1"/>
      <c r="AF786" s="1"/>
      <c r="AJ786" s="1"/>
      <c r="AN786" s="1"/>
      <c r="AS786" s="1"/>
      <c r="AX786" s="1"/>
      <c r="BA786" s="1"/>
      <c r="BC786" s="1"/>
      <c r="BM786" s="1"/>
      <c r="BP786" s="1"/>
    </row>
    <row r="787" spans="1:68" x14ac:dyDescent="0.3">
      <c r="A787" s="19">
        <f t="shared" si="64"/>
        <v>47016</v>
      </c>
      <c r="B787">
        <f t="shared" ca="1" si="60"/>
        <v>-2.4</v>
      </c>
      <c r="C787" t="str">
        <f ca="1">IF(currency="USD",'Future et co'!D787,IF(currency="EUR",'Future et co'!E787,IF(currency="GBP",'Future et co'!F787,FALSE)))</f>
        <v>RFR USD</v>
      </c>
      <c r="D787" t="str">
        <f t="shared" ca="1" si="61"/>
        <v>RFR USD</v>
      </c>
      <c r="E787" t="str">
        <f t="shared" ca="1" si="62"/>
        <v>RFR EUR</v>
      </c>
      <c r="F787" t="str">
        <f t="shared" ca="1" si="63"/>
        <v>RFR GBP</v>
      </c>
      <c r="J787" s="1"/>
      <c r="N787" s="1"/>
      <c r="R787" s="1"/>
      <c r="V787" s="1"/>
      <c r="AB787" s="1"/>
      <c r="AF787" s="1"/>
      <c r="AJ787" s="1"/>
      <c r="AN787" s="1"/>
      <c r="AS787" s="1"/>
      <c r="AX787" s="1"/>
      <c r="BA787" s="1"/>
      <c r="BC787" s="1"/>
      <c r="BM787" s="1"/>
      <c r="BP787" s="1"/>
    </row>
    <row r="788" spans="1:68" x14ac:dyDescent="0.3">
      <c r="A788" s="19">
        <f t="shared" si="64"/>
        <v>47017</v>
      </c>
      <c r="B788">
        <f t="shared" ca="1" si="60"/>
        <v>-2.4027777777777777</v>
      </c>
      <c r="C788" t="str">
        <f ca="1">IF(currency="USD",'Future et co'!D788,IF(currency="EUR",'Future et co'!E788,IF(currency="GBP",'Future et co'!F788,FALSE)))</f>
        <v>RFR USD</v>
      </c>
      <c r="D788" t="str">
        <f t="shared" ca="1" si="61"/>
        <v>RFR USD</v>
      </c>
      <c r="E788" t="str">
        <f t="shared" ca="1" si="62"/>
        <v>RFR EUR</v>
      </c>
      <c r="F788" t="str">
        <f t="shared" ca="1" si="63"/>
        <v>RFR GBP</v>
      </c>
      <c r="J788" s="1"/>
      <c r="N788" s="1"/>
      <c r="R788" s="1"/>
      <c r="V788" s="1"/>
      <c r="AB788" s="1"/>
      <c r="AF788" s="1"/>
      <c r="AJ788" s="1"/>
      <c r="AN788" s="1"/>
      <c r="AS788" s="1"/>
      <c r="AX788" s="1"/>
      <c r="BA788" s="1"/>
      <c r="BC788" s="1"/>
      <c r="BM788" s="1"/>
      <c r="BP788" s="1"/>
    </row>
    <row r="789" spans="1:68" x14ac:dyDescent="0.3">
      <c r="A789" s="19">
        <f t="shared" si="64"/>
        <v>47018</v>
      </c>
      <c r="B789">
        <f t="shared" ca="1" si="60"/>
        <v>-2.4055555555555554</v>
      </c>
      <c r="C789" t="str">
        <f ca="1">IF(currency="USD",'Future et co'!D789,IF(currency="EUR",'Future et co'!E789,IF(currency="GBP",'Future et co'!F789,FALSE)))</f>
        <v>RFR USD</v>
      </c>
      <c r="D789" t="str">
        <f t="shared" ca="1" si="61"/>
        <v>RFR USD</v>
      </c>
      <c r="E789" t="str">
        <f t="shared" ca="1" si="62"/>
        <v>RFR EUR</v>
      </c>
      <c r="F789" t="str">
        <f t="shared" ca="1" si="63"/>
        <v>RFR GBP</v>
      </c>
      <c r="J789" s="1"/>
      <c r="N789" s="1"/>
      <c r="R789" s="1"/>
      <c r="V789" s="1"/>
      <c r="AB789" s="1"/>
      <c r="AF789" s="1"/>
      <c r="AJ789" s="1"/>
      <c r="AN789" s="1"/>
      <c r="AS789" s="1"/>
      <c r="AX789" s="1"/>
      <c r="BA789" s="1"/>
      <c r="BC789" s="1"/>
      <c r="BM789" s="1"/>
      <c r="BP789" s="1"/>
    </row>
    <row r="790" spans="1:68" x14ac:dyDescent="0.3">
      <c r="A790" s="19">
        <f t="shared" si="64"/>
        <v>47021</v>
      </c>
      <c r="B790">
        <f t="shared" ca="1" si="60"/>
        <v>-2.4138888888888888</v>
      </c>
      <c r="C790" t="str">
        <f ca="1">IF(currency="USD",'Future et co'!D790,IF(currency="EUR",'Future et co'!E790,IF(currency="GBP",'Future et co'!F790,FALSE)))</f>
        <v>RFR USD</v>
      </c>
      <c r="D790" t="str">
        <f t="shared" ca="1" si="61"/>
        <v>RFR USD</v>
      </c>
      <c r="E790" t="str">
        <f t="shared" ca="1" si="62"/>
        <v>RFR EUR</v>
      </c>
      <c r="F790" t="str">
        <f t="shared" ca="1" si="63"/>
        <v>RFR GBP</v>
      </c>
      <c r="J790" s="1"/>
      <c r="N790" s="1"/>
      <c r="R790" s="1"/>
      <c r="V790" s="1"/>
      <c r="AB790" s="1"/>
      <c r="AF790" s="1"/>
      <c r="AJ790" s="1"/>
      <c r="AN790" s="1"/>
      <c r="AS790" s="1"/>
      <c r="AX790" s="1"/>
      <c r="BA790" s="1"/>
      <c r="BC790" s="1"/>
      <c r="BM790" s="1"/>
      <c r="BP790" s="1"/>
    </row>
    <row r="791" spans="1:68" x14ac:dyDescent="0.3">
      <c r="A791" s="19">
        <f t="shared" si="64"/>
        <v>47022</v>
      </c>
      <c r="B791">
        <f t="shared" ca="1" si="60"/>
        <v>-2.4166666666666665</v>
      </c>
      <c r="C791" t="str">
        <f ca="1">IF(currency="USD",'Future et co'!D791,IF(currency="EUR",'Future et co'!E791,IF(currency="GBP",'Future et co'!F791,FALSE)))</f>
        <v>RFR USD</v>
      </c>
      <c r="D791" t="str">
        <f t="shared" ca="1" si="61"/>
        <v>RFR USD</v>
      </c>
      <c r="E791" t="str">
        <f t="shared" ca="1" si="62"/>
        <v>RFR EUR</v>
      </c>
      <c r="F791" t="str">
        <f t="shared" ca="1" si="63"/>
        <v>RFR GBP</v>
      </c>
      <c r="J791" s="1"/>
      <c r="N791" s="1"/>
      <c r="R791" s="1"/>
      <c r="V791" s="1"/>
      <c r="AB791" s="1"/>
      <c r="AF791" s="1"/>
      <c r="AJ791" s="1"/>
      <c r="AN791" s="1"/>
      <c r="AS791" s="1"/>
      <c r="AX791" s="1"/>
      <c r="BA791" s="1"/>
      <c r="BC791" s="1"/>
      <c r="BM791" s="1"/>
      <c r="BP791" s="1"/>
    </row>
    <row r="792" spans="1:68" x14ac:dyDescent="0.3">
      <c r="A792" s="19">
        <f t="shared" si="64"/>
        <v>47023</v>
      </c>
      <c r="B792">
        <f t="shared" ca="1" si="60"/>
        <v>-2.4194444444444443</v>
      </c>
      <c r="C792" t="str">
        <f ca="1">IF(currency="USD",'Future et co'!D792,IF(currency="EUR",'Future et co'!E792,IF(currency="GBP",'Future et co'!F792,FALSE)))</f>
        <v>RFR USD</v>
      </c>
      <c r="D792" t="str">
        <f t="shared" ca="1" si="61"/>
        <v>RFR USD</v>
      </c>
      <c r="E792" t="str">
        <f t="shared" ca="1" si="62"/>
        <v>RFR EUR</v>
      </c>
      <c r="F792" t="str">
        <f t="shared" ca="1" si="63"/>
        <v>RFR GBP</v>
      </c>
      <c r="J792" s="1"/>
      <c r="N792" s="1"/>
      <c r="R792" s="1"/>
      <c r="V792" s="1"/>
      <c r="AB792" s="1"/>
      <c r="AF792" s="1"/>
      <c r="AJ792" s="1"/>
      <c r="AN792" s="1"/>
      <c r="AS792" s="1"/>
      <c r="AX792" s="1"/>
      <c r="BA792" s="1"/>
      <c r="BC792" s="1"/>
      <c r="BM792" s="1"/>
      <c r="BP792" s="1"/>
    </row>
    <row r="793" spans="1:68" x14ac:dyDescent="0.3">
      <c r="A793" s="19">
        <f t="shared" si="64"/>
        <v>47024</v>
      </c>
      <c r="B793">
        <f t="shared" ca="1" si="60"/>
        <v>-2.4222222222222221</v>
      </c>
      <c r="C793" t="str">
        <f ca="1">IF(currency="USD",'Future et co'!D793,IF(currency="EUR",'Future et co'!E793,IF(currency="GBP",'Future et co'!F793,FALSE)))</f>
        <v>RFR USD</v>
      </c>
      <c r="D793" t="str">
        <f t="shared" ca="1" si="61"/>
        <v>RFR USD</v>
      </c>
      <c r="E793" t="str">
        <f t="shared" ca="1" si="62"/>
        <v>RFR EUR</v>
      </c>
      <c r="F793" t="str">
        <f t="shared" ca="1" si="63"/>
        <v>RFR GBP</v>
      </c>
      <c r="J793" s="1"/>
      <c r="N793" s="1"/>
      <c r="R793" s="1"/>
      <c r="V793" s="1"/>
      <c r="AB793" s="1"/>
      <c r="AF793" s="1"/>
      <c r="AJ793" s="1"/>
      <c r="AN793" s="1"/>
      <c r="AS793" s="1"/>
      <c r="AX793" s="1"/>
      <c r="BA793" s="1"/>
      <c r="BC793" s="1"/>
      <c r="BM793" s="1"/>
      <c r="BP793" s="1"/>
    </row>
    <row r="794" spans="1:68" x14ac:dyDescent="0.3">
      <c r="A794" s="19">
        <f t="shared" si="64"/>
        <v>47025</v>
      </c>
      <c r="B794">
        <f t="shared" ca="1" si="60"/>
        <v>-2.4249999999999998</v>
      </c>
      <c r="C794" t="str">
        <f ca="1">IF(currency="USD",'Future et co'!D794,IF(currency="EUR",'Future et co'!E794,IF(currency="GBP",'Future et co'!F794,FALSE)))</f>
        <v>RFR USD</v>
      </c>
      <c r="D794" t="str">
        <f t="shared" ca="1" si="61"/>
        <v>RFR USD</v>
      </c>
      <c r="E794" t="str">
        <f t="shared" ca="1" si="62"/>
        <v>RFR EUR</v>
      </c>
      <c r="F794" t="str">
        <f t="shared" ca="1" si="63"/>
        <v>RFR GBP</v>
      </c>
      <c r="J794" s="1"/>
      <c r="N794" s="1"/>
      <c r="R794" s="1"/>
      <c r="V794" s="1"/>
      <c r="AB794" s="1"/>
      <c r="AF794" s="1"/>
      <c r="AJ794" s="1"/>
      <c r="AN794" s="1"/>
      <c r="AS794" s="1"/>
      <c r="AX794" s="1"/>
      <c r="BA794" s="1"/>
      <c r="BC794" s="1"/>
      <c r="BM794" s="1"/>
      <c r="BP794" s="1"/>
    </row>
    <row r="795" spans="1:68" x14ac:dyDescent="0.3">
      <c r="A795" s="19">
        <f t="shared" si="64"/>
        <v>47028</v>
      </c>
      <c r="B795">
        <f t="shared" ca="1" si="60"/>
        <v>-2.4333333333333331</v>
      </c>
      <c r="C795" t="str">
        <f ca="1">IF(currency="USD",'Future et co'!D795,IF(currency="EUR",'Future et co'!E795,IF(currency="GBP",'Future et co'!F795,FALSE)))</f>
        <v>RFR USD</v>
      </c>
      <c r="D795" t="str">
        <f t="shared" ca="1" si="61"/>
        <v>RFR USD</v>
      </c>
      <c r="E795" t="str">
        <f t="shared" ca="1" si="62"/>
        <v>RFR EUR</v>
      </c>
      <c r="F795" t="str">
        <f t="shared" ca="1" si="63"/>
        <v>RFR GBP</v>
      </c>
      <c r="J795" s="1"/>
      <c r="N795" s="1"/>
      <c r="R795" s="1"/>
      <c r="V795" s="1"/>
      <c r="AB795" s="1"/>
      <c r="AF795" s="1"/>
      <c r="AJ795" s="1"/>
      <c r="AN795" s="1"/>
      <c r="AS795" s="1"/>
      <c r="AX795" s="1"/>
      <c r="BA795" s="1"/>
      <c r="BC795" s="1"/>
      <c r="BM795" s="1"/>
      <c r="BP795" s="1"/>
    </row>
    <row r="796" spans="1:68" x14ac:dyDescent="0.3">
      <c r="A796" s="19">
        <f t="shared" si="64"/>
        <v>47029</v>
      </c>
      <c r="B796">
        <f t="shared" ca="1" si="60"/>
        <v>-2.4361111111111109</v>
      </c>
      <c r="C796" t="str">
        <f ca="1">IF(currency="USD",'Future et co'!D796,IF(currency="EUR",'Future et co'!E796,IF(currency="GBP",'Future et co'!F796,FALSE)))</f>
        <v>RFR USD</v>
      </c>
      <c r="D796" t="str">
        <f t="shared" ca="1" si="61"/>
        <v>RFR USD</v>
      </c>
      <c r="E796" t="str">
        <f t="shared" ca="1" si="62"/>
        <v>RFR EUR</v>
      </c>
      <c r="F796" t="str">
        <f t="shared" ca="1" si="63"/>
        <v>RFR GBP</v>
      </c>
      <c r="J796" s="1"/>
      <c r="N796" s="1"/>
      <c r="R796" s="1"/>
      <c r="V796" s="1"/>
      <c r="AB796" s="1"/>
      <c r="AF796" s="1"/>
      <c r="AJ796" s="1"/>
      <c r="AN796" s="1"/>
      <c r="AS796" s="1"/>
      <c r="AX796" s="1"/>
      <c r="BA796" s="1"/>
      <c r="BC796" s="1"/>
      <c r="BM796" s="1"/>
      <c r="BP796" s="1"/>
    </row>
    <row r="797" spans="1:68" x14ac:dyDescent="0.3">
      <c r="A797" s="19">
        <f t="shared" si="64"/>
        <v>47030</v>
      </c>
      <c r="B797">
        <f t="shared" ca="1" si="60"/>
        <v>-2.4388888888888891</v>
      </c>
      <c r="C797" t="str">
        <f ca="1">IF(currency="USD",'Future et co'!D797,IF(currency="EUR",'Future et co'!E797,IF(currency="GBP",'Future et co'!F797,FALSE)))</f>
        <v>RFR USD</v>
      </c>
      <c r="D797" t="str">
        <f t="shared" ca="1" si="61"/>
        <v>RFR USD</v>
      </c>
      <c r="E797" t="str">
        <f t="shared" ca="1" si="62"/>
        <v>RFR EUR</v>
      </c>
      <c r="F797" t="str">
        <f t="shared" ca="1" si="63"/>
        <v>RFR GBP</v>
      </c>
      <c r="J797" s="1"/>
      <c r="N797" s="1"/>
      <c r="R797" s="1"/>
      <c r="V797" s="1"/>
      <c r="AB797" s="1"/>
      <c r="AF797" s="1"/>
      <c r="AJ797" s="1"/>
      <c r="AN797" s="1"/>
      <c r="AS797" s="1"/>
      <c r="AX797" s="1"/>
      <c r="BA797" s="1"/>
      <c r="BC797" s="1"/>
      <c r="BM797" s="1"/>
      <c r="BP797" s="1"/>
    </row>
    <row r="798" spans="1:68" x14ac:dyDescent="0.3">
      <c r="A798" s="19">
        <f t="shared" si="64"/>
        <v>47031</v>
      </c>
      <c r="B798">
        <f t="shared" ca="1" si="60"/>
        <v>-2.4416666666666669</v>
      </c>
      <c r="C798" t="str">
        <f ca="1">IF(currency="USD",'Future et co'!D798,IF(currency="EUR",'Future et co'!E798,IF(currency="GBP",'Future et co'!F798,FALSE)))</f>
        <v>RFR USD</v>
      </c>
      <c r="D798" t="str">
        <f t="shared" ca="1" si="61"/>
        <v>RFR USD</v>
      </c>
      <c r="E798" t="str">
        <f t="shared" ca="1" si="62"/>
        <v>RFR EUR</v>
      </c>
      <c r="F798" t="str">
        <f t="shared" ca="1" si="63"/>
        <v>RFR GBP</v>
      </c>
      <c r="J798" s="1"/>
      <c r="N798" s="1"/>
      <c r="R798" s="1"/>
      <c r="V798" s="1"/>
      <c r="AB798" s="1"/>
      <c r="AF798" s="1"/>
      <c r="AJ798" s="1"/>
      <c r="AN798" s="1"/>
      <c r="AS798" s="1"/>
      <c r="AX798" s="1"/>
      <c r="BA798" s="1"/>
      <c r="BC798" s="1"/>
      <c r="BM798" s="1"/>
      <c r="BP798" s="1"/>
    </row>
    <row r="799" spans="1:68" x14ac:dyDescent="0.3">
      <c r="A799" s="19">
        <f t="shared" si="64"/>
        <v>47032</v>
      </c>
      <c r="B799">
        <f t="shared" ca="1" si="60"/>
        <v>-2.4444444444444446</v>
      </c>
      <c r="C799" t="str">
        <f ca="1">IF(currency="USD",'Future et co'!D799,IF(currency="EUR",'Future et co'!E799,IF(currency="GBP",'Future et co'!F799,FALSE)))</f>
        <v>RFR USD</v>
      </c>
      <c r="D799" t="str">
        <f t="shared" ca="1" si="61"/>
        <v>RFR USD</v>
      </c>
      <c r="E799" t="str">
        <f t="shared" ca="1" si="62"/>
        <v>RFR EUR</v>
      </c>
      <c r="F799" t="str">
        <f t="shared" ca="1" si="63"/>
        <v>RFR GBP</v>
      </c>
      <c r="J799" s="1"/>
      <c r="N799" s="1"/>
      <c r="R799" s="1"/>
      <c r="V799" s="1"/>
      <c r="AB799" s="1"/>
      <c r="AF799" s="1"/>
      <c r="AJ799" s="1"/>
      <c r="AN799" s="1"/>
      <c r="AS799" s="1"/>
      <c r="AX799" s="1"/>
      <c r="BA799" s="1"/>
      <c r="BC799" s="1"/>
      <c r="BM799" s="1"/>
      <c r="BP799" s="1"/>
    </row>
    <row r="800" spans="1:68" x14ac:dyDescent="0.3">
      <c r="A800" s="19">
        <f t="shared" si="64"/>
        <v>47035</v>
      </c>
      <c r="B800">
        <f t="shared" ca="1" si="60"/>
        <v>-2.4527777777777779</v>
      </c>
      <c r="C800" t="str">
        <f ca="1">IF(currency="USD",'Future et co'!D800,IF(currency="EUR",'Future et co'!E800,IF(currency="GBP",'Future et co'!F800,FALSE)))</f>
        <v>RFR USD</v>
      </c>
      <c r="D800" t="str">
        <f t="shared" ca="1" si="61"/>
        <v>RFR USD</v>
      </c>
      <c r="E800" t="str">
        <f t="shared" ca="1" si="62"/>
        <v>RFR EUR</v>
      </c>
      <c r="F800" t="str">
        <f t="shared" ca="1" si="63"/>
        <v>RFR GBP</v>
      </c>
      <c r="J800" s="1"/>
      <c r="N800" s="1"/>
      <c r="R800" s="1"/>
      <c r="V800" s="1"/>
      <c r="AB800" s="1"/>
      <c r="AF800" s="1"/>
      <c r="AJ800" s="1"/>
      <c r="AN800" s="1"/>
      <c r="AS800" s="1"/>
      <c r="AX800" s="1"/>
      <c r="BA800" s="1"/>
      <c r="BC800" s="1"/>
      <c r="BM800" s="1"/>
      <c r="BP800" s="1"/>
    </row>
    <row r="801" spans="1:68" x14ac:dyDescent="0.3">
      <c r="A801" s="19">
        <f t="shared" si="64"/>
        <v>47036</v>
      </c>
      <c r="B801">
        <f t="shared" ca="1" si="60"/>
        <v>-2.4555555555555557</v>
      </c>
      <c r="C801" t="str">
        <f ca="1">IF(currency="USD",'Future et co'!D801,IF(currency="EUR",'Future et co'!E801,IF(currency="GBP",'Future et co'!F801,FALSE)))</f>
        <v>RFR USD</v>
      </c>
      <c r="D801" t="str">
        <f t="shared" ca="1" si="61"/>
        <v>RFR USD</v>
      </c>
      <c r="E801" t="str">
        <f t="shared" ca="1" si="62"/>
        <v>RFR EUR</v>
      </c>
      <c r="F801" t="str">
        <f t="shared" ca="1" si="63"/>
        <v>RFR GBP</v>
      </c>
      <c r="J801" s="1"/>
      <c r="N801" s="1"/>
      <c r="R801" s="1"/>
      <c r="V801" s="1"/>
      <c r="AB801" s="1"/>
      <c r="AF801" s="1"/>
      <c r="AJ801" s="1"/>
      <c r="AN801" s="1"/>
      <c r="AS801" s="1"/>
      <c r="AX801" s="1"/>
      <c r="BA801" s="1"/>
      <c r="BC801" s="1"/>
      <c r="BM801" s="1"/>
      <c r="BP801" s="1"/>
    </row>
    <row r="802" spans="1:68" x14ac:dyDescent="0.3">
      <c r="A802" s="19">
        <f t="shared" si="64"/>
        <v>47037</v>
      </c>
      <c r="B802">
        <f t="shared" ca="1" si="60"/>
        <v>-2.4583333333333335</v>
      </c>
      <c r="C802" t="str">
        <f ca="1">IF(currency="USD",'Future et co'!D802,IF(currency="EUR",'Future et co'!E802,IF(currency="GBP",'Future et co'!F802,FALSE)))</f>
        <v>RFR USD</v>
      </c>
      <c r="D802" t="str">
        <f t="shared" ca="1" si="61"/>
        <v>RFR USD</v>
      </c>
      <c r="E802" t="str">
        <f t="shared" ca="1" si="62"/>
        <v>RFR EUR</v>
      </c>
      <c r="F802" t="str">
        <f t="shared" ca="1" si="63"/>
        <v>RFR GBP</v>
      </c>
      <c r="J802" s="1"/>
      <c r="N802" s="1"/>
      <c r="R802" s="1"/>
      <c r="V802" s="1"/>
      <c r="AB802" s="1"/>
      <c r="AF802" s="1"/>
      <c r="AJ802" s="1"/>
      <c r="AN802" s="1"/>
      <c r="AS802" s="1"/>
      <c r="AX802" s="1"/>
      <c r="BA802" s="1"/>
      <c r="BC802" s="1"/>
      <c r="BM802" s="1"/>
      <c r="BP802" s="1"/>
    </row>
    <row r="803" spans="1:68" x14ac:dyDescent="0.3">
      <c r="A803" s="19">
        <f t="shared" si="64"/>
        <v>47038</v>
      </c>
      <c r="B803">
        <f t="shared" ca="1" si="60"/>
        <v>-2.4611111111111112</v>
      </c>
      <c r="C803" t="str">
        <f ca="1">IF(currency="USD",'Future et co'!D803,IF(currency="EUR",'Future et co'!E803,IF(currency="GBP",'Future et co'!F803,FALSE)))</f>
        <v>RFR USD</v>
      </c>
      <c r="D803" t="str">
        <f t="shared" ca="1" si="61"/>
        <v>RFR USD</v>
      </c>
      <c r="E803" t="str">
        <f t="shared" ca="1" si="62"/>
        <v>RFR EUR</v>
      </c>
      <c r="F803" t="str">
        <f t="shared" ca="1" si="63"/>
        <v>RFR GBP</v>
      </c>
      <c r="J803" s="1"/>
      <c r="N803" s="1"/>
      <c r="R803" s="1"/>
      <c r="V803" s="1"/>
      <c r="AB803" s="1"/>
      <c r="AF803" s="1"/>
      <c r="AJ803" s="1"/>
      <c r="AN803" s="1"/>
      <c r="AS803" s="1"/>
      <c r="AX803" s="1"/>
      <c r="BA803" s="1"/>
      <c r="BC803" s="1"/>
      <c r="BM803" s="1"/>
      <c r="BP803" s="1"/>
    </row>
    <row r="804" spans="1:68" x14ac:dyDescent="0.3">
      <c r="A804" s="19">
        <f t="shared" si="64"/>
        <v>47039</v>
      </c>
      <c r="B804">
        <f t="shared" ca="1" si="60"/>
        <v>-2.463888888888889</v>
      </c>
      <c r="C804" t="str">
        <f ca="1">IF(currency="USD",'Future et co'!D804,IF(currency="EUR",'Future et co'!E804,IF(currency="GBP",'Future et co'!F804,FALSE)))</f>
        <v>RFR USD</v>
      </c>
      <c r="D804" t="str">
        <f t="shared" ca="1" si="61"/>
        <v>RFR USD</v>
      </c>
      <c r="E804" t="str">
        <f t="shared" ca="1" si="62"/>
        <v>RFR EUR</v>
      </c>
      <c r="F804" t="str">
        <f t="shared" ca="1" si="63"/>
        <v>RFR GBP</v>
      </c>
      <c r="J804" s="1"/>
      <c r="N804" s="1"/>
      <c r="R804" s="1"/>
      <c r="V804" s="1"/>
      <c r="AB804" s="1"/>
      <c r="AF804" s="1"/>
      <c r="AJ804" s="1"/>
      <c r="AN804" s="1"/>
      <c r="AS804" s="1"/>
      <c r="AX804" s="1"/>
      <c r="BA804" s="1"/>
      <c r="BC804" s="1"/>
      <c r="BM804" s="1"/>
      <c r="BP804" s="1"/>
    </row>
    <row r="805" spans="1:68" x14ac:dyDescent="0.3">
      <c r="A805" s="19">
        <f t="shared" si="64"/>
        <v>47042</v>
      </c>
      <c r="B805">
        <f t="shared" ca="1" si="60"/>
        <v>-2.4722222222222223</v>
      </c>
      <c r="C805" t="str">
        <f ca="1">IF(currency="USD",'Future et co'!D805,IF(currency="EUR",'Future et co'!E805,IF(currency="GBP",'Future et co'!F805,FALSE)))</f>
        <v>RFR USD</v>
      </c>
      <c r="D805" t="str">
        <f t="shared" ca="1" si="61"/>
        <v>RFR USD</v>
      </c>
      <c r="E805" t="str">
        <f t="shared" ca="1" si="62"/>
        <v>RFR EUR</v>
      </c>
      <c r="F805" t="str">
        <f t="shared" ca="1" si="63"/>
        <v>RFR GBP</v>
      </c>
      <c r="J805" s="1"/>
      <c r="N805" s="1"/>
      <c r="R805" s="1"/>
      <c r="V805" s="1"/>
      <c r="AB805" s="1"/>
      <c r="AF805" s="1"/>
      <c r="AJ805" s="1"/>
      <c r="AN805" s="1"/>
      <c r="AS805" s="1"/>
      <c r="AX805" s="1"/>
      <c r="BA805" s="1"/>
      <c r="BC805" s="1"/>
      <c r="BM805" s="1"/>
      <c r="BP805" s="1"/>
    </row>
    <row r="806" spans="1:68" x14ac:dyDescent="0.3">
      <c r="A806" s="19">
        <f t="shared" si="64"/>
        <v>47043</v>
      </c>
      <c r="B806">
        <f t="shared" ca="1" si="60"/>
        <v>-2.4750000000000001</v>
      </c>
      <c r="C806" t="str">
        <f ca="1">IF(currency="USD",'Future et co'!D806,IF(currency="EUR",'Future et co'!E806,IF(currency="GBP",'Future et co'!F806,FALSE)))</f>
        <v>RFR USD</v>
      </c>
      <c r="D806" t="str">
        <f t="shared" ca="1" si="61"/>
        <v>RFR USD</v>
      </c>
      <c r="E806" t="str">
        <f t="shared" ca="1" si="62"/>
        <v>RFR EUR</v>
      </c>
      <c r="F806" t="str">
        <f t="shared" ca="1" si="63"/>
        <v>RFR GBP</v>
      </c>
      <c r="J806" s="1"/>
      <c r="N806" s="1"/>
      <c r="R806" s="1"/>
      <c r="V806" s="1"/>
      <c r="AB806" s="1"/>
      <c r="AF806" s="1"/>
      <c r="AJ806" s="1"/>
      <c r="AN806" s="1"/>
      <c r="AS806" s="1"/>
      <c r="AX806" s="1"/>
      <c r="BA806" s="1"/>
      <c r="BC806" s="1"/>
      <c r="BM806" s="1"/>
      <c r="BP806" s="1"/>
    </row>
    <row r="807" spans="1:68" x14ac:dyDescent="0.3">
      <c r="A807" s="19">
        <f t="shared" si="64"/>
        <v>47044</v>
      </c>
      <c r="B807">
        <f t="shared" ca="1" si="60"/>
        <v>-2.4777777777777779</v>
      </c>
      <c r="C807" t="str">
        <f ca="1">IF(currency="USD",'Future et co'!D807,IF(currency="EUR",'Future et co'!E807,IF(currency="GBP",'Future et co'!F807,FALSE)))</f>
        <v>RFR USD</v>
      </c>
      <c r="D807" t="str">
        <f t="shared" ca="1" si="61"/>
        <v>RFR USD</v>
      </c>
      <c r="E807" t="str">
        <f t="shared" ca="1" si="62"/>
        <v>RFR EUR</v>
      </c>
      <c r="F807" t="str">
        <f t="shared" ca="1" si="63"/>
        <v>RFR GBP</v>
      </c>
      <c r="J807" s="1"/>
      <c r="N807" s="1"/>
      <c r="R807" s="1"/>
      <c r="V807" s="1"/>
      <c r="AB807" s="1"/>
      <c r="AF807" s="1"/>
      <c r="AJ807" s="1"/>
      <c r="AN807" s="1"/>
      <c r="AS807" s="1"/>
      <c r="AX807" s="1"/>
      <c r="BA807" s="1"/>
      <c r="BC807" s="1"/>
      <c r="BM807" s="1"/>
      <c r="BP807" s="1"/>
    </row>
    <row r="808" spans="1:68" x14ac:dyDescent="0.3">
      <c r="A808" s="19">
        <f t="shared" si="64"/>
        <v>47045</v>
      </c>
      <c r="B808">
        <f t="shared" ca="1" si="60"/>
        <v>-2.4805555555555556</v>
      </c>
      <c r="C808" t="str">
        <f ca="1">IF(currency="USD",'Future et co'!D808,IF(currency="EUR",'Future et co'!E808,IF(currency="GBP",'Future et co'!F808,FALSE)))</f>
        <v>RFR USD</v>
      </c>
      <c r="D808" t="str">
        <f t="shared" ca="1" si="61"/>
        <v>RFR USD</v>
      </c>
      <c r="E808" t="str">
        <f t="shared" ca="1" si="62"/>
        <v>RFR EUR</v>
      </c>
      <c r="F808" t="str">
        <f t="shared" ca="1" si="63"/>
        <v>RFR GBP</v>
      </c>
      <c r="J808" s="1"/>
      <c r="N808" s="1"/>
      <c r="R808" s="1"/>
      <c r="V808" s="1"/>
      <c r="AB808" s="1"/>
      <c r="AF808" s="1"/>
      <c r="AJ808" s="1"/>
      <c r="AN808" s="1"/>
      <c r="AS808" s="1"/>
      <c r="AX808" s="1"/>
      <c r="BA808" s="1"/>
      <c r="BC808" s="1"/>
      <c r="BM808" s="1"/>
      <c r="BP808" s="1"/>
    </row>
    <row r="809" spans="1:68" x14ac:dyDescent="0.3">
      <c r="A809" s="19">
        <f t="shared" si="64"/>
        <v>47046</v>
      </c>
      <c r="B809">
        <f t="shared" ca="1" si="60"/>
        <v>-2.4833333333333334</v>
      </c>
      <c r="C809" t="str">
        <f ca="1">IF(currency="USD",'Future et co'!D809,IF(currency="EUR",'Future et co'!E809,IF(currency="GBP",'Future et co'!F809,FALSE)))</f>
        <v>RFR USD</v>
      </c>
      <c r="D809" t="str">
        <f t="shared" ca="1" si="61"/>
        <v>RFR USD</v>
      </c>
      <c r="E809" t="str">
        <f t="shared" ca="1" si="62"/>
        <v>RFR EUR</v>
      </c>
      <c r="F809" t="str">
        <f t="shared" ca="1" si="63"/>
        <v>RFR GBP</v>
      </c>
      <c r="J809" s="1"/>
      <c r="N809" s="1"/>
      <c r="R809" s="1"/>
      <c r="V809" s="1"/>
      <c r="AB809" s="1"/>
      <c r="AF809" s="1"/>
      <c r="AJ809" s="1"/>
      <c r="AN809" s="1"/>
      <c r="AS809" s="1"/>
      <c r="AX809" s="1"/>
      <c r="BA809" s="1"/>
      <c r="BC809" s="1"/>
      <c r="BM809" s="1"/>
      <c r="BP809" s="1"/>
    </row>
    <row r="810" spans="1:68" x14ac:dyDescent="0.3">
      <c r="A810" s="19">
        <f t="shared" si="64"/>
        <v>47049</v>
      </c>
      <c r="B810">
        <f t="shared" ca="1" si="60"/>
        <v>-2.4916666666666667</v>
      </c>
      <c r="C810" t="str">
        <f ca="1">IF(currency="USD",'Future et co'!D810,IF(currency="EUR",'Future et co'!E810,IF(currency="GBP",'Future et co'!F810,FALSE)))</f>
        <v>RFR USD</v>
      </c>
      <c r="D810" t="str">
        <f t="shared" ca="1" si="61"/>
        <v>RFR USD</v>
      </c>
      <c r="E810" t="str">
        <f t="shared" ca="1" si="62"/>
        <v>RFR EUR</v>
      </c>
      <c r="F810" t="str">
        <f t="shared" ca="1" si="63"/>
        <v>RFR GBP</v>
      </c>
      <c r="J810" s="1"/>
      <c r="N810" s="1"/>
      <c r="R810" s="1"/>
      <c r="V810" s="1"/>
      <c r="AB810" s="1"/>
      <c r="AF810" s="1"/>
      <c r="AJ810" s="1"/>
      <c r="AN810" s="1"/>
      <c r="AS810" s="1"/>
      <c r="AX810" s="1"/>
      <c r="BA810" s="1"/>
      <c r="BC810" s="1"/>
      <c r="BM810" s="1"/>
      <c r="BP810" s="1"/>
    </row>
    <row r="811" spans="1:68" x14ac:dyDescent="0.3">
      <c r="A811" s="19">
        <f t="shared" si="64"/>
        <v>47050</v>
      </c>
      <c r="B811">
        <f t="shared" ca="1" si="60"/>
        <v>-2.4944444444444445</v>
      </c>
      <c r="C811" t="str">
        <f ca="1">IF(currency="USD",'Future et co'!D811,IF(currency="EUR",'Future et co'!E811,IF(currency="GBP",'Future et co'!F811,FALSE)))</f>
        <v>RFR USD</v>
      </c>
      <c r="D811" t="str">
        <f t="shared" ca="1" si="61"/>
        <v>RFR USD</v>
      </c>
      <c r="E811" t="str">
        <f t="shared" ca="1" si="62"/>
        <v>RFR EUR</v>
      </c>
      <c r="F811" t="str">
        <f t="shared" ca="1" si="63"/>
        <v>RFR GBP</v>
      </c>
      <c r="J811" s="1"/>
      <c r="N811" s="1"/>
      <c r="R811" s="1"/>
      <c r="V811" s="1"/>
      <c r="AB811" s="1"/>
      <c r="AF811" s="1"/>
      <c r="AJ811" s="1"/>
      <c r="AN811" s="1"/>
      <c r="AS811" s="1"/>
      <c r="AX811" s="1"/>
      <c r="BA811" s="1"/>
      <c r="BC811" s="1"/>
      <c r="BM811" s="1"/>
      <c r="BP811" s="1"/>
    </row>
    <row r="812" spans="1:68" x14ac:dyDescent="0.3">
      <c r="A812" s="19">
        <f t="shared" si="64"/>
        <v>47051</v>
      </c>
      <c r="B812">
        <f t="shared" ca="1" si="60"/>
        <v>-2.4972222222222222</v>
      </c>
      <c r="C812" t="str">
        <f ca="1">IF(currency="USD",'Future et co'!D812,IF(currency="EUR",'Future et co'!E812,IF(currency="GBP",'Future et co'!F812,FALSE)))</f>
        <v>RFR USD</v>
      </c>
      <c r="D812" t="str">
        <f t="shared" ca="1" si="61"/>
        <v>RFR USD</v>
      </c>
      <c r="E812" t="str">
        <f t="shared" ca="1" si="62"/>
        <v>RFR EUR</v>
      </c>
      <c r="F812" t="str">
        <f t="shared" ca="1" si="63"/>
        <v>RFR GBP</v>
      </c>
      <c r="J812" s="1"/>
      <c r="N812" s="1"/>
      <c r="R812" s="1"/>
      <c r="V812" s="1"/>
      <c r="AB812" s="1"/>
      <c r="AF812" s="1"/>
      <c r="AJ812" s="1"/>
      <c r="AN812" s="1"/>
      <c r="AS812" s="1"/>
      <c r="AX812" s="1"/>
      <c r="BA812" s="1"/>
      <c r="BC812" s="1"/>
      <c r="BM812" s="1"/>
      <c r="BP812" s="1"/>
    </row>
    <row r="813" spans="1:68" x14ac:dyDescent="0.3">
      <c r="A813" s="19">
        <f t="shared" si="64"/>
        <v>47052</v>
      </c>
      <c r="B813">
        <f t="shared" ca="1" si="60"/>
        <v>-2.5</v>
      </c>
      <c r="C813" t="str">
        <f ca="1">IF(currency="USD",'Future et co'!D813,IF(currency="EUR",'Future et co'!E813,IF(currency="GBP",'Future et co'!F813,FALSE)))</f>
        <v>RFR USD</v>
      </c>
      <c r="D813" t="str">
        <f t="shared" ca="1" si="61"/>
        <v>RFR USD</v>
      </c>
      <c r="E813" t="str">
        <f t="shared" ca="1" si="62"/>
        <v>RFR EUR</v>
      </c>
      <c r="F813" t="str">
        <f t="shared" ca="1" si="63"/>
        <v>RFR GBP</v>
      </c>
      <c r="J813" s="1"/>
      <c r="N813" s="1"/>
      <c r="R813" s="1"/>
      <c r="V813" s="1"/>
      <c r="AB813" s="1"/>
      <c r="AF813" s="1"/>
      <c r="AJ813" s="1"/>
      <c r="AN813" s="1"/>
      <c r="AS813" s="1"/>
      <c r="AX813" s="1"/>
      <c r="BA813" s="1"/>
      <c r="BC813" s="1"/>
      <c r="BM813" s="1"/>
      <c r="BP813" s="1"/>
    </row>
    <row r="814" spans="1:68" x14ac:dyDescent="0.3">
      <c r="A814" s="19">
        <f t="shared" si="64"/>
        <v>47053</v>
      </c>
      <c r="B814">
        <f t="shared" ca="1" si="60"/>
        <v>-2.5027777777777778</v>
      </c>
      <c r="C814" t="str">
        <f ca="1">IF(currency="USD",'Future et co'!D814,IF(currency="EUR",'Future et co'!E814,IF(currency="GBP",'Future et co'!F814,FALSE)))</f>
        <v>RFR USD</v>
      </c>
      <c r="D814" t="str">
        <f t="shared" ca="1" si="61"/>
        <v>RFR USD</v>
      </c>
      <c r="E814" t="str">
        <f t="shared" ca="1" si="62"/>
        <v>RFR EUR</v>
      </c>
      <c r="F814" t="str">
        <f t="shared" ca="1" si="63"/>
        <v>RFR GBP</v>
      </c>
      <c r="J814" s="1"/>
      <c r="N814" s="1"/>
      <c r="R814" s="1"/>
      <c r="V814" s="1"/>
      <c r="AB814" s="1"/>
      <c r="AF814" s="1"/>
      <c r="AJ814" s="1"/>
      <c r="AN814" s="1"/>
      <c r="AS814" s="1"/>
      <c r="AX814" s="1"/>
      <c r="BA814" s="1"/>
      <c r="BC814" s="1"/>
      <c r="BM814" s="1"/>
      <c r="BP814" s="1"/>
    </row>
    <row r="815" spans="1:68" x14ac:dyDescent="0.3">
      <c r="A815" s="19">
        <f t="shared" si="64"/>
        <v>47056</v>
      </c>
      <c r="B815">
        <f t="shared" ca="1" si="60"/>
        <v>-2.5111111111111111</v>
      </c>
      <c r="C815" t="str">
        <f ca="1">IF(currency="USD",'Future et co'!D815,IF(currency="EUR",'Future et co'!E815,IF(currency="GBP",'Future et co'!F815,FALSE)))</f>
        <v>RFR USD</v>
      </c>
      <c r="D815" t="str">
        <f t="shared" ca="1" si="61"/>
        <v>RFR USD</v>
      </c>
      <c r="E815" t="str">
        <f t="shared" ca="1" si="62"/>
        <v>RFR EUR</v>
      </c>
      <c r="F815" t="str">
        <f t="shared" ca="1" si="63"/>
        <v>RFR GBP</v>
      </c>
      <c r="J815" s="1"/>
      <c r="N815" s="1"/>
      <c r="R815" s="1"/>
      <c r="V815" s="1"/>
      <c r="AB815" s="1"/>
      <c r="AF815" s="1"/>
      <c r="AJ815" s="1"/>
      <c r="AN815" s="1"/>
      <c r="AS815" s="1"/>
      <c r="AX815" s="1"/>
      <c r="BA815" s="1"/>
      <c r="BC815" s="1"/>
      <c r="BM815" s="1"/>
      <c r="BP815" s="1"/>
    </row>
    <row r="816" spans="1:68" x14ac:dyDescent="0.3">
      <c r="A816" s="19">
        <f t="shared" si="64"/>
        <v>47057</v>
      </c>
      <c r="B816">
        <f t="shared" ca="1" si="60"/>
        <v>-2.5138888888888888</v>
      </c>
      <c r="C816" t="str">
        <f ca="1">IF(currency="USD",'Future et co'!D816,IF(currency="EUR",'Future et co'!E816,IF(currency="GBP",'Future et co'!F816,FALSE)))</f>
        <v>RFR USD</v>
      </c>
      <c r="D816" t="str">
        <f t="shared" ca="1" si="61"/>
        <v>RFR USD</v>
      </c>
      <c r="E816" t="str">
        <f t="shared" ca="1" si="62"/>
        <v>RFR EUR</v>
      </c>
      <c r="F816" t="str">
        <f t="shared" ca="1" si="63"/>
        <v>RFR GBP</v>
      </c>
      <c r="J816" s="1"/>
      <c r="N816" s="1"/>
      <c r="R816" s="1"/>
      <c r="V816" s="1"/>
      <c r="AB816" s="1"/>
      <c r="AF816" s="1"/>
      <c r="AJ816" s="1"/>
      <c r="AN816" s="1"/>
      <c r="AS816" s="1"/>
      <c r="AX816" s="1"/>
      <c r="BA816" s="1"/>
      <c r="BC816" s="1"/>
      <c r="BM816" s="1"/>
      <c r="BP816" s="1"/>
    </row>
    <row r="817" spans="1:68" x14ac:dyDescent="0.3">
      <c r="A817" s="19">
        <f t="shared" si="64"/>
        <v>47058</v>
      </c>
      <c r="B817">
        <f t="shared" ca="1" si="60"/>
        <v>-2.5166666666666666</v>
      </c>
      <c r="C817" t="str">
        <f ca="1">IF(currency="USD",'Future et co'!D817,IF(currency="EUR",'Future et co'!E817,IF(currency="GBP",'Future et co'!F817,FALSE)))</f>
        <v>RFR USD</v>
      </c>
      <c r="D817" t="str">
        <f t="shared" ca="1" si="61"/>
        <v>RFR USD</v>
      </c>
      <c r="E817" t="str">
        <f t="shared" ca="1" si="62"/>
        <v>RFR EUR</v>
      </c>
      <c r="F817" t="str">
        <f t="shared" ca="1" si="63"/>
        <v>RFR GBP</v>
      </c>
      <c r="J817" s="1"/>
      <c r="N817" s="1"/>
      <c r="R817" s="1"/>
      <c r="V817" s="1"/>
      <c r="AB817" s="1"/>
      <c r="AF817" s="1"/>
      <c r="AJ817" s="1"/>
      <c r="AN817" s="1"/>
      <c r="AS817" s="1"/>
      <c r="AX817" s="1"/>
      <c r="BA817" s="1"/>
      <c r="BC817" s="1"/>
      <c r="BM817" s="1"/>
      <c r="BP817" s="1"/>
    </row>
    <row r="818" spans="1:68" x14ac:dyDescent="0.3">
      <c r="A818" s="19">
        <f t="shared" si="64"/>
        <v>47059</v>
      </c>
      <c r="B818">
        <f t="shared" ca="1" si="60"/>
        <v>-2.5194444444444444</v>
      </c>
      <c r="C818" t="str">
        <f ca="1">IF(currency="USD",'Future et co'!D818,IF(currency="EUR",'Future et co'!E818,IF(currency="GBP",'Future et co'!F818,FALSE)))</f>
        <v>RFR USD</v>
      </c>
      <c r="D818" t="str">
        <f t="shared" ca="1" si="61"/>
        <v>RFR USD</v>
      </c>
      <c r="E818" t="str">
        <f t="shared" ca="1" si="62"/>
        <v>RFR EUR</v>
      </c>
      <c r="F818" t="str">
        <f t="shared" ca="1" si="63"/>
        <v>RFR GBP</v>
      </c>
      <c r="J818" s="1"/>
      <c r="N818" s="1"/>
      <c r="R818" s="1"/>
      <c r="V818" s="1"/>
      <c r="AB818" s="1"/>
      <c r="AF818" s="1"/>
      <c r="AJ818" s="1"/>
      <c r="AN818" s="1"/>
      <c r="AS818" s="1"/>
      <c r="AX818" s="1"/>
      <c r="BA818" s="1"/>
      <c r="BC818" s="1"/>
      <c r="BM818" s="1"/>
      <c r="BP818" s="1"/>
    </row>
    <row r="819" spans="1:68" x14ac:dyDescent="0.3">
      <c r="A819" s="19">
        <f t="shared" si="64"/>
        <v>47060</v>
      </c>
      <c r="B819">
        <f t="shared" ca="1" si="60"/>
        <v>-2.5222222222222221</v>
      </c>
      <c r="C819" t="str">
        <f ca="1">IF(currency="USD",'Future et co'!D819,IF(currency="EUR",'Future et co'!E819,IF(currency="GBP",'Future et co'!F819,FALSE)))</f>
        <v>RFR USD</v>
      </c>
      <c r="D819" t="str">
        <f t="shared" ca="1" si="61"/>
        <v>RFR USD</v>
      </c>
      <c r="E819" t="str">
        <f t="shared" ca="1" si="62"/>
        <v>RFR EUR</v>
      </c>
      <c r="F819" t="str">
        <f t="shared" ca="1" si="63"/>
        <v>RFR GBP</v>
      </c>
      <c r="J819" s="1"/>
      <c r="N819" s="1"/>
      <c r="R819" s="1"/>
      <c r="V819" s="1"/>
      <c r="AB819" s="1"/>
      <c r="AF819" s="1"/>
      <c r="AJ819" s="1"/>
      <c r="AN819" s="1"/>
      <c r="AS819" s="1"/>
      <c r="AX819" s="1"/>
      <c r="BA819" s="1"/>
      <c r="BC819" s="1"/>
      <c r="BM819" s="1"/>
      <c r="BP819" s="1"/>
    </row>
    <row r="820" spans="1:68" x14ac:dyDescent="0.3">
      <c r="A820" s="19">
        <f t="shared" si="64"/>
        <v>47063</v>
      </c>
      <c r="B820">
        <f t="shared" ca="1" si="60"/>
        <v>-2.5305555555555554</v>
      </c>
      <c r="C820" t="str">
        <f ca="1">IF(currency="USD",'Future et co'!D820,IF(currency="EUR",'Future et co'!E820,IF(currency="GBP",'Future et co'!F820,FALSE)))</f>
        <v>RFR USD</v>
      </c>
      <c r="D820" t="str">
        <f t="shared" ca="1" si="61"/>
        <v>RFR USD</v>
      </c>
      <c r="E820" t="str">
        <f t="shared" ca="1" si="62"/>
        <v>RFR EUR</v>
      </c>
      <c r="F820" t="str">
        <f t="shared" ca="1" si="63"/>
        <v>RFR GBP</v>
      </c>
      <c r="J820" s="1"/>
      <c r="N820" s="1"/>
      <c r="R820" s="1"/>
      <c r="V820" s="1"/>
      <c r="AB820" s="1"/>
      <c r="AF820" s="1"/>
      <c r="AJ820" s="1"/>
      <c r="AN820" s="1"/>
      <c r="AS820" s="1"/>
      <c r="AX820" s="1"/>
      <c r="BA820" s="1"/>
      <c r="BC820" s="1"/>
      <c r="BM820" s="1"/>
      <c r="BP820" s="1"/>
    </row>
    <row r="821" spans="1:68" x14ac:dyDescent="0.3">
      <c r="A821" s="19">
        <f t="shared" si="64"/>
        <v>47064</v>
      </c>
      <c r="B821">
        <f t="shared" ca="1" si="60"/>
        <v>-2.5333333333333332</v>
      </c>
      <c r="C821" t="str">
        <f ca="1">IF(currency="USD",'Future et co'!D821,IF(currency="EUR",'Future et co'!E821,IF(currency="GBP",'Future et co'!F821,FALSE)))</f>
        <v>RFR USD</v>
      </c>
      <c r="D821" t="str">
        <f t="shared" ca="1" si="61"/>
        <v>RFR USD</v>
      </c>
      <c r="E821" t="str">
        <f t="shared" ca="1" si="62"/>
        <v>RFR EUR</v>
      </c>
      <c r="F821" t="str">
        <f t="shared" ca="1" si="63"/>
        <v>RFR GBP</v>
      </c>
      <c r="J821" s="1"/>
      <c r="N821" s="1"/>
      <c r="R821" s="1"/>
      <c r="V821" s="1"/>
      <c r="AB821" s="1"/>
      <c r="AF821" s="1"/>
      <c r="AJ821" s="1"/>
      <c r="AN821" s="1"/>
      <c r="AS821" s="1"/>
      <c r="AX821" s="1"/>
      <c r="BA821" s="1"/>
      <c r="BC821" s="1"/>
      <c r="BM821" s="1"/>
      <c r="BP821" s="1"/>
    </row>
    <row r="822" spans="1:68" x14ac:dyDescent="0.3">
      <c r="A822" s="19">
        <f t="shared" si="64"/>
        <v>47065</v>
      </c>
      <c r="B822">
        <f t="shared" ca="1" si="60"/>
        <v>-2.536111111111111</v>
      </c>
      <c r="C822" t="str">
        <f ca="1">IF(currency="USD",'Future et co'!D822,IF(currency="EUR",'Future et co'!E822,IF(currency="GBP",'Future et co'!F822,FALSE)))</f>
        <v>RFR USD</v>
      </c>
      <c r="D822" t="str">
        <f t="shared" ca="1" si="61"/>
        <v>RFR USD</v>
      </c>
      <c r="E822" t="str">
        <f t="shared" ca="1" si="62"/>
        <v>RFR EUR</v>
      </c>
      <c r="F822" t="str">
        <f t="shared" ca="1" si="63"/>
        <v>RFR GBP</v>
      </c>
      <c r="J822" s="1"/>
      <c r="N822" s="1"/>
      <c r="R822" s="1"/>
      <c r="V822" s="1"/>
      <c r="AB822" s="1"/>
      <c r="AF822" s="1"/>
      <c r="AJ822" s="1"/>
      <c r="AN822" s="1"/>
      <c r="AS822" s="1"/>
      <c r="AX822" s="1"/>
      <c r="BA822" s="1"/>
      <c r="BC822" s="1"/>
      <c r="BM822" s="1"/>
      <c r="BP822" s="1"/>
    </row>
    <row r="823" spans="1:68" x14ac:dyDescent="0.3">
      <c r="A823" s="19">
        <f t="shared" si="64"/>
        <v>47066</v>
      </c>
      <c r="B823">
        <f t="shared" ca="1" si="60"/>
        <v>-2.5388888888888888</v>
      </c>
      <c r="C823" t="str">
        <f ca="1">IF(currency="USD",'Future et co'!D823,IF(currency="EUR",'Future et co'!E823,IF(currency="GBP",'Future et co'!F823,FALSE)))</f>
        <v>RFR USD</v>
      </c>
      <c r="D823" t="str">
        <f t="shared" ca="1" si="61"/>
        <v>RFR USD</v>
      </c>
      <c r="E823" t="str">
        <f t="shared" ca="1" si="62"/>
        <v>RFR EUR</v>
      </c>
      <c r="F823" t="str">
        <f t="shared" ca="1" si="63"/>
        <v>RFR GBP</v>
      </c>
      <c r="J823" s="1"/>
      <c r="N823" s="1"/>
      <c r="R823" s="1"/>
      <c r="V823" s="1"/>
      <c r="AB823" s="1"/>
      <c r="AF823" s="1"/>
      <c r="AJ823" s="1"/>
      <c r="AN823" s="1"/>
      <c r="AS823" s="1"/>
      <c r="AX823" s="1"/>
      <c r="BA823" s="1"/>
      <c r="BC823" s="1"/>
      <c r="BM823" s="1"/>
      <c r="BP823" s="1"/>
    </row>
    <row r="824" spans="1:68" x14ac:dyDescent="0.3">
      <c r="A824" s="19">
        <f t="shared" si="64"/>
        <v>47067</v>
      </c>
      <c r="B824">
        <f t="shared" ca="1" si="60"/>
        <v>-2.5416666666666665</v>
      </c>
      <c r="C824" t="str">
        <f ca="1">IF(currency="USD",'Future et co'!D824,IF(currency="EUR",'Future et co'!E824,IF(currency="GBP",'Future et co'!F824,FALSE)))</f>
        <v>RFR USD</v>
      </c>
      <c r="D824" t="str">
        <f t="shared" ca="1" si="61"/>
        <v>RFR USD</v>
      </c>
      <c r="E824" t="str">
        <f t="shared" ca="1" si="62"/>
        <v>RFR EUR</v>
      </c>
      <c r="F824" t="str">
        <f t="shared" ca="1" si="63"/>
        <v>RFR GBP</v>
      </c>
      <c r="J824" s="1"/>
      <c r="N824" s="1"/>
      <c r="R824" s="1"/>
      <c r="V824" s="1"/>
      <c r="AB824" s="1"/>
      <c r="AF824" s="1"/>
      <c r="AJ824" s="1"/>
      <c r="AN824" s="1"/>
      <c r="AS824" s="1"/>
      <c r="AX824" s="1"/>
      <c r="BA824" s="1"/>
      <c r="BC824" s="1"/>
      <c r="BM824" s="1"/>
      <c r="BP824" s="1"/>
    </row>
    <row r="825" spans="1:68" x14ac:dyDescent="0.3">
      <c r="A825" s="19">
        <f t="shared" si="64"/>
        <v>47070</v>
      </c>
      <c r="B825">
        <f t="shared" ca="1" si="60"/>
        <v>-2.5499999999999998</v>
      </c>
      <c r="C825" t="str">
        <f ca="1">IF(currency="USD",'Future et co'!D825,IF(currency="EUR",'Future et co'!E825,IF(currency="GBP",'Future et co'!F825,FALSE)))</f>
        <v>RFR USD</v>
      </c>
      <c r="D825" t="str">
        <f t="shared" ca="1" si="61"/>
        <v>RFR USD</v>
      </c>
      <c r="E825" t="str">
        <f t="shared" ca="1" si="62"/>
        <v>RFR EUR</v>
      </c>
      <c r="F825" t="str">
        <f t="shared" ca="1" si="63"/>
        <v>RFR GBP</v>
      </c>
      <c r="J825" s="1"/>
      <c r="N825" s="1"/>
      <c r="R825" s="1"/>
      <c r="V825" s="1"/>
      <c r="AB825" s="1"/>
      <c r="AF825" s="1"/>
      <c r="AJ825" s="1"/>
      <c r="AN825" s="1"/>
      <c r="AS825" s="1"/>
      <c r="AX825" s="1"/>
      <c r="BA825" s="1"/>
      <c r="BC825" s="1"/>
      <c r="BM825" s="1"/>
      <c r="BP825" s="1"/>
    </row>
    <row r="826" spans="1:68" x14ac:dyDescent="0.3">
      <c r="A826" s="19">
        <f t="shared" si="64"/>
        <v>47071</v>
      </c>
      <c r="B826">
        <f t="shared" ca="1" si="60"/>
        <v>-2.5527777777777776</v>
      </c>
      <c r="C826" t="str">
        <f ca="1">IF(currency="USD",'Future et co'!D826,IF(currency="EUR",'Future et co'!E826,IF(currency="GBP",'Future et co'!F826,FALSE)))</f>
        <v>RFR USD</v>
      </c>
      <c r="D826" t="str">
        <f t="shared" ca="1" si="61"/>
        <v>RFR USD</v>
      </c>
      <c r="E826" t="str">
        <f t="shared" ca="1" si="62"/>
        <v>RFR EUR</v>
      </c>
      <c r="F826" t="str">
        <f t="shared" ca="1" si="63"/>
        <v>RFR GBP</v>
      </c>
      <c r="J826" s="1"/>
      <c r="N826" s="1"/>
      <c r="R826" s="1"/>
      <c r="V826" s="1"/>
      <c r="AB826" s="1"/>
      <c r="AF826" s="1"/>
      <c r="AJ826" s="1"/>
      <c r="AN826" s="1"/>
      <c r="AS826" s="1"/>
      <c r="AX826" s="1"/>
      <c r="BA826" s="1"/>
      <c r="BC826" s="1"/>
      <c r="BM826" s="1"/>
      <c r="BP826" s="1"/>
    </row>
    <row r="827" spans="1:68" x14ac:dyDescent="0.3">
      <c r="A827" s="19">
        <f t="shared" si="64"/>
        <v>47072</v>
      </c>
      <c r="B827">
        <f t="shared" ca="1" si="60"/>
        <v>-2.5555555555555554</v>
      </c>
      <c r="C827" t="str">
        <f ca="1">IF(currency="USD",'Future et co'!D827,IF(currency="EUR",'Future et co'!E827,IF(currency="GBP",'Future et co'!F827,FALSE)))</f>
        <v>RFR USD</v>
      </c>
      <c r="D827" t="str">
        <f t="shared" ca="1" si="61"/>
        <v>RFR USD</v>
      </c>
      <c r="E827" t="str">
        <f t="shared" ca="1" si="62"/>
        <v>RFR EUR</v>
      </c>
      <c r="F827" t="str">
        <f t="shared" ca="1" si="63"/>
        <v>RFR GBP</v>
      </c>
      <c r="J827" s="1"/>
      <c r="N827" s="1"/>
      <c r="R827" s="1"/>
      <c r="V827" s="1"/>
      <c r="AB827" s="1"/>
      <c r="AF827" s="1"/>
      <c r="AJ827" s="1"/>
      <c r="AN827" s="1"/>
      <c r="AS827" s="1"/>
      <c r="AX827" s="1"/>
      <c r="BA827" s="1"/>
      <c r="BC827" s="1"/>
      <c r="BM827" s="1"/>
      <c r="BP827" s="1"/>
    </row>
    <row r="828" spans="1:68" x14ac:dyDescent="0.3">
      <c r="A828" s="19">
        <f t="shared" si="64"/>
        <v>47073</v>
      </c>
      <c r="B828">
        <f t="shared" ca="1" si="60"/>
        <v>-2.5583333333333331</v>
      </c>
      <c r="C828" t="str">
        <f ca="1">IF(currency="USD",'Future et co'!D828,IF(currency="EUR",'Future et co'!E828,IF(currency="GBP",'Future et co'!F828,FALSE)))</f>
        <v>RFR USD</v>
      </c>
      <c r="D828" t="str">
        <f t="shared" ca="1" si="61"/>
        <v>RFR USD</v>
      </c>
      <c r="E828" t="str">
        <f t="shared" ca="1" si="62"/>
        <v>RFR EUR</v>
      </c>
      <c r="F828" t="str">
        <f t="shared" ca="1" si="63"/>
        <v>RFR GBP</v>
      </c>
      <c r="J828" s="1"/>
      <c r="N828" s="1"/>
      <c r="R828" s="1"/>
      <c r="V828" s="1"/>
      <c r="AB828" s="1"/>
      <c r="AF828" s="1"/>
      <c r="AJ828" s="1"/>
      <c r="AN828" s="1"/>
      <c r="AS828" s="1"/>
      <c r="AX828" s="1"/>
      <c r="BA828" s="1"/>
      <c r="BC828" s="1"/>
      <c r="BM828" s="1"/>
      <c r="BP828" s="1"/>
    </row>
    <row r="829" spans="1:68" x14ac:dyDescent="0.3">
      <c r="A829" s="19">
        <f t="shared" si="64"/>
        <v>47074</v>
      </c>
      <c r="B829">
        <f t="shared" ca="1" si="60"/>
        <v>-2.5611111111111109</v>
      </c>
      <c r="C829" t="str">
        <f ca="1">IF(currency="USD",'Future et co'!D829,IF(currency="EUR",'Future et co'!E829,IF(currency="GBP",'Future et co'!F829,FALSE)))</f>
        <v>RFR USD</v>
      </c>
      <c r="D829" t="str">
        <f t="shared" ca="1" si="61"/>
        <v>RFR USD</v>
      </c>
      <c r="E829" t="str">
        <f t="shared" ca="1" si="62"/>
        <v>RFR EUR</v>
      </c>
      <c r="F829" t="str">
        <f t="shared" ca="1" si="63"/>
        <v>RFR GBP</v>
      </c>
      <c r="J829" s="1"/>
      <c r="N829" s="1"/>
      <c r="R829" s="1"/>
      <c r="V829" s="1"/>
      <c r="AB829" s="1"/>
      <c r="AF829" s="1"/>
      <c r="AJ829" s="1"/>
      <c r="AN829" s="1"/>
      <c r="AS829" s="1"/>
      <c r="AX829" s="1"/>
      <c r="BA829" s="1"/>
      <c r="BC829" s="1"/>
      <c r="BM829" s="1"/>
      <c r="BP829" s="1"/>
    </row>
    <row r="830" spans="1:68" x14ac:dyDescent="0.3">
      <c r="A830" s="19">
        <f t="shared" si="64"/>
        <v>47077</v>
      </c>
      <c r="B830">
        <f t="shared" ca="1" si="60"/>
        <v>-2.5694444444444446</v>
      </c>
      <c r="C830" t="str">
        <f ca="1">IF(currency="USD",'Future et co'!D830,IF(currency="EUR",'Future et co'!E830,IF(currency="GBP",'Future et co'!F830,FALSE)))</f>
        <v>RFR USD</v>
      </c>
      <c r="D830" t="str">
        <f t="shared" ca="1" si="61"/>
        <v>RFR USD</v>
      </c>
      <c r="E830" t="str">
        <f t="shared" ca="1" si="62"/>
        <v>RFR EUR</v>
      </c>
      <c r="F830" t="str">
        <f t="shared" ca="1" si="63"/>
        <v>RFR GBP</v>
      </c>
      <c r="J830" s="1"/>
      <c r="N830" s="1"/>
      <c r="R830" s="1"/>
      <c r="V830" s="1"/>
      <c r="AB830" s="1"/>
      <c r="AF830" s="1"/>
      <c r="AJ830" s="1"/>
      <c r="AN830" s="1"/>
      <c r="AS830" s="1"/>
      <c r="AX830" s="1"/>
      <c r="BA830" s="1"/>
      <c r="BC830" s="1"/>
      <c r="BM830" s="1"/>
      <c r="BP830" s="1"/>
    </row>
    <row r="831" spans="1:68" x14ac:dyDescent="0.3">
      <c r="A831" s="19">
        <f t="shared" si="64"/>
        <v>47078</v>
      </c>
      <c r="B831">
        <f t="shared" ca="1" si="60"/>
        <v>-2.5722222222222224</v>
      </c>
      <c r="C831" t="str">
        <f ca="1">IF(currency="USD",'Future et co'!D831,IF(currency="EUR",'Future et co'!E831,IF(currency="GBP",'Future et co'!F831,FALSE)))</f>
        <v>RFR USD</v>
      </c>
      <c r="D831" t="str">
        <f t="shared" ca="1" si="61"/>
        <v>RFR USD</v>
      </c>
      <c r="E831" t="str">
        <f t="shared" ca="1" si="62"/>
        <v>RFR EUR</v>
      </c>
      <c r="F831" t="str">
        <f t="shared" ca="1" si="63"/>
        <v>RFR GBP</v>
      </c>
      <c r="J831" s="1"/>
      <c r="N831" s="1"/>
      <c r="R831" s="1"/>
      <c r="V831" s="1"/>
      <c r="AB831" s="1"/>
      <c r="AF831" s="1"/>
      <c r="AJ831" s="1"/>
      <c r="AN831" s="1"/>
      <c r="AS831" s="1"/>
      <c r="AX831" s="1"/>
      <c r="BA831" s="1"/>
      <c r="BC831" s="1"/>
      <c r="BM831" s="1"/>
      <c r="BP831" s="1"/>
    </row>
    <row r="832" spans="1:68" x14ac:dyDescent="0.3">
      <c r="A832" s="19">
        <f t="shared" si="64"/>
        <v>47079</v>
      </c>
      <c r="B832">
        <f t="shared" ca="1" si="60"/>
        <v>-2.5750000000000002</v>
      </c>
      <c r="C832" t="str">
        <f ca="1">IF(currency="USD",'Future et co'!D832,IF(currency="EUR",'Future et co'!E832,IF(currency="GBP",'Future et co'!F832,FALSE)))</f>
        <v>RFR USD</v>
      </c>
      <c r="D832" t="str">
        <f t="shared" ca="1" si="61"/>
        <v>RFR USD</v>
      </c>
      <c r="E832" t="str">
        <f t="shared" ca="1" si="62"/>
        <v>RFR EUR</v>
      </c>
      <c r="F832" t="str">
        <f t="shared" ca="1" si="63"/>
        <v>RFR GBP</v>
      </c>
      <c r="J832" s="1"/>
      <c r="N832" s="1"/>
      <c r="R832" s="1"/>
      <c r="V832" s="1"/>
      <c r="AB832" s="1"/>
      <c r="AF832" s="1"/>
      <c r="AJ832" s="1"/>
      <c r="AN832" s="1"/>
      <c r="AS832" s="1"/>
      <c r="AX832" s="1"/>
      <c r="BA832" s="1"/>
      <c r="BC832" s="1"/>
      <c r="BM832" s="1"/>
      <c r="BP832" s="1"/>
    </row>
    <row r="833" spans="1:68" x14ac:dyDescent="0.3">
      <c r="A833" s="19">
        <f t="shared" si="64"/>
        <v>47080</v>
      </c>
      <c r="B833">
        <f t="shared" ca="1" si="60"/>
        <v>-2.5777777777777779</v>
      </c>
      <c r="C833" t="str">
        <f ca="1">IF(currency="USD",'Future et co'!D833,IF(currency="EUR",'Future et co'!E833,IF(currency="GBP",'Future et co'!F833,FALSE)))</f>
        <v>RFR USD</v>
      </c>
      <c r="D833" t="str">
        <f t="shared" ca="1" si="61"/>
        <v>RFR USD</v>
      </c>
      <c r="E833" t="str">
        <f t="shared" ca="1" si="62"/>
        <v>RFR EUR</v>
      </c>
      <c r="F833" t="str">
        <f t="shared" ca="1" si="63"/>
        <v>RFR GBP</v>
      </c>
      <c r="J833" s="1"/>
      <c r="N833" s="1"/>
      <c r="R833" s="1"/>
      <c r="V833" s="1"/>
      <c r="AB833" s="1"/>
      <c r="AF833" s="1"/>
      <c r="AJ833" s="1"/>
      <c r="AN833" s="1"/>
      <c r="AS833" s="1"/>
      <c r="AX833" s="1"/>
      <c r="BA833" s="1"/>
      <c r="BC833" s="1"/>
      <c r="BM833" s="1"/>
      <c r="BP833" s="1"/>
    </row>
    <row r="834" spans="1:68" x14ac:dyDescent="0.3">
      <c r="A834" s="19">
        <f t="shared" si="64"/>
        <v>47081</v>
      </c>
      <c r="B834">
        <f t="shared" ca="1" si="60"/>
        <v>-2.5805555555555557</v>
      </c>
      <c r="C834" t="str">
        <f ca="1">IF(currency="USD",'Future et co'!D834,IF(currency="EUR",'Future et co'!E834,IF(currency="GBP",'Future et co'!F834,FALSE)))</f>
        <v>RFR USD</v>
      </c>
      <c r="D834" t="str">
        <f t="shared" ca="1" si="61"/>
        <v>RFR USD</v>
      </c>
      <c r="E834" t="str">
        <f t="shared" ca="1" si="62"/>
        <v>RFR EUR</v>
      </c>
      <c r="F834" t="str">
        <f t="shared" ca="1" si="63"/>
        <v>RFR GBP</v>
      </c>
      <c r="J834" s="1"/>
      <c r="N834" s="1"/>
      <c r="R834" s="1"/>
      <c r="V834" s="1"/>
      <c r="AB834" s="1"/>
      <c r="AF834" s="1"/>
      <c r="AJ834" s="1"/>
      <c r="AN834" s="1"/>
      <c r="AS834" s="1"/>
      <c r="AX834" s="1"/>
      <c r="BA834" s="1"/>
      <c r="BC834" s="1"/>
      <c r="BM834" s="1"/>
      <c r="BP834" s="1"/>
    </row>
    <row r="835" spans="1:68" x14ac:dyDescent="0.3">
      <c r="A835" s="19">
        <f t="shared" si="64"/>
        <v>47084</v>
      </c>
      <c r="B835">
        <f t="shared" ca="1" si="60"/>
        <v>-2.588888888888889</v>
      </c>
      <c r="C835" t="str">
        <f ca="1">IF(currency="USD",'Future et co'!D835,IF(currency="EUR",'Future et co'!E835,IF(currency="GBP",'Future et co'!F835,FALSE)))</f>
        <v>RFR USD</v>
      </c>
      <c r="D835" t="str">
        <f t="shared" ca="1" si="61"/>
        <v>RFR USD</v>
      </c>
      <c r="E835" t="str">
        <f t="shared" ca="1" si="62"/>
        <v>RFR EUR</v>
      </c>
      <c r="F835" t="str">
        <f t="shared" ca="1" si="63"/>
        <v>RFR GBP</v>
      </c>
      <c r="J835" s="1"/>
      <c r="N835" s="1"/>
      <c r="R835" s="1"/>
      <c r="V835" s="1"/>
      <c r="AB835" s="1"/>
      <c r="AF835" s="1"/>
      <c r="AJ835" s="1"/>
      <c r="AN835" s="1"/>
      <c r="AS835" s="1"/>
      <c r="AX835" s="1"/>
      <c r="BA835" s="1"/>
      <c r="BC835" s="1"/>
      <c r="BM835" s="1"/>
      <c r="BP835" s="1"/>
    </row>
    <row r="836" spans="1:68" x14ac:dyDescent="0.3">
      <c r="A836" s="19">
        <f t="shared" si="64"/>
        <v>47085</v>
      </c>
      <c r="B836">
        <f t="shared" ca="1" si="60"/>
        <v>-2.5916666666666668</v>
      </c>
      <c r="C836" t="str">
        <f ca="1">IF(currency="USD",'Future et co'!D836,IF(currency="EUR",'Future et co'!E836,IF(currency="GBP",'Future et co'!F836,FALSE)))</f>
        <v>RFR USD</v>
      </c>
      <c r="D836" t="str">
        <f t="shared" ca="1" si="61"/>
        <v>RFR USD</v>
      </c>
      <c r="E836" t="str">
        <f t="shared" ca="1" si="62"/>
        <v>RFR EUR</v>
      </c>
      <c r="F836" t="str">
        <f t="shared" ca="1" si="63"/>
        <v>RFR GBP</v>
      </c>
      <c r="J836" s="1"/>
      <c r="N836" s="1"/>
      <c r="R836" s="1"/>
      <c r="V836" s="1"/>
      <c r="AB836" s="1"/>
      <c r="AF836" s="1"/>
      <c r="AJ836" s="1"/>
      <c r="AN836" s="1"/>
      <c r="AS836" s="1"/>
      <c r="AX836" s="1"/>
      <c r="BA836" s="1"/>
      <c r="BC836" s="1"/>
      <c r="BM836" s="1"/>
      <c r="BP836" s="1"/>
    </row>
    <row r="837" spans="1:68" x14ac:dyDescent="0.3">
      <c r="A837" s="19">
        <f t="shared" si="64"/>
        <v>47086</v>
      </c>
      <c r="B837">
        <f t="shared" ca="1" si="60"/>
        <v>-2.5944444444444446</v>
      </c>
      <c r="C837" t="str">
        <f ca="1">IF(currency="USD",'Future et co'!D837,IF(currency="EUR",'Future et co'!E837,IF(currency="GBP",'Future et co'!F837,FALSE)))</f>
        <v>RFR USD</v>
      </c>
      <c r="D837" t="str">
        <f t="shared" ca="1" si="61"/>
        <v>RFR USD</v>
      </c>
      <c r="E837" t="str">
        <f t="shared" ca="1" si="62"/>
        <v>RFR EUR</v>
      </c>
      <c r="F837" t="str">
        <f t="shared" ca="1" si="63"/>
        <v>RFR GBP</v>
      </c>
      <c r="J837" s="1"/>
      <c r="N837" s="1"/>
      <c r="R837" s="1"/>
      <c r="V837" s="1"/>
      <c r="AB837" s="1"/>
      <c r="AF837" s="1"/>
      <c r="AJ837" s="1"/>
      <c r="AN837" s="1"/>
      <c r="AS837" s="1"/>
      <c r="AX837" s="1"/>
      <c r="BA837" s="1"/>
      <c r="BC837" s="1"/>
      <c r="BM837" s="1"/>
      <c r="BP837" s="1"/>
    </row>
    <row r="838" spans="1:68" x14ac:dyDescent="0.3">
      <c r="A838" s="19">
        <f t="shared" si="64"/>
        <v>47087</v>
      </c>
      <c r="B838">
        <f t="shared" ca="1" si="60"/>
        <v>-2.5972222222222223</v>
      </c>
      <c r="C838" t="str">
        <f ca="1">IF(currency="USD",'Future et co'!D838,IF(currency="EUR",'Future et co'!E838,IF(currency="GBP",'Future et co'!F838,FALSE)))</f>
        <v>RFR USD</v>
      </c>
      <c r="D838" t="str">
        <f t="shared" ca="1" si="61"/>
        <v>RFR USD</v>
      </c>
      <c r="E838" t="str">
        <f t="shared" ca="1" si="62"/>
        <v>RFR EUR</v>
      </c>
      <c r="F838" t="str">
        <f t="shared" ca="1" si="63"/>
        <v>RFR GBP</v>
      </c>
      <c r="J838" s="1"/>
      <c r="N838" s="1"/>
      <c r="R838" s="1"/>
      <c r="V838" s="1"/>
      <c r="AB838" s="1"/>
      <c r="AF838" s="1"/>
      <c r="AJ838" s="1"/>
      <c r="AN838" s="1"/>
      <c r="AS838" s="1"/>
      <c r="AX838" s="1"/>
      <c r="BA838" s="1"/>
      <c r="BC838" s="1"/>
      <c r="BM838" s="1"/>
      <c r="BP838" s="1"/>
    </row>
    <row r="839" spans="1:68" x14ac:dyDescent="0.3">
      <c r="A839" s="19">
        <f t="shared" si="64"/>
        <v>47088</v>
      </c>
      <c r="B839">
        <f t="shared" ca="1" si="60"/>
        <v>-2.6</v>
      </c>
      <c r="C839" t="str">
        <f ca="1">IF(currency="USD",'Future et co'!D839,IF(currency="EUR",'Future et co'!E839,IF(currency="GBP",'Future et co'!F839,FALSE)))</f>
        <v>RFR USD</v>
      </c>
      <c r="D839" t="str">
        <f t="shared" ca="1" si="61"/>
        <v>RFR USD</v>
      </c>
      <c r="E839" t="str">
        <f t="shared" ca="1" si="62"/>
        <v>RFR EUR</v>
      </c>
      <c r="F839" t="str">
        <f t="shared" ca="1" si="63"/>
        <v>RFR GBP</v>
      </c>
      <c r="J839" s="1"/>
      <c r="N839" s="1"/>
      <c r="R839" s="1"/>
      <c r="V839" s="1"/>
      <c r="AB839" s="1"/>
      <c r="AF839" s="1"/>
      <c r="AJ839" s="1"/>
      <c r="AN839" s="1"/>
      <c r="AS839" s="1"/>
      <c r="AX839" s="1"/>
      <c r="BA839" s="1"/>
      <c r="BC839" s="1"/>
      <c r="BM839" s="1"/>
      <c r="BP839" s="1"/>
    </row>
    <row r="840" spans="1:68" x14ac:dyDescent="0.3">
      <c r="A840" s="19">
        <f t="shared" si="64"/>
        <v>47091</v>
      </c>
      <c r="B840">
        <f t="shared" ca="1" si="60"/>
        <v>-2.6083333333333334</v>
      </c>
      <c r="C840" t="str">
        <f ca="1">IF(currency="USD",'Future et co'!D840,IF(currency="EUR",'Future et co'!E840,IF(currency="GBP",'Future et co'!F840,FALSE)))</f>
        <v>RFR USD</v>
      </c>
      <c r="D840" t="str">
        <f t="shared" ca="1" si="61"/>
        <v>RFR USD</v>
      </c>
      <c r="E840" t="str">
        <f t="shared" ca="1" si="62"/>
        <v>RFR EUR</v>
      </c>
      <c r="F840" t="str">
        <f t="shared" ca="1" si="63"/>
        <v>RFR GBP</v>
      </c>
      <c r="J840" s="1"/>
      <c r="N840" s="1"/>
      <c r="R840" s="1"/>
      <c r="V840" s="1"/>
      <c r="AB840" s="1"/>
      <c r="AF840" s="1"/>
      <c r="AJ840" s="1"/>
      <c r="AN840" s="1"/>
      <c r="AS840" s="1"/>
      <c r="AX840" s="1"/>
      <c r="BA840" s="1"/>
      <c r="BC840" s="1"/>
      <c r="BM840" s="1"/>
      <c r="BP840" s="1"/>
    </row>
    <row r="841" spans="1:68" x14ac:dyDescent="0.3">
      <c r="A841" s="19">
        <f t="shared" si="64"/>
        <v>47092</v>
      </c>
      <c r="B841">
        <f t="shared" ca="1" si="60"/>
        <v>-2.6111111111111112</v>
      </c>
      <c r="C841" t="str">
        <f ca="1">IF(currency="USD",'Future et co'!D841,IF(currency="EUR",'Future et co'!E841,IF(currency="GBP",'Future et co'!F841,FALSE)))</f>
        <v>RFR USD</v>
      </c>
      <c r="D841" t="str">
        <f t="shared" ca="1" si="61"/>
        <v>RFR USD</v>
      </c>
      <c r="E841" t="str">
        <f t="shared" ca="1" si="62"/>
        <v>RFR EUR</v>
      </c>
      <c r="F841" t="str">
        <f t="shared" ca="1" si="63"/>
        <v>RFR GBP</v>
      </c>
      <c r="J841" s="1"/>
      <c r="N841" s="1"/>
      <c r="R841" s="1"/>
      <c r="V841" s="1"/>
      <c r="AB841" s="1"/>
      <c r="AF841" s="1"/>
      <c r="AJ841" s="1"/>
      <c r="AN841" s="1"/>
      <c r="AS841" s="1"/>
      <c r="AX841" s="1"/>
      <c r="BA841" s="1"/>
      <c r="BC841" s="1"/>
      <c r="BM841" s="1"/>
      <c r="BP841" s="1"/>
    </row>
    <row r="842" spans="1:68" x14ac:dyDescent="0.3">
      <c r="A842" s="19">
        <f t="shared" si="64"/>
        <v>47093</v>
      </c>
      <c r="B842">
        <f t="shared" ca="1" si="60"/>
        <v>-2.6138888888888889</v>
      </c>
      <c r="C842" t="str">
        <f ca="1">IF(currency="USD",'Future et co'!D842,IF(currency="EUR",'Future et co'!E842,IF(currency="GBP",'Future et co'!F842,FALSE)))</f>
        <v>RFR USD</v>
      </c>
      <c r="D842" t="str">
        <f t="shared" ca="1" si="61"/>
        <v>RFR USD</v>
      </c>
      <c r="E842" t="str">
        <f t="shared" ca="1" si="62"/>
        <v>RFR EUR</v>
      </c>
      <c r="F842" t="str">
        <f t="shared" ca="1" si="63"/>
        <v>RFR GBP</v>
      </c>
      <c r="J842" s="1"/>
      <c r="N842" s="1"/>
      <c r="R842" s="1"/>
      <c r="V842" s="1"/>
      <c r="AB842" s="1"/>
      <c r="AF842" s="1"/>
      <c r="AJ842" s="1"/>
      <c r="AN842" s="1"/>
      <c r="AS842" s="1"/>
      <c r="AX842" s="1"/>
      <c r="BA842" s="1"/>
      <c r="BC842" s="1"/>
      <c r="BM842" s="1"/>
      <c r="BP842" s="1"/>
    </row>
    <row r="843" spans="1:68" x14ac:dyDescent="0.3">
      <c r="A843" s="19">
        <f t="shared" si="64"/>
        <v>47094</v>
      </c>
      <c r="B843">
        <f t="shared" ref="B843:B906" ca="1" si="65">($B$7-A843)/360</f>
        <v>-2.6166666666666667</v>
      </c>
      <c r="C843" t="str">
        <f ca="1">IF(currency="USD",'Future et co'!D843,IF(currency="EUR",'Future et co'!E843,IF(currency="GBP",'Future et co'!F843,FALSE)))</f>
        <v>RFR USD</v>
      </c>
      <c r="D843" t="str">
        <f t="shared" ref="D843:D906" ca="1" si="66">IFERROR(IF(B843&lt;0.25,VLOOKUP(A843,$J$11:$L$5325,3,FALSE),IF(AND(B843&gt;=0.25,B843&lt;0.5),VLOOKUP(A843,$N$11:$P$5325,3,FALSE),IF(AND(B843&gt;=0.5,B843&lt;1),VLOOKUP(A843,$R$11:$T$5325,3,FALSE),VLOOKUP(A843,$V$11:$X$5010,3,FALSE)))),D842)</f>
        <v>RFR USD</v>
      </c>
      <c r="E843" t="str">
        <f t="shared" ref="E843:E906" ca="1" si="67">IFERROR(IF(B843&lt;0.25,VLOOKUP(A843,$AF$11:$AH$5325,3,FALSE),IF(AND(B843&gt;=0.25,B843&lt;0.5),VLOOKUP(A843,$AJ$11:$AL$5325,3,FALSE),VLOOKUP(A843,$AN$11:$AP$5325,3,FALSE))),E842)</f>
        <v>RFR EUR</v>
      </c>
      <c r="F843" t="str">
        <f t="shared" ref="F843:F906" ca="1" si="68">IFERROR(VLOOKUP(A843,$AS$11:$AU$9999,3,FALSE),F842)</f>
        <v>RFR GBP</v>
      </c>
      <c r="J843" s="1"/>
      <c r="N843" s="1"/>
      <c r="R843" s="1"/>
      <c r="V843" s="1"/>
      <c r="AB843" s="1"/>
      <c r="AF843" s="1"/>
      <c r="AJ843" s="1"/>
      <c r="AN843" s="1"/>
      <c r="AS843" s="1"/>
      <c r="AX843" s="1"/>
      <c r="BA843" s="1"/>
      <c r="BC843" s="1"/>
      <c r="BM843" s="1"/>
      <c r="BP843" s="1"/>
    </row>
    <row r="844" spans="1:68" x14ac:dyDescent="0.3">
      <c r="A844" s="19">
        <f t="shared" si="64"/>
        <v>47095</v>
      </c>
      <c r="B844">
        <f t="shared" ca="1" si="65"/>
        <v>-2.6194444444444445</v>
      </c>
      <c r="C844" t="str">
        <f ca="1">IF(currency="USD",'Future et co'!D844,IF(currency="EUR",'Future et co'!E844,IF(currency="GBP",'Future et co'!F844,FALSE)))</f>
        <v>RFR USD</v>
      </c>
      <c r="D844" t="str">
        <f t="shared" ca="1" si="66"/>
        <v>RFR USD</v>
      </c>
      <c r="E844" t="str">
        <f t="shared" ca="1" si="67"/>
        <v>RFR EUR</v>
      </c>
      <c r="F844" t="str">
        <f t="shared" ca="1" si="68"/>
        <v>RFR GBP</v>
      </c>
      <c r="J844" s="1"/>
      <c r="N844" s="1"/>
      <c r="R844" s="1"/>
      <c r="V844" s="1"/>
      <c r="AB844" s="1"/>
      <c r="AF844" s="1"/>
      <c r="AJ844" s="1"/>
      <c r="AN844" s="1"/>
      <c r="AS844" s="1"/>
      <c r="AX844" s="1"/>
      <c r="BA844" s="1"/>
      <c r="BC844" s="1"/>
      <c r="BM844" s="1"/>
      <c r="BP844" s="1"/>
    </row>
    <row r="845" spans="1:68" x14ac:dyDescent="0.3">
      <c r="A845" s="19">
        <f t="shared" ref="A845:A908" si="69">WORKDAY(A844,1)</f>
        <v>47098</v>
      </c>
      <c r="B845">
        <f t="shared" ca="1" si="65"/>
        <v>-2.6277777777777778</v>
      </c>
      <c r="C845" t="str">
        <f ca="1">IF(currency="USD",'Future et co'!D845,IF(currency="EUR",'Future et co'!E845,IF(currency="GBP",'Future et co'!F845,FALSE)))</f>
        <v>RFR USD</v>
      </c>
      <c r="D845" t="str">
        <f t="shared" ca="1" si="66"/>
        <v>RFR USD</v>
      </c>
      <c r="E845" t="str">
        <f t="shared" ca="1" si="67"/>
        <v>RFR EUR</v>
      </c>
      <c r="F845" t="str">
        <f t="shared" ca="1" si="68"/>
        <v>RFR GBP</v>
      </c>
      <c r="J845" s="1"/>
      <c r="N845" s="1"/>
      <c r="R845" s="1"/>
      <c r="V845" s="1"/>
      <c r="AB845" s="1"/>
      <c r="AF845" s="1"/>
      <c r="AJ845" s="1"/>
      <c r="AN845" s="1"/>
      <c r="AS845" s="1"/>
      <c r="AX845" s="1"/>
      <c r="BA845" s="1"/>
      <c r="BC845" s="1"/>
      <c r="BM845" s="1"/>
      <c r="BP845" s="1"/>
    </row>
    <row r="846" spans="1:68" x14ac:dyDescent="0.3">
      <c r="A846" s="19">
        <f t="shared" si="69"/>
        <v>47099</v>
      </c>
      <c r="B846">
        <f t="shared" ca="1" si="65"/>
        <v>-2.6305555555555555</v>
      </c>
      <c r="C846" t="str">
        <f ca="1">IF(currency="USD",'Future et co'!D846,IF(currency="EUR",'Future et co'!E846,IF(currency="GBP",'Future et co'!F846,FALSE)))</f>
        <v>RFR USD</v>
      </c>
      <c r="D846" t="str">
        <f t="shared" ca="1" si="66"/>
        <v>RFR USD</v>
      </c>
      <c r="E846" t="str">
        <f t="shared" ca="1" si="67"/>
        <v>RFR EUR</v>
      </c>
      <c r="F846" t="str">
        <f t="shared" ca="1" si="68"/>
        <v>RFR GBP</v>
      </c>
      <c r="J846" s="1"/>
      <c r="N846" s="1"/>
      <c r="R846" s="1"/>
      <c r="V846" s="1"/>
      <c r="AB846" s="1"/>
      <c r="AF846" s="1"/>
      <c r="AJ846" s="1"/>
      <c r="AN846" s="1"/>
      <c r="AS846" s="1"/>
      <c r="AX846" s="1"/>
      <c r="BA846" s="1"/>
      <c r="BC846" s="1"/>
      <c r="BM846" s="1"/>
      <c r="BP846" s="1"/>
    </row>
    <row r="847" spans="1:68" x14ac:dyDescent="0.3">
      <c r="A847" s="19">
        <f t="shared" si="69"/>
        <v>47100</v>
      </c>
      <c r="B847">
        <f t="shared" ca="1" si="65"/>
        <v>-2.6333333333333333</v>
      </c>
      <c r="C847" t="str">
        <f ca="1">IF(currency="USD",'Future et co'!D847,IF(currency="EUR",'Future et co'!E847,IF(currency="GBP",'Future et co'!F847,FALSE)))</f>
        <v>RFR USD</v>
      </c>
      <c r="D847" t="str">
        <f t="shared" ca="1" si="66"/>
        <v>RFR USD</v>
      </c>
      <c r="E847" t="str">
        <f t="shared" ca="1" si="67"/>
        <v>RFR EUR</v>
      </c>
      <c r="F847" t="str">
        <f t="shared" ca="1" si="68"/>
        <v>RFR GBP</v>
      </c>
      <c r="J847" s="1"/>
      <c r="N847" s="1"/>
      <c r="R847" s="1"/>
      <c r="V847" s="1"/>
      <c r="AB847" s="1"/>
      <c r="AF847" s="1"/>
      <c r="AJ847" s="1"/>
      <c r="AN847" s="1"/>
      <c r="AS847" s="1"/>
      <c r="AX847" s="1"/>
      <c r="BA847" s="1"/>
      <c r="BC847" s="1"/>
      <c r="BM847" s="1"/>
      <c r="BP847" s="1"/>
    </row>
    <row r="848" spans="1:68" x14ac:dyDescent="0.3">
      <c r="A848" s="19">
        <f t="shared" si="69"/>
        <v>47101</v>
      </c>
      <c r="B848">
        <f t="shared" ca="1" si="65"/>
        <v>-2.6361111111111111</v>
      </c>
      <c r="C848" t="str">
        <f ca="1">IF(currency="USD",'Future et co'!D848,IF(currency="EUR",'Future et co'!E848,IF(currency="GBP",'Future et co'!F848,FALSE)))</f>
        <v>RFR USD</v>
      </c>
      <c r="D848" t="str">
        <f t="shared" ca="1" si="66"/>
        <v>RFR USD</v>
      </c>
      <c r="E848" t="str">
        <f t="shared" ca="1" si="67"/>
        <v>RFR EUR</v>
      </c>
      <c r="F848" t="str">
        <f t="shared" ca="1" si="68"/>
        <v>RFR GBP</v>
      </c>
      <c r="J848" s="1"/>
      <c r="N848" s="1"/>
      <c r="R848" s="1"/>
      <c r="V848" s="1"/>
      <c r="AB848" s="1"/>
      <c r="AF848" s="1"/>
      <c r="AJ848" s="1"/>
      <c r="AN848" s="1"/>
      <c r="AS848" s="1"/>
      <c r="AX848" s="1"/>
      <c r="BA848" s="1"/>
      <c r="BC848" s="1"/>
      <c r="BM848" s="1"/>
      <c r="BP848" s="1"/>
    </row>
    <row r="849" spans="1:68" x14ac:dyDescent="0.3">
      <c r="A849" s="19">
        <f t="shared" si="69"/>
        <v>47102</v>
      </c>
      <c r="B849">
        <f t="shared" ca="1" si="65"/>
        <v>-2.6388888888888888</v>
      </c>
      <c r="C849" t="str">
        <f ca="1">IF(currency="USD",'Future et co'!D849,IF(currency="EUR",'Future et co'!E849,IF(currency="GBP",'Future et co'!F849,FALSE)))</f>
        <v>RFR USD</v>
      </c>
      <c r="D849" t="str">
        <f t="shared" ca="1" si="66"/>
        <v>RFR USD</v>
      </c>
      <c r="E849" t="str">
        <f t="shared" ca="1" si="67"/>
        <v>RFR EUR</v>
      </c>
      <c r="F849" t="str">
        <f t="shared" ca="1" si="68"/>
        <v>RFR GBP</v>
      </c>
      <c r="J849" s="1"/>
      <c r="N849" s="1"/>
      <c r="R849" s="1"/>
      <c r="V849" s="1"/>
      <c r="AB849" s="1"/>
      <c r="AF849" s="1"/>
      <c r="AJ849" s="1"/>
      <c r="AN849" s="1"/>
      <c r="AS849" s="1"/>
      <c r="AX849" s="1"/>
      <c r="BA849" s="1"/>
      <c r="BC849" s="1"/>
      <c r="BM849" s="1"/>
      <c r="BP849" s="1"/>
    </row>
    <row r="850" spans="1:68" x14ac:dyDescent="0.3">
      <c r="A850" s="19">
        <f t="shared" si="69"/>
        <v>47105</v>
      </c>
      <c r="B850">
        <f t="shared" ca="1" si="65"/>
        <v>-2.6472222222222221</v>
      </c>
      <c r="C850" t="str">
        <f ca="1">IF(currency="USD",'Future et co'!D850,IF(currency="EUR",'Future et co'!E850,IF(currency="GBP",'Future et co'!F850,FALSE)))</f>
        <v>RFR USD</v>
      </c>
      <c r="D850" t="str">
        <f t="shared" ca="1" si="66"/>
        <v>RFR USD</v>
      </c>
      <c r="E850" t="str">
        <f t="shared" ca="1" si="67"/>
        <v>RFR EUR</v>
      </c>
      <c r="F850" t="str">
        <f t="shared" ca="1" si="68"/>
        <v>RFR GBP</v>
      </c>
      <c r="J850" s="1"/>
      <c r="N850" s="1"/>
      <c r="R850" s="1"/>
      <c r="V850" s="1"/>
      <c r="AB850" s="1"/>
      <c r="AF850" s="1"/>
      <c r="AJ850" s="1"/>
      <c r="AN850" s="1"/>
      <c r="AS850" s="1"/>
      <c r="AX850" s="1"/>
      <c r="BA850" s="1"/>
      <c r="BC850" s="1"/>
      <c r="BM850" s="1"/>
      <c r="BP850" s="1"/>
    </row>
    <row r="851" spans="1:68" x14ac:dyDescent="0.3">
      <c r="A851" s="19">
        <f t="shared" si="69"/>
        <v>47106</v>
      </c>
      <c r="B851">
        <f t="shared" ca="1" si="65"/>
        <v>-2.65</v>
      </c>
      <c r="C851" t="str">
        <f ca="1">IF(currency="USD",'Future et co'!D851,IF(currency="EUR",'Future et co'!E851,IF(currency="GBP",'Future et co'!F851,FALSE)))</f>
        <v>RFR USD</v>
      </c>
      <c r="D851" t="str">
        <f t="shared" ca="1" si="66"/>
        <v>RFR USD</v>
      </c>
      <c r="E851" t="str">
        <f t="shared" ca="1" si="67"/>
        <v>RFR EUR</v>
      </c>
      <c r="F851" t="str">
        <f t="shared" ca="1" si="68"/>
        <v>RFR GBP</v>
      </c>
      <c r="J851" s="1"/>
      <c r="N851" s="1"/>
      <c r="R851" s="1"/>
      <c r="V851" s="1"/>
      <c r="AB851" s="1"/>
      <c r="AF851" s="1"/>
      <c r="AJ851" s="1"/>
      <c r="AN851" s="1"/>
      <c r="AS851" s="1"/>
      <c r="AX851" s="1"/>
      <c r="BA851" s="1"/>
      <c r="BC851" s="1"/>
      <c r="BM851" s="1"/>
      <c r="BP851" s="1"/>
    </row>
    <row r="852" spans="1:68" x14ac:dyDescent="0.3">
      <c r="A852" s="19">
        <f t="shared" si="69"/>
        <v>47107</v>
      </c>
      <c r="B852">
        <f t="shared" ca="1" si="65"/>
        <v>-2.6527777777777777</v>
      </c>
      <c r="C852" t="str">
        <f ca="1">IF(currency="USD",'Future et co'!D852,IF(currency="EUR",'Future et co'!E852,IF(currency="GBP",'Future et co'!F852,FALSE)))</f>
        <v>RFR USD</v>
      </c>
      <c r="D852" t="str">
        <f t="shared" ca="1" si="66"/>
        <v>RFR USD</v>
      </c>
      <c r="E852" t="str">
        <f t="shared" ca="1" si="67"/>
        <v>RFR EUR</v>
      </c>
      <c r="F852" t="str">
        <f t="shared" ca="1" si="68"/>
        <v>RFR GBP</v>
      </c>
      <c r="J852" s="1"/>
      <c r="N852" s="1"/>
      <c r="R852" s="1"/>
      <c r="V852" s="1"/>
      <c r="AB852" s="1"/>
      <c r="AF852" s="1"/>
      <c r="AJ852" s="1"/>
      <c r="AN852" s="1"/>
      <c r="AS852" s="1"/>
      <c r="AX852" s="1"/>
      <c r="BA852" s="1"/>
      <c r="BC852" s="1"/>
      <c r="BM852" s="1"/>
      <c r="BP852" s="1"/>
    </row>
    <row r="853" spans="1:68" x14ac:dyDescent="0.3">
      <c r="A853" s="19">
        <f t="shared" si="69"/>
        <v>47108</v>
      </c>
      <c r="B853">
        <f t="shared" ca="1" si="65"/>
        <v>-2.6555555555555554</v>
      </c>
      <c r="C853" t="str">
        <f ca="1">IF(currency="USD",'Future et co'!D853,IF(currency="EUR",'Future et co'!E853,IF(currency="GBP",'Future et co'!F853,FALSE)))</f>
        <v>RFR USD</v>
      </c>
      <c r="D853" t="str">
        <f t="shared" ca="1" si="66"/>
        <v>RFR USD</v>
      </c>
      <c r="E853" t="str">
        <f t="shared" ca="1" si="67"/>
        <v>RFR EUR</v>
      </c>
      <c r="F853" t="str">
        <f t="shared" ca="1" si="68"/>
        <v>RFR GBP</v>
      </c>
      <c r="J853" s="1"/>
      <c r="N853" s="1"/>
      <c r="R853" s="1"/>
      <c r="V853" s="1"/>
      <c r="AB853" s="1"/>
      <c r="AF853" s="1"/>
      <c r="AJ853" s="1"/>
      <c r="AN853" s="1"/>
      <c r="AS853" s="1"/>
      <c r="AX853" s="1"/>
      <c r="BA853" s="1"/>
      <c r="BC853" s="1"/>
      <c r="BM853" s="1"/>
      <c r="BP853" s="1"/>
    </row>
    <row r="854" spans="1:68" x14ac:dyDescent="0.3">
      <c r="A854" s="19">
        <f t="shared" si="69"/>
        <v>47109</v>
      </c>
      <c r="B854">
        <f t="shared" ca="1" si="65"/>
        <v>-2.6583333333333332</v>
      </c>
      <c r="C854" t="str">
        <f ca="1">IF(currency="USD",'Future et co'!D854,IF(currency="EUR",'Future et co'!E854,IF(currency="GBP",'Future et co'!F854,FALSE)))</f>
        <v>RFR USD</v>
      </c>
      <c r="D854" t="str">
        <f t="shared" ca="1" si="66"/>
        <v>RFR USD</v>
      </c>
      <c r="E854" t="str">
        <f t="shared" ca="1" si="67"/>
        <v>RFR EUR</v>
      </c>
      <c r="F854" t="str">
        <f t="shared" ca="1" si="68"/>
        <v>RFR GBP</v>
      </c>
      <c r="J854" s="1"/>
      <c r="N854" s="1"/>
      <c r="R854" s="1"/>
      <c r="V854" s="1"/>
      <c r="AB854" s="1"/>
      <c r="AF854" s="1"/>
      <c r="AJ854" s="1"/>
      <c r="AN854" s="1"/>
      <c r="AS854" s="1"/>
      <c r="AX854" s="1"/>
      <c r="BA854" s="1"/>
      <c r="BC854" s="1"/>
      <c r="BM854" s="1"/>
      <c r="BP854" s="1"/>
    </row>
    <row r="855" spans="1:68" x14ac:dyDescent="0.3">
      <c r="A855" s="19">
        <f t="shared" si="69"/>
        <v>47112</v>
      </c>
      <c r="B855">
        <f t="shared" ca="1" si="65"/>
        <v>-2.6666666666666665</v>
      </c>
      <c r="C855" t="str">
        <f ca="1">IF(currency="USD",'Future et co'!D855,IF(currency="EUR",'Future et co'!E855,IF(currency="GBP",'Future et co'!F855,FALSE)))</f>
        <v>RFR USD</v>
      </c>
      <c r="D855" t="str">
        <f t="shared" ca="1" si="66"/>
        <v>RFR USD</v>
      </c>
      <c r="E855" t="str">
        <f t="shared" ca="1" si="67"/>
        <v>RFR EUR</v>
      </c>
      <c r="F855" t="str">
        <f t="shared" ca="1" si="68"/>
        <v>RFR GBP</v>
      </c>
      <c r="J855" s="1"/>
      <c r="N855" s="1"/>
      <c r="R855" s="1"/>
      <c r="V855" s="1"/>
      <c r="AB855" s="1"/>
      <c r="AF855" s="1"/>
      <c r="AJ855" s="1"/>
      <c r="AN855" s="1"/>
      <c r="AS855" s="1"/>
      <c r="AX855" s="1"/>
      <c r="BA855" s="1"/>
      <c r="BC855" s="1"/>
      <c r="BM855" s="1"/>
      <c r="BP855" s="1"/>
    </row>
    <row r="856" spans="1:68" x14ac:dyDescent="0.3">
      <c r="A856" s="19">
        <f t="shared" si="69"/>
        <v>47113</v>
      </c>
      <c r="B856">
        <f t="shared" ca="1" si="65"/>
        <v>-2.6694444444444443</v>
      </c>
      <c r="C856" t="str">
        <f ca="1">IF(currency="USD",'Future et co'!D856,IF(currency="EUR",'Future et co'!E856,IF(currency="GBP",'Future et co'!F856,FALSE)))</f>
        <v>RFR USD</v>
      </c>
      <c r="D856" t="str">
        <f t="shared" ca="1" si="66"/>
        <v>RFR USD</v>
      </c>
      <c r="E856" t="str">
        <f t="shared" ca="1" si="67"/>
        <v>RFR EUR</v>
      </c>
      <c r="F856" t="str">
        <f t="shared" ca="1" si="68"/>
        <v>RFR GBP</v>
      </c>
      <c r="J856" s="1"/>
      <c r="N856" s="1"/>
      <c r="R856" s="1"/>
      <c r="V856" s="1"/>
      <c r="AB856" s="1"/>
      <c r="AF856" s="1"/>
      <c r="AJ856" s="1"/>
      <c r="AN856" s="1"/>
      <c r="AS856" s="1"/>
      <c r="AX856" s="1"/>
      <c r="BA856" s="1"/>
      <c r="BC856" s="1"/>
      <c r="BM856" s="1"/>
      <c r="BP856" s="1"/>
    </row>
    <row r="857" spans="1:68" x14ac:dyDescent="0.3">
      <c r="A857" s="19">
        <f t="shared" si="69"/>
        <v>47114</v>
      </c>
      <c r="B857">
        <f t="shared" ca="1" si="65"/>
        <v>-2.6722222222222221</v>
      </c>
      <c r="C857" t="str">
        <f ca="1">IF(currency="USD",'Future et co'!D857,IF(currency="EUR",'Future et co'!E857,IF(currency="GBP",'Future et co'!F857,FALSE)))</f>
        <v>RFR USD</v>
      </c>
      <c r="D857" t="str">
        <f t="shared" ca="1" si="66"/>
        <v>RFR USD</v>
      </c>
      <c r="E857" t="str">
        <f t="shared" ca="1" si="67"/>
        <v>RFR EUR</v>
      </c>
      <c r="F857" t="str">
        <f t="shared" ca="1" si="68"/>
        <v>RFR GBP</v>
      </c>
      <c r="J857" s="1"/>
      <c r="N857" s="1"/>
      <c r="R857" s="1"/>
      <c r="V857" s="1"/>
      <c r="AB857" s="1"/>
      <c r="AF857" s="1"/>
      <c r="AJ857" s="1"/>
      <c r="AN857" s="1"/>
      <c r="AS857" s="1"/>
      <c r="AX857" s="1"/>
      <c r="BA857" s="1"/>
      <c r="BC857" s="1"/>
      <c r="BM857" s="1"/>
      <c r="BP857" s="1"/>
    </row>
    <row r="858" spans="1:68" x14ac:dyDescent="0.3">
      <c r="A858" s="19">
        <f t="shared" si="69"/>
        <v>47115</v>
      </c>
      <c r="B858">
        <f t="shared" ca="1" si="65"/>
        <v>-2.6749999999999998</v>
      </c>
      <c r="C858" t="str">
        <f ca="1">IF(currency="USD",'Future et co'!D858,IF(currency="EUR",'Future et co'!E858,IF(currency="GBP",'Future et co'!F858,FALSE)))</f>
        <v>RFR USD</v>
      </c>
      <c r="D858" t="str">
        <f t="shared" ca="1" si="66"/>
        <v>RFR USD</v>
      </c>
      <c r="E858" t="str">
        <f t="shared" ca="1" si="67"/>
        <v>RFR EUR</v>
      </c>
      <c r="F858" t="str">
        <f t="shared" ca="1" si="68"/>
        <v>RFR GBP</v>
      </c>
      <c r="J858" s="1"/>
      <c r="N858" s="1"/>
      <c r="R858" s="1"/>
      <c r="V858" s="1"/>
      <c r="AB858" s="1"/>
      <c r="AF858" s="1"/>
      <c r="AJ858" s="1"/>
      <c r="AN858" s="1"/>
      <c r="AS858" s="1"/>
      <c r="AX858" s="1"/>
      <c r="BA858" s="1"/>
      <c r="BC858" s="1"/>
      <c r="BM858" s="1"/>
      <c r="BP858" s="1"/>
    </row>
    <row r="859" spans="1:68" x14ac:dyDescent="0.3">
      <c r="A859" s="19">
        <f t="shared" si="69"/>
        <v>47116</v>
      </c>
      <c r="B859">
        <f t="shared" ca="1" si="65"/>
        <v>-2.6777777777777776</v>
      </c>
      <c r="C859" t="str">
        <f ca="1">IF(currency="USD",'Future et co'!D859,IF(currency="EUR",'Future et co'!E859,IF(currency="GBP",'Future et co'!F859,FALSE)))</f>
        <v>RFR USD</v>
      </c>
      <c r="D859" t="str">
        <f t="shared" ca="1" si="66"/>
        <v>RFR USD</v>
      </c>
      <c r="E859" t="str">
        <f t="shared" ca="1" si="67"/>
        <v>RFR EUR</v>
      </c>
      <c r="F859" t="str">
        <f t="shared" ca="1" si="68"/>
        <v>RFR GBP</v>
      </c>
      <c r="J859" s="1"/>
      <c r="N859" s="1"/>
      <c r="R859" s="1"/>
      <c r="V859" s="1"/>
      <c r="AB859" s="1"/>
      <c r="AF859" s="1"/>
      <c r="AJ859" s="1"/>
      <c r="AN859" s="1"/>
      <c r="AS859" s="1"/>
      <c r="AX859" s="1"/>
      <c r="BA859" s="1"/>
      <c r="BC859" s="1"/>
      <c r="BM859" s="1"/>
      <c r="BP859" s="1"/>
    </row>
    <row r="860" spans="1:68" x14ac:dyDescent="0.3">
      <c r="A860" s="19">
        <f t="shared" si="69"/>
        <v>47119</v>
      </c>
      <c r="B860">
        <f t="shared" ca="1" si="65"/>
        <v>-2.6861111111111109</v>
      </c>
      <c r="C860" t="str">
        <f ca="1">IF(currency="USD",'Future et co'!D860,IF(currency="EUR",'Future et co'!E860,IF(currency="GBP",'Future et co'!F860,FALSE)))</f>
        <v>RFR USD</v>
      </c>
      <c r="D860" t="str">
        <f t="shared" ca="1" si="66"/>
        <v>RFR USD</v>
      </c>
      <c r="E860" t="str">
        <f t="shared" ca="1" si="67"/>
        <v>RFR EUR</v>
      </c>
      <c r="F860" t="str">
        <f t="shared" ca="1" si="68"/>
        <v>RFR GBP</v>
      </c>
      <c r="J860" s="1"/>
      <c r="N860" s="1"/>
      <c r="R860" s="1"/>
      <c r="V860" s="1"/>
      <c r="AB860" s="1"/>
      <c r="AF860" s="1"/>
      <c r="AJ860" s="1"/>
      <c r="AN860" s="1"/>
      <c r="AS860" s="1"/>
      <c r="AX860" s="1"/>
      <c r="BA860" s="1"/>
      <c r="BC860" s="1"/>
      <c r="BM860" s="1"/>
      <c r="BP860" s="1"/>
    </row>
    <row r="861" spans="1:68" x14ac:dyDescent="0.3">
      <c r="A861" s="19">
        <f t="shared" si="69"/>
        <v>47120</v>
      </c>
      <c r="B861">
        <f t="shared" ca="1" si="65"/>
        <v>-2.6888888888888891</v>
      </c>
      <c r="C861" t="str">
        <f ca="1">IF(currency="USD",'Future et co'!D861,IF(currency="EUR",'Future et co'!E861,IF(currency="GBP",'Future et co'!F861,FALSE)))</f>
        <v>RFR USD</v>
      </c>
      <c r="D861" t="str">
        <f t="shared" ca="1" si="66"/>
        <v>RFR USD</v>
      </c>
      <c r="E861" t="str">
        <f t="shared" ca="1" si="67"/>
        <v>RFR EUR</v>
      </c>
      <c r="F861" t="str">
        <f t="shared" ca="1" si="68"/>
        <v>RFR GBP</v>
      </c>
      <c r="J861" s="1"/>
      <c r="N861" s="1"/>
      <c r="R861" s="1"/>
      <c r="V861" s="1"/>
      <c r="AB861" s="1"/>
      <c r="AF861" s="1"/>
      <c r="AJ861" s="1"/>
      <c r="AN861" s="1"/>
      <c r="AS861" s="1"/>
      <c r="AX861" s="1"/>
      <c r="BA861" s="1"/>
      <c r="BC861" s="1"/>
      <c r="BM861" s="1"/>
      <c r="BP861" s="1"/>
    </row>
    <row r="862" spans="1:68" x14ac:dyDescent="0.3">
      <c r="A862" s="19">
        <f t="shared" si="69"/>
        <v>47121</v>
      </c>
      <c r="B862">
        <f t="shared" ca="1" si="65"/>
        <v>-2.6916666666666669</v>
      </c>
      <c r="C862" t="str">
        <f ca="1">IF(currency="USD",'Future et co'!D862,IF(currency="EUR",'Future et co'!E862,IF(currency="GBP",'Future et co'!F862,FALSE)))</f>
        <v>RFR USD</v>
      </c>
      <c r="D862" t="str">
        <f t="shared" ca="1" si="66"/>
        <v>RFR USD</v>
      </c>
      <c r="E862" t="str">
        <f t="shared" ca="1" si="67"/>
        <v>RFR EUR</v>
      </c>
      <c r="F862" t="str">
        <f t="shared" ca="1" si="68"/>
        <v>RFR GBP</v>
      </c>
      <c r="J862" s="1"/>
      <c r="N862" s="1"/>
      <c r="R862" s="1"/>
      <c r="V862" s="1"/>
      <c r="AB862" s="1"/>
      <c r="AF862" s="1"/>
      <c r="AJ862" s="1"/>
      <c r="AN862" s="1"/>
      <c r="AS862" s="1"/>
      <c r="AX862" s="1"/>
      <c r="BA862" s="1"/>
      <c r="BC862" s="1"/>
      <c r="BM862" s="1"/>
      <c r="BP862" s="1"/>
    </row>
    <row r="863" spans="1:68" x14ac:dyDescent="0.3">
      <c r="A863" s="19">
        <f t="shared" si="69"/>
        <v>47122</v>
      </c>
      <c r="B863">
        <f t="shared" ca="1" si="65"/>
        <v>-2.6944444444444446</v>
      </c>
      <c r="C863" t="str">
        <f ca="1">IF(currency="USD",'Future et co'!D863,IF(currency="EUR",'Future et co'!E863,IF(currency="GBP",'Future et co'!F863,FALSE)))</f>
        <v>RFR USD</v>
      </c>
      <c r="D863" t="str">
        <f t="shared" ca="1" si="66"/>
        <v>RFR USD</v>
      </c>
      <c r="E863" t="str">
        <f t="shared" ca="1" si="67"/>
        <v>RFR EUR</v>
      </c>
      <c r="F863" t="str">
        <f t="shared" ca="1" si="68"/>
        <v>RFR GBP</v>
      </c>
      <c r="J863" s="1"/>
      <c r="N863" s="1"/>
      <c r="R863" s="1"/>
      <c r="V863" s="1"/>
      <c r="AB863" s="1"/>
      <c r="AF863" s="1"/>
      <c r="AJ863" s="1"/>
      <c r="AN863" s="1"/>
      <c r="AS863" s="1"/>
      <c r="AX863" s="1"/>
      <c r="BA863" s="1"/>
      <c r="BC863" s="1"/>
      <c r="BM863" s="1"/>
      <c r="BP863" s="1"/>
    </row>
    <row r="864" spans="1:68" x14ac:dyDescent="0.3">
      <c r="A864" s="19">
        <f t="shared" si="69"/>
        <v>47123</v>
      </c>
      <c r="B864">
        <f t="shared" ca="1" si="65"/>
        <v>-2.6972222222222224</v>
      </c>
      <c r="C864" t="str">
        <f ca="1">IF(currency="USD",'Future et co'!D864,IF(currency="EUR",'Future et co'!E864,IF(currency="GBP",'Future et co'!F864,FALSE)))</f>
        <v>RFR USD</v>
      </c>
      <c r="D864" t="str">
        <f t="shared" ca="1" si="66"/>
        <v>RFR USD</v>
      </c>
      <c r="E864" t="str">
        <f t="shared" ca="1" si="67"/>
        <v>RFR EUR</v>
      </c>
      <c r="F864" t="str">
        <f t="shared" ca="1" si="68"/>
        <v>RFR GBP</v>
      </c>
      <c r="J864" s="1"/>
      <c r="N864" s="1"/>
      <c r="R864" s="1"/>
      <c r="V864" s="1"/>
      <c r="AB864" s="1"/>
      <c r="AF864" s="1"/>
      <c r="AJ864" s="1"/>
      <c r="AN864" s="1"/>
      <c r="AS864" s="1"/>
      <c r="AX864" s="1"/>
      <c r="BA864" s="1"/>
      <c r="BC864" s="1"/>
      <c r="BM864" s="1"/>
      <c r="BP864" s="1"/>
    </row>
    <row r="865" spans="1:68" x14ac:dyDescent="0.3">
      <c r="A865" s="19">
        <f t="shared" si="69"/>
        <v>47126</v>
      </c>
      <c r="B865">
        <f t="shared" ca="1" si="65"/>
        <v>-2.7055555555555557</v>
      </c>
      <c r="C865" t="str">
        <f ca="1">IF(currency="USD",'Future et co'!D865,IF(currency="EUR",'Future et co'!E865,IF(currency="GBP",'Future et co'!F865,FALSE)))</f>
        <v>RFR USD</v>
      </c>
      <c r="D865" t="str">
        <f t="shared" ca="1" si="66"/>
        <v>RFR USD</v>
      </c>
      <c r="E865" t="str">
        <f t="shared" ca="1" si="67"/>
        <v>RFR EUR</v>
      </c>
      <c r="F865" t="str">
        <f t="shared" ca="1" si="68"/>
        <v>RFR GBP</v>
      </c>
      <c r="J865" s="1"/>
      <c r="N865" s="1"/>
      <c r="R865" s="1"/>
      <c r="V865" s="1"/>
      <c r="AB865" s="1"/>
      <c r="AF865" s="1"/>
      <c r="AJ865" s="1"/>
      <c r="AN865" s="1"/>
      <c r="AS865" s="1"/>
      <c r="AX865" s="1"/>
      <c r="BA865" s="1"/>
      <c r="BC865" s="1"/>
      <c r="BM865" s="1"/>
      <c r="BP865" s="1"/>
    </row>
    <row r="866" spans="1:68" x14ac:dyDescent="0.3">
      <c r="A866" s="19">
        <f t="shared" si="69"/>
        <v>47127</v>
      </c>
      <c r="B866">
        <f t="shared" ca="1" si="65"/>
        <v>-2.7083333333333335</v>
      </c>
      <c r="C866" t="str">
        <f ca="1">IF(currency="USD",'Future et co'!D866,IF(currency="EUR",'Future et co'!E866,IF(currency="GBP",'Future et co'!F866,FALSE)))</f>
        <v>RFR USD</v>
      </c>
      <c r="D866" t="str">
        <f t="shared" ca="1" si="66"/>
        <v>RFR USD</v>
      </c>
      <c r="E866" t="str">
        <f t="shared" ca="1" si="67"/>
        <v>RFR EUR</v>
      </c>
      <c r="F866" t="str">
        <f t="shared" ca="1" si="68"/>
        <v>RFR GBP</v>
      </c>
      <c r="J866" s="1"/>
      <c r="N866" s="1"/>
      <c r="R866" s="1"/>
      <c r="V866" s="1"/>
      <c r="AB866" s="1"/>
      <c r="AF866" s="1"/>
      <c r="AJ866" s="1"/>
      <c r="AN866" s="1"/>
      <c r="AS866" s="1"/>
      <c r="AX866" s="1"/>
      <c r="BA866" s="1"/>
      <c r="BC866" s="1"/>
      <c r="BM866" s="1"/>
      <c r="BP866" s="1"/>
    </row>
    <row r="867" spans="1:68" x14ac:dyDescent="0.3">
      <c r="A867" s="19">
        <f t="shared" si="69"/>
        <v>47128</v>
      </c>
      <c r="B867">
        <f t="shared" ca="1" si="65"/>
        <v>-2.7111111111111112</v>
      </c>
      <c r="C867" t="str">
        <f ca="1">IF(currency="USD",'Future et co'!D867,IF(currency="EUR",'Future et co'!E867,IF(currency="GBP",'Future et co'!F867,FALSE)))</f>
        <v>RFR USD</v>
      </c>
      <c r="D867" t="str">
        <f t="shared" ca="1" si="66"/>
        <v>RFR USD</v>
      </c>
      <c r="E867" t="str">
        <f t="shared" ca="1" si="67"/>
        <v>RFR EUR</v>
      </c>
      <c r="F867" t="str">
        <f t="shared" ca="1" si="68"/>
        <v>RFR GBP</v>
      </c>
      <c r="J867" s="1"/>
      <c r="N867" s="1"/>
      <c r="R867" s="1"/>
      <c r="V867" s="1"/>
      <c r="AB867" s="1"/>
      <c r="AF867" s="1"/>
      <c r="AJ867" s="1"/>
      <c r="AN867" s="1"/>
      <c r="AS867" s="1"/>
      <c r="AX867" s="1"/>
      <c r="BA867" s="1"/>
      <c r="BC867" s="1"/>
      <c r="BM867" s="1"/>
      <c r="BP867" s="1"/>
    </row>
    <row r="868" spans="1:68" x14ac:dyDescent="0.3">
      <c r="A868" s="19">
        <f t="shared" si="69"/>
        <v>47129</v>
      </c>
      <c r="B868">
        <f t="shared" ca="1" si="65"/>
        <v>-2.713888888888889</v>
      </c>
      <c r="C868" t="str">
        <f ca="1">IF(currency="USD",'Future et co'!D868,IF(currency="EUR",'Future et co'!E868,IF(currency="GBP",'Future et co'!F868,FALSE)))</f>
        <v>RFR USD</v>
      </c>
      <c r="D868" t="str">
        <f t="shared" ca="1" si="66"/>
        <v>RFR USD</v>
      </c>
      <c r="E868" t="str">
        <f t="shared" ca="1" si="67"/>
        <v>RFR EUR</v>
      </c>
      <c r="F868" t="str">
        <f t="shared" ca="1" si="68"/>
        <v>RFR GBP</v>
      </c>
      <c r="J868" s="1"/>
      <c r="N868" s="1"/>
      <c r="R868" s="1"/>
      <c r="V868" s="1"/>
      <c r="AB868" s="1"/>
      <c r="AF868" s="1"/>
      <c r="AJ868" s="1"/>
      <c r="AN868" s="1"/>
      <c r="AS868" s="1"/>
      <c r="AX868" s="1"/>
      <c r="BA868" s="1"/>
      <c r="BC868" s="1"/>
      <c r="BM868" s="1"/>
      <c r="BP868" s="1"/>
    </row>
    <row r="869" spans="1:68" x14ac:dyDescent="0.3">
      <c r="A869" s="19">
        <f t="shared" si="69"/>
        <v>47130</v>
      </c>
      <c r="B869">
        <f t="shared" ca="1" si="65"/>
        <v>-2.7166666666666668</v>
      </c>
      <c r="C869" t="str">
        <f ca="1">IF(currency="USD",'Future et co'!D869,IF(currency="EUR",'Future et co'!E869,IF(currency="GBP",'Future et co'!F869,FALSE)))</f>
        <v>RFR USD</v>
      </c>
      <c r="D869" t="str">
        <f t="shared" ca="1" si="66"/>
        <v>RFR USD</v>
      </c>
      <c r="E869" t="str">
        <f t="shared" ca="1" si="67"/>
        <v>RFR EUR</v>
      </c>
      <c r="F869" t="str">
        <f t="shared" ca="1" si="68"/>
        <v>RFR GBP</v>
      </c>
      <c r="J869" s="1"/>
      <c r="N869" s="1"/>
      <c r="R869" s="1"/>
      <c r="V869" s="1"/>
      <c r="AB869" s="1"/>
      <c r="AF869" s="1"/>
      <c r="AJ869" s="1"/>
      <c r="AN869" s="1"/>
      <c r="AS869" s="1"/>
      <c r="AX869" s="1"/>
      <c r="BA869" s="1"/>
      <c r="BC869" s="1"/>
      <c r="BM869" s="1"/>
      <c r="BP869" s="1"/>
    </row>
    <row r="870" spans="1:68" x14ac:dyDescent="0.3">
      <c r="A870" s="19">
        <f t="shared" si="69"/>
        <v>47133</v>
      </c>
      <c r="B870">
        <f t="shared" ca="1" si="65"/>
        <v>-2.7250000000000001</v>
      </c>
      <c r="C870" t="str">
        <f ca="1">IF(currency="USD",'Future et co'!D870,IF(currency="EUR",'Future et co'!E870,IF(currency="GBP",'Future et co'!F870,FALSE)))</f>
        <v>RFR USD</v>
      </c>
      <c r="D870" t="str">
        <f t="shared" ca="1" si="66"/>
        <v>RFR USD</v>
      </c>
      <c r="E870" t="str">
        <f t="shared" ca="1" si="67"/>
        <v>RFR EUR</v>
      </c>
      <c r="F870" t="str">
        <f t="shared" ca="1" si="68"/>
        <v>RFR GBP</v>
      </c>
      <c r="J870" s="1"/>
      <c r="N870" s="1"/>
      <c r="R870" s="1"/>
      <c r="V870" s="1"/>
      <c r="AB870" s="1"/>
      <c r="AF870" s="1"/>
      <c r="AJ870" s="1"/>
      <c r="AN870" s="1"/>
      <c r="AS870" s="1"/>
      <c r="AX870" s="1"/>
      <c r="BA870" s="1"/>
      <c r="BC870" s="1"/>
      <c r="BM870" s="1"/>
      <c r="BP870" s="1"/>
    </row>
    <row r="871" spans="1:68" x14ac:dyDescent="0.3">
      <c r="A871" s="19">
        <f t="shared" si="69"/>
        <v>47134</v>
      </c>
      <c r="B871">
        <f t="shared" ca="1" si="65"/>
        <v>-2.7277777777777779</v>
      </c>
      <c r="C871" t="str">
        <f ca="1">IF(currency="USD",'Future et co'!D871,IF(currency="EUR",'Future et co'!E871,IF(currency="GBP",'Future et co'!F871,FALSE)))</f>
        <v>RFR USD</v>
      </c>
      <c r="D871" t="str">
        <f t="shared" ca="1" si="66"/>
        <v>RFR USD</v>
      </c>
      <c r="E871" t="str">
        <f t="shared" ca="1" si="67"/>
        <v>RFR EUR</v>
      </c>
      <c r="F871" t="str">
        <f t="shared" ca="1" si="68"/>
        <v>RFR GBP</v>
      </c>
      <c r="J871" s="1"/>
      <c r="N871" s="1"/>
      <c r="R871" s="1"/>
      <c r="V871" s="1"/>
      <c r="AB871" s="1"/>
      <c r="AF871" s="1"/>
      <c r="AJ871" s="1"/>
      <c r="AN871" s="1"/>
      <c r="AS871" s="1"/>
      <c r="AX871" s="1"/>
      <c r="BA871" s="1"/>
      <c r="BC871" s="1"/>
      <c r="BM871" s="1"/>
      <c r="BP871" s="1"/>
    </row>
    <row r="872" spans="1:68" x14ac:dyDescent="0.3">
      <c r="A872" s="19">
        <f t="shared" si="69"/>
        <v>47135</v>
      </c>
      <c r="B872">
        <f t="shared" ca="1" si="65"/>
        <v>-2.7305555555555556</v>
      </c>
      <c r="C872" t="str">
        <f ca="1">IF(currency="USD",'Future et co'!D872,IF(currency="EUR",'Future et co'!E872,IF(currency="GBP",'Future et co'!F872,FALSE)))</f>
        <v>RFR USD</v>
      </c>
      <c r="D872" t="str">
        <f t="shared" ca="1" si="66"/>
        <v>RFR USD</v>
      </c>
      <c r="E872" t="str">
        <f t="shared" ca="1" si="67"/>
        <v>RFR EUR</v>
      </c>
      <c r="F872" t="str">
        <f t="shared" ca="1" si="68"/>
        <v>RFR GBP</v>
      </c>
      <c r="J872" s="1"/>
      <c r="N872" s="1"/>
      <c r="R872" s="1"/>
      <c r="V872" s="1"/>
      <c r="AB872" s="1"/>
      <c r="AF872" s="1"/>
      <c r="AJ872" s="1"/>
      <c r="AN872" s="1"/>
      <c r="AS872" s="1"/>
      <c r="AX872" s="1"/>
      <c r="BA872" s="1"/>
      <c r="BC872" s="1"/>
      <c r="BM872" s="1"/>
      <c r="BP872" s="1"/>
    </row>
    <row r="873" spans="1:68" x14ac:dyDescent="0.3">
      <c r="A873" s="19">
        <f t="shared" si="69"/>
        <v>47136</v>
      </c>
      <c r="B873">
        <f t="shared" ca="1" si="65"/>
        <v>-2.7333333333333334</v>
      </c>
      <c r="C873" t="str">
        <f ca="1">IF(currency="USD",'Future et co'!D873,IF(currency="EUR",'Future et co'!E873,IF(currency="GBP",'Future et co'!F873,FALSE)))</f>
        <v>RFR USD</v>
      </c>
      <c r="D873" t="str">
        <f t="shared" ca="1" si="66"/>
        <v>RFR USD</v>
      </c>
      <c r="E873" t="str">
        <f t="shared" ca="1" si="67"/>
        <v>RFR EUR</v>
      </c>
      <c r="F873" t="str">
        <f t="shared" ca="1" si="68"/>
        <v>RFR GBP</v>
      </c>
      <c r="J873" s="1"/>
      <c r="N873" s="1"/>
      <c r="R873" s="1"/>
      <c r="V873" s="1"/>
      <c r="AB873" s="1"/>
      <c r="AF873" s="1"/>
      <c r="AJ873" s="1"/>
      <c r="AN873" s="1"/>
      <c r="AS873" s="1"/>
      <c r="AX873" s="1"/>
      <c r="BA873" s="1"/>
      <c r="BC873" s="1"/>
      <c r="BM873" s="1"/>
      <c r="BP873" s="1"/>
    </row>
    <row r="874" spans="1:68" x14ac:dyDescent="0.3">
      <c r="A874" s="19">
        <f t="shared" si="69"/>
        <v>47137</v>
      </c>
      <c r="B874">
        <f t="shared" ca="1" si="65"/>
        <v>-2.7361111111111112</v>
      </c>
      <c r="C874" t="str">
        <f ca="1">IF(currency="USD",'Future et co'!D874,IF(currency="EUR",'Future et co'!E874,IF(currency="GBP",'Future et co'!F874,FALSE)))</f>
        <v>RFR USD</v>
      </c>
      <c r="D874" t="str">
        <f t="shared" ca="1" si="66"/>
        <v>RFR USD</v>
      </c>
      <c r="E874" t="str">
        <f t="shared" ca="1" si="67"/>
        <v>RFR EUR</v>
      </c>
      <c r="F874" t="str">
        <f t="shared" ca="1" si="68"/>
        <v>RFR GBP</v>
      </c>
      <c r="J874" s="1"/>
      <c r="N874" s="1"/>
      <c r="R874" s="1"/>
      <c r="V874" s="1"/>
      <c r="AB874" s="1"/>
      <c r="AF874" s="1"/>
      <c r="AJ874" s="1"/>
      <c r="AN874" s="1"/>
      <c r="AS874" s="1"/>
      <c r="AX874" s="1"/>
      <c r="BA874" s="1"/>
      <c r="BC874" s="1"/>
      <c r="BM874" s="1"/>
      <c r="BP874" s="1"/>
    </row>
    <row r="875" spans="1:68" x14ac:dyDescent="0.3">
      <c r="A875" s="19">
        <f t="shared" si="69"/>
        <v>47140</v>
      </c>
      <c r="B875">
        <f t="shared" ca="1" si="65"/>
        <v>-2.7444444444444445</v>
      </c>
      <c r="C875" t="str">
        <f ca="1">IF(currency="USD",'Future et co'!D875,IF(currency="EUR",'Future et co'!E875,IF(currency="GBP",'Future et co'!F875,FALSE)))</f>
        <v>RFR USD</v>
      </c>
      <c r="D875" t="str">
        <f t="shared" ca="1" si="66"/>
        <v>RFR USD</v>
      </c>
      <c r="E875" t="str">
        <f t="shared" ca="1" si="67"/>
        <v>RFR EUR</v>
      </c>
      <c r="F875" t="str">
        <f t="shared" ca="1" si="68"/>
        <v>RFR GBP</v>
      </c>
      <c r="J875" s="1"/>
      <c r="N875" s="1"/>
      <c r="R875" s="1"/>
      <c r="V875" s="1"/>
      <c r="AB875" s="1"/>
      <c r="AF875" s="1"/>
      <c r="AJ875" s="1"/>
      <c r="AN875" s="1"/>
      <c r="AS875" s="1"/>
      <c r="AX875" s="1"/>
      <c r="BA875" s="1"/>
      <c r="BC875" s="1"/>
      <c r="BM875" s="1"/>
      <c r="BP875" s="1"/>
    </row>
    <row r="876" spans="1:68" x14ac:dyDescent="0.3">
      <c r="A876" s="19">
        <f t="shared" si="69"/>
        <v>47141</v>
      </c>
      <c r="B876">
        <f t="shared" ca="1" si="65"/>
        <v>-2.7472222222222222</v>
      </c>
      <c r="C876" t="str">
        <f ca="1">IF(currency="USD",'Future et co'!D876,IF(currency="EUR",'Future et co'!E876,IF(currency="GBP",'Future et co'!F876,FALSE)))</f>
        <v>RFR USD</v>
      </c>
      <c r="D876" t="str">
        <f t="shared" ca="1" si="66"/>
        <v>RFR USD</v>
      </c>
      <c r="E876" t="str">
        <f t="shared" ca="1" si="67"/>
        <v>RFR EUR</v>
      </c>
      <c r="F876" t="str">
        <f t="shared" ca="1" si="68"/>
        <v>RFR GBP</v>
      </c>
      <c r="J876" s="1"/>
      <c r="N876" s="1"/>
      <c r="R876" s="1"/>
      <c r="V876" s="1"/>
      <c r="AB876" s="1"/>
      <c r="AF876" s="1"/>
      <c r="AJ876" s="1"/>
      <c r="AN876" s="1"/>
      <c r="AS876" s="1"/>
      <c r="AX876" s="1"/>
      <c r="BA876" s="1"/>
      <c r="BC876" s="1"/>
      <c r="BM876" s="1"/>
      <c r="BP876" s="1"/>
    </row>
    <row r="877" spans="1:68" x14ac:dyDescent="0.3">
      <c r="A877" s="19">
        <f t="shared" si="69"/>
        <v>47142</v>
      </c>
      <c r="B877">
        <f t="shared" ca="1" si="65"/>
        <v>-2.75</v>
      </c>
      <c r="C877" t="str">
        <f ca="1">IF(currency="USD",'Future et co'!D877,IF(currency="EUR",'Future et co'!E877,IF(currency="GBP",'Future et co'!F877,FALSE)))</f>
        <v>RFR USD</v>
      </c>
      <c r="D877" t="str">
        <f t="shared" ca="1" si="66"/>
        <v>RFR USD</v>
      </c>
      <c r="E877" t="str">
        <f t="shared" ca="1" si="67"/>
        <v>RFR EUR</v>
      </c>
      <c r="F877" t="str">
        <f t="shared" ca="1" si="68"/>
        <v>RFR GBP</v>
      </c>
      <c r="J877" s="1"/>
      <c r="N877" s="1"/>
      <c r="R877" s="1"/>
      <c r="V877" s="1"/>
      <c r="AB877" s="1"/>
      <c r="AF877" s="1"/>
      <c r="AJ877" s="1"/>
      <c r="AN877" s="1"/>
      <c r="AS877" s="1"/>
      <c r="AX877" s="1"/>
      <c r="BA877" s="1"/>
      <c r="BC877" s="1"/>
      <c r="BM877" s="1"/>
      <c r="BP877" s="1"/>
    </row>
    <row r="878" spans="1:68" x14ac:dyDescent="0.3">
      <c r="A878" s="19">
        <f t="shared" si="69"/>
        <v>47143</v>
      </c>
      <c r="B878">
        <f t="shared" ca="1" si="65"/>
        <v>-2.7527777777777778</v>
      </c>
      <c r="C878" t="str">
        <f ca="1">IF(currency="USD",'Future et co'!D878,IF(currency="EUR",'Future et co'!E878,IF(currency="GBP",'Future et co'!F878,FALSE)))</f>
        <v>RFR USD</v>
      </c>
      <c r="D878" t="str">
        <f t="shared" ca="1" si="66"/>
        <v>RFR USD</v>
      </c>
      <c r="E878" t="str">
        <f t="shared" ca="1" si="67"/>
        <v>RFR EUR</v>
      </c>
      <c r="F878" t="str">
        <f t="shared" ca="1" si="68"/>
        <v>RFR GBP</v>
      </c>
      <c r="J878" s="1"/>
      <c r="N878" s="1"/>
      <c r="R878" s="1"/>
      <c r="V878" s="1"/>
      <c r="AB878" s="1"/>
      <c r="AF878" s="1"/>
      <c r="AJ878" s="1"/>
      <c r="AN878" s="1"/>
      <c r="AS878" s="1"/>
      <c r="AX878" s="1"/>
      <c r="BA878" s="1"/>
      <c r="BC878" s="1"/>
      <c r="BM878" s="1"/>
      <c r="BP878" s="1"/>
    </row>
    <row r="879" spans="1:68" x14ac:dyDescent="0.3">
      <c r="A879" s="19">
        <f t="shared" si="69"/>
        <v>47144</v>
      </c>
      <c r="B879">
        <f t="shared" ca="1" si="65"/>
        <v>-2.7555555555555555</v>
      </c>
      <c r="C879" t="str">
        <f ca="1">IF(currency="USD",'Future et co'!D879,IF(currency="EUR",'Future et co'!E879,IF(currency="GBP",'Future et co'!F879,FALSE)))</f>
        <v>RFR USD</v>
      </c>
      <c r="D879" t="str">
        <f t="shared" ca="1" si="66"/>
        <v>RFR USD</v>
      </c>
      <c r="E879" t="str">
        <f t="shared" ca="1" si="67"/>
        <v>RFR EUR</v>
      </c>
      <c r="F879" t="str">
        <f t="shared" ca="1" si="68"/>
        <v>RFR GBP</v>
      </c>
      <c r="J879" s="1"/>
      <c r="N879" s="1"/>
      <c r="R879" s="1"/>
      <c r="V879" s="1"/>
      <c r="AB879" s="1"/>
      <c r="AF879" s="1"/>
      <c r="AJ879" s="1"/>
      <c r="AN879" s="1"/>
      <c r="AS879" s="1"/>
      <c r="AX879" s="1"/>
      <c r="BA879" s="1"/>
      <c r="BC879" s="1"/>
      <c r="BM879" s="1"/>
      <c r="BP879" s="1"/>
    </row>
    <row r="880" spans="1:68" x14ac:dyDescent="0.3">
      <c r="A880" s="19">
        <f t="shared" si="69"/>
        <v>47147</v>
      </c>
      <c r="B880">
        <f t="shared" ca="1" si="65"/>
        <v>-2.7638888888888888</v>
      </c>
      <c r="C880" t="str">
        <f ca="1">IF(currency="USD",'Future et co'!D880,IF(currency="EUR",'Future et co'!E880,IF(currency="GBP",'Future et co'!F880,FALSE)))</f>
        <v>RFR USD</v>
      </c>
      <c r="D880" t="str">
        <f t="shared" ca="1" si="66"/>
        <v>RFR USD</v>
      </c>
      <c r="E880" t="str">
        <f t="shared" ca="1" si="67"/>
        <v>RFR EUR</v>
      </c>
      <c r="F880" t="str">
        <f t="shared" ca="1" si="68"/>
        <v>RFR GBP</v>
      </c>
      <c r="J880" s="1"/>
      <c r="N880" s="1"/>
      <c r="R880" s="1"/>
      <c r="V880" s="1"/>
      <c r="AB880" s="1"/>
      <c r="AF880" s="1"/>
      <c r="AJ880" s="1"/>
      <c r="AN880" s="1"/>
      <c r="AS880" s="1"/>
      <c r="AX880" s="1"/>
      <c r="BA880" s="1"/>
      <c r="BC880" s="1"/>
      <c r="BM880" s="1"/>
      <c r="BP880" s="1"/>
    </row>
    <row r="881" spans="1:68" x14ac:dyDescent="0.3">
      <c r="A881" s="19">
        <f t="shared" si="69"/>
        <v>47148</v>
      </c>
      <c r="B881">
        <f t="shared" ca="1" si="65"/>
        <v>-2.7666666666666666</v>
      </c>
      <c r="C881" t="str">
        <f ca="1">IF(currency="USD",'Future et co'!D881,IF(currency="EUR",'Future et co'!E881,IF(currency="GBP",'Future et co'!F881,FALSE)))</f>
        <v>RFR USD</v>
      </c>
      <c r="D881" t="str">
        <f t="shared" ca="1" si="66"/>
        <v>RFR USD</v>
      </c>
      <c r="E881" t="str">
        <f t="shared" ca="1" si="67"/>
        <v>RFR EUR</v>
      </c>
      <c r="F881" t="str">
        <f t="shared" ca="1" si="68"/>
        <v>RFR GBP</v>
      </c>
      <c r="J881" s="1"/>
      <c r="N881" s="1"/>
      <c r="R881" s="1"/>
      <c r="V881" s="1"/>
      <c r="AB881" s="1"/>
      <c r="AF881" s="1"/>
      <c r="AJ881" s="1"/>
      <c r="AN881" s="1"/>
      <c r="AS881" s="1"/>
      <c r="AX881" s="1"/>
      <c r="BA881" s="1"/>
      <c r="BC881" s="1"/>
      <c r="BM881" s="1"/>
      <c r="BP881" s="1"/>
    </row>
    <row r="882" spans="1:68" x14ac:dyDescent="0.3">
      <c r="A882" s="19">
        <f t="shared" si="69"/>
        <v>47149</v>
      </c>
      <c r="B882">
        <f t="shared" ca="1" si="65"/>
        <v>-2.7694444444444444</v>
      </c>
      <c r="C882" t="str">
        <f ca="1">IF(currency="USD",'Future et co'!D882,IF(currency="EUR",'Future et co'!E882,IF(currency="GBP",'Future et co'!F882,FALSE)))</f>
        <v>RFR USD</v>
      </c>
      <c r="D882" t="str">
        <f t="shared" ca="1" si="66"/>
        <v>RFR USD</v>
      </c>
      <c r="E882" t="str">
        <f t="shared" ca="1" si="67"/>
        <v>RFR EUR</v>
      </c>
      <c r="F882" t="str">
        <f t="shared" ca="1" si="68"/>
        <v>RFR GBP</v>
      </c>
      <c r="J882" s="1"/>
      <c r="N882" s="1"/>
      <c r="R882" s="1"/>
      <c r="V882" s="1"/>
      <c r="AB882" s="1"/>
      <c r="AF882" s="1"/>
      <c r="AJ882" s="1"/>
      <c r="AN882" s="1"/>
      <c r="AS882" s="1"/>
      <c r="AX882" s="1"/>
      <c r="BA882" s="1"/>
      <c r="BC882" s="1"/>
      <c r="BM882" s="1"/>
      <c r="BP882" s="1"/>
    </row>
    <row r="883" spans="1:68" x14ac:dyDescent="0.3">
      <c r="A883" s="19">
        <f t="shared" si="69"/>
        <v>47150</v>
      </c>
      <c r="B883">
        <f t="shared" ca="1" si="65"/>
        <v>-2.7722222222222221</v>
      </c>
      <c r="C883" t="str">
        <f ca="1">IF(currency="USD",'Future et co'!D883,IF(currency="EUR",'Future et co'!E883,IF(currency="GBP",'Future et co'!F883,FALSE)))</f>
        <v>RFR USD</v>
      </c>
      <c r="D883" t="str">
        <f t="shared" ca="1" si="66"/>
        <v>RFR USD</v>
      </c>
      <c r="E883" t="str">
        <f t="shared" ca="1" si="67"/>
        <v>RFR EUR</v>
      </c>
      <c r="F883" t="str">
        <f t="shared" ca="1" si="68"/>
        <v>RFR GBP</v>
      </c>
      <c r="J883" s="1"/>
      <c r="N883" s="1"/>
      <c r="R883" s="1"/>
      <c r="V883" s="1"/>
      <c r="AB883" s="1"/>
      <c r="AF883" s="1"/>
      <c r="AJ883" s="1"/>
      <c r="AN883" s="1"/>
      <c r="AS883" s="1"/>
      <c r="AX883" s="1"/>
      <c r="BA883" s="1"/>
      <c r="BC883" s="1"/>
      <c r="BM883" s="1"/>
      <c r="BP883" s="1"/>
    </row>
    <row r="884" spans="1:68" x14ac:dyDescent="0.3">
      <c r="A884" s="19">
        <f t="shared" si="69"/>
        <v>47151</v>
      </c>
      <c r="B884">
        <f t="shared" ca="1" si="65"/>
        <v>-2.7749999999999999</v>
      </c>
      <c r="C884" t="str">
        <f ca="1">IF(currency="USD",'Future et co'!D884,IF(currency="EUR",'Future et co'!E884,IF(currency="GBP",'Future et co'!F884,FALSE)))</f>
        <v>RFR USD</v>
      </c>
      <c r="D884" t="str">
        <f t="shared" ca="1" si="66"/>
        <v>RFR USD</v>
      </c>
      <c r="E884" t="str">
        <f t="shared" ca="1" si="67"/>
        <v>RFR EUR</v>
      </c>
      <c r="F884" t="str">
        <f t="shared" ca="1" si="68"/>
        <v>RFR GBP</v>
      </c>
      <c r="J884" s="1"/>
      <c r="N884" s="1"/>
      <c r="R884" s="1"/>
      <c r="V884" s="1"/>
      <c r="AB884" s="1"/>
      <c r="AF884" s="1"/>
      <c r="AJ884" s="1"/>
      <c r="AN884" s="1"/>
      <c r="AS884" s="1"/>
      <c r="AX884" s="1"/>
      <c r="BA884" s="1"/>
      <c r="BC884" s="1"/>
      <c r="BM884" s="1"/>
      <c r="BP884" s="1"/>
    </row>
    <row r="885" spans="1:68" x14ac:dyDescent="0.3">
      <c r="A885" s="19">
        <f t="shared" si="69"/>
        <v>47154</v>
      </c>
      <c r="B885">
        <f t="shared" ca="1" si="65"/>
        <v>-2.7833333333333332</v>
      </c>
      <c r="C885" t="str">
        <f ca="1">IF(currency="USD",'Future et co'!D885,IF(currency="EUR",'Future et co'!E885,IF(currency="GBP",'Future et co'!F885,FALSE)))</f>
        <v>RFR USD</v>
      </c>
      <c r="D885" t="str">
        <f t="shared" ca="1" si="66"/>
        <v>RFR USD</v>
      </c>
      <c r="E885" t="str">
        <f t="shared" ca="1" si="67"/>
        <v>RFR EUR</v>
      </c>
      <c r="F885" t="str">
        <f t="shared" ca="1" si="68"/>
        <v>RFR GBP</v>
      </c>
      <c r="J885" s="1"/>
      <c r="N885" s="1"/>
      <c r="R885" s="1"/>
      <c r="V885" s="1"/>
      <c r="AB885" s="1"/>
      <c r="AF885" s="1"/>
      <c r="AJ885" s="1"/>
      <c r="AN885" s="1"/>
      <c r="AS885" s="1"/>
      <c r="AX885" s="1"/>
      <c r="BA885" s="1"/>
      <c r="BC885" s="1"/>
      <c r="BM885" s="1"/>
      <c r="BP885" s="1"/>
    </row>
    <row r="886" spans="1:68" x14ac:dyDescent="0.3">
      <c r="A886" s="19">
        <f t="shared" si="69"/>
        <v>47155</v>
      </c>
      <c r="B886">
        <f t="shared" ca="1" si="65"/>
        <v>-2.786111111111111</v>
      </c>
      <c r="C886" t="str">
        <f ca="1">IF(currency="USD",'Future et co'!D886,IF(currency="EUR",'Future et co'!E886,IF(currency="GBP",'Future et co'!F886,FALSE)))</f>
        <v>RFR USD</v>
      </c>
      <c r="D886" t="str">
        <f t="shared" ca="1" si="66"/>
        <v>RFR USD</v>
      </c>
      <c r="E886" t="str">
        <f t="shared" ca="1" si="67"/>
        <v>RFR EUR</v>
      </c>
      <c r="F886" t="str">
        <f t="shared" ca="1" si="68"/>
        <v>RFR GBP</v>
      </c>
      <c r="J886" s="1"/>
      <c r="N886" s="1"/>
      <c r="R886" s="1"/>
      <c r="V886" s="1"/>
      <c r="AB886" s="1"/>
      <c r="AF886" s="1"/>
      <c r="AJ886" s="1"/>
      <c r="AN886" s="1"/>
      <c r="AS886" s="1"/>
      <c r="AX886" s="1"/>
      <c r="BA886" s="1"/>
      <c r="BC886" s="1"/>
      <c r="BM886" s="1"/>
      <c r="BP886" s="1"/>
    </row>
    <row r="887" spans="1:68" x14ac:dyDescent="0.3">
      <c r="A887" s="19">
        <f t="shared" si="69"/>
        <v>47156</v>
      </c>
      <c r="B887">
        <f t="shared" ca="1" si="65"/>
        <v>-2.7888888888888888</v>
      </c>
      <c r="C887" t="str">
        <f ca="1">IF(currency="USD",'Future et co'!D887,IF(currency="EUR",'Future et co'!E887,IF(currency="GBP",'Future et co'!F887,FALSE)))</f>
        <v>RFR USD</v>
      </c>
      <c r="D887" t="str">
        <f t="shared" ca="1" si="66"/>
        <v>RFR USD</v>
      </c>
      <c r="E887" t="str">
        <f t="shared" ca="1" si="67"/>
        <v>RFR EUR</v>
      </c>
      <c r="F887" t="str">
        <f t="shared" ca="1" si="68"/>
        <v>RFR GBP</v>
      </c>
      <c r="J887" s="1"/>
      <c r="N887" s="1"/>
      <c r="R887" s="1"/>
      <c r="V887" s="1"/>
      <c r="AB887" s="1"/>
      <c r="AF887" s="1"/>
      <c r="AJ887" s="1"/>
      <c r="AN887" s="1"/>
      <c r="AS887" s="1"/>
      <c r="AX887" s="1"/>
      <c r="BA887" s="1"/>
      <c r="BC887" s="1"/>
      <c r="BM887" s="1"/>
      <c r="BP887" s="1"/>
    </row>
    <row r="888" spans="1:68" x14ac:dyDescent="0.3">
      <c r="A888" s="19">
        <f t="shared" si="69"/>
        <v>47157</v>
      </c>
      <c r="B888">
        <f t="shared" ca="1" si="65"/>
        <v>-2.7916666666666665</v>
      </c>
      <c r="C888" t="str">
        <f ca="1">IF(currency="USD",'Future et co'!D888,IF(currency="EUR",'Future et co'!E888,IF(currency="GBP",'Future et co'!F888,FALSE)))</f>
        <v>RFR USD</v>
      </c>
      <c r="D888" t="str">
        <f t="shared" ca="1" si="66"/>
        <v>RFR USD</v>
      </c>
      <c r="E888" t="str">
        <f t="shared" ca="1" si="67"/>
        <v>RFR EUR</v>
      </c>
      <c r="F888" t="str">
        <f t="shared" ca="1" si="68"/>
        <v>RFR GBP</v>
      </c>
      <c r="J888" s="1"/>
      <c r="N888" s="1"/>
      <c r="R888" s="1"/>
      <c r="V888" s="1"/>
      <c r="AB888" s="1"/>
      <c r="AF888" s="1"/>
      <c r="AJ888" s="1"/>
      <c r="AN888" s="1"/>
      <c r="AS888" s="1"/>
      <c r="AX888" s="1"/>
      <c r="BA888" s="1"/>
      <c r="BC888" s="1"/>
      <c r="BM888" s="1"/>
      <c r="BP888" s="1"/>
    </row>
    <row r="889" spans="1:68" x14ac:dyDescent="0.3">
      <c r="A889" s="19">
        <f t="shared" si="69"/>
        <v>47158</v>
      </c>
      <c r="B889">
        <f t="shared" ca="1" si="65"/>
        <v>-2.7944444444444443</v>
      </c>
      <c r="C889" t="str">
        <f ca="1">IF(currency="USD",'Future et co'!D889,IF(currency="EUR",'Future et co'!E889,IF(currency="GBP",'Future et co'!F889,FALSE)))</f>
        <v>RFR USD</v>
      </c>
      <c r="D889" t="str">
        <f t="shared" ca="1" si="66"/>
        <v>RFR USD</v>
      </c>
      <c r="E889" t="str">
        <f t="shared" ca="1" si="67"/>
        <v>RFR EUR</v>
      </c>
      <c r="F889" t="str">
        <f t="shared" ca="1" si="68"/>
        <v>RFR GBP</v>
      </c>
      <c r="J889" s="1"/>
      <c r="N889" s="1"/>
      <c r="R889" s="1"/>
      <c r="V889" s="1"/>
      <c r="AB889" s="1"/>
      <c r="AF889" s="1"/>
      <c r="AJ889" s="1"/>
      <c r="AN889" s="1"/>
      <c r="AS889" s="1"/>
      <c r="AX889" s="1"/>
      <c r="BA889" s="1"/>
      <c r="BC889" s="1"/>
      <c r="BM889" s="1"/>
      <c r="BP889" s="1"/>
    </row>
    <row r="890" spans="1:68" x14ac:dyDescent="0.3">
      <c r="A890" s="19">
        <f t="shared" si="69"/>
        <v>47161</v>
      </c>
      <c r="B890">
        <f t="shared" ca="1" si="65"/>
        <v>-2.8027777777777776</v>
      </c>
      <c r="C890" t="str">
        <f ca="1">IF(currency="USD",'Future et co'!D890,IF(currency="EUR",'Future et co'!E890,IF(currency="GBP",'Future et co'!F890,FALSE)))</f>
        <v>RFR USD</v>
      </c>
      <c r="D890" t="str">
        <f t="shared" ca="1" si="66"/>
        <v>RFR USD</v>
      </c>
      <c r="E890" t="str">
        <f t="shared" ca="1" si="67"/>
        <v>RFR EUR</v>
      </c>
      <c r="F890" t="str">
        <f t="shared" ca="1" si="68"/>
        <v>RFR GBP</v>
      </c>
      <c r="J890" s="1"/>
      <c r="N890" s="1"/>
      <c r="R890" s="1"/>
      <c r="V890" s="1"/>
      <c r="AB890" s="1"/>
      <c r="AF890" s="1"/>
      <c r="AJ890" s="1"/>
      <c r="AN890" s="1"/>
      <c r="AS890" s="1"/>
      <c r="AX890" s="1"/>
      <c r="BA890" s="1"/>
      <c r="BC890" s="1"/>
      <c r="BM890" s="1"/>
      <c r="BP890" s="1"/>
    </row>
    <row r="891" spans="1:68" x14ac:dyDescent="0.3">
      <c r="A891" s="19">
        <f t="shared" si="69"/>
        <v>47162</v>
      </c>
      <c r="B891">
        <f t="shared" ca="1" si="65"/>
        <v>-2.8055555555555554</v>
      </c>
      <c r="C891" t="str">
        <f ca="1">IF(currency="USD",'Future et co'!D891,IF(currency="EUR",'Future et co'!E891,IF(currency="GBP",'Future et co'!F891,FALSE)))</f>
        <v>RFR USD</v>
      </c>
      <c r="D891" t="str">
        <f t="shared" ca="1" si="66"/>
        <v>RFR USD</v>
      </c>
      <c r="E891" t="str">
        <f t="shared" ca="1" si="67"/>
        <v>RFR EUR</v>
      </c>
      <c r="F891" t="str">
        <f t="shared" ca="1" si="68"/>
        <v>RFR GBP</v>
      </c>
      <c r="J891" s="1"/>
      <c r="N891" s="1"/>
      <c r="R891" s="1"/>
      <c r="V891" s="1"/>
      <c r="AB891" s="1"/>
      <c r="AF891" s="1"/>
      <c r="AJ891" s="1"/>
      <c r="AN891" s="1"/>
      <c r="AS891" s="1"/>
      <c r="AX891" s="1"/>
      <c r="BA891" s="1"/>
      <c r="BC891" s="1"/>
      <c r="BM891" s="1"/>
      <c r="BP891" s="1"/>
    </row>
    <row r="892" spans="1:68" x14ac:dyDescent="0.3">
      <c r="A892" s="19">
        <f t="shared" si="69"/>
        <v>47163</v>
      </c>
      <c r="B892">
        <f t="shared" ca="1" si="65"/>
        <v>-2.8083333333333331</v>
      </c>
      <c r="C892" t="str">
        <f ca="1">IF(currency="USD",'Future et co'!D892,IF(currency="EUR",'Future et co'!E892,IF(currency="GBP",'Future et co'!F892,FALSE)))</f>
        <v>RFR USD</v>
      </c>
      <c r="D892" t="str">
        <f t="shared" ca="1" si="66"/>
        <v>RFR USD</v>
      </c>
      <c r="E892" t="str">
        <f t="shared" ca="1" si="67"/>
        <v>RFR EUR</v>
      </c>
      <c r="F892" t="str">
        <f t="shared" ca="1" si="68"/>
        <v>RFR GBP</v>
      </c>
      <c r="J892" s="1"/>
      <c r="N892" s="1"/>
      <c r="R892" s="1"/>
      <c r="V892" s="1"/>
      <c r="AB892" s="1"/>
      <c r="AF892" s="1"/>
      <c r="AJ892" s="1"/>
      <c r="AN892" s="1"/>
      <c r="AS892" s="1"/>
      <c r="AX892" s="1"/>
      <c r="BA892" s="1"/>
      <c r="BC892" s="1"/>
      <c r="BM892" s="1"/>
      <c r="BP892" s="1"/>
    </row>
    <row r="893" spans="1:68" x14ac:dyDescent="0.3">
      <c r="A893" s="19">
        <f t="shared" si="69"/>
        <v>47164</v>
      </c>
      <c r="B893">
        <f t="shared" ca="1" si="65"/>
        <v>-2.8111111111111109</v>
      </c>
      <c r="C893" t="str">
        <f ca="1">IF(currency="USD",'Future et co'!D893,IF(currency="EUR",'Future et co'!E893,IF(currency="GBP",'Future et co'!F893,FALSE)))</f>
        <v>RFR USD</v>
      </c>
      <c r="D893" t="str">
        <f t="shared" ca="1" si="66"/>
        <v>RFR USD</v>
      </c>
      <c r="E893" t="str">
        <f t="shared" ca="1" si="67"/>
        <v>RFR EUR</v>
      </c>
      <c r="F893" t="str">
        <f t="shared" ca="1" si="68"/>
        <v>RFR GBP</v>
      </c>
      <c r="J893" s="1"/>
      <c r="N893" s="1"/>
      <c r="R893" s="1"/>
      <c r="V893" s="1"/>
      <c r="AB893" s="1"/>
      <c r="AF893" s="1"/>
      <c r="AJ893" s="1"/>
      <c r="AN893" s="1"/>
      <c r="AS893" s="1"/>
      <c r="AX893" s="1"/>
      <c r="BA893" s="1"/>
      <c r="BC893" s="1"/>
      <c r="BM893" s="1"/>
      <c r="BP893" s="1"/>
    </row>
    <row r="894" spans="1:68" x14ac:dyDescent="0.3">
      <c r="A894" s="19">
        <f t="shared" si="69"/>
        <v>47165</v>
      </c>
      <c r="B894">
        <f t="shared" ca="1" si="65"/>
        <v>-2.8138888888888891</v>
      </c>
      <c r="C894" t="str">
        <f ca="1">IF(currency="USD",'Future et co'!D894,IF(currency="EUR",'Future et co'!E894,IF(currency="GBP",'Future et co'!F894,FALSE)))</f>
        <v>RFR USD</v>
      </c>
      <c r="D894" t="str">
        <f t="shared" ca="1" si="66"/>
        <v>RFR USD</v>
      </c>
      <c r="E894" t="str">
        <f t="shared" ca="1" si="67"/>
        <v>RFR EUR</v>
      </c>
      <c r="F894" t="str">
        <f t="shared" ca="1" si="68"/>
        <v>RFR GBP</v>
      </c>
      <c r="J894" s="1"/>
      <c r="N894" s="1"/>
      <c r="R894" s="1"/>
      <c r="V894" s="1"/>
      <c r="AB894" s="1"/>
      <c r="AF894" s="1"/>
      <c r="AJ894" s="1"/>
      <c r="AN894" s="1"/>
      <c r="AS894" s="1"/>
      <c r="AX894" s="1"/>
      <c r="BA894" s="1"/>
      <c r="BC894" s="1"/>
      <c r="BM894" s="1"/>
      <c r="BP894" s="1"/>
    </row>
    <row r="895" spans="1:68" x14ac:dyDescent="0.3">
      <c r="A895" s="19">
        <f t="shared" si="69"/>
        <v>47168</v>
      </c>
      <c r="B895">
        <f t="shared" ca="1" si="65"/>
        <v>-2.8222222222222224</v>
      </c>
      <c r="C895" t="str">
        <f ca="1">IF(currency="USD",'Future et co'!D895,IF(currency="EUR",'Future et co'!E895,IF(currency="GBP",'Future et co'!F895,FALSE)))</f>
        <v>RFR USD</v>
      </c>
      <c r="D895" t="str">
        <f t="shared" ca="1" si="66"/>
        <v>RFR USD</v>
      </c>
      <c r="E895" t="str">
        <f t="shared" ca="1" si="67"/>
        <v>RFR EUR</v>
      </c>
      <c r="F895" t="str">
        <f t="shared" ca="1" si="68"/>
        <v>RFR GBP</v>
      </c>
      <c r="J895" s="1"/>
      <c r="N895" s="1"/>
      <c r="R895" s="1"/>
      <c r="V895" s="1"/>
      <c r="AB895" s="1"/>
      <c r="AF895" s="1"/>
      <c r="AJ895" s="1"/>
      <c r="AN895" s="1"/>
      <c r="AS895" s="1"/>
      <c r="AX895" s="1"/>
      <c r="BA895" s="1"/>
      <c r="BC895" s="1"/>
      <c r="BM895" s="1"/>
      <c r="BP895" s="1"/>
    </row>
    <row r="896" spans="1:68" x14ac:dyDescent="0.3">
      <c r="A896" s="19">
        <f t="shared" si="69"/>
        <v>47169</v>
      </c>
      <c r="B896">
        <f t="shared" ca="1" si="65"/>
        <v>-2.8250000000000002</v>
      </c>
      <c r="C896" t="str">
        <f ca="1">IF(currency="USD",'Future et co'!D896,IF(currency="EUR",'Future et co'!E896,IF(currency="GBP",'Future et co'!F896,FALSE)))</f>
        <v>RFR USD</v>
      </c>
      <c r="D896" t="str">
        <f t="shared" ca="1" si="66"/>
        <v>RFR USD</v>
      </c>
      <c r="E896" t="str">
        <f t="shared" ca="1" si="67"/>
        <v>RFR EUR</v>
      </c>
      <c r="F896" t="str">
        <f t="shared" ca="1" si="68"/>
        <v>RFR GBP</v>
      </c>
      <c r="J896" s="1"/>
      <c r="N896" s="1"/>
      <c r="R896" s="1"/>
      <c r="V896" s="1"/>
      <c r="AB896" s="1"/>
      <c r="AF896" s="1"/>
      <c r="AJ896" s="1"/>
      <c r="AN896" s="1"/>
      <c r="AS896" s="1"/>
      <c r="AX896" s="1"/>
      <c r="BA896" s="1"/>
      <c r="BC896" s="1"/>
      <c r="BM896" s="1"/>
      <c r="BP896" s="1"/>
    </row>
    <row r="897" spans="1:68" x14ac:dyDescent="0.3">
      <c r="A897" s="19">
        <f t="shared" si="69"/>
        <v>47170</v>
      </c>
      <c r="B897">
        <f t="shared" ca="1" si="65"/>
        <v>-2.8277777777777779</v>
      </c>
      <c r="C897" t="str">
        <f ca="1">IF(currency="USD",'Future et co'!D897,IF(currency="EUR",'Future et co'!E897,IF(currency="GBP",'Future et co'!F897,FALSE)))</f>
        <v>RFR USD</v>
      </c>
      <c r="D897" t="str">
        <f t="shared" ca="1" si="66"/>
        <v>RFR USD</v>
      </c>
      <c r="E897" t="str">
        <f t="shared" ca="1" si="67"/>
        <v>RFR EUR</v>
      </c>
      <c r="F897" t="str">
        <f t="shared" ca="1" si="68"/>
        <v>RFR GBP</v>
      </c>
      <c r="J897" s="1"/>
      <c r="N897" s="1"/>
      <c r="R897" s="1"/>
      <c r="V897" s="1"/>
      <c r="AB897" s="1"/>
      <c r="AF897" s="1"/>
      <c r="AJ897" s="1"/>
      <c r="AN897" s="1"/>
      <c r="AS897" s="1"/>
      <c r="AX897" s="1"/>
      <c r="BA897" s="1"/>
      <c r="BC897" s="1"/>
      <c r="BM897" s="1"/>
      <c r="BP897" s="1"/>
    </row>
    <row r="898" spans="1:68" x14ac:dyDescent="0.3">
      <c r="A898" s="19">
        <f t="shared" si="69"/>
        <v>47171</v>
      </c>
      <c r="B898">
        <f t="shared" ca="1" si="65"/>
        <v>-2.8305555555555557</v>
      </c>
      <c r="C898" t="str">
        <f ca="1">IF(currency="USD",'Future et co'!D898,IF(currency="EUR",'Future et co'!E898,IF(currency="GBP",'Future et co'!F898,FALSE)))</f>
        <v>RFR USD</v>
      </c>
      <c r="D898" t="str">
        <f t="shared" ca="1" si="66"/>
        <v>RFR USD</v>
      </c>
      <c r="E898" t="str">
        <f t="shared" ca="1" si="67"/>
        <v>RFR EUR</v>
      </c>
      <c r="F898" t="str">
        <f t="shared" ca="1" si="68"/>
        <v>RFR GBP</v>
      </c>
      <c r="J898" s="1"/>
      <c r="N898" s="1"/>
      <c r="R898" s="1"/>
      <c r="V898" s="1"/>
      <c r="AB898" s="1"/>
      <c r="AF898" s="1"/>
      <c r="AJ898" s="1"/>
      <c r="AN898" s="1"/>
      <c r="AS898" s="1"/>
      <c r="AX898" s="1"/>
      <c r="BA898" s="1"/>
      <c r="BC898" s="1"/>
      <c r="BM898" s="1"/>
      <c r="BP898" s="1"/>
    </row>
    <row r="899" spans="1:68" x14ac:dyDescent="0.3">
      <c r="A899" s="19">
        <f t="shared" si="69"/>
        <v>47172</v>
      </c>
      <c r="B899">
        <f t="shared" ca="1" si="65"/>
        <v>-2.8333333333333335</v>
      </c>
      <c r="C899" t="str">
        <f ca="1">IF(currency="USD",'Future et co'!D899,IF(currency="EUR",'Future et co'!E899,IF(currency="GBP",'Future et co'!F899,FALSE)))</f>
        <v>RFR USD</v>
      </c>
      <c r="D899" t="str">
        <f t="shared" ca="1" si="66"/>
        <v>RFR USD</v>
      </c>
      <c r="E899" t="str">
        <f t="shared" ca="1" si="67"/>
        <v>RFR EUR</v>
      </c>
      <c r="F899" t="str">
        <f t="shared" ca="1" si="68"/>
        <v>RFR GBP</v>
      </c>
      <c r="J899" s="1"/>
      <c r="N899" s="1"/>
      <c r="R899" s="1"/>
      <c r="V899" s="1"/>
      <c r="AB899" s="1"/>
      <c r="AF899" s="1"/>
      <c r="AJ899" s="1"/>
      <c r="AN899" s="1"/>
      <c r="AS899" s="1"/>
      <c r="AX899" s="1"/>
      <c r="BA899" s="1"/>
      <c r="BC899" s="1"/>
      <c r="BM899" s="1"/>
      <c r="BP899" s="1"/>
    </row>
    <row r="900" spans="1:68" x14ac:dyDescent="0.3">
      <c r="A900" s="19">
        <f t="shared" si="69"/>
        <v>47175</v>
      </c>
      <c r="B900">
        <f t="shared" ca="1" si="65"/>
        <v>-2.8416666666666668</v>
      </c>
      <c r="C900" t="str">
        <f ca="1">IF(currency="USD",'Future et co'!D900,IF(currency="EUR",'Future et co'!E900,IF(currency="GBP",'Future et co'!F900,FALSE)))</f>
        <v>RFR USD</v>
      </c>
      <c r="D900" t="str">
        <f t="shared" ca="1" si="66"/>
        <v>RFR USD</v>
      </c>
      <c r="E900" t="str">
        <f t="shared" ca="1" si="67"/>
        <v>RFR EUR</v>
      </c>
      <c r="F900" t="str">
        <f t="shared" ca="1" si="68"/>
        <v>RFR GBP</v>
      </c>
      <c r="J900" s="1"/>
      <c r="N900" s="1"/>
      <c r="R900" s="1"/>
      <c r="V900" s="1"/>
      <c r="AB900" s="1"/>
      <c r="AF900" s="1"/>
      <c r="AJ900" s="1"/>
      <c r="AN900" s="1"/>
      <c r="AS900" s="1"/>
      <c r="AX900" s="1"/>
      <c r="BA900" s="1"/>
      <c r="BC900" s="1"/>
      <c r="BM900" s="1"/>
      <c r="BP900" s="1"/>
    </row>
    <row r="901" spans="1:68" x14ac:dyDescent="0.3">
      <c r="A901" s="19">
        <f t="shared" si="69"/>
        <v>47176</v>
      </c>
      <c r="B901">
        <f t="shared" ca="1" si="65"/>
        <v>-2.8444444444444446</v>
      </c>
      <c r="C901" t="str">
        <f ca="1">IF(currency="USD",'Future et co'!D901,IF(currency="EUR",'Future et co'!E901,IF(currency="GBP",'Future et co'!F901,FALSE)))</f>
        <v>RFR USD</v>
      </c>
      <c r="D901" t="str">
        <f t="shared" ca="1" si="66"/>
        <v>RFR USD</v>
      </c>
      <c r="E901" t="str">
        <f t="shared" ca="1" si="67"/>
        <v>RFR EUR</v>
      </c>
      <c r="F901" t="str">
        <f t="shared" ca="1" si="68"/>
        <v>RFR GBP</v>
      </c>
      <c r="J901" s="1"/>
      <c r="N901" s="1"/>
      <c r="R901" s="1"/>
      <c r="V901" s="1"/>
      <c r="AB901" s="1"/>
      <c r="AF901" s="1"/>
      <c r="AJ901" s="1"/>
      <c r="AN901" s="1"/>
      <c r="AS901" s="1"/>
      <c r="AX901" s="1"/>
      <c r="BA901" s="1"/>
      <c r="BC901" s="1"/>
      <c r="BM901" s="1"/>
      <c r="BP901" s="1"/>
    </row>
    <row r="902" spans="1:68" x14ac:dyDescent="0.3">
      <c r="A902" s="19">
        <f t="shared" si="69"/>
        <v>47177</v>
      </c>
      <c r="B902">
        <f t="shared" ca="1" si="65"/>
        <v>-2.8472222222222223</v>
      </c>
      <c r="C902" t="str">
        <f ca="1">IF(currency="USD",'Future et co'!D902,IF(currency="EUR",'Future et co'!E902,IF(currency="GBP",'Future et co'!F902,FALSE)))</f>
        <v>RFR USD</v>
      </c>
      <c r="D902" t="str">
        <f t="shared" ca="1" si="66"/>
        <v>RFR USD</v>
      </c>
      <c r="E902" t="str">
        <f t="shared" ca="1" si="67"/>
        <v>RFR EUR</v>
      </c>
      <c r="F902" t="str">
        <f t="shared" ca="1" si="68"/>
        <v>RFR GBP</v>
      </c>
      <c r="J902" s="1"/>
      <c r="N902" s="1"/>
      <c r="R902" s="1"/>
      <c r="V902" s="1"/>
      <c r="AB902" s="1"/>
      <c r="AF902" s="1"/>
      <c r="AJ902" s="1"/>
      <c r="AN902" s="1"/>
      <c r="AS902" s="1"/>
      <c r="AX902" s="1"/>
      <c r="BA902" s="1"/>
      <c r="BC902" s="1"/>
      <c r="BM902" s="1"/>
      <c r="BP902" s="1"/>
    </row>
    <row r="903" spans="1:68" x14ac:dyDescent="0.3">
      <c r="A903" s="19">
        <f t="shared" si="69"/>
        <v>47178</v>
      </c>
      <c r="B903">
        <f t="shared" ca="1" si="65"/>
        <v>-2.85</v>
      </c>
      <c r="C903" t="str">
        <f ca="1">IF(currency="USD",'Future et co'!D903,IF(currency="EUR",'Future et co'!E903,IF(currency="GBP",'Future et co'!F903,FALSE)))</f>
        <v>RFR USD</v>
      </c>
      <c r="D903" t="str">
        <f t="shared" ca="1" si="66"/>
        <v>RFR USD</v>
      </c>
      <c r="E903" t="str">
        <f t="shared" ca="1" si="67"/>
        <v>RFR EUR</v>
      </c>
      <c r="F903" t="str">
        <f t="shared" ca="1" si="68"/>
        <v>RFR GBP</v>
      </c>
      <c r="J903" s="1"/>
      <c r="N903" s="1"/>
      <c r="R903" s="1"/>
      <c r="V903" s="1"/>
      <c r="AB903" s="1"/>
      <c r="AF903" s="1"/>
      <c r="AJ903" s="1"/>
      <c r="AN903" s="1"/>
      <c r="AS903" s="1"/>
      <c r="AX903" s="1"/>
      <c r="BA903" s="1"/>
      <c r="BC903" s="1"/>
      <c r="BM903" s="1"/>
      <c r="BP903" s="1"/>
    </row>
    <row r="904" spans="1:68" x14ac:dyDescent="0.3">
      <c r="A904" s="19">
        <f t="shared" si="69"/>
        <v>47179</v>
      </c>
      <c r="B904">
        <f t="shared" ca="1" si="65"/>
        <v>-2.8527777777777779</v>
      </c>
      <c r="C904" t="str">
        <f ca="1">IF(currency="USD",'Future et co'!D904,IF(currency="EUR",'Future et co'!E904,IF(currency="GBP",'Future et co'!F904,FALSE)))</f>
        <v>RFR USD</v>
      </c>
      <c r="D904" t="str">
        <f t="shared" ca="1" si="66"/>
        <v>RFR USD</v>
      </c>
      <c r="E904" t="str">
        <f t="shared" ca="1" si="67"/>
        <v>RFR EUR</v>
      </c>
      <c r="F904" t="str">
        <f t="shared" ca="1" si="68"/>
        <v>RFR GBP</v>
      </c>
      <c r="J904" s="1"/>
      <c r="N904" s="1"/>
      <c r="R904" s="1"/>
      <c r="V904" s="1"/>
      <c r="AB904" s="1"/>
      <c r="AF904" s="1"/>
      <c r="AJ904" s="1"/>
      <c r="AN904" s="1"/>
      <c r="AS904" s="1"/>
      <c r="AX904" s="1"/>
      <c r="BA904" s="1"/>
      <c r="BC904" s="1"/>
      <c r="BM904" s="1"/>
      <c r="BP904" s="1"/>
    </row>
    <row r="905" spans="1:68" x14ac:dyDescent="0.3">
      <c r="A905" s="19">
        <f t="shared" si="69"/>
        <v>47182</v>
      </c>
      <c r="B905">
        <f t="shared" ca="1" si="65"/>
        <v>-2.8611111111111112</v>
      </c>
      <c r="C905" t="str">
        <f ca="1">IF(currency="USD",'Future et co'!D905,IF(currency="EUR",'Future et co'!E905,IF(currency="GBP",'Future et co'!F905,FALSE)))</f>
        <v>RFR USD</v>
      </c>
      <c r="D905" t="str">
        <f t="shared" ca="1" si="66"/>
        <v>RFR USD</v>
      </c>
      <c r="E905" t="str">
        <f t="shared" ca="1" si="67"/>
        <v>RFR EUR</v>
      </c>
      <c r="F905" t="str">
        <f t="shared" ca="1" si="68"/>
        <v>RFR GBP</v>
      </c>
      <c r="J905" s="1"/>
      <c r="N905" s="1"/>
      <c r="R905" s="1"/>
      <c r="V905" s="1"/>
      <c r="AB905" s="1"/>
      <c r="AF905" s="1"/>
      <c r="AJ905" s="1"/>
      <c r="AN905" s="1"/>
      <c r="AS905" s="1"/>
      <c r="AX905" s="1"/>
      <c r="BA905" s="1"/>
      <c r="BC905" s="1"/>
      <c r="BM905" s="1"/>
      <c r="BP905" s="1"/>
    </row>
    <row r="906" spans="1:68" x14ac:dyDescent="0.3">
      <c r="A906" s="19">
        <f t="shared" si="69"/>
        <v>47183</v>
      </c>
      <c r="B906">
        <f t="shared" ca="1" si="65"/>
        <v>-2.8638888888888889</v>
      </c>
      <c r="C906" t="str">
        <f ca="1">IF(currency="USD",'Future et co'!D906,IF(currency="EUR",'Future et co'!E906,IF(currency="GBP",'Future et co'!F906,FALSE)))</f>
        <v>RFR USD</v>
      </c>
      <c r="D906" t="str">
        <f t="shared" ca="1" si="66"/>
        <v>RFR USD</v>
      </c>
      <c r="E906" t="str">
        <f t="shared" ca="1" si="67"/>
        <v>RFR EUR</v>
      </c>
      <c r="F906" t="str">
        <f t="shared" ca="1" si="68"/>
        <v>RFR GBP</v>
      </c>
      <c r="J906" s="1"/>
      <c r="N906" s="1"/>
      <c r="R906" s="1"/>
      <c r="V906" s="1"/>
      <c r="AB906" s="1"/>
      <c r="AF906" s="1"/>
      <c r="AJ906" s="1"/>
      <c r="AN906" s="1"/>
      <c r="AS906" s="1"/>
      <c r="AX906" s="1"/>
      <c r="BA906" s="1"/>
      <c r="BC906" s="1"/>
      <c r="BM906" s="1"/>
      <c r="BP906" s="1"/>
    </row>
    <row r="907" spans="1:68" x14ac:dyDescent="0.3">
      <c r="A907" s="19">
        <f t="shared" si="69"/>
        <v>47184</v>
      </c>
      <c r="B907">
        <f t="shared" ref="B907:B970" ca="1" si="70">($B$7-A907)/360</f>
        <v>-2.8666666666666667</v>
      </c>
      <c r="C907" t="str">
        <f ca="1">IF(currency="USD",'Future et co'!D907,IF(currency="EUR",'Future et co'!E907,IF(currency="GBP",'Future et co'!F907,FALSE)))</f>
        <v>RFR USD</v>
      </c>
      <c r="D907" t="str">
        <f t="shared" ref="D907:D970" ca="1" si="71">IFERROR(IF(B907&lt;0.25,VLOOKUP(A907,$J$11:$L$5325,3,FALSE),IF(AND(B907&gt;=0.25,B907&lt;0.5),VLOOKUP(A907,$N$11:$P$5325,3,FALSE),IF(AND(B907&gt;=0.5,B907&lt;1),VLOOKUP(A907,$R$11:$T$5325,3,FALSE),VLOOKUP(A907,$V$11:$X$5010,3,FALSE)))),D906)</f>
        <v>RFR USD</v>
      </c>
      <c r="E907" t="str">
        <f t="shared" ref="E907:E970" ca="1" si="72">IFERROR(IF(B907&lt;0.25,VLOOKUP(A907,$AF$11:$AH$5325,3,FALSE),IF(AND(B907&gt;=0.25,B907&lt;0.5),VLOOKUP(A907,$AJ$11:$AL$5325,3,FALSE),VLOOKUP(A907,$AN$11:$AP$5325,3,FALSE))),E906)</f>
        <v>RFR EUR</v>
      </c>
      <c r="F907" t="str">
        <f t="shared" ref="F907:F970" ca="1" si="73">IFERROR(VLOOKUP(A907,$AS$11:$AU$9999,3,FALSE),F906)</f>
        <v>RFR GBP</v>
      </c>
      <c r="J907" s="1"/>
      <c r="N907" s="1"/>
      <c r="R907" s="1"/>
      <c r="V907" s="1"/>
      <c r="AB907" s="1"/>
      <c r="AF907" s="1"/>
      <c r="AJ907" s="1"/>
      <c r="AN907" s="1"/>
      <c r="AS907" s="1"/>
      <c r="AX907" s="1"/>
      <c r="BA907" s="1"/>
      <c r="BC907" s="1"/>
      <c r="BM907" s="1"/>
      <c r="BP907" s="1"/>
    </row>
    <row r="908" spans="1:68" x14ac:dyDescent="0.3">
      <c r="A908" s="19">
        <f t="shared" si="69"/>
        <v>47185</v>
      </c>
      <c r="B908">
        <f t="shared" ca="1" si="70"/>
        <v>-2.8694444444444445</v>
      </c>
      <c r="C908" t="str">
        <f ca="1">IF(currency="USD",'Future et co'!D908,IF(currency="EUR",'Future et co'!E908,IF(currency="GBP",'Future et co'!F908,FALSE)))</f>
        <v>RFR USD</v>
      </c>
      <c r="D908" t="str">
        <f t="shared" ca="1" si="71"/>
        <v>RFR USD</v>
      </c>
      <c r="E908" t="str">
        <f t="shared" ca="1" si="72"/>
        <v>RFR EUR</v>
      </c>
      <c r="F908" t="str">
        <f t="shared" ca="1" si="73"/>
        <v>RFR GBP</v>
      </c>
      <c r="J908" s="1"/>
      <c r="N908" s="1"/>
      <c r="R908" s="1"/>
      <c r="V908" s="1"/>
      <c r="AB908" s="1"/>
      <c r="AF908" s="1"/>
      <c r="AJ908" s="1"/>
      <c r="AN908" s="1"/>
      <c r="AS908" s="1"/>
      <c r="AX908" s="1"/>
      <c r="BA908" s="1"/>
      <c r="BC908" s="1"/>
      <c r="BM908" s="1"/>
      <c r="BP908" s="1"/>
    </row>
    <row r="909" spans="1:68" x14ac:dyDescent="0.3">
      <c r="A909" s="19">
        <f t="shared" ref="A909:A972" si="74">WORKDAY(A908,1)</f>
        <v>47186</v>
      </c>
      <c r="B909">
        <f t="shared" ca="1" si="70"/>
        <v>-2.8722222222222222</v>
      </c>
      <c r="C909" t="str">
        <f ca="1">IF(currency="USD",'Future et co'!D909,IF(currency="EUR",'Future et co'!E909,IF(currency="GBP",'Future et co'!F909,FALSE)))</f>
        <v>RFR USD</v>
      </c>
      <c r="D909" t="str">
        <f t="shared" ca="1" si="71"/>
        <v>RFR USD</v>
      </c>
      <c r="E909" t="str">
        <f t="shared" ca="1" si="72"/>
        <v>RFR EUR</v>
      </c>
      <c r="F909" t="str">
        <f t="shared" ca="1" si="73"/>
        <v>RFR GBP</v>
      </c>
      <c r="J909" s="1"/>
      <c r="N909" s="1"/>
      <c r="R909" s="1"/>
      <c r="V909" s="1"/>
      <c r="AB909" s="1"/>
      <c r="AF909" s="1"/>
      <c r="AJ909" s="1"/>
      <c r="AN909" s="1"/>
      <c r="AS909" s="1"/>
      <c r="AX909" s="1"/>
      <c r="BA909" s="1"/>
      <c r="BC909" s="1"/>
      <c r="BM909" s="1"/>
      <c r="BP909" s="1"/>
    </row>
    <row r="910" spans="1:68" x14ac:dyDescent="0.3">
      <c r="A910" s="19">
        <f t="shared" si="74"/>
        <v>47189</v>
      </c>
      <c r="B910">
        <f t="shared" ca="1" si="70"/>
        <v>-2.8805555555555555</v>
      </c>
      <c r="C910" t="str">
        <f ca="1">IF(currency="USD",'Future et co'!D910,IF(currency="EUR",'Future et co'!E910,IF(currency="GBP",'Future et co'!F910,FALSE)))</f>
        <v>RFR USD</v>
      </c>
      <c r="D910" t="str">
        <f t="shared" ca="1" si="71"/>
        <v>RFR USD</v>
      </c>
      <c r="E910" t="str">
        <f t="shared" ca="1" si="72"/>
        <v>RFR EUR</v>
      </c>
      <c r="F910" t="str">
        <f t="shared" ca="1" si="73"/>
        <v>RFR GBP</v>
      </c>
      <c r="J910" s="1"/>
      <c r="N910" s="1"/>
      <c r="R910" s="1"/>
      <c r="V910" s="1"/>
      <c r="AB910" s="1"/>
      <c r="AF910" s="1"/>
      <c r="AJ910" s="1"/>
      <c r="AN910" s="1"/>
      <c r="AS910" s="1"/>
      <c r="AX910" s="1"/>
      <c r="BA910" s="1"/>
      <c r="BC910" s="1"/>
      <c r="BM910" s="1"/>
      <c r="BP910" s="1"/>
    </row>
    <row r="911" spans="1:68" x14ac:dyDescent="0.3">
      <c r="A911" s="19">
        <f t="shared" si="74"/>
        <v>47190</v>
      </c>
      <c r="B911">
        <f t="shared" ca="1" si="70"/>
        <v>-2.8833333333333333</v>
      </c>
      <c r="C911" t="str">
        <f ca="1">IF(currency="USD",'Future et co'!D911,IF(currency="EUR",'Future et co'!E911,IF(currency="GBP",'Future et co'!F911,FALSE)))</f>
        <v>RFR USD</v>
      </c>
      <c r="D911" t="str">
        <f t="shared" ca="1" si="71"/>
        <v>RFR USD</v>
      </c>
      <c r="E911" t="str">
        <f t="shared" ca="1" si="72"/>
        <v>RFR EUR</v>
      </c>
      <c r="F911" t="str">
        <f t="shared" ca="1" si="73"/>
        <v>RFR GBP</v>
      </c>
      <c r="J911" s="1"/>
      <c r="N911" s="1"/>
      <c r="R911" s="1"/>
      <c r="V911" s="1"/>
      <c r="AB911" s="1"/>
      <c r="AF911" s="1"/>
      <c r="AJ911" s="1"/>
      <c r="AN911" s="1"/>
      <c r="AS911" s="1"/>
      <c r="AX911" s="1"/>
      <c r="BA911" s="1"/>
      <c r="BC911" s="1"/>
      <c r="BM911" s="1"/>
      <c r="BP911" s="1"/>
    </row>
    <row r="912" spans="1:68" x14ac:dyDescent="0.3">
      <c r="A912" s="19">
        <f t="shared" si="74"/>
        <v>47191</v>
      </c>
      <c r="B912">
        <f t="shared" ca="1" si="70"/>
        <v>-2.8861111111111111</v>
      </c>
      <c r="C912" t="str">
        <f ca="1">IF(currency="USD",'Future et co'!D912,IF(currency="EUR",'Future et co'!E912,IF(currency="GBP",'Future et co'!F912,FALSE)))</f>
        <v>RFR USD</v>
      </c>
      <c r="D912" t="str">
        <f t="shared" ca="1" si="71"/>
        <v>RFR USD</v>
      </c>
      <c r="E912" t="str">
        <f t="shared" ca="1" si="72"/>
        <v>RFR EUR</v>
      </c>
      <c r="F912" t="str">
        <f t="shared" ca="1" si="73"/>
        <v>RFR GBP</v>
      </c>
      <c r="J912" s="1"/>
      <c r="N912" s="1"/>
      <c r="R912" s="1"/>
      <c r="V912" s="1"/>
      <c r="AB912" s="1"/>
      <c r="AF912" s="1"/>
      <c r="AJ912" s="1"/>
      <c r="AN912" s="1"/>
      <c r="AS912" s="1"/>
      <c r="AX912" s="1"/>
      <c r="BA912" s="1"/>
      <c r="BC912" s="1"/>
      <c r="BM912" s="1"/>
      <c r="BP912" s="1"/>
    </row>
    <row r="913" spans="1:68" x14ac:dyDescent="0.3">
      <c r="A913" s="19">
        <f t="shared" si="74"/>
        <v>47192</v>
      </c>
      <c r="B913">
        <f t="shared" ca="1" si="70"/>
        <v>-2.8888888888888888</v>
      </c>
      <c r="C913" t="str">
        <f ca="1">IF(currency="USD",'Future et co'!D913,IF(currency="EUR",'Future et co'!E913,IF(currency="GBP",'Future et co'!F913,FALSE)))</f>
        <v>RFR USD</v>
      </c>
      <c r="D913" t="str">
        <f t="shared" ca="1" si="71"/>
        <v>RFR USD</v>
      </c>
      <c r="E913" t="str">
        <f t="shared" ca="1" si="72"/>
        <v>RFR EUR</v>
      </c>
      <c r="F913" t="str">
        <f t="shared" ca="1" si="73"/>
        <v>RFR GBP</v>
      </c>
      <c r="J913" s="1"/>
      <c r="N913" s="1"/>
      <c r="R913" s="1"/>
      <c r="V913" s="1"/>
      <c r="AB913" s="1"/>
      <c r="AF913" s="1"/>
      <c r="AJ913" s="1"/>
      <c r="AN913" s="1"/>
      <c r="AS913" s="1"/>
      <c r="AX913" s="1"/>
      <c r="BA913" s="1"/>
      <c r="BC913" s="1"/>
      <c r="BM913" s="1"/>
      <c r="BP913" s="1"/>
    </row>
    <row r="914" spans="1:68" x14ac:dyDescent="0.3">
      <c r="A914" s="19">
        <f t="shared" si="74"/>
        <v>47193</v>
      </c>
      <c r="B914">
        <f t="shared" ca="1" si="70"/>
        <v>-2.8916666666666666</v>
      </c>
      <c r="C914" t="str">
        <f ca="1">IF(currency="USD",'Future et co'!D914,IF(currency="EUR",'Future et co'!E914,IF(currency="GBP",'Future et co'!F914,FALSE)))</f>
        <v>RFR USD</v>
      </c>
      <c r="D914" t="str">
        <f t="shared" ca="1" si="71"/>
        <v>RFR USD</v>
      </c>
      <c r="E914" t="str">
        <f t="shared" ca="1" si="72"/>
        <v>RFR EUR</v>
      </c>
      <c r="F914" t="str">
        <f t="shared" ca="1" si="73"/>
        <v>RFR GBP</v>
      </c>
      <c r="J914" s="1"/>
      <c r="N914" s="1"/>
      <c r="R914" s="1"/>
      <c r="V914" s="1"/>
      <c r="AB914" s="1"/>
      <c r="AF914" s="1"/>
      <c r="AJ914" s="1"/>
      <c r="AN914" s="1"/>
      <c r="AS914" s="1"/>
      <c r="AX914" s="1"/>
      <c r="BA914" s="1"/>
      <c r="BC914" s="1"/>
      <c r="BM914" s="1"/>
      <c r="BP914" s="1"/>
    </row>
    <row r="915" spans="1:68" x14ac:dyDescent="0.3">
      <c r="A915" s="19">
        <f t="shared" si="74"/>
        <v>47196</v>
      </c>
      <c r="B915">
        <f t="shared" ca="1" si="70"/>
        <v>-2.9</v>
      </c>
      <c r="C915" t="str">
        <f ca="1">IF(currency="USD",'Future et co'!D915,IF(currency="EUR",'Future et co'!E915,IF(currency="GBP",'Future et co'!F915,FALSE)))</f>
        <v>RFR USD</v>
      </c>
      <c r="D915" t="str">
        <f t="shared" ca="1" si="71"/>
        <v>RFR USD</v>
      </c>
      <c r="E915" t="str">
        <f t="shared" ca="1" si="72"/>
        <v>RFR EUR</v>
      </c>
      <c r="F915" t="str">
        <f t="shared" ca="1" si="73"/>
        <v>RFR GBP</v>
      </c>
      <c r="J915" s="1"/>
      <c r="N915" s="1"/>
      <c r="R915" s="1"/>
      <c r="V915" s="1"/>
      <c r="AB915" s="1"/>
      <c r="AF915" s="1"/>
      <c r="AJ915" s="1"/>
      <c r="AN915" s="1"/>
      <c r="AS915" s="1"/>
      <c r="AX915" s="1"/>
      <c r="BA915" s="1"/>
      <c r="BC915" s="1"/>
      <c r="BM915" s="1"/>
      <c r="BP915" s="1"/>
    </row>
    <row r="916" spans="1:68" x14ac:dyDescent="0.3">
      <c r="A916" s="19">
        <f t="shared" si="74"/>
        <v>47197</v>
      </c>
      <c r="B916">
        <f t="shared" ca="1" si="70"/>
        <v>-2.9027777777777777</v>
      </c>
      <c r="C916" t="str">
        <f ca="1">IF(currency="USD",'Future et co'!D916,IF(currency="EUR",'Future et co'!E916,IF(currency="GBP",'Future et co'!F916,FALSE)))</f>
        <v>RFR USD</v>
      </c>
      <c r="D916" t="str">
        <f t="shared" ca="1" si="71"/>
        <v>RFR USD</v>
      </c>
      <c r="E916" t="str">
        <f t="shared" ca="1" si="72"/>
        <v>RFR EUR</v>
      </c>
      <c r="F916" t="str">
        <f t="shared" ca="1" si="73"/>
        <v>RFR GBP</v>
      </c>
      <c r="J916" s="1"/>
      <c r="N916" s="1"/>
      <c r="R916" s="1"/>
      <c r="V916" s="1"/>
      <c r="AB916" s="1"/>
      <c r="AF916" s="1"/>
      <c r="AJ916" s="1"/>
      <c r="AN916" s="1"/>
      <c r="AS916" s="1"/>
      <c r="AX916" s="1"/>
      <c r="BA916" s="1"/>
      <c r="BC916" s="1"/>
      <c r="BM916" s="1"/>
      <c r="BP916" s="1"/>
    </row>
    <row r="917" spans="1:68" x14ac:dyDescent="0.3">
      <c r="A917" s="19">
        <f t="shared" si="74"/>
        <v>47198</v>
      </c>
      <c r="B917">
        <f t="shared" ca="1" si="70"/>
        <v>-2.9055555555555554</v>
      </c>
      <c r="C917" t="str">
        <f ca="1">IF(currency="USD",'Future et co'!D917,IF(currency="EUR",'Future et co'!E917,IF(currency="GBP",'Future et co'!F917,FALSE)))</f>
        <v>RFR USD</v>
      </c>
      <c r="D917" t="str">
        <f t="shared" ca="1" si="71"/>
        <v>RFR USD</v>
      </c>
      <c r="E917" t="str">
        <f t="shared" ca="1" si="72"/>
        <v>RFR EUR</v>
      </c>
      <c r="F917" t="str">
        <f t="shared" ca="1" si="73"/>
        <v>RFR GBP</v>
      </c>
      <c r="J917" s="1"/>
      <c r="N917" s="1"/>
      <c r="R917" s="1"/>
      <c r="V917" s="1"/>
      <c r="AB917" s="1"/>
      <c r="AF917" s="1"/>
      <c r="AJ917" s="1"/>
      <c r="AN917" s="1"/>
      <c r="AS917" s="1"/>
      <c r="AX917" s="1"/>
      <c r="BA917" s="1"/>
      <c r="BC917" s="1"/>
      <c r="BM917" s="1"/>
      <c r="BP917" s="1"/>
    </row>
    <row r="918" spans="1:68" x14ac:dyDescent="0.3">
      <c r="A918" s="19">
        <f t="shared" si="74"/>
        <v>47199</v>
      </c>
      <c r="B918">
        <f t="shared" ca="1" si="70"/>
        <v>-2.9083333333333332</v>
      </c>
      <c r="C918" t="str">
        <f ca="1">IF(currency="USD",'Future et co'!D918,IF(currency="EUR",'Future et co'!E918,IF(currency="GBP",'Future et co'!F918,FALSE)))</f>
        <v>RFR USD</v>
      </c>
      <c r="D918" t="str">
        <f t="shared" ca="1" si="71"/>
        <v>RFR USD</v>
      </c>
      <c r="E918" t="str">
        <f t="shared" ca="1" si="72"/>
        <v>RFR EUR</v>
      </c>
      <c r="F918" t="str">
        <f t="shared" ca="1" si="73"/>
        <v>RFR GBP</v>
      </c>
      <c r="J918" s="1"/>
      <c r="N918" s="1"/>
      <c r="R918" s="1"/>
      <c r="V918" s="1"/>
      <c r="AB918" s="1"/>
      <c r="AF918" s="1"/>
      <c r="AJ918" s="1"/>
      <c r="AN918" s="1"/>
      <c r="AS918" s="1"/>
      <c r="AX918" s="1"/>
      <c r="BA918" s="1"/>
      <c r="BC918" s="1"/>
      <c r="BM918" s="1"/>
      <c r="BP918" s="1"/>
    </row>
    <row r="919" spans="1:68" x14ac:dyDescent="0.3">
      <c r="A919" s="19">
        <f t="shared" si="74"/>
        <v>47200</v>
      </c>
      <c r="B919">
        <f t="shared" ca="1" si="70"/>
        <v>-2.911111111111111</v>
      </c>
      <c r="C919" t="str">
        <f ca="1">IF(currency="USD",'Future et co'!D919,IF(currency="EUR",'Future et co'!E919,IF(currency="GBP",'Future et co'!F919,FALSE)))</f>
        <v>RFR USD</v>
      </c>
      <c r="D919" t="str">
        <f t="shared" ca="1" si="71"/>
        <v>RFR USD</v>
      </c>
      <c r="E919" t="str">
        <f t="shared" ca="1" si="72"/>
        <v>RFR EUR</v>
      </c>
      <c r="F919" t="str">
        <f t="shared" ca="1" si="73"/>
        <v>RFR GBP</v>
      </c>
      <c r="J919" s="1"/>
      <c r="N919" s="1"/>
      <c r="R919" s="1"/>
      <c r="V919" s="1"/>
      <c r="AB919" s="1"/>
      <c r="AF919" s="1"/>
      <c r="AJ919" s="1"/>
      <c r="AN919" s="1"/>
      <c r="AS919" s="1"/>
      <c r="AX919" s="1"/>
      <c r="BA919" s="1"/>
      <c r="BC919" s="1"/>
      <c r="BM919" s="1"/>
      <c r="BP919" s="1"/>
    </row>
    <row r="920" spans="1:68" x14ac:dyDescent="0.3">
      <c r="A920" s="19">
        <f t="shared" si="74"/>
        <v>47203</v>
      </c>
      <c r="B920">
        <f t="shared" ca="1" si="70"/>
        <v>-2.9194444444444443</v>
      </c>
      <c r="C920" t="str">
        <f ca="1">IF(currency="USD",'Future et co'!D920,IF(currency="EUR",'Future et co'!E920,IF(currency="GBP",'Future et co'!F920,FALSE)))</f>
        <v>RFR USD</v>
      </c>
      <c r="D920" t="str">
        <f t="shared" ca="1" si="71"/>
        <v>RFR USD</v>
      </c>
      <c r="E920" t="str">
        <f t="shared" ca="1" si="72"/>
        <v>RFR EUR</v>
      </c>
      <c r="F920" t="str">
        <f t="shared" ca="1" si="73"/>
        <v>RFR GBP</v>
      </c>
      <c r="J920" s="1"/>
      <c r="N920" s="1"/>
      <c r="R920" s="1"/>
      <c r="V920" s="1"/>
      <c r="AB920" s="1"/>
      <c r="AF920" s="1"/>
      <c r="AJ920" s="1"/>
      <c r="AN920" s="1"/>
      <c r="AS920" s="1"/>
      <c r="AX920" s="1"/>
      <c r="BA920" s="1"/>
      <c r="BC920" s="1"/>
      <c r="BM920" s="1"/>
      <c r="BP920" s="1"/>
    </row>
    <row r="921" spans="1:68" x14ac:dyDescent="0.3">
      <c r="A921" s="19">
        <f t="shared" si="74"/>
        <v>47204</v>
      </c>
      <c r="B921">
        <f t="shared" ca="1" si="70"/>
        <v>-2.9222222222222221</v>
      </c>
      <c r="C921" t="str">
        <f ca="1">IF(currency="USD",'Future et co'!D921,IF(currency="EUR",'Future et co'!E921,IF(currency="GBP",'Future et co'!F921,FALSE)))</f>
        <v>RFR USD</v>
      </c>
      <c r="D921" t="str">
        <f t="shared" ca="1" si="71"/>
        <v>RFR USD</v>
      </c>
      <c r="E921" t="str">
        <f t="shared" ca="1" si="72"/>
        <v>RFR EUR</v>
      </c>
      <c r="F921" t="str">
        <f t="shared" ca="1" si="73"/>
        <v>RFR GBP</v>
      </c>
      <c r="J921" s="1"/>
      <c r="N921" s="1"/>
      <c r="R921" s="1"/>
      <c r="V921" s="1"/>
      <c r="AB921" s="1"/>
      <c r="AF921" s="1"/>
      <c r="AJ921" s="1"/>
      <c r="AN921" s="1"/>
      <c r="AS921" s="1"/>
      <c r="AX921" s="1"/>
      <c r="BA921" s="1"/>
      <c r="BC921" s="1"/>
      <c r="BM921" s="1"/>
      <c r="BP921" s="1"/>
    </row>
    <row r="922" spans="1:68" x14ac:dyDescent="0.3">
      <c r="A922" s="19">
        <f t="shared" si="74"/>
        <v>47205</v>
      </c>
      <c r="B922">
        <f t="shared" ca="1" si="70"/>
        <v>-2.9249999999999998</v>
      </c>
      <c r="C922" t="str">
        <f ca="1">IF(currency="USD",'Future et co'!D922,IF(currency="EUR",'Future et co'!E922,IF(currency="GBP",'Future et co'!F922,FALSE)))</f>
        <v>RFR USD</v>
      </c>
      <c r="D922" t="str">
        <f t="shared" ca="1" si="71"/>
        <v>RFR USD</v>
      </c>
      <c r="E922" t="str">
        <f t="shared" ca="1" si="72"/>
        <v>RFR EUR</v>
      </c>
      <c r="F922" t="str">
        <f t="shared" ca="1" si="73"/>
        <v>RFR GBP</v>
      </c>
      <c r="J922" s="1"/>
      <c r="N922" s="1"/>
      <c r="R922" s="1"/>
      <c r="V922" s="1"/>
      <c r="AB922" s="1"/>
      <c r="AF922" s="1"/>
      <c r="AJ922" s="1"/>
      <c r="AN922" s="1"/>
      <c r="AS922" s="1"/>
      <c r="AX922" s="1"/>
      <c r="BA922" s="1"/>
      <c r="BC922" s="1"/>
      <c r="BM922" s="1"/>
      <c r="BP922" s="1"/>
    </row>
    <row r="923" spans="1:68" x14ac:dyDescent="0.3">
      <c r="A923" s="19">
        <f t="shared" si="74"/>
        <v>47206</v>
      </c>
      <c r="B923">
        <f t="shared" ca="1" si="70"/>
        <v>-2.9277777777777776</v>
      </c>
      <c r="C923" t="str">
        <f ca="1">IF(currency="USD",'Future et co'!D923,IF(currency="EUR",'Future et co'!E923,IF(currency="GBP",'Future et co'!F923,FALSE)))</f>
        <v>RFR USD</v>
      </c>
      <c r="D923" t="str">
        <f t="shared" ca="1" si="71"/>
        <v>RFR USD</v>
      </c>
      <c r="E923" t="str">
        <f t="shared" ca="1" si="72"/>
        <v>RFR EUR</v>
      </c>
      <c r="F923" t="str">
        <f t="shared" ca="1" si="73"/>
        <v>RFR GBP</v>
      </c>
      <c r="J923" s="1"/>
      <c r="N923" s="1"/>
      <c r="R923" s="1"/>
      <c r="V923" s="1"/>
      <c r="AB923" s="1"/>
      <c r="AF923" s="1"/>
      <c r="AJ923" s="1"/>
      <c r="AN923" s="1"/>
      <c r="AS923" s="1"/>
      <c r="AX923" s="1"/>
      <c r="BA923" s="1"/>
      <c r="BC923" s="1"/>
      <c r="BM923" s="1"/>
      <c r="BP923" s="1"/>
    </row>
    <row r="924" spans="1:68" x14ac:dyDescent="0.3">
      <c r="A924" s="19">
        <f t="shared" si="74"/>
        <v>47207</v>
      </c>
      <c r="B924">
        <f t="shared" ca="1" si="70"/>
        <v>-2.9305555555555554</v>
      </c>
      <c r="C924" t="str">
        <f ca="1">IF(currency="USD",'Future et co'!D924,IF(currency="EUR",'Future et co'!E924,IF(currency="GBP",'Future et co'!F924,FALSE)))</f>
        <v>RFR USD</v>
      </c>
      <c r="D924" t="str">
        <f t="shared" ca="1" si="71"/>
        <v>RFR USD</v>
      </c>
      <c r="E924" t="str">
        <f t="shared" ca="1" si="72"/>
        <v>RFR EUR</v>
      </c>
      <c r="F924" t="str">
        <f t="shared" ca="1" si="73"/>
        <v>RFR GBP</v>
      </c>
      <c r="J924" s="1"/>
      <c r="N924" s="1"/>
      <c r="R924" s="1"/>
      <c r="V924" s="1"/>
      <c r="AB924" s="1"/>
      <c r="AF924" s="1"/>
      <c r="AJ924" s="1"/>
      <c r="AN924" s="1"/>
      <c r="AS924" s="1"/>
      <c r="AX924" s="1"/>
      <c r="BA924" s="1"/>
      <c r="BC924" s="1"/>
      <c r="BM924" s="1"/>
      <c r="BP924" s="1"/>
    </row>
    <row r="925" spans="1:68" x14ac:dyDescent="0.3">
      <c r="A925" s="19">
        <f t="shared" si="74"/>
        <v>47210</v>
      </c>
      <c r="B925">
        <f t="shared" ca="1" si="70"/>
        <v>-2.9388888888888891</v>
      </c>
      <c r="C925" t="str">
        <f ca="1">IF(currency="USD",'Future et co'!D925,IF(currency="EUR",'Future et co'!E925,IF(currency="GBP",'Future et co'!F925,FALSE)))</f>
        <v>RFR USD</v>
      </c>
      <c r="D925" t="str">
        <f t="shared" ca="1" si="71"/>
        <v>RFR USD</v>
      </c>
      <c r="E925" t="str">
        <f t="shared" ca="1" si="72"/>
        <v>RFR EUR</v>
      </c>
      <c r="F925" t="str">
        <f t="shared" ca="1" si="73"/>
        <v>RFR GBP</v>
      </c>
      <c r="J925" s="1"/>
      <c r="N925" s="1"/>
      <c r="R925" s="1"/>
      <c r="V925" s="1"/>
      <c r="AB925" s="1"/>
      <c r="AF925" s="1"/>
      <c r="AJ925" s="1"/>
      <c r="AN925" s="1"/>
      <c r="AS925" s="1"/>
      <c r="AX925" s="1"/>
      <c r="BA925" s="1"/>
      <c r="BC925" s="1"/>
      <c r="BM925" s="1"/>
      <c r="BP925" s="1"/>
    </row>
    <row r="926" spans="1:68" x14ac:dyDescent="0.3">
      <c r="A926" s="19">
        <f t="shared" si="74"/>
        <v>47211</v>
      </c>
      <c r="B926">
        <f t="shared" ca="1" si="70"/>
        <v>-2.9416666666666669</v>
      </c>
      <c r="C926" t="str">
        <f ca="1">IF(currency="USD",'Future et co'!D926,IF(currency="EUR",'Future et co'!E926,IF(currency="GBP",'Future et co'!F926,FALSE)))</f>
        <v>RFR USD</v>
      </c>
      <c r="D926" t="str">
        <f t="shared" ca="1" si="71"/>
        <v>RFR USD</v>
      </c>
      <c r="E926" t="str">
        <f t="shared" ca="1" si="72"/>
        <v>RFR EUR</v>
      </c>
      <c r="F926" t="str">
        <f t="shared" ca="1" si="73"/>
        <v>RFR GBP</v>
      </c>
      <c r="J926" s="1"/>
      <c r="N926" s="1"/>
      <c r="R926" s="1"/>
      <c r="V926" s="1"/>
      <c r="AB926" s="1"/>
      <c r="AF926" s="1"/>
      <c r="AJ926" s="1"/>
      <c r="AN926" s="1"/>
      <c r="AS926" s="1"/>
      <c r="AX926" s="1"/>
      <c r="BA926" s="1"/>
      <c r="BC926" s="1"/>
      <c r="BM926" s="1"/>
      <c r="BP926" s="1"/>
    </row>
    <row r="927" spans="1:68" x14ac:dyDescent="0.3">
      <c r="A927" s="19">
        <f t="shared" si="74"/>
        <v>47212</v>
      </c>
      <c r="B927">
        <f t="shared" ca="1" si="70"/>
        <v>-2.9444444444444446</v>
      </c>
      <c r="C927" t="str">
        <f ca="1">IF(currency="USD",'Future et co'!D927,IF(currency="EUR",'Future et co'!E927,IF(currency="GBP",'Future et co'!F927,FALSE)))</f>
        <v>RFR USD</v>
      </c>
      <c r="D927" t="str">
        <f t="shared" ca="1" si="71"/>
        <v>RFR USD</v>
      </c>
      <c r="E927" t="str">
        <f t="shared" ca="1" si="72"/>
        <v>RFR EUR</v>
      </c>
      <c r="F927" t="str">
        <f t="shared" ca="1" si="73"/>
        <v>RFR GBP</v>
      </c>
      <c r="J927" s="1"/>
      <c r="N927" s="1"/>
      <c r="R927" s="1"/>
      <c r="V927" s="1"/>
      <c r="AB927" s="1"/>
      <c r="AF927" s="1"/>
      <c r="AJ927" s="1"/>
      <c r="AN927" s="1"/>
      <c r="AS927" s="1"/>
      <c r="AX927" s="1"/>
      <c r="BA927" s="1"/>
      <c r="BC927" s="1"/>
      <c r="BM927" s="1"/>
      <c r="BP927" s="1"/>
    </row>
    <row r="928" spans="1:68" x14ac:dyDescent="0.3">
      <c r="A928" s="19">
        <f t="shared" si="74"/>
        <v>47213</v>
      </c>
      <c r="B928">
        <f t="shared" ca="1" si="70"/>
        <v>-2.9472222222222224</v>
      </c>
      <c r="C928" t="str">
        <f ca="1">IF(currency="USD",'Future et co'!D928,IF(currency="EUR",'Future et co'!E928,IF(currency="GBP",'Future et co'!F928,FALSE)))</f>
        <v>RFR USD</v>
      </c>
      <c r="D928" t="str">
        <f t="shared" ca="1" si="71"/>
        <v>RFR USD</v>
      </c>
      <c r="E928" t="str">
        <f t="shared" ca="1" si="72"/>
        <v>RFR EUR</v>
      </c>
      <c r="F928" t="str">
        <f t="shared" ca="1" si="73"/>
        <v>RFR GBP</v>
      </c>
      <c r="J928" s="1"/>
      <c r="N928" s="1"/>
      <c r="R928" s="1"/>
      <c r="V928" s="1"/>
      <c r="AB928" s="1"/>
      <c r="AF928" s="1"/>
      <c r="AJ928" s="1"/>
      <c r="AN928" s="1"/>
      <c r="AS928" s="1"/>
      <c r="AX928" s="1"/>
      <c r="BA928" s="1"/>
      <c r="BC928" s="1"/>
      <c r="BM928" s="1"/>
      <c r="BP928" s="1"/>
    </row>
    <row r="929" spans="1:68" x14ac:dyDescent="0.3">
      <c r="A929" s="19">
        <f t="shared" si="74"/>
        <v>47214</v>
      </c>
      <c r="B929">
        <f t="shared" ca="1" si="70"/>
        <v>-2.95</v>
      </c>
      <c r="C929" t="str">
        <f ca="1">IF(currency="USD",'Future et co'!D929,IF(currency="EUR",'Future et co'!E929,IF(currency="GBP",'Future et co'!F929,FALSE)))</f>
        <v>RFR USD</v>
      </c>
      <c r="D929" t="str">
        <f t="shared" ca="1" si="71"/>
        <v>RFR USD</v>
      </c>
      <c r="E929" t="str">
        <f t="shared" ca="1" si="72"/>
        <v>RFR EUR</v>
      </c>
      <c r="F929" t="str">
        <f t="shared" ca="1" si="73"/>
        <v>RFR GBP</v>
      </c>
      <c r="J929" s="1"/>
      <c r="N929" s="1"/>
      <c r="R929" s="1"/>
      <c r="V929" s="1"/>
      <c r="AB929" s="1"/>
      <c r="AF929" s="1"/>
      <c r="AJ929" s="1"/>
      <c r="AN929" s="1"/>
      <c r="AS929" s="1"/>
      <c r="AX929" s="1"/>
      <c r="BA929" s="1"/>
      <c r="BC929" s="1"/>
      <c r="BM929" s="1"/>
      <c r="BP929" s="1"/>
    </row>
    <row r="930" spans="1:68" x14ac:dyDescent="0.3">
      <c r="A930" s="19">
        <f t="shared" si="74"/>
        <v>47217</v>
      </c>
      <c r="B930">
        <f t="shared" ca="1" si="70"/>
        <v>-2.9583333333333335</v>
      </c>
      <c r="C930" t="str">
        <f ca="1">IF(currency="USD",'Future et co'!D930,IF(currency="EUR",'Future et co'!E930,IF(currency="GBP",'Future et co'!F930,FALSE)))</f>
        <v>RFR USD</v>
      </c>
      <c r="D930" t="str">
        <f t="shared" ca="1" si="71"/>
        <v>RFR USD</v>
      </c>
      <c r="E930" t="str">
        <f t="shared" ca="1" si="72"/>
        <v>RFR EUR</v>
      </c>
      <c r="F930" t="str">
        <f t="shared" ca="1" si="73"/>
        <v>RFR GBP</v>
      </c>
      <c r="J930" s="1"/>
      <c r="N930" s="1"/>
      <c r="R930" s="1"/>
      <c r="V930" s="1"/>
      <c r="AB930" s="1"/>
      <c r="AF930" s="1"/>
      <c r="AJ930" s="1"/>
      <c r="AN930" s="1"/>
      <c r="AS930" s="1"/>
      <c r="AX930" s="1"/>
      <c r="BA930" s="1"/>
      <c r="BC930" s="1"/>
      <c r="BM930" s="1"/>
      <c r="BP930" s="1"/>
    </row>
    <row r="931" spans="1:68" x14ac:dyDescent="0.3">
      <c r="A931" s="19">
        <f t="shared" si="74"/>
        <v>47218</v>
      </c>
      <c r="B931">
        <f t="shared" ca="1" si="70"/>
        <v>-2.9611111111111112</v>
      </c>
      <c r="C931" t="str">
        <f ca="1">IF(currency="USD",'Future et co'!D931,IF(currency="EUR",'Future et co'!E931,IF(currency="GBP",'Future et co'!F931,FALSE)))</f>
        <v>RFR USD</v>
      </c>
      <c r="D931" t="str">
        <f t="shared" ca="1" si="71"/>
        <v>RFR USD</v>
      </c>
      <c r="E931" t="str">
        <f t="shared" ca="1" si="72"/>
        <v>RFR EUR</v>
      </c>
      <c r="F931" t="str">
        <f t="shared" ca="1" si="73"/>
        <v>RFR GBP</v>
      </c>
      <c r="J931" s="1"/>
      <c r="N931" s="1"/>
      <c r="R931" s="1"/>
      <c r="V931" s="1"/>
      <c r="AB931" s="1"/>
      <c r="AF931" s="1"/>
      <c r="AJ931" s="1"/>
      <c r="AN931" s="1"/>
      <c r="AS931" s="1"/>
      <c r="AX931" s="1"/>
      <c r="BA931" s="1"/>
      <c r="BC931" s="1"/>
      <c r="BM931" s="1"/>
      <c r="BP931" s="1"/>
    </row>
    <row r="932" spans="1:68" x14ac:dyDescent="0.3">
      <c r="A932" s="19">
        <f t="shared" si="74"/>
        <v>47219</v>
      </c>
      <c r="B932">
        <f t="shared" ca="1" si="70"/>
        <v>-2.963888888888889</v>
      </c>
      <c r="C932" t="str">
        <f ca="1">IF(currency="USD",'Future et co'!D932,IF(currency="EUR",'Future et co'!E932,IF(currency="GBP",'Future et co'!F932,FALSE)))</f>
        <v>RFR USD</v>
      </c>
      <c r="D932" t="str">
        <f t="shared" ca="1" si="71"/>
        <v>RFR USD</v>
      </c>
      <c r="E932" t="str">
        <f t="shared" ca="1" si="72"/>
        <v>RFR EUR</v>
      </c>
      <c r="F932" t="str">
        <f t="shared" ca="1" si="73"/>
        <v>RFR GBP</v>
      </c>
      <c r="J932" s="1"/>
      <c r="N932" s="1"/>
      <c r="R932" s="1"/>
      <c r="V932" s="1"/>
      <c r="AB932" s="1"/>
      <c r="AF932" s="1"/>
      <c r="AJ932" s="1"/>
      <c r="AN932" s="1"/>
      <c r="AS932" s="1"/>
      <c r="AX932" s="1"/>
      <c r="BA932" s="1"/>
      <c r="BC932" s="1"/>
      <c r="BM932" s="1"/>
      <c r="BP932" s="1"/>
    </row>
    <row r="933" spans="1:68" x14ac:dyDescent="0.3">
      <c r="A933" s="19">
        <f t="shared" si="74"/>
        <v>47220</v>
      </c>
      <c r="B933">
        <f t="shared" ca="1" si="70"/>
        <v>-2.9666666666666668</v>
      </c>
      <c r="C933" t="str">
        <f ca="1">IF(currency="USD",'Future et co'!D933,IF(currency="EUR",'Future et co'!E933,IF(currency="GBP",'Future et co'!F933,FALSE)))</f>
        <v>RFR USD</v>
      </c>
      <c r="D933" t="str">
        <f t="shared" ca="1" si="71"/>
        <v>RFR USD</v>
      </c>
      <c r="E933" t="str">
        <f t="shared" ca="1" si="72"/>
        <v>RFR EUR</v>
      </c>
      <c r="F933" t="str">
        <f t="shared" ca="1" si="73"/>
        <v>RFR GBP</v>
      </c>
      <c r="J933" s="1"/>
      <c r="N933" s="1"/>
      <c r="R933" s="1"/>
      <c r="V933" s="1"/>
      <c r="AB933" s="1"/>
      <c r="AF933" s="1"/>
      <c r="AJ933" s="1"/>
      <c r="AN933" s="1"/>
      <c r="AS933" s="1"/>
      <c r="AX933" s="1"/>
      <c r="BA933" s="1"/>
      <c r="BC933" s="1"/>
      <c r="BM933" s="1"/>
      <c r="BP933" s="1"/>
    </row>
    <row r="934" spans="1:68" x14ac:dyDescent="0.3">
      <c r="A934" s="19">
        <f t="shared" si="74"/>
        <v>47221</v>
      </c>
      <c r="B934">
        <f t="shared" ca="1" si="70"/>
        <v>-2.9694444444444446</v>
      </c>
      <c r="C934" t="str">
        <f ca="1">IF(currency="USD",'Future et co'!D934,IF(currency="EUR",'Future et co'!E934,IF(currency="GBP",'Future et co'!F934,FALSE)))</f>
        <v>RFR USD</v>
      </c>
      <c r="D934" t="str">
        <f t="shared" ca="1" si="71"/>
        <v>RFR USD</v>
      </c>
      <c r="E934" t="str">
        <f t="shared" ca="1" si="72"/>
        <v>RFR EUR</v>
      </c>
      <c r="F934" t="str">
        <f t="shared" ca="1" si="73"/>
        <v>RFR GBP</v>
      </c>
      <c r="J934" s="1"/>
      <c r="N934" s="1"/>
      <c r="R934" s="1"/>
      <c r="V934" s="1"/>
      <c r="AB934" s="1"/>
      <c r="AF934" s="1"/>
      <c r="AJ934" s="1"/>
      <c r="AN934" s="1"/>
      <c r="AS934" s="1"/>
      <c r="AX934" s="1"/>
      <c r="BA934" s="1"/>
      <c r="BC934" s="1"/>
      <c r="BM934" s="1"/>
      <c r="BP934" s="1"/>
    </row>
    <row r="935" spans="1:68" x14ac:dyDescent="0.3">
      <c r="A935" s="19">
        <f t="shared" si="74"/>
        <v>47224</v>
      </c>
      <c r="B935">
        <f t="shared" ca="1" si="70"/>
        <v>-2.9777777777777779</v>
      </c>
      <c r="C935" t="str">
        <f ca="1">IF(currency="USD",'Future et co'!D935,IF(currency="EUR",'Future et co'!E935,IF(currency="GBP",'Future et co'!F935,FALSE)))</f>
        <v>RFR USD</v>
      </c>
      <c r="D935" t="str">
        <f t="shared" ca="1" si="71"/>
        <v>RFR USD</v>
      </c>
      <c r="E935" t="str">
        <f t="shared" ca="1" si="72"/>
        <v>RFR EUR</v>
      </c>
      <c r="F935" t="str">
        <f t="shared" ca="1" si="73"/>
        <v>RFR GBP</v>
      </c>
      <c r="J935" s="1"/>
      <c r="N935" s="1"/>
      <c r="R935" s="1"/>
      <c r="V935" s="1"/>
      <c r="AB935" s="1"/>
      <c r="AF935" s="1"/>
      <c r="AJ935" s="1"/>
      <c r="AN935" s="1"/>
      <c r="AS935" s="1"/>
      <c r="AX935" s="1"/>
      <c r="BA935" s="1"/>
      <c r="BC935" s="1"/>
      <c r="BM935" s="1"/>
      <c r="BP935" s="1"/>
    </row>
    <row r="936" spans="1:68" x14ac:dyDescent="0.3">
      <c r="A936" s="19">
        <f t="shared" si="74"/>
        <v>47225</v>
      </c>
      <c r="B936">
        <f t="shared" ca="1" si="70"/>
        <v>-2.9805555555555556</v>
      </c>
      <c r="C936" t="str">
        <f ca="1">IF(currency="USD",'Future et co'!D936,IF(currency="EUR",'Future et co'!E936,IF(currency="GBP",'Future et co'!F936,FALSE)))</f>
        <v>RFR USD</v>
      </c>
      <c r="D936" t="str">
        <f t="shared" ca="1" si="71"/>
        <v>RFR USD</v>
      </c>
      <c r="E936" t="str">
        <f t="shared" ca="1" si="72"/>
        <v>RFR EUR</v>
      </c>
      <c r="F936" t="str">
        <f t="shared" ca="1" si="73"/>
        <v>RFR GBP</v>
      </c>
      <c r="J936" s="1"/>
      <c r="N936" s="1"/>
      <c r="R936" s="1"/>
      <c r="V936" s="1"/>
      <c r="AB936" s="1"/>
      <c r="AF936" s="1"/>
      <c r="AJ936" s="1"/>
      <c r="AN936" s="1"/>
      <c r="AS936" s="1"/>
      <c r="AX936" s="1"/>
      <c r="BA936" s="1"/>
      <c r="BC936" s="1"/>
      <c r="BM936" s="1"/>
      <c r="BP936" s="1"/>
    </row>
    <row r="937" spans="1:68" x14ac:dyDescent="0.3">
      <c r="A937" s="19">
        <f t="shared" si="74"/>
        <v>47226</v>
      </c>
      <c r="B937">
        <f t="shared" ca="1" si="70"/>
        <v>-2.9833333333333334</v>
      </c>
      <c r="C937" t="str">
        <f ca="1">IF(currency="USD",'Future et co'!D937,IF(currency="EUR",'Future et co'!E937,IF(currency="GBP",'Future et co'!F937,FALSE)))</f>
        <v>RFR USD</v>
      </c>
      <c r="D937" t="str">
        <f t="shared" ca="1" si="71"/>
        <v>RFR USD</v>
      </c>
      <c r="E937" t="str">
        <f t="shared" ca="1" si="72"/>
        <v>RFR EUR</v>
      </c>
      <c r="F937" t="str">
        <f t="shared" ca="1" si="73"/>
        <v>RFR GBP</v>
      </c>
      <c r="J937" s="1"/>
      <c r="N937" s="1"/>
      <c r="R937" s="1"/>
      <c r="V937" s="1"/>
      <c r="AB937" s="1"/>
      <c r="AF937" s="1"/>
      <c r="AJ937" s="1"/>
      <c r="AN937" s="1"/>
      <c r="AS937" s="1"/>
      <c r="AX937" s="1"/>
      <c r="BA937" s="1"/>
      <c r="BC937" s="1"/>
      <c r="BM937" s="1"/>
      <c r="BP937" s="1"/>
    </row>
    <row r="938" spans="1:68" x14ac:dyDescent="0.3">
      <c r="A938" s="19">
        <f t="shared" si="74"/>
        <v>47227</v>
      </c>
      <c r="B938">
        <f t="shared" ca="1" si="70"/>
        <v>-2.9861111111111112</v>
      </c>
      <c r="C938" t="str">
        <f ca="1">IF(currency="USD",'Future et co'!D938,IF(currency="EUR",'Future et co'!E938,IF(currency="GBP",'Future et co'!F938,FALSE)))</f>
        <v>RFR USD</v>
      </c>
      <c r="D938" t="str">
        <f t="shared" ca="1" si="71"/>
        <v>RFR USD</v>
      </c>
      <c r="E938" t="str">
        <f t="shared" ca="1" si="72"/>
        <v>RFR EUR</v>
      </c>
      <c r="F938" t="str">
        <f t="shared" ca="1" si="73"/>
        <v>RFR GBP</v>
      </c>
      <c r="J938" s="1"/>
      <c r="N938" s="1"/>
      <c r="R938" s="1"/>
      <c r="V938" s="1"/>
      <c r="AB938" s="1"/>
      <c r="AF938" s="1"/>
      <c r="AJ938" s="1"/>
      <c r="AN938" s="1"/>
      <c r="AS938" s="1"/>
      <c r="AX938" s="1"/>
      <c r="BA938" s="1"/>
      <c r="BC938" s="1"/>
      <c r="BM938" s="1"/>
      <c r="BP938" s="1"/>
    </row>
    <row r="939" spans="1:68" x14ac:dyDescent="0.3">
      <c r="A939" s="19">
        <f t="shared" si="74"/>
        <v>47228</v>
      </c>
      <c r="B939">
        <f t="shared" ca="1" si="70"/>
        <v>-2.9888888888888889</v>
      </c>
      <c r="C939" t="str">
        <f ca="1">IF(currency="USD",'Future et co'!D939,IF(currency="EUR",'Future et co'!E939,IF(currency="GBP",'Future et co'!F939,FALSE)))</f>
        <v>RFR USD</v>
      </c>
      <c r="D939" t="str">
        <f t="shared" ca="1" si="71"/>
        <v>RFR USD</v>
      </c>
      <c r="E939" t="str">
        <f t="shared" ca="1" si="72"/>
        <v>RFR EUR</v>
      </c>
      <c r="F939" t="str">
        <f t="shared" ca="1" si="73"/>
        <v>RFR GBP</v>
      </c>
      <c r="J939" s="1"/>
      <c r="N939" s="1"/>
      <c r="R939" s="1"/>
      <c r="V939" s="1"/>
      <c r="AB939" s="1"/>
      <c r="AF939" s="1"/>
      <c r="AJ939" s="1"/>
      <c r="AN939" s="1"/>
      <c r="AS939" s="1"/>
      <c r="AX939" s="1"/>
      <c r="BA939" s="1"/>
      <c r="BC939" s="1"/>
      <c r="BM939" s="1"/>
      <c r="BP939" s="1"/>
    </row>
    <row r="940" spans="1:68" x14ac:dyDescent="0.3">
      <c r="A940" s="19">
        <f t="shared" si="74"/>
        <v>47231</v>
      </c>
      <c r="B940">
        <f t="shared" ca="1" si="70"/>
        <v>-2.9972222222222222</v>
      </c>
      <c r="C940" t="str">
        <f ca="1">IF(currency="USD",'Future et co'!D940,IF(currency="EUR",'Future et co'!E940,IF(currency="GBP",'Future et co'!F940,FALSE)))</f>
        <v>RFR USD</v>
      </c>
      <c r="D940" t="str">
        <f t="shared" ca="1" si="71"/>
        <v>RFR USD</v>
      </c>
      <c r="E940" t="str">
        <f t="shared" ca="1" si="72"/>
        <v>RFR EUR</v>
      </c>
      <c r="F940" t="str">
        <f t="shared" ca="1" si="73"/>
        <v>RFR GBP</v>
      </c>
      <c r="J940" s="1"/>
      <c r="N940" s="1"/>
      <c r="R940" s="1"/>
      <c r="V940" s="1"/>
      <c r="AB940" s="1"/>
      <c r="AF940" s="1"/>
      <c r="AJ940" s="1"/>
      <c r="AN940" s="1"/>
      <c r="AS940" s="1"/>
      <c r="AX940" s="1"/>
      <c r="BA940" s="1"/>
      <c r="BC940" s="1"/>
      <c r="BM940" s="1"/>
      <c r="BP940" s="1"/>
    </row>
    <row r="941" spans="1:68" x14ac:dyDescent="0.3">
      <c r="A941" s="19">
        <f t="shared" si="74"/>
        <v>47232</v>
      </c>
      <c r="B941">
        <f t="shared" ca="1" si="70"/>
        <v>-3</v>
      </c>
      <c r="C941" t="str">
        <f ca="1">IF(currency="USD",'Future et co'!D941,IF(currency="EUR",'Future et co'!E941,IF(currency="GBP",'Future et co'!F941,FALSE)))</f>
        <v>RFR USD</v>
      </c>
      <c r="D941" t="str">
        <f t="shared" ca="1" si="71"/>
        <v>RFR USD</v>
      </c>
      <c r="E941" t="str">
        <f t="shared" ca="1" si="72"/>
        <v>RFR EUR</v>
      </c>
      <c r="F941" t="str">
        <f t="shared" ca="1" si="73"/>
        <v>RFR GBP</v>
      </c>
      <c r="J941" s="1"/>
      <c r="N941" s="1"/>
      <c r="R941" s="1"/>
      <c r="V941" s="1"/>
      <c r="AB941" s="1"/>
      <c r="AF941" s="1"/>
      <c r="AJ941" s="1"/>
      <c r="AN941" s="1"/>
      <c r="AS941" s="1"/>
      <c r="AX941" s="1"/>
      <c r="BA941" s="1"/>
      <c r="BC941" s="1"/>
      <c r="BM941" s="1"/>
      <c r="BP941" s="1"/>
    </row>
    <row r="942" spans="1:68" x14ac:dyDescent="0.3">
      <c r="A942" s="19">
        <f t="shared" si="74"/>
        <v>47233</v>
      </c>
      <c r="B942">
        <f t="shared" ca="1" si="70"/>
        <v>-3.0027777777777778</v>
      </c>
      <c r="C942" t="str">
        <f ca="1">IF(currency="USD",'Future et co'!D942,IF(currency="EUR",'Future et co'!E942,IF(currency="GBP",'Future et co'!F942,FALSE)))</f>
        <v>RFR USD</v>
      </c>
      <c r="D942" t="str">
        <f t="shared" ca="1" si="71"/>
        <v>RFR USD</v>
      </c>
      <c r="E942" t="str">
        <f t="shared" ca="1" si="72"/>
        <v>RFR EUR</v>
      </c>
      <c r="F942" t="str">
        <f t="shared" ca="1" si="73"/>
        <v>RFR GBP</v>
      </c>
      <c r="J942" s="1"/>
      <c r="N942" s="1"/>
      <c r="R942" s="1"/>
      <c r="V942" s="1"/>
      <c r="AB942" s="1"/>
      <c r="AF942" s="1"/>
      <c r="AJ942" s="1"/>
      <c r="AN942" s="1"/>
      <c r="AS942" s="1"/>
      <c r="AX942" s="1"/>
      <c r="BA942" s="1"/>
      <c r="BC942" s="1"/>
      <c r="BM942" s="1"/>
      <c r="BP942" s="1"/>
    </row>
    <row r="943" spans="1:68" x14ac:dyDescent="0.3">
      <c r="A943" s="19">
        <f t="shared" si="74"/>
        <v>47234</v>
      </c>
      <c r="B943">
        <f t="shared" ca="1" si="70"/>
        <v>-3.0055555555555555</v>
      </c>
      <c r="C943" t="str">
        <f ca="1">IF(currency="USD",'Future et co'!D943,IF(currency="EUR",'Future et co'!E943,IF(currency="GBP",'Future et co'!F943,FALSE)))</f>
        <v>RFR USD</v>
      </c>
      <c r="D943" t="str">
        <f t="shared" ca="1" si="71"/>
        <v>RFR USD</v>
      </c>
      <c r="E943" t="str">
        <f t="shared" ca="1" si="72"/>
        <v>RFR EUR</v>
      </c>
      <c r="F943" t="str">
        <f t="shared" ca="1" si="73"/>
        <v>RFR GBP</v>
      </c>
      <c r="J943" s="1"/>
      <c r="N943" s="1"/>
      <c r="R943" s="1"/>
      <c r="V943" s="1"/>
      <c r="AB943" s="1"/>
      <c r="AF943" s="1"/>
      <c r="AJ943" s="1"/>
      <c r="AN943" s="1"/>
      <c r="AS943" s="1"/>
      <c r="AX943" s="1"/>
      <c r="BA943" s="1"/>
      <c r="BC943" s="1"/>
      <c r="BM943" s="1"/>
      <c r="BP943" s="1"/>
    </row>
    <row r="944" spans="1:68" x14ac:dyDescent="0.3">
      <c r="A944" s="19">
        <f t="shared" si="74"/>
        <v>47235</v>
      </c>
      <c r="B944">
        <f t="shared" ca="1" si="70"/>
        <v>-3.0083333333333333</v>
      </c>
      <c r="C944" t="str">
        <f ca="1">IF(currency="USD",'Future et co'!D944,IF(currency="EUR",'Future et co'!E944,IF(currency="GBP",'Future et co'!F944,FALSE)))</f>
        <v>RFR USD</v>
      </c>
      <c r="D944" t="str">
        <f t="shared" ca="1" si="71"/>
        <v>RFR USD</v>
      </c>
      <c r="E944" t="str">
        <f t="shared" ca="1" si="72"/>
        <v>RFR EUR</v>
      </c>
      <c r="F944" t="str">
        <f t="shared" ca="1" si="73"/>
        <v>RFR GBP</v>
      </c>
      <c r="J944" s="1"/>
      <c r="N944" s="1"/>
      <c r="R944" s="1"/>
      <c r="V944" s="1"/>
      <c r="AB944" s="1"/>
      <c r="AF944" s="1"/>
      <c r="AJ944" s="1"/>
      <c r="AN944" s="1"/>
      <c r="AS944" s="1"/>
      <c r="AX944" s="1"/>
      <c r="BA944" s="1"/>
      <c r="BC944" s="1"/>
      <c r="BM944" s="1"/>
      <c r="BP944" s="1"/>
    </row>
    <row r="945" spans="1:68" x14ac:dyDescent="0.3">
      <c r="A945" s="19">
        <f t="shared" si="74"/>
        <v>47238</v>
      </c>
      <c r="B945">
        <f t="shared" ca="1" si="70"/>
        <v>-3.0166666666666666</v>
      </c>
      <c r="C945" t="str">
        <f ca="1">IF(currency="USD",'Future et co'!D945,IF(currency="EUR",'Future et co'!E945,IF(currency="GBP",'Future et co'!F945,FALSE)))</f>
        <v>RFR USD</v>
      </c>
      <c r="D945" t="str">
        <f t="shared" ca="1" si="71"/>
        <v>RFR USD</v>
      </c>
      <c r="E945" t="str">
        <f t="shared" ca="1" si="72"/>
        <v>RFR EUR</v>
      </c>
      <c r="F945" t="str">
        <f t="shared" ca="1" si="73"/>
        <v>RFR GBP</v>
      </c>
      <c r="J945" s="1"/>
      <c r="N945" s="1"/>
      <c r="R945" s="1"/>
      <c r="V945" s="1"/>
      <c r="AB945" s="1"/>
      <c r="AF945" s="1"/>
      <c r="AJ945" s="1"/>
      <c r="AN945" s="1"/>
      <c r="AS945" s="1"/>
      <c r="AX945" s="1"/>
      <c r="BA945" s="1"/>
      <c r="BC945" s="1"/>
      <c r="BM945" s="1"/>
      <c r="BP945" s="1"/>
    </row>
    <row r="946" spans="1:68" x14ac:dyDescent="0.3">
      <c r="A946" s="19">
        <f t="shared" si="74"/>
        <v>47239</v>
      </c>
      <c r="B946">
        <f t="shared" ca="1" si="70"/>
        <v>-3.0194444444444444</v>
      </c>
      <c r="C946" t="str">
        <f ca="1">IF(currency="USD",'Future et co'!D946,IF(currency="EUR",'Future et co'!E946,IF(currency="GBP",'Future et co'!F946,FALSE)))</f>
        <v>RFR USD</v>
      </c>
      <c r="D946" t="str">
        <f t="shared" ca="1" si="71"/>
        <v>RFR USD</v>
      </c>
      <c r="E946" t="str">
        <f t="shared" ca="1" si="72"/>
        <v>RFR EUR</v>
      </c>
      <c r="F946" t="str">
        <f t="shared" ca="1" si="73"/>
        <v>RFR GBP</v>
      </c>
      <c r="J946" s="1"/>
      <c r="N946" s="1"/>
      <c r="R946" s="1"/>
      <c r="V946" s="1"/>
      <c r="AB946" s="1"/>
      <c r="AF946" s="1"/>
      <c r="AJ946" s="1"/>
      <c r="AN946" s="1"/>
      <c r="AS946" s="1"/>
      <c r="AX946" s="1"/>
      <c r="BA946" s="1"/>
      <c r="BC946" s="1"/>
      <c r="BM946" s="1"/>
      <c r="BP946" s="1"/>
    </row>
    <row r="947" spans="1:68" x14ac:dyDescent="0.3">
      <c r="A947" s="19">
        <f t="shared" si="74"/>
        <v>47240</v>
      </c>
      <c r="B947">
        <f t="shared" ca="1" si="70"/>
        <v>-3.0222222222222221</v>
      </c>
      <c r="C947" t="str">
        <f ca="1">IF(currency="USD",'Future et co'!D947,IF(currency="EUR",'Future et co'!E947,IF(currency="GBP",'Future et co'!F947,FALSE)))</f>
        <v>RFR USD</v>
      </c>
      <c r="D947" t="str">
        <f t="shared" ca="1" si="71"/>
        <v>RFR USD</v>
      </c>
      <c r="E947" t="str">
        <f t="shared" ca="1" si="72"/>
        <v>RFR EUR</v>
      </c>
      <c r="F947" t="str">
        <f t="shared" ca="1" si="73"/>
        <v>RFR GBP</v>
      </c>
      <c r="J947" s="1"/>
      <c r="N947" s="1"/>
      <c r="R947" s="1"/>
      <c r="V947" s="1"/>
      <c r="AB947" s="1"/>
      <c r="AF947" s="1"/>
      <c r="AJ947" s="1"/>
      <c r="AN947" s="1"/>
      <c r="AS947" s="1"/>
      <c r="AX947" s="1"/>
      <c r="BA947" s="1"/>
      <c r="BC947" s="1"/>
      <c r="BM947" s="1"/>
      <c r="BP947" s="1"/>
    </row>
    <row r="948" spans="1:68" x14ac:dyDescent="0.3">
      <c r="A948" s="19">
        <f t="shared" si="74"/>
        <v>47241</v>
      </c>
      <c r="B948">
        <f t="shared" ca="1" si="70"/>
        <v>-3.0249999999999999</v>
      </c>
      <c r="C948" t="str">
        <f ca="1">IF(currency="USD",'Future et co'!D948,IF(currency="EUR",'Future et co'!E948,IF(currency="GBP",'Future et co'!F948,FALSE)))</f>
        <v>RFR USD</v>
      </c>
      <c r="D948" t="str">
        <f t="shared" ca="1" si="71"/>
        <v>RFR USD</v>
      </c>
      <c r="E948" t="str">
        <f t="shared" ca="1" si="72"/>
        <v>RFR EUR</v>
      </c>
      <c r="F948" t="str">
        <f t="shared" ca="1" si="73"/>
        <v>RFR GBP</v>
      </c>
      <c r="J948" s="1"/>
      <c r="N948" s="1"/>
      <c r="R948" s="1"/>
      <c r="V948" s="1"/>
      <c r="AB948" s="1"/>
      <c r="AF948" s="1"/>
      <c r="AJ948" s="1"/>
      <c r="AN948" s="1"/>
      <c r="AS948" s="1"/>
      <c r="AX948" s="1"/>
      <c r="BA948" s="1"/>
      <c r="BC948" s="1"/>
      <c r="BM948" s="1"/>
      <c r="BP948" s="1"/>
    </row>
    <row r="949" spans="1:68" x14ac:dyDescent="0.3">
      <c r="A949" s="19">
        <f t="shared" si="74"/>
        <v>47242</v>
      </c>
      <c r="B949">
        <f t="shared" ca="1" si="70"/>
        <v>-3.0277777777777777</v>
      </c>
      <c r="C949" t="str">
        <f ca="1">IF(currency="USD",'Future et co'!D949,IF(currency="EUR",'Future et co'!E949,IF(currency="GBP",'Future et co'!F949,FALSE)))</f>
        <v>RFR USD</v>
      </c>
      <c r="D949" t="str">
        <f t="shared" ca="1" si="71"/>
        <v>RFR USD</v>
      </c>
      <c r="E949" t="str">
        <f t="shared" ca="1" si="72"/>
        <v>RFR EUR</v>
      </c>
      <c r="F949" t="str">
        <f t="shared" ca="1" si="73"/>
        <v>RFR GBP</v>
      </c>
      <c r="J949" s="1"/>
      <c r="N949" s="1"/>
      <c r="R949" s="1"/>
      <c r="V949" s="1"/>
      <c r="AB949" s="1"/>
      <c r="AF949" s="1"/>
      <c r="AJ949" s="1"/>
      <c r="AN949" s="1"/>
      <c r="AS949" s="1"/>
      <c r="AX949" s="1"/>
      <c r="BA949" s="1"/>
      <c r="BC949" s="1"/>
      <c r="BM949" s="1"/>
      <c r="BP949" s="1"/>
    </row>
    <row r="950" spans="1:68" x14ac:dyDescent="0.3">
      <c r="A950" s="19">
        <f t="shared" si="74"/>
        <v>47245</v>
      </c>
      <c r="B950">
        <f t="shared" ca="1" si="70"/>
        <v>-3.036111111111111</v>
      </c>
      <c r="C950" t="str">
        <f ca="1">IF(currency="USD",'Future et co'!D950,IF(currency="EUR",'Future et co'!E950,IF(currency="GBP",'Future et co'!F950,FALSE)))</f>
        <v>RFR USD</v>
      </c>
      <c r="D950" t="str">
        <f t="shared" ca="1" si="71"/>
        <v>RFR USD</v>
      </c>
      <c r="E950" t="str">
        <f t="shared" ca="1" si="72"/>
        <v>RFR EUR</v>
      </c>
      <c r="F950" t="str">
        <f t="shared" ca="1" si="73"/>
        <v>RFR GBP</v>
      </c>
      <c r="J950" s="1"/>
      <c r="N950" s="1"/>
      <c r="R950" s="1"/>
      <c r="V950" s="1"/>
      <c r="AB950" s="1"/>
      <c r="AF950" s="1"/>
      <c r="AJ950" s="1"/>
      <c r="AN950" s="1"/>
      <c r="AS950" s="1"/>
      <c r="AX950" s="1"/>
      <c r="BA950" s="1"/>
      <c r="BC950" s="1"/>
      <c r="BM950" s="1"/>
      <c r="BP950" s="1"/>
    </row>
    <row r="951" spans="1:68" x14ac:dyDescent="0.3">
      <c r="A951" s="19">
        <f t="shared" si="74"/>
        <v>47246</v>
      </c>
      <c r="B951">
        <f t="shared" ca="1" si="70"/>
        <v>-3.0388888888888888</v>
      </c>
      <c r="C951" t="str">
        <f ca="1">IF(currency="USD",'Future et co'!D951,IF(currency="EUR",'Future et co'!E951,IF(currency="GBP",'Future et co'!F951,FALSE)))</f>
        <v>RFR USD</v>
      </c>
      <c r="D951" t="str">
        <f t="shared" ca="1" si="71"/>
        <v>RFR USD</v>
      </c>
      <c r="E951" t="str">
        <f t="shared" ca="1" si="72"/>
        <v>RFR EUR</v>
      </c>
      <c r="F951" t="str">
        <f t="shared" ca="1" si="73"/>
        <v>RFR GBP</v>
      </c>
      <c r="J951" s="1"/>
      <c r="N951" s="1"/>
      <c r="R951" s="1"/>
      <c r="V951" s="1"/>
      <c r="AB951" s="1"/>
      <c r="AF951" s="1"/>
      <c r="AJ951" s="1"/>
      <c r="AN951" s="1"/>
      <c r="AS951" s="1"/>
      <c r="AX951" s="1"/>
      <c r="BA951" s="1"/>
      <c r="BC951" s="1"/>
      <c r="BM951" s="1"/>
      <c r="BP951" s="1"/>
    </row>
    <row r="952" spans="1:68" x14ac:dyDescent="0.3">
      <c r="A952" s="19">
        <f t="shared" si="74"/>
        <v>47247</v>
      </c>
      <c r="B952">
        <f t="shared" ca="1" si="70"/>
        <v>-3.0416666666666665</v>
      </c>
      <c r="C952" t="str">
        <f ca="1">IF(currency="USD",'Future et co'!D952,IF(currency="EUR",'Future et co'!E952,IF(currency="GBP",'Future et co'!F952,FALSE)))</f>
        <v>RFR USD</v>
      </c>
      <c r="D952" t="str">
        <f t="shared" ca="1" si="71"/>
        <v>RFR USD</v>
      </c>
      <c r="E952" t="str">
        <f t="shared" ca="1" si="72"/>
        <v>RFR EUR</v>
      </c>
      <c r="F952" t="str">
        <f t="shared" ca="1" si="73"/>
        <v>RFR GBP</v>
      </c>
      <c r="J952" s="1"/>
      <c r="N952" s="1"/>
      <c r="R952" s="1"/>
      <c r="V952" s="1"/>
      <c r="AB952" s="1"/>
      <c r="AF952" s="1"/>
      <c r="AJ952" s="1"/>
      <c r="AN952" s="1"/>
      <c r="AS952" s="1"/>
      <c r="AX952" s="1"/>
      <c r="BA952" s="1"/>
      <c r="BC952" s="1"/>
      <c r="BM952" s="1"/>
      <c r="BP952" s="1"/>
    </row>
    <row r="953" spans="1:68" x14ac:dyDescent="0.3">
      <c r="A953" s="19">
        <f t="shared" si="74"/>
        <v>47248</v>
      </c>
      <c r="B953">
        <f t="shared" ca="1" si="70"/>
        <v>-3.0444444444444443</v>
      </c>
      <c r="C953" t="str">
        <f ca="1">IF(currency="USD",'Future et co'!D953,IF(currency="EUR",'Future et co'!E953,IF(currency="GBP",'Future et co'!F953,FALSE)))</f>
        <v>RFR USD</v>
      </c>
      <c r="D953" t="str">
        <f t="shared" ca="1" si="71"/>
        <v>RFR USD</v>
      </c>
      <c r="E953" t="str">
        <f t="shared" ca="1" si="72"/>
        <v>RFR EUR</v>
      </c>
      <c r="F953" t="str">
        <f t="shared" ca="1" si="73"/>
        <v>RFR GBP</v>
      </c>
      <c r="J953" s="1"/>
      <c r="N953" s="1"/>
      <c r="R953" s="1"/>
      <c r="V953" s="1"/>
      <c r="AB953" s="1"/>
      <c r="AF953" s="1"/>
      <c r="AJ953" s="1"/>
      <c r="AN953" s="1"/>
      <c r="AS953" s="1"/>
      <c r="AX953" s="1"/>
      <c r="BA953" s="1"/>
      <c r="BC953" s="1"/>
      <c r="BM953" s="1"/>
      <c r="BP953" s="1"/>
    </row>
    <row r="954" spans="1:68" x14ac:dyDescent="0.3">
      <c r="A954" s="19">
        <f t="shared" si="74"/>
        <v>47249</v>
      </c>
      <c r="B954">
        <f t="shared" ca="1" si="70"/>
        <v>-3.0472222222222221</v>
      </c>
      <c r="C954" t="str">
        <f ca="1">IF(currency="USD",'Future et co'!D954,IF(currency="EUR",'Future et co'!E954,IF(currency="GBP",'Future et co'!F954,FALSE)))</f>
        <v>RFR USD</v>
      </c>
      <c r="D954" t="str">
        <f t="shared" ca="1" si="71"/>
        <v>RFR USD</v>
      </c>
      <c r="E954" t="str">
        <f t="shared" ca="1" si="72"/>
        <v>RFR EUR</v>
      </c>
      <c r="F954" t="str">
        <f t="shared" ca="1" si="73"/>
        <v>RFR GBP</v>
      </c>
      <c r="J954" s="1"/>
      <c r="N954" s="1"/>
      <c r="R954" s="1"/>
      <c r="V954" s="1"/>
      <c r="AB954" s="1"/>
      <c r="AF954" s="1"/>
      <c r="AJ954" s="1"/>
      <c r="AN954" s="1"/>
      <c r="AS954" s="1"/>
      <c r="AX954" s="1"/>
      <c r="BA954" s="1"/>
      <c r="BC954" s="1"/>
      <c r="BM954" s="1"/>
      <c r="BP954" s="1"/>
    </row>
    <row r="955" spans="1:68" x14ac:dyDescent="0.3">
      <c r="A955" s="19">
        <f t="shared" si="74"/>
        <v>47252</v>
      </c>
      <c r="B955">
        <f t="shared" ca="1" si="70"/>
        <v>-3.0555555555555554</v>
      </c>
      <c r="C955" t="str">
        <f ca="1">IF(currency="USD",'Future et co'!D955,IF(currency="EUR",'Future et co'!E955,IF(currency="GBP",'Future et co'!F955,FALSE)))</f>
        <v>RFR USD</v>
      </c>
      <c r="D955" t="str">
        <f t="shared" ca="1" si="71"/>
        <v>RFR USD</v>
      </c>
      <c r="E955" t="str">
        <f t="shared" ca="1" si="72"/>
        <v>RFR EUR</v>
      </c>
      <c r="F955" t="str">
        <f t="shared" ca="1" si="73"/>
        <v>RFR GBP</v>
      </c>
      <c r="J955" s="1"/>
      <c r="N955" s="1"/>
      <c r="R955" s="1"/>
      <c r="V955" s="1"/>
      <c r="AB955" s="1"/>
      <c r="AF955" s="1"/>
      <c r="AJ955" s="1"/>
      <c r="AN955" s="1"/>
      <c r="AS955" s="1"/>
      <c r="AX955" s="1"/>
      <c r="BA955" s="1"/>
      <c r="BC955" s="1"/>
      <c r="BM955" s="1"/>
      <c r="BP955" s="1"/>
    </row>
    <row r="956" spans="1:68" x14ac:dyDescent="0.3">
      <c r="A956" s="19">
        <f t="shared" si="74"/>
        <v>47253</v>
      </c>
      <c r="B956">
        <f t="shared" ca="1" si="70"/>
        <v>-3.0583333333333331</v>
      </c>
      <c r="C956" t="str">
        <f ca="1">IF(currency="USD",'Future et co'!D956,IF(currency="EUR",'Future et co'!E956,IF(currency="GBP",'Future et co'!F956,FALSE)))</f>
        <v>RFR USD</v>
      </c>
      <c r="D956" t="str">
        <f t="shared" ca="1" si="71"/>
        <v>RFR USD</v>
      </c>
      <c r="E956" t="str">
        <f t="shared" ca="1" si="72"/>
        <v>RFR EUR</v>
      </c>
      <c r="F956" t="str">
        <f t="shared" ca="1" si="73"/>
        <v>RFR GBP</v>
      </c>
      <c r="J956" s="1"/>
      <c r="N956" s="1"/>
      <c r="R956" s="1"/>
      <c r="V956" s="1"/>
      <c r="AB956" s="1"/>
      <c r="AF956" s="1"/>
      <c r="AJ956" s="1"/>
      <c r="AN956" s="1"/>
      <c r="AS956" s="1"/>
      <c r="AX956" s="1"/>
      <c r="BA956" s="1"/>
      <c r="BC956" s="1"/>
      <c r="BM956" s="1"/>
      <c r="BP956" s="1"/>
    </row>
    <row r="957" spans="1:68" x14ac:dyDescent="0.3">
      <c r="A957" s="19">
        <f t="shared" si="74"/>
        <v>47254</v>
      </c>
      <c r="B957">
        <f t="shared" ca="1" si="70"/>
        <v>-3.0611111111111109</v>
      </c>
      <c r="C957" t="str">
        <f ca="1">IF(currency="USD",'Future et co'!D957,IF(currency="EUR",'Future et co'!E957,IF(currency="GBP",'Future et co'!F957,FALSE)))</f>
        <v>RFR USD</v>
      </c>
      <c r="D957" t="str">
        <f t="shared" ca="1" si="71"/>
        <v>RFR USD</v>
      </c>
      <c r="E957" t="str">
        <f t="shared" ca="1" si="72"/>
        <v>RFR EUR</v>
      </c>
      <c r="F957" t="str">
        <f t="shared" ca="1" si="73"/>
        <v>RFR GBP</v>
      </c>
      <c r="J957" s="1"/>
      <c r="N957" s="1"/>
      <c r="R957" s="1"/>
      <c r="V957" s="1"/>
      <c r="AB957" s="1"/>
      <c r="AF957" s="1"/>
      <c r="AJ957" s="1"/>
      <c r="AN957" s="1"/>
      <c r="AS957" s="1"/>
      <c r="AX957" s="1"/>
      <c r="BA957" s="1"/>
      <c r="BC957" s="1"/>
      <c r="BM957" s="1"/>
      <c r="BP957" s="1"/>
    </row>
    <row r="958" spans="1:68" x14ac:dyDescent="0.3">
      <c r="A958" s="19">
        <f t="shared" si="74"/>
        <v>47255</v>
      </c>
      <c r="B958">
        <f t="shared" ca="1" si="70"/>
        <v>-3.0638888888888891</v>
      </c>
      <c r="C958" t="str">
        <f ca="1">IF(currency="USD",'Future et co'!D958,IF(currency="EUR",'Future et co'!E958,IF(currency="GBP",'Future et co'!F958,FALSE)))</f>
        <v>RFR USD</v>
      </c>
      <c r="D958" t="str">
        <f t="shared" ca="1" si="71"/>
        <v>RFR USD</v>
      </c>
      <c r="E958" t="str">
        <f t="shared" ca="1" si="72"/>
        <v>RFR EUR</v>
      </c>
      <c r="F958" t="str">
        <f t="shared" ca="1" si="73"/>
        <v>RFR GBP</v>
      </c>
      <c r="J958" s="1"/>
      <c r="N958" s="1"/>
      <c r="R958" s="1"/>
      <c r="V958" s="1"/>
      <c r="AB958" s="1"/>
      <c r="AF958" s="1"/>
      <c r="AJ958" s="1"/>
      <c r="AN958" s="1"/>
      <c r="AS958" s="1"/>
      <c r="AX958" s="1"/>
      <c r="BA958" s="1"/>
      <c r="BC958" s="1"/>
      <c r="BM958" s="1"/>
      <c r="BP958" s="1"/>
    </row>
    <row r="959" spans="1:68" x14ac:dyDescent="0.3">
      <c r="A959" s="19">
        <f t="shared" si="74"/>
        <v>47256</v>
      </c>
      <c r="B959">
        <f t="shared" ca="1" si="70"/>
        <v>-3.0666666666666669</v>
      </c>
      <c r="C959" t="str">
        <f ca="1">IF(currency="USD",'Future et co'!D959,IF(currency="EUR",'Future et co'!E959,IF(currency="GBP",'Future et co'!F959,FALSE)))</f>
        <v>RFR USD</v>
      </c>
      <c r="D959" t="str">
        <f t="shared" ca="1" si="71"/>
        <v>RFR USD</v>
      </c>
      <c r="E959" t="str">
        <f t="shared" ca="1" si="72"/>
        <v>RFR EUR</v>
      </c>
      <c r="F959" t="str">
        <f t="shared" ca="1" si="73"/>
        <v>RFR GBP</v>
      </c>
      <c r="J959" s="1"/>
      <c r="N959" s="1"/>
      <c r="R959" s="1"/>
      <c r="V959" s="1"/>
      <c r="AB959" s="1"/>
      <c r="AF959" s="1"/>
      <c r="AJ959" s="1"/>
      <c r="AN959" s="1"/>
      <c r="AS959" s="1"/>
      <c r="AX959" s="1"/>
      <c r="BA959" s="1"/>
      <c r="BC959" s="1"/>
      <c r="BM959" s="1"/>
      <c r="BP959" s="1"/>
    </row>
    <row r="960" spans="1:68" x14ac:dyDescent="0.3">
      <c r="A960" s="19">
        <f t="shared" si="74"/>
        <v>47259</v>
      </c>
      <c r="B960">
        <f t="shared" ca="1" si="70"/>
        <v>-3.0750000000000002</v>
      </c>
      <c r="C960" t="str">
        <f ca="1">IF(currency="USD",'Future et co'!D960,IF(currency="EUR",'Future et co'!E960,IF(currency="GBP",'Future et co'!F960,FALSE)))</f>
        <v>RFR USD</v>
      </c>
      <c r="D960" t="str">
        <f t="shared" ca="1" si="71"/>
        <v>RFR USD</v>
      </c>
      <c r="E960" t="str">
        <f t="shared" ca="1" si="72"/>
        <v>RFR EUR</v>
      </c>
      <c r="F960" t="str">
        <f t="shared" ca="1" si="73"/>
        <v>RFR GBP</v>
      </c>
      <c r="J960" s="1"/>
      <c r="N960" s="1"/>
      <c r="R960" s="1"/>
      <c r="V960" s="1"/>
      <c r="AB960" s="1"/>
      <c r="AF960" s="1"/>
      <c r="AJ960" s="1"/>
      <c r="AN960" s="1"/>
      <c r="AS960" s="1"/>
      <c r="AX960" s="1"/>
      <c r="BA960" s="1"/>
      <c r="BC960" s="1"/>
      <c r="BM960" s="1"/>
      <c r="BP960" s="1"/>
    </row>
    <row r="961" spans="1:68" x14ac:dyDescent="0.3">
      <c r="A961" s="19">
        <f t="shared" si="74"/>
        <v>47260</v>
      </c>
      <c r="B961">
        <f t="shared" ca="1" si="70"/>
        <v>-3.0777777777777779</v>
      </c>
      <c r="C961" t="str">
        <f ca="1">IF(currency="USD",'Future et co'!D961,IF(currency="EUR",'Future et co'!E961,IF(currency="GBP",'Future et co'!F961,FALSE)))</f>
        <v>RFR USD</v>
      </c>
      <c r="D961" t="str">
        <f t="shared" ca="1" si="71"/>
        <v>RFR USD</v>
      </c>
      <c r="E961" t="str">
        <f t="shared" ca="1" si="72"/>
        <v>RFR EUR</v>
      </c>
      <c r="F961" t="str">
        <f t="shared" ca="1" si="73"/>
        <v>RFR GBP</v>
      </c>
      <c r="J961" s="1"/>
      <c r="N961" s="1"/>
      <c r="R961" s="1"/>
      <c r="V961" s="1"/>
      <c r="AB961" s="1"/>
      <c r="AF961" s="1"/>
      <c r="AJ961" s="1"/>
      <c r="AN961" s="1"/>
      <c r="AS961" s="1"/>
      <c r="AX961" s="1"/>
      <c r="BA961" s="1"/>
      <c r="BC961" s="1"/>
      <c r="BM961" s="1"/>
      <c r="BP961" s="1"/>
    </row>
    <row r="962" spans="1:68" x14ac:dyDescent="0.3">
      <c r="A962" s="19">
        <f t="shared" si="74"/>
        <v>47261</v>
      </c>
      <c r="B962">
        <f t="shared" ca="1" si="70"/>
        <v>-3.0805555555555557</v>
      </c>
      <c r="C962" t="str">
        <f ca="1">IF(currency="USD",'Future et co'!D962,IF(currency="EUR",'Future et co'!E962,IF(currency="GBP",'Future et co'!F962,FALSE)))</f>
        <v>RFR USD</v>
      </c>
      <c r="D962" t="str">
        <f t="shared" ca="1" si="71"/>
        <v>RFR USD</v>
      </c>
      <c r="E962" t="str">
        <f t="shared" ca="1" si="72"/>
        <v>RFR EUR</v>
      </c>
      <c r="F962" t="str">
        <f t="shared" ca="1" si="73"/>
        <v>RFR GBP</v>
      </c>
      <c r="J962" s="1"/>
      <c r="N962" s="1"/>
      <c r="R962" s="1"/>
      <c r="V962" s="1"/>
      <c r="AB962" s="1"/>
      <c r="AF962" s="1"/>
      <c r="AJ962" s="1"/>
      <c r="AN962" s="1"/>
      <c r="AS962" s="1"/>
      <c r="AX962" s="1"/>
      <c r="BA962" s="1"/>
      <c r="BC962" s="1"/>
      <c r="BM962" s="1"/>
      <c r="BP962" s="1"/>
    </row>
    <row r="963" spans="1:68" x14ac:dyDescent="0.3">
      <c r="A963" s="19">
        <f t="shared" si="74"/>
        <v>47262</v>
      </c>
      <c r="B963">
        <f t="shared" ca="1" si="70"/>
        <v>-3.0833333333333335</v>
      </c>
      <c r="C963" t="str">
        <f ca="1">IF(currency="USD",'Future et co'!D963,IF(currency="EUR",'Future et co'!E963,IF(currency="GBP",'Future et co'!F963,FALSE)))</f>
        <v>RFR USD</v>
      </c>
      <c r="D963" t="str">
        <f t="shared" ca="1" si="71"/>
        <v>RFR USD</v>
      </c>
      <c r="E963" t="str">
        <f t="shared" ca="1" si="72"/>
        <v>RFR EUR</v>
      </c>
      <c r="F963" t="str">
        <f t="shared" ca="1" si="73"/>
        <v>RFR GBP</v>
      </c>
      <c r="J963" s="1"/>
      <c r="N963" s="1"/>
      <c r="R963" s="1"/>
      <c r="V963" s="1"/>
      <c r="AB963" s="1"/>
      <c r="AF963" s="1"/>
      <c r="AJ963" s="1"/>
      <c r="AN963" s="1"/>
      <c r="AS963" s="1"/>
      <c r="AX963" s="1"/>
      <c r="BA963" s="1"/>
      <c r="BC963" s="1"/>
      <c r="BM963" s="1"/>
      <c r="BP963" s="1"/>
    </row>
    <row r="964" spans="1:68" x14ac:dyDescent="0.3">
      <c r="A964" s="19">
        <f t="shared" si="74"/>
        <v>47263</v>
      </c>
      <c r="B964">
        <f t="shared" ca="1" si="70"/>
        <v>-3.0861111111111112</v>
      </c>
      <c r="C964" t="str">
        <f ca="1">IF(currency="USD",'Future et co'!D964,IF(currency="EUR",'Future et co'!E964,IF(currency="GBP",'Future et co'!F964,FALSE)))</f>
        <v>RFR USD</v>
      </c>
      <c r="D964" t="str">
        <f t="shared" ca="1" si="71"/>
        <v>RFR USD</v>
      </c>
      <c r="E964" t="str">
        <f t="shared" ca="1" si="72"/>
        <v>RFR EUR</v>
      </c>
      <c r="F964" t="str">
        <f t="shared" ca="1" si="73"/>
        <v>RFR GBP</v>
      </c>
      <c r="J964" s="1"/>
      <c r="N964" s="1"/>
      <c r="R964" s="1"/>
      <c r="V964" s="1"/>
      <c r="AB964" s="1"/>
      <c r="AF964" s="1"/>
      <c r="AJ964" s="1"/>
      <c r="AN964" s="1"/>
      <c r="AS964" s="1"/>
      <c r="AX964" s="1"/>
      <c r="BA964" s="1"/>
      <c r="BC964" s="1"/>
      <c r="BM964" s="1"/>
      <c r="BP964" s="1"/>
    </row>
    <row r="965" spans="1:68" x14ac:dyDescent="0.3">
      <c r="A965" s="19">
        <f t="shared" si="74"/>
        <v>47266</v>
      </c>
      <c r="B965">
        <f t="shared" ca="1" si="70"/>
        <v>-3.0944444444444446</v>
      </c>
      <c r="C965" t="str">
        <f ca="1">IF(currency="USD",'Future et co'!D965,IF(currency="EUR",'Future et co'!E965,IF(currency="GBP",'Future et co'!F965,FALSE)))</f>
        <v>RFR USD</v>
      </c>
      <c r="D965" t="str">
        <f t="shared" ca="1" si="71"/>
        <v>RFR USD</v>
      </c>
      <c r="E965" t="str">
        <f t="shared" ca="1" si="72"/>
        <v>RFR EUR</v>
      </c>
      <c r="F965" t="str">
        <f t="shared" ca="1" si="73"/>
        <v>RFR GBP</v>
      </c>
      <c r="J965" s="1"/>
      <c r="N965" s="1"/>
      <c r="R965" s="1"/>
      <c r="V965" s="1"/>
      <c r="AB965" s="1"/>
      <c r="AF965" s="1"/>
      <c r="AJ965" s="1"/>
      <c r="AN965" s="1"/>
      <c r="AS965" s="1"/>
      <c r="AX965" s="1"/>
      <c r="BA965" s="1"/>
      <c r="BC965" s="1"/>
      <c r="BM965" s="1"/>
      <c r="BP965" s="1"/>
    </row>
    <row r="966" spans="1:68" x14ac:dyDescent="0.3">
      <c r="A966" s="19">
        <f t="shared" si="74"/>
        <v>47267</v>
      </c>
      <c r="B966">
        <f t="shared" ca="1" si="70"/>
        <v>-3.0972222222222223</v>
      </c>
      <c r="C966" t="str">
        <f ca="1">IF(currency="USD",'Future et co'!D966,IF(currency="EUR",'Future et co'!E966,IF(currency="GBP",'Future et co'!F966,FALSE)))</f>
        <v>RFR USD</v>
      </c>
      <c r="D966" t="str">
        <f t="shared" ca="1" si="71"/>
        <v>RFR USD</v>
      </c>
      <c r="E966" t="str">
        <f t="shared" ca="1" si="72"/>
        <v>RFR EUR</v>
      </c>
      <c r="F966" t="str">
        <f t="shared" ca="1" si="73"/>
        <v>RFR GBP</v>
      </c>
      <c r="J966" s="1"/>
      <c r="N966" s="1"/>
      <c r="R966" s="1"/>
      <c r="V966" s="1"/>
      <c r="AB966" s="1"/>
      <c r="AF966" s="1"/>
      <c r="AJ966" s="1"/>
      <c r="AN966" s="1"/>
      <c r="AS966" s="1"/>
      <c r="AX966" s="1"/>
      <c r="BA966" s="1"/>
      <c r="BC966" s="1"/>
      <c r="BM966" s="1"/>
      <c r="BP966" s="1"/>
    </row>
    <row r="967" spans="1:68" x14ac:dyDescent="0.3">
      <c r="A967" s="19">
        <f t="shared" si="74"/>
        <v>47268</v>
      </c>
      <c r="B967">
        <f t="shared" ca="1" si="70"/>
        <v>-3.1</v>
      </c>
      <c r="C967" t="str">
        <f ca="1">IF(currency="USD",'Future et co'!D967,IF(currency="EUR",'Future et co'!E967,IF(currency="GBP",'Future et co'!F967,FALSE)))</f>
        <v>RFR USD</v>
      </c>
      <c r="D967" t="str">
        <f t="shared" ca="1" si="71"/>
        <v>RFR USD</v>
      </c>
      <c r="E967" t="str">
        <f t="shared" ca="1" si="72"/>
        <v>RFR EUR</v>
      </c>
      <c r="F967" t="str">
        <f t="shared" ca="1" si="73"/>
        <v>RFR GBP</v>
      </c>
      <c r="J967" s="1"/>
      <c r="N967" s="1"/>
      <c r="R967" s="1"/>
      <c r="V967" s="1"/>
      <c r="AB967" s="1"/>
      <c r="AF967" s="1"/>
      <c r="AJ967" s="1"/>
      <c r="AN967" s="1"/>
      <c r="AS967" s="1"/>
      <c r="AX967" s="1"/>
      <c r="BA967" s="1"/>
      <c r="BC967" s="1"/>
      <c r="BM967" s="1"/>
      <c r="BP967" s="1"/>
    </row>
    <row r="968" spans="1:68" x14ac:dyDescent="0.3">
      <c r="A968" s="19">
        <f t="shared" si="74"/>
        <v>47269</v>
      </c>
      <c r="B968">
        <f t="shared" ca="1" si="70"/>
        <v>-3.1027777777777779</v>
      </c>
      <c r="C968" t="str">
        <f ca="1">IF(currency="USD",'Future et co'!D968,IF(currency="EUR",'Future et co'!E968,IF(currency="GBP",'Future et co'!F968,FALSE)))</f>
        <v>RFR USD</v>
      </c>
      <c r="D968" t="str">
        <f t="shared" ca="1" si="71"/>
        <v>RFR USD</v>
      </c>
      <c r="E968" t="str">
        <f t="shared" ca="1" si="72"/>
        <v>RFR EUR</v>
      </c>
      <c r="F968" t="str">
        <f t="shared" ca="1" si="73"/>
        <v>RFR GBP</v>
      </c>
      <c r="J968" s="1"/>
      <c r="N968" s="1"/>
      <c r="R968" s="1"/>
      <c r="V968" s="1"/>
      <c r="AB968" s="1"/>
      <c r="AF968" s="1"/>
      <c r="AJ968" s="1"/>
      <c r="AN968" s="1"/>
      <c r="AS968" s="1"/>
      <c r="AX968" s="1"/>
      <c r="BA968" s="1"/>
      <c r="BC968" s="1"/>
      <c r="BM968" s="1"/>
      <c r="BP968" s="1"/>
    </row>
    <row r="969" spans="1:68" x14ac:dyDescent="0.3">
      <c r="A969" s="19">
        <f t="shared" si="74"/>
        <v>47270</v>
      </c>
      <c r="B969">
        <f t="shared" ca="1" si="70"/>
        <v>-3.1055555555555556</v>
      </c>
      <c r="C969" t="str">
        <f ca="1">IF(currency="USD",'Future et co'!D969,IF(currency="EUR",'Future et co'!E969,IF(currency="GBP",'Future et co'!F969,FALSE)))</f>
        <v>RFR USD</v>
      </c>
      <c r="D969" t="str">
        <f t="shared" ca="1" si="71"/>
        <v>RFR USD</v>
      </c>
      <c r="E969" t="str">
        <f t="shared" ca="1" si="72"/>
        <v>RFR EUR</v>
      </c>
      <c r="F969" t="str">
        <f t="shared" ca="1" si="73"/>
        <v>RFR GBP</v>
      </c>
      <c r="J969" s="1"/>
      <c r="N969" s="1"/>
      <c r="R969" s="1"/>
      <c r="V969" s="1"/>
      <c r="AB969" s="1"/>
      <c r="AF969" s="1"/>
      <c r="AJ969" s="1"/>
      <c r="AN969" s="1"/>
      <c r="AS969" s="1"/>
      <c r="AX969" s="1"/>
      <c r="BA969" s="1"/>
      <c r="BC969" s="1"/>
      <c r="BM969" s="1"/>
      <c r="BP969" s="1"/>
    </row>
    <row r="970" spans="1:68" x14ac:dyDescent="0.3">
      <c r="A970" s="19">
        <f t="shared" si="74"/>
        <v>47273</v>
      </c>
      <c r="B970">
        <f t="shared" ca="1" si="70"/>
        <v>-3.1138888888888889</v>
      </c>
      <c r="C970" t="str">
        <f ca="1">IF(currency="USD",'Future et co'!D970,IF(currency="EUR",'Future et co'!E970,IF(currency="GBP",'Future et co'!F970,FALSE)))</f>
        <v>RFR USD</v>
      </c>
      <c r="D970" t="str">
        <f t="shared" ca="1" si="71"/>
        <v>RFR USD</v>
      </c>
      <c r="E970" t="str">
        <f t="shared" ca="1" si="72"/>
        <v>RFR EUR</v>
      </c>
      <c r="F970" t="str">
        <f t="shared" ca="1" si="73"/>
        <v>RFR GBP</v>
      </c>
      <c r="J970" s="1"/>
      <c r="N970" s="1"/>
      <c r="R970" s="1"/>
      <c r="V970" s="1"/>
      <c r="AB970" s="1"/>
      <c r="AF970" s="1"/>
      <c r="AJ970" s="1"/>
      <c r="AN970" s="1"/>
      <c r="AS970" s="1"/>
      <c r="AX970" s="1"/>
      <c r="BA970" s="1"/>
      <c r="BC970" s="1"/>
      <c r="BM970" s="1"/>
      <c r="BP970" s="1"/>
    </row>
    <row r="971" spans="1:68" x14ac:dyDescent="0.3">
      <c r="A971" s="19">
        <f t="shared" si="74"/>
        <v>47274</v>
      </c>
      <c r="B971">
        <f t="shared" ref="B971:B1034" ca="1" si="75">($B$7-A971)/360</f>
        <v>-3.1166666666666667</v>
      </c>
      <c r="C971" t="str">
        <f ca="1">IF(currency="USD",'Future et co'!D971,IF(currency="EUR",'Future et co'!E971,IF(currency="GBP",'Future et co'!F971,FALSE)))</f>
        <v>RFR USD</v>
      </c>
      <c r="D971" t="str">
        <f t="shared" ref="D971:D1034" ca="1" si="76">IFERROR(IF(B971&lt;0.25,VLOOKUP(A971,$J$11:$L$5325,3,FALSE),IF(AND(B971&gt;=0.25,B971&lt;0.5),VLOOKUP(A971,$N$11:$P$5325,3,FALSE),IF(AND(B971&gt;=0.5,B971&lt;1),VLOOKUP(A971,$R$11:$T$5325,3,FALSE),VLOOKUP(A971,$V$11:$X$5010,3,FALSE)))),D970)</f>
        <v>RFR USD</v>
      </c>
      <c r="E971" t="str">
        <f t="shared" ref="E971:E1034" ca="1" si="77">IFERROR(IF(B971&lt;0.25,VLOOKUP(A971,$AF$11:$AH$5325,3,FALSE),IF(AND(B971&gt;=0.25,B971&lt;0.5),VLOOKUP(A971,$AJ$11:$AL$5325,3,FALSE),VLOOKUP(A971,$AN$11:$AP$5325,3,FALSE))),E970)</f>
        <v>RFR EUR</v>
      </c>
      <c r="F971" t="str">
        <f t="shared" ref="F971:F1034" ca="1" si="78">IFERROR(VLOOKUP(A971,$AS$11:$AU$9999,3,FALSE),F970)</f>
        <v>RFR GBP</v>
      </c>
      <c r="J971" s="1"/>
      <c r="N971" s="1"/>
      <c r="R971" s="1"/>
      <c r="V971" s="1"/>
      <c r="AB971" s="1"/>
      <c r="AF971" s="1"/>
      <c r="AJ971" s="1"/>
      <c r="AN971" s="1"/>
      <c r="AS971" s="1"/>
      <c r="AX971" s="1"/>
      <c r="BA971" s="1"/>
      <c r="BC971" s="1"/>
      <c r="BM971" s="1"/>
      <c r="BP971" s="1"/>
    </row>
    <row r="972" spans="1:68" x14ac:dyDescent="0.3">
      <c r="A972" s="19">
        <f t="shared" si="74"/>
        <v>47275</v>
      </c>
      <c r="B972">
        <f t="shared" ca="1" si="75"/>
        <v>-3.1194444444444445</v>
      </c>
      <c r="C972" t="str">
        <f ca="1">IF(currency="USD",'Future et co'!D972,IF(currency="EUR",'Future et co'!E972,IF(currency="GBP",'Future et co'!F972,FALSE)))</f>
        <v>RFR USD</v>
      </c>
      <c r="D972" t="str">
        <f t="shared" ca="1" si="76"/>
        <v>RFR USD</v>
      </c>
      <c r="E972" t="str">
        <f t="shared" ca="1" si="77"/>
        <v>RFR EUR</v>
      </c>
      <c r="F972" t="str">
        <f t="shared" ca="1" si="78"/>
        <v>RFR GBP</v>
      </c>
      <c r="J972" s="1"/>
      <c r="N972" s="1"/>
      <c r="R972" s="1"/>
      <c r="V972" s="1"/>
      <c r="AB972" s="1"/>
      <c r="AF972" s="1"/>
      <c r="AJ972" s="1"/>
      <c r="AN972" s="1"/>
      <c r="AS972" s="1"/>
      <c r="AX972" s="1"/>
      <c r="BA972" s="1"/>
      <c r="BC972" s="1"/>
      <c r="BM972" s="1"/>
      <c r="BP972" s="1"/>
    </row>
    <row r="973" spans="1:68" x14ac:dyDescent="0.3">
      <c r="A973" s="19">
        <f t="shared" ref="A973:A1036" si="79">WORKDAY(A972,1)</f>
        <v>47276</v>
      </c>
      <c r="B973">
        <f t="shared" ca="1" si="75"/>
        <v>-3.1222222222222222</v>
      </c>
      <c r="C973" t="str">
        <f ca="1">IF(currency="USD",'Future et co'!D973,IF(currency="EUR",'Future et co'!E973,IF(currency="GBP",'Future et co'!F973,FALSE)))</f>
        <v>RFR USD</v>
      </c>
      <c r="D973" t="str">
        <f t="shared" ca="1" si="76"/>
        <v>RFR USD</v>
      </c>
      <c r="E973" t="str">
        <f t="shared" ca="1" si="77"/>
        <v>RFR EUR</v>
      </c>
      <c r="F973" t="str">
        <f t="shared" ca="1" si="78"/>
        <v>RFR GBP</v>
      </c>
      <c r="J973" s="1"/>
      <c r="N973" s="1"/>
      <c r="R973" s="1"/>
      <c r="V973" s="1"/>
      <c r="AB973" s="1"/>
      <c r="AF973" s="1"/>
      <c r="AJ973" s="1"/>
      <c r="AN973" s="1"/>
      <c r="AS973" s="1"/>
      <c r="AX973" s="1"/>
      <c r="BA973" s="1"/>
      <c r="BC973" s="1"/>
      <c r="BM973" s="1"/>
      <c r="BP973" s="1"/>
    </row>
    <row r="974" spans="1:68" x14ac:dyDescent="0.3">
      <c r="A974" s="19">
        <f t="shared" si="79"/>
        <v>47277</v>
      </c>
      <c r="B974">
        <f t="shared" ca="1" si="75"/>
        <v>-3.125</v>
      </c>
      <c r="C974" t="str">
        <f ca="1">IF(currency="USD",'Future et co'!D974,IF(currency="EUR",'Future et co'!E974,IF(currency="GBP",'Future et co'!F974,FALSE)))</f>
        <v>RFR USD</v>
      </c>
      <c r="D974" t="str">
        <f t="shared" ca="1" si="76"/>
        <v>RFR USD</v>
      </c>
      <c r="E974" t="str">
        <f t="shared" ca="1" si="77"/>
        <v>RFR EUR</v>
      </c>
      <c r="F974" t="str">
        <f t="shared" ca="1" si="78"/>
        <v>RFR GBP</v>
      </c>
      <c r="J974" s="1"/>
      <c r="N974" s="1"/>
      <c r="R974" s="1"/>
      <c r="V974" s="1"/>
      <c r="AB974" s="1"/>
      <c r="AF974" s="1"/>
      <c r="AJ974" s="1"/>
      <c r="AN974" s="1"/>
      <c r="AS974" s="1"/>
      <c r="AX974" s="1"/>
      <c r="BA974" s="1"/>
      <c r="BC974" s="1"/>
      <c r="BM974" s="1"/>
      <c r="BP974" s="1"/>
    </row>
    <row r="975" spans="1:68" x14ac:dyDescent="0.3">
      <c r="A975" s="19">
        <f t="shared" si="79"/>
        <v>47280</v>
      </c>
      <c r="B975">
        <f t="shared" ca="1" si="75"/>
        <v>-3.1333333333333333</v>
      </c>
      <c r="C975" t="str">
        <f ca="1">IF(currency="USD",'Future et co'!D975,IF(currency="EUR",'Future et co'!E975,IF(currency="GBP",'Future et co'!F975,FALSE)))</f>
        <v>RFR USD</v>
      </c>
      <c r="D975" t="str">
        <f t="shared" ca="1" si="76"/>
        <v>RFR USD</v>
      </c>
      <c r="E975" t="str">
        <f t="shared" ca="1" si="77"/>
        <v>RFR EUR</v>
      </c>
      <c r="F975" t="str">
        <f t="shared" ca="1" si="78"/>
        <v>RFR GBP</v>
      </c>
      <c r="J975" s="1"/>
      <c r="N975" s="1"/>
      <c r="R975" s="1"/>
      <c r="V975" s="1"/>
      <c r="AB975" s="1"/>
      <c r="AF975" s="1"/>
      <c r="AJ975" s="1"/>
      <c r="AN975" s="1"/>
      <c r="AS975" s="1"/>
      <c r="AX975" s="1"/>
      <c r="BA975" s="1"/>
      <c r="BC975" s="1"/>
      <c r="BM975" s="1"/>
      <c r="BP975" s="1"/>
    </row>
    <row r="976" spans="1:68" x14ac:dyDescent="0.3">
      <c r="A976" s="19">
        <f t="shared" si="79"/>
        <v>47281</v>
      </c>
      <c r="B976">
        <f t="shared" ca="1" si="75"/>
        <v>-3.1361111111111111</v>
      </c>
      <c r="C976" t="str">
        <f ca="1">IF(currency="USD",'Future et co'!D976,IF(currency="EUR",'Future et co'!E976,IF(currency="GBP",'Future et co'!F976,FALSE)))</f>
        <v>RFR USD</v>
      </c>
      <c r="D976" t="str">
        <f t="shared" ca="1" si="76"/>
        <v>RFR USD</v>
      </c>
      <c r="E976" t="str">
        <f t="shared" ca="1" si="77"/>
        <v>RFR EUR</v>
      </c>
      <c r="F976" t="str">
        <f t="shared" ca="1" si="78"/>
        <v>RFR GBP</v>
      </c>
      <c r="J976" s="1"/>
      <c r="N976" s="1"/>
      <c r="R976" s="1"/>
      <c r="V976" s="1"/>
      <c r="AB976" s="1"/>
      <c r="AF976" s="1"/>
      <c r="AJ976" s="1"/>
      <c r="AN976" s="1"/>
      <c r="AS976" s="1"/>
      <c r="AX976" s="1"/>
      <c r="BA976" s="1"/>
      <c r="BC976" s="1"/>
      <c r="BM976" s="1"/>
      <c r="BP976" s="1"/>
    </row>
    <row r="977" spans="1:68" x14ac:dyDescent="0.3">
      <c r="A977" s="19">
        <f t="shared" si="79"/>
        <v>47282</v>
      </c>
      <c r="B977">
        <f t="shared" ca="1" si="75"/>
        <v>-3.1388888888888888</v>
      </c>
      <c r="C977" t="str">
        <f ca="1">IF(currency="USD",'Future et co'!D977,IF(currency="EUR",'Future et co'!E977,IF(currency="GBP",'Future et co'!F977,FALSE)))</f>
        <v>RFR USD</v>
      </c>
      <c r="D977" t="str">
        <f t="shared" ca="1" si="76"/>
        <v>RFR USD</v>
      </c>
      <c r="E977" t="str">
        <f t="shared" ca="1" si="77"/>
        <v>RFR EUR</v>
      </c>
      <c r="F977" t="str">
        <f t="shared" ca="1" si="78"/>
        <v>RFR GBP</v>
      </c>
      <c r="J977" s="1"/>
      <c r="N977" s="1"/>
      <c r="R977" s="1"/>
      <c r="V977" s="1"/>
      <c r="AB977" s="1"/>
      <c r="AF977" s="1"/>
      <c r="AJ977" s="1"/>
      <c r="AN977" s="1"/>
      <c r="AS977" s="1"/>
      <c r="AX977" s="1"/>
      <c r="BA977" s="1"/>
      <c r="BC977" s="1"/>
      <c r="BM977" s="1"/>
      <c r="BP977" s="1"/>
    </row>
    <row r="978" spans="1:68" x14ac:dyDescent="0.3">
      <c r="A978" s="19">
        <f t="shared" si="79"/>
        <v>47283</v>
      </c>
      <c r="B978">
        <f t="shared" ca="1" si="75"/>
        <v>-3.1416666666666666</v>
      </c>
      <c r="C978" t="str">
        <f ca="1">IF(currency="USD",'Future et co'!D978,IF(currency="EUR",'Future et co'!E978,IF(currency="GBP",'Future et co'!F978,FALSE)))</f>
        <v>RFR USD</v>
      </c>
      <c r="D978" t="str">
        <f t="shared" ca="1" si="76"/>
        <v>RFR USD</v>
      </c>
      <c r="E978" t="str">
        <f t="shared" ca="1" si="77"/>
        <v>RFR EUR</v>
      </c>
      <c r="F978" t="str">
        <f t="shared" ca="1" si="78"/>
        <v>RFR GBP</v>
      </c>
      <c r="J978" s="1"/>
      <c r="N978" s="1"/>
      <c r="R978" s="1"/>
      <c r="V978" s="1"/>
      <c r="AB978" s="1"/>
      <c r="AF978" s="1"/>
      <c r="AJ978" s="1"/>
      <c r="AN978" s="1"/>
      <c r="AS978" s="1"/>
      <c r="AX978" s="1"/>
      <c r="BA978" s="1"/>
      <c r="BC978" s="1"/>
      <c r="BM978" s="1"/>
      <c r="BP978" s="1"/>
    </row>
    <row r="979" spans="1:68" x14ac:dyDescent="0.3">
      <c r="A979" s="19">
        <f t="shared" si="79"/>
        <v>47284</v>
      </c>
      <c r="B979">
        <f t="shared" ca="1" si="75"/>
        <v>-3.1444444444444444</v>
      </c>
      <c r="C979" t="str">
        <f ca="1">IF(currency="USD",'Future et co'!D979,IF(currency="EUR",'Future et co'!E979,IF(currency="GBP",'Future et co'!F979,FALSE)))</f>
        <v>RFR USD</v>
      </c>
      <c r="D979" t="str">
        <f t="shared" ca="1" si="76"/>
        <v>RFR USD</v>
      </c>
      <c r="E979" t="str">
        <f t="shared" ca="1" si="77"/>
        <v>RFR EUR</v>
      </c>
      <c r="F979" t="str">
        <f t="shared" ca="1" si="78"/>
        <v>RFR GBP</v>
      </c>
      <c r="J979" s="1"/>
      <c r="N979" s="1"/>
      <c r="R979" s="1"/>
      <c r="V979" s="1"/>
      <c r="AB979" s="1"/>
      <c r="AF979" s="1"/>
      <c r="AJ979" s="1"/>
      <c r="AN979" s="1"/>
      <c r="AS979" s="1"/>
      <c r="AX979" s="1"/>
      <c r="BA979" s="1"/>
      <c r="BC979" s="1"/>
      <c r="BM979" s="1"/>
      <c r="BP979" s="1"/>
    </row>
    <row r="980" spans="1:68" x14ac:dyDescent="0.3">
      <c r="A980" s="19">
        <f t="shared" si="79"/>
        <v>47287</v>
      </c>
      <c r="B980">
        <f t="shared" ca="1" si="75"/>
        <v>-3.1527777777777777</v>
      </c>
      <c r="C980" t="str">
        <f ca="1">IF(currency="USD",'Future et co'!D980,IF(currency="EUR",'Future et co'!E980,IF(currency="GBP",'Future et co'!F980,FALSE)))</f>
        <v>RFR USD</v>
      </c>
      <c r="D980" t="str">
        <f t="shared" ca="1" si="76"/>
        <v>RFR USD</v>
      </c>
      <c r="E980" t="str">
        <f t="shared" ca="1" si="77"/>
        <v>RFR EUR</v>
      </c>
      <c r="F980" t="str">
        <f t="shared" ca="1" si="78"/>
        <v>RFR GBP</v>
      </c>
      <c r="J980" s="1"/>
      <c r="N980" s="1"/>
      <c r="R980" s="1"/>
      <c r="V980" s="1"/>
      <c r="AB980" s="1"/>
      <c r="AF980" s="1"/>
      <c r="AJ980" s="1"/>
      <c r="AN980" s="1"/>
      <c r="AS980" s="1"/>
      <c r="AX980" s="1"/>
      <c r="BA980" s="1"/>
      <c r="BC980" s="1"/>
      <c r="BM980" s="1"/>
      <c r="BP980" s="1"/>
    </row>
    <row r="981" spans="1:68" x14ac:dyDescent="0.3">
      <c r="A981" s="19">
        <f t="shared" si="79"/>
        <v>47288</v>
      </c>
      <c r="B981">
        <f t="shared" ca="1" si="75"/>
        <v>-3.1555555555555554</v>
      </c>
      <c r="C981" t="str">
        <f ca="1">IF(currency="USD",'Future et co'!D981,IF(currency="EUR",'Future et co'!E981,IF(currency="GBP",'Future et co'!F981,FALSE)))</f>
        <v>RFR USD</v>
      </c>
      <c r="D981" t="str">
        <f t="shared" ca="1" si="76"/>
        <v>RFR USD</v>
      </c>
      <c r="E981" t="str">
        <f t="shared" ca="1" si="77"/>
        <v>RFR EUR</v>
      </c>
      <c r="F981" t="str">
        <f t="shared" ca="1" si="78"/>
        <v>RFR GBP</v>
      </c>
      <c r="J981" s="1"/>
      <c r="N981" s="1"/>
      <c r="R981" s="1"/>
      <c r="V981" s="1"/>
      <c r="AB981" s="1"/>
      <c r="AF981" s="1"/>
      <c r="AJ981" s="1"/>
      <c r="AN981" s="1"/>
      <c r="AS981" s="1"/>
      <c r="AX981" s="1"/>
      <c r="BA981" s="1"/>
      <c r="BC981" s="1"/>
      <c r="BM981" s="1"/>
      <c r="BP981" s="1"/>
    </row>
    <row r="982" spans="1:68" x14ac:dyDescent="0.3">
      <c r="A982" s="19">
        <f t="shared" si="79"/>
        <v>47289</v>
      </c>
      <c r="B982">
        <f t="shared" ca="1" si="75"/>
        <v>-3.1583333333333332</v>
      </c>
      <c r="C982" t="str">
        <f ca="1">IF(currency="USD",'Future et co'!D982,IF(currency="EUR",'Future et co'!E982,IF(currency="GBP",'Future et co'!F982,FALSE)))</f>
        <v>RFR USD</v>
      </c>
      <c r="D982" t="str">
        <f t="shared" ca="1" si="76"/>
        <v>RFR USD</v>
      </c>
      <c r="E982" t="str">
        <f t="shared" ca="1" si="77"/>
        <v>RFR EUR</v>
      </c>
      <c r="F982" t="str">
        <f t="shared" ca="1" si="78"/>
        <v>RFR GBP</v>
      </c>
      <c r="J982" s="1"/>
      <c r="N982" s="1"/>
      <c r="R982" s="1"/>
      <c r="V982" s="1"/>
      <c r="AB982" s="1"/>
      <c r="AF982" s="1"/>
      <c r="AJ982" s="1"/>
      <c r="AN982" s="1"/>
      <c r="AS982" s="1"/>
      <c r="AX982" s="1"/>
      <c r="BA982" s="1"/>
      <c r="BC982" s="1"/>
      <c r="BM982" s="1"/>
      <c r="BP982" s="1"/>
    </row>
    <row r="983" spans="1:68" x14ac:dyDescent="0.3">
      <c r="A983" s="19">
        <f t="shared" si="79"/>
        <v>47290</v>
      </c>
      <c r="B983">
        <f t="shared" ca="1" si="75"/>
        <v>-3.161111111111111</v>
      </c>
      <c r="C983" t="str">
        <f ca="1">IF(currency="USD",'Future et co'!D983,IF(currency="EUR",'Future et co'!E983,IF(currency="GBP",'Future et co'!F983,FALSE)))</f>
        <v>RFR USD</v>
      </c>
      <c r="D983" t="str">
        <f t="shared" ca="1" si="76"/>
        <v>RFR USD</v>
      </c>
      <c r="E983" t="str">
        <f t="shared" ca="1" si="77"/>
        <v>RFR EUR</v>
      </c>
      <c r="F983" t="str">
        <f t="shared" ca="1" si="78"/>
        <v>RFR GBP</v>
      </c>
      <c r="J983" s="1"/>
      <c r="N983" s="1"/>
      <c r="R983" s="1"/>
      <c r="V983" s="1"/>
      <c r="AB983" s="1"/>
      <c r="AF983" s="1"/>
      <c r="AJ983" s="1"/>
      <c r="AN983" s="1"/>
      <c r="AS983" s="1"/>
      <c r="AX983" s="1"/>
      <c r="BA983" s="1"/>
      <c r="BC983" s="1"/>
      <c r="BM983" s="1"/>
      <c r="BP983" s="1"/>
    </row>
    <row r="984" spans="1:68" x14ac:dyDescent="0.3">
      <c r="A984" s="19">
        <f t="shared" si="79"/>
        <v>47291</v>
      </c>
      <c r="B984">
        <f t="shared" ca="1" si="75"/>
        <v>-3.1638888888888888</v>
      </c>
      <c r="C984" t="str">
        <f ca="1">IF(currency="USD",'Future et co'!D984,IF(currency="EUR",'Future et co'!E984,IF(currency="GBP",'Future et co'!F984,FALSE)))</f>
        <v>RFR USD</v>
      </c>
      <c r="D984" t="str">
        <f t="shared" ca="1" si="76"/>
        <v>RFR USD</v>
      </c>
      <c r="E984" t="str">
        <f t="shared" ca="1" si="77"/>
        <v>RFR EUR</v>
      </c>
      <c r="F984" t="str">
        <f t="shared" ca="1" si="78"/>
        <v>RFR GBP</v>
      </c>
      <c r="J984" s="1"/>
      <c r="N984" s="1"/>
      <c r="R984" s="1"/>
      <c r="V984" s="1"/>
      <c r="AB984" s="1"/>
      <c r="AF984" s="1"/>
      <c r="AJ984" s="1"/>
      <c r="AN984" s="1"/>
      <c r="AS984" s="1"/>
      <c r="AX984" s="1"/>
      <c r="BA984" s="1"/>
      <c r="BC984" s="1"/>
      <c r="BM984" s="1"/>
      <c r="BP984" s="1"/>
    </row>
    <row r="985" spans="1:68" x14ac:dyDescent="0.3">
      <c r="A985" s="19">
        <f t="shared" si="79"/>
        <v>47294</v>
      </c>
      <c r="B985">
        <f t="shared" ca="1" si="75"/>
        <v>-3.1722222222222221</v>
      </c>
      <c r="C985" t="str">
        <f ca="1">IF(currency="USD",'Future et co'!D985,IF(currency="EUR",'Future et co'!E985,IF(currency="GBP",'Future et co'!F985,FALSE)))</f>
        <v>RFR USD</v>
      </c>
      <c r="D985" t="str">
        <f t="shared" ca="1" si="76"/>
        <v>RFR USD</v>
      </c>
      <c r="E985" t="str">
        <f t="shared" ca="1" si="77"/>
        <v>RFR EUR</v>
      </c>
      <c r="F985" t="str">
        <f t="shared" ca="1" si="78"/>
        <v>RFR GBP</v>
      </c>
      <c r="J985" s="1"/>
      <c r="N985" s="1"/>
      <c r="R985" s="1"/>
      <c r="V985" s="1"/>
      <c r="AB985" s="1"/>
      <c r="AF985" s="1"/>
      <c r="AJ985" s="1"/>
      <c r="AN985" s="1"/>
      <c r="AS985" s="1"/>
      <c r="AX985" s="1"/>
      <c r="BA985" s="1"/>
      <c r="BC985" s="1"/>
      <c r="BM985" s="1"/>
      <c r="BP985" s="1"/>
    </row>
    <row r="986" spans="1:68" x14ac:dyDescent="0.3">
      <c r="A986" s="19">
        <f t="shared" si="79"/>
        <v>47295</v>
      </c>
      <c r="B986">
        <f t="shared" ca="1" si="75"/>
        <v>-3.1749999999999998</v>
      </c>
      <c r="C986" t="str">
        <f ca="1">IF(currency="USD",'Future et co'!D986,IF(currency="EUR",'Future et co'!E986,IF(currency="GBP",'Future et co'!F986,FALSE)))</f>
        <v>RFR USD</v>
      </c>
      <c r="D986" t="str">
        <f t="shared" ca="1" si="76"/>
        <v>RFR USD</v>
      </c>
      <c r="E986" t="str">
        <f t="shared" ca="1" si="77"/>
        <v>RFR EUR</v>
      </c>
      <c r="F986" t="str">
        <f t="shared" ca="1" si="78"/>
        <v>RFR GBP</v>
      </c>
      <c r="J986" s="1"/>
      <c r="N986" s="1"/>
      <c r="R986" s="1"/>
      <c r="V986" s="1"/>
      <c r="AB986" s="1"/>
      <c r="AF986" s="1"/>
      <c r="AJ986" s="1"/>
      <c r="AN986" s="1"/>
      <c r="AS986" s="1"/>
      <c r="AX986" s="1"/>
      <c r="BA986" s="1"/>
      <c r="BC986" s="1"/>
      <c r="BM986" s="1"/>
      <c r="BP986" s="1"/>
    </row>
    <row r="987" spans="1:68" x14ac:dyDescent="0.3">
      <c r="A987" s="19">
        <f t="shared" si="79"/>
        <v>47296</v>
      </c>
      <c r="B987">
        <f t="shared" ca="1" si="75"/>
        <v>-3.1777777777777776</v>
      </c>
      <c r="C987" t="str">
        <f ca="1">IF(currency="USD",'Future et co'!D987,IF(currency="EUR",'Future et co'!E987,IF(currency="GBP",'Future et co'!F987,FALSE)))</f>
        <v>RFR USD</v>
      </c>
      <c r="D987" t="str">
        <f t="shared" ca="1" si="76"/>
        <v>RFR USD</v>
      </c>
      <c r="E987" t="str">
        <f t="shared" ca="1" si="77"/>
        <v>RFR EUR</v>
      </c>
      <c r="F987" t="str">
        <f t="shared" ca="1" si="78"/>
        <v>RFR GBP</v>
      </c>
      <c r="J987" s="1"/>
      <c r="N987" s="1"/>
      <c r="R987" s="1"/>
      <c r="V987" s="1"/>
      <c r="AB987" s="1"/>
      <c r="AF987" s="1"/>
      <c r="AJ987" s="1"/>
      <c r="AN987" s="1"/>
      <c r="AS987" s="1"/>
      <c r="AX987" s="1"/>
      <c r="BA987" s="1"/>
      <c r="BC987" s="1"/>
      <c r="BM987" s="1"/>
      <c r="BP987" s="1"/>
    </row>
    <row r="988" spans="1:68" x14ac:dyDescent="0.3">
      <c r="A988" s="19">
        <f t="shared" si="79"/>
        <v>47297</v>
      </c>
      <c r="B988">
        <f t="shared" ca="1" si="75"/>
        <v>-3.1805555555555554</v>
      </c>
      <c r="C988" t="str">
        <f ca="1">IF(currency="USD",'Future et co'!D988,IF(currency="EUR",'Future et co'!E988,IF(currency="GBP",'Future et co'!F988,FALSE)))</f>
        <v>RFR USD</v>
      </c>
      <c r="D988" t="str">
        <f t="shared" ca="1" si="76"/>
        <v>RFR USD</v>
      </c>
      <c r="E988" t="str">
        <f t="shared" ca="1" si="77"/>
        <v>RFR EUR</v>
      </c>
      <c r="F988" t="str">
        <f t="shared" ca="1" si="78"/>
        <v>RFR GBP</v>
      </c>
      <c r="J988" s="1"/>
      <c r="N988" s="1"/>
      <c r="R988" s="1"/>
      <c r="V988" s="1"/>
      <c r="AB988" s="1"/>
      <c r="AF988" s="1"/>
      <c r="AJ988" s="1"/>
      <c r="AN988" s="1"/>
      <c r="AS988" s="1"/>
      <c r="AX988" s="1"/>
      <c r="BA988" s="1"/>
      <c r="BC988" s="1"/>
      <c r="BM988" s="1"/>
      <c r="BP988" s="1"/>
    </row>
    <row r="989" spans="1:68" x14ac:dyDescent="0.3">
      <c r="A989" s="19">
        <f t="shared" si="79"/>
        <v>47298</v>
      </c>
      <c r="B989">
        <f t="shared" ca="1" si="75"/>
        <v>-3.1833333333333331</v>
      </c>
      <c r="C989" t="str">
        <f ca="1">IF(currency="USD",'Future et co'!D989,IF(currency="EUR",'Future et co'!E989,IF(currency="GBP",'Future et co'!F989,FALSE)))</f>
        <v>RFR USD</v>
      </c>
      <c r="D989" t="str">
        <f t="shared" ca="1" si="76"/>
        <v>RFR USD</v>
      </c>
      <c r="E989" t="str">
        <f t="shared" ca="1" si="77"/>
        <v>RFR EUR</v>
      </c>
      <c r="F989" t="str">
        <f t="shared" ca="1" si="78"/>
        <v>RFR GBP</v>
      </c>
      <c r="J989" s="1"/>
      <c r="N989" s="1"/>
      <c r="R989" s="1"/>
      <c r="V989" s="1"/>
      <c r="AB989" s="1"/>
      <c r="AF989" s="1"/>
      <c r="AJ989" s="1"/>
      <c r="AN989" s="1"/>
      <c r="AS989" s="1"/>
      <c r="AX989" s="1"/>
      <c r="BA989" s="1"/>
      <c r="BC989" s="1"/>
      <c r="BM989" s="1"/>
      <c r="BP989" s="1"/>
    </row>
    <row r="990" spans="1:68" x14ac:dyDescent="0.3">
      <c r="A990" s="19">
        <f t="shared" si="79"/>
        <v>47301</v>
      </c>
      <c r="B990">
        <f t="shared" ca="1" si="75"/>
        <v>-3.1916666666666669</v>
      </c>
      <c r="C990" t="str">
        <f ca="1">IF(currency="USD",'Future et co'!D990,IF(currency="EUR",'Future et co'!E990,IF(currency="GBP",'Future et co'!F990,FALSE)))</f>
        <v>RFR USD</v>
      </c>
      <c r="D990" t="str">
        <f t="shared" ca="1" si="76"/>
        <v>RFR USD</v>
      </c>
      <c r="E990" t="str">
        <f t="shared" ca="1" si="77"/>
        <v>RFR EUR</v>
      </c>
      <c r="F990" t="str">
        <f t="shared" ca="1" si="78"/>
        <v>RFR GBP</v>
      </c>
      <c r="J990" s="1"/>
      <c r="N990" s="1"/>
      <c r="R990" s="1"/>
      <c r="V990" s="1"/>
      <c r="AB990" s="1"/>
      <c r="AF990" s="1"/>
      <c r="AJ990" s="1"/>
      <c r="AN990" s="1"/>
      <c r="AS990" s="1"/>
      <c r="AX990" s="1"/>
      <c r="BA990" s="1"/>
      <c r="BC990" s="1"/>
      <c r="BM990" s="1"/>
      <c r="BP990" s="1"/>
    </row>
    <row r="991" spans="1:68" x14ac:dyDescent="0.3">
      <c r="A991" s="19">
        <f t="shared" si="79"/>
        <v>47302</v>
      </c>
      <c r="B991">
        <f t="shared" ca="1" si="75"/>
        <v>-3.1944444444444446</v>
      </c>
      <c r="C991" t="str">
        <f ca="1">IF(currency="USD",'Future et co'!D991,IF(currency="EUR",'Future et co'!E991,IF(currency="GBP",'Future et co'!F991,FALSE)))</f>
        <v>RFR USD</v>
      </c>
      <c r="D991" t="str">
        <f t="shared" ca="1" si="76"/>
        <v>RFR USD</v>
      </c>
      <c r="E991" t="str">
        <f t="shared" ca="1" si="77"/>
        <v>RFR EUR</v>
      </c>
      <c r="F991" t="str">
        <f t="shared" ca="1" si="78"/>
        <v>RFR GBP</v>
      </c>
      <c r="J991" s="1"/>
      <c r="N991" s="1"/>
      <c r="R991" s="1"/>
      <c r="V991" s="1"/>
      <c r="AB991" s="1"/>
      <c r="AF991" s="1"/>
      <c r="AJ991" s="1"/>
      <c r="AN991" s="1"/>
      <c r="AS991" s="1"/>
      <c r="AX991" s="1"/>
      <c r="BA991" s="1"/>
      <c r="BC991" s="1"/>
      <c r="BM991" s="1"/>
      <c r="BP991" s="1"/>
    </row>
    <row r="992" spans="1:68" x14ac:dyDescent="0.3">
      <c r="A992" s="19">
        <f t="shared" si="79"/>
        <v>47303</v>
      </c>
      <c r="B992">
        <f t="shared" ca="1" si="75"/>
        <v>-3.1972222222222224</v>
      </c>
      <c r="C992" t="str">
        <f ca="1">IF(currency="USD",'Future et co'!D992,IF(currency="EUR",'Future et co'!E992,IF(currency="GBP",'Future et co'!F992,FALSE)))</f>
        <v>RFR USD</v>
      </c>
      <c r="D992" t="str">
        <f t="shared" ca="1" si="76"/>
        <v>RFR USD</v>
      </c>
      <c r="E992" t="str">
        <f t="shared" ca="1" si="77"/>
        <v>RFR EUR</v>
      </c>
      <c r="F992" t="str">
        <f t="shared" ca="1" si="78"/>
        <v>RFR GBP</v>
      </c>
      <c r="J992" s="1"/>
      <c r="N992" s="1"/>
      <c r="R992" s="1"/>
      <c r="V992" s="1"/>
      <c r="AB992" s="1"/>
      <c r="AF992" s="1"/>
      <c r="AJ992" s="1"/>
      <c r="AN992" s="1"/>
      <c r="AS992" s="1"/>
      <c r="AX992" s="1"/>
      <c r="BA992" s="1"/>
      <c r="BC992" s="1"/>
      <c r="BM992" s="1"/>
      <c r="BP992" s="1"/>
    </row>
    <row r="993" spans="1:68" x14ac:dyDescent="0.3">
      <c r="A993" s="19">
        <f t="shared" si="79"/>
        <v>47304</v>
      </c>
      <c r="B993">
        <f t="shared" ca="1" si="75"/>
        <v>-3.2</v>
      </c>
      <c r="C993" t="str">
        <f ca="1">IF(currency="USD",'Future et co'!D993,IF(currency="EUR",'Future et co'!E993,IF(currency="GBP",'Future et co'!F993,FALSE)))</f>
        <v>RFR USD</v>
      </c>
      <c r="D993" t="str">
        <f t="shared" ca="1" si="76"/>
        <v>RFR USD</v>
      </c>
      <c r="E993" t="str">
        <f t="shared" ca="1" si="77"/>
        <v>RFR EUR</v>
      </c>
      <c r="F993" t="str">
        <f t="shared" ca="1" si="78"/>
        <v>RFR GBP</v>
      </c>
      <c r="J993" s="1"/>
      <c r="N993" s="1"/>
      <c r="R993" s="1"/>
      <c r="V993" s="1"/>
      <c r="AB993" s="1"/>
      <c r="AF993" s="1"/>
      <c r="AJ993" s="1"/>
      <c r="AN993" s="1"/>
      <c r="AS993" s="1"/>
      <c r="AX993" s="1"/>
      <c r="BA993" s="1"/>
      <c r="BC993" s="1"/>
      <c r="BM993" s="1"/>
      <c r="BP993" s="1"/>
    </row>
    <row r="994" spans="1:68" x14ac:dyDescent="0.3">
      <c r="A994" s="19">
        <f t="shared" si="79"/>
        <v>47305</v>
      </c>
      <c r="B994">
        <f t="shared" ca="1" si="75"/>
        <v>-3.2027777777777779</v>
      </c>
      <c r="C994" t="str">
        <f ca="1">IF(currency="USD",'Future et co'!D994,IF(currency="EUR",'Future et co'!E994,IF(currency="GBP",'Future et co'!F994,FALSE)))</f>
        <v>RFR USD</v>
      </c>
      <c r="D994" t="str">
        <f t="shared" ca="1" si="76"/>
        <v>RFR USD</v>
      </c>
      <c r="E994" t="str">
        <f t="shared" ca="1" si="77"/>
        <v>RFR EUR</v>
      </c>
      <c r="F994" t="str">
        <f t="shared" ca="1" si="78"/>
        <v>RFR GBP</v>
      </c>
      <c r="J994" s="1"/>
      <c r="N994" s="1"/>
      <c r="R994" s="1"/>
      <c r="V994" s="1"/>
      <c r="AB994" s="1"/>
      <c r="AF994" s="1"/>
      <c r="AJ994" s="1"/>
      <c r="AN994" s="1"/>
      <c r="AS994" s="1"/>
      <c r="AX994" s="1"/>
      <c r="BA994" s="1"/>
      <c r="BC994" s="1"/>
      <c r="BM994" s="1"/>
      <c r="BP994" s="1"/>
    </row>
    <row r="995" spans="1:68" x14ac:dyDescent="0.3">
      <c r="A995" s="19">
        <f t="shared" si="79"/>
        <v>47308</v>
      </c>
      <c r="B995">
        <f t="shared" ca="1" si="75"/>
        <v>-3.2111111111111112</v>
      </c>
      <c r="C995" t="str">
        <f ca="1">IF(currency="USD",'Future et co'!D995,IF(currency="EUR",'Future et co'!E995,IF(currency="GBP",'Future et co'!F995,FALSE)))</f>
        <v>RFR USD</v>
      </c>
      <c r="D995" t="str">
        <f t="shared" ca="1" si="76"/>
        <v>RFR USD</v>
      </c>
      <c r="E995" t="str">
        <f t="shared" ca="1" si="77"/>
        <v>RFR EUR</v>
      </c>
      <c r="F995" t="str">
        <f t="shared" ca="1" si="78"/>
        <v>RFR GBP</v>
      </c>
      <c r="J995" s="1"/>
      <c r="N995" s="1"/>
      <c r="R995" s="1"/>
      <c r="V995" s="1"/>
      <c r="AB995" s="1"/>
      <c r="AF995" s="1"/>
      <c r="AJ995" s="1"/>
      <c r="AN995" s="1"/>
      <c r="AS995" s="1"/>
      <c r="AX995" s="1"/>
      <c r="BA995" s="1"/>
      <c r="BC995" s="1"/>
      <c r="BM995" s="1"/>
      <c r="BP995" s="1"/>
    </row>
    <row r="996" spans="1:68" x14ac:dyDescent="0.3">
      <c r="A996" s="19">
        <f t="shared" si="79"/>
        <v>47309</v>
      </c>
      <c r="B996">
        <f t="shared" ca="1" si="75"/>
        <v>-3.213888888888889</v>
      </c>
      <c r="C996" t="str">
        <f ca="1">IF(currency="USD",'Future et co'!D996,IF(currency="EUR",'Future et co'!E996,IF(currency="GBP",'Future et co'!F996,FALSE)))</f>
        <v>RFR USD</v>
      </c>
      <c r="D996" t="str">
        <f t="shared" ca="1" si="76"/>
        <v>RFR USD</v>
      </c>
      <c r="E996" t="str">
        <f t="shared" ca="1" si="77"/>
        <v>RFR EUR</v>
      </c>
      <c r="F996" t="str">
        <f t="shared" ca="1" si="78"/>
        <v>RFR GBP</v>
      </c>
      <c r="J996" s="1"/>
      <c r="N996" s="1"/>
      <c r="R996" s="1"/>
      <c r="V996" s="1"/>
      <c r="AB996" s="1"/>
      <c r="AF996" s="1"/>
      <c r="AJ996" s="1"/>
      <c r="AN996" s="1"/>
      <c r="AS996" s="1"/>
      <c r="AX996" s="1"/>
      <c r="BA996" s="1"/>
      <c r="BC996" s="1"/>
      <c r="BM996" s="1"/>
      <c r="BP996" s="1"/>
    </row>
    <row r="997" spans="1:68" x14ac:dyDescent="0.3">
      <c r="A997" s="19">
        <f t="shared" si="79"/>
        <v>47310</v>
      </c>
      <c r="B997">
        <f t="shared" ca="1" si="75"/>
        <v>-3.2166666666666668</v>
      </c>
      <c r="C997" t="str">
        <f ca="1">IF(currency="USD",'Future et co'!D997,IF(currency="EUR",'Future et co'!E997,IF(currency="GBP",'Future et co'!F997,FALSE)))</f>
        <v>RFR USD</v>
      </c>
      <c r="D997" t="str">
        <f t="shared" ca="1" si="76"/>
        <v>RFR USD</v>
      </c>
      <c r="E997" t="str">
        <f t="shared" ca="1" si="77"/>
        <v>RFR EUR</v>
      </c>
      <c r="F997" t="str">
        <f t="shared" ca="1" si="78"/>
        <v>RFR GBP</v>
      </c>
      <c r="J997" s="1"/>
      <c r="N997" s="1"/>
      <c r="R997" s="1"/>
      <c r="V997" s="1"/>
      <c r="AB997" s="1"/>
      <c r="AF997" s="1"/>
      <c r="AJ997" s="1"/>
      <c r="AN997" s="1"/>
      <c r="AS997" s="1"/>
      <c r="AX997" s="1"/>
      <c r="BA997" s="1"/>
      <c r="BC997" s="1"/>
      <c r="BM997" s="1"/>
      <c r="BP997" s="1"/>
    </row>
    <row r="998" spans="1:68" x14ac:dyDescent="0.3">
      <c r="A998" s="19">
        <f t="shared" si="79"/>
        <v>47311</v>
      </c>
      <c r="B998">
        <f t="shared" ca="1" si="75"/>
        <v>-3.2194444444444446</v>
      </c>
      <c r="C998" t="str">
        <f ca="1">IF(currency="USD",'Future et co'!D998,IF(currency="EUR",'Future et co'!E998,IF(currency="GBP",'Future et co'!F998,FALSE)))</f>
        <v>RFR USD</v>
      </c>
      <c r="D998" t="str">
        <f t="shared" ca="1" si="76"/>
        <v>RFR USD</v>
      </c>
      <c r="E998" t="str">
        <f t="shared" ca="1" si="77"/>
        <v>RFR EUR</v>
      </c>
      <c r="F998" t="str">
        <f t="shared" ca="1" si="78"/>
        <v>RFR GBP</v>
      </c>
      <c r="J998" s="1"/>
      <c r="N998" s="1"/>
      <c r="R998" s="1"/>
      <c r="V998" s="1"/>
      <c r="AB998" s="1"/>
      <c r="AF998" s="1"/>
      <c r="AJ998" s="1"/>
      <c r="AN998" s="1"/>
      <c r="AS998" s="1"/>
      <c r="AX998" s="1"/>
      <c r="BA998" s="1"/>
      <c r="BC998" s="1"/>
      <c r="BM998" s="1"/>
      <c r="BP998" s="1"/>
    </row>
    <row r="999" spans="1:68" x14ac:dyDescent="0.3">
      <c r="A999" s="19">
        <f t="shared" si="79"/>
        <v>47312</v>
      </c>
      <c r="B999">
        <f t="shared" ca="1" si="75"/>
        <v>-3.2222222222222223</v>
      </c>
      <c r="C999" t="str">
        <f ca="1">IF(currency="USD",'Future et co'!D999,IF(currency="EUR",'Future et co'!E999,IF(currency="GBP",'Future et co'!F999,FALSE)))</f>
        <v>RFR USD</v>
      </c>
      <c r="D999" t="str">
        <f t="shared" ca="1" si="76"/>
        <v>RFR USD</v>
      </c>
      <c r="E999" t="str">
        <f t="shared" ca="1" si="77"/>
        <v>RFR EUR</v>
      </c>
      <c r="F999" t="str">
        <f t="shared" ca="1" si="78"/>
        <v>RFR GBP</v>
      </c>
      <c r="J999" s="1"/>
      <c r="N999" s="1"/>
      <c r="R999" s="1"/>
      <c r="V999" s="1"/>
      <c r="AB999" s="1"/>
      <c r="AF999" s="1"/>
      <c r="AJ999" s="1"/>
      <c r="AN999" s="1"/>
      <c r="AS999" s="1"/>
      <c r="AX999" s="1"/>
      <c r="BA999" s="1"/>
      <c r="BC999" s="1"/>
      <c r="BM999" s="1"/>
      <c r="BP999" s="1"/>
    </row>
    <row r="1000" spans="1:68" x14ac:dyDescent="0.3">
      <c r="A1000" s="19">
        <f t="shared" si="79"/>
        <v>47315</v>
      </c>
      <c r="B1000">
        <f t="shared" ca="1" si="75"/>
        <v>-3.2305555555555556</v>
      </c>
      <c r="C1000" t="str">
        <f ca="1">IF(currency="USD",'Future et co'!D1000,IF(currency="EUR",'Future et co'!E1000,IF(currency="GBP",'Future et co'!F1000,FALSE)))</f>
        <v>RFR USD</v>
      </c>
      <c r="D1000" t="str">
        <f t="shared" ca="1" si="76"/>
        <v>RFR USD</v>
      </c>
      <c r="E1000" t="str">
        <f t="shared" ca="1" si="77"/>
        <v>RFR EUR</v>
      </c>
      <c r="F1000" t="str">
        <f t="shared" ca="1" si="78"/>
        <v>RFR GBP</v>
      </c>
      <c r="J1000" s="1"/>
      <c r="N1000" s="1"/>
      <c r="R1000" s="1"/>
      <c r="V1000" s="1"/>
      <c r="AB1000" s="1"/>
      <c r="AF1000" s="1"/>
      <c r="AJ1000" s="1"/>
      <c r="AN1000" s="1"/>
      <c r="AS1000" s="1"/>
      <c r="AX1000" s="1"/>
      <c r="BA1000" s="1"/>
      <c r="BC1000" s="1"/>
      <c r="BM1000" s="1"/>
      <c r="BP1000" s="1"/>
    </row>
    <row r="1001" spans="1:68" x14ac:dyDescent="0.3">
      <c r="A1001" s="19">
        <f t="shared" si="79"/>
        <v>47316</v>
      </c>
      <c r="B1001">
        <f t="shared" ca="1" si="75"/>
        <v>-3.2333333333333334</v>
      </c>
      <c r="C1001" t="str">
        <f ca="1">IF(currency="USD",'Future et co'!D1001,IF(currency="EUR",'Future et co'!E1001,IF(currency="GBP",'Future et co'!F1001,FALSE)))</f>
        <v>RFR USD</v>
      </c>
      <c r="D1001" t="str">
        <f t="shared" ca="1" si="76"/>
        <v>RFR USD</v>
      </c>
      <c r="E1001" t="str">
        <f t="shared" ca="1" si="77"/>
        <v>RFR EUR</v>
      </c>
      <c r="F1001" t="str">
        <f t="shared" ca="1" si="78"/>
        <v>RFR GBP</v>
      </c>
      <c r="J1001" s="1"/>
      <c r="N1001" s="1"/>
      <c r="R1001" s="1"/>
      <c r="V1001" s="1"/>
      <c r="AB1001" s="1"/>
      <c r="AF1001" s="1"/>
      <c r="AJ1001" s="1"/>
      <c r="AN1001" s="1"/>
      <c r="AS1001" s="1"/>
      <c r="AX1001" s="1"/>
      <c r="BA1001" s="1"/>
      <c r="BC1001" s="1"/>
      <c r="BM1001" s="1"/>
      <c r="BP1001" s="1"/>
    </row>
    <row r="1002" spans="1:68" x14ac:dyDescent="0.3">
      <c r="A1002" s="19">
        <f t="shared" si="79"/>
        <v>47317</v>
      </c>
      <c r="B1002">
        <f t="shared" ca="1" si="75"/>
        <v>-3.2361111111111112</v>
      </c>
      <c r="C1002" t="str">
        <f ca="1">IF(currency="USD",'Future et co'!D1002,IF(currency="EUR",'Future et co'!E1002,IF(currency="GBP",'Future et co'!F1002,FALSE)))</f>
        <v>RFR USD</v>
      </c>
      <c r="D1002" t="str">
        <f t="shared" ca="1" si="76"/>
        <v>RFR USD</v>
      </c>
      <c r="E1002" t="str">
        <f t="shared" ca="1" si="77"/>
        <v>RFR EUR</v>
      </c>
      <c r="F1002" t="str">
        <f t="shared" ca="1" si="78"/>
        <v>RFR GBP</v>
      </c>
      <c r="J1002" s="1"/>
      <c r="N1002" s="1"/>
      <c r="R1002" s="1"/>
      <c r="V1002" s="1"/>
      <c r="AB1002" s="1"/>
      <c r="AF1002" s="1"/>
      <c r="AJ1002" s="1"/>
      <c r="AN1002" s="1"/>
      <c r="AS1002" s="1"/>
      <c r="AX1002" s="1"/>
      <c r="BA1002" s="1"/>
      <c r="BC1002" s="1"/>
      <c r="BM1002" s="1"/>
      <c r="BP1002" s="1"/>
    </row>
    <row r="1003" spans="1:68" x14ac:dyDescent="0.3">
      <c r="A1003" s="19">
        <f t="shared" si="79"/>
        <v>47318</v>
      </c>
      <c r="B1003">
        <f t="shared" ca="1" si="75"/>
        <v>-3.2388888888888889</v>
      </c>
      <c r="C1003" t="str">
        <f ca="1">IF(currency="USD",'Future et co'!D1003,IF(currency="EUR",'Future et co'!E1003,IF(currency="GBP",'Future et co'!F1003,FALSE)))</f>
        <v>RFR USD</v>
      </c>
      <c r="D1003" t="str">
        <f t="shared" ca="1" si="76"/>
        <v>RFR USD</v>
      </c>
      <c r="E1003" t="str">
        <f t="shared" ca="1" si="77"/>
        <v>RFR EUR</v>
      </c>
      <c r="F1003" t="str">
        <f t="shared" ca="1" si="78"/>
        <v>RFR GBP</v>
      </c>
      <c r="J1003" s="1"/>
      <c r="N1003" s="1"/>
      <c r="R1003" s="1"/>
      <c r="V1003" s="1"/>
      <c r="AB1003" s="1"/>
      <c r="AF1003" s="1"/>
      <c r="AJ1003" s="1"/>
      <c r="AN1003" s="1"/>
      <c r="AS1003" s="1"/>
      <c r="AX1003" s="1"/>
      <c r="BA1003" s="1"/>
      <c r="BC1003" s="1"/>
      <c r="BM1003" s="1"/>
      <c r="BP1003" s="1"/>
    </row>
    <row r="1004" spans="1:68" x14ac:dyDescent="0.3">
      <c r="A1004" s="19">
        <f t="shared" si="79"/>
        <v>47319</v>
      </c>
      <c r="B1004">
        <f t="shared" ca="1" si="75"/>
        <v>-3.2416666666666667</v>
      </c>
      <c r="C1004" t="str">
        <f ca="1">IF(currency="USD",'Future et co'!D1004,IF(currency="EUR",'Future et co'!E1004,IF(currency="GBP",'Future et co'!F1004,FALSE)))</f>
        <v>RFR USD</v>
      </c>
      <c r="D1004" t="str">
        <f t="shared" ca="1" si="76"/>
        <v>RFR USD</v>
      </c>
      <c r="E1004" t="str">
        <f t="shared" ca="1" si="77"/>
        <v>RFR EUR</v>
      </c>
      <c r="F1004" t="str">
        <f t="shared" ca="1" si="78"/>
        <v>RFR GBP</v>
      </c>
      <c r="J1004" s="1"/>
      <c r="N1004" s="1"/>
      <c r="R1004" s="1"/>
      <c r="V1004" s="1"/>
      <c r="AB1004" s="1"/>
      <c r="AF1004" s="1"/>
      <c r="AJ1004" s="1"/>
      <c r="AN1004" s="1"/>
      <c r="AS1004" s="1"/>
      <c r="AX1004" s="1"/>
      <c r="BA1004" s="1"/>
      <c r="BC1004" s="1"/>
      <c r="BM1004" s="1"/>
      <c r="BP1004" s="1"/>
    </row>
    <row r="1005" spans="1:68" x14ac:dyDescent="0.3">
      <c r="A1005" s="19">
        <f t="shared" si="79"/>
        <v>47322</v>
      </c>
      <c r="B1005">
        <f t="shared" ca="1" si="75"/>
        <v>-3.25</v>
      </c>
      <c r="C1005" t="str">
        <f ca="1">IF(currency="USD",'Future et co'!D1005,IF(currency="EUR",'Future et co'!E1005,IF(currency="GBP",'Future et co'!F1005,FALSE)))</f>
        <v>RFR USD</v>
      </c>
      <c r="D1005" t="str">
        <f t="shared" ca="1" si="76"/>
        <v>RFR USD</v>
      </c>
      <c r="E1005" t="str">
        <f t="shared" ca="1" si="77"/>
        <v>RFR EUR</v>
      </c>
      <c r="F1005" t="str">
        <f t="shared" ca="1" si="78"/>
        <v>RFR GBP</v>
      </c>
      <c r="J1005" s="1"/>
      <c r="N1005" s="1"/>
      <c r="R1005" s="1"/>
      <c r="V1005" s="1"/>
      <c r="AB1005" s="1"/>
      <c r="AF1005" s="1"/>
      <c r="AJ1005" s="1"/>
      <c r="AN1005" s="1"/>
      <c r="AS1005" s="1"/>
      <c r="AX1005" s="1"/>
      <c r="BA1005" s="1"/>
      <c r="BC1005" s="1"/>
      <c r="BM1005" s="1"/>
      <c r="BP1005" s="1"/>
    </row>
    <row r="1006" spans="1:68" x14ac:dyDescent="0.3">
      <c r="A1006" s="19">
        <f t="shared" si="79"/>
        <v>47323</v>
      </c>
      <c r="B1006">
        <f t="shared" ca="1" si="75"/>
        <v>-3.2527777777777778</v>
      </c>
      <c r="C1006" t="str">
        <f ca="1">IF(currency="USD",'Future et co'!D1006,IF(currency="EUR",'Future et co'!E1006,IF(currency="GBP",'Future et co'!F1006,FALSE)))</f>
        <v>RFR USD</v>
      </c>
      <c r="D1006" t="str">
        <f t="shared" ca="1" si="76"/>
        <v>RFR USD</v>
      </c>
      <c r="E1006" t="str">
        <f t="shared" ca="1" si="77"/>
        <v>RFR EUR</v>
      </c>
      <c r="F1006" t="str">
        <f t="shared" ca="1" si="78"/>
        <v>RFR GBP</v>
      </c>
      <c r="J1006" s="1"/>
      <c r="N1006" s="1"/>
      <c r="R1006" s="1"/>
      <c r="V1006" s="1"/>
      <c r="AB1006" s="1"/>
      <c r="AF1006" s="1"/>
      <c r="AJ1006" s="1"/>
      <c r="AN1006" s="1"/>
      <c r="AS1006" s="1"/>
      <c r="AX1006" s="1"/>
      <c r="BA1006" s="1"/>
      <c r="BC1006" s="1"/>
      <c r="BM1006" s="1"/>
      <c r="BP1006" s="1"/>
    </row>
    <row r="1007" spans="1:68" x14ac:dyDescent="0.3">
      <c r="A1007" s="19">
        <f t="shared" si="79"/>
        <v>47324</v>
      </c>
      <c r="B1007">
        <f t="shared" ca="1" si="75"/>
        <v>-3.2555555555555555</v>
      </c>
      <c r="C1007" t="str">
        <f ca="1">IF(currency="USD",'Future et co'!D1007,IF(currency="EUR",'Future et co'!E1007,IF(currency="GBP",'Future et co'!F1007,FALSE)))</f>
        <v>RFR USD</v>
      </c>
      <c r="D1007" t="str">
        <f t="shared" ca="1" si="76"/>
        <v>RFR USD</v>
      </c>
      <c r="E1007" t="str">
        <f t="shared" ca="1" si="77"/>
        <v>RFR EUR</v>
      </c>
      <c r="F1007" t="str">
        <f t="shared" ca="1" si="78"/>
        <v>RFR GBP</v>
      </c>
      <c r="J1007" s="1"/>
      <c r="N1007" s="1"/>
      <c r="R1007" s="1"/>
      <c r="V1007" s="1"/>
      <c r="AB1007" s="1"/>
      <c r="AF1007" s="1"/>
      <c r="AJ1007" s="1"/>
      <c r="AN1007" s="1"/>
      <c r="AS1007" s="1"/>
      <c r="AX1007" s="1"/>
      <c r="BA1007" s="1"/>
      <c r="BC1007" s="1"/>
      <c r="BM1007" s="1"/>
      <c r="BP1007" s="1"/>
    </row>
    <row r="1008" spans="1:68" x14ac:dyDescent="0.3">
      <c r="A1008" s="19">
        <f t="shared" si="79"/>
        <v>47325</v>
      </c>
      <c r="B1008">
        <f t="shared" ca="1" si="75"/>
        <v>-3.2583333333333333</v>
      </c>
      <c r="C1008" t="str">
        <f ca="1">IF(currency="USD",'Future et co'!D1008,IF(currency="EUR",'Future et co'!E1008,IF(currency="GBP",'Future et co'!F1008,FALSE)))</f>
        <v>RFR USD</v>
      </c>
      <c r="D1008" t="str">
        <f t="shared" ca="1" si="76"/>
        <v>RFR USD</v>
      </c>
      <c r="E1008" t="str">
        <f t="shared" ca="1" si="77"/>
        <v>RFR EUR</v>
      </c>
      <c r="F1008" t="str">
        <f t="shared" ca="1" si="78"/>
        <v>RFR GBP</v>
      </c>
      <c r="J1008" s="1"/>
      <c r="N1008" s="1"/>
      <c r="R1008" s="1"/>
      <c r="V1008" s="1"/>
      <c r="AB1008" s="1"/>
      <c r="AF1008" s="1"/>
      <c r="AJ1008" s="1"/>
      <c r="AN1008" s="1"/>
      <c r="AS1008" s="1"/>
      <c r="AX1008" s="1"/>
      <c r="BA1008" s="1"/>
      <c r="BC1008" s="1"/>
      <c r="BM1008" s="1"/>
      <c r="BP1008" s="1"/>
    </row>
    <row r="1009" spans="1:68" x14ac:dyDescent="0.3">
      <c r="A1009" s="19">
        <f t="shared" si="79"/>
        <v>47326</v>
      </c>
      <c r="B1009">
        <f t="shared" ca="1" si="75"/>
        <v>-3.2611111111111111</v>
      </c>
      <c r="C1009" t="str">
        <f ca="1">IF(currency="USD",'Future et co'!D1009,IF(currency="EUR",'Future et co'!E1009,IF(currency="GBP",'Future et co'!F1009,FALSE)))</f>
        <v>RFR USD</v>
      </c>
      <c r="D1009" t="str">
        <f t="shared" ca="1" si="76"/>
        <v>RFR USD</v>
      </c>
      <c r="E1009" t="str">
        <f t="shared" ca="1" si="77"/>
        <v>RFR EUR</v>
      </c>
      <c r="F1009" t="str">
        <f t="shared" ca="1" si="78"/>
        <v>RFR GBP</v>
      </c>
      <c r="J1009" s="1"/>
      <c r="N1009" s="1"/>
      <c r="R1009" s="1"/>
      <c r="V1009" s="1"/>
      <c r="AB1009" s="1"/>
      <c r="AF1009" s="1"/>
      <c r="AJ1009" s="1"/>
      <c r="AN1009" s="1"/>
      <c r="AS1009" s="1"/>
      <c r="AX1009" s="1"/>
      <c r="BA1009" s="1"/>
      <c r="BC1009" s="1"/>
      <c r="BM1009" s="1"/>
      <c r="BP1009" s="1"/>
    </row>
    <row r="1010" spans="1:68" x14ac:dyDescent="0.3">
      <c r="A1010" s="19">
        <f t="shared" si="79"/>
        <v>47329</v>
      </c>
      <c r="B1010">
        <f t="shared" ca="1" si="75"/>
        <v>-3.2694444444444444</v>
      </c>
      <c r="C1010" t="str">
        <f ca="1">IF(currency="USD",'Future et co'!D1010,IF(currency="EUR",'Future et co'!E1010,IF(currency="GBP",'Future et co'!F1010,FALSE)))</f>
        <v>RFR USD</v>
      </c>
      <c r="D1010" t="str">
        <f t="shared" ca="1" si="76"/>
        <v>RFR USD</v>
      </c>
      <c r="E1010" t="str">
        <f t="shared" ca="1" si="77"/>
        <v>RFR EUR</v>
      </c>
      <c r="F1010" t="str">
        <f t="shared" ca="1" si="78"/>
        <v>RFR GBP</v>
      </c>
      <c r="J1010" s="1"/>
      <c r="N1010" s="1"/>
      <c r="R1010" s="1"/>
      <c r="V1010" s="1"/>
      <c r="AB1010" s="1"/>
      <c r="AF1010" s="1"/>
      <c r="AJ1010" s="1"/>
      <c r="AN1010" s="1"/>
      <c r="AS1010" s="1"/>
      <c r="AX1010" s="1"/>
      <c r="BA1010" s="1"/>
      <c r="BC1010" s="1"/>
      <c r="BM1010" s="1"/>
      <c r="BP1010" s="1"/>
    </row>
    <row r="1011" spans="1:68" x14ac:dyDescent="0.3">
      <c r="A1011" s="19">
        <f t="shared" si="79"/>
        <v>47330</v>
      </c>
      <c r="B1011">
        <f t="shared" ca="1" si="75"/>
        <v>-3.2722222222222221</v>
      </c>
      <c r="C1011" t="str">
        <f ca="1">IF(currency="USD",'Future et co'!D1011,IF(currency="EUR",'Future et co'!E1011,IF(currency="GBP",'Future et co'!F1011,FALSE)))</f>
        <v>RFR USD</v>
      </c>
      <c r="D1011" t="str">
        <f t="shared" ca="1" si="76"/>
        <v>RFR USD</v>
      </c>
      <c r="E1011" t="str">
        <f t="shared" ca="1" si="77"/>
        <v>RFR EUR</v>
      </c>
      <c r="F1011" t="str">
        <f t="shared" ca="1" si="78"/>
        <v>RFR GBP</v>
      </c>
      <c r="J1011" s="1"/>
      <c r="N1011" s="1"/>
      <c r="R1011" s="1"/>
      <c r="V1011" s="1"/>
      <c r="AB1011" s="1"/>
      <c r="AF1011" s="1"/>
      <c r="AJ1011" s="1"/>
      <c r="AN1011" s="1"/>
      <c r="AS1011" s="1"/>
      <c r="AX1011" s="1"/>
      <c r="BA1011" s="1"/>
      <c r="BC1011" s="1"/>
      <c r="BM1011" s="1"/>
      <c r="BP1011" s="1"/>
    </row>
    <row r="1012" spans="1:68" x14ac:dyDescent="0.3">
      <c r="A1012" s="19">
        <f t="shared" si="79"/>
        <v>47331</v>
      </c>
      <c r="B1012">
        <f t="shared" ca="1" si="75"/>
        <v>-3.2749999999999999</v>
      </c>
      <c r="C1012" t="str">
        <f ca="1">IF(currency="USD",'Future et co'!D1012,IF(currency="EUR",'Future et co'!E1012,IF(currency="GBP",'Future et co'!F1012,FALSE)))</f>
        <v>RFR USD</v>
      </c>
      <c r="D1012" t="str">
        <f t="shared" ca="1" si="76"/>
        <v>RFR USD</v>
      </c>
      <c r="E1012" t="str">
        <f t="shared" ca="1" si="77"/>
        <v>RFR EUR</v>
      </c>
      <c r="F1012" t="str">
        <f t="shared" ca="1" si="78"/>
        <v>RFR GBP</v>
      </c>
      <c r="J1012" s="1"/>
      <c r="N1012" s="1"/>
      <c r="R1012" s="1"/>
      <c r="V1012" s="1"/>
      <c r="AB1012" s="1"/>
      <c r="AF1012" s="1"/>
      <c r="AJ1012" s="1"/>
      <c r="AN1012" s="1"/>
      <c r="AS1012" s="1"/>
      <c r="AX1012" s="1"/>
      <c r="BA1012" s="1"/>
      <c r="BC1012" s="1"/>
      <c r="BM1012" s="1"/>
      <c r="BP1012" s="1"/>
    </row>
    <row r="1013" spans="1:68" x14ac:dyDescent="0.3">
      <c r="A1013" s="19">
        <f t="shared" si="79"/>
        <v>47332</v>
      </c>
      <c r="B1013">
        <f t="shared" ca="1" si="75"/>
        <v>-3.2777777777777777</v>
      </c>
      <c r="C1013" t="str">
        <f ca="1">IF(currency="USD",'Future et co'!D1013,IF(currency="EUR",'Future et co'!E1013,IF(currency="GBP",'Future et co'!F1013,FALSE)))</f>
        <v>RFR USD</v>
      </c>
      <c r="D1013" t="str">
        <f t="shared" ca="1" si="76"/>
        <v>RFR USD</v>
      </c>
      <c r="E1013" t="str">
        <f t="shared" ca="1" si="77"/>
        <v>RFR EUR</v>
      </c>
      <c r="F1013" t="str">
        <f t="shared" ca="1" si="78"/>
        <v>RFR GBP</v>
      </c>
      <c r="J1013" s="1"/>
      <c r="N1013" s="1"/>
      <c r="R1013" s="1"/>
      <c r="V1013" s="1"/>
      <c r="AB1013" s="1"/>
      <c r="AF1013" s="1"/>
      <c r="AJ1013" s="1"/>
      <c r="AN1013" s="1"/>
      <c r="AS1013" s="1"/>
      <c r="AX1013" s="1"/>
      <c r="BA1013" s="1"/>
      <c r="BC1013" s="1"/>
      <c r="BM1013" s="1"/>
      <c r="BP1013" s="1"/>
    </row>
    <row r="1014" spans="1:68" x14ac:dyDescent="0.3">
      <c r="A1014" s="19">
        <f t="shared" si="79"/>
        <v>47333</v>
      </c>
      <c r="B1014">
        <f t="shared" ca="1" si="75"/>
        <v>-3.2805555555555554</v>
      </c>
      <c r="C1014" t="str">
        <f ca="1">IF(currency="USD",'Future et co'!D1014,IF(currency="EUR",'Future et co'!E1014,IF(currency="GBP",'Future et co'!F1014,FALSE)))</f>
        <v>RFR USD</v>
      </c>
      <c r="D1014" t="str">
        <f t="shared" ca="1" si="76"/>
        <v>RFR USD</v>
      </c>
      <c r="E1014" t="str">
        <f t="shared" ca="1" si="77"/>
        <v>RFR EUR</v>
      </c>
      <c r="F1014" t="str">
        <f t="shared" ca="1" si="78"/>
        <v>RFR GBP</v>
      </c>
      <c r="J1014" s="1"/>
      <c r="N1014" s="1"/>
      <c r="R1014" s="1"/>
      <c r="V1014" s="1"/>
      <c r="AB1014" s="1"/>
      <c r="AF1014" s="1"/>
      <c r="AJ1014" s="1"/>
      <c r="AN1014" s="1"/>
      <c r="AS1014" s="1"/>
      <c r="AX1014" s="1"/>
      <c r="BA1014" s="1"/>
      <c r="BC1014" s="1"/>
      <c r="BM1014" s="1"/>
      <c r="BP1014" s="1"/>
    </row>
    <row r="1015" spans="1:68" x14ac:dyDescent="0.3">
      <c r="A1015" s="19">
        <f t="shared" si="79"/>
        <v>47336</v>
      </c>
      <c r="B1015">
        <f t="shared" ca="1" si="75"/>
        <v>-3.2888888888888888</v>
      </c>
      <c r="C1015" t="str">
        <f ca="1">IF(currency="USD",'Future et co'!D1015,IF(currency="EUR",'Future et co'!E1015,IF(currency="GBP",'Future et co'!F1015,FALSE)))</f>
        <v>RFR USD</v>
      </c>
      <c r="D1015" t="str">
        <f t="shared" ca="1" si="76"/>
        <v>RFR USD</v>
      </c>
      <c r="E1015" t="str">
        <f t="shared" ca="1" si="77"/>
        <v>RFR EUR</v>
      </c>
      <c r="F1015" t="str">
        <f t="shared" ca="1" si="78"/>
        <v>RFR GBP</v>
      </c>
      <c r="J1015" s="1"/>
      <c r="N1015" s="1"/>
      <c r="R1015" s="1"/>
      <c r="V1015" s="1"/>
      <c r="AB1015" s="1"/>
      <c r="AF1015" s="1"/>
      <c r="AJ1015" s="1"/>
      <c r="AN1015" s="1"/>
      <c r="AS1015" s="1"/>
      <c r="AX1015" s="1"/>
      <c r="BA1015" s="1"/>
      <c r="BC1015" s="1"/>
      <c r="BM1015" s="1"/>
      <c r="BP1015" s="1"/>
    </row>
    <row r="1016" spans="1:68" x14ac:dyDescent="0.3">
      <c r="A1016" s="19">
        <f t="shared" si="79"/>
        <v>47337</v>
      </c>
      <c r="B1016">
        <f t="shared" ca="1" si="75"/>
        <v>-3.2916666666666665</v>
      </c>
      <c r="C1016" t="str">
        <f ca="1">IF(currency="USD",'Future et co'!D1016,IF(currency="EUR",'Future et co'!E1016,IF(currency="GBP",'Future et co'!F1016,FALSE)))</f>
        <v>RFR USD</v>
      </c>
      <c r="D1016" t="str">
        <f t="shared" ca="1" si="76"/>
        <v>RFR USD</v>
      </c>
      <c r="E1016" t="str">
        <f t="shared" ca="1" si="77"/>
        <v>RFR EUR</v>
      </c>
      <c r="F1016" t="str">
        <f t="shared" ca="1" si="78"/>
        <v>RFR GBP</v>
      </c>
      <c r="J1016" s="1"/>
      <c r="N1016" s="1"/>
      <c r="R1016" s="1"/>
      <c r="V1016" s="1"/>
      <c r="AB1016" s="1"/>
      <c r="AF1016" s="1"/>
      <c r="AJ1016" s="1"/>
      <c r="AN1016" s="1"/>
      <c r="AS1016" s="1"/>
      <c r="AX1016" s="1"/>
      <c r="BA1016" s="1"/>
      <c r="BC1016" s="1"/>
      <c r="BM1016" s="1"/>
      <c r="BP1016" s="1"/>
    </row>
    <row r="1017" spans="1:68" x14ac:dyDescent="0.3">
      <c r="A1017" s="19">
        <f t="shared" si="79"/>
        <v>47338</v>
      </c>
      <c r="B1017">
        <f t="shared" ca="1" si="75"/>
        <v>-3.2944444444444443</v>
      </c>
      <c r="C1017" t="str">
        <f ca="1">IF(currency="USD",'Future et co'!D1017,IF(currency="EUR",'Future et co'!E1017,IF(currency="GBP",'Future et co'!F1017,FALSE)))</f>
        <v>RFR USD</v>
      </c>
      <c r="D1017" t="str">
        <f t="shared" ca="1" si="76"/>
        <v>RFR USD</v>
      </c>
      <c r="E1017" t="str">
        <f t="shared" ca="1" si="77"/>
        <v>RFR EUR</v>
      </c>
      <c r="F1017" t="str">
        <f t="shared" ca="1" si="78"/>
        <v>RFR GBP</v>
      </c>
      <c r="J1017" s="1"/>
      <c r="N1017" s="1"/>
      <c r="R1017" s="1"/>
      <c r="V1017" s="1"/>
      <c r="AB1017" s="1"/>
      <c r="AF1017" s="1"/>
      <c r="AJ1017" s="1"/>
      <c r="AN1017" s="1"/>
      <c r="AS1017" s="1"/>
      <c r="AX1017" s="1"/>
      <c r="BA1017" s="1"/>
      <c r="BC1017" s="1"/>
      <c r="BM1017" s="1"/>
      <c r="BP1017" s="1"/>
    </row>
    <row r="1018" spans="1:68" x14ac:dyDescent="0.3">
      <c r="A1018" s="19">
        <f t="shared" si="79"/>
        <v>47339</v>
      </c>
      <c r="B1018">
        <f t="shared" ca="1" si="75"/>
        <v>-3.2972222222222221</v>
      </c>
      <c r="C1018" t="str">
        <f ca="1">IF(currency="USD",'Future et co'!D1018,IF(currency="EUR",'Future et co'!E1018,IF(currency="GBP",'Future et co'!F1018,FALSE)))</f>
        <v>RFR USD</v>
      </c>
      <c r="D1018" t="str">
        <f t="shared" ca="1" si="76"/>
        <v>RFR USD</v>
      </c>
      <c r="E1018" t="str">
        <f t="shared" ca="1" si="77"/>
        <v>RFR EUR</v>
      </c>
      <c r="F1018" t="str">
        <f t="shared" ca="1" si="78"/>
        <v>RFR GBP</v>
      </c>
      <c r="J1018" s="1"/>
      <c r="N1018" s="1"/>
      <c r="R1018" s="1"/>
      <c r="V1018" s="1"/>
      <c r="AB1018" s="1"/>
      <c r="AF1018" s="1"/>
      <c r="AJ1018" s="1"/>
      <c r="AN1018" s="1"/>
      <c r="AS1018" s="1"/>
      <c r="AX1018" s="1"/>
      <c r="BA1018" s="1"/>
      <c r="BC1018" s="1"/>
      <c r="BM1018" s="1"/>
      <c r="BP1018" s="1"/>
    </row>
    <row r="1019" spans="1:68" x14ac:dyDescent="0.3">
      <c r="A1019" s="19">
        <f t="shared" si="79"/>
        <v>47340</v>
      </c>
      <c r="B1019">
        <f t="shared" ca="1" si="75"/>
        <v>-3.3</v>
      </c>
      <c r="C1019" t="str">
        <f ca="1">IF(currency="USD",'Future et co'!D1019,IF(currency="EUR",'Future et co'!E1019,IF(currency="GBP",'Future et co'!F1019,FALSE)))</f>
        <v>RFR USD</v>
      </c>
      <c r="D1019" t="str">
        <f t="shared" ca="1" si="76"/>
        <v>RFR USD</v>
      </c>
      <c r="E1019" t="str">
        <f t="shared" ca="1" si="77"/>
        <v>RFR EUR</v>
      </c>
      <c r="F1019" t="str">
        <f t="shared" ca="1" si="78"/>
        <v>RFR GBP</v>
      </c>
      <c r="J1019" s="1"/>
      <c r="N1019" s="1"/>
      <c r="R1019" s="1"/>
      <c r="V1019" s="1"/>
      <c r="AB1019" s="1"/>
      <c r="AF1019" s="1"/>
      <c r="AJ1019" s="1"/>
      <c r="AN1019" s="1"/>
      <c r="AS1019" s="1"/>
      <c r="AX1019" s="1"/>
      <c r="BA1019" s="1"/>
      <c r="BC1019" s="1"/>
      <c r="BM1019" s="1"/>
      <c r="BP1019" s="1"/>
    </row>
    <row r="1020" spans="1:68" x14ac:dyDescent="0.3">
      <c r="A1020" s="19">
        <f t="shared" si="79"/>
        <v>47343</v>
      </c>
      <c r="B1020">
        <f t="shared" ca="1" si="75"/>
        <v>-3.3083333333333331</v>
      </c>
      <c r="C1020" t="str">
        <f ca="1">IF(currency="USD",'Future et co'!D1020,IF(currency="EUR",'Future et co'!E1020,IF(currency="GBP",'Future et co'!F1020,FALSE)))</f>
        <v>RFR USD</v>
      </c>
      <c r="D1020" t="str">
        <f t="shared" ca="1" si="76"/>
        <v>RFR USD</v>
      </c>
      <c r="E1020" t="str">
        <f t="shared" ca="1" si="77"/>
        <v>RFR EUR</v>
      </c>
      <c r="F1020" t="str">
        <f t="shared" ca="1" si="78"/>
        <v>RFR GBP</v>
      </c>
      <c r="J1020" s="1"/>
      <c r="N1020" s="1"/>
      <c r="R1020" s="1"/>
      <c r="V1020" s="1"/>
      <c r="AB1020" s="1"/>
      <c r="AF1020" s="1"/>
      <c r="AJ1020" s="1"/>
      <c r="AN1020" s="1"/>
      <c r="AS1020" s="1"/>
      <c r="AX1020" s="1"/>
      <c r="BA1020" s="1"/>
      <c r="BC1020" s="1"/>
      <c r="BM1020" s="1"/>
      <c r="BP1020" s="1"/>
    </row>
    <row r="1021" spans="1:68" x14ac:dyDescent="0.3">
      <c r="A1021" s="19">
        <f t="shared" si="79"/>
        <v>47344</v>
      </c>
      <c r="B1021">
        <f t="shared" ca="1" si="75"/>
        <v>-3.3111111111111109</v>
      </c>
      <c r="C1021" t="str">
        <f ca="1">IF(currency="USD",'Future et co'!D1021,IF(currency="EUR",'Future et co'!E1021,IF(currency="GBP",'Future et co'!F1021,FALSE)))</f>
        <v>RFR USD</v>
      </c>
      <c r="D1021" t="str">
        <f t="shared" ca="1" si="76"/>
        <v>RFR USD</v>
      </c>
      <c r="E1021" t="str">
        <f t="shared" ca="1" si="77"/>
        <v>RFR EUR</v>
      </c>
      <c r="F1021" t="str">
        <f t="shared" ca="1" si="78"/>
        <v>RFR GBP</v>
      </c>
      <c r="J1021" s="1"/>
      <c r="N1021" s="1"/>
      <c r="R1021" s="1"/>
      <c r="V1021" s="1"/>
      <c r="AB1021" s="1"/>
      <c r="AF1021" s="1"/>
      <c r="AJ1021" s="1"/>
      <c r="AN1021" s="1"/>
      <c r="AS1021" s="1"/>
      <c r="AX1021" s="1"/>
      <c r="BA1021" s="1"/>
      <c r="BC1021" s="1"/>
      <c r="BM1021" s="1"/>
      <c r="BP1021" s="1"/>
    </row>
    <row r="1022" spans="1:68" x14ac:dyDescent="0.3">
      <c r="A1022" s="19">
        <f t="shared" si="79"/>
        <v>47345</v>
      </c>
      <c r="B1022">
        <f t="shared" ca="1" si="75"/>
        <v>-3.3138888888888891</v>
      </c>
      <c r="C1022" t="str">
        <f ca="1">IF(currency="USD",'Future et co'!D1022,IF(currency="EUR",'Future et co'!E1022,IF(currency="GBP",'Future et co'!F1022,FALSE)))</f>
        <v>RFR USD</v>
      </c>
      <c r="D1022" t="str">
        <f t="shared" ca="1" si="76"/>
        <v>RFR USD</v>
      </c>
      <c r="E1022" t="str">
        <f t="shared" ca="1" si="77"/>
        <v>RFR EUR</v>
      </c>
      <c r="F1022" t="str">
        <f t="shared" ca="1" si="78"/>
        <v>RFR GBP</v>
      </c>
      <c r="J1022" s="1"/>
      <c r="N1022" s="1"/>
      <c r="R1022" s="1"/>
      <c r="V1022" s="1"/>
      <c r="AB1022" s="1"/>
      <c r="AF1022" s="1"/>
      <c r="AJ1022" s="1"/>
      <c r="AN1022" s="1"/>
      <c r="AS1022" s="1"/>
      <c r="AX1022" s="1"/>
      <c r="BA1022" s="1"/>
      <c r="BC1022" s="1"/>
      <c r="BM1022" s="1"/>
      <c r="BP1022" s="1"/>
    </row>
    <row r="1023" spans="1:68" x14ac:dyDescent="0.3">
      <c r="A1023" s="19">
        <f t="shared" si="79"/>
        <v>47346</v>
      </c>
      <c r="B1023">
        <f t="shared" ca="1" si="75"/>
        <v>-3.3166666666666669</v>
      </c>
      <c r="C1023" t="str">
        <f ca="1">IF(currency="USD",'Future et co'!D1023,IF(currency="EUR",'Future et co'!E1023,IF(currency="GBP",'Future et co'!F1023,FALSE)))</f>
        <v>RFR USD</v>
      </c>
      <c r="D1023" t="str">
        <f t="shared" ca="1" si="76"/>
        <v>RFR USD</v>
      </c>
      <c r="E1023" t="str">
        <f t="shared" ca="1" si="77"/>
        <v>RFR EUR</v>
      </c>
      <c r="F1023" t="str">
        <f t="shared" ca="1" si="78"/>
        <v>RFR GBP</v>
      </c>
      <c r="J1023" s="1"/>
      <c r="N1023" s="1"/>
      <c r="R1023" s="1"/>
      <c r="V1023" s="1"/>
      <c r="AB1023" s="1"/>
      <c r="AF1023" s="1"/>
      <c r="AJ1023" s="1"/>
      <c r="AN1023" s="1"/>
      <c r="AS1023" s="1"/>
      <c r="AX1023" s="1"/>
      <c r="BA1023" s="1"/>
      <c r="BC1023" s="1"/>
      <c r="BM1023" s="1"/>
      <c r="BP1023" s="1"/>
    </row>
    <row r="1024" spans="1:68" x14ac:dyDescent="0.3">
      <c r="A1024" s="19">
        <f t="shared" si="79"/>
        <v>47347</v>
      </c>
      <c r="B1024">
        <f t="shared" ca="1" si="75"/>
        <v>-3.3194444444444446</v>
      </c>
      <c r="C1024" t="str">
        <f ca="1">IF(currency="USD",'Future et co'!D1024,IF(currency="EUR",'Future et co'!E1024,IF(currency="GBP",'Future et co'!F1024,FALSE)))</f>
        <v>RFR USD</v>
      </c>
      <c r="D1024" t="str">
        <f t="shared" ca="1" si="76"/>
        <v>RFR USD</v>
      </c>
      <c r="E1024" t="str">
        <f t="shared" ca="1" si="77"/>
        <v>RFR EUR</v>
      </c>
      <c r="F1024" t="str">
        <f t="shared" ca="1" si="78"/>
        <v>RFR GBP</v>
      </c>
      <c r="J1024" s="1"/>
      <c r="N1024" s="1"/>
      <c r="R1024" s="1"/>
      <c r="V1024" s="1"/>
      <c r="AB1024" s="1"/>
      <c r="AF1024" s="1"/>
      <c r="AJ1024" s="1"/>
      <c r="AN1024" s="1"/>
      <c r="AS1024" s="1"/>
      <c r="AX1024" s="1"/>
      <c r="BA1024" s="1"/>
      <c r="BC1024" s="1"/>
      <c r="BM1024" s="1"/>
      <c r="BP1024" s="1"/>
    </row>
    <row r="1025" spans="1:68" x14ac:dyDescent="0.3">
      <c r="A1025" s="19">
        <f t="shared" si="79"/>
        <v>47350</v>
      </c>
      <c r="B1025">
        <f t="shared" ca="1" si="75"/>
        <v>-3.3277777777777779</v>
      </c>
      <c r="C1025" t="str">
        <f ca="1">IF(currency="USD",'Future et co'!D1025,IF(currency="EUR",'Future et co'!E1025,IF(currency="GBP",'Future et co'!F1025,FALSE)))</f>
        <v>RFR USD</v>
      </c>
      <c r="D1025" t="str">
        <f t="shared" ca="1" si="76"/>
        <v>RFR USD</v>
      </c>
      <c r="E1025" t="str">
        <f t="shared" ca="1" si="77"/>
        <v>RFR EUR</v>
      </c>
      <c r="F1025" t="str">
        <f t="shared" ca="1" si="78"/>
        <v>RFR GBP</v>
      </c>
      <c r="J1025" s="1"/>
      <c r="N1025" s="1"/>
      <c r="R1025" s="1"/>
      <c r="V1025" s="1"/>
      <c r="AB1025" s="1"/>
      <c r="AF1025" s="1"/>
      <c r="AJ1025" s="1"/>
      <c r="AN1025" s="1"/>
      <c r="AS1025" s="1"/>
      <c r="AX1025" s="1"/>
      <c r="BA1025" s="1"/>
      <c r="BC1025" s="1"/>
      <c r="BM1025" s="1"/>
      <c r="BP1025" s="1"/>
    </row>
    <row r="1026" spans="1:68" x14ac:dyDescent="0.3">
      <c r="A1026" s="19">
        <f t="shared" si="79"/>
        <v>47351</v>
      </c>
      <c r="B1026">
        <f t="shared" ca="1" si="75"/>
        <v>-3.3305555555555557</v>
      </c>
      <c r="C1026" t="str">
        <f ca="1">IF(currency="USD",'Future et co'!D1026,IF(currency="EUR",'Future et co'!E1026,IF(currency="GBP",'Future et co'!F1026,FALSE)))</f>
        <v>RFR USD</v>
      </c>
      <c r="D1026" t="str">
        <f t="shared" ca="1" si="76"/>
        <v>RFR USD</v>
      </c>
      <c r="E1026" t="str">
        <f t="shared" ca="1" si="77"/>
        <v>RFR EUR</v>
      </c>
      <c r="F1026" t="str">
        <f t="shared" ca="1" si="78"/>
        <v>RFR GBP</v>
      </c>
      <c r="J1026" s="1"/>
      <c r="N1026" s="1"/>
      <c r="R1026" s="1"/>
      <c r="V1026" s="1"/>
      <c r="AB1026" s="1"/>
      <c r="AF1026" s="1"/>
      <c r="AJ1026" s="1"/>
      <c r="AN1026" s="1"/>
      <c r="AS1026" s="1"/>
      <c r="AX1026" s="1"/>
      <c r="BA1026" s="1"/>
      <c r="BC1026" s="1"/>
      <c r="BM1026" s="1"/>
      <c r="BP1026" s="1"/>
    </row>
    <row r="1027" spans="1:68" x14ac:dyDescent="0.3">
      <c r="A1027" s="19">
        <f t="shared" si="79"/>
        <v>47352</v>
      </c>
      <c r="B1027">
        <f t="shared" ca="1" si="75"/>
        <v>-3.3333333333333335</v>
      </c>
      <c r="C1027" t="str">
        <f ca="1">IF(currency="USD",'Future et co'!D1027,IF(currency="EUR",'Future et co'!E1027,IF(currency="GBP",'Future et co'!F1027,FALSE)))</f>
        <v>RFR USD</v>
      </c>
      <c r="D1027" t="str">
        <f t="shared" ca="1" si="76"/>
        <v>RFR USD</v>
      </c>
      <c r="E1027" t="str">
        <f t="shared" ca="1" si="77"/>
        <v>RFR EUR</v>
      </c>
      <c r="F1027" t="str">
        <f t="shared" ca="1" si="78"/>
        <v>RFR GBP</v>
      </c>
      <c r="J1027" s="1"/>
      <c r="N1027" s="1"/>
      <c r="R1027" s="1"/>
      <c r="V1027" s="1"/>
      <c r="AB1027" s="1"/>
      <c r="AF1027" s="1"/>
      <c r="AJ1027" s="1"/>
      <c r="AN1027" s="1"/>
      <c r="AS1027" s="1"/>
      <c r="AX1027" s="1"/>
      <c r="BA1027" s="1"/>
      <c r="BC1027" s="1"/>
      <c r="BM1027" s="1"/>
      <c r="BP1027" s="1"/>
    </row>
    <row r="1028" spans="1:68" x14ac:dyDescent="0.3">
      <c r="A1028" s="19">
        <f t="shared" si="79"/>
        <v>47353</v>
      </c>
      <c r="B1028">
        <f t="shared" ca="1" si="75"/>
        <v>-3.3361111111111112</v>
      </c>
      <c r="C1028" t="str">
        <f ca="1">IF(currency="USD",'Future et co'!D1028,IF(currency="EUR",'Future et co'!E1028,IF(currency="GBP",'Future et co'!F1028,FALSE)))</f>
        <v>RFR USD</v>
      </c>
      <c r="D1028" t="str">
        <f t="shared" ca="1" si="76"/>
        <v>RFR USD</v>
      </c>
      <c r="E1028" t="str">
        <f t="shared" ca="1" si="77"/>
        <v>RFR EUR</v>
      </c>
      <c r="F1028" t="str">
        <f t="shared" ca="1" si="78"/>
        <v>RFR GBP</v>
      </c>
      <c r="J1028" s="1"/>
      <c r="N1028" s="1"/>
      <c r="R1028" s="1"/>
      <c r="V1028" s="1"/>
      <c r="AB1028" s="1"/>
      <c r="AF1028" s="1"/>
      <c r="AJ1028" s="1"/>
      <c r="AN1028" s="1"/>
      <c r="AS1028" s="1"/>
      <c r="AX1028" s="1"/>
      <c r="BA1028" s="1"/>
      <c r="BC1028" s="1"/>
      <c r="BM1028" s="1"/>
      <c r="BP1028" s="1"/>
    </row>
    <row r="1029" spans="1:68" x14ac:dyDescent="0.3">
      <c r="A1029" s="19">
        <f t="shared" si="79"/>
        <v>47354</v>
      </c>
      <c r="B1029">
        <f t="shared" ca="1" si="75"/>
        <v>-3.338888888888889</v>
      </c>
      <c r="C1029" t="str">
        <f ca="1">IF(currency="USD",'Future et co'!D1029,IF(currency="EUR",'Future et co'!E1029,IF(currency="GBP",'Future et co'!F1029,FALSE)))</f>
        <v>RFR USD</v>
      </c>
      <c r="D1029" t="str">
        <f t="shared" ca="1" si="76"/>
        <v>RFR USD</v>
      </c>
      <c r="E1029" t="str">
        <f t="shared" ca="1" si="77"/>
        <v>RFR EUR</v>
      </c>
      <c r="F1029" t="str">
        <f t="shared" ca="1" si="78"/>
        <v>RFR GBP</v>
      </c>
      <c r="J1029" s="1"/>
      <c r="N1029" s="1"/>
      <c r="R1029" s="1"/>
      <c r="V1029" s="1"/>
      <c r="AB1029" s="1"/>
      <c r="AF1029" s="1"/>
      <c r="AJ1029" s="1"/>
      <c r="AN1029" s="1"/>
      <c r="AS1029" s="1"/>
      <c r="AX1029" s="1"/>
      <c r="BA1029" s="1"/>
      <c r="BC1029" s="1"/>
      <c r="BM1029" s="1"/>
      <c r="BP1029" s="1"/>
    </row>
    <row r="1030" spans="1:68" x14ac:dyDescent="0.3">
      <c r="A1030" s="19">
        <f t="shared" si="79"/>
        <v>47357</v>
      </c>
      <c r="B1030">
        <f t="shared" ca="1" si="75"/>
        <v>-3.3472222222222223</v>
      </c>
      <c r="C1030" t="str">
        <f ca="1">IF(currency="USD",'Future et co'!D1030,IF(currency="EUR",'Future et co'!E1030,IF(currency="GBP",'Future et co'!F1030,FALSE)))</f>
        <v>RFR USD</v>
      </c>
      <c r="D1030" t="str">
        <f t="shared" ca="1" si="76"/>
        <v>RFR USD</v>
      </c>
      <c r="E1030" t="str">
        <f t="shared" ca="1" si="77"/>
        <v>RFR EUR</v>
      </c>
      <c r="F1030" t="str">
        <f t="shared" ca="1" si="78"/>
        <v>RFR GBP</v>
      </c>
      <c r="J1030" s="1"/>
      <c r="N1030" s="1"/>
      <c r="R1030" s="1"/>
      <c r="V1030" s="1"/>
      <c r="AB1030" s="1"/>
      <c r="AF1030" s="1"/>
      <c r="AJ1030" s="1"/>
      <c r="AN1030" s="1"/>
      <c r="AS1030" s="1"/>
      <c r="AX1030" s="1"/>
      <c r="BA1030" s="1"/>
      <c r="BC1030" s="1"/>
      <c r="BM1030" s="1"/>
      <c r="BP1030" s="1"/>
    </row>
    <row r="1031" spans="1:68" x14ac:dyDescent="0.3">
      <c r="A1031" s="19">
        <f t="shared" si="79"/>
        <v>47358</v>
      </c>
      <c r="B1031">
        <f t="shared" ca="1" si="75"/>
        <v>-3.35</v>
      </c>
      <c r="C1031" t="str">
        <f ca="1">IF(currency="USD",'Future et co'!D1031,IF(currency="EUR",'Future et co'!E1031,IF(currency="GBP",'Future et co'!F1031,FALSE)))</f>
        <v>RFR USD</v>
      </c>
      <c r="D1031" t="str">
        <f t="shared" ca="1" si="76"/>
        <v>RFR USD</v>
      </c>
      <c r="E1031" t="str">
        <f t="shared" ca="1" si="77"/>
        <v>RFR EUR</v>
      </c>
      <c r="F1031" t="str">
        <f t="shared" ca="1" si="78"/>
        <v>RFR GBP</v>
      </c>
      <c r="J1031" s="1"/>
      <c r="N1031" s="1"/>
      <c r="R1031" s="1"/>
      <c r="V1031" s="1"/>
      <c r="AB1031" s="1"/>
      <c r="AF1031" s="1"/>
      <c r="AJ1031" s="1"/>
      <c r="AN1031" s="1"/>
      <c r="AS1031" s="1"/>
      <c r="AX1031" s="1"/>
      <c r="BA1031" s="1"/>
      <c r="BC1031" s="1"/>
      <c r="BM1031" s="1"/>
      <c r="BP1031" s="1"/>
    </row>
    <row r="1032" spans="1:68" x14ac:dyDescent="0.3">
      <c r="A1032" s="19">
        <f t="shared" si="79"/>
        <v>47359</v>
      </c>
      <c r="B1032">
        <f t="shared" ca="1" si="75"/>
        <v>-3.3527777777777779</v>
      </c>
      <c r="C1032" t="str">
        <f ca="1">IF(currency="USD",'Future et co'!D1032,IF(currency="EUR",'Future et co'!E1032,IF(currency="GBP",'Future et co'!F1032,FALSE)))</f>
        <v>RFR USD</v>
      </c>
      <c r="D1032" t="str">
        <f t="shared" ca="1" si="76"/>
        <v>RFR USD</v>
      </c>
      <c r="E1032" t="str">
        <f t="shared" ca="1" si="77"/>
        <v>RFR EUR</v>
      </c>
      <c r="F1032" t="str">
        <f t="shared" ca="1" si="78"/>
        <v>RFR GBP</v>
      </c>
      <c r="J1032" s="1"/>
      <c r="N1032" s="1"/>
      <c r="R1032" s="1"/>
      <c r="V1032" s="1"/>
      <c r="AB1032" s="1"/>
      <c r="AF1032" s="1"/>
      <c r="AJ1032" s="1"/>
      <c r="AN1032" s="1"/>
      <c r="AS1032" s="1"/>
      <c r="AX1032" s="1"/>
      <c r="BA1032" s="1"/>
      <c r="BC1032" s="1"/>
      <c r="BM1032" s="1"/>
      <c r="BP1032" s="1"/>
    </row>
    <row r="1033" spans="1:68" x14ac:dyDescent="0.3">
      <c r="A1033" s="19">
        <f t="shared" si="79"/>
        <v>47360</v>
      </c>
      <c r="B1033">
        <f t="shared" ca="1" si="75"/>
        <v>-3.3555555555555556</v>
      </c>
      <c r="C1033" t="str">
        <f ca="1">IF(currency="USD",'Future et co'!D1033,IF(currency="EUR",'Future et co'!E1033,IF(currency="GBP",'Future et co'!F1033,FALSE)))</f>
        <v>RFR USD</v>
      </c>
      <c r="D1033" t="str">
        <f t="shared" ca="1" si="76"/>
        <v>RFR USD</v>
      </c>
      <c r="E1033" t="str">
        <f t="shared" ca="1" si="77"/>
        <v>RFR EUR</v>
      </c>
      <c r="F1033" t="str">
        <f t="shared" ca="1" si="78"/>
        <v>RFR GBP</v>
      </c>
      <c r="J1033" s="1"/>
      <c r="N1033" s="1"/>
      <c r="R1033" s="1"/>
      <c r="V1033" s="1"/>
      <c r="AB1033" s="1"/>
      <c r="AF1033" s="1"/>
      <c r="AJ1033" s="1"/>
      <c r="AN1033" s="1"/>
      <c r="AS1033" s="1"/>
      <c r="AX1033" s="1"/>
      <c r="BA1033" s="1"/>
      <c r="BC1033" s="1"/>
      <c r="BM1033" s="1"/>
      <c r="BP1033" s="1"/>
    </row>
    <row r="1034" spans="1:68" x14ac:dyDescent="0.3">
      <c r="A1034" s="19">
        <f t="shared" si="79"/>
        <v>47361</v>
      </c>
      <c r="B1034">
        <f t="shared" ca="1" si="75"/>
        <v>-3.3583333333333334</v>
      </c>
      <c r="C1034" t="str">
        <f ca="1">IF(currency="USD",'Future et co'!D1034,IF(currency="EUR",'Future et co'!E1034,IF(currency="GBP",'Future et co'!F1034,FALSE)))</f>
        <v>RFR USD</v>
      </c>
      <c r="D1034" t="str">
        <f t="shared" ca="1" si="76"/>
        <v>RFR USD</v>
      </c>
      <c r="E1034" t="str">
        <f t="shared" ca="1" si="77"/>
        <v>RFR EUR</v>
      </c>
      <c r="F1034" t="str">
        <f t="shared" ca="1" si="78"/>
        <v>RFR GBP</v>
      </c>
      <c r="J1034" s="1"/>
      <c r="N1034" s="1"/>
      <c r="R1034" s="1"/>
      <c r="V1034" s="1"/>
      <c r="AB1034" s="1"/>
      <c r="AF1034" s="1"/>
      <c r="AJ1034" s="1"/>
      <c r="AN1034" s="1"/>
      <c r="AS1034" s="1"/>
      <c r="AX1034" s="1"/>
      <c r="BA1034" s="1"/>
      <c r="BC1034" s="1"/>
      <c r="BM1034" s="1"/>
      <c r="BP1034" s="1"/>
    </row>
    <row r="1035" spans="1:68" x14ac:dyDescent="0.3">
      <c r="A1035" s="19">
        <f t="shared" si="79"/>
        <v>47364</v>
      </c>
      <c r="B1035">
        <f t="shared" ref="B1035:B1098" ca="1" si="80">($B$7-A1035)/360</f>
        <v>-3.3666666666666667</v>
      </c>
      <c r="C1035" t="str">
        <f ca="1">IF(currency="USD",'Future et co'!D1035,IF(currency="EUR",'Future et co'!E1035,IF(currency="GBP",'Future et co'!F1035,FALSE)))</f>
        <v>RFR USD</v>
      </c>
      <c r="D1035" t="str">
        <f t="shared" ref="D1035:D1098" ca="1" si="81">IFERROR(IF(B1035&lt;0.25,VLOOKUP(A1035,$J$11:$L$5325,3,FALSE),IF(AND(B1035&gt;=0.25,B1035&lt;0.5),VLOOKUP(A1035,$N$11:$P$5325,3,FALSE),IF(AND(B1035&gt;=0.5,B1035&lt;1),VLOOKUP(A1035,$R$11:$T$5325,3,FALSE),VLOOKUP(A1035,$V$11:$X$5010,3,FALSE)))),D1034)</f>
        <v>RFR USD</v>
      </c>
      <c r="E1035" t="str">
        <f t="shared" ref="E1035:E1098" ca="1" si="82">IFERROR(IF(B1035&lt;0.25,VLOOKUP(A1035,$AF$11:$AH$5325,3,FALSE),IF(AND(B1035&gt;=0.25,B1035&lt;0.5),VLOOKUP(A1035,$AJ$11:$AL$5325,3,FALSE),VLOOKUP(A1035,$AN$11:$AP$5325,3,FALSE))),E1034)</f>
        <v>RFR EUR</v>
      </c>
      <c r="F1035" t="str">
        <f t="shared" ref="F1035:F1098" ca="1" si="83">IFERROR(VLOOKUP(A1035,$AS$11:$AU$9999,3,FALSE),F1034)</f>
        <v>RFR GBP</v>
      </c>
      <c r="J1035" s="1"/>
      <c r="N1035" s="1"/>
      <c r="R1035" s="1"/>
      <c r="V1035" s="1"/>
      <c r="AB1035" s="1"/>
      <c r="AF1035" s="1"/>
      <c r="AJ1035" s="1"/>
      <c r="AN1035" s="1"/>
      <c r="AS1035" s="1"/>
      <c r="AX1035" s="1"/>
      <c r="BA1035" s="1"/>
      <c r="BC1035" s="1"/>
      <c r="BM1035" s="1"/>
      <c r="BP1035" s="1"/>
    </row>
    <row r="1036" spans="1:68" x14ac:dyDescent="0.3">
      <c r="A1036" s="19">
        <f t="shared" si="79"/>
        <v>47365</v>
      </c>
      <c r="B1036">
        <f t="shared" ca="1" si="80"/>
        <v>-3.3694444444444445</v>
      </c>
      <c r="C1036" t="str">
        <f ca="1">IF(currency="USD",'Future et co'!D1036,IF(currency="EUR",'Future et co'!E1036,IF(currency="GBP",'Future et co'!F1036,FALSE)))</f>
        <v>RFR USD</v>
      </c>
      <c r="D1036" t="str">
        <f t="shared" ca="1" si="81"/>
        <v>RFR USD</v>
      </c>
      <c r="E1036" t="str">
        <f t="shared" ca="1" si="82"/>
        <v>RFR EUR</v>
      </c>
      <c r="F1036" t="str">
        <f t="shared" ca="1" si="83"/>
        <v>RFR GBP</v>
      </c>
      <c r="J1036" s="1"/>
      <c r="N1036" s="1"/>
      <c r="R1036" s="1"/>
      <c r="V1036" s="1"/>
      <c r="AB1036" s="1"/>
      <c r="AF1036" s="1"/>
      <c r="AJ1036" s="1"/>
      <c r="AN1036" s="1"/>
      <c r="AS1036" s="1"/>
      <c r="AX1036" s="1"/>
      <c r="BA1036" s="1"/>
      <c r="BC1036" s="1"/>
      <c r="BM1036" s="1"/>
      <c r="BP1036" s="1"/>
    </row>
    <row r="1037" spans="1:68" x14ac:dyDescent="0.3">
      <c r="A1037" s="19">
        <f t="shared" ref="A1037:A1100" si="84">WORKDAY(A1036,1)</f>
        <v>47366</v>
      </c>
      <c r="B1037">
        <f t="shared" ca="1" si="80"/>
        <v>-3.3722222222222222</v>
      </c>
      <c r="C1037" t="str">
        <f ca="1">IF(currency="USD",'Future et co'!D1037,IF(currency="EUR",'Future et co'!E1037,IF(currency="GBP",'Future et co'!F1037,FALSE)))</f>
        <v>RFR USD</v>
      </c>
      <c r="D1037" t="str">
        <f t="shared" ca="1" si="81"/>
        <v>RFR USD</v>
      </c>
      <c r="E1037" t="str">
        <f t="shared" ca="1" si="82"/>
        <v>RFR EUR</v>
      </c>
      <c r="F1037" t="str">
        <f t="shared" ca="1" si="83"/>
        <v>RFR GBP</v>
      </c>
      <c r="J1037" s="1"/>
      <c r="N1037" s="1"/>
      <c r="R1037" s="1"/>
      <c r="V1037" s="1"/>
      <c r="AB1037" s="1"/>
      <c r="AF1037" s="1"/>
      <c r="AJ1037" s="1"/>
      <c r="AN1037" s="1"/>
      <c r="AS1037" s="1"/>
      <c r="AX1037" s="1"/>
      <c r="BA1037" s="1"/>
      <c r="BC1037" s="1"/>
      <c r="BM1037" s="1"/>
      <c r="BP1037" s="1"/>
    </row>
    <row r="1038" spans="1:68" x14ac:dyDescent="0.3">
      <c r="A1038" s="19">
        <f t="shared" si="84"/>
        <v>47367</v>
      </c>
      <c r="B1038">
        <f t="shared" ca="1" si="80"/>
        <v>-3.375</v>
      </c>
      <c r="C1038" t="str">
        <f ca="1">IF(currency="USD",'Future et co'!D1038,IF(currency="EUR",'Future et co'!E1038,IF(currency="GBP",'Future et co'!F1038,FALSE)))</f>
        <v>RFR USD</v>
      </c>
      <c r="D1038" t="str">
        <f t="shared" ca="1" si="81"/>
        <v>RFR USD</v>
      </c>
      <c r="E1038" t="str">
        <f t="shared" ca="1" si="82"/>
        <v>RFR EUR</v>
      </c>
      <c r="F1038" t="str">
        <f t="shared" ca="1" si="83"/>
        <v>RFR GBP</v>
      </c>
      <c r="J1038" s="1"/>
      <c r="N1038" s="1"/>
      <c r="R1038" s="1"/>
      <c r="V1038" s="1"/>
      <c r="AB1038" s="1"/>
      <c r="AF1038" s="1"/>
      <c r="AJ1038" s="1"/>
      <c r="AN1038" s="1"/>
      <c r="AS1038" s="1"/>
      <c r="AX1038" s="1"/>
      <c r="BA1038" s="1"/>
      <c r="BC1038" s="1"/>
      <c r="BM1038" s="1"/>
      <c r="BP1038" s="1"/>
    </row>
    <row r="1039" spans="1:68" x14ac:dyDescent="0.3">
      <c r="A1039" s="19">
        <f t="shared" si="84"/>
        <v>47368</v>
      </c>
      <c r="B1039">
        <f t="shared" ca="1" si="80"/>
        <v>-3.3777777777777778</v>
      </c>
      <c r="C1039" t="str">
        <f ca="1">IF(currency="USD",'Future et co'!D1039,IF(currency="EUR",'Future et co'!E1039,IF(currency="GBP",'Future et co'!F1039,FALSE)))</f>
        <v>RFR USD</v>
      </c>
      <c r="D1039" t="str">
        <f t="shared" ca="1" si="81"/>
        <v>RFR USD</v>
      </c>
      <c r="E1039" t="str">
        <f t="shared" ca="1" si="82"/>
        <v>RFR EUR</v>
      </c>
      <c r="F1039" t="str">
        <f t="shared" ca="1" si="83"/>
        <v>RFR GBP</v>
      </c>
      <c r="J1039" s="1"/>
      <c r="N1039" s="1"/>
      <c r="R1039" s="1"/>
      <c r="V1039" s="1"/>
      <c r="AB1039" s="1"/>
      <c r="AF1039" s="1"/>
      <c r="AJ1039" s="1"/>
      <c r="AN1039" s="1"/>
      <c r="AS1039" s="1"/>
      <c r="AX1039" s="1"/>
      <c r="BA1039" s="1"/>
      <c r="BC1039" s="1"/>
      <c r="BM1039" s="1"/>
      <c r="BP1039" s="1"/>
    </row>
    <row r="1040" spans="1:68" x14ac:dyDescent="0.3">
      <c r="A1040" s="19">
        <f t="shared" si="84"/>
        <v>47371</v>
      </c>
      <c r="B1040">
        <f t="shared" ca="1" si="80"/>
        <v>-3.3861111111111111</v>
      </c>
      <c r="C1040" t="str">
        <f ca="1">IF(currency="USD",'Future et co'!D1040,IF(currency="EUR",'Future et co'!E1040,IF(currency="GBP",'Future et co'!F1040,FALSE)))</f>
        <v>RFR USD</v>
      </c>
      <c r="D1040" t="str">
        <f t="shared" ca="1" si="81"/>
        <v>RFR USD</v>
      </c>
      <c r="E1040" t="str">
        <f t="shared" ca="1" si="82"/>
        <v>RFR EUR</v>
      </c>
      <c r="F1040" t="str">
        <f t="shared" ca="1" si="83"/>
        <v>RFR GBP</v>
      </c>
      <c r="J1040" s="1"/>
      <c r="N1040" s="1"/>
      <c r="R1040" s="1"/>
      <c r="V1040" s="1"/>
      <c r="AB1040" s="1"/>
      <c r="AF1040" s="1"/>
      <c r="AJ1040" s="1"/>
      <c r="AN1040" s="1"/>
      <c r="AS1040" s="1"/>
      <c r="AX1040" s="1"/>
      <c r="BA1040" s="1"/>
      <c r="BC1040" s="1"/>
      <c r="BM1040" s="1"/>
      <c r="BP1040" s="1"/>
    </row>
    <row r="1041" spans="1:68" x14ac:dyDescent="0.3">
      <c r="A1041" s="19">
        <f t="shared" si="84"/>
        <v>47372</v>
      </c>
      <c r="B1041">
        <f t="shared" ca="1" si="80"/>
        <v>-3.3888888888888888</v>
      </c>
      <c r="C1041" t="str">
        <f ca="1">IF(currency="USD",'Future et co'!D1041,IF(currency="EUR",'Future et co'!E1041,IF(currency="GBP",'Future et co'!F1041,FALSE)))</f>
        <v>RFR USD</v>
      </c>
      <c r="D1041" t="str">
        <f t="shared" ca="1" si="81"/>
        <v>RFR USD</v>
      </c>
      <c r="E1041" t="str">
        <f t="shared" ca="1" si="82"/>
        <v>RFR EUR</v>
      </c>
      <c r="F1041" t="str">
        <f t="shared" ca="1" si="83"/>
        <v>RFR GBP</v>
      </c>
      <c r="J1041" s="1"/>
      <c r="N1041" s="1"/>
      <c r="R1041" s="1"/>
      <c r="V1041" s="1"/>
      <c r="AB1041" s="1"/>
      <c r="AF1041" s="1"/>
      <c r="AJ1041" s="1"/>
      <c r="AN1041" s="1"/>
      <c r="AS1041" s="1"/>
      <c r="AX1041" s="1"/>
      <c r="BA1041" s="1"/>
      <c r="BC1041" s="1"/>
      <c r="BM1041" s="1"/>
      <c r="BP1041" s="1"/>
    </row>
    <row r="1042" spans="1:68" x14ac:dyDescent="0.3">
      <c r="A1042" s="19">
        <f t="shared" si="84"/>
        <v>47373</v>
      </c>
      <c r="B1042">
        <f t="shared" ca="1" si="80"/>
        <v>-3.3916666666666666</v>
      </c>
      <c r="C1042" t="str">
        <f ca="1">IF(currency="USD",'Future et co'!D1042,IF(currency="EUR",'Future et co'!E1042,IF(currency="GBP",'Future et co'!F1042,FALSE)))</f>
        <v>RFR USD</v>
      </c>
      <c r="D1042" t="str">
        <f t="shared" ca="1" si="81"/>
        <v>RFR USD</v>
      </c>
      <c r="E1042" t="str">
        <f t="shared" ca="1" si="82"/>
        <v>RFR EUR</v>
      </c>
      <c r="F1042" t="str">
        <f t="shared" ca="1" si="83"/>
        <v>RFR GBP</v>
      </c>
      <c r="J1042" s="1"/>
      <c r="N1042" s="1"/>
      <c r="R1042" s="1"/>
      <c r="V1042" s="1"/>
      <c r="AB1042" s="1"/>
      <c r="AF1042" s="1"/>
      <c r="AJ1042" s="1"/>
      <c r="AN1042" s="1"/>
      <c r="AS1042" s="1"/>
      <c r="AX1042" s="1"/>
      <c r="BA1042" s="1"/>
      <c r="BC1042" s="1"/>
      <c r="BM1042" s="1"/>
      <c r="BP1042" s="1"/>
    </row>
    <row r="1043" spans="1:68" x14ac:dyDescent="0.3">
      <c r="A1043" s="19">
        <f t="shared" si="84"/>
        <v>47374</v>
      </c>
      <c r="B1043">
        <f t="shared" ca="1" si="80"/>
        <v>-3.3944444444444444</v>
      </c>
      <c r="C1043" t="str">
        <f ca="1">IF(currency="USD",'Future et co'!D1043,IF(currency="EUR",'Future et co'!E1043,IF(currency="GBP",'Future et co'!F1043,FALSE)))</f>
        <v>RFR USD</v>
      </c>
      <c r="D1043" t="str">
        <f t="shared" ca="1" si="81"/>
        <v>RFR USD</v>
      </c>
      <c r="E1043" t="str">
        <f t="shared" ca="1" si="82"/>
        <v>RFR EUR</v>
      </c>
      <c r="F1043" t="str">
        <f t="shared" ca="1" si="83"/>
        <v>RFR GBP</v>
      </c>
      <c r="J1043" s="1"/>
      <c r="N1043" s="1"/>
      <c r="R1043" s="1"/>
      <c r="V1043" s="1"/>
      <c r="AB1043" s="1"/>
      <c r="AF1043" s="1"/>
      <c r="AJ1043" s="1"/>
      <c r="AN1043" s="1"/>
      <c r="AS1043" s="1"/>
      <c r="AX1043" s="1"/>
      <c r="BA1043" s="1"/>
      <c r="BC1043" s="1"/>
      <c r="BM1043" s="1"/>
      <c r="BP1043" s="1"/>
    </row>
    <row r="1044" spans="1:68" x14ac:dyDescent="0.3">
      <c r="A1044" s="19">
        <f t="shared" si="84"/>
        <v>47375</v>
      </c>
      <c r="B1044">
        <f t="shared" ca="1" si="80"/>
        <v>-3.3972222222222221</v>
      </c>
      <c r="C1044" t="str">
        <f ca="1">IF(currency="USD",'Future et co'!D1044,IF(currency="EUR",'Future et co'!E1044,IF(currency="GBP",'Future et co'!F1044,FALSE)))</f>
        <v>RFR USD</v>
      </c>
      <c r="D1044" t="str">
        <f t="shared" ca="1" si="81"/>
        <v>RFR USD</v>
      </c>
      <c r="E1044" t="str">
        <f t="shared" ca="1" si="82"/>
        <v>RFR EUR</v>
      </c>
      <c r="F1044" t="str">
        <f t="shared" ca="1" si="83"/>
        <v>RFR GBP</v>
      </c>
      <c r="J1044" s="1"/>
      <c r="N1044" s="1"/>
      <c r="R1044" s="1"/>
      <c r="V1044" s="1"/>
      <c r="AB1044" s="1"/>
      <c r="AF1044" s="1"/>
      <c r="AJ1044" s="1"/>
      <c r="AN1044" s="1"/>
      <c r="AS1044" s="1"/>
      <c r="AX1044" s="1"/>
      <c r="BA1044" s="1"/>
      <c r="BC1044" s="1"/>
      <c r="BM1044" s="1"/>
      <c r="BP1044" s="1"/>
    </row>
    <row r="1045" spans="1:68" x14ac:dyDescent="0.3">
      <c r="A1045" s="19">
        <f t="shared" si="84"/>
        <v>47378</v>
      </c>
      <c r="B1045">
        <f t="shared" ca="1" si="80"/>
        <v>-3.4055555555555554</v>
      </c>
      <c r="C1045" t="str">
        <f ca="1">IF(currency="USD",'Future et co'!D1045,IF(currency="EUR",'Future et co'!E1045,IF(currency="GBP",'Future et co'!F1045,FALSE)))</f>
        <v>RFR USD</v>
      </c>
      <c r="D1045" t="str">
        <f t="shared" ca="1" si="81"/>
        <v>RFR USD</v>
      </c>
      <c r="E1045" t="str">
        <f t="shared" ca="1" si="82"/>
        <v>RFR EUR</v>
      </c>
      <c r="F1045" t="str">
        <f t="shared" ca="1" si="83"/>
        <v>RFR GBP</v>
      </c>
      <c r="J1045" s="1"/>
      <c r="N1045" s="1"/>
      <c r="R1045" s="1"/>
      <c r="V1045" s="1"/>
      <c r="AB1045" s="1"/>
      <c r="AF1045" s="1"/>
      <c r="AJ1045" s="1"/>
      <c r="AN1045" s="1"/>
      <c r="AS1045" s="1"/>
      <c r="AX1045" s="1"/>
      <c r="BA1045" s="1"/>
      <c r="BC1045" s="1"/>
      <c r="BM1045" s="1"/>
      <c r="BP1045" s="1"/>
    </row>
    <row r="1046" spans="1:68" x14ac:dyDescent="0.3">
      <c r="A1046" s="19">
        <f t="shared" si="84"/>
        <v>47379</v>
      </c>
      <c r="B1046">
        <f t="shared" ca="1" si="80"/>
        <v>-3.4083333333333332</v>
      </c>
      <c r="C1046" t="str">
        <f ca="1">IF(currency="USD",'Future et co'!D1046,IF(currency="EUR",'Future et co'!E1046,IF(currency="GBP",'Future et co'!F1046,FALSE)))</f>
        <v>RFR USD</v>
      </c>
      <c r="D1046" t="str">
        <f t="shared" ca="1" si="81"/>
        <v>RFR USD</v>
      </c>
      <c r="E1046" t="str">
        <f t="shared" ca="1" si="82"/>
        <v>RFR EUR</v>
      </c>
      <c r="F1046" t="str">
        <f t="shared" ca="1" si="83"/>
        <v>RFR GBP</v>
      </c>
      <c r="J1046" s="1"/>
      <c r="N1046" s="1"/>
      <c r="R1046" s="1"/>
      <c r="V1046" s="1"/>
      <c r="AB1046" s="1"/>
      <c r="AF1046" s="1"/>
      <c r="AJ1046" s="1"/>
      <c r="AN1046" s="1"/>
      <c r="AS1046" s="1"/>
      <c r="AX1046" s="1"/>
      <c r="BA1046" s="1"/>
      <c r="BC1046" s="1"/>
      <c r="BM1046" s="1"/>
      <c r="BP1046" s="1"/>
    </row>
    <row r="1047" spans="1:68" x14ac:dyDescent="0.3">
      <c r="A1047" s="19">
        <f t="shared" si="84"/>
        <v>47380</v>
      </c>
      <c r="B1047">
        <f t="shared" ca="1" si="80"/>
        <v>-3.411111111111111</v>
      </c>
      <c r="C1047" t="str">
        <f ca="1">IF(currency="USD",'Future et co'!D1047,IF(currency="EUR",'Future et co'!E1047,IF(currency="GBP",'Future et co'!F1047,FALSE)))</f>
        <v>RFR USD</v>
      </c>
      <c r="D1047" t="str">
        <f t="shared" ca="1" si="81"/>
        <v>RFR USD</v>
      </c>
      <c r="E1047" t="str">
        <f t="shared" ca="1" si="82"/>
        <v>RFR EUR</v>
      </c>
      <c r="F1047" t="str">
        <f t="shared" ca="1" si="83"/>
        <v>RFR GBP</v>
      </c>
      <c r="J1047" s="1"/>
      <c r="N1047" s="1"/>
      <c r="R1047" s="1"/>
      <c r="V1047" s="1"/>
      <c r="AB1047" s="1"/>
      <c r="AF1047" s="1"/>
      <c r="AJ1047" s="1"/>
      <c r="AN1047" s="1"/>
      <c r="AS1047" s="1"/>
      <c r="AX1047" s="1"/>
      <c r="BA1047" s="1"/>
      <c r="BC1047" s="1"/>
      <c r="BM1047" s="1"/>
      <c r="BP1047" s="1"/>
    </row>
    <row r="1048" spans="1:68" x14ac:dyDescent="0.3">
      <c r="A1048" s="19">
        <f t="shared" si="84"/>
        <v>47381</v>
      </c>
      <c r="B1048">
        <f t="shared" ca="1" si="80"/>
        <v>-3.4138888888888888</v>
      </c>
      <c r="C1048" t="str">
        <f ca="1">IF(currency="USD",'Future et co'!D1048,IF(currency="EUR",'Future et co'!E1048,IF(currency="GBP",'Future et co'!F1048,FALSE)))</f>
        <v>RFR USD</v>
      </c>
      <c r="D1048" t="str">
        <f t="shared" ca="1" si="81"/>
        <v>RFR USD</v>
      </c>
      <c r="E1048" t="str">
        <f t="shared" ca="1" si="82"/>
        <v>RFR EUR</v>
      </c>
      <c r="F1048" t="str">
        <f t="shared" ca="1" si="83"/>
        <v>RFR GBP</v>
      </c>
      <c r="J1048" s="1"/>
      <c r="N1048" s="1"/>
      <c r="R1048" s="1"/>
      <c r="V1048" s="1"/>
      <c r="AB1048" s="1"/>
      <c r="AF1048" s="1"/>
      <c r="AJ1048" s="1"/>
      <c r="AN1048" s="1"/>
      <c r="AS1048" s="1"/>
      <c r="AX1048" s="1"/>
      <c r="BA1048" s="1"/>
      <c r="BC1048" s="1"/>
      <c r="BM1048" s="1"/>
      <c r="BP1048" s="1"/>
    </row>
    <row r="1049" spans="1:68" x14ac:dyDescent="0.3">
      <c r="A1049" s="19">
        <f t="shared" si="84"/>
        <v>47382</v>
      </c>
      <c r="B1049">
        <f t="shared" ca="1" si="80"/>
        <v>-3.4166666666666665</v>
      </c>
      <c r="C1049" t="str">
        <f ca="1">IF(currency="USD",'Future et co'!D1049,IF(currency="EUR",'Future et co'!E1049,IF(currency="GBP",'Future et co'!F1049,FALSE)))</f>
        <v>RFR USD</v>
      </c>
      <c r="D1049" t="str">
        <f t="shared" ca="1" si="81"/>
        <v>RFR USD</v>
      </c>
      <c r="E1049" t="str">
        <f t="shared" ca="1" si="82"/>
        <v>RFR EUR</v>
      </c>
      <c r="F1049" t="str">
        <f t="shared" ca="1" si="83"/>
        <v>RFR GBP</v>
      </c>
      <c r="J1049" s="1"/>
      <c r="N1049" s="1"/>
      <c r="R1049" s="1"/>
      <c r="V1049" s="1"/>
      <c r="AB1049" s="1"/>
      <c r="AF1049" s="1"/>
      <c r="AJ1049" s="1"/>
      <c r="AN1049" s="1"/>
      <c r="AS1049" s="1"/>
      <c r="AX1049" s="1"/>
      <c r="BA1049" s="1"/>
      <c r="BC1049" s="1"/>
      <c r="BM1049" s="1"/>
      <c r="BP1049" s="1"/>
    </row>
    <row r="1050" spans="1:68" x14ac:dyDescent="0.3">
      <c r="A1050" s="19">
        <f t="shared" si="84"/>
        <v>47385</v>
      </c>
      <c r="B1050">
        <f t="shared" ca="1" si="80"/>
        <v>-3.4249999999999998</v>
      </c>
      <c r="C1050" t="str">
        <f ca="1">IF(currency="USD",'Future et co'!D1050,IF(currency="EUR",'Future et co'!E1050,IF(currency="GBP",'Future et co'!F1050,FALSE)))</f>
        <v>RFR USD</v>
      </c>
      <c r="D1050" t="str">
        <f t="shared" ca="1" si="81"/>
        <v>RFR USD</v>
      </c>
      <c r="E1050" t="str">
        <f t="shared" ca="1" si="82"/>
        <v>RFR EUR</v>
      </c>
      <c r="F1050" t="str">
        <f t="shared" ca="1" si="83"/>
        <v>RFR GBP</v>
      </c>
      <c r="J1050" s="1"/>
      <c r="N1050" s="1"/>
      <c r="R1050" s="1"/>
      <c r="V1050" s="1"/>
      <c r="AB1050" s="1"/>
      <c r="AF1050" s="1"/>
      <c r="AJ1050" s="1"/>
      <c r="AN1050" s="1"/>
      <c r="AS1050" s="1"/>
      <c r="AX1050" s="1"/>
      <c r="BA1050" s="1"/>
      <c r="BC1050" s="1"/>
      <c r="BM1050" s="1"/>
      <c r="BP1050" s="1"/>
    </row>
    <row r="1051" spans="1:68" x14ac:dyDescent="0.3">
      <c r="A1051" s="19">
        <f t="shared" si="84"/>
        <v>47386</v>
      </c>
      <c r="B1051">
        <f t="shared" ca="1" si="80"/>
        <v>-3.4277777777777776</v>
      </c>
      <c r="C1051" t="str">
        <f ca="1">IF(currency="USD",'Future et co'!D1051,IF(currency="EUR",'Future et co'!E1051,IF(currency="GBP",'Future et co'!F1051,FALSE)))</f>
        <v>RFR USD</v>
      </c>
      <c r="D1051" t="str">
        <f t="shared" ca="1" si="81"/>
        <v>RFR USD</v>
      </c>
      <c r="E1051" t="str">
        <f t="shared" ca="1" si="82"/>
        <v>RFR EUR</v>
      </c>
      <c r="F1051" t="str">
        <f t="shared" ca="1" si="83"/>
        <v>RFR GBP</v>
      </c>
      <c r="J1051" s="1"/>
      <c r="N1051" s="1"/>
      <c r="R1051" s="1"/>
      <c r="V1051" s="1"/>
      <c r="AB1051" s="1"/>
      <c r="AF1051" s="1"/>
      <c r="AJ1051" s="1"/>
      <c r="AN1051" s="1"/>
      <c r="AS1051" s="1"/>
      <c r="AX1051" s="1"/>
      <c r="BA1051" s="1"/>
      <c r="BC1051" s="1"/>
      <c r="BM1051" s="1"/>
      <c r="BP1051" s="1"/>
    </row>
    <row r="1052" spans="1:68" x14ac:dyDescent="0.3">
      <c r="A1052" s="19">
        <f t="shared" si="84"/>
        <v>47387</v>
      </c>
      <c r="B1052">
        <f t="shared" ca="1" si="80"/>
        <v>-3.4305555555555554</v>
      </c>
      <c r="C1052" t="str">
        <f ca="1">IF(currency="USD",'Future et co'!D1052,IF(currency="EUR",'Future et co'!E1052,IF(currency="GBP",'Future et co'!F1052,FALSE)))</f>
        <v>RFR USD</v>
      </c>
      <c r="D1052" t="str">
        <f t="shared" ca="1" si="81"/>
        <v>RFR USD</v>
      </c>
      <c r="E1052" t="str">
        <f t="shared" ca="1" si="82"/>
        <v>RFR EUR</v>
      </c>
      <c r="F1052" t="str">
        <f t="shared" ca="1" si="83"/>
        <v>RFR GBP</v>
      </c>
      <c r="J1052" s="1"/>
      <c r="N1052" s="1"/>
      <c r="R1052" s="1"/>
      <c r="V1052" s="1"/>
      <c r="AB1052" s="1"/>
      <c r="AF1052" s="1"/>
      <c r="AJ1052" s="1"/>
      <c r="AN1052" s="1"/>
      <c r="AS1052" s="1"/>
      <c r="AX1052" s="1"/>
      <c r="BA1052" s="1"/>
      <c r="BC1052" s="1"/>
      <c r="BM1052" s="1"/>
      <c r="BP1052" s="1"/>
    </row>
    <row r="1053" spans="1:68" x14ac:dyDescent="0.3">
      <c r="A1053" s="19">
        <f t="shared" si="84"/>
        <v>47388</v>
      </c>
      <c r="B1053">
        <f t="shared" ca="1" si="80"/>
        <v>-3.4333333333333331</v>
      </c>
      <c r="C1053" t="str">
        <f ca="1">IF(currency="USD",'Future et co'!D1053,IF(currency="EUR",'Future et co'!E1053,IF(currency="GBP",'Future et co'!F1053,FALSE)))</f>
        <v>RFR USD</v>
      </c>
      <c r="D1053" t="str">
        <f t="shared" ca="1" si="81"/>
        <v>RFR USD</v>
      </c>
      <c r="E1053" t="str">
        <f t="shared" ca="1" si="82"/>
        <v>RFR EUR</v>
      </c>
      <c r="F1053" t="str">
        <f t="shared" ca="1" si="83"/>
        <v>RFR GBP</v>
      </c>
      <c r="J1053" s="1"/>
      <c r="N1053" s="1"/>
      <c r="R1053" s="1"/>
      <c r="V1053" s="1"/>
      <c r="AB1053" s="1"/>
      <c r="AF1053" s="1"/>
      <c r="AJ1053" s="1"/>
      <c r="AN1053" s="1"/>
      <c r="AS1053" s="1"/>
      <c r="AX1053" s="1"/>
      <c r="BA1053" s="1"/>
      <c r="BC1053" s="1"/>
      <c r="BM1053" s="1"/>
      <c r="BP1053" s="1"/>
    </row>
    <row r="1054" spans="1:68" x14ac:dyDescent="0.3">
      <c r="A1054" s="19">
        <f t="shared" si="84"/>
        <v>47389</v>
      </c>
      <c r="B1054">
        <f t="shared" ca="1" si="80"/>
        <v>-3.4361111111111109</v>
      </c>
      <c r="C1054" t="str">
        <f ca="1">IF(currency="USD",'Future et co'!D1054,IF(currency="EUR",'Future et co'!E1054,IF(currency="GBP",'Future et co'!F1054,FALSE)))</f>
        <v>RFR USD</v>
      </c>
      <c r="D1054" t="str">
        <f t="shared" ca="1" si="81"/>
        <v>RFR USD</v>
      </c>
      <c r="E1054" t="str">
        <f t="shared" ca="1" si="82"/>
        <v>RFR EUR</v>
      </c>
      <c r="F1054" t="str">
        <f t="shared" ca="1" si="83"/>
        <v>RFR GBP</v>
      </c>
      <c r="J1054" s="1"/>
      <c r="N1054" s="1"/>
      <c r="R1054" s="1"/>
      <c r="V1054" s="1"/>
      <c r="AB1054" s="1"/>
      <c r="AF1054" s="1"/>
      <c r="AJ1054" s="1"/>
      <c r="AN1054" s="1"/>
      <c r="AS1054" s="1"/>
      <c r="AX1054" s="1"/>
      <c r="BA1054" s="1"/>
      <c r="BC1054" s="1"/>
      <c r="BM1054" s="1"/>
      <c r="BP1054" s="1"/>
    </row>
    <row r="1055" spans="1:68" x14ac:dyDescent="0.3">
      <c r="A1055" s="19">
        <f t="shared" si="84"/>
        <v>47392</v>
      </c>
      <c r="B1055">
        <f t="shared" ca="1" si="80"/>
        <v>-3.4444444444444446</v>
      </c>
      <c r="C1055" t="str">
        <f ca="1">IF(currency="USD",'Future et co'!D1055,IF(currency="EUR",'Future et co'!E1055,IF(currency="GBP",'Future et co'!F1055,FALSE)))</f>
        <v>RFR USD</v>
      </c>
      <c r="D1055" t="str">
        <f t="shared" ca="1" si="81"/>
        <v>RFR USD</v>
      </c>
      <c r="E1055" t="str">
        <f t="shared" ca="1" si="82"/>
        <v>RFR EUR</v>
      </c>
      <c r="F1055" t="str">
        <f t="shared" ca="1" si="83"/>
        <v>RFR GBP</v>
      </c>
      <c r="J1055" s="1"/>
      <c r="N1055" s="1"/>
      <c r="R1055" s="1"/>
      <c r="V1055" s="1"/>
      <c r="AB1055" s="1"/>
      <c r="AF1055" s="1"/>
      <c r="AJ1055" s="1"/>
      <c r="AN1055" s="1"/>
      <c r="AS1055" s="1"/>
      <c r="AX1055" s="1"/>
      <c r="BA1055" s="1"/>
      <c r="BC1055" s="1"/>
      <c r="BM1055" s="1"/>
      <c r="BP1055" s="1"/>
    </row>
    <row r="1056" spans="1:68" x14ac:dyDescent="0.3">
      <c r="A1056" s="19">
        <f t="shared" si="84"/>
        <v>47393</v>
      </c>
      <c r="B1056">
        <f t="shared" ca="1" si="80"/>
        <v>-3.4472222222222224</v>
      </c>
      <c r="C1056" t="str">
        <f ca="1">IF(currency="USD",'Future et co'!D1056,IF(currency="EUR",'Future et co'!E1056,IF(currency="GBP",'Future et co'!F1056,FALSE)))</f>
        <v>RFR USD</v>
      </c>
      <c r="D1056" t="str">
        <f t="shared" ca="1" si="81"/>
        <v>RFR USD</v>
      </c>
      <c r="E1056" t="str">
        <f t="shared" ca="1" si="82"/>
        <v>RFR EUR</v>
      </c>
      <c r="F1056" t="str">
        <f t="shared" ca="1" si="83"/>
        <v>RFR GBP</v>
      </c>
      <c r="J1056" s="1"/>
      <c r="N1056" s="1"/>
      <c r="R1056" s="1"/>
      <c r="V1056" s="1"/>
      <c r="AB1056" s="1"/>
      <c r="AF1056" s="1"/>
      <c r="AJ1056" s="1"/>
      <c r="AN1056" s="1"/>
      <c r="AS1056" s="1"/>
      <c r="AX1056" s="1"/>
      <c r="BA1056" s="1"/>
      <c r="BC1056" s="1"/>
      <c r="BM1056" s="1"/>
      <c r="BP1056" s="1"/>
    </row>
    <row r="1057" spans="1:68" x14ac:dyDescent="0.3">
      <c r="A1057" s="19">
        <f t="shared" si="84"/>
        <v>47394</v>
      </c>
      <c r="B1057">
        <f t="shared" ca="1" si="80"/>
        <v>-3.45</v>
      </c>
      <c r="C1057" t="str">
        <f ca="1">IF(currency="USD",'Future et co'!D1057,IF(currency="EUR",'Future et co'!E1057,IF(currency="GBP",'Future et co'!F1057,FALSE)))</f>
        <v>RFR USD</v>
      </c>
      <c r="D1057" t="str">
        <f t="shared" ca="1" si="81"/>
        <v>RFR USD</v>
      </c>
      <c r="E1057" t="str">
        <f t="shared" ca="1" si="82"/>
        <v>RFR EUR</v>
      </c>
      <c r="F1057" t="str">
        <f t="shared" ca="1" si="83"/>
        <v>RFR GBP</v>
      </c>
      <c r="J1057" s="1"/>
      <c r="N1057" s="1"/>
      <c r="R1057" s="1"/>
      <c r="V1057" s="1"/>
      <c r="AB1057" s="1"/>
      <c r="AF1057" s="1"/>
      <c r="AJ1057" s="1"/>
      <c r="AN1057" s="1"/>
      <c r="AS1057" s="1"/>
      <c r="AX1057" s="1"/>
      <c r="BA1057" s="1"/>
      <c r="BC1057" s="1"/>
      <c r="BM1057" s="1"/>
      <c r="BP1057" s="1"/>
    </row>
    <row r="1058" spans="1:68" x14ac:dyDescent="0.3">
      <c r="A1058" s="19">
        <f t="shared" si="84"/>
        <v>47395</v>
      </c>
      <c r="B1058">
        <f t="shared" ca="1" si="80"/>
        <v>-3.4527777777777779</v>
      </c>
      <c r="C1058" t="str">
        <f ca="1">IF(currency="USD",'Future et co'!D1058,IF(currency="EUR",'Future et co'!E1058,IF(currency="GBP",'Future et co'!F1058,FALSE)))</f>
        <v>RFR USD</v>
      </c>
      <c r="D1058" t="str">
        <f t="shared" ca="1" si="81"/>
        <v>RFR USD</v>
      </c>
      <c r="E1058" t="str">
        <f t="shared" ca="1" si="82"/>
        <v>RFR EUR</v>
      </c>
      <c r="F1058" t="str">
        <f t="shared" ca="1" si="83"/>
        <v>RFR GBP</v>
      </c>
      <c r="J1058" s="1"/>
      <c r="N1058" s="1"/>
      <c r="R1058" s="1"/>
      <c r="V1058" s="1"/>
      <c r="AB1058" s="1"/>
      <c r="AF1058" s="1"/>
      <c r="AJ1058" s="1"/>
      <c r="AN1058" s="1"/>
      <c r="AS1058" s="1"/>
      <c r="AX1058" s="1"/>
      <c r="BA1058" s="1"/>
      <c r="BC1058" s="1"/>
      <c r="BM1058" s="1"/>
      <c r="BP1058" s="1"/>
    </row>
    <row r="1059" spans="1:68" x14ac:dyDescent="0.3">
      <c r="A1059" s="19">
        <f t="shared" si="84"/>
        <v>47396</v>
      </c>
      <c r="B1059">
        <f t="shared" ca="1" si="80"/>
        <v>-3.4555555555555557</v>
      </c>
      <c r="C1059" t="str">
        <f ca="1">IF(currency="USD",'Future et co'!D1059,IF(currency="EUR",'Future et co'!E1059,IF(currency="GBP",'Future et co'!F1059,FALSE)))</f>
        <v>RFR USD</v>
      </c>
      <c r="D1059" t="str">
        <f t="shared" ca="1" si="81"/>
        <v>RFR USD</v>
      </c>
      <c r="E1059" t="str">
        <f t="shared" ca="1" si="82"/>
        <v>RFR EUR</v>
      </c>
      <c r="F1059" t="str">
        <f t="shared" ca="1" si="83"/>
        <v>RFR GBP</v>
      </c>
      <c r="J1059" s="1"/>
      <c r="N1059" s="1"/>
      <c r="R1059" s="1"/>
      <c r="V1059" s="1"/>
      <c r="AB1059" s="1"/>
      <c r="AF1059" s="1"/>
      <c r="AJ1059" s="1"/>
      <c r="AN1059" s="1"/>
      <c r="AS1059" s="1"/>
      <c r="AX1059" s="1"/>
      <c r="BA1059" s="1"/>
      <c r="BC1059" s="1"/>
      <c r="BM1059" s="1"/>
      <c r="BP1059" s="1"/>
    </row>
    <row r="1060" spans="1:68" x14ac:dyDescent="0.3">
      <c r="A1060" s="19">
        <f t="shared" si="84"/>
        <v>47399</v>
      </c>
      <c r="B1060">
        <f t="shared" ca="1" si="80"/>
        <v>-3.463888888888889</v>
      </c>
      <c r="C1060" t="str">
        <f ca="1">IF(currency="USD",'Future et co'!D1060,IF(currency="EUR",'Future et co'!E1060,IF(currency="GBP",'Future et co'!F1060,FALSE)))</f>
        <v>RFR USD</v>
      </c>
      <c r="D1060" t="str">
        <f t="shared" ca="1" si="81"/>
        <v>RFR USD</v>
      </c>
      <c r="E1060" t="str">
        <f t="shared" ca="1" si="82"/>
        <v>RFR EUR</v>
      </c>
      <c r="F1060" t="str">
        <f t="shared" ca="1" si="83"/>
        <v>RFR GBP</v>
      </c>
      <c r="J1060" s="1"/>
      <c r="N1060" s="1"/>
      <c r="R1060" s="1"/>
      <c r="V1060" s="1"/>
      <c r="AB1060" s="1"/>
      <c r="AF1060" s="1"/>
      <c r="AJ1060" s="1"/>
      <c r="AN1060" s="1"/>
      <c r="AS1060" s="1"/>
      <c r="AX1060" s="1"/>
      <c r="BA1060" s="1"/>
      <c r="BC1060" s="1"/>
      <c r="BM1060" s="1"/>
      <c r="BP1060" s="1"/>
    </row>
    <row r="1061" spans="1:68" x14ac:dyDescent="0.3">
      <c r="A1061" s="19">
        <f t="shared" si="84"/>
        <v>47400</v>
      </c>
      <c r="B1061">
        <f t="shared" ca="1" si="80"/>
        <v>-3.4666666666666668</v>
      </c>
      <c r="C1061" t="str">
        <f ca="1">IF(currency="USD",'Future et co'!D1061,IF(currency="EUR",'Future et co'!E1061,IF(currency="GBP",'Future et co'!F1061,FALSE)))</f>
        <v>RFR USD</v>
      </c>
      <c r="D1061" t="str">
        <f t="shared" ca="1" si="81"/>
        <v>RFR USD</v>
      </c>
      <c r="E1061" t="str">
        <f t="shared" ca="1" si="82"/>
        <v>RFR EUR</v>
      </c>
      <c r="F1061" t="str">
        <f t="shared" ca="1" si="83"/>
        <v>RFR GBP</v>
      </c>
      <c r="J1061" s="1"/>
      <c r="N1061" s="1"/>
      <c r="R1061" s="1"/>
      <c r="V1061" s="1"/>
      <c r="AB1061" s="1"/>
      <c r="AF1061" s="1"/>
      <c r="AJ1061" s="1"/>
      <c r="AN1061" s="1"/>
      <c r="AS1061" s="1"/>
      <c r="AX1061" s="1"/>
      <c r="BA1061" s="1"/>
      <c r="BC1061" s="1"/>
      <c r="BM1061" s="1"/>
      <c r="BP1061" s="1"/>
    </row>
    <row r="1062" spans="1:68" x14ac:dyDescent="0.3">
      <c r="A1062" s="19">
        <f t="shared" si="84"/>
        <v>47401</v>
      </c>
      <c r="B1062">
        <f t="shared" ca="1" si="80"/>
        <v>-3.4694444444444446</v>
      </c>
      <c r="C1062" t="str">
        <f ca="1">IF(currency="USD",'Future et co'!D1062,IF(currency="EUR",'Future et co'!E1062,IF(currency="GBP",'Future et co'!F1062,FALSE)))</f>
        <v>RFR USD</v>
      </c>
      <c r="D1062" t="str">
        <f t="shared" ca="1" si="81"/>
        <v>RFR USD</v>
      </c>
      <c r="E1062" t="str">
        <f t="shared" ca="1" si="82"/>
        <v>RFR EUR</v>
      </c>
      <c r="F1062" t="str">
        <f t="shared" ca="1" si="83"/>
        <v>RFR GBP</v>
      </c>
      <c r="J1062" s="1"/>
      <c r="N1062" s="1"/>
      <c r="R1062" s="1"/>
      <c r="V1062" s="1"/>
      <c r="AB1062" s="1"/>
      <c r="AF1062" s="1"/>
      <c r="AJ1062" s="1"/>
      <c r="AN1062" s="1"/>
      <c r="AS1062" s="1"/>
      <c r="AX1062" s="1"/>
      <c r="BA1062" s="1"/>
      <c r="BC1062" s="1"/>
      <c r="BM1062" s="1"/>
      <c r="BP1062" s="1"/>
    </row>
    <row r="1063" spans="1:68" x14ac:dyDescent="0.3">
      <c r="A1063" s="19">
        <f t="shared" si="84"/>
        <v>47402</v>
      </c>
      <c r="B1063">
        <f t="shared" ca="1" si="80"/>
        <v>-3.4722222222222223</v>
      </c>
      <c r="C1063" t="str">
        <f ca="1">IF(currency="USD",'Future et co'!D1063,IF(currency="EUR",'Future et co'!E1063,IF(currency="GBP",'Future et co'!F1063,FALSE)))</f>
        <v>RFR USD</v>
      </c>
      <c r="D1063" t="str">
        <f t="shared" ca="1" si="81"/>
        <v>RFR USD</v>
      </c>
      <c r="E1063" t="str">
        <f t="shared" ca="1" si="82"/>
        <v>RFR EUR</v>
      </c>
      <c r="F1063" t="str">
        <f t="shared" ca="1" si="83"/>
        <v>RFR GBP</v>
      </c>
      <c r="J1063" s="1"/>
      <c r="N1063" s="1"/>
      <c r="R1063" s="1"/>
      <c r="V1063" s="1"/>
      <c r="AB1063" s="1"/>
      <c r="AF1063" s="1"/>
      <c r="AJ1063" s="1"/>
      <c r="AN1063" s="1"/>
      <c r="AS1063" s="1"/>
      <c r="AX1063" s="1"/>
      <c r="BA1063" s="1"/>
      <c r="BC1063" s="1"/>
      <c r="BM1063" s="1"/>
    </row>
    <row r="1064" spans="1:68" x14ac:dyDescent="0.3">
      <c r="A1064" s="19">
        <f t="shared" si="84"/>
        <v>47403</v>
      </c>
      <c r="B1064">
        <f t="shared" ca="1" si="80"/>
        <v>-3.4750000000000001</v>
      </c>
      <c r="C1064" t="str">
        <f ca="1">IF(currency="USD",'Future et co'!D1064,IF(currency="EUR",'Future et co'!E1064,IF(currency="GBP",'Future et co'!F1064,FALSE)))</f>
        <v>RFR USD</v>
      </c>
      <c r="D1064" t="str">
        <f t="shared" ca="1" si="81"/>
        <v>RFR USD</v>
      </c>
      <c r="E1064" t="str">
        <f t="shared" ca="1" si="82"/>
        <v>RFR EUR</v>
      </c>
      <c r="F1064" t="str">
        <f t="shared" ca="1" si="83"/>
        <v>RFR GBP</v>
      </c>
      <c r="J1064" s="1"/>
      <c r="N1064" s="1"/>
      <c r="R1064" s="1"/>
      <c r="V1064" s="1"/>
      <c r="AB1064" s="1"/>
      <c r="AF1064" s="1"/>
      <c r="AJ1064" s="1"/>
      <c r="AN1064" s="1"/>
      <c r="AS1064" s="1"/>
      <c r="AX1064" s="1"/>
      <c r="BA1064" s="1"/>
      <c r="BC1064" s="1"/>
      <c r="BM1064" s="1"/>
    </row>
    <row r="1065" spans="1:68" x14ac:dyDescent="0.3">
      <c r="A1065" s="19">
        <f t="shared" si="84"/>
        <v>47406</v>
      </c>
      <c r="B1065">
        <f t="shared" ca="1" si="80"/>
        <v>-3.4833333333333334</v>
      </c>
      <c r="C1065" t="str">
        <f ca="1">IF(currency="USD",'Future et co'!D1065,IF(currency="EUR",'Future et co'!E1065,IF(currency="GBP",'Future et co'!F1065,FALSE)))</f>
        <v>RFR USD</v>
      </c>
      <c r="D1065" t="str">
        <f t="shared" ca="1" si="81"/>
        <v>RFR USD</v>
      </c>
      <c r="E1065" t="str">
        <f t="shared" ca="1" si="82"/>
        <v>RFR EUR</v>
      </c>
      <c r="F1065" t="str">
        <f t="shared" ca="1" si="83"/>
        <v>RFR GBP</v>
      </c>
      <c r="J1065" s="1"/>
      <c r="N1065" s="1"/>
      <c r="R1065" s="1"/>
      <c r="V1065" s="1"/>
      <c r="AB1065" s="1"/>
      <c r="AF1065" s="1"/>
      <c r="AJ1065" s="1"/>
      <c r="AN1065" s="1"/>
      <c r="AS1065" s="1"/>
      <c r="AX1065" s="1"/>
      <c r="BA1065" s="1"/>
      <c r="BC1065" s="1"/>
      <c r="BM1065" s="1"/>
    </row>
    <row r="1066" spans="1:68" x14ac:dyDescent="0.3">
      <c r="A1066" s="19">
        <f t="shared" si="84"/>
        <v>47407</v>
      </c>
      <c r="B1066">
        <f t="shared" ca="1" si="80"/>
        <v>-3.4861111111111112</v>
      </c>
      <c r="C1066" t="str">
        <f ca="1">IF(currency="USD",'Future et co'!D1066,IF(currency="EUR",'Future et co'!E1066,IF(currency="GBP",'Future et co'!F1066,FALSE)))</f>
        <v>RFR USD</v>
      </c>
      <c r="D1066" t="str">
        <f t="shared" ca="1" si="81"/>
        <v>RFR USD</v>
      </c>
      <c r="E1066" t="str">
        <f t="shared" ca="1" si="82"/>
        <v>RFR EUR</v>
      </c>
      <c r="F1066" t="str">
        <f t="shared" ca="1" si="83"/>
        <v>RFR GBP</v>
      </c>
      <c r="J1066" s="1"/>
      <c r="N1066" s="1"/>
      <c r="R1066" s="1"/>
      <c r="V1066" s="1"/>
      <c r="AB1066" s="1"/>
      <c r="AF1066" s="1"/>
      <c r="AJ1066" s="1"/>
      <c r="AN1066" s="1"/>
      <c r="AS1066" s="1"/>
      <c r="AX1066" s="1"/>
      <c r="BA1066" s="1"/>
      <c r="BC1066" s="1"/>
      <c r="BM1066" s="1"/>
    </row>
    <row r="1067" spans="1:68" x14ac:dyDescent="0.3">
      <c r="A1067" s="19">
        <f t="shared" si="84"/>
        <v>47408</v>
      </c>
      <c r="B1067">
        <f t="shared" ca="1" si="80"/>
        <v>-3.4888888888888889</v>
      </c>
      <c r="C1067" t="str">
        <f ca="1">IF(currency="USD",'Future et co'!D1067,IF(currency="EUR",'Future et co'!E1067,IF(currency="GBP",'Future et co'!F1067,FALSE)))</f>
        <v>RFR USD</v>
      </c>
      <c r="D1067" t="str">
        <f t="shared" ca="1" si="81"/>
        <v>RFR USD</v>
      </c>
      <c r="E1067" t="str">
        <f t="shared" ca="1" si="82"/>
        <v>RFR EUR</v>
      </c>
      <c r="F1067" t="str">
        <f t="shared" ca="1" si="83"/>
        <v>RFR GBP</v>
      </c>
      <c r="J1067" s="1"/>
      <c r="N1067" s="1"/>
      <c r="R1067" s="1"/>
      <c r="V1067" s="1"/>
      <c r="AB1067" s="1"/>
      <c r="AF1067" s="1"/>
      <c r="AJ1067" s="1"/>
      <c r="AN1067" s="1"/>
      <c r="AS1067" s="1"/>
      <c r="AX1067" s="1"/>
      <c r="BA1067" s="1"/>
      <c r="BC1067" s="1"/>
      <c r="BM1067" s="1"/>
    </row>
    <row r="1068" spans="1:68" x14ac:dyDescent="0.3">
      <c r="A1068" s="19">
        <f t="shared" si="84"/>
        <v>47409</v>
      </c>
      <c r="B1068">
        <f t="shared" ca="1" si="80"/>
        <v>-3.4916666666666667</v>
      </c>
      <c r="C1068" t="str">
        <f ca="1">IF(currency="USD",'Future et co'!D1068,IF(currency="EUR",'Future et co'!E1068,IF(currency="GBP",'Future et co'!F1068,FALSE)))</f>
        <v>RFR USD</v>
      </c>
      <c r="D1068" t="str">
        <f t="shared" ca="1" si="81"/>
        <v>RFR USD</v>
      </c>
      <c r="E1068" t="str">
        <f t="shared" ca="1" si="82"/>
        <v>RFR EUR</v>
      </c>
      <c r="F1068" t="str">
        <f t="shared" ca="1" si="83"/>
        <v>RFR GBP</v>
      </c>
      <c r="J1068" s="1"/>
      <c r="N1068" s="1"/>
      <c r="R1068" s="1"/>
      <c r="V1068" s="1"/>
      <c r="AB1068" s="1"/>
      <c r="AF1068" s="1"/>
      <c r="AJ1068" s="1"/>
      <c r="AN1068" s="1"/>
      <c r="AS1068" s="1"/>
      <c r="AX1068" s="1"/>
      <c r="BA1068" s="1"/>
      <c r="BC1068" s="1"/>
      <c r="BM1068" s="1"/>
    </row>
    <row r="1069" spans="1:68" x14ac:dyDescent="0.3">
      <c r="A1069" s="19">
        <f t="shared" si="84"/>
        <v>47410</v>
      </c>
      <c r="B1069">
        <f t="shared" ca="1" si="80"/>
        <v>-3.4944444444444445</v>
      </c>
      <c r="C1069" t="str">
        <f ca="1">IF(currency="USD",'Future et co'!D1069,IF(currency="EUR",'Future et co'!E1069,IF(currency="GBP",'Future et co'!F1069,FALSE)))</f>
        <v>RFR USD</v>
      </c>
      <c r="D1069" t="str">
        <f t="shared" ca="1" si="81"/>
        <v>RFR USD</v>
      </c>
      <c r="E1069" t="str">
        <f t="shared" ca="1" si="82"/>
        <v>RFR EUR</v>
      </c>
      <c r="F1069" t="str">
        <f t="shared" ca="1" si="83"/>
        <v>RFR GBP</v>
      </c>
      <c r="J1069" s="1"/>
      <c r="N1069" s="1"/>
      <c r="R1069" s="1"/>
      <c r="V1069" s="1"/>
      <c r="AB1069" s="1"/>
      <c r="AF1069" s="1"/>
      <c r="AJ1069" s="1"/>
      <c r="AN1069" s="1"/>
      <c r="AS1069" s="1"/>
      <c r="AX1069" s="1"/>
      <c r="BA1069" s="1"/>
      <c r="BC1069" s="1"/>
      <c r="BM1069" s="1"/>
    </row>
    <row r="1070" spans="1:68" x14ac:dyDescent="0.3">
      <c r="A1070" s="19">
        <f t="shared" si="84"/>
        <v>47413</v>
      </c>
      <c r="B1070">
        <f t="shared" ca="1" si="80"/>
        <v>-3.5027777777777778</v>
      </c>
      <c r="C1070" t="str">
        <f ca="1">IF(currency="USD",'Future et co'!D1070,IF(currency="EUR",'Future et co'!E1070,IF(currency="GBP",'Future et co'!F1070,FALSE)))</f>
        <v>RFR USD</v>
      </c>
      <c r="D1070" t="str">
        <f t="shared" ca="1" si="81"/>
        <v>RFR USD</v>
      </c>
      <c r="E1070" t="str">
        <f t="shared" ca="1" si="82"/>
        <v>RFR EUR</v>
      </c>
      <c r="F1070" t="str">
        <f t="shared" ca="1" si="83"/>
        <v>RFR GBP</v>
      </c>
      <c r="J1070" s="1"/>
      <c r="N1070" s="1"/>
      <c r="R1070" s="1"/>
      <c r="V1070" s="1"/>
      <c r="AB1070" s="1"/>
      <c r="AF1070" s="1"/>
      <c r="AJ1070" s="1"/>
      <c r="AN1070" s="1"/>
      <c r="AS1070" s="1"/>
      <c r="AX1070" s="1"/>
      <c r="BA1070" s="1"/>
      <c r="BC1070" s="1"/>
      <c r="BM1070" s="1"/>
    </row>
    <row r="1071" spans="1:68" x14ac:dyDescent="0.3">
      <c r="A1071" s="19">
        <f t="shared" si="84"/>
        <v>47414</v>
      </c>
      <c r="B1071">
        <f t="shared" ca="1" si="80"/>
        <v>-3.5055555555555555</v>
      </c>
      <c r="C1071" t="str">
        <f ca="1">IF(currency="USD",'Future et co'!D1071,IF(currency="EUR",'Future et co'!E1071,IF(currency="GBP",'Future et co'!F1071,FALSE)))</f>
        <v>RFR USD</v>
      </c>
      <c r="D1071" t="str">
        <f t="shared" ca="1" si="81"/>
        <v>RFR USD</v>
      </c>
      <c r="E1071" t="str">
        <f t="shared" ca="1" si="82"/>
        <v>RFR EUR</v>
      </c>
      <c r="F1071" t="str">
        <f t="shared" ca="1" si="83"/>
        <v>RFR GBP</v>
      </c>
      <c r="J1071" s="1"/>
      <c r="N1071" s="1"/>
      <c r="R1071" s="1"/>
      <c r="V1071" s="1"/>
      <c r="AB1071" s="1"/>
      <c r="AF1071" s="1"/>
      <c r="AJ1071" s="1"/>
      <c r="AN1071" s="1"/>
      <c r="AS1071" s="1"/>
      <c r="AX1071" s="1"/>
      <c r="BA1071" s="1"/>
      <c r="BC1071" s="1"/>
      <c r="BM1071" s="1"/>
    </row>
    <row r="1072" spans="1:68" x14ac:dyDescent="0.3">
      <c r="A1072" s="19">
        <f t="shared" si="84"/>
        <v>47415</v>
      </c>
      <c r="B1072">
        <f t="shared" ca="1" si="80"/>
        <v>-3.5083333333333333</v>
      </c>
      <c r="C1072" t="str">
        <f ca="1">IF(currency="USD",'Future et co'!D1072,IF(currency="EUR",'Future et co'!E1072,IF(currency="GBP",'Future et co'!F1072,FALSE)))</f>
        <v>RFR USD</v>
      </c>
      <c r="D1072" t="str">
        <f t="shared" ca="1" si="81"/>
        <v>RFR USD</v>
      </c>
      <c r="E1072" t="str">
        <f t="shared" ca="1" si="82"/>
        <v>RFR EUR</v>
      </c>
      <c r="F1072" t="str">
        <f t="shared" ca="1" si="83"/>
        <v>RFR GBP</v>
      </c>
      <c r="J1072" s="1"/>
      <c r="N1072" s="1"/>
      <c r="R1072" s="1"/>
      <c r="V1072" s="1"/>
      <c r="AB1072" s="1"/>
      <c r="AF1072" s="1"/>
      <c r="AJ1072" s="1"/>
      <c r="AN1072" s="1"/>
      <c r="AS1072" s="1"/>
      <c r="AX1072" s="1"/>
      <c r="BA1072" s="1"/>
      <c r="BC1072" s="1"/>
      <c r="BM1072" s="1"/>
    </row>
    <row r="1073" spans="1:65" x14ac:dyDescent="0.3">
      <c r="A1073" s="19">
        <f t="shared" si="84"/>
        <v>47416</v>
      </c>
      <c r="B1073">
        <f t="shared" ca="1" si="80"/>
        <v>-3.5111111111111111</v>
      </c>
      <c r="C1073" t="str">
        <f ca="1">IF(currency="USD",'Future et co'!D1073,IF(currency="EUR",'Future et co'!E1073,IF(currency="GBP",'Future et co'!F1073,FALSE)))</f>
        <v>RFR USD</v>
      </c>
      <c r="D1073" t="str">
        <f t="shared" ca="1" si="81"/>
        <v>RFR USD</v>
      </c>
      <c r="E1073" t="str">
        <f t="shared" ca="1" si="82"/>
        <v>RFR EUR</v>
      </c>
      <c r="F1073" t="str">
        <f t="shared" ca="1" si="83"/>
        <v>RFR GBP</v>
      </c>
      <c r="J1073" s="1"/>
      <c r="N1073" s="1"/>
      <c r="R1073" s="1"/>
      <c r="V1073" s="1"/>
      <c r="AB1073" s="1"/>
      <c r="AF1073" s="1"/>
      <c r="AJ1073" s="1"/>
      <c r="AN1073" s="1"/>
      <c r="AS1073" s="1"/>
      <c r="AX1073" s="1"/>
      <c r="BA1073" s="1"/>
      <c r="BC1073" s="1"/>
      <c r="BM1073" s="1"/>
    </row>
    <row r="1074" spans="1:65" x14ac:dyDescent="0.3">
      <c r="A1074" s="19">
        <f t="shared" si="84"/>
        <v>47417</v>
      </c>
      <c r="B1074">
        <f t="shared" ca="1" si="80"/>
        <v>-3.5138888888888888</v>
      </c>
      <c r="C1074" t="str">
        <f ca="1">IF(currency="USD",'Future et co'!D1074,IF(currency="EUR",'Future et co'!E1074,IF(currency="GBP",'Future et co'!F1074,FALSE)))</f>
        <v>RFR USD</v>
      </c>
      <c r="D1074" t="str">
        <f t="shared" ca="1" si="81"/>
        <v>RFR USD</v>
      </c>
      <c r="E1074" t="str">
        <f t="shared" ca="1" si="82"/>
        <v>RFR EUR</v>
      </c>
      <c r="F1074" t="str">
        <f t="shared" ca="1" si="83"/>
        <v>RFR GBP</v>
      </c>
      <c r="J1074" s="1"/>
      <c r="N1074" s="1"/>
      <c r="R1074" s="1"/>
      <c r="V1074" s="1"/>
      <c r="AB1074" s="1"/>
      <c r="AF1074" s="1"/>
      <c r="AJ1074" s="1"/>
      <c r="AN1074" s="1"/>
      <c r="AS1074" s="1"/>
      <c r="AX1074" s="1"/>
      <c r="BA1074" s="1"/>
      <c r="BC1074" s="1"/>
      <c r="BM1074" s="1"/>
    </row>
    <row r="1075" spans="1:65" x14ac:dyDescent="0.3">
      <c r="A1075" s="19">
        <f t="shared" si="84"/>
        <v>47420</v>
      </c>
      <c r="B1075">
        <f t="shared" ca="1" si="80"/>
        <v>-3.5222222222222221</v>
      </c>
      <c r="C1075" t="str">
        <f ca="1">IF(currency="USD",'Future et co'!D1075,IF(currency="EUR",'Future et co'!E1075,IF(currency="GBP",'Future et co'!F1075,FALSE)))</f>
        <v>RFR USD</v>
      </c>
      <c r="D1075" t="str">
        <f t="shared" ca="1" si="81"/>
        <v>RFR USD</v>
      </c>
      <c r="E1075" t="str">
        <f t="shared" ca="1" si="82"/>
        <v>RFR EUR</v>
      </c>
      <c r="F1075" t="str">
        <f t="shared" ca="1" si="83"/>
        <v>RFR GBP</v>
      </c>
      <c r="J1075" s="1"/>
      <c r="N1075" s="1"/>
      <c r="R1075" s="1"/>
      <c r="V1075" s="1"/>
      <c r="AB1075" s="1"/>
      <c r="AF1075" s="1"/>
      <c r="AJ1075" s="1"/>
      <c r="AN1075" s="1"/>
      <c r="AS1075" s="1"/>
      <c r="AX1075" s="1"/>
      <c r="BA1075" s="1"/>
      <c r="BC1075" s="1"/>
      <c r="BM1075" s="1"/>
    </row>
    <row r="1076" spans="1:65" x14ac:dyDescent="0.3">
      <c r="A1076" s="19">
        <f t="shared" si="84"/>
        <v>47421</v>
      </c>
      <c r="B1076">
        <f t="shared" ca="1" si="80"/>
        <v>-3.5249999999999999</v>
      </c>
      <c r="C1076" t="str">
        <f ca="1">IF(currency="USD",'Future et co'!D1076,IF(currency="EUR",'Future et co'!E1076,IF(currency="GBP",'Future et co'!F1076,FALSE)))</f>
        <v>RFR USD</v>
      </c>
      <c r="D1076" t="str">
        <f t="shared" ca="1" si="81"/>
        <v>RFR USD</v>
      </c>
      <c r="E1076" t="str">
        <f t="shared" ca="1" si="82"/>
        <v>RFR EUR</v>
      </c>
      <c r="F1076" t="str">
        <f t="shared" ca="1" si="83"/>
        <v>RFR GBP</v>
      </c>
      <c r="J1076" s="1"/>
      <c r="N1076" s="1"/>
      <c r="R1076" s="1"/>
      <c r="V1076" s="1"/>
      <c r="AB1076" s="1"/>
      <c r="AF1076" s="1"/>
      <c r="AJ1076" s="1"/>
      <c r="AN1076" s="1"/>
      <c r="AS1076" s="1"/>
      <c r="AX1076" s="1"/>
      <c r="BA1076" s="1"/>
      <c r="BC1076" s="1"/>
      <c r="BM1076" s="1"/>
    </row>
    <row r="1077" spans="1:65" x14ac:dyDescent="0.3">
      <c r="A1077" s="19">
        <f t="shared" si="84"/>
        <v>47422</v>
      </c>
      <c r="B1077">
        <f t="shared" ca="1" si="80"/>
        <v>-3.5277777777777777</v>
      </c>
      <c r="C1077" t="str">
        <f ca="1">IF(currency="USD",'Future et co'!D1077,IF(currency="EUR",'Future et co'!E1077,IF(currency="GBP",'Future et co'!F1077,FALSE)))</f>
        <v>RFR USD</v>
      </c>
      <c r="D1077" t="str">
        <f t="shared" ca="1" si="81"/>
        <v>RFR USD</v>
      </c>
      <c r="E1077" t="str">
        <f t="shared" ca="1" si="82"/>
        <v>RFR EUR</v>
      </c>
      <c r="F1077" t="str">
        <f t="shared" ca="1" si="83"/>
        <v>RFR GBP</v>
      </c>
      <c r="J1077" s="1"/>
      <c r="N1077" s="1"/>
      <c r="R1077" s="1"/>
      <c r="V1077" s="1"/>
      <c r="AB1077" s="1"/>
      <c r="AF1077" s="1"/>
      <c r="AJ1077" s="1"/>
      <c r="AN1077" s="1"/>
      <c r="AS1077" s="1"/>
      <c r="AX1077" s="1"/>
      <c r="BA1077" s="1"/>
      <c r="BC1077" s="1"/>
      <c r="BM1077" s="1"/>
    </row>
    <row r="1078" spans="1:65" x14ac:dyDescent="0.3">
      <c r="A1078" s="19">
        <f t="shared" si="84"/>
        <v>47423</v>
      </c>
      <c r="B1078">
        <f t="shared" ca="1" si="80"/>
        <v>-3.5305555555555554</v>
      </c>
      <c r="C1078" t="str">
        <f ca="1">IF(currency="USD",'Future et co'!D1078,IF(currency="EUR",'Future et co'!E1078,IF(currency="GBP",'Future et co'!F1078,FALSE)))</f>
        <v>RFR USD</v>
      </c>
      <c r="D1078" t="str">
        <f t="shared" ca="1" si="81"/>
        <v>RFR USD</v>
      </c>
      <c r="E1078" t="str">
        <f t="shared" ca="1" si="82"/>
        <v>RFR EUR</v>
      </c>
      <c r="F1078" t="str">
        <f t="shared" ca="1" si="83"/>
        <v>RFR GBP</v>
      </c>
      <c r="J1078" s="1"/>
      <c r="N1078" s="1"/>
      <c r="R1078" s="1"/>
      <c r="V1078" s="1"/>
      <c r="AB1078" s="1"/>
      <c r="AF1078" s="1"/>
      <c r="AJ1078" s="1"/>
      <c r="AN1078" s="1"/>
      <c r="AS1078" s="1"/>
      <c r="AX1078" s="1"/>
      <c r="BA1078" s="1"/>
      <c r="BC1078" s="1"/>
      <c r="BM1078" s="1"/>
    </row>
    <row r="1079" spans="1:65" x14ac:dyDescent="0.3">
      <c r="A1079" s="19">
        <f t="shared" si="84"/>
        <v>47424</v>
      </c>
      <c r="B1079">
        <f t="shared" ca="1" si="80"/>
        <v>-3.5333333333333332</v>
      </c>
      <c r="C1079" t="str">
        <f ca="1">IF(currency="USD",'Future et co'!D1079,IF(currency="EUR",'Future et co'!E1079,IF(currency="GBP",'Future et co'!F1079,FALSE)))</f>
        <v>RFR USD</v>
      </c>
      <c r="D1079" t="str">
        <f t="shared" ca="1" si="81"/>
        <v>RFR USD</v>
      </c>
      <c r="E1079" t="str">
        <f t="shared" ca="1" si="82"/>
        <v>RFR EUR</v>
      </c>
      <c r="F1079" t="str">
        <f t="shared" ca="1" si="83"/>
        <v>RFR GBP</v>
      </c>
      <c r="J1079" s="1"/>
      <c r="N1079" s="1"/>
      <c r="R1079" s="1"/>
      <c r="V1079" s="1"/>
      <c r="AB1079" s="1"/>
      <c r="AF1079" s="1"/>
      <c r="AJ1079" s="1"/>
      <c r="AN1079" s="1"/>
      <c r="AS1079" s="1"/>
      <c r="AX1079" s="1"/>
      <c r="BA1079" s="1"/>
      <c r="BC1079" s="1"/>
      <c r="BM1079" s="1"/>
    </row>
    <row r="1080" spans="1:65" x14ac:dyDescent="0.3">
      <c r="A1080" s="19">
        <f t="shared" si="84"/>
        <v>47427</v>
      </c>
      <c r="B1080">
        <f t="shared" ca="1" si="80"/>
        <v>-3.5416666666666665</v>
      </c>
      <c r="C1080" t="str">
        <f ca="1">IF(currency="USD",'Future et co'!D1080,IF(currency="EUR",'Future et co'!E1080,IF(currency="GBP",'Future et co'!F1080,FALSE)))</f>
        <v>RFR USD</v>
      </c>
      <c r="D1080" t="str">
        <f t="shared" ca="1" si="81"/>
        <v>RFR USD</v>
      </c>
      <c r="E1080" t="str">
        <f t="shared" ca="1" si="82"/>
        <v>RFR EUR</v>
      </c>
      <c r="F1080" t="str">
        <f t="shared" ca="1" si="83"/>
        <v>RFR GBP</v>
      </c>
      <c r="J1080" s="1"/>
      <c r="N1080" s="1"/>
      <c r="R1080" s="1"/>
      <c r="V1080" s="1"/>
      <c r="AB1080" s="1"/>
      <c r="AF1080" s="1"/>
      <c r="AJ1080" s="1"/>
      <c r="AN1080" s="1"/>
      <c r="AS1080" s="1"/>
      <c r="AX1080" s="1"/>
      <c r="BA1080" s="1"/>
      <c r="BC1080" s="1"/>
      <c r="BM1080" s="1"/>
    </row>
    <row r="1081" spans="1:65" x14ac:dyDescent="0.3">
      <c r="A1081" s="19">
        <f t="shared" si="84"/>
        <v>47428</v>
      </c>
      <c r="B1081">
        <f t="shared" ca="1" si="80"/>
        <v>-3.5444444444444443</v>
      </c>
      <c r="C1081" t="str">
        <f ca="1">IF(currency="USD",'Future et co'!D1081,IF(currency="EUR",'Future et co'!E1081,IF(currency="GBP",'Future et co'!F1081,FALSE)))</f>
        <v>RFR USD</v>
      </c>
      <c r="D1081" t="str">
        <f t="shared" ca="1" si="81"/>
        <v>RFR USD</v>
      </c>
      <c r="E1081" t="str">
        <f t="shared" ca="1" si="82"/>
        <v>RFR EUR</v>
      </c>
      <c r="F1081" t="str">
        <f t="shared" ca="1" si="83"/>
        <v>RFR GBP</v>
      </c>
      <c r="J1081" s="1"/>
      <c r="N1081" s="1"/>
      <c r="R1081" s="1"/>
      <c r="V1081" s="1"/>
      <c r="AB1081" s="1"/>
      <c r="AF1081" s="1"/>
      <c r="AJ1081" s="1"/>
      <c r="AN1081" s="1"/>
      <c r="AS1081" s="1"/>
      <c r="AX1081" s="1"/>
      <c r="BA1081" s="1"/>
      <c r="BC1081" s="1"/>
      <c r="BM1081" s="1"/>
    </row>
    <row r="1082" spans="1:65" x14ac:dyDescent="0.3">
      <c r="A1082" s="19">
        <f t="shared" si="84"/>
        <v>47429</v>
      </c>
      <c r="B1082">
        <f t="shared" ca="1" si="80"/>
        <v>-3.5472222222222221</v>
      </c>
      <c r="C1082" t="str">
        <f ca="1">IF(currency="USD",'Future et co'!D1082,IF(currency="EUR",'Future et co'!E1082,IF(currency="GBP",'Future et co'!F1082,FALSE)))</f>
        <v>RFR USD</v>
      </c>
      <c r="D1082" t="str">
        <f t="shared" ca="1" si="81"/>
        <v>RFR USD</v>
      </c>
      <c r="E1082" t="str">
        <f t="shared" ca="1" si="82"/>
        <v>RFR EUR</v>
      </c>
      <c r="F1082" t="str">
        <f t="shared" ca="1" si="83"/>
        <v>RFR GBP</v>
      </c>
      <c r="J1082" s="1"/>
      <c r="N1082" s="1"/>
      <c r="R1082" s="1"/>
      <c r="V1082" s="1"/>
      <c r="AB1082" s="1"/>
      <c r="AF1082" s="1"/>
      <c r="AJ1082" s="1"/>
      <c r="AN1082" s="1"/>
      <c r="AS1082" s="1"/>
      <c r="AX1082" s="1"/>
      <c r="BA1082" s="1"/>
      <c r="BC1082" s="1"/>
      <c r="BM1082" s="1"/>
    </row>
    <row r="1083" spans="1:65" x14ac:dyDescent="0.3">
      <c r="A1083" s="19">
        <f t="shared" si="84"/>
        <v>47430</v>
      </c>
      <c r="B1083">
        <f t="shared" ca="1" si="80"/>
        <v>-3.55</v>
      </c>
      <c r="C1083" t="str">
        <f ca="1">IF(currency="USD",'Future et co'!D1083,IF(currency="EUR",'Future et co'!E1083,IF(currency="GBP",'Future et co'!F1083,FALSE)))</f>
        <v>RFR USD</v>
      </c>
      <c r="D1083" t="str">
        <f t="shared" ca="1" si="81"/>
        <v>RFR USD</v>
      </c>
      <c r="E1083" t="str">
        <f t="shared" ca="1" si="82"/>
        <v>RFR EUR</v>
      </c>
      <c r="F1083" t="str">
        <f t="shared" ca="1" si="83"/>
        <v>RFR GBP</v>
      </c>
      <c r="J1083" s="1"/>
      <c r="N1083" s="1"/>
      <c r="R1083" s="1"/>
      <c r="V1083" s="1"/>
      <c r="AB1083" s="1"/>
      <c r="AF1083" s="1"/>
      <c r="AJ1083" s="1"/>
      <c r="AN1083" s="1"/>
      <c r="AS1083" s="1"/>
      <c r="AX1083" s="1"/>
      <c r="BA1083" s="1"/>
      <c r="BC1083" s="1"/>
      <c r="BM1083" s="1"/>
    </row>
    <row r="1084" spans="1:65" x14ac:dyDescent="0.3">
      <c r="A1084" s="19">
        <f t="shared" si="84"/>
        <v>47431</v>
      </c>
      <c r="B1084">
        <f t="shared" ca="1" si="80"/>
        <v>-3.5527777777777776</v>
      </c>
      <c r="C1084" t="str">
        <f ca="1">IF(currency="USD",'Future et co'!D1084,IF(currency="EUR",'Future et co'!E1084,IF(currency="GBP",'Future et co'!F1084,FALSE)))</f>
        <v>RFR USD</v>
      </c>
      <c r="D1084" t="str">
        <f t="shared" ca="1" si="81"/>
        <v>RFR USD</v>
      </c>
      <c r="E1084" t="str">
        <f t="shared" ca="1" si="82"/>
        <v>RFR EUR</v>
      </c>
      <c r="F1084" t="str">
        <f t="shared" ca="1" si="83"/>
        <v>RFR GBP</v>
      </c>
      <c r="J1084" s="1"/>
      <c r="N1084" s="1"/>
      <c r="R1084" s="1"/>
      <c r="V1084" s="1"/>
      <c r="AB1084" s="1"/>
      <c r="AF1084" s="1"/>
      <c r="AJ1084" s="1"/>
      <c r="AN1084" s="1"/>
      <c r="AS1084" s="1"/>
      <c r="AX1084" s="1"/>
      <c r="BA1084" s="1"/>
      <c r="BC1084" s="1"/>
      <c r="BM1084" s="1"/>
    </row>
    <row r="1085" spans="1:65" x14ac:dyDescent="0.3">
      <c r="A1085" s="19">
        <f t="shared" si="84"/>
        <v>47434</v>
      </c>
      <c r="B1085">
        <f t="shared" ca="1" si="80"/>
        <v>-3.5611111111111109</v>
      </c>
      <c r="C1085" t="str">
        <f ca="1">IF(currency="USD",'Future et co'!D1085,IF(currency="EUR",'Future et co'!E1085,IF(currency="GBP",'Future et co'!F1085,FALSE)))</f>
        <v>RFR USD</v>
      </c>
      <c r="D1085" t="str">
        <f t="shared" ca="1" si="81"/>
        <v>RFR USD</v>
      </c>
      <c r="E1085" t="str">
        <f t="shared" ca="1" si="82"/>
        <v>RFR EUR</v>
      </c>
      <c r="F1085" t="str">
        <f t="shared" ca="1" si="83"/>
        <v>RFR GBP</v>
      </c>
      <c r="J1085" s="1"/>
      <c r="N1085" s="1"/>
      <c r="R1085" s="1"/>
      <c r="V1085" s="1"/>
      <c r="AB1085" s="1"/>
      <c r="AF1085" s="1"/>
      <c r="AJ1085" s="1"/>
      <c r="AN1085" s="1"/>
      <c r="AS1085" s="1"/>
      <c r="AX1085" s="1"/>
      <c r="BA1085" s="1"/>
      <c r="BC1085" s="1"/>
      <c r="BM1085" s="1"/>
    </row>
    <row r="1086" spans="1:65" x14ac:dyDescent="0.3">
      <c r="A1086" s="19">
        <f t="shared" si="84"/>
        <v>47435</v>
      </c>
      <c r="B1086">
        <f t="shared" ca="1" si="80"/>
        <v>-3.5638888888888891</v>
      </c>
      <c r="C1086" t="str">
        <f ca="1">IF(currency="USD",'Future et co'!D1086,IF(currency="EUR",'Future et co'!E1086,IF(currency="GBP",'Future et co'!F1086,FALSE)))</f>
        <v>RFR USD</v>
      </c>
      <c r="D1086" t="str">
        <f t="shared" ca="1" si="81"/>
        <v>RFR USD</v>
      </c>
      <c r="E1086" t="str">
        <f t="shared" ca="1" si="82"/>
        <v>RFR EUR</v>
      </c>
      <c r="F1086" t="str">
        <f t="shared" ca="1" si="83"/>
        <v>RFR GBP</v>
      </c>
      <c r="J1086" s="1"/>
      <c r="N1086" s="1"/>
      <c r="R1086" s="1"/>
      <c r="V1086" s="1"/>
      <c r="AB1086" s="1"/>
      <c r="AF1086" s="1"/>
      <c r="AJ1086" s="1"/>
      <c r="AN1086" s="1"/>
      <c r="AS1086" s="1"/>
      <c r="AX1086" s="1"/>
      <c r="BA1086" s="1"/>
      <c r="BC1086" s="1"/>
      <c r="BM1086" s="1"/>
    </row>
    <row r="1087" spans="1:65" x14ac:dyDescent="0.3">
      <c r="A1087" s="19">
        <f t="shared" si="84"/>
        <v>47436</v>
      </c>
      <c r="B1087">
        <f t="shared" ca="1" si="80"/>
        <v>-3.5666666666666669</v>
      </c>
      <c r="C1087" t="str">
        <f ca="1">IF(currency="USD",'Future et co'!D1087,IF(currency="EUR",'Future et co'!E1087,IF(currency="GBP",'Future et co'!F1087,FALSE)))</f>
        <v>RFR USD</v>
      </c>
      <c r="D1087" t="str">
        <f t="shared" ca="1" si="81"/>
        <v>RFR USD</v>
      </c>
      <c r="E1087" t="str">
        <f t="shared" ca="1" si="82"/>
        <v>RFR EUR</v>
      </c>
      <c r="F1087" t="str">
        <f t="shared" ca="1" si="83"/>
        <v>RFR GBP</v>
      </c>
      <c r="J1087" s="1"/>
      <c r="N1087" s="1"/>
      <c r="R1087" s="1"/>
      <c r="V1087" s="1"/>
      <c r="AB1087" s="1"/>
      <c r="AF1087" s="1"/>
      <c r="AJ1087" s="1"/>
      <c r="AN1087" s="1"/>
      <c r="AS1087" s="1"/>
      <c r="AX1087" s="1"/>
      <c r="BA1087" s="1"/>
      <c r="BC1087" s="1"/>
      <c r="BM1087" s="1"/>
    </row>
    <row r="1088" spans="1:65" x14ac:dyDescent="0.3">
      <c r="A1088" s="19">
        <f t="shared" si="84"/>
        <v>47437</v>
      </c>
      <c r="B1088">
        <f t="shared" ca="1" si="80"/>
        <v>-3.5694444444444446</v>
      </c>
      <c r="C1088" t="str">
        <f ca="1">IF(currency="USD",'Future et co'!D1088,IF(currency="EUR",'Future et co'!E1088,IF(currency="GBP",'Future et co'!F1088,FALSE)))</f>
        <v>RFR USD</v>
      </c>
      <c r="D1088" t="str">
        <f t="shared" ca="1" si="81"/>
        <v>RFR USD</v>
      </c>
      <c r="E1088" t="str">
        <f t="shared" ca="1" si="82"/>
        <v>RFR EUR</v>
      </c>
      <c r="F1088" t="str">
        <f t="shared" ca="1" si="83"/>
        <v>RFR GBP</v>
      </c>
      <c r="J1088" s="1"/>
      <c r="N1088" s="1"/>
      <c r="R1088" s="1"/>
      <c r="V1088" s="1"/>
      <c r="AB1088" s="1"/>
      <c r="AF1088" s="1"/>
      <c r="AJ1088" s="1"/>
      <c r="AN1088" s="1"/>
      <c r="AS1088" s="1"/>
      <c r="AX1088" s="1"/>
      <c r="BA1088" s="1"/>
      <c r="BC1088" s="1"/>
      <c r="BM1088" s="1"/>
    </row>
    <row r="1089" spans="1:65" x14ac:dyDescent="0.3">
      <c r="A1089" s="19">
        <f t="shared" si="84"/>
        <v>47438</v>
      </c>
      <c r="B1089">
        <f t="shared" ca="1" si="80"/>
        <v>-3.5722222222222224</v>
      </c>
      <c r="C1089" t="str">
        <f ca="1">IF(currency="USD",'Future et co'!D1089,IF(currency="EUR",'Future et co'!E1089,IF(currency="GBP",'Future et co'!F1089,FALSE)))</f>
        <v>RFR USD</v>
      </c>
      <c r="D1089" t="str">
        <f t="shared" ca="1" si="81"/>
        <v>RFR USD</v>
      </c>
      <c r="E1089" t="str">
        <f t="shared" ca="1" si="82"/>
        <v>RFR EUR</v>
      </c>
      <c r="F1089" t="str">
        <f t="shared" ca="1" si="83"/>
        <v>RFR GBP</v>
      </c>
      <c r="J1089" s="1"/>
      <c r="N1089" s="1"/>
      <c r="R1089" s="1"/>
      <c r="V1089" s="1"/>
      <c r="AB1089" s="1"/>
      <c r="AF1089" s="1"/>
      <c r="AJ1089" s="1"/>
      <c r="AN1089" s="1"/>
      <c r="AS1089" s="1"/>
      <c r="AX1089" s="1"/>
      <c r="BA1089" s="1"/>
      <c r="BC1089" s="1"/>
      <c r="BM1089" s="1"/>
    </row>
    <row r="1090" spans="1:65" x14ac:dyDescent="0.3">
      <c r="A1090" s="19">
        <f t="shared" si="84"/>
        <v>47441</v>
      </c>
      <c r="B1090">
        <f t="shared" ca="1" si="80"/>
        <v>-3.5805555555555557</v>
      </c>
      <c r="C1090" t="str">
        <f ca="1">IF(currency="USD",'Future et co'!D1090,IF(currency="EUR",'Future et co'!E1090,IF(currency="GBP",'Future et co'!F1090,FALSE)))</f>
        <v>RFR USD</v>
      </c>
      <c r="D1090" t="str">
        <f t="shared" ca="1" si="81"/>
        <v>RFR USD</v>
      </c>
      <c r="E1090" t="str">
        <f t="shared" ca="1" si="82"/>
        <v>RFR EUR</v>
      </c>
      <c r="F1090" t="str">
        <f t="shared" ca="1" si="83"/>
        <v>RFR GBP</v>
      </c>
      <c r="J1090" s="1"/>
      <c r="N1090" s="1"/>
      <c r="R1090" s="1"/>
      <c r="V1090" s="1"/>
      <c r="AB1090" s="1"/>
      <c r="AF1090" s="1"/>
      <c r="AJ1090" s="1"/>
      <c r="AN1090" s="1"/>
      <c r="AS1090" s="1"/>
      <c r="AX1090" s="1"/>
      <c r="BA1090" s="1"/>
      <c r="BC1090" s="1"/>
      <c r="BM1090" s="1"/>
    </row>
    <row r="1091" spans="1:65" x14ac:dyDescent="0.3">
      <c r="A1091" s="19">
        <f t="shared" si="84"/>
        <v>47442</v>
      </c>
      <c r="B1091">
        <f t="shared" ca="1" si="80"/>
        <v>-3.5833333333333335</v>
      </c>
      <c r="C1091" t="str">
        <f ca="1">IF(currency="USD",'Future et co'!D1091,IF(currency="EUR",'Future et co'!E1091,IF(currency="GBP",'Future et co'!F1091,FALSE)))</f>
        <v>RFR USD</v>
      </c>
      <c r="D1091" t="str">
        <f t="shared" ca="1" si="81"/>
        <v>RFR USD</v>
      </c>
      <c r="E1091" t="str">
        <f t="shared" ca="1" si="82"/>
        <v>RFR EUR</v>
      </c>
      <c r="F1091" t="str">
        <f t="shared" ca="1" si="83"/>
        <v>RFR GBP</v>
      </c>
      <c r="J1091" s="1"/>
      <c r="N1091" s="1"/>
      <c r="R1091" s="1"/>
      <c r="V1091" s="1"/>
      <c r="AB1091" s="1"/>
      <c r="AF1091" s="1"/>
      <c r="AJ1091" s="1"/>
      <c r="AN1091" s="1"/>
      <c r="AS1091" s="1"/>
      <c r="AX1091" s="1"/>
      <c r="BA1091" s="1"/>
      <c r="BC1091" s="1"/>
      <c r="BM1091" s="1"/>
    </row>
    <row r="1092" spans="1:65" x14ac:dyDescent="0.3">
      <c r="A1092" s="19">
        <f t="shared" si="84"/>
        <v>47443</v>
      </c>
      <c r="B1092">
        <f t="shared" ca="1" si="80"/>
        <v>-3.5861111111111112</v>
      </c>
      <c r="C1092" t="str">
        <f ca="1">IF(currency="USD",'Future et co'!D1092,IF(currency="EUR",'Future et co'!E1092,IF(currency="GBP",'Future et co'!F1092,FALSE)))</f>
        <v>RFR USD</v>
      </c>
      <c r="D1092" t="str">
        <f t="shared" ca="1" si="81"/>
        <v>RFR USD</v>
      </c>
      <c r="E1092" t="str">
        <f t="shared" ca="1" si="82"/>
        <v>RFR EUR</v>
      </c>
      <c r="F1092" t="str">
        <f t="shared" ca="1" si="83"/>
        <v>RFR GBP</v>
      </c>
      <c r="J1092" s="1"/>
      <c r="N1092" s="1"/>
      <c r="R1092" s="1"/>
      <c r="V1092" s="1"/>
      <c r="AB1092" s="1"/>
      <c r="AF1092" s="1"/>
      <c r="AJ1092" s="1"/>
      <c r="AN1092" s="1"/>
      <c r="AS1092" s="1"/>
      <c r="AX1092" s="1"/>
      <c r="BA1092" s="1"/>
      <c r="BC1092" s="1"/>
      <c r="BM1092" s="1"/>
    </row>
    <row r="1093" spans="1:65" x14ac:dyDescent="0.3">
      <c r="A1093" s="19">
        <f t="shared" si="84"/>
        <v>47444</v>
      </c>
      <c r="B1093">
        <f t="shared" ca="1" si="80"/>
        <v>-3.588888888888889</v>
      </c>
      <c r="C1093" t="str">
        <f ca="1">IF(currency="USD",'Future et co'!D1093,IF(currency="EUR",'Future et co'!E1093,IF(currency="GBP",'Future et co'!F1093,FALSE)))</f>
        <v>RFR USD</v>
      </c>
      <c r="D1093" t="str">
        <f t="shared" ca="1" si="81"/>
        <v>RFR USD</v>
      </c>
      <c r="E1093" t="str">
        <f t="shared" ca="1" si="82"/>
        <v>RFR EUR</v>
      </c>
      <c r="F1093" t="str">
        <f t="shared" ca="1" si="83"/>
        <v>RFR GBP</v>
      </c>
      <c r="J1093" s="1"/>
      <c r="N1093" s="1"/>
      <c r="R1093" s="1"/>
      <c r="V1093" s="1"/>
      <c r="AB1093" s="1"/>
      <c r="AF1093" s="1"/>
      <c r="AJ1093" s="1"/>
      <c r="AN1093" s="1"/>
      <c r="AS1093" s="1"/>
      <c r="AX1093" s="1"/>
      <c r="BA1093" s="1"/>
      <c r="BC1093" s="1"/>
      <c r="BM1093" s="1"/>
    </row>
    <row r="1094" spans="1:65" x14ac:dyDescent="0.3">
      <c r="A1094" s="19">
        <f t="shared" si="84"/>
        <v>47445</v>
      </c>
      <c r="B1094">
        <f t="shared" ca="1" si="80"/>
        <v>-3.5916666666666668</v>
      </c>
      <c r="C1094" t="str">
        <f ca="1">IF(currency="USD",'Future et co'!D1094,IF(currency="EUR",'Future et co'!E1094,IF(currency="GBP",'Future et co'!F1094,FALSE)))</f>
        <v>RFR USD</v>
      </c>
      <c r="D1094" t="str">
        <f t="shared" ca="1" si="81"/>
        <v>RFR USD</v>
      </c>
      <c r="E1094" t="str">
        <f t="shared" ca="1" si="82"/>
        <v>RFR EUR</v>
      </c>
      <c r="F1094" t="str">
        <f t="shared" ca="1" si="83"/>
        <v>RFR GBP</v>
      </c>
      <c r="J1094" s="1"/>
      <c r="N1094" s="1"/>
      <c r="R1094" s="1"/>
      <c r="V1094" s="1"/>
      <c r="AB1094" s="1"/>
      <c r="AF1094" s="1"/>
      <c r="AJ1094" s="1"/>
      <c r="AN1094" s="1"/>
      <c r="AS1094" s="1"/>
      <c r="AX1094" s="1"/>
      <c r="BA1094" s="1"/>
      <c r="BC1094" s="1"/>
      <c r="BM1094" s="1"/>
    </row>
    <row r="1095" spans="1:65" x14ac:dyDescent="0.3">
      <c r="A1095" s="19">
        <f t="shared" si="84"/>
        <v>47448</v>
      </c>
      <c r="B1095">
        <f t="shared" ca="1" si="80"/>
        <v>-3.6</v>
      </c>
      <c r="C1095" t="str">
        <f ca="1">IF(currency="USD",'Future et co'!D1095,IF(currency="EUR",'Future et co'!E1095,IF(currency="GBP",'Future et co'!F1095,FALSE)))</f>
        <v>RFR USD</v>
      </c>
      <c r="D1095" t="str">
        <f t="shared" ca="1" si="81"/>
        <v>RFR USD</v>
      </c>
      <c r="E1095" t="str">
        <f t="shared" ca="1" si="82"/>
        <v>RFR EUR</v>
      </c>
      <c r="F1095" t="str">
        <f t="shared" ca="1" si="83"/>
        <v>RFR GBP</v>
      </c>
      <c r="J1095" s="1"/>
      <c r="N1095" s="1"/>
      <c r="R1095" s="1"/>
      <c r="V1095" s="1"/>
      <c r="AB1095" s="1"/>
      <c r="AF1095" s="1"/>
      <c r="AJ1095" s="1"/>
      <c r="AN1095" s="1"/>
      <c r="AS1095" s="1"/>
      <c r="AX1095" s="1"/>
      <c r="BA1095" s="1"/>
      <c r="BC1095" s="1"/>
      <c r="BM1095" s="1"/>
    </row>
    <row r="1096" spans="1:65" x14ac:dyDescent="0.3">
      <c r="A1096" s="19">
        <f t="shared" si="84"/>
        <v>47449</v>
      </c>
      <c r="B1096">
        <f t="shared" ca="1" si="80"/>
        <v>-3.6027777777777779</v>
      </c>
      <c r="C1096" t="str">
        <f ca="1">IF(currency="USD",'Future et co'!D1096,IF(currency="EUR",'Future et co'!E1096,IF(currency="GBP",'Future et co'!F1096,FALSE)))</f>
        <v>RFR USD</v>
      </c>
      <c r="D1096" t="str">
        <f t="shared" ca="1" si="81"/>
        <v>RFR USD</v>
      </c>
      <c r="E1096" t="str">
        <f t="shared" ca="1" si="82"/>
        <v>RFR EUR</v>
      </c>
      <c r="F1096" t="str">
        <f t="shared" ca="1" si="83"/>
        <v>RFR GBP</v>
      </c>
      <c r="J1096" s="1"/>
      <c r="N1096" s="1"/>
      <c r="R1096" s="1"/>
      <c r="V1096" s="1"/>
      <c r="AB1096" s="1"/>
      <c r="AF1096" s="1"/>
      <c r="AJ1096" s="1"/>
      <c r="AN1096" s="1"/>
      <c r="AS1096" s="1"/>
      <c r="AX1096" s="1"/>
      <c r="BA1096" s="1"/>
      <c r="BM1096" s="1"/>
    </row>
    <row r="1097" spans="1:65" x14ac:dyDescent="0.3">
      <c r="A1097" s="19">
        <f t="shared" si="84"/>
        <v>47450</v>
      </c>
      <c r="B1097">
        <f t="shared" ca="1" si="80"/>
        <v>-3.6055555555555556</v>
      </c>
      <c r="C1097" t="str">
        <f ca="1">IF(currency="USD",'Future et co'!D1097,IF(currency="EUR",'Future et co'!E1097,IF(currency="GBP",'Future et co'!F1097,FALSE)))</f>
        <v>RFR USD</v>
      </c>
      <c r="D1097" t="str">
        <f t="shared" ca="1" si="81"/>
        <v>RFR USD</v>
      </c>
      <c r="E1097" t="str">
        <f t="shared" ca="1" si="82"/>
        <v>RFR EUR</v>
      </c>
      <c r="F1097" t="str">
        <f t="shared" ca="1" si="83"/>
        <v>RFR GBP</v>
      </c>
      <c r="J1097" s="1"/>
      <c r="N1097" s="1"/>
      <c r="R1097" s="1"/>
      <c r="V1097" s="1"/>
      <c r="AB1097" s="1"/>
      <c r="AF1097" s="1"/>
      <c r="AJ1097" s="1"/>
      <c r="AN1097" s="1"/>
      <c r="AS1097" s="1"/>
      <c r="AX1097" s="1"/>
      <c r="BA1097" s="1"/>
      <c r="BM1097" s="1"/>
    </row>
    <row r="1098" spans="1:65" x14ac:dyDescent="0.3">
      <c r="A1098" s="19">
        <f t="shared" si="84"/>
        <v>47451</v>
      </c>
      <c r="B1098">
        <f t="shared" ca="1" si="80"/>
        <v>-3.6083333333333334</v>
      </c>
      <c r="C1098" t="str">
        <f ca="1">IF(currency="USD",'Future et co'!D1098,IF(currency="EUR",'Future et co'!E1098,IF(currency="GBP",'Future et co'!F1098,FALSE)))</f>
        <v>RFR USD</v>
      </c>
      <c r="D1098" t="str">
        <f t="shared" ca="1" si="81"/>
        <v>RFR USD</v>
      </c>
      <c r="E1098" t="str">
        <f t="shared" ca="1" si="82"/>
        <v>RFR EUR</v>
      </c>
      <c r="F1098" t="str">
        <f t="shared" ca="1" si="83"/>
        <v>RFR GBP</v>
      </c>
      <c r="J1098" s="1"/>
      <c r="N1098" s="1"/>
      <c r="R1098" s="1"/>
      <c r="V1098" s="1"/>
      <c r="AB1098" s="1"/>
      <c r="AF1098" s="1"/>
      <c r="AJ1098" s="1"/>
      <c r="AN1098" s="1"/>
      <c r="AS1098" s="1"/>
      <c r="AX1098" s="1"/>
      <c r="BA1098" s="1"/>
      <c r="BM1098" s="1"/>
    </row>
    <row r="1099" spans="1:65" x14ac:dyDescent="0.3">
      <c r="A1099" s="19">
        <f t="shared" si="84"/>
        <v>47452</v>
      </c>
      <c r="B1099">
        <f t="shared" ref="B1099:B1162" ca="1" si="85">($B$7-A1099)/360</f>
        <v>-3.6111111111111112</v>
      </c>
      <c r="C1099" t="str">
        <f ca="1">IF(currency="USD",'Future et co'!D1099,IF(currency="EUR",'Future et co'!E1099,IF(currency="GBP",'Future et co'!F1099,FALSE)))</f>
        <v>RFR USD</v>
      </c>
      <c r="D1099" t="str">
        <f t="shared" ref="D1099:D1162" ca="1" si="86">IFERROR(IF(B1099&lt;0.25,VLOOKUP(A1099,$J$11:$L$5325,3,FALSE),IF(AND(B1099&gt;=0.25,B1099&lt;0.5),VLOOKUP(A1099,$N$11:$P$5325,3,FALSE),IF(AND(B1099&gt;=0.5,B1099&lt;1),VLOOKUP(A1099,$R$11:$T$5325,3,FALSE),VLOOKUP(A1099,$V$11:$X$5010,3,FALSE)))),D1098)</f>
        <v>RFR USD</v>
      </c>
      <c r="E1099" t="str">
        <f t="shared" ref="E1099:E1162" ca="1" si="87">IFERROR(IF(B1099&lt;0.25,VLOOKUP(A1099,$AF$11:$AH$5325,3,FALSE),IF(AND(B1099&gt;=0.25,B1099&lt;0.5),VLOOKUP(A1099,$AJ$11:$AL$5325,3,FALSE),VLOOKUP(A1099,$AN$11:$AP$5325,3,FALSE))),E1098)</f>
        <v>RFR EUR</v>
      </c>
      <c r="F1099" t="str">
        <f t="shared" ref="F1099:F1162" ca="1" si="88">IFERROR(VLOOKUP(A1099,$AS$11:$AU$9999,3,FALSE),F1098)</f>
        <v>RFR GBP</v>
      </c>
      <c r="J1099" s="1"/>
      <c r="N1099" s="1"/>
      <c r="R1099" s="1"/>
      <c r="V1099" s="1"/>
      <c r="AB1099" s="1"/>
      <c r="AF1099" s="1"/>
      <c r="AJ1099" s="1"/>
      <c r="AN1099" s="1"/>
      <c r="AS1099" s="1"/>
      <c r="AX1099" s="1"/>
      <c r="BA1099" s="1"/>
      <c r="BM1099" s="1"/>
    </row>
    <row r="1100" spans="1:65" x14ac:dyDescent="0.3">
      <c r="A1100" s="19">
        <f t="shared" si="84"/>
        <v>47455</v>
      </c>
      <c r="B1100">
        <f t="shared" ca="1" si="85"/>
        <v>-3.6194444444444445</v>
      </c>
      <c r="C1100" t="str">
        <f ca="1">IF(currency="USD",'Future et co'!D1100,IF(currency="EUR",'Future et co'!E1100,IF(currency="GBP",'Future et co'!F1100,FALSE)))</f>
        <v>RFR USD</v>
      </c>
      <c r="D1100" t="str">
        <f t="shared" ca="1" si="86"/>
        <v>RFR USD</v>
      </c>
      <c r="E1100" t="str">
        <f t="shared" ca="1" si="87"/>
        <v>RFR EUR</v>
      </c>
      <c r="F1100" t="str">
        <f t="shared" ca="1" si="88"/>
        <v>RFR GBP</v>
      </c>
      <c r="J1100" s="1"/>
      <c r="N1100" s="1"/>
      <c r="R1100" s="1"/>
      <c r="V1100" s="1"/>
      <c r="AB1100" s="1"/>
      <c r="AF1100" s="1"/>
      <c r="AJ1100" s="1"/>
      <c r="AN1100" s="1"/>
      <c r="AS1100" s="1"/>
      <c r="AX1100" s="1"/>
      <c r="BA1100" s="1"/>
      <c r="BM1100" s="1"/>
    </row>
    <row r="1101" spans="1:65" x14ac:dyDescent="0.3">
      <c r="A1101" s="19">
        <f t="shared" ref="A1101:A1164" si="89">WORKDAY(A1100,1)</f>
        <v>47456</v>
      </c>
      <c r="B1101">
        <f t="shared" ca="1" si="85"/>
        <v>-3.6222222222222222</v>
      </c>
      <c r="C1101" t="str">
        <f ca="1">IF(currency="USD",'Future et co'!D1101,IF(currency="EUR",'Future et co'!E1101,IF(currency="GBP",'Future et co'!F1101,FALSE)))</f>
        <v>RFR USD</v>
      </c>
      <c r="D1101" t="str">
        <f t="shared" ca="1" si="86"/>
        <v>RFR USD</v>
      </c>
      <c r="E1101" t="str">
        <f t="shared" ca="1" si="87"/>
        <v>RFR EUR</v>
      </c>
      <c r="F1101" t="str">
        <f t="shared" ca="1" si="88"/>
        <v>RFR GBP</v>
      </c>
      <c r="J1101" s="1"/>
      <c r="N1101" s="1"/>
      <c r="R1101" s="1"/>
      <c r="V1101" s="1"/>
      <c r="AB1101" s="1"/>
      <c r="AF1101" s="1"/>
      <c r="AJ1101" s="1"/>
      <c r="AN1101" s="1"/>
      <c r="AS1101" s="1"/>
      <c r="AX1101" s="1"/>
      <c r="BA1101" s="1"/>
      <c r="BM1101" s="1"/>
    </row>
    <row r="1102" spans="1:65" x14ac:dyDescent="0.3">
      <c r="A1102" s="19">
        <f t="shared" si="89"/>
        <v>47457</v>
      </c>
      <c r="B1102">
        <f t="shared" ca="1" si="85"/>
        <v>-3.625</v>
      </c>
      <c r="C1102" t="str">
        <f ca="1">IF(currency="USD",'Future et co'!D1102,IF(currency="EUR",'Future et co'!E1102,IF(currency="GBP",'Future et co'!F1102,FALSE)))</f>
        <v>RFR USD</v>
      </c>
      <c r="D1102" t="str">
        <f t="shared" ca="1" si="86"/>
        <v>RFR USD</v>
      </c>
      <c r="E1102" t="str">
        <f t="shared" ca="1" si="87"/>
        <v>RFR EUR</v>
      </c>
      <c r="F1102" t="str">
        <f t="shared" ca="1" si="88"/>
        <v>RFR GBP</v>
      </c>
      <c r="J1102" s="1"/>
      <c r="N1102" s="1"/>
      <c r="R1102" s="1"/>
      <c r="V1102" s="1"/>
      <c r="AB1102" s="1"/>
      <c r="AF1102" s="1"/>
      <c r="AJ1102" s="1"/>
      <c r="AN1102" s="1"/>
      <c r="AS1102" s="1"/>
      <c r="AX1102" s="1"/>
      <c r="BA1102" s="1"/>
      <c r="BM1102" s="1"/>
    </row>
    <row r="1103" spans="1:65" x14ac:dyDescent="0.3">
      <c r="A1103" s="19">
        <f t="shared" si="89"/>
        <v>47458</v>
      </c>
      <c r="B1103">
        <f t="shared" ca="1" si="85"/>
        <v>-3.6277777777777778</v>
      </c>
      <c r="C1103" t="str">
        <f ca="1">IF(currency="USD",'Future et co'!D1103,IF(currency="EUR",'Future et co'!E1103,IF(currency="GBP",'Future et co'!F1103,FALSE)))</f>
        <v>RFR USD</v>
      </c>
      <c r="D1103" t="str">
        <f t="shared" ca="1" si="86"/>
        <v>RFR USD</v>
      </c>
      <c r="E1103" t="str">
        <f t="shared" ca="1" si="87"/>
        <v>RFR EUR</v>
      </c>
      <c r="F1103" t="str">
        <f t="shared" ca="1" si="88"/>
        <v>RFR GBP</v>
      </c>
      <c r="J1103" s="1"/>
      <c r="N1103" s="1"/>
      <c r="R1103" s="1"/>
      <c r="V1103" s="1"/>
      <c r="AB1103" s="1"/>
      <c r="AF1103" s="1"/>
      <c r="AJ1103" s="1"/>
      <c r="AN1103" s="1"/>
      <c r="AS1103" s="1"/>
      <c r="AX1103" s="1"/>
      <c r="BA1103" s="1"/>
      <c r="BM1103" s="1"/>
    </row>
    <row r="1104" spans="1:65" x14ac:dyDescent="0.3">
      <c r="A1104" s="19">
        <f t="shared" si="89"/>
        <v>47459</v>
      </c>
      <c r="B1104">
        <f t="shared" ca="1" si="85"/>
        <v>-3.6305555555555555</v>
      </c>
      <c r="C1104" t="str">
        <f ca="1">IF(currency="USD",'Future et co'!D1104,IF(currency="EUR",'Future et co'!E1104,IF(currency="GBP",'Future et co'!F1104,FALSE)))</f>
        <v>RFR USD</v>
      </c>
      <c r="D1104" t="str">
        <f t="shared" ca="1" si="86"/>
        <v>RFR USD</v>
      </c>
      <c r="E1104" t="str">
        <f t="shared" ca="1" si="87"/>
        <v>RFR EUR</v>
      </c>
      <c r="F1104" t="str">
        <f t="shared" ca="1" si="88"/>
        <v>RFR GBP</v>
      </c>
      <c r="J1104" s="1"/>
      <c r="N1104" s="1"/>
      <c r="R1104" s="1"/>
      <c r="V1104" s="1"/>
      <c r="AB1104" s="1"/>
      <c r="AF1104" s="1"/>
      <c r="AJ1104" s="1"/>
      <c r="AN1104" s="1"/>
      <c r="AS1104" s="1"/>
      <c r="AX1104" s="1"/>
      <c r="BA1104" s="1"/>
      <c r="BM1104" s="1"/>
    </row>
    <row r="1105" spans="1:65" x14ac:dyDescent="0.3">
      <c r="A1105" s="19">
        <f t="shared" si="89"/>
        <v>47462</v>
      </c>
      <c r="B1105">
        <f t="shared" ca="1" si="85"/>
        <v>-3.6388888888888888</v>
      </c>
      <c r="C1105" t="str">
        <f ca="1">IF(currency="USD",'Future et co'!D1105,IF(currency="EUR",'Future et co'!E1105,IF(currency="GBP",'Future et co'!F1105,FALSE)))</f>
        <v>RFR USD</v>
      </c>
      <c r="D1105" t="str">
        <f t="shared" ca="1" si="86"/>
        <v>RFR USD</v>
      </c>
      <c r="E1105" t="str">
        <f t="shared" ca="1" si="87"/>
        <v>RFR EUR</v>
      </c>
      <c r="F1105" t="str">
        <f t="shared" ca="1" si="88"/>
        <v>RFR GBP</v>
      </c>
      <c r="J1105" s="1"/>
      <c r="N1105" s="1"/>
      <c r="R1105" s="1"/>
      <c r="V1105" s="1"/>
      <c r="AB1105" s="1"/>
      <c r="AF1105" s="1"/>
      <c r="AJ1105" s="1"/>
      <c r="AN1105" s="1"/>
      <c r="AS1105" s="1"/>
      <c r="AX1105" s="1"/>
      <c r="BA1105" s="1"/>
      <c r="BM1105" s="1"/>
    </row>
    <row r="1106" spans="1:65" x14ac:dyDescent="0.3">
      <c r="A1106" s="19">
        <f t="shared" si="89"/>
        <v>47463</v>
      </c>
      <c r="B1106">
        <f t="shared" ca="1" si="85"/>
        <v>-3.6416666666666666</v>
      </c>
      <c r="C1106" t="str">
        <f ca="1">IF(currency="USD",'Future et co'!D1106,IF(currency="EUR",'Future et co'!E1106,IF(currency="GBP",'Future et co'!F1106,FALSE)))</f>
        <v>RFR USD</v>
      </c>
      <c r="D1106" t="str">
        <f t="shared" ca="1" si="86"/>
        <v>RFR USD</v>
      </c>
      <c r="E1106" t="str">
        <f t="shared" ca="1" si="87"/>
        <v>RFR EUR</v>
      </c>
      <c r="F1106" t="str">
        <f t="shared" ca="1" si="88"/>
        <v>RFR GBP</v>
      </c>
      <c r="J1106" s="1"/>
      <c r="N1106" s="1"/>
      <c r="R1106" s="1"/>
      <c r="V1106" s="1"/>
      <c r="AB1106" s="1"/>
      <c r="AF1106" s="1"/>
      <c r="AJ1106" s="1"/>
      <c r="AN1106" s="1"/>
      <c r="AS1106" s="1"/>
      <c r="AX1106" s="1"/>
      <c r="BA1106" s="1"/>
      <c r="BM1106" s="1"/>
    </row>
    <row r="1107" spans="1:65" x14ac:dyDescent="0.3">
      <c r="A1107" s="19">
        <f t="shared" si="89"/>
        <v>47464</v>
      </c>
      <c r="B1107">
        <f t="shared" ca="1" si="85"/>
        <v>-3.6444444444444444</v>
      </c>
      <c r="C1107" t="str">
        <f ca="1">IF(currency="USD",'Future et co'!D1107,IF(currency="EUR",'Future et co'!E1107,IF(currency="GBP",'Future et co'!F1107,FALSE)))</f>
        <v>RFR USD</v>
      </c>
      <c r="D1107" t="str">
        <f t="shared" ca="1" si="86"/>
        <v>RFR USD</v>
      </c>
      <c r="E1107" t="str">
        <f t="shared" ca="1" si="87"/>
        <v>RFR EUR</v>
      </c>
      <c r="F1107" t="str">
        <f t="shared" ca="1" si="88"/>
        <v>RFR GBP</v>
      </c>
      <c r="J1107" s="1"/>
      <c r="N1107" s="1"/>
      <c r="R1107" s="1"/>
      <c r="V1107" s="1"/>
      <c r="AB1107" s="1"/>
      <c r="AF1107" s="1"/>
      <c r="AJ1107" s="1"/>
      <c r="AN1107" s="1"/>
      <c r="AS1107" s="1"/>
      <c r="AX1107" s="1"/>
      <c r="BA1107" s="1"/>
      <c r="BM1107" s="1"/>
    </row>
    <row r="1108" spans="1:65" x14ac:dyDescent="0.3">
      <c r="A1108" s="19">
        <f t="shared" si="89"/>
        <v>47465</v>
      </c>
      <c r="B1108">
        <f t="shared" ca="1" si="85"/>
        <v>-3.6472222222222221</v>
      </c>
      <c r="C1108" t="str">
        <f ca="1">IF(currency="USD",'Future et co'!D1108,IF(currency="EUR",'Future et co'!E1108,IF(currency="GBP",'Future et co'!F1108,FALSE)))</f>
        <v>RFR USD</v>
      </c>
      <c r="D1108" t="str">
        <f t="shared" ca="1" si="86"/>
        <v>RFR USD</v>
      </c>
      <c r="E1108" t="str">
        <f t="shared" ca="1" si="87"/>
        <v>RFR EUR</v>
      </c>
      <c r="F1108" t="str">
        <f t="shared" ca="1" si="88"/>
        <v>RFR GBP</v>
      </c>
      <c r="J1108" s="1"/>
      <c r="N1108" s="1"/>
      <c r="R1108" s="1"/>
      <c r="V1108" s="1"/>
      <c r="AB1108" s="1"/>
      <c r="AF1108" s="1"/>
      <c r="AJ1108" s="1"/>
      <c r="AN1108" s="1"/>
      <c r="AS1108" s="1"/>
      <c r="AX1108" s="1"/>
      <c r="BA1108" s="1"/>
      <c r="BM1108" s="1"/>
    </row>
    <row r="1109" spans="1:65" x14ac:dyDescent="0.3">
      <c r="A1109" s="19">
        <f t="shared" si="89"/>
        <v>47466</v>
      </c>
      <c r="B1109">
        <f t="shared" ca="1" si="85"/>
        <v>-3.65</v>
      </c>
      <c r="C1109" t="str">
        <f ca="1">IF(currency="USD",'Future et co'!D1109,IF(currency="EUR",'Future et co'!E1109,IF(currency="GBP",'Future et co'!F1109,FALSE)))</f>
        <v>RFR USD</v>
      </c>
      <c r="D1109" t="str">
        <f t="shared" ca="1" si="86"/>
        <v>RFR USD</v>
      </c>
      <c r="E1109" t="str">
        <f t="shared" ca="1" si="87"/>
        <v>RFR EUR</v>
      </c>
      <c r="F1109" t="str">
        <f t="shared" ca="1" si="88"/>
        <v>RFR GBP</v>
      </c>
      <c r="J1109" s="1"/>
      <c r="N1109" s="1"/>
      <c r="R1109" s="1"/>
      <c r="V1109" s="1"/>
      <c r="AB1109" s="1"/>
      <c r="AF1109" s="1"/>
      <c r="AJ1109" s="1"/>
      <c r="AN1109" s="1"/>
      <c r="AS1109" s="1"/>
      <c r="AX1109" s="1"/>
      <c r="BA1109" s="1"/>
      <c r="BM1109" s="1"/>
    </row>
    <row r="1110" spans="1:65" x14ac:dyDescent="0.3">
      <c r="A1110" s="19">
        <f t="shared" si="89"/>
        <v>47469</v>
      </c>
      <c r="B1110">
        <f t="shared" ca="1" si="85"/>
        <v>-3.6583333333333332</v>
      </c>
      <c r="C1110" t="str">
        <f ca="1">IF(currency="USD",'Future et co'!D1110,IF(currency="EUR",'Future et co'!E1110,IF(currency="GBP",'Future et co'!F1110,FALSE)))</f>
        <v>RFR USD</v>
      </c>
      <c r="D1110" t="str">
        <f t="shared" ca="1" si="86"/>
        <v>RFR USD</v>
      </c>
      <c r="E1110" t="str">
        <f t="shared" ca="1" si="87"/>
        <v>RFR EUR</v>
      </c>
      <c r="F1110" t="str">
        <f t="shared" ca="1" si="88"/>
        <v>RFR GBP</v>
      </c>
      <c r="J1110" s="1"/>
      <c r="N1110" s="1"/>
      <c r="R1110" s="1"/>
      <c r="V1110" s="1"/>
      <c r="AB1110" s="1"/>
      <c r="AF1110" s="1"/>
      <c r="AJ1110" s="1"/>
      <c r="AN1110" s="1"/>
      <c r="AS1110" s="1"/>
      <c r="AX1110" s="1"/>
      <c r="BA1110" s="1"/>
      <c r="BM1110" s="1"/>
    </row>
    <row r="1111" spans="1:65" x14ac:dyDescent="0.3">
      <c r="A1111" s="19">
        <f t="shared" si="89"/>
        <v>47470</v>
      </c>
      <c r="B1111">
        <f t="shared" ca="1" si="85"/>
        <v>-3.661111111111111</v>
      </c>
      <c r="C1111" t="str">
        <f ca="1">IF(currency="USD",'Future et co'!D1111,IF(currency="EUR",'Future et co'!E1111,IF(currency="GBP",'Future et co'!F1111,FALSE)))</f>
        <v>RFR USD</v>
      </c>
      <c r="D1111" t="str">
        <f t="shared" ca="1" si="86"/>
        <v>RFR USD</v>
      </c>
      <c r="E1111" t="str">
        <f t="shared" ca="1" si="87"/>
        <v>RFR EUR</v>
      </c>
      <c r="F1111" t="str">
        <f t="shared" ca="1" si="88"/>
        <v>RFR GBP</v>
      </c>
      <c r="J1111" s="1"/>
      <c r="N1111" s="1"/>
      <c r="R1111" s="1"/>
      <c r="V1111" s="1"/>
      <c r="AB1111" s="1"/>
      <c r="AF1111" s="1"/>
      <c r="AJ1111" s="1"/>
      <c r="AN1111" s="1"/>
      <c r="AS1111" s="1"/>
      <c r="AX1111" s="1"/>
      <c r="BM1111" s="1"/>
    </row>
    <row r="1112" spans="1:65" x14ac:dyDescent="0.3">
      <c r="A1112" s="19">
        <f t="shared" si="89"/>
        <v>47471</v>
      </c>
      <c r="B1112">
        <f t="shared" ca="1" si="85"/>
        <v>-3.6638888888888888</v>
      </c>
      <c r="C1112" t="str">
        <f ca="1">IF(currency="USD",'Future et co'!D1112,IF(currency="EUR",'Future et co'!E1112,IF(currency="GBP",'Future et co'!F1112,FALSE)))</f>
        <v>RFR USD</v>
      </c>
      <c r="D1112" t="str">
        <f t="shared" ca="1" si="86"/>
        <v>RFR USD</v>
      </c>
      <c r="E1112" t="str">
        <f t="shared" ca="1" si="87"/>
        <v>RFR EUR</v>
      </c>
      <c r="F1112" t="str">
        <f t="shared" ca="1" si="88"/>
        <v>RFR GBP</v>
      </c>
      <c r="J1112" s="1"/>
      <c r="N1112" s="1"/>
      <c r="R1112" s="1"/>
      <c r="V1112" s="1"/>
      <c r="AB1112" s="1"/>
      <c r="AF1112" s="1"/>
      <c r="AJ1112" s="1"/>
      <c r="AN1112" s="1"/>
      <c r="AS1112" s="1"/>
      <c r="AX1112" s="1"/>
      <c r="BM1112" s="1"/>
    </row>
    <row r="1113" spans="1:65" x14ac:dyDescent="0.3">
      <c r="A1113" s="19">
        <f t="shared" si="89"/>
        <v>47472</v>
      </c>
      <c r="B1113">
        <f t="shared" ca="1" si="85"/>
        <v>-3.6666666666666665</v>
      </c>
      <c r="C1113" t="str">
        <f ca="1">IF(currency="USD",'Future et co'!D1113,IF(currency="EUR",'Future et co'!E1113,IF(currency="GBP",'Future et co'!F1113,FALSE)))</f>
        <v>RFR USD</v>
      </c>
      <c r="D1113" t="str">
        <f t="shared" ca="1" si="86"/>
        <v>RFR USD</v>
      </c>
      <c r="E1113" t="str">
        <f t="shared" ca="1" si="87"/>
        <v>RFR EUR</v>
      </c>
      <c r="F1113" t="str">
        <f t="shared" ca="1" si="88"/>
        <v>RFR GBP</v>
      </c>
      <c r="J1113" s="1"/>
      <c r="N1113" s="1"/>
      <c r="R1113" s="1"/>
      <c r="V1113" s="1"/>
      <c r="AB1113" s="1"/>
      <c r="AF1113" s="1"/>
      <c r="AJ1113" s="1"/>
      <c r="AN1113" s="1"/>
      <c r="AS1113" s="1"/>
      <c r="AX1113" s="1"/>
      <c r="BM1113" s="1"/>
    </row>
    <row r="1114" spans="1:65" x14ac:dyDescent="0.3">
      <c r="A1114" s="19">
        <f t="shared" si="89"/>
        <v>47473</v>
      </c>
      <c r="B1114">
        <f t="shared" ca="1" si="85"/>
        <v>-3.6694444444444443</v>
      </c>
      <c r="C1114" t="str">
        <f ca="1">IF(currency="USD",'Future et co'!D1114,IF(currency="EUR",'Future et co'!E1114,IF(currency="GBP",'Future et co'!F1114,FALSE)))</f>
        <v>RFR USD</v>
      </c>
      <c r="D1114" t="str">
        <f t="shared" ca="1" si="86"/>
        <v>RFR USD</v>
      </c>
      <c r="E1114" t="str">
        <f t="shared" ca="1" si="87"/>
        <v>RFR EUR</v>
      </c>
      <c r="F1114" t="str">
        <f t="shared" ca="1" si="88"/>
        <v>RFR GBP</v>
      </c>
      <c r="J1114" s="1"/>
      <c r="N1114" s="1"/>
      <c r="R1114" s="1"/>
      <c r="V1114" s="1"/>
      <c r="AB1114" s="1"/>
      <c r="AF1114" s="1"/>
      <c r="AJ1114" s="1"/>
      <c r="AN1114" s="1"/>
      <c r="AS1114" s="1"/>
      <c r="AX1114" s="1"/>
      <c r="BM1114" s="1"/>
    </row>
    <row r="1115" spans="1:65" x14ac:dyDescent="0.3">
      <c r="A1115" s="19">
        <f t="shared" si="89"/>
        <v>47476</v>
      </c>
      <c r="B1115">
        <f t="shared" ca="1" si="85"/>
        <v>-3.6777777777777776</v>
      </c>
      <c r="C1115" t="str">
        <f ca="1">IF(currency="USD",'Future et co'!D1115,IF(currency="EUR",'Future et co'!E1115,IF(currency="GBP",'Future et co'!F1115,FALSE)))</f>
        <v>RFR USD</v>
      </c>
      <c r="D1115" t="str">
        <f t="shared" ca="1" si="86"/>
        <v>RFR USD</v>
      </c>
      <c r="E1115" t="str">
        <f t="shared" ca="1" si="87"/>
        <v>RFR EUR</v>
      </c>
      <c r="F1115" t="str">
        <f t="shared" ca="1" si="88"/>
        <v>RFR GBP</v>
      </c>
      <c r="J1115" s="1"/>
      <c r="N1115" s="1"/>
      <c r="R1115" s="1"/>
      <c r="V1115" s="1"/>
      <c r="AB1115" s="1"/>
      <c r="AF1115" s="1"/>
      <c r="AJ1115" s="1"/>
      <c r="AN1115" s="1"/>
      <c r="AS1115" s="1"/>
      <c r="AX1115" s="1"/>
      <c r="BM1115" s="1"/>
    </row>
    <row r="1116" spans="1:65" x14ac:dyDescent="0.3">
      <c r="A1116" s="19">
        <f t="shared" si="89"/>
        <v>47477</v>
      </c>
      <c r="B1116">
        <f t="shared" ca="1" si="85"/>
        <v>-3.6805555555555554</v>
      </c>
      <c r="C1116" t="str">
        <f ca="1">IF(currency="USD",'Future et co'!D1116,IF(currency="EUR",'Future et co'!E1116,IF(currency="GBP",'Future et co'!F1116,FALSE)))</f>
        <v>RFR USD</v>
      </c>
      <c r="D1116" t="str">
        <f t="shared" ca="1" si="86"/>
        <v>RFR USD</v>
      </c>
      <c r="E1116" t="str">
        <f t="shared" ca="1" si="87"/>
        <v>RFR EUR</v>
      </c>
      <c r="F1116" t="str">
        <f t="shared" ca="1" si="88"/>
        <v>RFR GBP</v>
      </c>
      <c r="J1116" s="1"/>
      <c r="N1116" s="1"/>
      <c r="R1116" s="1"/>
      <c r="V1116" s="1"/>
      <c r="AB1116" s="1"/>
      <c r="AF1116" s="1"/>
      <c r="AJ1116" s="1"/>
      <c r="AN1116" s="1"/>
      <c r="AS1116" s="1"/>
      <c r="AX1116" s="1"/>
      <c r="BM1116" s="1"/>
    </row>
    <row r="1117" spans="1:65" x14ac:dyDescent="0.3">
      <c r="A1117" s="19">
        <f t="shared" si="89"/>
        <v>47478</v>
      </c>
      <c r="B1117">
        <f t="shared" ca="1" si="85"/>
        <v>-3.6833333333333331</v>
      </c>
      <c r="C1117" t="str">
        <f ca="1">IF(currency="USD",'Future et co'!D1117,IF(currency="EUR",'Future et co'!E1117,IF(currency="GBP",'Future et co'!F1117,FALSE)))</f>
        <v>RFR USD</v>
      </c>
      <c r="D1117" t="str">
        <f t="shared" ca="1" si="86"/>
        <v>RFR USD</v>
      </c>
      <c r="E1117" t="str">
        <f t="shared" ca="1" si="87"/>
        <v>RFR EUR</v>
      </c>
      <c r="F1117" t="str">
        <f t="shared" ca="1" si="88"/>
        <v>RFR GBP</v>
      </c>
      <c r="J1117" s="1"/>
      <c r="N1117" s="1"/>
      <c r="R1117" s="1"/>
      <c r="V1117" s="1"/>
      <c r="AB1117" s="1"/>
      <c r="AF1117" s="1"/>
      <c r="AJ1117" s="1"/>
      <c r="AN1117" s="1"/>
      <c r="AS1117" s="1"/>
      <c r="AX1117" s="1"/>
      <c r="BM1117" s="1"/>
    </row>
    <row r="1118" spans="1:65" x14ac:dyDescent="0.3">
      <c r="A1118" s="19">
        <f t="shared" si="89"/>
        <v>47479</v>
      </c>
      <c r="B1118">
        <f t="shared" ca="1" si="85"/>
        <v>-3.6861111111111109</v>
      </c>
      <c r="C1118" t="str">
        <f ca="1">IF(currency="USD",'Future et co'!D1118,IF(currency="EUR",'Future et co'!E1118,IF(currency="GBP",'Future et co'!F1118,FALSE)))</f>
        <v>RFR USD</v>
      </c>
      <c r="D1118" t="str">
        <f t="shared" ca="1" si="86"/>
        <v>RFR USD</v>
      </c>
      <c r="E1118" t="str">
        <f t="shared" ca="1" si="87"/>
        <v>RFR EUR</v>
      </c>
      <c r="F1118" t="str">
        <f t="shared" ca="1" si="88"/>
        <v>RFR GBP</v>
      </c>
      <c r="J1118" s="1"/>
      <c r="N1118" s="1"/>
      <c r="R1118" s="1"/>
      <c r="V1118" s="1"/>
      <c r="AB1118" s="1"/>
      <c r="AF1118" s="1"/>
      <c r="AJ1118" s="1"/>
      <c r="AN1118" s="1"/>
      <c r="AS1118" s="1"/>
      <c r="AX1118" s="1"/>
      <c r="BM1118" s="1"/>
    </row>
    <row r="1119" spans="1:65" x14ac:dyDescent="0.3">
      <c r="A1119" s="19">
        <f t="shared" si="89"/>
        <v>47480</v>
      </c>
      <c r="B1119">
        <f t="shared" ca="1" si="85"/>
        <v>-3.6888888888888891</v>
      </c>
      <c r="C1119" t="str">
        <f ca="1">IF(currency="USD",'Future et co'!D1119,IF(currency="EUR",'Future et co'!E1119,IF(currency="GBP",'Future et co'!F1119,FALSE)))</f>
        <v>RFR USD</v>
      </c>
      <c r="D1119" t="str">
        <f t="shared" ca="1" si="86"/>
        <v>RFR USD</v>
      </c>
      <c r="E1119" t="str">
        <f t="shared" ca="1" si="87"/>
        <v>RFR EUR</v>
      </c>
      <c r="F1119" t="str">
        <f t="shared" ca="1" si="88"/>
        <v>RFR GBP</v>
      </c>
      <c r="J1119" s="1"/>
      <c r="N1119" s="1"/>
      <c r="R1119" s="1"/>
      <c r="V1119" s="1"/>
      <c r="AB1119" s="1"/>
      <c r="AF1119" s="1"/>
      <c r="AJ1119" s="1"/>
      <c r="AN1119" s="1"/>
      <c r="AS1119" s="1"/>
      <c r="AX1119" s="1"/>
      <c r="BM1119" s="1"/>
    </row>
    <row r="1120" spans="1:65" x14ac:dyDescent="0.3">
      <c r="A1120" s="19">
        <f t="shared" si="89"/>
        <v>47483</v>
      </c>
      <c r="B1120">
        <f t="shared" ca="1" si="85"/>
        <v>-3.6972222222222224</v>
      </c>
      <c r="C1120" t="str">
        <f ca="1">IF(currency="USD",'Future et co'!D1120,IF(currency="EUR",'Future et co'!E1120,IF(currency="GBP",'Future et co'!F1120,FALSE)))</f>
        <v>RFR USD</v>
      </c>
      <c r="D1120" t="str">
        <f t="shared" ca="1" si="86"/>
        <v>RFR USD</v>
      </c>
      <c r="E1120" t="str">
        <f t="shared" ca="1" si="87"/>
        <v>RFR EUR</v>
      </c>
      <c r="F1120" t="str">
        <f t="shared" ca="1" si="88"/>
        <v>RFR GBP</v>
      </c>
      <c r="J1120" s="1"/>
      <c r="N1120" s="1"/>
      <c r="R1120" s="1"/>
      <c r="V1120" s="1"/>
      <c r="AB1120" s="1"/>
      <c r="AF1120" s="1"/>
      <c r="AJ1120" s="1"/>
      <c r="AN1120" s="1"/>
      <c r="AS1120" s="1"/>
      <c r="AX1120" s="1"/>
      <c r="BM1120" s="1"/>
    </row>
    <row r="1121" spans="1:65" x14ac:dyDescent="0.3">
      <c r="A1121" s="19">
        <f t="shared" si="89"/>
        <v>47484</v>
      </c>
      <c r="B1121">
        <f t="shared" ca="1" si="85"/>
        <v>-3.7</v>
      </c>
      <c r="C1121" t="str">
        <f ca="1">IF(currency="USD",'Future et co'!D1121,IF(currency="EUR",'Future et co'!E1121,IF(currency="GBP",'Future et co'!F1121,FALSE)))</f>
        <v>RFR USD</v>
      </c>
      <c r="D1121" t="str">
        <f t="shared" ca="1" si="86"/>
        <v>RFR USD</v>
      </c>
      <c r="E1121" t="str">
        <f t="shared" ca="1" si="87"/>
        <v>RFR EUR</v>
      </c>
      <c r="F1121" t="str">
        <f t="shared" ca="1" si="88"/>
        <v>RFR GBP</v>
      </c>
      <c r="J1121" s="1"/>
      <c r="N1121" s="1"/>
      <c r="R1121" s="1"/>
      <c r="V1121" s="1"/>
      <c r="AB1121" s="1"/>
      <c r="AF1121" s="1"/>
      <c r="AJ1121" s="1"/>
      <c r="AN1121" s="1"/>
      <c r="AS1121" s="1"/>
      <c r="AX1121" s="1"/>
      <c r="BM1121" s="1"/>
    </row>
    <row r="1122" spans="1:65" x14ac:dyDescent="0.3">
      <c r="A1122" s="19">
        <f t="shared" si="89"/>
        <v>47485</v>
      </c>
      <c r="B1122">
        <f t="shared" ca="1" si="85"/>
        <v>-3.7027777777777779</v>
      </c>
      <c r="C1122" t="str">
        <f ca="1">IF(currency="USD",'Future et co'!D1122,IF(currency="EUR",'Future et co'!E1122,IF(currency="GBP",'Future et co'!F1122,FALSE)))</f>
        <v>RFR USD</v>
      </c>
      <c r="D1122" t="str">
        <f t="shared" ca="1" si="86"/>
        <v>RFR USD</v>
      </c>
      <c r="E1122" t="str">
        <f t="shared" ca="1" si="87"/>
        <v>RFR EUR</v>
      </c>
      <c r="F1122" t="str">
        <f t="shared" ca="1" si="88"/>
        <v>RFR GBP</v>
      </c>
      <c r="J1122" s="1"/>
      <c r="N1122" s="1"/>
      <c r="R1122" s="1"/>
      <c r="V1122" s="1"/>
      <c r="AB1122" s="1"/>
      <c r="AF1122" s="1"/>
      <c r="AJ1122" s="1"/>
      <c r="AN1122" s="1"/>
      <c r="AS1122" s="1"/>
      <c r="AX1122" s="1"/>
      <c r="BM1122" s="1"/>
    </row>
    <row r="1123" spans="1:65" x14ac:dyDescent="0.3">
      <c r="A1123" s="19">
        <f t="shared" si="89"/>
        <v>47486</v>
      </c>
      <c r="B1123">
        <f t="shared" ca="1" si="85"/>
        <v>-3.7055555555555557</v>
      </c>
      <c r="C1123" t="str">
        <f ca="1">IF(currency="USD",'Future et co'!D1123,IF(currency="EUR",'Future et co'!E1123,IF(currency="GBP",'Future et co'!F1123,FALSE)))</f>
        <v>RFR USD</v>
      </c>
      <c r="D1123" t="str">
        <f t="shared" ca="1" si="86"/>
        <v>RFR USD</v>
      </c>
      <c r="E1123" t="str">
        <f t="shared" ca="1" si="87"/>
        <v>RFR EUR</v>
      </c>
      <c r="F1123" t="str">
        <f t="shared" ca="1" si="88"/>
        <v>RFR GBP</v>
      </c>
      <c r="J1123" s="1"/>
      <c r="N1123" s="1"/>
      <c r="R1123" s="1"/>
      <c r="V1123" s="1"/>
      <c r="AB1123" s="1"/>
      <c r="AF1123" s="1"/>
      <c r="AJ1123" s="1"/>
      <c r="AN1123" s="1"/>
      <c r="AS1123" s="1"/>
      <c r="AX1123" s="1"/>
      <c r="BM1123" s="1"/>
    </row>
    <row r="1124" spans="1:65" x14ac:dyDescent="0.3">
      <c r="A1124" s="19">
        <f t="shared" si="89"/>
        <v>47487</v>
      </c>
      <c r="B1124">
        <f t="shared" ca="1" si="85"/>
        <v>-3.7083333333333335</v>
      </c>
      <c r="C1124" t="str">
        <f ca="1">IF(currency="USD",'Future et co'!D1124,IF(currency="EUR",'Future et co'!E1124,IF(currency="GBP",'Future et co'!F1124,FALSE)))</f>
        <v>RFR USD</v>
      </c>
      <c r="D1124" t="str">
        <f t="shared" ca="1" si="86"/>
        <v>RFR USD</v>
      </c>
      <c r="E1124" t="str">
        <f t="shared" ca="1" si="87"/>
        <v>RFR EUR</v>
      </c>
      <c r="F1124" t="str">
        <f t="shared" ca="1" si="88"/>
        <v>RFR GBP</v>
      </c>
      <c r="J1124" s="1"/>
      <c r="N1124" s="1"/>
      <c r="R1124" s="1"/>
      <c r="V1124" s="1"/>
      <c r="AB1124" s="1"/>
      <c r="AF1124" s="1"/>
      <c r="AJ1124" s="1"/>
      <c r="AN1124" s="1"/>
      <c r="AS1124" s="1"/>
      <c r="AX1124" s="1"/>
      <c r="BM1124" s="1"/>
    </row>
    <row r="1125" spans="1:65" x14ac:dyDescent="0.3">
      <c r="A1125" s="19">
        <f t="shared" si="89"/>
        <v>47490</v>
      </c>
      <c r="B1125">
        <f t="shared" ca="1" si="85"/>
        <v>-3.7166666666666668</v>
      </c>
      <c r="C1125" t="str">
        <f ca="1">IF(currency="USD",'Future et co'!D1125,IF(currency="EUR",'Future et co'!E1125,IF(currency="GBP",'Future et co'!F1125,FALSE)))</f>
        <v>RFR USD</v>
      </c>
      <c r="D1125" t="str">
        <f t="shared" ca="1" si="86"/>
        <v>RFR USD</v>
      </c>
      <c r="E1125" t="str">
        <f t="shared" ca="1" si="87"/>
        <v>RFR EUR</v>
      </c>
      <c r="F1125" t="str">
        <f t="shared" ca="1" si="88"/>
        <v>RFR GBP</v>
      </c>
      <c r="J1125" s="1"/>
      <c r="N1125" s="1"/>
      <c r="R1125" s="1"/>
      <c r="V1125" s="1"/>
      <c r="AB1125" s="1"/>
      <c r="AF1125" s="1"/>
      <c r="AJ1125" s="1"/>
      <c r="AN1125" s="1"/>
      <c r="AS1125" s="1"/>
      <c r="AX1125" s="1"/>
      <c r="BM1125" s="1"/>
    </row>
    <row r="1126" spans="1:65" x14ac:dyDescent="0.3">
      <c r="A1126" s="19">
        <f t="shared" si="89"/>
        <v>47491</v>
      </c>
      <c r="B1126">
        <f t="shared" ca="1" si="85"/>
        <v>-3.7194444444444446</v>
      </c>
      <c r="C1126" t="str">
        <f ca="1">IF(currency="USD",'Future et co'!D1126,IF(currency="EUR",'Future et co'!E1126,IF(currency="GBP",'Future et co'!F1126,FALSE)))</f>
        <v>RFR USD</v>
      </c>
      <c r="D1126" t="str">
        <f t="shared" ca="1" si="86"/>
        <v>RFR USD</v>
      </c>
      <c r="E1126" t="str">
        <f t="shared" ca="1" si="87"/>
        <v>RFR EUR</v>
      </c>
      <c r="F1126" t="str">
        <f t="shared" ca="1" si="88"/>
        <v>RFR GBP</v>
      </c>
      <c r="J1126" s="1"/>
      <c r="N1126" s="1"/>
      <c r="R1126" s="1"/>
      <c r="V1126" s="1"/>
      <c r="AB1126" s="1"/>
      <c r="AF1126" s="1"/>
      <c r="AJ1126" s="1"/>
      <c r="AN1126" s="1"/>
      <c r="AS1126" s="1"/>
      <c r="AX1126" s="1"/>
      <c r="BM1126" s="1"/>
    </row>
    <row r="1127" spans="1:65" x14ac:dyDescent="0.3">
      <c r="A1127" s="19">
        <f t="shared" si="89"/>
        <v>47492</v>
      </c>
      <c r="B1127">
        <f t="shared" ca="1" si="85"/>
        <v>-3.7222222222222223</v>
      </c>
      <c r="C1127" t="str">
        <f ca="1">IF(currency="USD",'Future et co'!D1127,IF(currency="EUR",'Future et co'!E1127,IF(currency="GBP",'Future et co'!F1127,FALSE)))</f>
        <v>RFR USD</v>
      </c>
      <c r="D1127" t="str">
        <f t="shared" ca="1" si="86"/>
        <v>RFR USD</v>
      </c>
      <c r="E1127" t="str">
        <f t="shared" ca="1" si="87"/>
        <v>RFR EUR</v>
      </c>
      <c r="F1127" t="str">
        <f t="shared" ca="1" si="88"/>
        <v>RFR GBP</v>
      </c>
      <c r="J1127" s="1"/>
      <c r="N1127" s="1"/>
      <c r="R1127" s="1"/>
      <c r="V1127" s="1"/>
      <c r="AB1127" s="1"/>
      <c r="AF1127" s="1"/>
      <c r="AJ1127" s="1"/>
      <c r="AN1127" s="1"/>
      <c r="AS1127" s="1"/>
      <c r="AX1127" s="1"/>
      <c r="BM1127" s="1"/>
    </row>
    <row r="1128" spans="1:65" x14ac:dyDescent="0.3">
      <c r="A1128" s="19">
        <f t="shared" si="89"/>
        <v>47493</v>
      </c>
      <c r="B1128">
        <f t="shared" ca="1" si="85"/>
        <v>-3.7250000000000001</v>
      </c>
      <c r="C1128" t="str">
        <f ca="1">IF(currency="USD",'Future et co'!D1128,IF(currency="EUR",'Future et co'!E1128,IF(currency="GBP",'Future et co'!F1128,FALSE)))</f>
        <v>RFR USD</v>
      </c>
      <c r="D1128" t="str">
        <f t="shared" ca="1" si="86"/>
        <v>RFR USD</v>
      </c>
      <c r="E1128" t="str">
        <f t="shared" ca="1" si="87"/>
        <v>RFR EUR</v>
      </c>
      <c r="F1128" t="str">
        <f t="shared" ca="1" si="88"/>
        <v>RFR GBP</v>
      </c>
      <c r="J1128" s="1"/>
      <c r="N1128" s="1"/>
      <c r="R1128" s="1"/>
      <c r="V1128" s="1"/>
      <c r="AB1128" s="1"/>
      <c r="AF1128" s="1"/>
      <c r="AJ1128" s="1"/>
      <c r="AN1128" s="1"/>
      <c r="AS1128" s="1"/>
      <c r="AX1128" s="1"/>
      <c r="BM1128" s="1"/>
    </row>
    <row r="1129" spans="1:65" x14ac:dyDescent="0.3">
      <c r="A1129" s="19">
        <f t="shared" si="89"/>
        <v>47494</v>
      </c>
      <c r="B1129">
        <f t="shared" ca="1" si="85"/>
        <v>-3.7277777777777779</v>
      </c>
      <c r="C1129" t="str">
        <f ca="1">IF(currency="USD",'Future et co'!D1129,IF(currency="EUR",'Future et co'!E1129,IF(currency="GBP",'Future et co'!F1129,FALSE)))</f>
        <v>RFR USD</v>
      </c>
      <c r="D1129" t="str">
        <f t="shared" ca="1" si="86"/>
        <v>RFR USD</v>
      </c>
      <c r="E1129" t="str">
        <f t="shared" ca="1" si="87"/>
        <v>RFR EUR</v>
      </c>
      <c r="F1129" t="str">
        <f t="shared" ca="1" si="88"/>
        <v>RFR GBP</v>
      </c>
      <c r="J1129" s="1"/>
      <c r="N1129" s="1"/>
      <c r="R1129" s="1"/>
      <c r="V1129" s="1"/>
      <c r="AB1129" s="1"/>
      <c r="AF1129" s="1"/>
      <c r="AJ1129" s="1"/>
      <c r="AN1129" s="1"/>
      <c r="AS1129" s="1"/>
      <c r="AX1129" s="1"/>
      <c r="BM1129" s="1"/>
    </row>
    <row r="1130" spans="1:65" x14ac:dyDescent="0.3">
      <c r="A1130" s="19">
        <f t="shared" si="89"/>
        <v>47497</v>
      </c>
      <c r="B1130">
        <f t="shared" ca="1" si="85"/>
        <v>-3.7361111111111112</v>
      </c>
      <c r="C1130" t="str">
        <f ca="1">IF(currency="USD",'Future et co'!D1130,IF(currency="EUR",'Future et co'!E1130,IF(currency="GBP",'Future et co'!F1130,FALSE)))</f>
        <v>RFR USD</v>
      </c>
      <c r="D1130" t="str">
        <f t="shared" ca="1" si="86"/>
        <v>RFR USD</v>
      </c>
      <c r="E1130" t="str">
        <f t="shared" ca="1" si="87"/>
        <v>RFR EUR</v>
      </c>
      <c r="F1130" t="str">
        <f t="shared" ca="1" si="88"/>
        <v>RFR GBP</v>
      </c>
      <c r="J1130" s="1"/>
      <c r="N1130" s="1"/>
      <c r="R1130" s="1"/>
      <c r="V1130" s="1"/>
      <c r="AB1130" s="1"/>
      <c r="AF1130" s="1"/>
      <c r="AJ1130" s="1"/>
      <c r="AN1130" s="1"/>
      <c r="AS1130" s="1"/>
      <c r="AX1130" s="1"/>
      <c r="BM1130" s="1"/>
    </row>
    <row r="1131" spans="1:65" x14ac:dyDescent="0.3">
      <c r="A1131" s="19">
        <f t="shared" si="89"/>
        <v>47498</v>
      </c>
      <c r="B1131">
        <f t="shared" ca="1" si="85"/>
        <v>-3.7388888888888889</v>
      </c>
      <c r="C1131" t="str">
        <f ca="1">IF(currency="USD",'Future et co'!D1131,IF(currency="EUR",'Future et co'!E1131,IF(currency="GBP",'Future et co'!F1131,FALSE)))</f>
        <v>RFR USD</v>
      </c>
      <c r="D1131" t="str">
        <f t="shared" ca="1" si="86"/>
        <v>RFR USD</v>
      </c>
      <c r="E1131" t="str">
        <f t="shared" ca="1" si="87"/>
        <v>RFR EUR</v>
      </c>
      <c r="F1131" t="str">
        <f t="shared" ca="1" si="88"/>
        <v>RFR GBP</v>
      </c>
      <c r="J1131" s="1"/>
      <c r="N1131" s="1"/>
      <c r="R1131" s="1"/>
      <c r="V1131" s="1"/>
      <c r="AB1131" s="1"/>
      <c r="AF1131" s="1"/>
      <c r="AJ1131" s="1"/>
      <c r="AN1131" s="1"/>
      <c r="AS1131" s="1"/>
      <c r="AX1131" s="1"/>
      <c r="BM1131" s="1"/>
    </row>
    <row r="1132" spans="1:65" x14ac:dyDescent="0.3">
      <c r="A1132" s="19">
        <f t="shared" si="89"/>
        <v>47499</v>
      </c>
      <c r="B1132">
        <f t="shared" ca="1" si="85"/>
        <v>-3.7416666666666667</v>
      </c>
      <c r="C1132" t="str">
        <f ca="1">IF(currency="USD",'Future et co'!D1132,IF(currency="EUR",'Future et co'!E1132,IF(currency="GBP",'Future et co'!F1132,FALSE)))</f>
        <v>RFR USD</v>
      </c>
      <c r="D1132" t="str">
        <f t="shared" ca="1" si="86"/>
        <v>RFR USD</v>
      </c>
      <c r="E1132" t="str">
        <f t="shared" ca="1" si="87"/>
        <v>RFR EUR</v>
      </c>
      <c r="F1132" t="str">
        <f t="shared" ca="1" si="88"/>
        <v>RFR GBP</v>
      </c>
      <c r="J1132" s="1"/>
      <c r="N1132" s="1"/>
      <c r="R1132" s="1"/>
      <c r="V1132" s="1"/>
      <c r="AB1132" s="1"/>
      <c r="AF1132" s="1"/>
      <c r="AJ1132" s="1"/>
      <c r="AN1132" s="1"/>
      <c r="AS1132" s="1"/>
      <c r="AX1132" s="1"/>
    </row>
    <row r="1133" spans="1:65" x14ac:dyDescent="0.3">
      <c r="A1133" s="19">
        <f t="shared" si="89"/>
        <v>47500</v>
      </c>
      <c r="B1133">
        <f t="shared" ca="1" si="85"/>
        <v>-3.7444444444444445</v>
      </c>
      <c r="C1133" t="str">
        <f ca="1">IF(currency="USD",'Future et co'!D1133,IF(currency="EUR",'Future et co'!E1133,IF(currency="GBP",'Future et co'!F1133,FALSE)))</f>
        <v>RFR USD</v>
      </c>
      <c r="D1133" t="str">
        <f t="shared" ca="1" si="86"/>
        <v>RFR USD</v>
      </c>
      <c r="E1133" t="str">
        <f t="shared" ca="1" si="87"/>
        <v>RFR EUR</v>
      </c>
      <c r="F1133" t="str">
        <f t="shared" ca="1" si="88"/>
        <v>RFR GBP</v>
      </c>
      <c r="J1133" s="1"/>
      <c r="N1133" s="1"/>
      <c r="R1133" s="1"/>
      <c r="V1133" s="1"/>
      <c r="AB1133" s="1"/>
      <c r="AF1133" s="1"/>
      <c r="AJ1133" s="1"/>
      <c r="AN1133" s="1"/>
      <c r="AS1133" s="1"/>
      <c r="AX1133" s="1"/>
    </row>
    <row r="1134" spans="1:65" x14ac:dyDescent="0.3">
      <c r="A1134" s="19">
        <f t="shared" si="89"/>
        <v>47501</v>
      </c>
      <c r="B1134">
        <f t="shared" ca="1" si="85"/>
        <v>-3.7472222222222222</v>
      </c>
      <c r="C1134" t="str">
        <f ca="1">IF(currency="USD",'Future et co'!D1134,IF(currency="EUR",'Future et co'!E1134,IF(currency="GBP",'Future et co'!F1134,FALSE)))</f>
        <v>RFR USD</v>
      </c>
      <c r="D1134" t="str">
        <f t="shared" ca="1" si="86"/>
        <v>RFR USD</v>
      </c>
      <c r="E1134" t="str">
        <f t="shared" ca="1" si="87"/>
        <v>RFR EUR</v>
      </c>
      <c r="F1134" t="str">
        <f t="shared" ca="1" si="88"/>
        <v>RFR GBP</v>
      </c>
      <c r="J1134" s="1"/>
      <c r="N1134" s="1"/>
      <c r="R1134" s="1"/>
      <c r="V1134" s="1"/>
      <c r="AB1134" s="1"/>
      <c r="AF1134" s="1"/>
      <c r="AJ1134" s="1"/>
      <c r="AN1134" s="1"/>
      <c r="AS1134" s="1"/>
      <c r="AX1134" s="1"/>
    </row>
    <row r="1135" spans="1:65" x14ac:dyDescent="0.3">
      <c r="A1135" s="19">
        <f t="shared" si="89"/>
        <v>47504</v>
      </c>
      <c r="B1135">
        <f t="shared" ca="1" si="85"/>
        <v>-3.7555555555555555</v>
      </c>
      <c r="C1135" t="str">
        <f ca="1">IF(currency="USD",'Future et co'!D1135,IF(currency="EUR",'Future et co'!E1135,IF(currency="GBP",'Future et co'!F1135,FALSE)))</f>
        <v>RFR USD</v>
      </c>
      <c r="D1135" t="str">
        <f t="shared" ca="1" si="86"/>
        <v>RFR USD</v>
      </c>
      <c r="E1135" t="str">
        <f t="shared" ca="1" si="87"/>
        <v>RFR EUR</v>
      </c>
      <c r="F1135" t="str">
        <f t="shared" ca="1" si="88"/>
        <v>RFR GBP</v>
      </c>
      <c r="J1135" s="1"/>
      <c r="N1135" s="1"/>
      <c r="R1135" s="1"/>
      <c r="V1135" s="1"/>
      <c r="AB1135" s="1"/>
      <c r="AF1135" s="1"/>
      <c r="AJ1135" s="1"/>
      <c r="AN1135" s="1"/>
      <c r="AS1135" s="1"/>
      <c r="AX1135" s="1"/>
    </row>
    <row r="1136" spans="1:65" x14ac:dyDescent="0.3">
      <c r="A1136" s="19">
        <f t="shared" si="89"/>
        <v>47505</v>
      </c>
      <c r="B1136">
        <f t="shared" ca="1" si="85"/>
        <v>-3.7583333333333333</v>
      </c>
      <c r="C1136" t="str">
        <f ca="1">IF(currency="USD",'Future et co'!D1136,IF(currency="EUR",'Future et co'!E1136,IF(currency="GBP",'Future et co'!F1136,FALSE)))</f>
        <v>RFR USD</v>
      </c>
      <c r="D1136" t="str">
        <f t="shared" ca="1" si="86"/>
        <v>RFR USD</v>
      </c>
      <c r="E1136" t="str">
        <f t="shared" ca="1" si="87"/>
        <v>RFR EUR</v>
      </c>
      <c r="F1136" t="str">
        <f t="shared" ca="1" si="88"/>
        <v>RFR GBP</v>
      </c>
      <c r="J1136" s="1"/>
      <c r="N1136" s="1"/>
      <c r="R1136" s="1"/>
      <c r="V1136" s="1"/>
      <c r="AB1136" s="1"/>
      <c r="AF1136" s="1"/>
      <c r="AJ1136" s="1"/>
      <c r="AN1136" s="1"/>
      <c r="AS1136" s="1"/>
      <c r="AX1136" s="1"/>
    </row>
    <row r="1137" spans="1:50" x14ac:dyDescent="0.3">
      <c r="A1137" s="19">
        <f t="shared" si="89"/>
        <v>47506</v>
      </c>
      <c r="B1137">
        <f t="shared" ca="1" si="85"/>
        <v>-3.7611111111111111</v>
      </c>
      <c r="C1137" t="str">
        <f ca="1">IF(currency="USD",'Future et co'!D1137,IF(currency="EUR",'Future et co'!E1137,IF(currency="GBP",'Future et co'!F1137,FALSE)))</f>
        <v>RFR USD</v>
      </c>
      <c r="D1137" t="str">
        <f t="shared" ca="1" si="86"/>
        <v>RFR USD</v>
      </c>
      <c r="E1137" t="str">
        <f t="shared" ca="1" si="87"/>
        <v>RFR EUR</v>
      </c>
      <c r="F1137" t="str">
        <f t="shared" ca="1" si="88"/>
        <v>RFR GBP</v>
      </c>
      <c r="J1137" s="1"/>
      <c r="N1137" s="1"/>
      <c r="R1137" s="1"/>
      <c r="V1137" s="1"/>
      <c r="AB1137" s="1"/>
      <c r="AF1137" s="1"/>
      <c r="AJ1137" s="1"/>
      <c r="AN1137" s="1"/>
      <c r="AS1137" s="1"/>
      <c r="AX1137" s="1"/>
    </row>
    <row r="1138" spans="1:50" x14ac:dyDescent="0.3">
      <c r="A1138" s="19">
        <f t="shared" si="89"/>
        <v>47507</v>
      </c>
      <c r="B1138">
        <f t="shared" ca="1" si="85"/>
        <v>-3.7638888888888888</v>
      </c>
      <c r="C1138" t="str">
        <f ca="1">IF(currency="USD",'Future et co'!D1138,IF(currency="EUR",'Future et co'!E1138,IF(currency="GBP",'Future et co'!F1138,FALSE)))</f>
        <v>RFR USD</v>
      </c>
      <c r="D1138" t="str">
        <f t="shared" ca="1" si="86"/>
        <v>RFR USD</v>
      </c>
      <c r="E1138" t="str">
        <f t="shared" ca="1" si="87"/>
        <v>RFR EUR</v>
      </c>
      <c r="F1138" t="str">
        <f t="shared" ca="1" si="88"/>
        <v>RFR GBP</v>
      </c>
      <c r="J1138" s="1"/>
      <c r="N1138" s="1"/>
      <c r="R1138" s="1"/>
      <c r="V1138" s="1"/>
      <c r="AB1138" s="1"/>
      <c r="AF1138" s="1"/>
      <c r="AJ1138" s="1"/>
      <c r="AN1138" s="1"/>
      <c r="AS1138" s="1"/>
      <c r="AX1138" s="1"/>
    </row>
    <row r="1139" spans="1:50" x14ac:dyDescent="0.3">
      <c r="A1139" s="19">
        <f t="shared" si="89"/>
        <v>47508</v>
      </c>
      <c r="B1139">
        <f t="shared" ca="1" si="85"/>
        <v>-3.7666666666666666</v>
      </c>
      <c r="C1139" t="str">
        <f ca="1">IF(currency="USD",'Future et co'!D1139,IF(currency="EUR",'Future et co'!E1139,IF(currency="GBP",'Future et co'!F1139,FALSE)))</f>
        <v>RFR USD</v>
      </c>
      <c r="D1139" t="str">
        <f t="shared" ca="1" si="86"/>
        <v>RFR USD</v>
      </c>
      <c r="E1139" t="str">
        <f t="shared" ca="1" si="87"/>
        <v>RFR EUR</v>
      </c>
      <c r="F1139" t="str">
        <f t="shared" ca="1" si="88"/>
        <v>RFR GBP</v>
      </c>
      <c r="J1139" s="1"/>
      <c r="N1139" s="1"/>
      <c r="R1139" s="1"/>
      <c r="V1139" s="1"/>
      <c r="AB1139" s="1"/>
      <c r="AF1139" s="1"/>
      <c r="AJ1139" s="1"/>
      <c r="AN1139" s="1"/>
      <c r="AS1139" s="1"/>
      <c r="AX1139" s="1"/>
    </row>
    <row r="1140" spans="1:50" x14ac:dyDescent="0.3">
      <c r="A1140" s="19">
        <f t="shared" si="89"/>
        <v>47511</v>
      </c>
      <c r="B1140">
        <f t="shared" ca="1" si="85"/>
        <v>-3.7749999999999999</v>
      </c>
      <c r="C1140" t="str">
        <f ca="1">IF(currency="USD",'Future et co'!D1140,IF(currency="EUR",'Future et co'!E1140,IF(currency="GBP",'Future et co'!F1140,FALSE)))</f>
        <v>RFR USD</v>
      </c>
      <c r="D1140" t="str">
        <f t="shared" ca="1" si="86"/>
        <v>RFR USD</v>
      </c>
      <c r="E1140" t="str">
        <f t="shared" ca="1" si="87"/>
        <v>RFR EUR</v>
      </c>
      <c r="F1140" t="str">
        <f t="shared" ca="1" si="88"/>
        <v>RFR GBP</v>
      </c>
      <c r="J1140" s="1"/>
      <c r="N1140" s="1"/>
      <c r="R1140" s="1"/>
      <c r="V1140" s="1"/>
      <c r="AB1140" s="1"/>
      <c r="AF1140" s="1"/>
      <c r="AJ1140" s="1"/>
      <c r="AN1140" s="1"/>
      <c r="AS1140" s="1"/>
      <c r="AX1140" s="1"/>
    </row>
    <row r="1141" spans="1:50" x14ac:dyDescent="0.3">
      <c r="A1141" s="19">
        <f t="shared" si="89"/>
        <v>47512</v>
      </c>
      <c r="B1141">
        <f t="shared" ca="1" si="85"/>
        <v>-3.7777777777777777</v>
      </c>
      <c r="C1141" t="str">
        <f ca="1">IF(currency="USD",'Future et co'!D1141,IF(currency="EUR",'Future et co'!E1141,IF(currency="GBP",'Future et co'!F1141,FALSE)))</f>
        <v>RFR USD</v>
      </c>
      <c r="D1141" t="str">
        <f t="shared" ca="1" si="86"/>
        <v>RFR USD</v>
      </c>
      <c r="E1141" t="str">
        <f t="shared" ca="1" si="87"/>
        <v>RFR EUR</v>
      </c>
      <c r="F1141" t="str">
        <f t="shared" ca="1" si="88"/>
        <v>RFR GBP</v>
      </c>
      <c r="J1141" s="1"/>
      <c r="N1141" s="1"/>
      <c r="R1141" s="1"/>
      <c r="V1141" s="1"/>
      <c r="AB1141" s="1"/>
      <c r="AF1141" s="1"/>
      <c r="AJ1141" s="1"/>
      <c r="AN1141" s="1"/>
      <c r="AS1141" s="1"/>
      <c r="AX1141" s="1"/>
    </row>
    <row r="1142" spans="1:50" x14ac:dyDescent="0.3">
      <c r="A1142" s="19">
        <f t="shared" si="89"/>
        <v>47513</v>
      </c>
      <c r="B1142">
        <f t="shared" ca="1" si="85"/>
        <v>-3.7805555555555554</v>
      </c>
      <c r="C1142" t="str">
        <f ca="1">IF(currency="USD",'Future et co'!D1142,IF(currency="EUR",'Future et co'!E1142,IF(currency="GBP",'Future et co'!F1142,FALSE)))</f>
        <v>RFR USD</v>
      </c>
      <c r="D1142" t="str">
        <f t="shared" ca="1" si="86"/>
        <v>RFR USD</v>
      </c>
      <c r="E1142" t="str">
        <f t="shared" ca="1" si="87"/>
        <v>RFR EUR</v>
      </c>
      <c r="F1142" t="str">
        <f t="shared" ca="1" si="88"/>
        <v>RFR GBP</v>
      </c>
      <c r="J1142" s="1"/>
      <c r="N1142" s="1"/>
      <c r="R1142" s="1"/>
      <c r="V1142" s="1"/>
      <c r="AB1142" s="1"/>
      <c r="AF1142" s="1"/>
      <c r="AJ1142" s="1"/>
      <c r="AN1142" s="1"/>
      <c r="AS1142" s="1"/>
      <c r="AX1142" s="1"/>
    </row>
    <row r="1143" spans="1:50" x14ac:dyDescent="0.3">
      <c r="A1143" s="19">
        <f t="shared" si="89"/>
        <v>47514</v>
      </c>
      <c r="B1143">
        <f t="shared" ca="1" si="85"/>
        <v>-3.7833333333333332</v>
      </c>
      <c r="C1143" t="str">
        <f ca="1">IF(currency="USD",'Future et co'!D1143,IF(currency="EUR",'Future et co'!E1143,IF(currency="GBP",'Future et co'!F1143,FALSE)))</f>
        <v>RFR USD</v>
      </c>
      <c r="D1143" t="str">
        <f t="shared" ca="1" si="86"/>
        <v>RFR USD</v>
      </c>
      <c r="E1143" t="str">
        <f t="shared" ca="1" si="87"/>
        <v>RFR EUR</v>
      </c>
      <c r="F1143" t="str">
        <f t="shared" ca="1" si="88"/>
        <v>RFR GBP</v>
      </c>
      <c r="J1143" s="1"/>
      <c r="N1143" s="1"/>
      <c r="R1143" s="1"/>
      <c r="V1143" s="1"/>
      <c r="AB1143" s="1"/>
      <c r="AF1143" s="1"/>
      <c r="AJ1143" s="1"/>
      <c r="AN1143" s="1"/>
      <c r="AS1143" s="1"/>
      <c r="AX1143" s="1"/>
    </row>
    <row r="1144" spans="1:50" x14ac:dyDescent="0.3">
      <c r="A1144" s="19">
        <f t="shared" si="89"/>
        <v>47515</v>
      </c>
      <c r="B1144">
        <f t="shared" ca="1" si="85"/>
        <v>-3.786111111111111</v>
      </c>
      <c r="C1144" t="str">
        <f ca="1">IF(currency="USD",'Future et co'!D1144,IF(currency="EUR",'Future et co'!E1144,IF(currency="GBP",'Future et co'!F1144,FALSE)))</f>
        <v>RFR USD</v>
      </c>
      <c r="D1144" t="str">
        <f t="shared" ca="1" si="86"/>
        <v>RFR USD</v>
      </c>
      <c r="E1144" t="str">
        <f t="shared" ca="1" si="87"/>
        <v>RFR EUR</v>
      </c>
      <c r="F1144" t="str">
        <f t="shared" ca="1" si="88"/>
        <v>RFR GBP</v>
      </c>
      <c r="J1144" s="1"/>
      <c r="N1144" s="1"/>
      <c r="R1144" s="1"/>
      <c r="V1144" s="1"/>
      <c r="AB1144" s="1"/>
      <c r="AF1144" s="1"/>
      <c r="AJ1144" s="1"/>
      <c r="AN1144" s="1"/>
      <c r="AS1144" s="1"/>
      <c r="AX1144" s="1"/>
    </row>
    <row r="1145" spans="1:50" x14ac:dyDescent="0.3">
      <c r="A1145" s="19">
        <f t="shared" si="89"/>
        <v>47518</v>
      </c>
      <c r="B1145">
        <f t="shared" ca="1" si="85"/>
        <v>-3.7944444444444443</v>
      </c>
      <c r="C1145" t="str">
        <f ca="1">IF(currency="USD",'Future et co'!D1145,IF(currency="EUR",'Future et co'!E1145,IF(currency="GBP",'Future et co'!F1145,FALSE)))</f>
        <v>RFR USD</v>
      </c>
      <c r="D1145" t="str">
        <f t="shared" ca="1" si="86"/>
        <v>RFR USD</v>
      </c>
      <c r="E1145" t="str">
        <f t="shared" ca="1" si="87"/>
        <v>RFR EUR</v>
      </c>
      <c r="F1145" t="str">
        <f t="shared" ca="1" si="88"/>
        <v>RFR GBP</v>
      </c>
      <c r="J1145" s="1"/>
      <c r="N1145" s="1"/>
      <c r="R1145" s="1"/>
      <c r="V1145" s="1"/>
      <c r="AB1145" s="1"/>
      <c r="AF1145" s="1"/>
      <c r="AJ1145" s="1"/>
      <c r="AN1145" s="1"/>
      <c r="AS1145" s="1"/>
      <c r="AX1145" s="1"/>
    </row>
    <row r="1146" spans="1:50" x14ac:dyDescent="0.3">
      <c r="A1146" s="19">
        <f t="shared" si="89"/>
        <v>47519</v>
      </c>
      <c r="B1146">
        <f t="shared" ca="1" si="85"/>
        <v>-3.7972222222222221</v>
      </c>
      <c r="C1146" t="str">
        <f ca="1">IF(currency="USD",'Future et co'!D1146,IF(currency="EUR",'Future et co'!E1146,IF(currency="GBP",'Future et co'!F1146,FALSE)))</f>
        <v>RFR USD</v>
      </c>
      <c r="D1146" t="str">
        <f t="shared" ca="1" si="86"/>
        <v>RFR USD</v>
      </c>
      <c r="E1146" t="str">
        <f t="shared" ca="1" si="87"/>
        <v>RFR EUR</v>
      </c>
      <c r="F1146" t="str">
        <f t="shared" ca="1" si="88"/>
        <v>RFR GBP</v>
      </c>
      <c r="J1146" s="1"/>
      <c r="N1146" s="1"/>
      <c r="R1146" s="1"/>
      <c r="V1146" s="1"/>
      <c r="AB1146" s="1"/>
      <c r="AF1146" s="1"/>
      <c r="AJ1146" s="1"/>
      <c r="AN1146" s="1"/>
      <c r="AS1146" s="1"/>
      <c r="AX1146" s="1"/>
    </row>
    <row r="1147" spans="1:50" x14ac:dyDescent="0.3">
      <c r="A1147" s="19">
        <f t="shared" si="89"/>
        <v>47520</v>
      </c>
      <c r="B1147">
        <f t="shared" ca="1" si="85"/>
        <v>-3.8</v>
      </c>
      <c r="C1147" t="str">
        <f ca="1">IF(currency="USD",'Future et co'!D1147,IF(currency="EUR",'Future et co'!E1147,IF(currency="GBP",'Future et co'!F1147,FALSE)))</f>
        <v>RFR USD</v>
      </c>
      <c r="D1147" t="str">
        <f t="shared" ca="1" si="86"/>
        <v>RFR USD</v>
      </c>
      <c r="E1147" t="str">
        <f t="shared" ca="1" si="87"/>
        <v>RFR EUR</v>
      </c>
      <c r="F1147" t="str">
        <f t="shared" ca="1" si="88"/>
        <v>RFR GBP</v>
      </c>
      <c r="J1147" s="1"/>
      <c r="N1147" s="1"/>
      <c r="R1147" s="1"/>
      <c r="V1147" s="1"/>
      <c r="AB1147" s="1"/>
      <c r="AF1147" s="1"/>
      <c r="AJ1147" s="1"/>
      <c r="AN1147" s="1"/>
      <c r="AS1147" s="1"/>
      <c r="AX1147" s="1"/>
    </row>
    <row r="1148" spans="1:50" x14ac:dyDescent="0.3">
      <c r="A1148" s="19">
        <f t="shared" si="89"/>
        <v>47521</v>
      </c>
      <c r="B1148">
        <f t="shared" ca="1" si="85"/>
        <v>-3.8027777777777776</v>
      </c>
      <c r="C1148" t="str">
        <f ca="1">IF(currency="USD",'Future et co'!D1148,IF(currency="EUR",'Future et co'!E1148,IF(currency="GBP",'Future et co'!F1148,FALSE)))</f>
        <v>RFR USD</v>
      </c>
      <c r="D1148" t="str">
        <f t="shared" ca="1" si="86"/>
        <v>RFR USD</v>
      </c>
      <c r="E1148" t="str">
        <f t="shared" ca="1" si="87"/>
        <v>RFR EUR</v>
      </c>
      <c r="F1148" t="str">
        <f t="shared" ca="1" si="88"/>
        <v>RFR GBP</v>
      </c>
      <c r="J1148" s="1"/>
      <c r="N1148" s="1"/>
      <c r="R1148" s="1"/>
      <c r="V1148" s="1"/>
      <c r="AB1148" s="1"/>
      <c r="AF1148" s="1"/>
      <c r="AJ1148" s="1"/>
      <c r="AN1148" s="1"/>
      <c r="AS1148" s="1"/>
      <c r="AX1148" s="1"/>
    </row>
    <row r="1149" spans="1:50" x14ac:dyDescent="0.3">
      <c r="A1149" s="19">
        <f t="shared" si="89"/>
        <v>47522</v>
      </c>
      <c r="B1149">
        <f t="shared" ca="1" si="85"/>
        <v>-3.8055555555555554</v>
      </c>
      <c r="C1149" t="str">
        <f ca="1">IF(currency="USD",'Future et co'!D1149,IF(currency="EUR",'Future et co'!E1149,IF(currency="GBP",'Future et co'!F1149,FALSE)))</f>
        <v>RFR USD</v>
      </c>
      <c r="D1149" t="str">
        <f t="shared" ca="1" si="86"/>
        <v>RFR USD</v>
      </c>
      <c r="E1149" t="str">
        <f t="shared" ca="1" si="87"/>
        <v>RFR EUR</v>
      </c>
      <c r="F1149" t="str">
        <f t="shared" ca="1" si="88"/>
        <v>RFR GBP</v>
      </c>
      <c r="J1149" s="1"/>
      <c r="N1149" s="1"/>
      <c r="R1149" s="1"/>
      <c r="V1149" s="1"/>
      <c r="AB1149" s="1"/>
      <c r="AF1149" s="1"/>
      <c r="AJ1149" s="1"/>
      <c r="AN1149" s="1"/>
      <c r="AS1149" s="1"/>
      <c r="AX1149" s="1"/>
    </row>
    <row r="1150" spans="1:50" x14ac:dyDescent="0.3">
      <c r="A1150" s="19">
        <f t="shared" si="89"/>
        <v>47525</v>
      </c>
      <c r="B1150">
        <f t="shared" ca="1" si="85"/>
        <v>-3.8138888888888891</v>
      </c>
      <c r="C1150" t="str">
        <f ca="1">IF(currency="USD",'Future et co'!D1150,IF(currency="EUR",'Future et co'!E1150,IF(currency="GBP",'Future et co'!F1150,FALSE)))</f>
        <v>RFR USD</v>
      </c>
      <c r="D1150" t="str">
        <f t="shared" ca="1" si="86"/>
        <v>RFR USD</v>
      </c>
      <c r="E1150" t="str">
        <f t="shared" ca="1" si="87"/>
        <v>RFR EUR</v>
      </c>
      <c r="F1150" t="str">
        <f t="shared" ca="1" si="88"/>
        <v>RFR GBP</v>
      </c>
      <c r="J1150" s="1"/>
      <c r="N1150" s="1"/>
      <c r="R1150" s="1"/>
      <c r="V1150" s="1"/>
      <c r="AB1150" s="1"/>
      <c r="AF1150" s="1"/>
      <c r="AJ1150" s="1"/>
      <c r="AN1150" s="1"/>
      <c r="AS1150" s="1"/>
      <c r="AX1150" s="1"/>
    </row>
    <row r="1151" spans="1:50" x14ac:dyDescent="0.3">
      <c r="A1151" s="19">
        <f t="shared" si="89"/>
        <v>47526</v>
      </c>
      <c r="B1151">
        <f t="shared" ca="1" si="85"/>
        <v>-3.8166666666666669</v>
      </c>
      <c r="C1151" t="str">
        <f ca="1">IF(currency="USD",'Future et co'!D1151,IF(currency="EUR",'Future et co'!E1151,IF(currency="GBP",'Future et co'!F1151,FALSE)))</f>
        <v>RFR USD</v>
      </c>
      <c r="D1151" t="str">
        <f t="shared" ca="1" si="86"/>
        <v>RFR USD</v>
      </c>
      <c r="E1151" t="str">
        <f t="shared" ca="1" si="87"/>
        <v>RFR EUR</v>
      </c>
      <c r="F1151" t="str">
        <f t="shared" ca="1" si="88"/>
        <v>RFR GBP</v>
      </c>
      <c r="J1151" s="1"/>
      <c r="N1151" s="1"/>
      <c r="R1151" s="1"/>
      <c r="V1151" s="1"/>
      <c r="AB1151" s="1"/>
      <c r="AF1151" s="1"/>
      <c r="AJ1151" s="1"/>
      <c r="AN1151" s="1"/>
      <c r="AS1151" s="1"/>
      <c r="AX1151" s="1"/>
    </row>
    <row r="1152" spans="1:50" x14ac:dyDescent="0.3">
      <c r="A1152" s="19">
        <f t="shared" si="89"/>
        <v>47527</v>
      </c>
      <c r="B1152">
        <f t="shared" ca="1" si="85"/>
        <v>-3.8194444444444446</v>
      </c>
      <c r="C1152" t="str">
        <f ca="1">IF(currency="USD",'Future et co'!D1152,IF(currency="EUR",'Future et co'!E1152,IF(currency="GBP",'Future et co'!F1152,FALSE)))</f>
        <v>RFR USD</v>
      </c>
      <c r="D1152" t="str">
        <f t="shared" ca="1" si="86"/>
        <v>RFR USD</v>
      </c>
      <c r="E1152" t="str">
        <f t="shared" ca="1" si="87"/>
        <v>RFR EUR</v>
      </c>
      <c r="F1152" t="str">
        <f t="shared" ca="1" si="88"/>
        <v>RFR GBP</v>
      </c>
      <c r="J1152" s="1"/>
      <c r="N1152" s="1"/>
      <c r="R1152" s="1"/>
      <c r="V1152" s="1"/>
      <c r="AB1152" s="1"/>
      <c r="AF1152" s="1"/>
      <c r="AJ1152" s="1"/>
      <c r="AN1152" s="1"/>
      <c r="AS1152" s="1"/>
      <c r="AX1152" s="1"/>
    </row>
    <row r="1153" spans="1:50" x14ac:dyDescent="0.3">
      <c r="A1153" s="19">
        <f t="shared" si="89"/>
        <v>47528</v>
      </c>
      <c r="B1153">
        <f t="shared" ca="1" si="85"/>
        <v>-3.8222222222222224</v>
      </c>
      <c r="C1153" t="str">
        <f ca="1">IF(currency="USD",'Future et co'!D1153,IF(currency="EUR",'Future et co'!E1153,IF(currency="GBP",'Future et co'!F1153,FALSE)))</f>
        <v>RFR USD</v>
      </c>
      <c r="D1153" t="str">
        <f t="shared" ca="1" si="86"/>
        <v>RFR USD</v>
      </c>
      <c r="E1153" t="str">
        <f t="shared" ca="1" si="87"/>
        <v>RFR EUR</v>
      </c>
      <c r="F1153" t="str">
        <f t="shared" ca="1" si="88"/>
        <v>RFR GBP</v>
      </c>
      <c r="J1153" s="1"/>
      <c r="N1153" s="1"/>
      <c r="R1153" s="1"/>
      <c r="V1153" s="1"/>
      <c r="AB1153" s="1"/>
      <c r="AF1153" s="1"/>
      <c r="AJ1153" s="1"/>
      <c r="AN1153" s="1"/>
      <c r="AS1153" s="1"/>
      <c r="AX1153" s="1"/>
    </row>
    <row r="1154" spans="1:50" x14ac:dyDescent="0.3">
      <c r="A1154" s="19">
        <f t="shared" si="89"/>
        <v>47529</v>
      </c>
      <c r="B1154">
        <f t="shared" ca="1" si="85"/>
        <v>-3.8250000000000002</v>
      </c>
      <c r="C1154" t="str">
        <f ca="1">IF(currency="USD",'Future et co'!D1154,IF(currency="EUR",'Future et co'!E1154,IF(currency="GBP",'Future et co'!F1154,FALSE)))</f>
        <v>RFR USD</v>
      </c>
      <c r="D1154" t="str">
        <f t="shared" ca="1" si="86"/>
        <v>RFR USD</v>
      </c>
      <c r="E1154" t="str">
        <f t="shared" ca="1" si="87"/>
        <v>RFR EUR</v>
      </c>
      <c r="F1154" t="str">
        <f t="shared" ca="1" si="88"/>
        <v>RFR GBP</v>
      </c>
      <c r="J1154" s="1"/>
      <c r="N1154" s="1"/>
      <c r="R1154" s="1"/>
      <c r="V1154" s="1"/>
      <c r="AB1154" s="1"/>
      <c r="AF1154" s="1"/>
      <c r="AJ1154" s="1"/>
      <c r="AN1154" s="1"/>
      <c r="AS1154" s="1"/>
      <c r="AX1154" s="1"/>
    </row>
    <row r="1155" spans="1:50" x14ac:dyDescent="0.3">
      <c r="A1155" s="19">
        <f t="shared" si="89"/>
        <v>47532</v>
      </c>
      <c r="B1155">
        <f t="shared" ca="1" si="85"/>
        <v>-3.8333333333333335</v>
      </c>
      <c r="C1155" t="str">
        <f ca="1">IF(currency="USD",'Future et co'!D1155,IF(currency="EUR",'Future et co'!E1155,IF(currency="GBP",'Future et co'!F1155,FALSE)))</f>
        <v>RFR USD</v>
      </c>
      <c r="D1155" t="str">
        <f t="shared" ca="1" si="86"/>
        <v>RFR USD</v>
      </c>
      <c r="E1155" t="str">
        <f t="shared" ca="1" si="87"/>
        <v>RFR EUR</v>
      </c>
      <c r="F1155" t="str">
        <f t="shared" ca="1" si="88"/>
        <v>RFR GBP</v>
      </c>
      <c r="J1155" s="1"/>
      <c r="N1155" s="1"/>
      <c r="R1155" s="1"/>
      <c r="V1155" s="1"/>
      <c r="AB1155" s="1"/>
      <c r="AF1155" s="1"/>
      <c r="AJ1155" s="1"/>
      <c r="AN1155" s="1"/>
      <c r="AS1155" s="1"/>
      <c r="AX1155" s="1"/>
    </row>
    <row r="1156" spans="1:50" x14ac:dyDescent="0.3">
      <c r="A1156" s="19">
        <f t="shared" si="89"/>
        <v>47533</v>
      </c>
      <c r="B1156">
        <f t="shared" ca="1" si="85"/>
        <v>-3.8361111111111112</v>
      </c>
      <c r="C1156" t="str">
        <f ca="1">IF(currency="USD",'Future et co'!D1156,IF(currency="EUR",'Future et co'!E1156,IF(currency="GBP",'Future et co'!F1156,FALSE)))</f>
        <v>RFR USD</v>
      </c>
      <c r="D1156" t="str">
        <f t="shared" ca="1" si="86"/>
        <v>RFR USD</v>
      </c>
      <c r="E1156" t="str">
        <f t="shared" ca="1" si="87"/>
        <v>RFR EUR</v>
      </c>
      <c r="F1156" t="str">
        <f t="shared" ca="1" si="88"/>
        <v>RFR GBP</v>
      </c>
      <c r="J1156" s="1"/>
      <c r="N1156" s="1"/>
      <c r="R1156" s="1"/>
      <c r="V1156" s="1"/>
      <c r="AB1156" s="1"/>
      <c r="AF1156" s="1"/>
      <c r="AJ1156" s="1"/>
      <c r="AN1156" s="1"/>
      <c r="AS1156" s="1"/>
      <c r="AX1156" s="1"/>
    </row>
    <row r="1157" spans="1:50" x14ac:dyDescent="0.3">
      <c r="A1157" s="19">
        <f t="shared" si="89"/>
        <v>47534</v>
      </c>
      <c r="B1157">
        <f t="shared" ca="1" si="85"/>
        <v>-3.838888888888889</v>
      </c>
      <c r="C1157" t="str">
        <f ca="1">IF(currency="USD",'Future et co'!D1157,IF(currency="EUR",'Future et co'!E1157,IF(currency="GBP",'Future et co'!F1157,FALSE)))</f>
        <v>RFR USD</v>
      </c>
      <c r="D1157" t="str">
        <f t="shared" ca="1" si="86"/>
        <v>RFR USD</v>
      </c>
      <c r="E1157" t="str">
        <f t="shared" ca="1" si="87"/>
        <v>RFR EUR</v>
      </c>
      <c r="F1157" t="str">
        <f t="shared" ca="1" si="88"/>
        <v>RFR GBP</v>
      </c>
      <c r="J1157" s="1"/>
      <c r="N1157" s="1"/>
      <c r="R1157" s="1"/>
      <c r="V1157" s="1"/>
      <c r="AB1157" s="1"/>
      <c r="AF1157" s="1"/>
      <c r="AJ1157" s="1"/>
      <c r="AN1157" s="1"/>
      <c r="AS1157" s="1"/>
      <c r="AX1157" s="1"/>
    </row>
    <row r="1158" spans="1:50" x14ac:dyDescent="0.3">
      <c r="A1158" s="19">
        <f t="shared" si="89"/>
        <v>47535</v>
      </c>
      <c r="B1158">
        <f t="shared" ca="1" si="85"/>
        <v>-3.8416666666666668</v>
      </c>
      <c r="C1158" t="str">
        <f ca="1">IF(currency="USD",'Future et co'!D1158,IF(currency="EUR",'Future et co'!E1158,IF(currency="GBP",'Future et co'!F1158,FALSE)))</f>
        <v>RFR USD</v>
      </c>
      <c r="D1158" t="str">
        <f t="shared" ca="1" si="86"/>
        <v>RFR USD</v>
      </c>
      <c r="E1158" t="str">
        <f t="shared" ca="1" si="87"/>
        <v>RFR EUR</v>
      </c>
      <c r="F1158" t="str">
        <f t="shared" ca="1" si="88"/>
        <v>RFR GBP</v>
      </c>
      <c r="J1158" s="1"/>
      <c r="N1158" s="1"/>
      <c r="R1158" s="1"/>
      <c r="V1158" s="1"/>
      <c r="AB1158" s="1"/>
      <c r="AF1158" s="1"/>
      <c r="AJ1158" s="1"/>
      <c r="AN1158" s="1"/>
      <c r="AS1158" s="1"/>
      <c r="AX1158" s="1"/>
    </row>
    <row r="1159" spans="1:50" x14ac:dyDescent="0.3">
      <c r="A1159" s="19">
        <f t="shared" si="89"/>
        <v>47536</v>
      </c>
      <c r="B1159">
        <f t="shared" ca="1" si="85"/>
        <v>-3.8444444444444446</v>
      </c>
      <c r="C1159" t="str">
        <f ca="1">IF(currency="USD",'Future et co'!D1159,IF(currency="EUR",'Future et co'!E1159,IF(currency="GBP",'Future et co'!F1159,FALSE)))</f>
        <v>RFR USD</v>
      </c>
      <c r="D1159" t="str">
        <f t="shared" ca="1" si="86"/>
        <v>RFR USD</v>
      </c>
      <c r="E1159" t="str">
        <f t="shared" ca="1" si="87"/>
        <v>RFR EUR</v>
      </c>
      <c r="F1159" t="str">
        <f t="shared" ca="1" si="88"/>
        <v>RFR GBP</v>
      </c>
      <c r="J1159" s="1"/>
      <c r="N1159" s="1"/>
      <c r="R1159" s="1"/>
      <c r="V1159" s="1"/>
      <c r="AB1159" s="1"/>
      <c r="AF1159" s="1"/>
      <c r="AJ1159" s="1"/>
      <c r="AN1159" s="1"/>
      <c r="AS1159" s="1"/>
      <c r="AX1159" s="1"/>
    </row>
    <row r="1160" spans="1:50" x14ac:dyDescent="0.3">
      <c r="A1160" s="19">
        <f t="shared" si="89"/>
        <v>47539</v>
      </c>
      <c r="B1160">
        <f t="shared" ca="1" si="85"/>
        <v>-3.8527777777777779</v>
      </c>
      <c r="C1160" t="str">
        <f ca="1">IF(currency="USD",'Future et co'!D1160,IF(currency="EUR",'Future et co'!E1160,IF(currency="GBP",'Future et co'!F1160,FALSE)))</f>
        <v>RFR USD</v>
      </c>
      <c r="D1160" t="str">
        <f t="shared" ca="1" si="86"/>
        <v>RFR USD</v>
      </c>
      <c r="E1160" t="str">
        <f t="shared" ca="1" si="87"/>
        <v>RFR EUR</v>
      </c>
      <c r="F1160" t="str">
        <f t="shared" ca="1" si="88"/>
        <v>RFR GBP</v>
      </c>
      <c r="J1160" s="1"/>
      <c r="N1160" s="1"/>
      <c r="R1160" s="1"/>
      <c r="V1160" s="1"/>
      <c r="AB1160" s="1"/>
      <c r="AF1160" s="1"/>
      <c r="AJ1160" s="1"/>
      <c r="AN1160" s="1"/>
      <c r="AS1160" s="1"/>
      <c r="AX1160" s="1"/>
    </row>
    <row r="1161" spans="1:50" x14ac:dyDescent="0.3">
      <c r="A1161" s="19">
        <f t="shared" si="89"/>
        <v>47540</v>
      </c>
      <c r="B1161">
        <f t="shared" ca="1" si="85"/>
        <v>-3.8555555555555556</v>
      </c>
      <c r="C1161" t="str">
        <f ca="1">IF(currency="USD",'Future et co'!D1161,IF(currency="EUR",'Future et co'!E1161,IF(currency="GBP",'Future et co'!F1161,FALSE)))</f>
        <v>RFR USD</v>
      </c>
      <c r="D1161" t="str">
        <f t="shared" ca="1" si="86"/>
        <v>RFR USD</v>
      </c>
      <c r="E1161" t="str">
        <f t="shared" ca="1" si="87"/>
        <v>RFR EUR</v>
      </c>
      <c r="F1161" t="str">
        <f t="shared" ca="1" si="88"/>
        <v>RFR GBP</v>
      </c>
      <c r="J1161" s="1"/>
      <c r="N1161" s="1"/>
      <c r="R1161" s="1"/>
      <c r="V1161" s="1"/>
      <c r="AB1161" s="1"/>
      <c r="AF1161" s="1"/>
      <c r="AJ1161" s="1"/>
      <c r="AN1161" s="1"/>
      <c r="AS1161" s="1"/>
      <c r="AX1161" s="1"/>
    </row>
    <row r="1162" spans="1:50" x14ac:dyDescent="0.3">
      <c r="A1162" s="19">
        <f t="shared" si="89"/>
        <v>47541</v>
      </c>
      <c r="B1162">
        <f t="shared" ca="1" si="85"/>
        <v>-3.8583333333333334</v>
      </c>
      <c r="C1162" t="str">
        <f ca="1">IF(currency="USD",'Future et co'!D1162,IF(currency="EUR",'Future et co'!E1162,IF(currency="GBP",'Future et co'!F1162,FALSE)))</f>
        <v>RFR USD</v>
      </c>
      <c r="D1162" t="str">
        <f t="shared" ca="1" si="86"/>
        <v>RFR USD</v>
      </c>
      <c r="E1162" t="str">
        <f t="shared" ca="1" si="87"/>
        <v>RFR EUR</v>
      </c>
      <c r="F1162" t="str">
        <f t="shared" ca="1" si="88"/>
        <v>RFR GBP</v>
      </c>
      <c r="J1162" s="1"/>
      <c r="N1162" s="1"/>
      <c r="R1162" s="1"/>
      <c r="V1162" s="1"/>
      <c r="AB1162" s="1"/>
      <c r="AF1162" s="1"/>
      <c r="AJ1162" s="1"/>
      <c r="AN1162" s="1"/>
      <c r="AS1162" s="1"/>
      <c r="AX1162" s="1"/>
    </row>
    <row r="1163" spans="1:50" x14ac:dyDescent="0.3">
      <c r="A1163" s="19">
        <f t="shared" si="89"/>
        <v>47542</v>
      </c>
      <c r="B1163">
        <f t="shared" ref="B1163:B1226" ca="1" si="90">($B$7-A1163)/360</f>
        <v>-3.8611111111111112</v>
      </c>
      <c r="C1163" t="str">
        <f ca="1">IF(currency="USD",'Future et co'!D1163,IF(currency="EUR",'Future et co'!E1163,IF(currency="GBP",'Future et co'!F1163,FALSE)))</f>
        <v>RFR USD</v>
      </c>
      <c r="D1163" t="str">
        <f t="shared" ref="D1163:D1226" ca="1" si="91">IFERROR(IF(B1163&lt;0.25,VLOOKUP(A1163,$J$11:$L$5325,3,FALSE),IF(AND(B1163&gt;=0.25,B1163&lt;0.5),VLOOKUP(A1163,$N$11:$P$5325,3,FALSE),IF(AND(B1163&gt;=0.5,B1163&lt;1),VLOOKUP(A1163,$R$11:$T$5325,3,FALSE),VLOOKUP(A1163,$V$11:$X$5010,3,FALSE)))),D1162)</f>
        <v>RFR USD</v>
      </c>
      <c r="E1163" t="str">
        <f t="shared" ref="E1163:E1226" ca="1" si="92">IFERROR(IF(B1163&lt;0.25,VLOOKUP(A1163,$AF$11:$AH$5325,3,FALSE),IF(AND(B1163&gt;=0.25,B1163&lt;0.5),VLOOKUP(A1163,$AJ$11:$AL$5325,3,FALSE),VLOOKUP(A1163,$AN$11:$AP$5325,3,FALSE))),E1162)</f>
        <v>RFR EUR</v>
      </c>
      <c r="F1163" t="str">
        <f t="shared" ref="F1163:F1226" ca="1" si="93">IFERROR(VLOOKUP(A1163,$AS$11:$AU$9999,3,FALSE),F1162)</f>
        <v>RFR GBP</v>
      </c>
      <c r="J1163" s="1"/>
      <c r="N1163" s="1"/>
      <c r="R1163" s="1"/>
      <c r="V1163" s="1"/>
      <c r="AB1163" s="1"/>
      <c r="AF1163" s="1"/>
      <c r="AJ1163" s="1"/>
      <c r="AN1163" s="1"/>
      <c r="AS1163" s="1"/>
      <c r="AX1163" s="1"/>
    </row>
    <row r="1164" spans="1:50" x14ac:dyDescent="0.3">
      <c r="A1164" s="19">
        <f t="shared" si="89"/>
        <v>47543</v>
      </c>
      <c r="B1164">
        <f t="shared" ca="1" si="90"/>
        <v>-3.8638888888888889</v>
      </c>
      <c r="C1164" t="str">
        <f ca="1">IF(currency="USD",'Future et co'!D1164,IF(currency="EUR",'Future et co'!E1164,IF(currency="GBP",'Future et co'!F1164,FALSE)))</f>
        <v>RFR USD</v>
      </c>
      <c r="D1164" t="str">
        <f t="shared" ca="1" si="91"/>
        <v>RFR USD</v>
      </c>
      <c r="E1164" t="str">
        <f t="shared" ca="1" si="92"/>
        <v>RFR EUR</v>
      </c>
      <c r="F1164" t="str">
        <f t="shared" ca="1" si="93"/>
        <v>RFR GBP</v>
      </c>
      <c r="J1164" s="1"/>
      <c r="N1164" s="1"/>
      <c r="R1164" s="1"/>
      <c r="V1164" s="1"/>
      <c r="AB1164" s="1"/>
      <c r="AF1164" s="1"/>
      <c r="AJ1164" s="1"/>
      <c r="AN1164" s="1"/>
      <c r="AS1164" s="1"/>
      <c r="AX1164" s="1"/>
    </row>
    <row r="1165" spans="1:50" x14ac:dyDescent="0.3">
      <c r="A1165" s="19">
        <f t="shared" ref="A1165:A1228" si="94">WORKDAY(A1164,1)</f>
        <v>47546</v>
      </c>
      <c r="B1165">
        <f t="shared" ca="1" si="90"/>
        <v>-3.8722222222222222</v>
      </c>
      <c r="C1165" t="str">
        <f ca="1">IF(currency="USD",'Future et co'!D1165,IF(currency="EUR",'Future et co'!E1165,IF(currency="GBP",'Future et co'!F1165,FALSE)))</f>
        <v>RFR USD</v>
      </c>
      <c r="D1165" t="str">
        <f t="shared" ca="1" si="91"/>
        <v>RFR USD</v>
      </c>
      <c r="E1165" t="str">
        <f t="shared" ca="1" si="92"/>
        <v>RFR EUR</v>
      </c>
      <c r="F1165" t="str">
        <f t="shared" ca="1" si="93"/>
        <v>RFR GBP</v>
      </c>
      <c r="J1165" s="1"/>
      <c r="N1165" s="1"/>
      <c r="R1165" s="1"/>
      <c r="V1165" s="1"/>
      <c r="AB1165" s="1"/>
      <c r="AF1165" s="1"/>
      <c r="AJ1165" s="1"/>
      <c r="AN1165" s="1"/>
      <c r="AS1165" s="1"/>
      <c r="AX1165" s="1"/>
    </row>
    <row r="1166" spans="1:50" x14ac:dyDescent="0.3">
      <c r="A1166" s="19">
        <f t="shared" si="94"/>
        <v>47547</v>
      </c>
      <c r="B1166">
        <f t="shared" ca="1" si="90"/>
        <v>-3.875</v>
      </c>
      <c r="C1166" t="str">
        <f ca="1">IF(currency="USD",'Future et co'!D1166,IF(currency="EUR",'Future et co'!E1166,IF(currency="GBP",'Future et co'!F1166,FALSE)))</f>
        <v>RFR USD</v>
      </c>
      <c r="D1166" t="str">
        <f t="shared" ca="1" si="91"/>
        <v>RFR USD</v>
      </c>
      <c r="E1166" t="str">
        <f t="shared" ca="1" si="92"/>
        <v>RFR EUR</v>
      </c>
      <c r="F1166" t="str">
        <f t="shared" ca="1" si="93"/>
        <v>RFR GBP</v>
      </c>
      <c r="J1166" s="1"/>
      <c r="N1166" s="1"/>
      <c r="R1166" s="1"/>
      <c r="V1166" s="1"/>
      <c r="AB1166" s="1"/>
      <c r="AF1166" s="1"/>
      <c r="AJ1166" s="1"/>
      <c r="AN1166" s="1"/>
      <c r="AS1166" s="1"/>
      <c r="AX1166" s="1"/>
    </row>
    <row r="1167" spans="1:50" x14ac:dyDescent="0.3">
      <c r="A1167" s="19">
        <f t="shared" si="94"/>
        <v>47548</v>
      </c>
      <c r="B1167">
        <f t="shared" ca="1" si="90"/>
        <v>-3.8777777777777778</v>
      </c>
      <c r="C1167" t="str">
        <f ca="1">IF(currency="USD",'Future et co'!D1167,IF(currency="EUR",'Future et co'!E1167,IF(currency="GBP",'Future et co'!F1167,FALSE)))</f>
        <v>RFR USD</v>
      </c>
      <c r="D1167" t="str">
        <f t="shared" ca="1" si="91"/>
        <v>RFR USD</v>
      </c>
      <c r="E1167" t="str">
        <f t="shared" ca="1" si="92"/>
        <v>RFR EUR</v>
      </c>
      <c r="F1167" t="str">
        <f t="shared" ca="1" si="93"/>
        <v>RFR GBP</v>
      </c>
      <c r="J1167" s="1"/>
      <c r="N1167" s="1"/>
      <c r="R1167" s="1"/>
      <c r="V1167" s="1"/>
      <c r="AB1167" s="1"/>
      <c r="AF1167" s="1"/>
      <c r="AJ1167" s="1"/>
      <c r="AN1167" s="1"/>
      <c r="AS1167" s="1"/>
      <c r="AX1167" s="1"/>
    </row>
    <row r="1168" spans="1:50" x14ac:dyDescent="0.3">
      <c r="A1168" s="19">
        <f t="shared" si="94"/>
        <v>47549</v>
      </c>
      <c r="B1168">
        <f t="shared" ca="1" si="90"/>
        <v>-3.8805555555555555</v>
      </c>
      <c r="C1168" t="str">
        <f ca="1">IF(currency="USD",'Future et co'!D1168,IF(currency="EUR",'Future et co'!E1168,IF(currency="GBP",'Future et co'!F1168,FALSE)))</f>
        <v>RFR USD</v>
      </c>
      <c r="D1168" t="str">
        <f t="shared" ca="1" si="91"/>
        <v>RFR USD</v>
      </c>
      <c r="E1168" t="str">
        <f t="shared" ca="1" si="92"/>
        <v>RFR EUR</v>
      </c>
      <c r="F1168" t="str">
        <f t="shared" ca="1" si="93"/>
        <v>RFR GBP</v>
      </c>
      <c r="J1168" s="1"/>
      <c r="N1168" s="1"/>
      <c r="R1168" s="1"/>
      <c r="V1168" s="1"/>
      <c r="AB1168" s="1"/>
      <c r="AF1168" s="1"/>
      <c r="AJ1168" s="1"/>
      <c r="AN1168" s="1"/>
      <c r="AS1168" s="1"/>
      <c r="AX1168" s="1"/>
    </row>
    <row r="1169" spans="1:50" x14ac:dyDescent="0.3">
      <c r="A1169" s="19">
        <f t="shared" si="94"/>
        <v>47550</v>
      </c>
      <c r="B1169">
        <f t="shared" ca="1" si="90"/>
        <v>-3.8833333333333333</v>
      </c>
      <c r="C1169" t="str">
        <f ca="1">IF(currency="USD",'Future et co'!D1169,IF(currency="EUR",'Future et co'!E1169,IF(currency="GBP",'Future et co'!F1169,FALSE)))</f>
        <v>RFR USD</v>
      </c>
      <c r="D1169" t="str">
        <f t="shared" ca="1" si="91"/>
        <v>RFR USD</v>
      </c>
      <c r="E1169" t="str">
        <f t="shared" ca="1" si="92"/>
        <v>RFR EUR</v>
      </c>
      <c r="F1169" t="str">
        <f t="shared" ca="1" si="93"/>
        <v>RFR GBP</v>
      </c>
      <c r="J1169" s="1"/>
      <c r="N1169" s="1"/>
      <c r="R1169" s="1"/>
      <c r="V1169" s="1"/>
      <c r="AB1169" s="1"/>
      <c r="AF1169" s="1"/>
      <c r="AJ1169" s="1"/>
      <c r="AN1169" s="1"/>
      <c r="AS1169" s="1"/>
      <c r="AX1169" s="1"/>
    </row>
    <row r="1170" spans="1:50" x14ac:dyDescent="0.3">
      <c r="A1170" s="19">
        <f t="shared" si="94"/>
        <v>47553</v>
      </c>
      <c r="B1170">
        <f t="shared" ca="1" si="90"/>
        <v>-3.8916666666666666</v>
      </c>
      <c r="C1170" t="str">
        <f ca="1">IF(currency="USD",'Future et co'!D1170,IF(currency="EUR",'Future et co'!E1170,IF(currency="GBP",'Future et co'!F1170,FALSE)))</f>
        <v>RFR USD</v>
      </c>
      <c r="D1170" t="str">
        <f t="shared" ca="1" si="91"/>
        <v>RFR USD</v>
      </c>
      <c r="E1170" t="str">
        <f t="shared" ca="1" si="92"/>
        <v>RFR EUR</v>
      </c>
      <c r="F1170" t="str">
        <f t="shared" ca="1" si="93"/>
        <v>RFR GBP</v>
      </c>
      <c r="J1170" s="1"/>
      <c r="N1170" s="1"/>
      <c r="R1170" s="1"/>
      <c r="V1170" s="1"/>
      <c r="AB1170" s="1"/>
      <c r="AF1170" s="1"/>
      <c r="AJ1170" s="1"/>
      <c r="AN1170" s="1"/>
      <c r="AS1170" s="1"/>
      <c r="AX1170" s="1"/>
    </row>
    <row r="1171" spans="1:50" x14ac:dyDescent="0.3">
      <c r="A1171" s="19">
        <f t="shared" si="94"/>
        <v>47554</v>
      </c>
      <c r="B1171">
        <f t="shared" ca="1" si="90"/>
        <v>-3.8944444444444444</v>
      </c>
      <c r="C1171" t="str">
        <f ca="1">IF(currency="USD",'Future et co'!D1171,IF(currency="EUR",'Future et co'!E1171,IF(currency="GBP",'Future et co'!F1171,FALSE)))</f>
        <v>RFR USD</v>
      </c>
      <c r="D1171" t="str">
        <f t="shared" ca="1" si="91"/>
        <v>RFR USD</v>
      </c>
      <c r="E1171" t="str">
        <f t="shared" ca="1" si="92"/>
        <v>RFR EUR</v>
      </c>
      <c r="F1171" t="str">
        <f t="shared" ca="1" si="93"/>
        <v>RFR GBP</v>
      </c>
      <c r="J1171" s="1"/>
      <c r="N1171" s="1"/>
      <c r="R1171" s="1"/>
      <c r="V1171" s="1"/>
      <c r="AB1171" s="1"/>
      <c r="AF1171" s="1"/>
      <c r="AJ1171" s="1"/>
      <c r="AN1171" s="1"/>
      <c r="AS1171" s="1"/>
      <c r="AX1171" s="1"/>
    </row>
    <row r="1172" spans="1:50" x14ac:dyDescent="0.3">
      <c r="A1172" s="19">
        <f t="shared" si="94"/>
        <v>47555</v>
      </c>
      <c r="B1172">
        <f t="shared" ca="1" si="90"/>
        <v>-3.8972222222222221</v>
      </c>
      <c r="C1172" t="str">
        <f ca="1">IF(currency="USD",'Future et co'!D1172,IF(currency="EUR",'Future et co'!E1172,IF(currency="GBP",'Future et co'!F1172,FALSE)))</f>
        <v>RFR USD</v>
      </c>
      <c r="D1172" t="str">
        <f t="shared" ca="1" si="91"/>
        <v>RFR USD</v>
      </c>
      <c r="E1172" t="str">
        <f t="shared" ca="1" si="92"/>
        <v>RFR EUR</v>
      </c>
      <c r="F1172" t="str">
        <f t="shared" ca="1" si="93"/>
        <v>RFR GBP</v>
      </c>
      <c r="J1172" s="1"/>
      <c r="N1172" s="1"/>
      <c r="R1172" s="1"/>
      <c r="V1172" s="1"/>
      <c r="AB1172" s="1"/>
      <c r="AF1172" s="1"/>
      <c r="AJ1172" s="1"/>
      <c r="AN1172" s="1"/>
      <c r="AS1172" s="1"/>
      <c r="AX1172" s="1"/>
    </row>
    <row r="1173" spans="1:50" x14ac:dyDescent="0.3">
      <c r="A1173" s="19">
        <f t="shared" si="94"/>
        <v>47556</v>
      </c>
      <c r="B1173">
        <f t="shared" ca="1" si="90"/>
        <v>-3.9</v>
      </c>
      <c r="C1173" t="str">
        <f ca="1">IF(currency="USD",'Future et co'!D1173,IF(currency="EUR",'Future et co'!E1173,IF(currency="GBP",'Future et co'!F1173,FALSE)))</f>
        <v>RFR USD</v>
      </c>
      <c r="D1173" t="str">
        <f t="shared" ca="1" si="91"/>
        <v>RFR USD</v>
      </c>
      <c r="E1173" t="str">
        <f t="shared" ca="1" si="92"/>
        <v>RFR EUR</v>
      </c>
      <c r="F1173" t="str">
        <f t="shared" ca="1" si="93"/>
        <v>RFR GBP</v>
      </c>
      <c r="J1173" s="1"/>
      <c r="N1173" s="1"/>
      <c r="R1173" s="1"/>
      <c r="V1173" s="1"/>
      <c r="AB1173" s="1"/>
      <c r="AF1173" s="1"/>
      <c r="AJ1173" s="1"/>
      <c r="AN1173" s="1"/>
      <c r="AS1173" s="1"/>
      <c r="AX1173" s="1"/>
    </row>
    <row r="1174" spans="1:50" x14ac:dyDescent="0.3">
      <c r="A1174" s="19">
        <f t="shared" si="94"/>
        <v>47557</v>
      </c>
      <c r="B1174">
        <f t="shared" ca="1" si="90"/>
        <v>-3.9027777777777777</v>
      </c>
      <c r="C1174" t="str">
        <f ca="1">IF(currency="USD",'Future et co'!D1174,IF(currency="EUR",'Future et co'!E1174,IF(currency="GBP",'Future et co'!F1174,FALSE)))</f>
        <v>RFR USD</v>
      </c>
      <c r="D1174" t="str">
        <f t="shared" ca="1" si="91"/>
        <v>RFR USD</v>
      </c>
      <c r="E1174" t="str">
        <f t="shared" ca="1" si="92"/>
        <v>RFR EUR</v>
      </c>
      <c r="F1174" t="str">
        <f t="shared" ca="1" si="93"/>
        <v>RFR GBP</v>
      </c>
      <c r="J1174" s="1"/>
      <c r="N1174" s="1"/>
      <c r="R1174" s="1"/>
      <c r="V1174" s="1"/>
      <c r="AB1174" s="1"/>
      <c r="AF1174" s="1"/>
      <c r="AJ1174" s="1"/>
      <c r="AN1174" s="1"/>
      <c r="AS1174" s="1"/>
      <c r="AX1174" s="1"/>
    </row>
    <row r="1175" spans="1:50" x14ac:dyDescent="0.3">
      <c r="A1175" s="19">
        <f t="shared" si="94"/>
        <v>47560</v>
      </c>
      <c r="B1175">
        <f t="shared" ca="1" si="90"/>
        <v>-3.911111111111111</v>
      </c>
      <c r="C1175" t="str">
        <f ca="1">IF(currency="USD",'Future et co'!D1175,IF(currency="EUR",'Future et co'!E1175,IF(currency="GBP",'Future et co'!F1175,FALSE)))</f>
        <v>RFR USD</v>
      </c>
      <c r="D1175" t="str">
        <f t="shared" ca="1" si="91"/>
        <v>RFR USD</v>
      </c>
      <c r="E1175" t="str">
        <f t="shared" ca="1" si="92"/>
        <v>RFR EUR</v>
      </c>
      <c r="F1175" t="str">
        <f t="shared" ca="1" si="93"/>
        <v>RFR GBP</v>
      </c>
      <c r="J1175" s="1"/>
      <c r="N1175" s="1"/>
      <c r="R1175" s="1"/>
      <c r="V1175" s="1"/>
      <c r="AB1175" s="1"/>
      <c r="AF1175" s="1"/>
      <c r="AJ1175" s="1"/>
      <c r="AN1175" s="1"/>
      <c r="AS1175" s="1"/>
      <c r="AX1175" s="1"/>
    </row>
    <row r="1176" spans="1:50" x14ac:dyDescent="0.3">
      <c r="A1176" s="19">
        <f t="shared" si="94"/>
        <v>47561</v>
      </c>
      <c r="B1176">
        <f t="shared" ca="1" si="90"/>
        <v>-3.9138888888888888</v>
      </c>
      <c r="C1176" t="str">
        <f ca="1">IF(currency="USD",'Future et co'!D1176,IF(currency="EUR",'Future et co'!E1176,IF(currency="GBP",'Future et co'!F1176,FALSE)))</f>
        <v>RFR USD</v>
      </c>
      <c r="D1176" t="str">
        <f t="shared" ca="1" si="91"/>
        <v>RFR USD</v>
      </c>
      <c r="E1176" t="str">
        <f t="shared" ca="1" si="92"/>
        <v>RFR EUR</v>
      </c>
      <c r="F1176" t="str">
        <f t="shared" ca="1" si="93"/>
        <v>RFR GBP</v>
      </c>
      <c r="J1176" s="1"/>
      <c r="N1176" s="1"/>
      <c r="R1176" s="1"/>
      <c r="V1176" s="1"/>
      <c r="AB1176" s="1"/>
      <c r="AF1176" s="1"/>
      <c r="AJ1176" s="1"/>
      <c r="AN1176" s="1"/>
      <c r="AS1176" s="1"/>
      <c r="AX1176" s="1"/>
    </row>
    <row r="1177" spans="1:50" x14ac:dyDescent="0.3">
      <c r="A1177" s="19">
        <f t="shared" si="94"/>
        <v>47562</v>
      </c>
      <c r="B1177">
        <f t="shared" ca="1" si="90"/>
        <v>-3.9166666666666665</v>
      </c>
      <c r="C1177" t="str">
        <f ca="1">IF(currency="USD",'Future et co'!D1177,IF(currency="EUR",'Future et co'!E1177,IF(currency="GBP",'Future et co'!F1177,FALSE)))</f>
        <v>RFR USD</v>
      </c>
      <c r="D1177" t="str">
        <f t="shared" ca="1" si="91"/>
        <v>RFR USD</v>
      </c>
      <c r="E1177" t="str">
        <f t="shared" ca="1" si="92"/>
        <v>RFR EUR</v>
      </c>
      <c r="F1177" t="str">
        <f t="shared" ca="1" si="93"/>
        <v>RFR GBP</v>
      </c>
      <c r="J1177" s="1"/>
      <c r="N1177" s="1"/>
      <c r="R1177" s="1"/>
      <c r="V1177" s="1"/>
      <c r="AB1177" s="1"/>
      <c r="AF1177" s="1"/>
      <c r="AJ1177" s="1"/>
      <c r="AN1177" s="1"/>
      <c r="AS1177" s="1"/>
      <c r="AX1177" s="1"/>
    </row>
    <row r="1178" spans="1:50" x14ac:dyDescent="0.3">
      <c r="A1178" s="19">
        <f t="shared" si="94"/>
        <v>47563</v>
      </c>
      <c r="B1178">
        <f t="shared" ca="1" si="90"/>
        <v>-3.9194444444444443</v>
      </c>
      <c r="C1178" t="str">
        <f ca="1">IF(currency="USD",'Future et co'!D1178,IF(currency="EUR",'Future et co'!E1178,IF(currency="GBP",'Future et co'!F1178,FALSE)))</f>
        <v>RFR USD</v>
      </c>
      <c r="D1178" t="str">
        <f t="shared" ca="1" si="91"/>
        <v>RFR USD</v>
      </c>
      <c r="E1178" t="str">
        <f t="shared" ca="1" si="92"/>
        <v>RFR EUR</v>
      </c>
      <c r="F1178" t="str">
        <f t="shared" ca="1" si="93"/>
        <v>RFR GBP</v>
      </c>
      <c r="J1178" s="1"/>
      <c r="N1178" s="1"/>
      <c r="R1178" s="1"/>
      <c r="V1178" s="1"/>
      <c r="AB1178" s="1"/>
      <c r="AF1178" s="1"/>
      <c r="AJ1178" s="1"/>
      <c r="AN1178" s="1"/>
      <c r="AS1178" s="1"/>
      <c r="AX1178" s="1"/>
    </row>
    <row r="1179" spans="1:50" x14ac:dyDescent="0.3">
      <c r="A1179" s="19">
        <f t="shared" si="94"/>
        <v>47564</v>
      </c>
      <c r="B1179">
        <f t="shared" ca="1" si="90"/>
        <v>-3.9222222222222221</v>
      </c>
      <c r="C1179" t="str">
        <f ca="1">IF(currency="USD",'Future et co'!D1179,IF(currency="EUR",'Future et co'!E1179,IF(currency="GBP",'Future et co'!F1179,FALSE)))</f>
        <v>RFR USD</v>
      </c>
      <c r="D1179" t="str">
        <f t="shared" ca="1" si="91"/>
        <v>RFR USD</v>
      </c>
      <c r="E1179" t="str">
        <f t="shared" ca="1" si="92"/>
        <v>RFR EUR</v>
      </c>
      <c r="F1179" t="str">
        <f t="shared" ca="1" si="93"/>
        <v>RFR GBP</v>
      </c>
      <c r="J1179" s="1"/>
      <c r="N1179" s="1"/>
      <c r="R1179" s="1"/>
      <c r="V1179" s="1"/>
      <c r="AB1179" s="1"/>
      <c r="AF1179" s="1"/>
      <c r="AJ1179" s="1"/>
      <c r="AN1179" s="1"/>
      <c r="AS1179" s="1"/>
      <c r="AX1179" s="1"/>
    </row>
    <row r="1180" spans="1:50" x14ac:dyDescent="0.3">
      <c r="A1180" s="19">
        <f t="shared" si="94"/>
        <v>47567</v>
      </c>
      <c r="B1180">
        <f t="shared" ca="1" si="90"/>
        <v>-3.9305555555555554</v>
      </c>
      <c r="C1180" t="str">
        <f ca="1">IF(currency="USD",'Future et co'!D1180,IF(currency="EUR",'Future et co'!E1180,IF(currency="GBP",'Future et co'!F1180,FALSE)))</f>
        <v>RFR USD</v>
      </c>
      <c r="D1180" t="str">
        <f t="shared" ca="1" si="91"/>
        <v>RFR USD</v>
      </c>
      <c r="E1180" t="str">
        <f t="shared" ca="1" si="92"/>
        <v>RFR EUR</v>
      </c>
      <c r="F1180" t="str">
        <f t="shared" ca="1" si="93"/>
        <v>RFR GBP</v>
      </c>
      <c r="J1180" s="1"/>
      <c r="N1180" s="1"/>
      <c r="R1180" s="1"/>
      <c r="V1180" s="1"/>
      <c r="AB1180" s="1"/>
      <c r="AF1180" s="1"/>
      <c r="AJ1180" s="1"/>
      <c r="AN1180" s="1"/>
      <c r="AS1180" s="1"/>
      <c r="AX1180" s="1"/>
    </row>
    <row r="1181" spans="1:50" x14ac:dyDescent="0.3">
      <c r="A1181" s="19">
        <f t="shared" si="94"/>
        <v>47568</v>
      </c>
      <c r="B1181">
        <f t="shared" ca="1" si="90"/>
        <v>-3.9333333333333331</v>
      </c>
      <c r="C1181" t="str">
        <f ca="1">IF(currency="USD",'Future et co'!D1181,IF(currency="EUR",'Future et co'!E1181,IF(currency="GBP",'Future et co'!F1181,FALSE)))</f>
        <v>RFR USD</v>
      </c>
      <c r="D1181" t="str">
        <f t="shared" ca="1" si="91"/>
        <v>RFR USD</v>
      </c>
      <c r="E1181" t="str">
        <f t="shared" ca="1" si="92"/>
        <v>RFR EUR</v>
      </c>
      <c r="F1181" t="str">
        <f t="shared" ca="1" si="93"/>
        <v>RFR GBP</v>
      </c>
      <c r="J1181" s="1"/>
      <c r="N1181" s="1"/>
      <c r="R1181" s="1"/>
      <c r="V1181" s="1"/>
      <c r="AB1181" s="1"/>
      <c r="AF1181" s="1"/>
      <c r="AJ1181" s="1"/>
      <c r="AN1181" s="1"/>
      <c r="AS1181" s="1"/>
      <c r="AX1181" s="1"/>
    </row>
    <row r="1182" spans="1:50" x14ac:dyDescent="0.3">
      <c r="A1182" s="19">
        <f t="shared" si="94"/>
        <v>47569</v>
      </c>
      <c r="B1182">
        <f t="shared" ca="1" si="90"/>
        <v>-3.9361111111111109</v>
      </c>
      <c r="C1182" t="str">
        <f ca="1">IF(currency="USD",'Future et co'!D1182,IF(currency="EUR",'Future et co'!E1182,IF(currency="GBP",'Future et co'!F1182,FALSE)))</f>
        <v>RFR USD</v>
      </c>
      <c r="D1182" t="str">
        <f t="shared" ca="1" si="91"/>
        <v>RFR USD</v>
      </c>
      <c r="E1182" t="str">
        <f t="shared" ca="1" si="92"/>
        <v>RFR EUR</v>
      </c>
      <c r="F1182" t="str">
        <f t="shared" ca="1" si="93"/>
        <v>RFR GBP</v>
      </c>
      <c r="J1182" s="1"/>
      <c r="N1182" s="1"/>
      <c r="R1182" s="1"/>
      <c r="V1182" s="1"/>
      <c r="AB1182" s="1"/>
      <c r="AF1182" s="1"/>
      <c r="AJ1182" s="1"/>
      <c r="AN1182" s="1"/>
      <c r="AS1182" s="1"/>
      <c r="AX1182" s="1"/>
    </row>
    <row r="1183" spans="1:50" x14ac:dyDescent="0.3">
      <c r="A1183" s="19">
        <f t="shared" si="94"/>
        <v>47570</v>
      </c>
      <c r="B1183">
        <f t="shared" ca="1" si="90"/>
        <v>-3.9388888888888891</v>
      </c>
      <c r="C1183" t="str">
        <f ca="1">IF(currency="USD",'Future et co'!D1183,IF(currency="EUR",'Future et co'!E1183,IF(currency="GBP",'Future et co'!F1183,FALSE)))</f>
        <v>RFR USD</v>
      </c>
      <c r="D1183" t="str">
        <f t="shared" ca="1" si="91"/>
        <v>RFR USD</v>
      </c>
      <c r="E1183" t="str">
        <f t="shared" ca="1" si="92"/>
        <v>RFR EUR</v>
      </c>
      <c r="F1183" t="str">
        <f t="shared" ca="1" si="93"/>
        <v>RFR GBP</v>
      </c>
      <c r="J1183" s="1"/>
      <c r="N1183" s="1"/>
      <c r="R1183" s="1"/>
      <c r="V1183" s="1"/>
      <c r="AB1183" s="1"/>
      <c r="AF1183" s="1"/>
      <c r="AJ1183" s="1"/>
      <c r="AN1183" s="1"/>
      <c r="AS1183" s="1"/>
      <c r="AX1183" s="1"/>
    </row>
    <row r="1184" spans="1:50" x14ac:dyDescent="0.3">
      <c r="A1184" s="19">
        <f t="shared" si="94"/>
        <v>47571</v>
      </c>
      <c r="B1184">
        <f t="shared" ca="1" si="90"/>
        <v>-3.9416666666666669</v>
      </c>
      <c r="C1184" t="str">
        <f ca="1">IF(currency="USD",'Future et co'!D1184,IF(currency="EUR",'Future et co'!E1184,IF(currency="GBP",'Future et co'!F1184,FALSE)))</f>
        <v>RFR USD</v>
      </c>
      <c r="D1184" t="str">
        <f t="shared" ca="1" si="91"/>
        <v>RFR USD</v>
      </c>
      <c r="E1184" t="str">
        <f t="shared" ca="1" si="92"/>
        <v>RFR EUR</v>
      </c>
      <c r="F1184" t="str">
        <f t="shared" ca="1" si="93"/>
        <v>RFR GBP</v>
      </c>
      <c r="J1184" s="1"/>
      <c r="N1184" s="1"/>
      <c r="R1184" s="1"/>
      <c r="V1184" s="1"/>
      <c r="AB1184" s="1"/>
      <c r="AF1184" s="1"/>
      <c r="AJ1184" s="1"/>
      <c r="AN1184" s="1"/>
      <c r="AS1184" s="1"/>
      <c r="AX1184" s="1"/>
    </row>
    <row r="1185" spans="1:50" x14ac:dyDescent="0.3">
      <c r="A1185" s="19">
        <f t="shared" si="94"/>
        <v>47574</v>
      </c>
      <c r="B1185">
        <f t="shared" ca="1" si="90"/>
        <v>-3.95</v>
      </c>
      <c r="C1185" t="str">
        <f ca="1">IF(currency="USD",'Future et co'!D1185,IF(currency="EUR",'Future et co'!E1185,IF(currency="GBP",'Future et co'!F1185,FALSE)))</f>
        <v>RFR USD</v>
      </c>
      <c r="D1185" t="str">
        <f t="shared" ca="1" si="91"/>
        <v>RFR USD</v>
      </c>
      <c r="E1185" t="str">
        <f t="shared" ca="1" si="92"/>
        <v>RFR EUR</v>
      </c>
      <c r="F1185" t="str">
        <f t="shared" ca="1" si="93"/>
        <v>RFR GBP</v>
      </c>
      <c r="J1185" s="1"/>
      <c r="N1185" s="1"/>
      <c r="R1185" s="1"/>
      <c r="V1185" s="1"/>
      <c r="AB1185" s="1"/>
      <c r="AF1185" s="1"/>
      <c r="AJ1185" s="1"/>
      <c r="AN1185" s="1"/>
      <c r="AS1185" s="1"/>
      <c r="AX1185" s="1"/>
    </row>
    <row r="1186" spans="1:50" x14ac:dyDescent="0.3">
      <c r="A1186" s="19">
        <f t="shared" si="94"/>
        <v>47575</v>
      </c>
      <c r="B1186">
        <f t="shared" ca="1" si="90"/>
        <v>-3.9527777777777779</v>
      </c>
      <c r="C1186" t="str">
        <f ca="1">IF(currency="USD",'Future et co'!D1186,IF(currency="EUR",'Future et co'!E1186,IF(currency="GBP",'Future et co'!F1186,FALSE)))</f>
        <v>RFR USD</v>
      </c>
      <c r="D1186" t="str">
        <f t="shared" ca="1" si="91"/>
        <v>RFR USD</v>
      </c>
      <c r="E1186" t="str">
        <f t="shared" ca="1" si="92"/>
        <v>RFR EUR</v>
      </c>
      <c r="F1186" t="str">
        <f t="shared" ca="1" si="93"/>
        <v>RFR GBP</v>
      </c>
      <c r="J1186" s="1"/>
      <c r="N1186" s="1"/>
      <c r="R1186" s="1"/>
      <c r="V1186" s="1"/>
      <c r="AB1186" s="1"/>
      <c r="AF1186" s="1"/>
      <c r="AJ1186" s="1"/>
      <c r="AN1186" s="1"/>
      <c r="AS1186" s="1"/>
      <c r="AX1186" s="1"/>
    </row>
    <row r="1187" spans="1:50" x14ac:dyDescent="0.3">
      <c r="A1187" s="19">
        <f t="shared" si="94"/>
        <v>47576</v>
      </c>
      <c r="B1187">
        <f t="shared" ca="1" si="90"/>
        <v>-3.9555555555555557</v>
      </c>
      <c r="C1187" t="str">
        <f ca="1">IF(currency="USD",'Future et co'!D1187,IF(currency="EUR",'Future et co'!E1187,IF(currency="GBP",'Future et co'!F1187,FALSE)))</f>
        <v>RFR USD</v>
      </c>
      <c r="D1187" t="str">
        <f t="shared" ca="1" si="91"/>
        <v>RFR USD</v>
      </c>
      <c r="E1187" t="str">
        <f t="shared" ca="1" si="92"/>
        <v>RFR EUR</v>
      </c>
      <c r="F1187" t="str">
        <f t="shared" ca="1" si="93"/>
        <v>RFR GBP</v>
      </c>
      <c r="J1187" s="1"/>
      <c r="N1187" s="1"/>
      <c r="R1187" s="1"/>
      <c r="V1187" s="1"/>
      <c r="AB1187" s="1"/>
      <c r="AF1187" s="1"/>
      <c r="AJ1187" s="1"/>
      <c r="AN1187" s="1"/>
      <c r="AS1187" s="1"/>
      <c r="AX1187" s="1"/>
    </row>
    <row r="1188" spans="1:50" x14ac:dyDescent="0.3">
      <c r="A1188" s="19">
        <f t="shared" si="94"/>
        <v>47577</v>
      </c>
      <c r="B1188">
        <f t="shared" ca="1" si="90"/>
        <v>-3.9583333333333335</v>
      </c>
      <c r="C1188" t="str">
        <f ca="1">IF(currency="USD",'Future et co'!D1188,IF(currency="EUR",'Future et co'!E1188,IF(currency="GBP",'Future et co'!F1188,FALSE)))</f>
        <v>RFR USD</v>
      </c>
      <c r="D1188" t="str">
        <f t="shared" ca="1" si="91"/>
        <v>RFR USD</v>
      </c>
      <c r="E1188" t="str">
        <f t="shared" ca="1" si="92"/>
        <v>RFR EUR</v>
      </c>
      <c r="F1188" t="str">
        <f t="shared" ca="1" si="93"/>
        <v>RFR GBP</v>
      </c>
      <c r="J1188" s="1"/>
      <c r="N1188" s="1"/>
      <c r="R1188" s="1"/>
      <c r="V1188" s="1"/>
      <c r="AB1188" s="1"/>
      <c r="AF1188" s="1"/>
      <c r="AJ1188" s="1"/>
      <c r="AN1188" s="1"/>
      <c r="AS1188" s="1"/>
      <c r="AX1188" s="1"/>
    </row>
    <row r="1189" spans="1:50" x14ac:dyDescent="0.3">
      <c r="A1189" s="19">
        <f t="shared" si="94"/>
        <v>47578</v>
      </c>
      <c r="B1189">
        <f t="shared" ca="1" si="90"/>
        <v>-3.9611111111111112</v>
      </c>
      <c r="C1189" t="str">
        <f ca="1">IF(currency="USD",'Future et co'!D1189,IF(currency="EUR",'Future et co'!E1189,IF(currency="GBP",'Future et co'!F1189,FALSE)))</f>
        <v>RFR USD</v>
      </c>
      <c r="D1189" t="str">
        <f t="shared" ca="1" si="91"/>
        <v>RFR USD</v>
      </c>
      <c r="E1189" t="str">
        <f t="shared" ca="1" si="92"/>
        <v>RFR EUR</v>
      </c>
      <c r="F1189" t="str">
        <f t="shared" ca="1" si="93"/>
        <v>RFR GBP</v>
      </c>
      <c r="J1189" s="1"/>
      <c r="N1189" s="1"/>
      <c r="R1189" s="1"/>
      <c r="V1189" s="1"/>
      <c r="AB1189" s="1"/>
      <c r="AF1189" s="1"/>
      <c r="AJ1189" s="1"/>
      <c r="AN1189" s="1"/>
      <c r="AS1189" s="1"/>
      <c r="AX1189" s="1"/>
    </row>
    <row r="1190" spans="1:50" x14ac:dyDescent="0.3">
      <c r="A1190" s="19">
        <f t="shared" si="94"/>
        <v>47581</v>
      </c>
      <c r="B1190">
        <f t="shared" ca="1" si="90"/>
        <v>-3.9694444444444446</v>
      </c>
      <c r="C1190" t="str">
        <f ca="1">IF(currency="USD",'Future et co'!D1190,IF(currency="EUR",'Future et co'!E1190,IF(currency="GBP",'Future et co'!F1190,FALSE)))</f>
        <v>RFR USD</v>
      </c>
      <c r="D1190" t="str">
        <f t="shared" ca="1" si="91"/>
        <v>RFR USD</v>
      </c>
      <c r="E1190" t="str">
        <f t="shared" ca="1" si="92"/>
        <v>RFR EUR</v>
      </c>
      <c r="F1190" t="str">
        <f t="shared" ca="1" si="93"/>
        <v>RFR GBP</v>
      </c>
      <c r="J1190" s="1"/>
      <c r="N1190" s="1"/>
      <c r="R1190" s="1"/>
      <c r="V1190" s="1"/>
      <c r="AB1190" s="1"/>
      <c r="AF1190" s="1"/>
      <c r="AJ1190" s="1"/>
      <c r="AN1190" s="1"/>
      <c r="AS1190" s="1"/>
      <c r="AX1190" s="1"/>
    </row>
    <row r="1191" spans="1:50" x14ac:dyDescent="0.3">
      <c r="A1191" s="19">
        <f t="shared" si="94"/>
        <v>47582</v>
      </c>
      <c r="B1191">
        <f t="shared" ca="1" si="90"/>
        <v>-3.9722222222222223</v>
      </c>
      <c r="C1191" t="str">
        <f ca="1">IF(currency="USD",'Future et co'!D1191,IF(currency="EUR",'Future et co'!E1191,IF(currency="GBP",'Future et co'!F1191,FALSE)))</f>
        <v>RFR USD</v>
      </c>
      <c r="D1191" t="str">
        <f t="shared" ca="1" si="91"/>
        <v>RFR USD</v>
      </c>
      <c r="E1191" t="str">
        <f t="shared" ca="1" si="92"/>
        <v>RFR EUR</v>
      </c>
      <c r="F1191" t="str">
        <f t="shared" ca="1" si="93"/>
        <v>RFR GBP</v>
      </c>
      <c r="J1191" s="1"/>
      <c r="N1191" s="1"/>
      <c r="R1191" s="1"/>
      <c r="V1191" s="1"/>
      <c r="AB1191" s="1"/>
      <c r="AF1191" s="1"/>
      <c r="AJ1191" s="1"/>
      <c r="AN1191" s="1"/>
      <c r="AS1191" s="1"/>
      <c r="AX1191" s="1"/>
    </row>
    <row r="1192" spans="1:50" x14ac:dyDescent="0.3">
      <c r="A1192" s="19">
        <f t="shared" si="94"/>
        <v>47583</v>
      </c>
      <c r="B1192">
        <f t="shared" ca="1" si="90"/>
        <v>-3.9750000000000001</v>
      </c>
      <c r="C1192" t="str">
        <f ca="1">IF(currency="USD",'Future et co'!D1192,IF(currency="EUR",'Future et co'!E1192,IF(currency="GBP",'Future et co'!F1192,FALSE)))</f>
        <v>RFR USD</v>
      </c>
      <c r="D1192" t="str">
        <f t="shared" ca="1" si="91"/>
        <v>RFR USD</v>
      </c>
      <c r="E1192" t="str">
        <f t="shared" ca="1" si="92"/>
        <v>RFR EUR</v>
      </c>
      <c r="F1192" t="str">
        <f t="shared" ca="1" si="93"/>
        <v>RFR GBP</v>
      </c>
      <c r="J1192" s="1"/>
      <c r="N1192" s="1"/>
      <c r="R1192" s="1"/>
      <c r="V1192" s="1"/>
      <c r="AB1192" s="1"/>
      <c r="AF1192" s="1"/>
      <c r="AJ1192" s="1"/>
      <c r="AN1192" s="1"/>
      <c r="AS1192" s="1"/>
      <c r="AX1192" s="1"/>
    </row>
    <row r="1193" spans="1:50" x14ac:dyDescent="0.3">
      <c r="A1193" s="19">
        <f t="shared" si="94"/>
        <v>47584</v>
      </c>
      <c r="B1193">
        <f t="shared" ca="1" si="90"/>
        <v>-3.9777777777777779</v>
      </c>
      <c r="C1193" t="str">
        <f ca="1">IF(currency="USD",'Future et co'!D1193,IF(currency="EUR",'Future et co'!E1193,IF(currency="GBP",'Future et co'!F1193,FALSE)))</f>
        <v>RFR USD</v>
      </c>
      <c r="D1193" t="str">
        <f t="shared" ca="1" si="91"/>
        <v>RFR USD</v>
      </c>
      <c r="E1193" t="str">
        <f t="shared" ca="1" si="92"/>
        <v>RFR EUR</v>
      </c>
      <c r="F1193" t="str">
        <f t="shared" ca="1" si="93"/>
        <v>RFR GBP</v>
      </c>
      <c r="J1193" s="1"/>
      <c r="N1193" s="1"/>
      <c r="R1193" s="1"/>
      <c r="V1193" s="1"/>
      <c r="AB1193" s="1"/>
      <c r="AF1193" s="1"/>
      <c r="AJ1193" s="1"/>
      <c r="AN1193" s="1"/>
      <c r="AS1193" s="1"/>
      <c r="AX1193" s="1"/>
    </row>
    <row r="1194" spans="1:50" x14ac:dyDescent="0.3">
      <c r="A1194" s="19">
        <f t="shared" si="94"/>
        <v>47585</v>
      </c>
      <c r="B1194">
        <f t="shared" ca="1" si="90"/>
        <v>-3.9805555555555556</v>
      </c>
      <c r="C1194" t="str">
        <f ca="1">IF(currency="USD",'Future et co'!D1194,IF(currency="EUR",'Future et co'!E1194,IF(currency="GBP",'Future et co'!F1194,FALSE)))</f>
        <v>RFR USD</v>
      </c>
      <c r="D1194" t="str">
        <f t="shared" ca="1" si="91"/>
        <v>RFR USD</v>
      </c>
      <c r="E1194" t="str">
        <f t="shared" ca="1" si="92"/>
        <v>RFR EUR</v>
      </c>
      <c r="F1194" t="str">
        <f t="shared" ca="1" si="93"/>
        <v>RFR GBP</v>
      </c>
      <c r="J1194" s="1"/>
      <c r="N1194" s="1"/>
      <c r="R1194" s="1"/>
      <c r="V1194" s="1"/>
      <c r="AB1194" s="1"/>
      <c r="AF1194" s="1"/>
      <c r="AJ1194" s="1"/>
      <c r="AN1194" s="1"/>
      <c r="AS1194" s="1"/>
      <c r="AX1194" s="1"/>
    </row>
    <row r="1195" spans="1:50" x14ac:dyDescent="0.3">
      <c r="A1195" s="19">
        <f t="shared" si="94"/>
        <v>47588</v>
      </c>
      <c r="B1195">
        <f t="shared" ca="1" si="90"/>
        <v>-3.9888888888888889</v>
      </c>
      <c r="C1195" t="str">
        <f ca="1">IF(currency="USD",'Future et co'!D1195,IF(currency="EUR",'Future et co'!E1195,IF(currency="GBP",'Future et co'!F1195,FALSE)))</f>
        <v>RFR USD</v>
      </c>
      <c r="D1195" t="str">
        <f t="shared" ca="1" si="91"/>
        <v>RFR USD</v>
      </c>
      <c r="E1195" t="str">
        <f t="shared" ca="1" si="92"/>
        <v>RFR EUR</v>
      </c>
      <c r="F1195" t="str">
        <f t="shared" ca="1" si="93"/>
        <v>RFR GBP</v>
      </c>
      <c r="J1195" s="1"/>
      <c r="N1195" s="1"/>
      <c r="R1195" s="1"/>
      <c r="V1195" s="1"/>
      <c r="AB1195" s="1"/>
      <c r="AF1195" s="1"/>
      <c r="AJ1195" s="1"/>
      <c r="AN1195" s="1"/>
      <c r="AS1195" s="1"/>
      <c r="AX1195" s="1"/>
    </row>
    <row r="1196" spans="1:50" x14ac:dyDescent="0.3">
      <c r="A1196" s="19">
        <f t="shared" si="94"/>
        <v>47589</v>
      </c>
      <c r="B1196">
        <f t="shared" ca="1" si="90"/>
        <v>-3.9916666666666667</v>
      </c>
      <c r="C1196" t="str">
        <f ca="1">IF(currency="USD",'Future et co'!D1196,IF(currency="EUR",'Future et co'!E1196,IF(currency="GBP",'Future et co'!F1196,FALSE)))</f>
        <v>RFR USD</v>
      </c>
      <c r="D1196" t="str">
        <f t="shared" ca="1" si="91"/>
        <v>RFR USD</v>
      </c>
      <c r="E1196" t="str">
        <f t="shared" ca="1" si="92"/>
        <v>RFR EUR</v>
      </c>
      <c r="F1196" t="str">
        <f t="shared" ca="1" si="93"/>
        <v>RFR GBP</v>
      </c>
      <c r="J1196" s="1"/>
      <c r="N1196" s="1"/>
      <c r="R1196" s="1"/>
      <c r="V1196" s="1"/>
      <c r="AB1196" s="1"/>
      <c r="AF1196" s="1"/>
      <c r="AJ1196" s="1"/>
      <c r="AN1196" s="1"/>
      <c r="AS1196" s="1"/>
      <c r="AX1196" s="1"/>
    </row>
    <row r="1197" spans="1:50" x14ac:dyDescent="0.3">
      <c r="A1197" s="19">
        <f t="shared" si="94"/>
        <v>47590</v>
      </c>
      <c r="B1197">
        <f t="shared" ca="1" si="90"/>
        <v>-3.9944444444444445</v>
      </c>
      <c r="C1197" t="str">
        <f ca="1">IF(currency="USD",'Future et co'!D1197,IF(currency="EUR",'Future et co'!E1197,IF(currency="GBP",'Future et co'!F1197,FALSE)))</f>
        <v>RFR USD</v>
      </c>
      <c r="D1197" t="str">
        <f t="shared" ca="1" si="91"/>
        <v>RFR USD</v>
      </c>
      <c r="E1197" t="str">
        <f t="shared" ca="1" si="92"/>
        <v>RFR EUR</v>
      </c>
      <c r="F1197" t="str">
        <f t="shared" ca="1" si="93"/>
        <v>RFR GBP</v>
      </c>
      <c r="J1197" s="1"/>
      <c r="N1197" s="1"/>
      <c r="R1197" s="1"/>
      <c r="V1197" s="1"/>
      <c r="AB1197" s="1"/>
      <c r="AF1197" s="1"/>
      <c r="AJ1197" s="1"/>
      <c r="AN1197" s="1"/>
      <c r="AS1197" s="1"/>
      <c r="AX1197" s="1"/>
    </row>
    <row r="1198" spans="1:50" x14ac:dyDescent="0.3">
      <c r="A1198" s="19">
        <f t="shared" si="94"/>
        <v>47591</v>
      </c>
      <c r="B1198">
        <f t="shared" ca="1" si="90"/>
        <v>-3.9972222222222222</v>
      </c>
      <c r="C1198" t="str">
        <f ca="1">IF(currency="USD",'Future et co'!D1198,IF(currency="EUR",'Future et co'!E1198,IF(currency="GBP",'Future et co'!F1198,FALSE)))</f>
        <v>RFR USD</v>
      </c>
      <c r="D1198" t="str">
        <f t="shared" ca="1" si="91"/>
        <v>RFR USD</v>
      </c>
      <c r="E1198" t="str">
        <f t="shared" ca="1" si="92"/>
        <v>RFR EUR</v>
      </c>
      <c r="F1198" t="str">
        <f t="shared" ca="1" si="93"/>
        <v>RFR GBP</v>
      </c>
      <c r="J1198" s="1"/>
      <c r="N1198" s="1"/>
      <c r="R1198" s="1"/>
      <c r="V1198" s="1"/>
      <c r="AB1198" s="1"/>
      <c r="AF1198" s="1"/>
      <c r="AJ1198" s="1"/>
      <c r="AN1198" s="1"/>
      <c r="AS1198" s="1"/>
      <c r="AX1198" s="1"/>
    </row>
    <row r="1199" spans="1:50" x14ac:dyDescent="0.3">
      <c r="A1199" s="19">
        <f t="shared" si="94"/>
        <v>47592</v>
      </c>
      <c r="B1199">
        <f t="shared" ca="1" si="90"/>
        <v>-4</v>
      </c>
      <c r="C1199" t="str">
        <f ca="1">IF(currency="USD",'Future et co'!D1199,IF(currency="EUR",'Future et co'!E1199,IF(currency="GBP",'Future et co'!F1199,FALSE)))</f>
        <v>RFR USD</v>
      </c>
      <c r="D1199" t="str">
        <f t="shared" ca="1" si="91"/>
        <v>RFR USD</v>
      </c>
      <c r="E1199" t="str">
        <f t="shared" ca="1" si="92"/>
        <v>RFR EUR</v>
      </c>
      <c r="F1199" t="str">
        <f t="shared" ca="1" si="93"/>
        <v>RFR GBP</v>
      </c>
      <c r="J1199" s="1"/>
      <c r="N1199" s="1"/>
      <c r="R1199" s="1"/>
      <c r="V1199" s="1"/>
      <c r="AB1199" s="1"/>
      <c r="AF1199" s="1"/>
      <c r="AJ1199" s="1"/>
      <c r="AN1199" s="1"/>
      <c r="AS1199" s="1"/>
      <c r="AX1199" s="1"/>
    </row>
    <row r="1200" spans="1:50" x14ac:dyDescent="0.3">
      <c r="A1200" s="19">
        <f t="shared" si="94"/>
        <v>47595</v>
      </c>
      <c r="B1200">
        <f t="shared" ca="1" si="90"/>
        <v>-4.0083333333333337</v>
      </c>
      <c r="C1200" t="str">
        <f ca="1">IF(currency="USD",'Future et co'!D1200,IF(currency="EUR",'Future et co'!E1200,IF(currency="GBP",'Future et co'!F1200,FALSE)))</f>
        <v>RFR USD</v>
      </c>
      <c r="D1200" t="str">
        <f t="shared" ca="1" si="91"/>
        <v>RFR USD</v>
      </c>
      <c r="E1200" t="str">
        <f t="shared" ca="1" si="92"/>
        <v>RFR EUR</v>
      </c>
      <c r="F1200" t="str">
        <f t="shared" ca="1" si="93"/>
        <v>RFR GBP</v>
      </c>
      <c r="J1200" s="1"/>
      <c r="N1200" s="1"/>
      <c r="R1200" s="1"/>
      <c r="V1200" s="1"/>
      <c r="AB1200" s="1"/>
      <c r="AF1200" s="1"/>
      <c r="AJ1200" s="1"/>
      <c r="AN1200" s="1"/>
      <c r="AS1200" s="1"/>
      <c r="AX1200" s="1"/>
    </row>
    <row r="1201" spans="1:50" x14ac:dyDescent="0.3">
      <c r="A1201" s="19">
        <f t="shared" si="94"/>
        <v>47596</v>
      </c>
      <c r="B1201">
        <f t="shared" ca="1" si="90"/>
        <v>-4.0111111111111111</v>
      </c>
      <c r="C1201" t="str">
        <f ca="1">IF(currency="USD",'Future et co'!D1201,IF(currency="EUR",'Future et co'!E1201,IF(currency="GBP",'Future et co'!F1201,FALSE)))</f>
        <v>RFR USD</v>
      </c>
      <c r="D1201" t="str">
        <f t="shared" ca="1" si="91"/>
        <v>RFR USD</v>
      </c>
      <c r="E1201" t="str">
        <f t="shared" ca="1" si="92"/>
        <v>RFR EUR</v>
      </c>
      <c r="F1201" t="str">
        <f t="shared" ca="1" si="93"/>
        <v>RFR GBP</v>
      </c>
      <c r="J1201" s="1"/>
      <c r="N1201" s="1"/>
      <c r="R1201" s="1"/>
      <c r="V1201" s="1"/>
      <c r="AB1201" s="1"/>
      <c r="AF1201" s="1"/>
      <c r="AJ1201" s="1"/>
      <c r="AN1201" s="1"/>
      <c r="AS1201" s="1"/>
      <c r="AX1201" s="1"/>
    </row>
    <row r="1202" spans="1:50" x14ac:dyDescent="0.3">
      <c r="A1202" s="19">
        <f t="shared" si="94"/>
        <v>47597</v>
      </c>
      <c r="B1202">
        <f t="shared" ca="1" si="90"/>
        <v>-4.0138888888888893</v>
      </c>
      <c r="C1202" t="str">
        <f ca="1">IF(currency="USD",'Future et co'!D1202,IF(currency="EUR",'Future et co'!E1202,IF(currency="GBP",'Future et co'!F1202,FALSE)))</f>
        <v>RFR USD</v>
      </c>
      <c r="D1202" t="str">
        <f t="shared" ca="1" si="91"/>
        <v>RFR USD</v>
      </c>
      <c r="E1202" t="str">
        <f t="shared" ca="1" si="92"/>
        <v>RFR EUR</v>
      </c>
      <c r="F1202" t="str">
        <f t="shared" ca="1" si="93"/>
        <v>RFR GBP</v>
      </c>
      <c r="J1202" s="1"/>
      <c r="N1202" s="1"/>
      <c r="R1202" s="1"/>
      <c r="V1202" s="1"/>
      <c r="AB1202" s="1"/>
      <c r="AF1202" s="1"/>
      <c r="AJ1202" s="1"/>
      <c r="AN1202" s="1"/>
      <c r="AS1202" s="1"/>
      <c r="AX1202" s="1"/>
    </row>
    <row r="1203" spans="1:50" x14ac:dyDescent="0.3">
      <c r="A1203" s="19">
        <f t="shared" si="94"/>
        <v>47598</v>
      </c>
      <c r="B1203">
        <f t="shared" ca="1" si="90"/>
        <v>-4.0166666666666666</v>
      </c>
      <c r="C1203" t="str">
        <f ca="1">IF(currency="USD",'Future et co'!D1203,IF(currency="EUR",'Future et co'!E1203,IF(currency="GBP",'Future et co'!F1203,FALSE)))</f>
        <v>RFR USD</v>
      </c>
      <c r="D1203" t="str">
        <f t="shared" ca="1" si="91"/>
        <v>RFR USD</v>
      </c>
      <c r="E1203" t="str">
        <f t="shared" ca="1" si="92"/>
        <v>RFR EUR</v>
      </c>
      <c r="F1203" t="str">
        <f t="shared" ca="1" si="93"/>
        <v>RFR GBP</v>
      </c>
      <c r="J1203" s="1"/>
      <c r="N1203" s="1"/>
      <c r="R1203" s="1"/>
      <c r="V1203" s="1"/>
      <c r="AB1203" s="1"/>
      <c r="AF1203" s="1"/>
      <c r="AJ1203" s="1"/>
      <c r="AN1203" s="1"/>
      <c r="AS1203" s="1"/>
      <c r="AX1203" s="1"/>
    </row>
    <row r="1204" spans="1:50" x14ac:dyDescent="0.3">
      <c r="A1204" s="19">
        <f t="shared" si="94"/>
        <v>47599</v>
      </c>
      <c r="B1204">
        <f t="shared" ca="1" si="90"/>
        <v>-4.0194444444444448</v>
      </c>
      <c r="C1204" t="str">
        <f ca="1">IF(currency="USD",'Future et co'!D1204,IF(currency="EUR",'Future et co'!E1204,IF(currency="GBP",'Future et co'!F1204,FALSE)))</f>
        <v>RFR USD</v>
      </c>
      <c r="D1204" t="str">
        <f t="shared" ca="1" si="91"/>
        <v>RFR USD</v>
      </c>
      <c r="E1204" t="str">
        <f t="shared" ca="1" si="92"/>
        <v>RFR EUR</v>
      </c>
      <c r="F1204" t="str">
        <f t="shared" ca="1" si="93"/>
        <v>RFR GBP</v>
      </c>
      <c r="J1204" s="1"/>
      <c r="N1204" s="1"/>
      <c r="R1204" s="1"/>
      <c r="V1204" s="1"/>
      <c r="AB1204" s="1"/>
      <c r="AF1204" s="1"/>
      <c r="AJ1204" s="1"/>
      <c r="AN1204" s="1"/>
      <c r="AS1204" s="1"/>
      <c r="AX1204" s="1"/>
    </row>
    <row r="1205" spans="1:50" x14ac:dyDescent="0.3">
      <c r="A1205" s="19">
        <f t="shared" si="94"/>
        <v>47602</v>
      </c>
      <c r="B1205">
        <f t="shared" ca="1" si="90"/>
        <v>-4.0277777777777777</v>
      </c>
      <c r="C1205" t="str">
        <f ca="1">IF(currency="USD",'Future et co'!D1205,IF(currency="EUR",'Future et co'!E1205,IF(currency="GBP",'Future et co'!F1205,FALSE)))</f>
        <v>RFR USD</v>
      </c>
      <c r="D1205" t="str">
        <f t="shared" ca="1" si="91"/>
        <v>RFR USD</v>
      </c>
      <c r="E1205" t="str">
        <f t="shared" ca="1" si="92"/>
        <v>RFR EUR</v>
      </c>
      <c r="F1205" t="str">
        <f t="shared" ca="1" si="93"/>
        <v>RFR GBP</v>
      </c>
      <c r="J1205" s="1"/>
      <c r="N1205" s="1"/>
      <c r="R1205" s="1"/>
      <c r="V1205" s="1"/>
      <c r="AB1205" s="1"/>
      <c r="AF1205" s="1"/>
      <c r="AJ1205" s="1"/>
      <c r="AN1205" s="1"/>
      <c r="AS1205" s="1"/>
      <c r="AX1205" s="1"/>
    </row>
    <row r="1206" spans="1:50" x14ac:dyDescent="0.3">
      <c r="A1206" s="19">
        <f t="shared" si="94"/>
        <v>47603</v>
      </c>
      <c r="B1206">
        <f t="shared" ca="1" si="90"/>
        <v>-4.0305555555555559</v>
      </c>
      <c r="C1206" t="str">
        <f ca="1">IF(currency="USD",'Future et co'!D1206,IF(currency="EUR",'Future et co'!E1206,IF(currency="GBP",'Future et co'!F1206,FALSE)))</f>
        <v>RFR USD</v>
      </c>
      <c r="D1206" t="str">
        <f t="shared" ca="1" si="91"/>
        <v>RFR USD</v>
      </c>
      <c r="E1206" t="str">
        <f t="shared" ca="1" si="92"/>
        <v>RFR EUR</v>
      </c>
      <c r="F1206" t="str">
        <f t="shared" ca="1" si="93"/>
        <v>RFR GBP</v>
      </c>
      <c r="J1206" s="1"/>
      <c r="N1206" s="1"/>
      <c r="R1206" s="1"/>
      <c r="V1206" s="1"/>
      <c r="AB1206" s="1"/>
      <c r="AF1206" s="1"/>
      <c r="AJ1206" s="1"/>
      <c r="AN1206" s="1"/>
      <c r="AS1206" s="1"/>
      <c r="AX1206" s="1"/>
    </row>
    <row r="1207" spans="1:50" x14ac:dyDescent="0.3">
      <c r="A1207" s="19">
        <f t="shared" si="94"/>
        <v>47604</v>
      </c>
      <c r="B1207">
        <f t="shared" ca="1" si="90"/>
        <v>-4.0333333333333332</v>
      </c>
      <c r="C1207" t="str">
        <f ca="1">IF(currency="USD",'Future et co'!D1207,IF(currency="EUR",'Future et co'!E1207,IF(currency="GBP",'Future et co'!F1207,FALSE)))</f>
        <v>RFR USD</v>
      </c>
      <c r="D1207" t="str">
        <f t="shared" ca="1" si="91"/>
        <v>RFR USD</v>
      </c>
      <c r="E1207" t="str">
        <f t="shared" ca="1" si="92"/>
        <v>RFR EUR</v>
      </c>
      <c r="F1207" t="str">
        <f t="shared" ca="1" si="93"/>
        <v>RFR GBP</v>
      </c>
      <c r="J1207" s="1"/>
      <c r="N1207" s="1"/>
      <c r="R1207" s="1"/>
      <c r="V1207" s="1"/>
      <c r="AB1207" s="1"/>
      <c r="AF1207" s="1"/>
      <c r="AJ1207" s="1"/>
      <c r="AN1207" s="1"/>
      <c r="AS1207" s="1"/>
      <c r="AX1207" s="1"/>
    </row>
    <row r="1208" spans="1:50" x14ac:dyDescent="0.3">
      <c r="A1208" s="19">
        <f t="shared" si="94"/>
        <v>47605</v>
      </c>
      <c r="B1208">
        <f t="shared" ca="1" si="90"/>
        <v>-4.0361111111111114</v>
      </c>
      <c r="C1208" t="str">
        <f ca="1">IF(currency="USD",'Future et co'!D1208,IF(currency="EUR",'Future et co'!E1208,IF(currency="GBP",'Future et co'!F1208,FALSE)))</f>
        <v>RFR USD</v>
      </c>
      <c r="D1208" t="str">
        <f t="shared" ca="1" si="91"/>
        <v>RFR USD</v>
      </c>
      <c r="E1208" t="str">
        <f t="shared" ca="1" si="92"/>
        <v>RFR EUR</v>
      </c>
      <c r="F1208" t="str">
        <f t="shared" ca="1" si="93"/>
        <v>RFR GBP</v>
      </c>
      <c r="J1208" s="1"/>
      <c r="N1208" s="1"/>
      <c r="R1208" s="1"/>
      <c r="V1208" s="1"/>
      <c r="AB1208" s="1"/>
      <c r="AF1208" s="1"/>
      <c r="AJ1208" s="1"/>
      <c r="AN1208" s="1"/>
      <c r="AS1208" s="1"/>
      <c r="AX1208" s="1"/>
    </row>
    <row r="1209" spans="1:50" x14ac:dyDescent="0.3">
      <c r="A1209" s="19">
        <f t="shared" si="94"/>
        <v>47606</v>
      </c>
      <c r="B1209">
        <f t="shared" ca="1" si="90"/>
        <v>-4.0388888888888888</v>
      </c>
      <c r="C1209" t="str">
        <f ca="1">IF(currency="USD",'Future et co'!D1209,IF(currency="EUR",'Future et co'!E1209,IF(currency="GBP",'Future et co'!F1209,FALSE)))</f>
        <v>RFR USD</v>
      </c>
      <c r="D1209" t="str">
        <f t="shared" ca="1" si="91"/>
        <v>RFR USD</v>
      </c>
      <c r="E1209" t="str">
        <f t="shared" ca="1" si="92"/>
        <v>RFR EUR</v>
      </c>
      <c r="F1209" t="str">
        <f t="shared" ca="1" si="93"/>
        <v>RFR GBP</v>
      </c>
      <c r="J1209" s="1"/>
      <c r="N1209" s="1"/>
      <c r="R1209" s="1"/>
      <c r="V1209" s="1"/>
      <c r="AB1209" s="1"/>
      <c r="AF1209" s="1"/>
      <c r="AJ1209" s="1"/>
      <c r="AN1209" s="1"/>
      <c r="AS1209" s="1"/>
      <c r="AX1209" s="1"/>
    </row>
    <row r="1210" spans="1:50" x14ac:dyDescent="0.3">
      <c r="A1210" s="19">
        <f t="shared" si="94"/>
        <v>47609</v>
      </c>
      <c r="B1210">
        <f t="shared" ca="1" si="90"/>
        <v>-4.0472222222222225</v>
      </c>
      <c r="C1210" t="str">
        <f ca="1">IF(currency="USD",'Future et co'!D1210,IF(currency="EUR",'Future et co'!E1210,IF(currency="GBP",'Future et co'!F1210,FALSE)))</f>
        <v>RFR USD</v>
      </c>
      <c r="D1210" t="str">
        <f t="shared" ca="1" si="91"/>
        <v>RFR USD</v>
      </c>
      <c r="E1210" t="str">
        <f t="shared" ca="1" si="92"/>
        <v>RFR EUR</v>
      </c>
      <c r="F1210" t="str">
        <f t="shared" ca="1" si="93"/>
        <v>RFR GBP</v>
      </c>
      <c r="J1210" s="1"/>
      <c r="N1210" s="1"/>
      <c r="R1210" s="1"/>
      <c r="V1210" s="1"/>
      <c r="AB1210" s="1"/>
      <c r="AF1210" s="1"/>
      <c r="AJ1210" s="1"/>
      <c r="AN1210" s="1"/>
      <c r="AS1210" s="1"/>
      <c r="AX1210" s="1"/>
    </row>
    <row r="1211" spans="1:50" x14ac:dyDescent="0.3">
      <c r="A1211" s="19">
        <f t="shared" si="94"/>
        <v>47610</v>
      </c>
      <c r="B1211">
        <f t="shared" ca="1" si="90"/>
        <v>-4.05</v>
      </c>
      <c r="C1211" t="str">
        <f ca="1">IF(currency="USD",'Future et co'!D1211,IF(currency="EUR",'Future et co'!E1211,IF(currency="GBP",'Future et co'!F1211,FALSE)))</f>
        <v>RFR USD</v>
      </c>
      <c r="D1211" t="str">
        <f t="shared" ca="1" si="91"/>
        <v>RFR USD</v>
      </c>
      <c r="E1211" t="str">
        <f t="shared" ca="1" si="92"/>
        <v>RFR EUR</v>
      </c>
      <c r="F1211" t="str">
        <f t="shared" ca="1" si="93"/>
        <v>RFR GBP</v>
      </c>
      <c r="J1211" s="1"/>
      <c r="N1211" s="1"/>
      <c r="R1211" s="1"/>
      <c r="V1211" s="1"/>
      <c r="AB1211" s="1"/>
      <c r="AF1211" s="1"/>
      <c r="AJ1211" s="1"/>
      <c r="AN1211" s="1"/>
      <c r="AS1211" s="1"/>
      <c r="AX1211" s="1"/>
    </row>
    <row r="1212" spans="1:50" x14ac:dyDescent="0.3">
      <c r="A1212" s="19">
        <f t="shared" si="94"/>
        <v>47611</v>
      </c>
      <c r="B1212">
        <f t="shared" ca="1" si="90"/>
        <v>-4.052777777777778</v>
      </c>
      <c r="C1212" t="str">
        <f ca="1">IF(currency="USD",'Future et co'!D1212,IF(currency="EUR",'Future et co'!E1212,IF(currency="GBP",'Future et co'!F1212,FALSE)))</f>
        <v>RFR USD</v>
      </c>
      <c r="D1212" t="str">
        <f t="shared" ca="1" si="91"/>
        <v>RFR USD</v>
      </c>
      <c r="E1212" t="str">
        <f t="shared" ca="1" si="92"/>
        <v>RFR EUR</v>
      </c>
      <c r="F1212" t="str">
        <f t="shared" ca="1" si="93"/>
        <v>RFR GBP</v>
      </c>
      <c r="J1212" s="1"/>
      <c r="N1212" s="1"/>
      <c r="R1212" s="1"/>
      <c r="V1212" s="1"/>
      <c r="AB1212" s="1"/>
      <c r="AF1212" s="1"/>
      <c r="AJ1212" s="1"/>
      <c r="AN1212" s="1"/>
      <c r="AS1212" s="1"/>
      <c r="AX1212" s="1"/>
    </row>
    <row r="1213" spans="1:50" x14ac:dyDescent="0.3">
      <c r="A1213" s="19">
        <f t="shared" si="94"/>
        <v>47612</v>
      </c>
      <c r="B1213">
        <f t="shared" ca="1" si="90"/>
        <v>-4.0555555555555554</v>
      </c>
      <c r="C1213" t="str">
        <f ca="1">IF(currency="USD",'Future et co'!D1213,IF(currency="EUR",'Future et co'!E1213,IF(currency="GBP",'Future et co'!F1213,FALSE)))</f>
        <v>RFR USD</v>
      </c>
      <c r="D1213" t="str">
        <f t="shared" ca="1" si="91"/>
        <v>RFR USD</v>
      </c>
      <c r="E1213" t="str">
        <f t="shared" ca="1" si="92"/>
        <v>RFR EUR</v>
      </c>
      <c r="F1213" t="str">
        <f t="shared" ca="1" si="93"/>
        <v>RFR GBP</v>
      </c>
      <c r="J1213" s="1"/>
      <c r="N1213" s="1"/>
      <c r="R1213" s="1"/>
      <c r="V1213" s="1"/>
      <c r="AB1213" s="1"/>
      <c r="AF1213" s="1"/>
      <c r="AJ1213" s="1"/>
      <c r="AN1213" s="1"/>
      <c r="AS1213" s="1"/>
      <c r="AX1213" s="1"/>
    </row>
    <row r="1214" spans="1:50" x14ac:dyDescent="0.3">
      <c r="A1214" s="19">
        <f t="shared" si="94"/>
        <v>47613</v>
      </c>
      <c r="B1214">
        <f t="shared" ca="1" si="90"/>
        <v>-4.0583333333333336</v>
      </c>
      <c r="C1214" t="str">
        <f ca="1">IF(currency="USD",'Future et co'!D1214,IF(currency="EUR",'Future et co'!E1214,IF(currency="GBP",'Future et co'!F1214,FALSE)))</f>
        <v>RFR USD</v>
      </c>
      <c r="D1214" t="str">
        <f t="shared" ca="1" si="91"/>
        <v>RFR USD</v>
      </c>
      <c r="E1214" t="str">
        <f t="shared" ca="1" si="92"/>
        <v>RFR EUR</v>
      </c>
      <c r="F1214" t="str">
        <f t="shared" ca="1" si="93"/>
        <v>RFR GBP</v>
      </c>
      <c r="J1214" s="1"/>
      <c r="N1214" s="1"/>
      <c r="R1214" s="1"/>
      <c r="V1214" s="1"/>
      <c r="AB1214" s="1"/>
      <c r="AF1214" s="1"/>
      <c r="AJ1214" s="1"/>
      <c r="AN1214" s="1"/>
      <c r="AS1214" s="1"/>
      <c r="AX1214" s="1"/>
    </row>
    <row r="1215" spans="1:50" x14ac:dyDescent="0.3">
      <c r="A1215" s="19">
        <f t="shared" si="94"/>
        <v>47616</v>
      </c>
      <c r="B1215">
        <f t="shared" ca="1" si="90"/>
        <v>-4.0666666666666664</v>
      </c>
      <c r="C1215" t="str">
        <f ca="1">IF(currency="USD",'Future et co'!D1215,IF(currency="EUR",'Future et co'!E1215,IF(currency="GBP",'Future et co'!F1215,FALSE)))</f>
        <v>RFR USD</v>
      </c>
      <c r="D1215" t="str">
        <f t="shared" ca="1" si="91"/>
        <v>RFR USD</v>
      </c>
      <c r="E1215" t="str">
        <f t="shared" ca="1" si="92"/>
        <v>RFR EUR</v>
      </c>
      <c r="F1215" t="str">
        <f t="shared" ca="1" si="93"/>
        <v>RFR GBP</v>
      </c>
      <c r="J1215" s="1"/>
      <c r="N1215" s="1"/>
      <c r="R1215" s="1"/>
      <c r="V1215" s="1"/>
      <c r="AB1215" s="1"/>
      <c r="AF1215" s="1"/>
      <c r="AJ1215" s="1"/>
      <c r="AN1215" s="1"/>
      <c r="AS1215" s="1"/>
      <c r="AX1215" s="1"/>
    </row>
    <row r="1216" spans="1:50" x14ac:dyDescent="0.3">
      <c r="A1216" s="19">
        <f t="shared" si="94"/>
        <v>47617</v>
      </c>
      <c r="B1216">
        <f t="shared" ca="1" si="90"/>
        <v>-4.0694444444444446</v>
      </c>
      <c r="C1216" t="str">
        <f ca="1">IF(currency="USD",'Future et co'!D1216,IF(currency="EUR",'Future et co'!E1216,IF(currency="GBP",'Future et co'!F1216,FALSE)))</f>
        <v>RFR USD</v>
      </c>
      <c r="D1216" t="str">
        <f t="shared" ca="1" si="91"/>
        <v>RFR USD</v>
      </c>
      <c r="E1216" t="str">
        <f t="shared" ca="1" si="92"/>
        <v>RFR EUR</v>
      </c>
      <c r="F1216" t="str">
        <f t="shared" ca="1" si="93"/>
        <v>RFR GBP</v>
      </c>
      <c r="J1216" s="1"/>
      <c r="N1216" s="1"/>
      <c r="R1216" s="1"/>
      <c r="V1216" s="1"/>
      <c r="AB1216" s="1"/>
      <c r="AF1216" s="1"/>
      <c r="AJ1216" s="1"/>
      <c r="AN1216" s="1"/>
      <c r="AS1216" s="1"/>
      <c r="AX1216" s="1"/>
    </row>
    <row r="1217" spans="1:50" x14ac:dyDescent="0.3">
      <c r="A1217" s="19">
        <f t="shared" si="94"/>
        <v>47618</v>
      </c>
      <c r="B1217">
        <f t="shared" ca="1" si="90"/>
        <v>-4.072222222222222</v>
      </c>
      <c r="C1217" t="str">
        <f ca="1">IF(currency="USD",'Future et co'!D1217,IF(currency="EUR",'Future et co'!E1217,IF(currency="GBP",'Future et co'!F1217,FALSE)))</f>
        <v>RFR USD</v>
      </c>
      <c r="D1217" t="str">
        <f t="shared" ca="1" si="91"/>
        <v>RFR USD</v>
      </c>
      <c r="E1217" t="str">
        <f t="shared" ca="1" si="92"/>
        <v>RFR EUR</v>
      </c>
      <c r="F1217" t="str">
        <f t="shared" ca="1" si="93"/>
        <v>RFR GBP</v>
      </c>
      <c r="J1217" s="1"/>
      <c r="N1217" s="1"/>
      <c r="R1217" s="1"/>
      <c r="V1217" s="1"/>
      <c r="AB1217" s="1"/>
      <c r="AF1217" s="1"/>
      <c r="AJ1217" s="1"/>
      <c r="AN1217" s="1"/>
      <c r="AS1217" s="1"/>
      <c r="AX1217" s="1"/>
    </row>
    <row r="1218" spans="1:50" x14ac:dyDescent="0.3">
      <c r="A1218" s="19">
        <f t="shared" si="94"/>
        <v>47619</v>
      </c>
      <c r="B1218">
        <f t="shared" ca="1" si="90"/>
        <v>-4.0750000000000002</v>
      </c>
      <c r="C1218" t="str">
        <f ca="1">IF(currency="USD",'Future et co'!D1218,IF(currency="EUR",'Future et co'!E1218,IF(currency="GBP",'Future et co'!F1218,FALSE)))</f>
        <v>RFR USD</v>
      </c>
      <c r="D1218" t="str">
        <f t="shared" ca="1" si="91"/>
        <v>RFR USD</v>
      </c>
      <c r="E1218" t="str">
        <f t="shared" ca="1" si="92"/>
        <v>RFR EUR</v>
      </c>
      <c r="F1218" t="str">
        <f t="shared" ca="1" si="93"/>
        <v>RFR GBP</v>
      </c>
      <c r="J1218" s="1"/>
      <c r="N1218" s="1"/>
      <c r="R1218" s="1"/>
      <c r="V1218" s="1"/>
      <c r="AB1218" s="1"/>
      <c r="AF1218" s="1"/>
      <c r="AJ1218" s="1"/>
      <c r="AN1218" s="1"/>
      <c r="AS1218" s="1"/>
      <c r="AX1218" s="1"/>
    </row>
    <row r="1219" spans="1:50" x14ac:dyDescent="0.3">
      <c r="A1219" s="19">
        <f t="shared" si="94"/>
        <v>47620</v>
      </c>
      <c r="B1219">
        <f t="shared" ca="1" si="90"/>
        <v>-4.0777777777777775</v>
      </c>
      <c r="C1219" t="str">
        <f ca="1">IF(currency="USD",'Future et co'!D1219,IF(currency="EUR",'Future et co'!E1219,IF(currency="GBP",'Future et co'!F1219,FALSE)))</f>
        <v>RFR USD</v>
      </c>
      <c r="D1219" t="str">
        <f t="shared" ca="1" si="91"/>
        <v>RFR USD</v>
      </c>
      <c r="E1219" t="str">
        <f t="shared" ca="1" si="92"/>
        <v>RFR EUR</v>
      </c>
      <c r="F1219" t="str">
        <f t="shared" ca="1" si="93"/>
        <v>RFR GBP</v>
      </c>
      <c r="J1219" s="1"/>
      <c r="N1219" s="1"/>
      <c r="R1219" s="1"/>
      <c r="V1219" s="1"/>
      <c r="AB1219" s="1"/>
      <c r="AF1219" s="1"/>
      <c r="AJ1219" s="1"/>
      <c r="AN1219" s="1"/>
      <c r="AS1219" s="1"/>
      <c r="AX1219" s="1"/>
    </row>
    <row r="1220" spans="1:50" x14ac:dyDescent="0.3">
      <c r="A1220" s="19">
        <f t="shared" si="94"/>
        <v>47623</v>
      </c>
      <c r="B1220">
        <f t="shared" ca="1" si="90"/>
        <v>-4.0861111111111112</v>
      </c>
      <c r="C1220" t="str">
        <f ca="1">IF(currency="USD",'Future et co'!D1220,IF(currency="EUR",'Future et co'!E1220,IF(currency="GBP",'Future et co'!F1220,FALSE)))</f>
        <v>RFR USD</v>
      </c>
      <c r="D1220" t="str">
        <f t="shared" ca="1" si="91"/>
        <v>RFR USD</v>
      </c>
      <c r="E1220" t="str">
        <f t="shared" ca="1" si="92"/>
        <v>RFR EUR</v>
      </c>
      <c r="F1220" t="str">
        <f t="shared" ca="1" si="93"/>
        <v>RFR GBP</v>
      </c>
      <c r="J1220" s="1"/>
      <c r="N1220" s="1"/>
      <c r="R1220" s="1"/>
      <c r="V1220" s="1"/>
      <c r="AB1220" s="1"/>
      <c r="AF1220" s="1"/>
      <c r="AJ1220" s="1"/>
      <c r="AN1220" s="1"/>
      <c r="AS1220" s="1"/>
      <c r="AX1220" s="1"/>
    </row>
    <row r="1221" spans="1:50" x14ac:dyDescent="0.3">
      <c r="A1221" s="19">
        <f t="shared" si="94"/>
        <v>47624</v>
      </c>
      <c r="B1221">
        <f t="shared" ca="1" si="90"/>
        <v>-4.0888888888888886</v>
      </c>
      <c r="C1221" t="str">
        <f ca="1">IF(currency="USD",'Future et co'!D1221,IF(currency="EUR",'Future et co'!E1221,IF(currency="GBP",'Future et co'!F1221,FALSE)))</f>
        <v>RFR USD</v>
      </c>
      <c r="D1221" t="str">
        <f t="shared" ca="1" si="91"/>
        <v>RFR USD</v>
      </c>
      <c r="E1221" t="str">
        <f t="shared" ca="1" si="92"/>
        <v>RFR EUR</v>
      </c>
      <c r="F1221" t="str">
        <f t="shared" ca="1" si="93"/>
        <v>RFR GBP</v>
      </c>
      <c r="J1221" s="1"/>
      <c r="N1221" s="1"/>
      <c r="R1221" s="1"/>
      <c r="V1221" s="1"/>
      <c r="AB1221" s="1"/>
      <c r="AF1221" s="1"/>
      <c r="AJ1221" s="1"/>
      <c r="AN1221" s="1"/>
      <c r="AS1221" s="1"/>
      <c r="AX1221" s="1"/>
    </row>
    <row r="1222" spans="1:50" x14ac:dyDescent="0.3">
      <c r="A1222" s="19">
        <f t="shared" si="94"/>
        <v>47625</v>
      </c>
      <c r="B1222">
        <f t="shared" ca="1" si="90"/>
        <v>-4.0916666666666668</v>
      </c>
      <c r="C1222" t="str">
        <f ca="1">IF(currency="USD",'Future et co'!D1222,IF(currency="EUR",'Future et co'!E1222,IF(currency="GBP",'Future et co'!F1222,FALSE)))</f>
        <v>RFR USD</v>
      </c>
      <c r="D1222" t="str">
        <f t="shared" ca="1" si="91"/>
        <v>RFR USD</v>
      </c>
      <c r="E1222" t="str">
        <f t="shared" ca="1" si="92"/>
        <v>RFR EUR</v>
      </c>
      <c r="F1222" t="str">
        <f t="shared" ca="1" si="93"/>
        <v>RFR GBP</v>
      </c>
      <c r="J1222" s="1"/>
      <c r="N1222" s="1"/>
      <c r="R1222" s="1"/>
      <c r="V1222" s="1"/>
      <c r="AB1222" s="1"/>
      <c r="AF1222" s="1"/>
      <c r="AJ1222" s="1"/>
      <c r="AN1222" s="1"/>
      <c r="AS1222" s="1"/>
      <c r="AX1222" s="1"/>
    </row>
    <row r="1223" spans="1:50" x14ac:dyDescent="0.3">
      <c r="A1223" s="19">
        <f t="shared" si="94"/>
        <v>47626</v>
      </c>
      <c r="B1223">
        <f t="shared" ca="1" si="90"/>
        <v>-4.0944444444444441</v>
      </c>
      <c r="C1223" t="str">
        <f ca="1">IF(currency="USD",'Future et co'!D1223,IF(currency="EUR",'Future et co'!E1223,IF(currency="GBP",'Future et co'!F1223,FALSE)))</f>
        <v>RFR USD</v>
      </c>
      <c r="D1223" t="str">
        <f t="shared" ca="1" si="91"/>
        <v>RFR USD</v>
      </c>
      <c r="E1223" t="str">
        <f t="shared" ca="1" si="92"/>
        <v>RFR EUR</v>
      </c>
      <c r="F1223" t="str">
        <f t="shared" ca="1" si="93"/>
        <v>RFR GBP</v>
      </c>
      <c r="J1223" s="1"/>
      <c r="N1223" s="1"/>
      <c r="R1223" s="1"/>
      <c r="V1223" s="1"/>
      <c r="AB1223" s="1"/>
      <c r="AF1223" s="1"/>
      <c r="AJ1223" s="1"/>
      <c r="AN1223" s="1"/>
      <c r="AS1223" s="1"/>
      <c r="AX1223" s="1"/>
    </row>
    <row r="1224" spans="1:50" x14ac:dyDescent="0.3">
      <c r="A1224" s="19">
        <f t="shared" si="94"/>
        <v>47627</v>
      </c>
      <c r="B1224">
        <f t="shared" ca="1" si="90"/>
        <v>-4.0972222222222223</v>
      </c>
      <c r="C1224" t="str">
        <f ca="1">IF(currency="USD",'Future et co'!D1224,IF(currency="EUR",'Future et co'!E1224,IF(currency="GBP",'Future et co'!F1224,FALSE)))</f>
        <v>RFR USD</v>
      </c>
      <c r="D1224" t="str">
        <f t="shared" ca="1" si="91"/>
        <v>RFR USD</v>
      </c>
      <c r="E1224" t="str">
        <f t="shared" ca="1" si="92"/>
        <v>RFR EUR</v>
      </c>
      <c r="F1224" t="str">
        <f t="shared" ca="1" si="93"/>
        <v>RFR GBP</v>
      </c>
      <c r="J1224" s="1"/>
      <c r="N1224" s="1"/>
      <c r="R1224" s="1"/>
      <c r="V1224" s="1"/>
      <c r="AB1224" s="1"/>
      <c r="AF1224" s="1"/>
      <c r="AJ1224" s="1"/>
      <c r="AN1224" s="1"/>
      <c r="AS1224" s="1"/>
      <c r="AX1224" s="1"/>
    </row>
    <row r="1225" spans="1:50" x14ac:dyDescent="0.3">
      <c r="A1225" s="19">
        <f t="shared" si="94"/>
        <v>47630</v>
      </c>
      <c r="B1225">
        <f t="shared" ca="1" si="90"/>
        <v>-4.1055555555555552</v>
      </c>
      <c r="C1225" t="str">
        <f ca="1">IF(currency="USD",'Future et co'!D1225,IF(currency="EUR",'Future et co'!E1225,IF(currency="GBP",'Future et co'!F1225,FALSE)))</f>
        <v>RFR USD</v>
      </c>
      <c r="D1225" t="str">
        <f t="shared" ca="1" si="91"/>
        <v>RFR USD</v>
      </c>
      <c r="E1225" t="str">
        <f t="shared" ca="1" si="92"/>
        <v>RFR EUR</v>
      </c>
      <c r="F1225" t="str">
        <f t="shared" ca="1" si="93"/>
        <v>RFR GBP</v>
      </c>
      <c r="J1225" s="1"/>
      <c r="N1225" s="1"/>
      <c r="R1225" s="1"/>
      <c r="V1225" s="1"/>
      <c r="AB1225" s="1"/>
      <c r="AF1225" s="1"/>
      <c r="AJ1225" s="1"/>
      <c r="AN1225" s="1"/>
      <c r="AS1225" s="1"/>
      <c r="AX1225" s="1"/>
    </row>
    <row r="1226" spans="1:50" x14ac:dyDescent="0.3">
      <c r="A1226" s="19">
        <f t="shared" si="94"/>
        <v>47631</v>
      </c>
      <c r="B1226">
        <f t="shared" ca="1" si="90"/>
        <v>-4.1083333333333334</v>
      </c>
      <c r="C1226" t="str">
        <f ca="1">IF(currency="USD",'Future et co'!D1226,IF(currency="EUR",'Future et co'!E1226,IF(currency="GBP",'Future et co'!F1226,FALSE)))</f>
        <v>RFR USD</v>
      </c>
      <c r="D1226" t="str">
        <f t="shared" ca="1" si="91"/>
        <v>RFR USD</v>
      </c>
      <c r="E1226" t="str">
        <f t="shared" ca="1" si="92"/>
        <v>RFR EUR</v>
      </c>
      <c r="F1226" t="str">
        <f t="shared" ca="1" si="93"/>
        <v>RFR GBP</v>
      </c>
      <c r="J1226" s="1"/>
      <c r="N1226" s="1"/>
      <c r="R1226" s="1"/>
      <c r="V1226" s="1"/>
      <c r="AB1226" s="1"/>
      <c r="AF1226" s="1"/>
      <c r="AJ1226" s="1"/>
      <c r="AN1226" s="1"/>
      <c r="AS1226" s="1"/>
      <c r="AX1226" s="1"/>
    </row>
    <row r="1227" spans="1:50" x14ac:dyDescent="0.3">
      <c r="A1227" s="19">
        <f t="shared" si="94"/>
        <v>47632</v>
      </c>
      <c r="B1227">
        <f t="shared" ref="B1227:B1290" ca="1" si="95">($B$7-A1227)/360</f>
        <v>-4.1111111111111107</v>
      </c>
      <c r="C1227" t="str">
        <f ca="1">IF(currency="USD",'Future et co'!D1227,IF(currency="EUR",'Future et co'!E1227,IF(currency="GBP",'Future et co'!F1227,FALSE)))</f>
        <v>RFR USD</v>
      </c>
      <c r="D1227" t="str">
        <f t="shared" ref="D1227:D1290" ca="1" si="96">IFERROR(IF(B1227&lt;0.25,VLOOKUP(A1227,$J$11:$L$5325,3,FALSE),IF(AND(B1227&gt;=0.25,B1227&lt;0.5),VLOOKUP(A1227,$N$11:$P$5325,3,FALSE),IF(AND(B1227&gt;=0.5,B1227&lt;1),VLOOKUP(A1227,$R$11:$T$5325,3,FALSE),VLOOKUP(A1227,$V$11:$X$5010,3,FALSE)))),D1226)</f>
        <v>RFR USD</v>
      </c>
      <c r="E1227" t="str">
        <f t="shared" ref="E1227:E1290" ca="1" si="97">IFERROR(IF(B1227&lt;0.25,VLOOKUP(A1227,$AF$11:$AH$5325,3,FALSE),IF(AND(B1227&gt;=0.25,B1227&lt;0.5),VLOOKUP(A1227,$AJ$11:$AL$5325,3,FALSE),VLOOKUP(A1227,$AN$11:$AP$5325,3,FALSE))),E1226)</f>
        <v>RFR EUR</v>
      </c>
      <c r="F1227" t="str">
        <f t="shared" ref="F1227:F1290" ca="1" si="98">IFERROR(VLOOKUP(A1227,$AS$11:$AU$9999,3,FALSE),F1226)</f>
        <v>RFR GBP</v>
      </c>
      <c r="J1227" s="1"/>
      <c r="N1227" s="1"/>
      <c r="R1227" s="1"/>
      <c r="V1227" s="1"/>
      <c r="AB1227" s="1"/>
      <c r="AF1227" s="1"/>
      <c r="AJ1227" s="1"/>
      <c r="AN1227" s="1"/>
      <c r="AS1227" s="1"/>
      <c r="AX1227" s="1"/>
    </row>
    <row r="1228" spans="1:50" x14ac:dyDescent="0.3">
      <c r="A1228" s="19">
        <f t="shared" si="94"/>
        <v>47633</v>
      </c>
      <c r="B1228">
        <f t="shared" ca="1" si="95"/>
        <v>-4.1138888888888889</v>
      </c>
      <c r="C1228" t="str">
        <f ca="1">IF(currency="USD",'Future et co'!D1228,IF(currency="EUR",'Future et co'!E1228,IF(currency="GBP",'Future et co'!F1228,FALSE)))</f>
        <v>RFR USD</v>
      </c>
      <c r="D1228" t="str">
        <f t="shared" ca="1" si="96"/>
        <v>RFR USD</v>
      </c>
      <c r="E1228" t="str">
        <f t="shared" ca="1" si="97"/>
        <v>RFR EUR</v>
      </c>
      <c r="F1228" t="str">
        <f t="shared" ca="1" si="98"/>
        <v>RFR GBP</v>
      </c>
      <c r="J1228" s="1"/>
      <c r="N1228" s="1"/>
      <c r="R1228" s="1"/>
      <c r="V1228" s="1"/>
      <c r="AB1228" s="1"/>
      <c r="AF1228" s="1"/>
      <c r="AJ1228" s="1"/>
      <c r="AN1228" s="1"/>
      <c r="AS1228" s="1"/>
      <c r="AX1228" s="1"/>
    </row>
    <row r="1229" spans="1:50" x14ac:dyDescent="0.3">
      <c r="A1229" s="19">
        <f t="shared" ref="A1229:A1292" si="99">WORKDAY(A1228,1)</f>
        <v>47634</v>
      </c>
      <c r="B1229">
        <f t="shared" ca="1" si="95"/>
        <v>-4.1166666666666663</v>
      </c>
      <c r="C1229" t="str">
        <f ca="1">IF(currency="USD",'Future et co'!D1229,IF(currency="EUR",'Future et co'!E1229,IF(currency="GBP",'Future et co'!F1229,FALSE)))</f>
        <v>RFR USD</v>
      </c>
      <c r="D1229" t="str">
        <f t="shared" ca="1" si="96"/>
        <v>RFR USD</v>
      </c>
      <c r="E1229" t="str">
        <f t="shared" ca="1" si="97"/>
        <v>RFR EUR</v>
      </c>
      <c r="F1229" t="str">
        <f t="shared" ca="1" si="98"/>
        <v>RFR GBP</v>
      </c>
      <c r="J1229" s="1"/>
      <c r="N1229" s="1"/>
      <c r="R1229" s="1"/>
      <c r="V1229" s="1"/>
      <c r="AB1229" s="1"/>
      <c r="AF1229" s="1"/>
      <c r="AJ1229" s="1"/>
      <c r="AN1229" s="1"/>
      <c r="AS1229" s="1"/>
      <c r="AX1229" s="1"/>
    </row>
    <row r="1230" spans="1:50" x14ac:dyDescent="0.3">
      <c r="A1230" s="19">
        <f t="shared" si="99"/>
        <v>47637</v>
      </c>
      <c r="B1230">
        <f t="shared" ca="1" si="95"/>
        <v>-4.125</v>
      </c>
      <c r="C1230" t="str">
        <f ca="1">IF(currency="USD",'Future et co'!D1230,IF(currency="EUR",'Future et co'!E1230,IF(currency="GBP",'Future et co'!F1230,FALSE)))</f>
        <v>RFR USD</v>
      </c>
      <c r="D1230" t="str">
        <f t="shared" ca="1" si="96"/>
        <v>RFR USD</v>
      </c>
      <c r="E1230" t="str">
        <f t="shared" ca="1" si="97"/>
        <v>RFR EUR</v>
      </c>
      <c r="F1230" t="str">
        <f t="shared" ca="1" si="98"/>
        <v>RFR GBP</v>
      </c>
      <c r="J1230" s="1"/>
      <c r="N1230" s="1"/>
      <c r="R1230" s="1"/>
      <c r="V1230" s="1"/>
      <c r="AB1230" s="1"/>
      <c r="AF1230" s="1"/>
      <c r="AJ1230" s="1"/>
      <c r="AN1230" s="1"/>
      <c r="AS1230" s="1"/>
      <c r="AX1230" s="1"/>
    </row>
    <row r="1231" spans="1:50" x14ac:dyDescent="0.3">
      <c r="A1231" s="19">
        <f t="shared" si="99"/>
        <v>47638</v>
      </c>
      <c r="B1231">
        <f t="shared" ca="1" si="95"/>
        <v>-4.1277777777777782</v>
      </c>
      <c r="C1231" t="str">
        <f ca="1">IF(currency="USD",'Future et co'!D1231,IF(currency="EUR",'Future et co'!E1231,IF(currency="GBP",'Future et co'!F1231,FALSE)))</f>
        <v>RFR USD</v>
      </c>
      <c r="D1231" t="str">
        <f t="shared" ca="1" si="96"/>
        <v>RFR USD</v>
      </c>
      <c r="E1231" t="str">
        <f t="shared" ca="1" si="97"/>
        <v>RFR EUR</v>
      </c>
      <c r="F1231" t="str">
        <f t="shared" ca="1" si="98"/>
        <v>RFR GBP</v>
      </c>
      <c r="J1231" s="1"/>
      <c r="N1231" s="1"/>
      <c r="R1231" s="1"/>
      <c r="V1231" s="1"/>
      <c r="AB1231" s="1"/>
      <c r="AF1231" s="1"/>
      <c r="AJ1231" s="1"/>
      <c r="AN1231" s="1"/>
      <c r="AS1231" s="1"/>
      <c r="AX1231" s="1"/>
    </row>
    <row r="1232" spans="1:50" x14ac:dyDescent="0.3">
      <c r="A1232" s="19">
        <f t="shared" si="99"/>
        <v>47639</v>
      </c>
      <c r="B1232">
        <f t="shared" ca="1" si="95"/>
        <v>-4.1305555555555555</v>
      </c>
      <c r="C1232" t="str">
        <f ca="1">IF(currency="USD",'Future et co'!D1232,IF(currency="EUR",'Future et co'!E1232,IF(currency="GBP",'Future et co'!F1232,FALSE)))</f>
        <v>RFR USD</v>
      </c>
      <c r="D1232" t="str">
        <f t="shared" ca="1" si="96"/>
        <v>RFR USD</v>
      </c>
      <c r="E1232" t="str">
        <f t="shared" ca="1" si="97"/>
        <v>RFR EUR</v>
      </c>
      <c r="F1232" t="str">
        <f t="shared" ca="1" si="98"/>
        <v>RFR GBP</v>
      </c>
      <c r="J1232" s="1"/>
      <c r="N1232" s="1"/>
      <c r="R1232" s="1"/>
      <c r="V1232" s="1"/>
      <c r="AB1232" s="1"/>
      <c r="AF1232" s="1"/>
      <c r="AJ1232" s="1"/>
      <c r="AN1232" s="1"/>
      <c r="AS1232" s="1"/>
      <c r="AX1232" s="1"/>
    </row>
    <row r="1233" spans="1:50" x14ac:dyDescent="0.3">
      <c r="A1233" s="19">
        <f t="shared" si="99"/>
        <v>47640</v>
      </c>
      <c r="B1233">
        <f t="shared" ca="1" si="95"/>
        <v>-4.1333333333333337</v>
      </c>
      <c r="C1233" t="str">
        <f ca="1">IF(currency="USD",'Future et co'!D1233,IF(currency="EUR",'Future et co'!E1233,IF(currency="GBP",'Future et co'!F1233,FALSE)))</f>
        <v>RFR USD</v>
      </c>
      <c r="D1233" t="str">
        <f t="shared" ca="1" si="96"/>
        <v>RFR USD</v>
      </c>
      <c r="E1233" t="str">
        <f t="shared" ca="1" si="97"/>
        <v>RFR EUR</v>
      </c>
      <c r="F1233" t="str">
        <f t="shared" ca="1" si="98"/>
        <v>RFR GBP</v>
      </c>
      <c r="J1233" s="1"/>
      <c r="N1233" s="1"/>
      <c r="R1233" s="1"/>
      <c r="V1233" s="1"/>
      <c r="AB1233" s="1"/>
      <c r="AF1233" s="1"/>
      <c r="AJ1233" s="1"/>
      <c r="AN1233" s="1"/>
      <c r="AS1233" s="1"/>
      <c r="AX1233" s="1"/>
    </row>
    <row r="1234" spans="1:50" x14ac:dyDescent="0.3">
      <c r="A1234" s="19">
        <f t="shared" si="99"/>
        <v>47641</v>
      </c>
      <c r="B1234">
        <f t="shared" ca="1" si="95"/>
        <v>-4.1361111111111111</v>
      </c>
      <c r="C1234" t="str">
        <f ca="1">IF(currency="USD",'Future et co'!D1234,IF(currency="EUR",'Future et co'!E1234,IF(currency="GBP",'Future et co'!F1234,FALSE)))</f>
        <v>RFR USD</v>
      </c>
      <c r="D1234" t="str">
        <f t="shared" ca="1" si="96"/>
        <v>RFR USD</v>
      </c>
      <c r="E1234" t="str">
        <f t="shared" ca="1" si="97"/>
        <v>RFR EUR</v>
      </c>
      <c r="F1234" t="str">
        <f t="shared" ca="1" si="98"/>
        <v>RFR GBP</v>
      </c>
      <c r="J1234" s="1"/>
      <c r="N1234" s="1"/>
      <c r="R1234" s="1"/>
      <c r="V1234" s="1"/>
      <c r="AB1234" s="1"/>
      <c r="AF1234" s="1"/>
      <c r="AJ1234" s="1"/>
      <c r="AN1234" s="1"/>
      <c r="AS1234" s="1"/>
      <c r="AX1234" s="1"/>
    </row>
    <row r="1235" spans="1:50" x14ac:dyDescent="0.3">
      <c r="A1235" s="19">
        <f t="shared" si="99"/>
        <v>47644</v>
      </c>
      <c r="B1235">
        <f t="shared" ca="1" si="95"/>
        <v>-4.1444444444444448</v>
      </c>
      <c r="C1235" t="str">
        <f ca="1">IF(currency="USD",'Future et co'!D1235,IF(currency="EUR",'Future et co'!E1235,IF(currency="GBP",'Future et co'!F1235,FALSE)))</f>
        <v>RFR USD</v>
      </c>
      <c r="D1235" t="str">
        <f t="shared" ca="1" si="96"/>
        <v>RFR USD</v>
      </c>
      <c r="E1235" t="str">
        <f t="shared" ca="1" si="97"/>
        <v>RFR EUR</v>
      </c>
      <c r="F1235" t="str">
        <f t="shared" ca="1" si="98"/>
        <v>RFR GBP</v>
      </c>
      <c r="J1235" s="1"/>
      <c r="N1235" s="1"/>
      <c r="R1235" s="1"/>
      <c r="V1235" s="1"/>
      <c r="AB1235" s="1"/>
      <c r="AF1235" s="1"/>
      <c r="AJ1235" s="1"/>
      <c r="AN1235" s="1"/>
      <c r="AS1235" s="1"/>
      <c r="AX1235" s="1"/>
    </row>
    <row r="1236" spans="1:50" x14ac:dyDescent="0.3">
      <c r="A1236" s="19">
        <f t="shared" si="99"/>
        <v>47645</v>
      </c>
      <c r="B1236">
        <f t="shared" ca="1" si="95"/>
        <v>-4.1472222222222221</v>
      </c>
      <c r="C1236" t="str">
        <f ca="1">IF(currency="USD",'Future et co'!D1236,IF(currency="EUR",'Future et co'!E1236,IF(currency="GBP",'Future et co'!F1236,FALSE)))</f>
        <v>RFR USD</v>
      </c>
      <c r="D1236" t="str">
        <f t="shared" ca="1" si="96"/>
        <v>RFR USD</v>
      </c>
      <c r="E1236" t="str">
        <f t="shared" ca="1" si="97"/>
        <v>RFR EUR</v>
      </c>
      <c r="F1236" t="str">
        <f t="shared" ca="1" si="98"/>
        <v>RFR GBP</v>
      </c>
      <c r="J1236" s="1"/>
      <c r="N1236" s="1"/>
      <c r="R1236" s="1"/>
      <c r="V1236" s="1"/>
      <c r="AB1236" s="1"/>
      <c r="AF1236" s="1"/>
      <c r="AJ1236" s="1"/>
      <c r="AN1236" s="1"/>
      <c r="AS1236" s="1"/>
      <c r="AX1236" s="1"/>
    </row>
    <row r="1237" spans="1:50" x14ac:dyDescent="0.3">
      <c r="A1237" s="19">
        <f t="shared" si="99"/>
        <v>47646</v>
      </c>
      <c r="B1237">
        <f t="shared" ca="1" si="95"/>
        <v>-4.1500000000000004</v>
      </c>
      <c r="C1237" t="str">
        <f ca="1">IF(currency="USD",'Future et co'!D1237,IF(currency="EUR",'Future et co'!E1237,IF(currency="GBP",'Future et co'!F1237,FALSE)))</f>
        <v>RFR USD</v>
      </c>
      <c r="D1237" t="str">
        <f t="shared" ca="1" si="96"/>
        <v>RFR USD</v>
      </c>
      <c r="E1237" t="str">
        <f t="shared" ca="1" si="97"/>
        <v>RFR EUR</v>
      </c>
      <c r="F1237" t="str">
        <f t="shared" ca="1" si="98"/>
        <v>RFR GBP</v>
      </c>
      <c r="J1237" s="1"/>
      <c r="N1237" s="1"/>
      <c r="R1237" s="1"/>
      <c r="V1237" s="1"/>
      <c r="AB1237" s="1"/>
      <c r="AF1237" s="1"/>
      <c r="AJ1237" s="1"/>
      <c r="AN1237" s="1"/>
      <c r="AS1237" s="1"/>
      <c r="AX1237" s="1"/>
    </row>
    <row r="1238" spans="1:50" x14ac:dyDescent="0.3">
      <c r="A1238" s="19">
        <f t="shared" si="99"/>
        <v>47647</v>
      </c>
      <c r="B1238">
        <f t="shared" ca="1" si="95"/>
        <v>-4.1527777777777777</v>
      </c>
      <c r="C1238" t="str">
        <f ca="1">IF(currency="USD",'Future et co'!D1238,IF(currency="EUR",'Future et co'!E1238,IF(currency="GBP",'Future et co'!F1238,FALSE)))</f>
        <v>RFR USD</v>
      </c>
      <c r="D1238" t="str">
        <f t="shared" ca="1" si="96"/>
        <v>RFR USD</v>
      </c>
      <c r="E1238" t="str">
        <f t="shared" ca="1" si="97"/>
        <v>RFR EUR</v>
      </c>
      <c r="F1238" t="str">
        <f t="shared" ca="1" si="98"/>
        <v>RFR GBP</v>
      </c>
      <c r="J1238" s="1"/>
      <c r="N1238" s="1"/>
      <c r="R1238" s="1"/>
      <c r="V1238" s="1"/>
      <c r="AB1238" s="1"/>
      <c r="AF1238" s="1"/>
      <c r="AJ1238" s="1"/>
      <c r="AN1238" s="1"/>
      <c r="AS1238" s="1"/>
      <c r="AX1238" s="1"/>
    </row>
    <row r="1239" spans="1:50" x14ac:dyDescent="0.3">
      <c r="A1239" s="19">
        <f t="shared" si="99"/>
        <v>47648</v>
      </c>
      <c r="B1239">
        <f t="shared" ca="1" si="95"/>
        <v>-4.1555555555555559</v>
      </c>
      <c r="C1239" t="str">
        <f ca="1">IF(currency="USD",'Future et co'!D1239,IF(currency="EUR",'Future et co'!E1239,IF(currency="GBP",'Future et co'!F1239,FALSE)))</f>
        <v>RFR USD</v>
      </c>
      <c r="D1239" t="str">
        <f t="shared" ca="1" si="96"/>
        <v>RFR USD</v>
      </c>
      <c r="E1239" t="str">
        <f t="shared" ca="1" si="97"/>
        <v>RFR EUR</v>
      </c>
      <c r="F1239" t="str">
        <f t="shared" ca="1" si="98"/>
        <v>RFR GBP</v>
      </c>
      <c r="J1239" s="1"/>
      <c r="N1239" s="1"/>
      <c r="R1239" s="1"/>
      <c r="V1239" s="1"/>
      <c r="AB1239" s="1"/>
      <c r="AF1239" s="1"/>
      <c r="AJ1239" s="1"/>
      <c r="AN1239" s="1"/>
      <c r="AS1239" s="1"/>
      <c r="AX1239" s="1"/>
    </row>
    <row r="1240" spans="1:50" x14ac:dyDescent="0.3">
      <c r="A1240" s="19">
        <f t="shared" si="99"/>
        <v>47651</v>
      </c>
      <c r="B1240">
        <f t="shared" ca="1" si="95"/>
        <v>-4.1638888888888888</v>
      </c>
      <c r="C1240" t="str">
        <f ca="1">IF(currency="USD",'Future et co'!D1240,IF(currency="EUR",'Future et co'!E1240,IF(currency="GBP",'Future et co'!F1240,FALSE)))</f>
        <v>RFR USD</v>
      </c>
      <c r="D1240" t="str">
        <f t="shared" ca="1" si="96"/>
        <v>RFR USD</v>
      </c>
      <c r="E1240" t="str">
        <f t="shared" ca="1" si="97"/>
        <v>RFR EUR</v>
      </c>
      <c r="F1240" t="str">
        <f t="shared" ca="1" si="98"/>
        <v>RFR GBP</v>
      </c>
      <c r="J1240" s="1"/>
      <c r="N1240" s="1"/>
      <c r="R1240" s="1"/>
      <c r="V1240" s="1"/>
      <c r="AB1240" s="1"/>
      <c r="AF1240" s="1"/>
      <c r="AJ1240" s="1"/>
      <c r="AN1240" s="1"/>
      <c r="AS1240" s="1"/>
      <c r="AX1240" s="1"/>
    </row>
    <row r="1241" spans="1:50" x14ac:dyDescent="0.3">
      <c r="A1241" s="19">
        <f t="shared" si="99"/>
        <v>47652</v>
      </c>
      <c r="B1241">
        <f t="shared" ca="1" si="95"/>
        <v>-4.166666666666667</v>
      </c>
      <c r="C1241" t="str">
        <f ca="1">IF(currency="USD",'Future et co'!D1241,IF(currency="EUR",'Future et co'!E1241,IF(currency="GBP",'Future et co'!F1241,FALSE)))</f>
        <v>RFR USD</v>
      </c>
      <c r="D1241" t="str">
        <f t="shared" ca="1" si="96"/>
        <v>RFR USD</v>
      </c>
      <c r="E1241" t="str">
        <f t="shared" ca="1" si="97"/>
        <v>RFR EUR</v>
      </c>
      <c r="F1241" t="str">
        <f t="shared" ca="1" si="98"/>
        <v>RFR GBP</v>
      </c>
      <c r="J1241" s="1"/>
      <c r="N1241" s="1"/>
      <c r="R1241" s="1"/>
      <c r="V1241" s="1"/>
      <c r="AB1241" s="1"/>
      <c r="AF1241" s="1"/>
      <c r="AJ1241" s="1"/>
      <c r="AN1241" s="1"/>
      <c r="AS1241" s="1"/>
      <c r="AX1241" s="1"/>
    </row>
    <row r="1242" spans="1:50" x14ac:dyDescent="0.3">
      <c r="A1242" s="19">
        <f t="shared" si="99"/>
        <v>47653</v>
      </c>
      <c r="B1242">
        <f t="shared" ca="1" si="95"/>
        <v>-4.1694444444444443</v>
      </c>
      <c r="C1242" t="str">
        <f ca="1">IF(currency="USD",'Future et co'!D1242,IF(currency="EUR",'Future et co'!E1242,IF(currency="GBP",'Future et co'!F1242,FALSE)))</f>
        <v>RFR USD</v>
      </c>
      <c r="D1242" t="str">
        <f t="shared" ca="1" si="96"/>
        <v>RFR USD</v>
      </c>
      <c r="E1242" t="str">
        <f t="shared" ca="1" si="97"/>
        <v>RFR EUR</v>
      </c>
      <c r="F1242" t="str">
        <f t="shared" ca="1" si="98"/>
        <v>RFR GBP</v>
      </c>
      <c r="J1242" s="1"/>
      <c r="N1242" s="1"/>
      <c r="R1242" s="1"/>
      <c r="V1242" s="1"/>
      <c r="AB1242" s="1"/>
      <c r="AF1242" s="1"/>
      <c r="AJ1242" s="1"/>
      <c r="AN1242" s="1"/>
      <c r="AS1242" s="1"/>
      <c r="AX1242" s="1"/>
    </row>
    <row r="1243" spans="1:50" x14ac:dyDescent="0.3">
      <c r="A1243" s="19">
        <f t="shared" si="99"/>
        <v>47654</v>
      </c>
      <c r="B1243">
        <f t="shared" ca="1" si="95"/>
        <v>-4.1722222222222225</v>
      </c>
      <c r="C1243" t="str">
        <f ca="1">IF(currency="USD",'Future et co'!D1243,IF(currency="EUR",'Future et co'!E1243,IF(currency="GBP",'Future et co'!F1243,FALSE)))</f>
        <v>RFR USD</v>
      </c>
      <c r="D1243" t="str">
        <f t="shared" ca="1" si="96"/>
        <v>RFR USD</v>
      </c>
      <c r="E1243" t="str">
        <f t="shared" ca="1" si="97"/>
        <v>RFR EUR</v>
      </c>
      <c r="F1243" t="str">
        <f t="shared" ca="1" si="98"/>
        <v>RFR GBP</v>
      </c>
      <c r="J1243" s="1"/>
      <c r="N1243" s="1"/>
      <c r="R1243" s="1"/>
      <c r="V1243" s="1"/>
      <c r="AB1243" s="1"/>
      <c r="AF1243" s="1"/>
      <c r="AJ1243" s="1"/>
      <c r="AN1243" s="1"/>
      <c r="AS1243" s="1"/>
      <c r="AX1243" s="1"/>
    </row>
    <row r="1244" spans="1:50" x14ac:dyDescent="0.3">
      <c r="A1244" s="19">
        <f t="shared" si="99"/>
        <v>47655</v>
      </c>
      <c r="B1244">
        <f t="shared" ca="1" si="95"/>
        <v>-4.1749999999999998</v>
      </c>
      <c r="C1244" t="str">
        <f ca="1">IF(currency="USD",'Future et co'!D1244,IF(currency="EUR",'Future et co'!E1244,IF(currency="GBP",'Future et co'!F1244,FALSE)))</f>
        <v>RFR USD</v>
      </c>
      <c r="D1244" t="str">
        <f t="shared" ca="1" si="96"/>
        <v>RFR USD</v>
      </c>
      <c r="E1244" t="str">
        <f t="shared" ca="1" si="97"/>
        <v>RFR EUR</v>
      </c>
      <c r="F1244" t="str">
        <f t="shared" ca="1" si="98"/>
        <v>RFR GBP</v>
      </c>
      <c r="J1244" s="1"/>
      <c r="N1244" s="1"/>
      <c r="R1244" s="1"/>
      <c r="V1244" s="1"/>
      <c r="AB1244" s="1"/>
      <c r="AF1244" s="1"/>
      <c r="AJ1244" s="1"/>
      <c r="AN1244" s="1"/>
      <c r="AS1244" s="1"/>
      <c r="AX1244" s="1"/>
    </row>
    <row r="1245" spans="1:50" x14ac:dyDescent="0.3">
      <c r="A1245" s="19">
        <f t="shared" si="99"/>
        <v>47658</v>
      </c>
      <c r="B1245">
        <f t="shared" ca="1" si="95"/>
        <v>-4.1833333333333336</v>
      </c>
      <c r="C1245" t="str">
        <f ca="1">IF(currency="USD",'Future et co'!D1245,IF(currency="EUR",'Future et co'!E1245,IF(currency="GBP",'Future et co'!F1245,FALSE)))</f>
        <v>RFR USD</v>
      </c>
      <c r="D1245" t="str">
        <f t="shared" ca="1" si="96"/>
        <v>RFR USD</v>
      </c>
      <c r="E1245" t="str">
        <f t="shared" ca="1" si="97"/>
        <v>RFR EUR</v>
      </c>
      <c r="F1245" t="str">
        <f t="shared" ca="1" si="98"/>
        <v>RFR GBP</v>
      </c>
      <c r="J1245" s="1"/>
      <c r="N1245" s="1"/>
      <c r="R1245" s="1"/>
      <c r="V1245" s="1"/>
      <c r="AB1245" s="1"/>
      <c r="AF1245" s="1"/>
      <c r="AJ1245" s="1"/>
      <c r="AN1245" s="1"/>
      <c r="AS1245" s="1"/>
      <c r="AX1245" s="1"/>
    </row>
    <row r="1246" spans="1:50" x14ac:dyDescent="0.3">
      <c r="A1246" s="19">
        <f t="shared" si="99"/>
        <v>47659</v>
      </c>
      <c r="B1246">
        <f t="shared" ca="1" si="95"/>
        <v>-4.1861111111111109</v>
      </c>
      <c r="C1246" t="str">
        <f ca="1">IF(currency="USD",'Future et co'!D1246,IF(currency="EUR",'Future et co'!E1246,IF(currency="GBP",'Future et co'!F1246,FALSE)))</f>
        <v>RFR USD</v>
      </c>
      <c r="D1246" t="str">
        <f t="shared" ca="1" si="96"/>
        <v>RFR USD</v>
      </c>
      <c r="E1246" t="str">
        <f t="shared" ca="1" si="97"/>
        <v>RFR EUR</v>
      </c>
      <c r="F1246" t="str">
        <f t="shared" ca="1" si="98"/>
        <v>RFR GBP</v>
      </c>
      <c r="J1246" s="1"/>
      <c r="N1246" s="1"/>
      <c r="R1246" s="1"/>
      <c r="V1246" s="1"/>
      <c r="AB1246" s="1"/>
      <c r="AF1246" s="1"/>
      <c r="AJ1246" s="1"/>
      <c r="AN1246" s="1"/>
      <c r="AS1246" s="1"/>
      <c r="AX1246" s="1"/>
    </row>
    <row r="1247" spans="1:50" x14ac:dyDescent="0.3">
      <c r="A1247" s="19">
        <f t="shared" si="99"/>
        <v>47660</v>
      </c>
      <c r="B1247">
        <f t="shared" ca="1" si="95"/>
        <v>-4.1888888888888891</v>
      </c>
      <c r="C1247" t="str">
        <f ca="1">IF(currency="USD",'Future et co'!D1247,IF(currency="EUR",'Future et co'!E1247,IF(currency="GBP",'Future et co'!F1247,FALSE)))</f>
        <v>RFR USD</v>
      </c>
      <c r="D1247" t="str">
        <f t="shared" ca="1" si="96"/>
        <v>RFR USD</v>
      </c>
      <c r="E1247" t="str">
        <f t="shared" ca="1" si="97"/>
        <v>RFR EUR</v>
      </c>
      <c r="F1247" t="str">
        <f t="shared" ca="1" si="98"/>
        <v>RFR GBP</v>
      </c>
      <c r="J1247" s="1"/>
      <c r="N1247" s="1"/>
      <c r="R1247" s="1"/>
      <c r="V1247" s="1"/>
      <c r="AB1247" s="1"/>
      <c r="AF1247" s="1"/>
      <c r="AJ1247" s="1"/>
      <c r="AN1247" s="1"/>
      <c r="AS1247" s="1"/>
      <c r="AX1247" s="1"/>
    </row>
    <row r="1248" spans="1:50" x14ac:dyDescent="0.3">
      <c r="A1248" s="19">
        <f t="shared" si="99"/>
        <v>47661</v>
      </c>
      <c r="B1248">
        <f t="shared" ca="1" si="95"/>
        <v>-4.1916666666666664</v>
      </c>
      <c r="C1248" t="str">
        <f ca="1">IF(currency="USD",'Future et co'!D1248,IF(currency="EUR",'Future et co'!E1248,IF(currency="GBP",'Future et co'!F1248,FALSE)))</f>
        <v>RFR USD</v>
      </c>
      <c r="D1248" t="str">
        <f t="shared" ca="1" si="96"/>
        <v>RFR USD</v>
      </c>
      <c r="E1248" t="str">
        <f t="shared" ca="1" si="97"/>
        <v>RFR EUR</v>
      </c>
      <c r="F1248" t="str">
        <f t="shared" ca="1" si="98"/>
        <v>RFR GBP</v>
      </c>
      <c r="J1248" s="1"/>
      <c r="N1248" s="1"/>
      <c r="R1248" s="1"/>
      <c r="V1248" s="1"/>
      <c r="AB1248" s="1"/>
      <c r="AF1248" s="1"/>
      <c r="AJ1248" s="1"/>
      <c r="AN1248" s="1"/>
      <c r="AS1248" s="1"/>
      <c r="AX1248" s="1"/>
    </row>
    <row r="1249" spans="1:50" x14ac:dyDescent="0.3">
      <c r="A1249" s="19">
        <f t="shared" si="99"/>
        <v>47662</v>
      </c>
      <c r="B1249">
        <f t="shared" ca="1" si="95"/>
        <v>-4.1944444444444446</v>
      </c>
      <c r="C1249" t="str">
        <f ca="1">IF(currency="USD",'Future et co'!D1249,IF(currency="EUR",'Future et co'!E1249,IF(currency="GBP",'Future et co'!F1249,FALSE)))</f>
        <v>RFR USD</v>
      </c>
      <c r="D1249" t="str">
        <f t="shared" ca="1" si="96"/>
        <v>RFR USD</v>
      </c>
      <c r="E1249" t="str">
        <f t="shared" ca="1" si="97"/>
        <v>RFR EUR</v>
      </c>
      <c r="F1249" t="str">
        <f t="shared" ca="1" si="98"/>
        <v>RFR GBP</v>
      </c>
      <c r="J1249" s="1"/>
      <c r="N1249" s="1"/>
      <c r="R1249" s="1"/>
      <c r="V1249" s="1"/>
      <c r="AB1249" s="1"/>
      <c r="AF1249" s="1"/>
      <c r="AJ1249" s="1"/>
      <c r="AN1249" s="1"/>
      <c r="AS1249" s="1"/>
      <c r="AX1249" s="1"/>
    </row>
    <row r="1250" spans="1:50" x14ac:dyDescent="0.3">
      <c r="A1250" s="19">
        <f t="shared" si="99"/>
        <v>47665</v>
      </c>
      <c r="B1250">
        <f t="shared" ca="1" si="95"/>
        <v>-4.2027777777777775</v>
      </c>
      <c r="C1250" t="str">
        <f ca="1">IF(currency="USD",'Future et co'!D1250,IF(currency="EUR",'Future et co'!E1250,IF(currency="GBP",'Future et co'!F1250,FALSE)))</f>
        <v>RFR USD</v>
      </c>
      <c r="D1250" t="str">
        <f t="shared" ca="1" si="96"/>
        <v>RFR USD</v>
      </c>
      <c r="E1250" t="str">
        <f t="shared" ca="1" si="97"/>
        <v>RFR EUR</v>
      </c>
      <c r="F1250" t="str">
        <f t="shared" ca="1" si="98"/>
        <v>RFR GBP</v>
      </c>
      <c r="J1250" s="1"/>
      <c r="N1250" s="1"/>
      <c r="R1250" s="1"/>
      <c r="V1250" s="1"/>
      <c r="AB1250" s="1"/>
      <c r="AF1250" s="1"/>
      <c r="AJ1250" s="1"/>
      <c r="AN1250" s="1"/>
      <c r="AS1250" s="1"/>
      <c r="AX1250" s="1"/>
    </row>
    <row r="1251" spans="1:50" x14ac:dyDescent="0.3">
      <c r="A1251" s="19">
        <f t="shared" si="99"/>
        <v>47666</v>
      </c>
      <c r="B1251">
        <f t="shared" ca="1" si="95"/>
        <v>-4.2055555555555557</v>
      </c>
      <c r="C1251" t="str">
        <f ca="1">IF(currency="USD",'Future et co'!D1251,IF(currency="EUR",'Future et co'!E1251,IF(currency="GBP",'Future et co'!F1251,FALSE)))</f>
        <v>RFR USD</v>
      </c>
      <c r="D1251" t="str">
        <f t="shared" ca="1" si="96"/>
        <v>RFR USD</v>
      </c>
      <c r="E1251" t="str">
        <f t="shared" ca="1" si="97"/>
        <v>RFR EUR</v>
      </c>
      <c r="F1251" t="str">
        <f t="shared" ca="1" si="98"/>
        <v>RFR GBP</v>
      </c>
      <c r="J1251" s="1"/>
      <c r="N1251" s="1"/>
      <c r="R1251" s="1"/>
      <c r="V1251" s="1"/>
      <c r="AB1251" s="1"/>
      <c r="AF1251" s="1"/>
      <c r="AJ1251" s="1"/>
      <c r="AN1251" s="1"/>
      <c r="AS1251" s="1"/>
      <c r="AX1251" s="1"/>
    </row>
    <row r="1252" spans="1:50" x14ac:dyDescent="0.3">
      <c r="A1252" s="19">
        <f t="shared" si="99"/>
        <v>47667</v>
      </c>
      <c r="B1252">
        <f t="shared" ca="1" si="95"/>
        <v>-4.208333333333333</v>
      </c>
      <c r="C1252" t="str">
        <f ca="1">IF(currency="USD",'Future et co'!D1252,IF(currency="EUR",'Future et co'!E1252,IF(currency="GBP",'Future et co'!F1252,FALSE)))</f>
        <v>RFR USD</v>
      </c>
      <c r="D1252" t="str">
        <f t="shared" ca="1" si="96"/>
        <v>RFR USD</v>
      </c>
      <c r="E1252" t="str">
        <f t="shared" ca="1" si="97"/>
        <v>RFR EUR</v>
      </c>
      <c r="F1252" t="str">
        <f t="shared" ca="1" si="98"/>
        <v>RFR GBP</v>
      </c>
      <c r="J1252" s="1"/>
      <c r="N1252" s="1"/>
      <c r="R1252" s="1"/>
      <c r="V1252" s="1"/>
      <c r="AB1252" s="1"/>
      <c r="AF1252" s="1"/>
      <c r="AJ1252" s="1"/>
      <c r="AN1252" s="1"/>
      <c r="AS1252" s="1"/>
      <c r="AX1252" s="1"/>
    </row>
    <row r="1253" spans="1:50" x14ac:dyDescent="0.3">
      <c r="A1253" s="19">
        <f t="shared" si="99"/>
        <v>47668</v>
      </c>
      <c r="B1253">
        <f t="shared" ca="1" si="95"/>
        <v>-4.2111111111111112</v>
      </c>
      <c r="C1253" t="str">
        <f ca="1">IF(currency="USD",'Future et co'!D1253,IF(currency="EUR",'Future et co'!E1253,IF(currency="GBP",'Future et co'!F1253,FALSE)))</f>
        <v>RFR USD</v>
      </c>
      <c r="D1253" t="str">
        <f t="shared" ca="1" si="96"/>
        <v>RFR USD</v>
      </c>
      <c r="E1253" t="str">
        <f t="shared" ca="1" si="97"/>
        <v>RFR EUR</v>
      </c>
      <c r="F1253" t="str">
        <f t="shared" ca="1" si="98"/>
        <v>RFR GBP</v>
      </c>
      <c r="J1253" s="1"/>
      <c r="N1253" s="1"/>
      <c r="R1253" s="1"/>
      <c r="V1253" s="1"/>
      <c r="AB1253" s="1"/>
      <c r="AF1253" s="1"/>
      <c r="AJ1253" s="1"/>
      <c r="AN1253" s="1"/>
      <c r="AS1253" s="1"/>
      <c r="AX1253" s="1"/>
    </row>
    <row r="1254" spans="1:50" x14ac:dyDescent="0.3">
      <c r="A1254" s="19">
        <f t="shared" si="99"/>
        <v>47669</v>
      </c>
      <c r="B1254">
        <f t="shared" ca="1" si="95"/>
        <v>-4.2138888888888886</v>
      </c>
      <c r="C1254" t="str">
        <f ca="1">IF(currency="USD",'Future et co'!D1254,IF(currency="EUR",'Future et co'!E1254,IF(currency="GBP",'Future et co'!F1254,FALSE)))</f>
        <v>RFR USD</v>
      </c>
      <c r="D1254" t="str">
        <f t="shared" ca="1" si="96"/>
        <v>RFR USD</v>
      </c>
      <c r="E1254" t="str">
        <f t="shared" ca="1" si="97"/>
        <v>RFR EUR</v>
      </c>
      <c r="F1254" t="str">
        <f t="shared" ca="1" si="98"/>
        <v>RFR GBP</v>
      </c>
      <c r="J1254" s="1"/>
      <c r="N1254" s="1"/>
      <c r="R1254" s="1"/>
      <c r="V1254" s="1"/>
      <c r="AB1254" s="1"/>
      <c r="AF1254" s="1"/>
      <c r="AJ1254" s="1"/>
      <c r="AN1254" s="1"/>
      <c r="AS1254" s="1"/>
      <c r="AX1254" s="1"/>
    </row>
    <row r="1255" spans="1:50" x14ac:dyDescent="0.3">
      <c r="A1255" s="19">
        <f t="shared" si="99"/>
        <v>47672</v>
      </c>
      <c r="B1255">
        <f t="shared" ca="1" si="95"/>
        <v>-4.2222222222222223</v>
      </c>
      <c r="C1255" t="str">
        <f ca="1">IF(currency="USD",'Future et co'!D1255,IF(currency="EUR",'Future et co'!E1255,IF(currency="GBP",'Future et co'!F1255,FALSE)))</f>
        <v>RFR USD</v>
      </c>
      <c r="D1255" t="str">
        <f t="shared" ca="1" si="96"/>
        <v>RFR USD</v>
      </c>
      <c r="E1255" t="str">
        <f t="shared" ca="1" si="97"/>
        <v>RFR EUR</v>
      </c>
      <c r="F1255" t="str">
        <f t="shared" ca="1" si="98"/>
        <v>RFR GBP</v>
      </c>
      <c r="J1255" s="1"/>
      <c r="N1255" s="1"/>
      <c r="R1255" s="1"/>
      <c r="V1255" s="1"/>
      <c r="AB1255" s="1"/>
      <c r="AF1255" s="1"/>
      <c r="AJ1255" s="1"/>
      <c r="AN1255" s="1"/>
      <c r="AS1255" s="1"/>
      <c r="AX1255" s="1"/>
    </row>
    <row r="1256" spans="1:50" x14ac:dyDescent="0.3">
      <c r="A1256" s="19">
        <f t="shared" si="99"/>
        <v>47673</v>
      </c>
      <c r="B1256">
        <f t="shared" ca="1" si="95"/>
        <v>-4.2249999999999996</v>
      </c>
      <c r="C1256" t="str">
        <f ca="1">IF(currency="USD",'Future et co'!D1256,IF(currency="EUR",'Future et co'!E1256,IF(currency="GBP",'Future et co'!F1256,FALSE)))</f>
        <v>RFR USD</v>
      </c>
      <c r="D1256" t="str">
        <f t="shared" ca="1" si="96"/>
        <v>RFR USD</v>
      </c>
      <c r="E1256" t="str">
        <f t="shared" ca="1" si="97"/>
        <v>RFR EUR</v>
      </c>
      <c r="F1256" t="str">
        <f t="shared" ca="1" si="98"/>
        <v>RFR GBP</v>
      </c>
      <c r="J1256" s="1"/>
      <c r="N1256" s="1"/>
      <c r="R1256" s="1"/>
      <c r="V1256" s="1"/>
      <c r="AB1256" s="1"/>
      <c r="AF1256" s="1"/>
      <c r="AJ1256" s="1"/>
      <c r="AN1256" s="1"/>
      <c r="AS1256" s="1"/>
      <c r="AX1256" s="1"/>
    </row>
    <row r="1257" spans="1:50" x14ac:dyDescent="0.3">
      <c r="A1257" s="19">
        <f t="shared" si="99"/>
        <v>47674</v>
      </c>
      <c r="B1257">
        <f t="shared" ca="1" si="95"/>
        <v>-4.2277777777777779</v>
      </c>
      <c r="C1257" t="str">
        <f ca="1">IF(currency="USD",'Future et co'!D1257,IF(currency="EUR",'Future et co'!E1257,IF(currency="GBP",'Future et co'!F1257,FALSE)))</f>
        <v>RFR USD</v>
      </c>
      <c r="D1257" t="str">
        <f t="shared" ca="1" si="96"/>
        <v>RFR USD</v>
      </c>
      <c r="E1257" t="str">
        <f t="shared" ca="1" si="97"/>
        <v>RFR EUR</v>
      </c>
      <c r="F1257" t="str">
        <f t="shared" ca="1" si="98"/>
        <v>RFR GBP</v>
      </c>
      <c r="J1257" s="1"/>
      <c r="N1257" s="1"/>
      <c r="R1257" s="1"/>
      <c r="V1257" s="1"/>
      <c r="AB1257" s="1"/>
      <c r="AF1257" s="1"/>
      <c r="AJ1257" s="1"/>
      <c r="AN1257" s="1"/>
      <c r="AS1257" s="1"/>
      <c r="AX1257" s="1"/>
    </row>
    <row r="1258" spans="1:50" x14ac:dyDescent="0.3">
      <c r="A1258" s="19">
        <f t="shared" si="99"/>
        <v>47675</v>
      </c>
      <c r="B1258">
        <f t="shared" ca="1" si="95"/>
        <v>-4.2305555555555552</v>
      </c>
      <c r="C1258" t="str">
        <f ca="1">IF(currency="USD",'Future et co'!D1258,IF(currency="EUR",'Future et co'!E1258,IF(currency="GBP",'Future et co'!F1258,FALSE)))</f>
        <v>RFR USD</v>
      </c>
      <c r="D1258" t="str">
        <f t="shared" ca="1" si="96"/>
        <v>RFR USD</v>
      </c>
      <c r="E1258" t="str">
        <f t="shared" ca="1" si="97"/>
        <v>RFR EUR</v>
      </c>
      <c r="F1258" t="str">
        <f t="shared" ca="1" si="98"/>
        <v>RFR GBP</v>
      </c>
      <c r="J1258" s="1"/>
      <c r="N1258" s="1"/>
      <c r="R1258" s="1"/>
      <c r="V1258" s="1"/>
      <c r="AB1258" s="1"/>
      <c r="AF1258" s="1"/>
      <c r="AJ1258" s="1"/>
      <c r="AN1258" s="1"/>
      <c r="AS1258" s="1"/>
      <c r="AX1258" s="1"/>
    </row>
    <row r="1259" spans="1:50" x14ac:dyDescent="0.3">
      <c r="A1259" s="19">
        <f t="shared" si="99"/>
        <v>47676</v>
      </c>
      <c r="B1259">
        <f t="shared" ca="1" si="95"/>
        <v>-4.2333333333333334</v>
      </c>
      <c r="C1259" t="str">
        <f ca="1">IF(currency="USD",'Future et co'!D1259,IF(currency="EUR",'Future et co'!E1259,IF(currency="GBP",'Future et co'!F1259,FALSE)))</f>
        <v>RFR USD</v>
      </c>
      <c r="D1259" t="str">
        <f t="shared" ca="1" si="96"/>
        <v>RFR USD</v>
      </c>
      <c r="E1259" t="str">
        <f t="shared" ca="1" si="97"/>
        <v>RFR EUR</v>
      </c>
      <c r="F1259" t="str">
        <f t="shared" ca="1" si="98"/>
        <v>RFR GBP</v>
      </c>
      <c r="J1259" s="1"/>
      <c r="N1259" s="1"/>
      <c r="R1259" s="1"/>
      <c r="V1259" s="1"/>
      <c r="AB1259" s="1"/>
      <c r="AF1259" s="1"/>
      <c r="AJ1259" s="1"/>
      <c r="AN1259" s="1"/>
      <c r="AS1259" s="1"/>
      <c r="AX1259" s="1"/>
    </row>
    <row r="1260" spans="1:50" x14ac:dyDescent="0.3">
      <c r="A1260" s="19">
        <f t="shared" si="99"/>
        <v>47679</v>
      </c>
      <c r="B1260">
        <f t="shared" ca="1" si="95"/>
        <v>-4.2416666666666663</v>
      </c>
      <c r="C1260" t="str">
        <f ca="1">IF(currency="USD",'Future et co'!D1260,IF(currency="EUR",'Future et co'!E1260,IF(currency="GBP",'Future et co'!F1260,FALSE)))</f>
        <v>RFR USD</v>
      </c>
      <c r="D1260" t="str">
        <f t="shared" ca="1" si="96"/>
        <v>RFR USD</v>
      </c>
      <c r="E1260" t="str">
        <f t="shared" ca="1" si="97"/>
        <v>RFR EUR</v>
      </c>
      <c r="F1260" t="str">
        <f t="shared" ca="1" si="98"/>
        <v>RFR GBP</v>
      </c>
      <c r="J1260" s="1"/>
      <c r="N1260" s="1"/>
      <c r="R1260" s="1"/>
      <c r="V1260" s="1"/>
      <c r="AB1260" s="1"/>
      <c r="AF1260" s="1"/>
      <c r="AJ1260" s="1"/>
      <c r="AN1260" s="1"/>
      <c r="AS1260" s="1"/>
      <c r="AX1260" s="1"/>
    </row>
    <row r="1261" spans="1:50" x14ac:dyDescent="0.3">
      <c r="A1261" s="19">
        <f t="shared" si="99"/>
        <v>47680</v>
      </c>
      <c r="B1261">
        <f t="shared" ca="1" si="95"/>
        <v>-4.2444444444444445</v>
      </c>
      <c r="C1261" t="str">
        <f ca="1">IF(currency="USD",'Future et co'!D1261,IF(currency="EUR",'Future et co'!E1261,IF(currency="GBP",'Future et co'!F1261,FALSE)))</f>
        <v>RFR USD</v>
      </c>
      <c r="D1261" t="str">
        <f t="shared" ca="1" si="96"/>
        <v>RFR USD</v>
      </c>
      <c r="E1261" t="str">
        <f t="shared" ca="1" si="97"/>
        <v>RFR EUR</v>
      </c>
      <c r="F1261" t="str">
        <f t="shared" ca="1" si="98"/>
        <v>RFR GBP</v>
      </c>
      <c r="J1261" s="1"/>
      <c r="N1261" s="1"/>
      <c r="R1261" s="1"/>
      <c r="V1261" s="1"/>
      <c r="AB1261" s="1"/>
      <c r="AF1261" s="1"/>
      <c r="AJ1261" s="1"/>
      <c r="AN1261" s="1"/>
      <c r="AS1261" s="1"/>
      <c r="AX1261" s="1"/>
    </row>
    <row r="1262" spans="1:50" x14ac:dyDescent="0.3">
      <c r="A1262" s="19">
        <f t="shared" si="99"/>
        <v>47681</v>
      </c>
      <c r="B1262">
        <f t="shared" ca="1" si="95"/>
        <v>-4.2472222222222218</v>
      </c>
      <c r="C1262" t="str">
        <f ca="1">IF(currency="USD",'Future et co'!D1262,IF(currency="EUR",'Future et co'!E1262,IF(currency="GBP",'Future et co'!F1262,FALSE)))</f>
        <v>RFR USD</v>
      </c>
      <c r="D1262" t="str">
        <f t="shared" ca="1" si="96"/>
        <v>RFR USD</v>
      </c>
      <c r="E1262" t="str">
        <f t="shared" ca="1" si="97"/>
        <v>RFR EUR</v>
      </c>
      <c r="F1262" t="str">
        <f t="shared" ca="1" si="98"/>
        <v>RFR GBP</v>
      </c>
      <c r="J1262" s="1"/>
      <c r="N1262" s="1"/>
      <c r="R1262" s="1"/>
      <c r="V1262" s="1"/>
      <c r="AB1262" s="1"/>
      <c r="AF1262" s="1"/>
      <c r="AJ1262" s="1"/>
      <c r="AN1262" s="1"/>
      <c r="AS1262" s="1"/>
      <c r="AX1262" s="1"/>
    </row>
    <row r="1263" spans="1:50" x14ac:dyDescent="0.3">
      <c r="A1263" s="19">
        <f t="shared" si="99"/>
        <v>47682</v>
      </c>
      <c r="B1263">
        <f t="shared" ca="1" si="95"/>
        <v>-4.25</v>
      </c>
      <c r="C1263" t="str">
        <f ca="1">IF(currency="USD",'Future et co'!D1263,IF(currency="EUR",'Future et co'!E1263,IF(currency="GBP",'Future et co'!F1263,FALSE)))</f>
        <v>RFR USD</v>
      </c>
      <c r="D1263" t="str">
        <f t="shared" ca="1" si="96"/>
        <v>RFR USD</v>
      </c>
      <c r="E1263" t="str">
        <f t="shared" ca="1" si="97"/>
        <v>RFR EUR</v>
      </c>
      <c r="F1263" t="str">
        <f t="shared" ca="1" si="98"/>
        <v>RFR GBP</v>
      </c>
      <c r="J1263" s="1"/>
      <c r="N1263" s="1"/>
      <c r="R1263" s="1"/>
      <c r="V1263" s="1"/>
      <c r="AB1263" s="1"/>
      <c r="AF1263" s="1"/>
      <c r="AJ1263" s="1"/>
      <c r="AN1263" s="1"/>
      <c r="AS1263" s="1"/>
      <c r="AX1263" s="1"/>
    </row>
    <row r="1264" spans="1:50" x14ac:dyDescent="0.3">
      <c r="A1264" s="19">
        <f t="shared" si="99"/>
        <v>47683</v>
      </c>
      <c r="B1264">
        <f t="shared" ca="1" si="95"/>
        <v>-4.2527777777777782</v>
      </c>
      <c r="C1264" t="str">
        <f ca="1">IF(currency="USD",'Future et co'!D1264,IF(currency="EUR",'Future et co'!E1264,IF(currency="GBP",'Future et co'!F1264,FALSE)))</f>
        <v>RFR USD</v>
      </c>
      <c r="D1264" t="str">
        <f t="shared" ca="1" si="96"/>
        <v>RFR USD</v>
      </c>
      <c r="E1264" t="str">
        <f t="shared" ca="1" si="97"/>
        <v>RFR EUR</v>
      </c>
      <c r="F1264" t="str">
        <f t="shared" ca="1" si="98"/>
        <v>RFR GBP</v>
      </c>
      <c r="J1264" s="1"/>
      <c r="N1264" s="1"/>
      <c r="R1264" s="1"/>
      <c r="V1264" s="1"/>
      <c r="AB1264" s="1"/>
      <c r="AF1264" s="1"/>
      <c r="AJ1264" s="1"/>
      <c r="AN1264" s="1"/>
      <c r="AS1264" s="1"/>
      <c r="AX1264" s="1"/>
    </row>
    <row r="1265" spans="1:50" x14ac:dyDescent="0.3">
      <c r="A1265" s="19">
        <f t="shared" si="99"/>
        <v>47686</v>
      </c>
      <c r="B1265">
        <f t="shared" ca="1" si="95"/>
        <v>-4.2611111111111111</v>
      </c>
      <c r="C1265" t="str">
        <f ca="1">IF(currency="USD",'Future et co'!D1265,IF(currency="EUR",'Future et co'!E1265,IF(currency="GBP",'Future et co'!F1265,FALSE)))</f>
        <v>RFR USD</v>
      </c>
      <c r="D1265" t="str">
        <f t="shared" ca="1" si="96"/>
        <v>RFR USD</v>
      </c>
      <c r="E1265" t="str">
        <f t="shared" ca="1" si="97"/>
        <v>RFR EUR</v>
      </c>
      <c r="F1265" t="str">
        <f t="shared" ca="1" si="98"/>
        <v>RFR GBP</v>
      </c>
      <c r="J1265" s="1"/>
      <c r="N1265" s="1"/>
      <c r="R1265" s="1"/>
      <c r="V1265" s="1"/>
      <c r="AB1265" s="1"/>
      <c r="AF1265" s="1"/>
      <c r="AJ1265" s="1"/>
      <c r="AN1265" s="1"/>
      <c r="AS1265" s="1"/>
      <c r="AX1265" s="1"/>
    </row>
    <row r="1266" spans="1:50" x14ac:dyDescent="0.3">
      <c r="A1266" s="19">
        <f t="shared" si="99"/>
        <v>47687</v>
      </c>
      <c r="B1266">
        <f t="shared" ca="1" si="95"/>
        <v>-4.2638888888888893</v>
      </c>
      <c r="C1266" t="str">
        <f ca="1">IF(currency="USD",'Future et co'!D1266,IF(currency="EUR",'Future et co'!E1266,IF(currency="GBP",'Future et co'!F1266,FALSE)))</f>
        <v>RFR USD</v>
      </c>
      <c r="D1266" t="str">
        <f t="shared" ca="1" si="96"/>
        <v>RFR USD</v>
      </c>
      <c r="E1266" t="str">
        <f t="shared" ca="1" si="97"/>
        <v>RFR EUR</v>
      </c>
      <c r="F1266" t="str">
        <f t="shared" ca="1" si="98"/>
        <v>RFR GBP</v>
      </c>
      <c r="J1266" s="1"/>
      <c r="N1266" s="1"/>
      <c r="R1266" s="1"/>
      <c r="V1266" s="1"/>
      <c r="AB1266" s="1"/>
      <c r="AF1266" s="1"/>
      <c r="AJ1266" s="1"/>
      <c r="AN1266" s="1"/>
      <c r="AS1266" s="1"/>
      <c r="AX1266" s="1"/>
    </row>
    <row r="1267" spans="1:50" x14ac:dyDescent="0.3">
      <c r="A1267" s="19">
        <f t="shared" si="99"/>
        <v>47688</v>
      </c>
      <c r="B1267">
        <f t="shared" ca="1" si="95"/>
        <v>-4.2666666666666666</v>
      </c>
      <c r="C1267" t="str">
        <f ca="1">IF(currency="USD",'Future et co'!D1267,IF(currency="EUR",'Future et co'!E1267,IF(currency="GBP",'Future et co'!F1267,FALSE)))</f>
        <v>RFR USD</v>
      </c>
      <c r="D1267" t="str">
        <f t="shared" ca="1" si="96"/>
        <v>RFR USD</v>
      </c>
      <c r="E1267" t="str">
        <f t="shared" ca="1" si="97"/>
        <v>RFR EUR</v>
      </c>
      <c r="F1267" t="str">
        <f t="shared" ca="1" si="98"/>
        <v>RFR GBP</v>
      </c>
      <c r="J1267" s="1"/>
      <c r="N1267" s="1"/>
      <c r="R1267" s="1"/>
      <c r="V1267" s="1"/>
      <c r="AB1267" s="1"/>
      <c r="AF1267" s="1"/>
      <c r="AJ1267" s="1"/>
      <c r="AN1267" s="1"/>
      <c r="AS1267" s="1"/>
      <c r="AX1267" s="1"/>
    </row>
    <row r="1268" spans="1:50" x14ac:dyDescent="0.3">
      <c r="A1268" s="19">
        <f t="shared" si="99"/>
        <v>47689</v>
      </c>
      <c r="B1268">
        <f t="shared" ca="1" si="95"/>
        <v>-4.2694444444444448</v>
      </c>
      <c r="C1268" t="str">
        <f ca="1">IF(currency="USD",'Future et co'!D1268,IF(currency="EUR",'Future et co'!E1268,IF(currency="GBP",'Future et co'!F1268,FALSE)))</f>
        <v>RFR USD</v>
      </c>
      <c r="D1268" t="str">
        <f t="shared" ca="1" si="96"/>
        <v>RFR USD</v>
      </c>
      <c r="E1268" t="str">
        <f t="shared" ca="1" si="97"/>
        <v>RFR EUR</v>
      </c>
      <c r="F1268" t="str">
        <f t="shared" ca="1" si="98"/>
        <v>RFR GBP</v>
      </c>
      <c r="J1268" s="1"/>
      <c r="N1268" s="1"/>
      <c r="R1268" s="1"/>
      <c r="V1268" s="1"/>
      <c r="AB1268" s="1"/>
      <c r="AF1268" s="1"/>
      <c r="AJ1268" s="1"/>
      <c r="AN1268" s="1"/>
      <c r="AS1268" s="1"/>
      <c r="AX1268" s="1"/>
    </row>
    <row r="1269" spans="1:50" x14ac:dyDescent="0.3">
      <c r="A1269" s="19">
        <f t="shared" si="99"/>
        <v>47690</v>
      </c>
      <c r="B1269">
        <f t="shared" ca="1" si="95"/>
        <v>-4.2722222222222221</v>
      </c>
      <c r="C1269" t="str">
        <f ca="1">IF(currency="USD",'Future et co'!D1269,IF(currency="EUR",'Future et co'!E1269,IF(currency="GBP",'Future et co'!F1269,FALSE)))</f>
        <v>RFR USD</v>
      </c>
      <c r="D1269" t="str">
        <f t="shared" ca="1" si="96"/>
        <v>RFR USD</v>
      </c>
      <c r="E1269" t="str">
        <f t="shared" ca="1" si="97"/>
        <v>RFR EUR</v>
      </c>
      <c r="F1269" t="str">
        <f t="shared" ca="1" si="98"/>
        <v>RFR GBP</v>
      </c>
      <c r="J1269" s="1"/>
      <c r="N1269" s="1"/>
      <c r="R1269" s="1"/>
      <c r="V1269" s="1"/>
      <c r="AB1269" s="1"/>
      <c r="AF1269" s="1"/>
      <c r="AJ1269" s="1"/>
      <c r="AN1269" s="1"/>
      <c r="AS1269" s="1"/>
      <c r="AX1269" s="1"/>
    </row>
    <row r="1270" spans="1:50" x14ac:dyDescent="0.3">
      <c r="A1270" s="19">
        <f t="shared" si="99"/>
        <v>47693</v>
      </c>
      <c r="B1270">
        <f t="shared" ca="1" si="95"/>
        <v>-4.2805555555555559</v>
      </c>
      <c r="C1270" t="str">
        <f ca="1">IF(currency="USD",'Future et co'!D1270,IF(currency="EUR",'Future et co'!E1270,IF(currency="GBP",'Future et co'!F1270,FALSE)))</f>
        <v>RFR USD</v>
      </c>
      <c r="D1270" t="str">
        <f t="shared" ca="1" si="96"/>
        <v>RFR USD</v>
      </c>
      <c r="E1270" t="str">
        <f t="shared" ca="1" si="97"/>
        <v>RFR EUR</v>
      </c>
      <c r="F1270" t="str">
        <f t="shared" ca="1" si="98"/>
        <v>RFR GBP</v>
      </c>
      <c r="J1270" s="1"/>
      <c r="N1270" s="1"/>
      <c r="R1270" s="1"/>
      <c r="V1270" s="1"/>
      <c r="AB1270" s="1"/>
      <c r="AF1270" s="1"/>
      <c r="AJ1270" s="1"/>
      <c r="AN1270" s="1"/>
      <c r="AS1270" s="1"/>
      <c r="AX1270" s="1"/>
    </row>
    <row r="1271" spans="1:50" x14ac:dyDescent="0.3">
      <c r="A1271" s="19">
        <f t="shared" si="99"/>
        <v>47694</v>
      </c>
      <c r="B1271">
        <f t="shared" ca="1" si="95"/>
        <v>-4.2833333333333332</v>
      </c>
      <c r="C1271" t="str">
        <f ca="1">IF(currency="USD",'Future et co'!D1271,IF(currency="EUR",'Future et co'!E1271,IF(currency="GBP",'Future et co'!F1271,FALSE)))</f>
        <v>RFR USD</v>
      </c>
      <c r="D1271" t="str">
        <f t="shared" ca="1" si="96"/>
        <v>RFR USD</v>
      </c>
      <c r="E1271" t="str">
        <f t="shared" ca="1" si="97"/>
        <v>RFR EUR</v>
      </c>
      <c r="F1271" t="str">
        <f t="shared" ca="1" si="98"/>
        <v>RFR GBP</v>
      </c>
      <c r="J1271" s="1"/>
      <c r="N1271" s="1"/>
      <c r="R1271" s="1"/>
      <c r="V1271" s="1"/>
      <c r="AB1271" s="1"/>
      <c r="AF1271" s="1"/>
      <c r="AJ1271" s="1"/>
      <c r="AN1271" s="1"/>
      <c r="AS1271" s="1"/>
      <c r="AX1271" s="1"/>
    </row>
    <row r="1272" spans="1:50" x14ac:dyDescent="0.3">
      <c r="A1272" s="19">
        <f t="shared" si="99"/>
        <v>47695</v>
      </c>
      <c r="B1272">
        <f t="shared" ca="1" si="95"/>
        <v>-4.2861111111111114</v>
      </c>
      <c r="C1272" t="str">
        <f ca="1">IF(currency="USD",'Future et co'!D1272,IF(currency="EUR",'Future et co'!E1272,IF(currency="GBP",'Future et co'!F1272,FALSE)))</f>
        <v>RFR USD</v>
      </c>
      <c r="D1272" t="str">
        <f t="shared" ca="1" si="96"/>
        <v>RFR USD</v>
      </c>
      <c r="E1272" t="str">
        <f t="shared" ca="1" si="97"/>
        <v>RFR EUR</v>
      </c>
      <c r="F1272" t="str">
        <f t="shared" ca="1" si="98"/>
        <v>RFR GBP</v>
      </c>
      <c r="J1272" s="1"/>
      <c r="N1272" s="1"/>
      <c r="R1272" s="1"/>
      <c r="V1272" s="1"/>
      <c r="AB1272" s="1"/>
      <c r="AF1272" s="1"/>
      <c r="AJ1272" s="1"/>
      <c r="AN1272" s="1"/>
      <c r="AS1272" s="1"/>
      <c r="AX1272" s="1"/>
    </row>
    <row r="1273" spans="1:50" x14ac:dyDescent="0.3">
      <c r="A1273" s="19">
        <f t="shared" si="99"/>
        <v>47696</v>
      </c>
      <c r="B1273">
        <f t="shared" ca="1" si="95"/>
        <v>-4.2888888888888888</v>
      </c>
      <c r="C1273" t="str">
        <f ca="1">IF(currency="USD",'Future et co'!D1273,IF(currency="EUR",'Future et co'!E1273,IF(currency="GBP",'Future et co'!F1273,FALSE)))</f>
        <v>RFR USD</v>
      </c>
      <c r="D1273" t="str">
        <f t="shared" ca="1" si="96"/>
        <v>RFR USD</v>
      </c>
      <c r="E1273" t="str">
        <f t="shared" ca="1" si="97"/>
        <v>RFR EUR</v>
      </c>
      <c r="F1273" t="str">
        <f t="shared" ca="1" si="98"/>
        <v>RFR GBP</v>
      </c>
      <c r="J1273" s="1"/>
      <c r="N1273" s="1"/>
      <c r="R1273" s="1"/>
      <c r="V1273" s="1"/>
      <c r="AB1273" s="1"/>
      <c r="AF1273" s="1"/>
      <c r="AJ1273" s="1"/>
      <c r="AN1273" s="1"/>
      <c r="AS1273" s="1"/>
      <c r="AX1273" s="1"/>
    </row>
    <row r="1274" spans="1:50" x14ac:dyDescent="0.3">
      <c r="A1274" s="19">
        <f t="shared" si="99"/>
        <v>47697</v>
      </c>
      <c r="B1274">
        <f t="shared" ca="1" si="95"/>
        <v>-4.291666666666667</v>
      </c>
      <c r="C1274" t="str">
        <f ca="1">IF(currency="USD",'Future et co'!D1274,IF(currency="EUR",'Future et co'!E1274,IF(currency="GBP",'Future et co'!F1274,FALSE)))</f>
        <v>RFR USD</v>
      </c>
      <c r="D1274" t="str">
        <f t="shared" ca="1" si="96"/>
        <v>RFR USD</v>
      </c>
      <c r="E1274" t="str">
        <f t="shared" ca="1" si="97"/>
        <v>RFR EUR</v>
      </c>
      <c r="F1274" t="str">
        <f t="shared" ca="1" si="98"/>
        <v>RFR GBP</v>
      </c>
      <c r="J1274" s="1"/>
      <c r="N1274" s="1"/>
      <c r="R1274" s="1"/>
      <c r="V1274" s="1"/>
      <c r="AB1274" s="1"/>
      <c r="AF1274" s="1"/>
      <c r="AJ1274" s="1"/>
      <c r="AN1274" s="1"/>
      <c r="AS1274" s="1"/>
      <c r="AX1274" s="1"/>
    </row>
    <row r="1275" spans="1:50" x14ac:dyDescent="0.3">
      <c r="A1275" s="19">
        <f t="shared" si="99"/>
        <v>47700</v>
      </c>
      <c r="B1275">
        <f t="shared" ca="1" si="95"/>
        <v>-4.3</v>
      </c>
      <c r="C1275" t="str">
        <f ca="1">IF(currency="USD",'Future et co'!D1275,IF(currency="EUR",'Future et co'!E1275,IF(currency="GBP",'Future et co'!F1275,FALSE)))</f>
        <v>RFR USD</v>
      </c>
      <c r="D1275" t="str">
        <f t="shared" ca="1" si="96"/>
        <v>RFR USD</v>
      </c>
      <c r="E1275" t="str">
        <f t="shared" ca="1" si="97"/>
        <v>RFR EUR</v>
      </c>
      <c r="F1275" t="str">
        <f t="shared" ca="1" si="98"/>
        <v>RFR GBP</v>
      </c>
      <c r="J1275" s="1"/>
      <c r="N1275" s="1"/>
      <c r="R1275" s="1"/>
      <c r="V1275" s="1"/>
      <c r="AB1275" s="1"/>
      <c r="AF1275" s="1"/>
      <c r="AJ1275" s="1"/>
      <c r="AN1275" s="1"/>
      <c r="AS1275" s="1"/>
      <c r="AX1275" s="1"/>
    </row>
    <row r="1276" spans="1:50" x14ac:dyDescent="0.3">
      <c r="A1276" s="19">
        <f t="shared" si="99"/>
        <v>47701</v>
      </c>
      <c r="B1276">
        <f t="shared" ca="1" si="95"/>
        <v>-4.302777777777778</v>
      </c>
      <c r="C1276" t="str">
        <f ca="1">IF(currency="USD",'Future et co'!D1276,IF(currency="EUR",'Future et co'!E1276,IF(currency="GBP",'Future et co'!F1276,FALSE)))</f>
        <v>RFR USD</v>
      </c>
      <c r="D1276" t="str">
        <f t="shared" ca="1" si="96"/>
        <v>RFR USD</v>
      </c>
      <c r="E1276" t="str">
        <f t="shared" ca="1" si="97"/>
        <v>RFR EUR</v>
      </c>
      <c r="F1276" t="str">
        <f t="shared" ca="1" si="98"/>
        <v>RFR GBP</v>
      </c>
      <c r="J1276" s="1"/>
      <c r="N1276" s="1"/>
      <c r="R1276" s="1"/>
      <c r="V1276" s="1"/>
      <c r="AB1276" s="1"/>
      <c r="AF1276" s="1"/>
      <c r="AJ1276" s="1"/>
      <c r="AN1276" s="1"/>
      <c r="AS1276" s="1"/>
      <c r="AX1276" s="1"/>
    </row>
    <row r="1277" spans="1:50" x14ac:dyDescent="0.3">
      <c r="A1277" s="19">
        <f t="shared" si="99"/>
        <v>47702</v>
      </c>
      <c r="B1277">
        <f t="shared" ca="1" si="95"/>
        <v>-4.3055555555555554</v>
      </c>
      <c r="C1277" t="str">
        <f ca="1">IF(currency="USD",'Future et co'!D1277,IF(currency="EUR",'Future et co'!E1277,IF(currency="GBP",'Future et co'!F1277,FALSE)))</f>
        <v>RFR USD</v>
      </c>
      <c r="D1277" t="str">
        <f t="shared" ca="1" si="96"/>
        <v>RFR USD</v>
      </c>
      <c r="E1277" t="str">
        <f t="shared" ca="1" si="97"/>
        <v>RFR EUR</v>
      </c>
      <c r="F1277" t="str">
        <f t="shared" ca="1" si="98"/>
        <v>RFR GBP</v>
      </c>
      <c r="J1277" s="1"/>
      <c r="N1277" s="1"/>
      <c r="R1277" s="1"/>
      <c r="V1277" s="1"/>
      <c r="AB1277" s="1"/>
      <c r="AF1277" s="1"/>
      <c r="AJ1277" s="1"/>
      <c r="AN1277" s="1"/>
      <c r="AS1277" s="1"/>
      <c r="AX1277" s="1"/>
    </row>
    <row r="1278" spans="1:50" x14ac:dyDescent="0.3">
      <c r="A1278" s="19">
        <f t="shared" si="99"/>
        <v>47703</v>
      </c>
      <c r="B1278">
        <f t="shared" ca="1" si="95"/>
        <v>-4.3083333333333336</v>
      </c>
      <c r="C1278" t="str">
        <f ca="1">IF(currency="USD",'Future et co'!D1278,IF(currency="EUR",'Future et co'!E1278,IF(currency="GBP",'Future et co'!F1278,FALSE)))</f>
        <v>RFR USD</v>
      </c>
      <c r="D1278" t="str">
        <f t="shared" ca="1" si="96"/>
        <v>RFR USD</v>
      </c>
      <c r="E1278" t="str">
        <f t="shared" ca="1" si="97"/>
        <v>RFR EUR</v>
      </c>
      <c r="F1278" t="str">
        <f t="shared" ca="1" si="98"/>
        <v>RFR GBP</v>
      </c>
      <c r="J1278" s="1"/>
      <c r="N1278" s="1"/>
      <c r="R1278" s="1"/>
      <c r="V1278" s="1"/>
      <c r="AB1278" s="1"/>
      <c r="AF1278" s="1"/>
      <c r="AJ1278" s="1"/>
      <c r="AN1278" s="1"/>
      <c r="AS1278" s="1"/>
      <c r="AX1278" s="1"/>
    </row>
    <row r="1279" spans="1:50" x14ac:dyDescent="0.3">
      <c r="A1279" s="19">
        <f t="shared" si="99"/>
        <v>47704</v>
      </c>
      <c r="B1279">
        <f t="shared" ca="1" si="95"/>
        <v>-4.3111111111111109</v>
      </c>
      <c r="C1279" t="str">
        <f ca="1">IF(currency="USD",'Future et co'!D1279,IF(currency="EUR",'Future et co'!E1279,IF(currency="GBP",'Future et co'!F1279,FALSE)))</f>
        <v>RFR USD</v>
      </c>
      <c r="D1279" t="str">
        <f t="shared" ca="1" si="96"/>
        <v>RFR USD</v>
      </c>
      <c r="E1279" t="str">
        <f t="shared" ca="1" si="97"/>
        <v>RFR EUR</v>
      </c>
      <c r="F1279" t="str">
        <f t="shared" ca="1" si="98"/>
        <v>RFR GBP</v>
      </c>
      <c r="J1279" s="1"/>
      <c r="N1279" s="1"/>
      <c r="R1279" s="1"/>
      <c r="V1279" s="1"/>
      <c r="AB1279" s="1"/>
      <c r="AF1279" s="1"/>
      <c r="AJ1279" s="1"/>
      <c r="AN1279" s="1"/>
      <c r="AS1279" s="1"/>
      <c r="AX1279" s="1"/>
    </row>
    <row r="1280" spans="1:50" x14ac:dyDescent="0.3">
      <c r="A1280" s="19">
        <f t="shared" si="99"/>
        <v>47707</v>
      </c>
      <c r="B1280">
        <f t="shared" ca="1" si="95"/>
        <v>-4.3194444444444446</v>
      </c>
      <c r="C1280" t="str">
        <f ca="1">IF(currency="USD",'Future et co'!D1280,IF(currency="EUR",'Future et co'!E1280,IF(currency="GBP",'Future et co'!F1280,FALSE)))</f>
        <v>RFR USD</v>
      </c>
      <c r="D1280" t="str">
        <f t="shared" ca="1" si="96"/>
        <v>RFR USD</v>
      </c>
      <c r="E1280" t="str">
        <f t="shared" ca="1" si="97"/>
        <v>RFR EUR</v>
      </c>
      <c r="F1280" t="str">
        <f t="shared" ca="1" si="98"/>
        <v>RFR GBP</v>
      </c>
      <c r="J1280" s="1"/>
      <c r="N1280" s="1"/>
      <c r="R1280" s="1"/>
      <c r="V1280" s="1"/>
      <c r="AB1280" s="1"/>
      <c r="AF1280" s="1"/>
      <c r="AJ1280" s="1"/>
      <c r="AN1280" s="1"/>
      <c r="AS1280" s="1"/>
      <c r="AX1280" s="1"/>
    </row>
    <row r="1281" spans="1:50" x14ac:dyDescent="0.3">
      <c r="A1281" s="19">
        <f t="shared" si="99"/>
        <v>47708</v>
      </c>
      <c r="B1281">
        <f t="shared" ca="1" si="95"/>
        <v>-4.322222222222222</v>
      </c>
      <c r="C1281" t="str">
        <f ca="1">IF(currency="USD",'Future et co'!D1281,IF(currency="EUR",'Future et co'!E1281,IF(currency="GBP",'Future et co'!F1281,FALSE)))</f>
        <v>RFR USD</v>
      </c>
      <c r="D1281" t="str">
        <f t="shared" ca="1" si="96"/>
        <v>RFR USD</v>
      </c>
      <c r="E1281" t="str">
        <f t="shared" ca="1" si="97"/>
        <v>RFR EUR</v>
      </c>
      <c r="F1281" t="str">
        <f t="shared" ca="1" si="98"/>
        <v>RFR GBP</v>
      </c>
      <c r="J1281" s="1"/>
      <c r="N1281" s="1"/>
      <c r="R1281" s="1"/>
      <c r="V1281" s="1"/>
      <c r="AB1281" s="1"/>
      <c r="AF1281" s="1"/>
      <c r="AJ1281" s="1"/>
      <c r="AN1281" s="1"/>
      <c r="AS1281" s="1"/>
      <c r="AX1281" s="1"/>
    </row>
    <row r="1282" spans="1:50" x14ac:dyDescent="0.3">
      <c r="A1282" s="19">
        <f t="shared" si="99"/>
        <v>47709</v>
      </c>
      <c r="B1282">
        <f t="shared" ca="1" si="95"/>
        <v>-4.3250000000000002</v>
      </c>
      <c r="C1282" t="str">
        <f ca="1">IF(currency="USD",'Future et co'!D1282,IF(currency="EUR",'Future et co'!E1282,IF(currency="GBP",'Future et co'!F1282,FALSE)))</f>
        <v>RFR USD</v>
      </c>
      <c r="D1282" t="str">
        <f t="shared" ca="1" si="96"/>
        <v>RFR USD</v>
      </c>
      <c r="E1282" t="str">
        <f t="shared" ca="1" si="97"/>
        <v>RFR EUR</v>
      </c>
      <c r="F1282" t="str">
        <f t="shared" ca="1" si="98"/>
        <v>RFR GBP</v>
      </c>
      <c r="J1282" s="1"/>
      <c r="N1282" s="1"/>
      <c r="R1282" s="1"/>
      <c r="V1282" s="1"/>
      <c r="AB1282" s="1"/>
      <c r="AF1282" s="1"/>
      <c r="AJ1282" s="1"/>
      <c r="AN1282" s="1"/>
      <c r="AS1282" s="1"/>
      <c r="AX1282" s="1"/>
    </row>
    <row r="1283" spans="1:50" x14ac:dyDescent="0.3">
      <c r="A1283" s="19">
        <f t="shared" si="99"/>
        <v>47710</v>
      </c>
      <c r="B1283">
        <f t="shared" ca="1" si="95"/>
        <v>-4.3277777777777775</v>
      </c>
      <c r="C1283" t="str">
        <f ca="1">IF(currency="USD",'Future et co'!D1283,IF(currency="EUR",'Future et co'!E1283,IF(currency="GBP",'Future et co'!F1283,FALSE)))</f>
        <v>RFR USD</v>
      </c>
      <c r="D1283" t="str">
        <f t="shared" ca="1" si="96"/>
        <v>RFR USD</v>
      </c>
      <c r="E1283" t="str">
        <f t="shared" ca="1" si="97"/>
        <v>RFR EUR</v>
      </c>
      <c r="F1283" t="str">
        <f t="shared" ca="1" si="98"/>
        <v>RFR GBP</v>
      </c>
      <c r="J1283" s="1"/>
      <c r="N1283" s="1"/>
      <c r="R1283" s="1"/>
      <c r="V1283" s="1"/>
      <c r="AB1283" s="1"/>
      <c r="AF1283" s="1"/>
      <c r="AJ1283" s="1"/>
      <c r="AN1283" s="1"/>
      <c r="AS1283" s="1"/>
      <c r="AX1283" s="1"/>
    </row>
    <row r="1284" spans="1:50" x14ac:dyDescent="0.3">
      <c r="A1284" s="19">
        <f t="shared" si="99"/>
        <v>47711</v>
      </c>
      <c r="B1284">
        <f t="shared" ca="1" si="95"/>
        <v>-4.3305555555555557</v>
      </c>
      <c r="C1284" t="str">
        <f ca="1">IF(currency="USD",'Future et co'!D1284,IF(currency="EUR",'Future et co'!E1284,IF(currency="GBP",'Future et co'!F1284,FALSE)))</f>
        <v>RFR USD</v>
      </c>
      <c r="D1284" t="str">
        <f t="shared" ca="1" si="96"/>
        <v>RFR USD</v>
      </c>
      <c r="E1284" t="str">
        <f t="shared" ca="1" si="97"/>
        <v>RFR EUR</v>
      </c>
      <c r="F1284" t="str">
        <f t="shared" ca="1" si="98"/>
        <v>RFR GBP</v>
      </c>
      <c r="J1284" s="1"/>
      <c r="N1284" s="1"/>
      <c r="R1284" s="1"/>
      <c r="V1284" s="1"/>
      <c r="AB1284" s="1"/>
      <c r="AF1284" s="1"/>
      <c r="AJ1284" s="1"/>
      <c r="AN1284" s="1"/>
      <c r="AS1284" s="1"/>
      <c r="AX1284" s="1"/>
    </row>
    <row r="1285" spans="1:50" x14ac:dyDescent="0.3">
      <c r="A1285" s="19">
        <f t="shared" si="99"/>
        <v>47714</v>
      </c>
      <c r="B1285">
        <f t="shared" ca="1" si="95"/>
        <v>-4.3388888888888886</v>
      </c>
      <c r="C1285" t="str">
        <f ca="1">IF(currency="USD",'Future et co'!D1285,IF(currency="EUR",'Future et co'!E1285,IF(currency="GBP",'Future et co'!F1285,FALSE)))</f>
        <v>RFR USD</v>
      </c>
      <c r="D1285" t="str">
        <f t="shared" ca="1" si="96"/>
        <v>RFR USD</v>
      </c>
      <c r="E1285" t="str">
        <f t="shared" ca="1" si="97"/>
        <v>RFR EUR</v>
      </c>
      <c r="F1285" t="str">
        <f t="shared" ca="1" si="98"/>
        <v>RFR GBP</v>
      </c>
      <c r="J1285" s="1"/>
      <c r="N1285" s="1"/>
      <c r="R1285" s="1"/>
      <c r="V1285" s="1"/>
      <c r="AB1285" s="1"/>
      <c r="AF1285" s="1"/>
      <c r="AJ1285" s="1"/>
      <c r="AN1285" s="1"/>
      <c r="AS1285" s="1"/>
      <c r="AX1285" s="1"/>
    </row>
    <row r="1286" spans="1:50" x14ac:dyDescent="0.3">
      <c r="A1286" s="19">
        <f t="shared" si="99"/>
        <v>47715</v>
      </c>
      <c r="B1286">
        <f t="shared" ca="1" si="95"/>
        <v>-4.3416666666666668</v>
      </c>
      <c r="C1286" t="str">
        <f ca="1">IF(currency="USD",'Future et co'!D1286,IF(currency="EUR",'Future et co'!E1286,IF(currency="GBP",'Future et co'!F1286,FALSE)))</f>
        <v>RFR USD</v>
      </c>
      <c r="D1286" t="str">
        <f t="shared" ca="1" si="96"/>
        <v>RFR USD</v>
      </c>
      <c r="E1286" t="str">
        <f t="shared" ca="1" si="97"/>
        <v>RFR EUR</v>
      </c>
      <c r="F1286" t="str">
        <f t="shared" ca="1" si="98"/>
        <v>RFR GBP</v>
      </c>
      <c r="J1286" s="1"/>
      <c r="N1286" s="1"/>
      <c r="R1286" s="1"/>
      <c r="V1286" s="1"/>
      <c r="AB1286" s="1"/>
      <c r="AF1286" s="1"/>
      <c r="AJ1286" s="1"/>
      <c r="AN1286" s="1"/>
      <c r="AS1286" s="1"/>
      <c r="AX1286" s="1"/>
    </row>
    <row r="1287" spans="1:50" x14ac:dyDescent="0.3">
      <c r="A1287" s="19">
        <f t="shared" si="99"/>
        <v>47716</v>
      </c>
      <c r="B1287">
        <f t="shared" ca="1" si="95"/>
        <v>-4.3444444444444441</v>
      </c>
      <c r="C1287" t="str">
        <f ca="1">IF(currency="USD",'Future et co'!D1287,IF(currency="EUR",'Future et co'!E1287,IF(currency="GBP",'Future et co'!F1287,FALSE)))</f>
        <v>RFR USD</v>
      </c>
      <c r="D1287" t="str">
        <f t="shared" ca="1" si="96"/>
        <v>RFR USD</v>
      </c>
      <c r="E1287" t="str">
        <f t="shared" ca="1" si="97"/>
        <v>RFR EUR</v>
      </c>
      <c r="F1287" t="str">
        <f t="shared" ca="1" si="98"/>
        <v>RFR GBP</v>
      </c>
      <c r="J1287" s="1"/>
      <c r="N1287" s="1"/>
      <c r="R1287" s="1"/>
      <c r="V1287" s="1"/>
      <c r="AB1287" s="1"/>
      <c r="AF1287" s="1"/>
      <c r="AJ1287" s="1"/>
      <c r="AN1287" s="1"/>
      <c r="AS1287" s="1"/>
      <c r="AX1287" s="1"/>
    </row>
    <row r="1288" spans="1:50" x14ac:dyDescent="0.3">
      <c r="A1288" s="19">
        <f t="shared" si="99"/>
        <v>47717</v>
      </c>
      <c r="B1288">
        <f t="shared" ca="1" si="95"/>
        <v>-4.3472222222222223</v>
      </c>
      <c r="C1288" t="str">
        <f ca="1">IF(currency="USD",'Future et co'!D1288,IF(currency="EUR",'Future et co'!E1288,IF(currency="GBP",'Future et co'!F1288,FALSE)))</f>
        <v>RFR USD</v>
      </c>
      <c r="D1288" t="str">
        <f t="shared" ca="1" si="96"/>
        <v>RFR USD</v>
      </c>
      <c r="E1288" t="str">
        <f t="shared" ca="1" si="97"/>
        <v>RFR EUR</v>
      </c>
      <c r="F1288" t="str">
        <f t="shared" ca="1" si="98"/>
        <v>RFR GBP</v>
      </c>
      <c r="J1288" s="1"/>
      <c r="N1288" s="1"/>
      <c r="R1288" s="1"/>
      <c r="V1288" s="1"/>
      <c r="AB1288" s="1"/>
      <c r="AF1288" s="1"/>
      <c r="AJ1288" s="1"/>
      <c r="AN1288" s="1"/>
      <c r="AS1288" s="1"/>
      <c r="AX1288" s="1"/>
    </row>
    <row r="1289" spans="1:50" x14ac:dyDescent="0.3">
      <c r="A1289" s="19">
        <f t="shared" si="99"/>
        <v>47718</v>
      </c>
      <c r="B1289">
        <f t="shared" ca="1" si="95"/>
        <v>-4.3499999999999996</v>
      </c>
      <c r="C1289" t="str">
        <f ca="1">IF(currency="USD",'Future et co'!D1289,IF(currency="EUR",'Future et co'!E1289,IF(currency="GBP",'Future et co'!F1289,FALSE)))</f>
        <v>RFR USD</v>
      </c>
      <c r="D1289" t="str">
        <f t="shared" ca="1" si="96"/>
        <v>RFR USD</v>
      </c>
      <c r="E1289" t="str">
        <f t="shared" ca="1" si="97"/>
        <v>RFR EUR</v>
      </c>
      <c r="F1289" t="str">
        <f t="shared" ca="1" si="98"/>
        <v>RFR GBP</v>
      </c>
      <c r="J1289" s="1"/>
      <c r="N1289" s="1"/>
      <c r="R1289" s="1"/>
      <c r="V1289" s="1"/>
      <c r="AB1289" s="1"/>
      <c r="AF1289" s="1"/>
      <c r="AJ1289" s="1"/>
      <c r="AN1289" s="1"/>
      <c r="AS1289" s="1"/>
      <c r="AX1289" s="1"/>
    </row>
    <row r="1290" spans="1:50" x14ac:dyDescent="0.3">
      <c r="A1290" s="19">
        <f t="shared" si="99"/>
        <v>47721</v>
      </c>
      <c r="B1290">
        <f t="shared" ca="1" si="95"/>
        <v>-4.3583333333333334</v>
      </c>
      <c r="C1290" t="str">
        <f ca="1">IF(currency="USD",'Future et co'!D1290,IF(currency="EUR",'Future et co'!E1290,IF(currency="GBP",'Future et co'!F1290,FALSE)))</f>
        <v>RFR USD</v>
      </c>
      <c r="D1290" t="str">
        <f t="shared" ca="1" si="96"/>
        <v>RFR USD</v>
      </c>
      <c r="E1290" t="str">
        <f t="shared" ca="1" si="97"/>
        <v>RFR EUR</v>
      </c>
      <c r="F1290" t="str">
        <f t="shared" ca="1" si="98"/>
        <v>RFR GBP</v>
      </c>
      <c r="J1290" s="1"/>
      <c r="N1290" s="1"/>
      <c r="R1290" s="1"/>
      <c r="V1290" s="1"/>
      <c r="AB1290" s="1"/>
      <c r="AF1290" s="1"/>
      <c r="AJ1290" s="1"/>
      <c r="AN1290" s="1"/>
      <c r="AS1290" s="1"/>
      <c r="AX1290" s="1"/>
    </row>
    <row r="1291" spans="1:50" x14ac:dyDescent="0.3">
      <c r="A1291" s="19">
        <f t="shared" si="99"/>
        <v>47722</v>
      </c>
      <c r="B1291">
        <f t="shared" ref="B1291:B1354" ca="1" si="100">($B$7-A1291)/360</f>
        <v>-4.3611111111111107</v>
      </c>
      <c r="C1291" t="str">
        <f ca="1">IF(currency="USD",'Future et co'!D1291,IF(currency="EUR",'Future et co'!E1291,IF(currency="GBP",'Future et co'!F1291,FALSE)))</f>
        <v>RFR USD</v>
      </c>
      <c r="D1291" t="str">
        <f t="shared" ref="D1291:D1354" ca="1" si="101">IFERROR(IF(B1291&lt;0.25,VLOOKUP(A1291,$J$11:$L$5325,3,FALSE),IF(AND(B1291&gt;=0.25,B1291&lt;0.5),VLOOKUP(A1291,$N$11:$P$5325,3,FALSE),IF(AND(B1291&gt;=0.5,B1291&lt;1),VLOOKUP(A1291,$R$11:$T$5325,3,FALSE),VLOOKUP(A1291,$V$11:$X$5010,3,FALSE)))),D1290)</f>
        <v>RFR USD</v>
      </c>
      <c r="E1291" t="str">
        <f t="shared" ref="E1291:E1354" ca="1" si="102">IFERROR(IF(B1291&lt;0.25,VLOOKUP(A1291,$AF$11:$AH$5325,3,FALSE),IF(AND(B1291&gt;=0.25,B1291&lt;0.5),VLOOKUP(A1291,$AJ$11:$AL$5325,3,FALSE),VLOOKUP(A1291,$AN$11:$AP$5325,3,FALSE))),E1290)</f>
        <v>RFR EUR</v>
      </c>
      <c r="F1291" t="str">
        <f t="shared" ref="F1291:F1354" ca="1" si="103">IFERROR(VLOOKUP(A1291,$AS$11:$AU$9999,3,FALSE),F1290)</f>
        <v>RFR GBP</v>
      </c>
      <c r="J1291" s="1"/>
      <c r="N1291" s="1"/>
      <c r="R1291" s="1"/>
      <c r="V1291" s="1"/>
      <c r="AB1291" s="1"/>
      <c r="AF1291" s="1"/>
      <c r="AJ1291" s="1"/>
      <c r="AN1291" s="1"/>
      <c r="AS1291" s="1"/>
      <c r="AX1291" s="1"/>
    </row>
    <row r="1292" spans="1:50" x14ac:dyDescent="0.3">
      <c r="A1292" s="19">
        <f t="shared" si="99"/>
        <v>47723</v>
      </c>
      <c r="B1292">
        <f t="shared" ca="1" si="100"/>
        <v>-4.3638888888888889</v>
      </c>
      <c r="C1292" t="str">
        <f ca="1">IF(currency="USD",'Future et co'!D1292,IF(currency="EUR",'Future et co'!E1292,IF(currency="GBP",'Future et co'!F1292,FALSE)))</f>
        <v>RFR USD</v>
      </c>
      <c r="D1292" t="str">
        <f t="shared" ca="1" si="101"/>
        <v>RFR USD</v>
      </c>
      <c r="E1292" t="str">
        <f t="shared" ca="1" si="102"/>
        <v>RFR EUR</v>
      </c>
      <c r="F1292" t="str">
        <f t="shared" ca="1" si="103"/>
        <v>RFR GBP</v>
      </c>
      <c r="J1292" s="1"/>
      <c r="N1292" s="1"/>
      <c r="R1292" s="1"/>
      <c r="V1292" s="1"/>
      <c r="AB1292" s="1"/>
      <c r="AF1292" s="1"/>
      <c r="AJ1292" s="1"/>
      <c r="AN1292" s="1"/>
      <c r="AS1292" s="1"/>
      <c r="AX1292" s="1"/>
    </row>
    <row r="1293" spans="1:50" x14ac:dyDescent="0.3">
      <c r="A1293" s="19">
        <f t="shared" ref="A1293:A1356" si="104">WORKDAY(A1292,1)</f>
        <v>47724</v>
      </c>
      <c r="B1293">
        <f t="shared" ca="1" si="100"/>
        <v>-4.3666666666666663</v>
      </c>
      <c r="C1293" t="str">
        <f ca="1">IF(currency="USD",'Future et co'!D1293,IF(currency="EUR",'Future et co'!E1293,IF(currency="GBP",'Future et co'!F1293,FALSE)))</f>
        <v>RFR USD</v>
      </c>
      <c r="D1293" t="str">
        <f t="shared" ca="1" si="101"/>
        <v>RFR USD</v>
      </c>
      <c r="E1293" t="str">
        <f t="shared" ca="1" si="102"/>
        <v>RFR EUR</v>
      </c>
      <c r="F1293" t="str">
        <f t="shared" ca="1" si="103"/>
        <v>RFR GBP</v>
      </c>
      <c r="J1293" s="1"/>
      <c r="N1293" s="1"/>
      <c r="R1293" s="1"/>
      <c r="V1293" s="1"/>
      <c r="AB1293" s="1"/>
      <c r="AF1293" s="1"/>
      <c r="AJ1293" s="1"/>
      <c r="AN1293" s="1"/>
      <c r="AS1293" s="1"/>
      <c r="AX1293" s="1"/>
    </row>
    <row r="1294" spans="1:50" x14ac:dyDescent="0.3">
      <c r="A1294" s="19">
        <f t="shared" si="104"/>
        <v>47725</v>
      </c>
      <c r="B1294">
        <f t="shared" ca="1" si="100"/>
        <v>-4.3694444444444445</v>
      </c>
      <c r="C1294" t="str">
        <f ca="1">IF(currency="USD",'Future et co'!D1294,IF(currency="EUR",'Future et co'!E1294,IF(currency="GBP",'Future et co'!F1294,FALSE)))</f>
        <v>RFR USD</v>
      </c>
      <c r="D1294" t="str">
        <f t="shared" ca="1" si="101"/>
        <v>RFR USD</v>
      </c>
      <c r="E1294" t="str">
        <f t="shared" ca="1" si="102"/>
        <v>RFR EUR</v>
      </c>
      <c r="F1294" t="str">
        <f t="shared" ca="1" si="103"/>
        <v>RFR GBP</v>
      </c>
      <c r="J1294" s="1"/>
      <c r="N1294" s="1"/>
      <c r="R1294" s="1"/>
      <c r="V1294" s="1"/>
      <c r="AB1294" s="1"/>
      <c r="AF1294" s="1"/>
      <c r="AJ1294" s="1"/>
      <c r="AN1294" s="1"/>
      <c r="AS1294" s="1"/>
      <c r="AX1294" s="1"/>
    </row>
    <row r="1295" spans="1:50" x14ac:dyDescent="0.3">
      <c r="A1295" s="19">
        <f t="shared" si="104"/>
        <v>47728</v>
      </c>
      <c r="B1295">
        <f t="shared" ca="1" si="100"/>
        <v>-4.3777777777777782</v>
      </c>
      <c r="C1295" t="str">
        <f ca="1">IF(currency="USD",'Future et co'!D1295,IF(currency="EUR",'Future et co'!E1295,IF(currency="GBP",'Future et co'!F1295,FALSE)))</f>
        <v>RFR USD</v>
      </c>
      <c r="D1295" t="str">
        <f t="shared" ca="1" si="101"/>
        <v>RFR USD</v>
      </c>
      <c r="E1295" t="str">
        <f t="shared" ca="1" si="102"/>
        <v>RFR EUR</v>
      </c>
      <c r="F1295" t="str">
        <f t="shared" ca="1" si="103"/>
        <v>RFR GBP</v>
      </c>
      <c r="J1295" s="1"/>
      <c r="N1295" s="1"/>
      <c r="R1295" s="1"/>
      <c r="V1295" s="1"/>
      <c r="AB1295" s="1"/>
      <c r="AF1295" s="1"/>
      <c r="AJ1295" s="1"/>
      <c r="AN1295" s="1"/>
      <c r="AS1295" s="1"/>
      <c r="AX1295" s="1"/>
    </row>
    <row r="1296" spans="1:50" x14ac:dyDescent="0.3">
      <c r="A1296" s="19">
        <f t="shared" si="104"/>
        <v>47729</v>
      </c>
      <c r="B1296">
        <f t="shared" ca="1" si="100"/>
        <v>-4.3805555555555555</v>
      </c>
      <c r="C1296" t="str">
        <f ca="1">IF(currency="USD",'Future et co'!D1296,IF(currency="EUR",'Future et co'!E1296,IF(currency="GBP",'Future et co'!F1296,FALSE)))</f>
        <v>RFR USD</v>
      </c>
      <c r="D1296" t="str">
        <f t="shared" ca="1" si="101"/>
        <v>RFR USD</v>
      </c>
      <c r="E1296" t="str">
        <f t="shared" ca="1" si="102"/>
        <v>RFR EUR</v>
      </c>
      <c r="F1296" t="str">
        <f t="shared" ca="1" si="103"/>
        <v>RFR GBP</v>
      </c>
      <c r="J1296" s="1"/>
      <c r="N1296" s="1"/>
      <c r="R1296" s="1"/>
      <c r="V1296" s="1"/>
      <c r="AB1296" s="1"/>
      <c r="AF1296" s="1"/>
      <c r="AJ1296" s="1"/>
      <c r="AN1296" s="1"/>
      <c r="AS1296" s="1"/>
      <c r="AX1296" s="1"/>
    </row>
    <row r="1297" spans="1:50" x14ac:dyDescent="0.3">
      <c r="A1297" s="19">
        <f t="shared" si="104"/>
        <v>47730</v>
      </c>
      <c r="B1297">
        <f t="shared" ca="1" si="100"/>
        <v>-4.3833333333333337</v>
      </c>
      <c r="C1297" t="str">
        <f ca="1">IF(currency="USD",'Future et co'!D1297,IF(currency="EUR",'Future et co'!E1297,IF(currency="GBP",'Future et co'!F1297,FALSE)))</f>
        <v>RFR USD</v>
      </c>
      <c r="D1297" t="str">
        <f t="shared" ca="1" si="101"/>
        <v>RFR USD</v>
      </c>
      <c r="E1297" t="str">
        <f t="shared" ca="1" si="102"/>
        <v>RFR EUR</v>
      </c>
      <c r="F1297" t="str">
        <f t="shared" ca="1" si="103"/>
        <v>RFR GBP</v>
      </c>
      <c r="J1297" s="1"/>
      <c r="N1297" s="1"/>
      <c r="R1297" s="1"/>
      <c r="V1297" s="1"/>
      <c r="AB1297" s="1"/>
      <c r="AF1297" s="1"/>
      <c r="AJ1297" s="1"/>
      <c r="AN1297" s="1"/>
      <c r="AS1297" s="1"/>
      <c r="AX1297" s="1"/>
    </row>
    <row r="1298" spans="1:50" x14ac:dyDescent="0.3">
      <c r="A1298" s="19">
        <f t="shared" si="104"/>
        <v>47731</v>
      </c>
      <c r="B1298">
        <f t="shared" ca="1" si="100"/>
        <v>-4.3861111111111111</v>
      </c>
      <c r="C1298" t="str">
        <f ca="1">IF(currency="USD",'Future et co'!D1298,IF(currency="EUR",'Future et co'!E1298,IF(currency="GBP",'Future et co'!F1298,FALSE)))</f>
        <v>RFR USD</v>
      </c>
      <c r="D1298" t="str">
        <f t="shared" ca="1" si="101"/>
        <v>RFR USD</v>
      </c>
      <c r="E1298" t="str">
        <f t="shared" ca="1" si="102"/>
        <v>RFR EUR</v>
      </c>
      <c r="F1298" t="str">
        <f t="shared" ca="1" si="103"/>
        <v>RFR GBP</v>
      </c>
      <c r="J1298" s="1"/>
      <c r="N1298" s="1"/>
      <c r="R1298" s="1"/>
      <c r="V1298" s="1"/>
      <c r="AB1298" s="1"/>
      <c r="AF1298" s="1"/>
      <c r="AJ1298" s="1"/>
      <c r="AN1298" s="1"/>
      <c r="AS1298" s="1"/>
      <c r="AX1298" s="1"/>
    </row>
    <row r="1299" spans="1:50" x14ac:dyDescent="0.3">
      <c r="A1299" s="19">
        <f t="shared" si="104"/>
        <v>47732</v>
      </c>
      <c r="B1299">
        <f t="shared" ca="1" si="100"/>
        <v>-4.3888888888888893</v>
      </c>
      <c r="C1299" t="str">
        <f ca="1">IF(currency="USD",'Future et co'!D1299,IF(currency="EUR",'Future et co'!E1299,IF(currency="GBP",'Future et co'!F1299,FALSE)))</f>
        <v>RFR USD</v>
      </c>
      <c r="D1299" t="str">
        <f t="shared" ca="1" si="101"/>
        <v>RFR USD</v>
      </c>
      <c r="E1299" t="str">
        <f t="shared" ca="1" si="102"/>
        <v>RFR EUR</v>
      </c>
      <c r="F1299" t="str">
        <f t="shared" ca="1" si="103"/>
        <v>RFR GBP</v>
      </c>
      <c r="J1299" s="1"/>
      <c r="N1299" s="1"/>
      <c r="R1299" s="1"/>
      <c r="V1299" s="1"/>
      <c r="AB1299" s="1"/>
      <c r="AF1299" s="1"/>
      <c r="AJ1299" s="1"/>
      <c r="AN1299" s="1"/>
      <c r="AS1299" s="1"/>
      <c r="AX1299" s="1"/>
    </row>
    <row r="1300" spans="1:50" x14ac:dyDescent="0.3">
      <c r="A1300" s="19">
        <f t="shared" si="104"/>
        <v>47735</v>
      </c>
      <c r="B1300">
        <f t="shared" ca="1" si="100"/>
        <v>-4.3972222222222221</v>
      </c>
      <c r="C1300" t="str">
        <f ca="1">IF(currency="USD",'Future et co'!D1300,IF(currency="EUR",'Future et co'!E1300,IF(currency="GBP",'Future et co'!F1300,FALSE)))</f>
        <v>RFR USD</v>
      </c>
      <c r="D1300" t="str">
        <f t="shared" ca="1" si="101"/>
        <v>RFR USD</v>
      </c>
      <c r="E1300" t="str">
        <f t="shared" ca="1" si="102"/>
        <v>RFR EUR</v>
      </c>
      <c r="F1300" t="str">
        <f t="shared" ca="1" si="103"/>
        <v>RFR GBP</v>
      </c>
      <c r="J1300" s="1"/>
      <c r="N1300" s="1"/>
      <c r="R1300" s="1"/>
      <c r="V1300" s="1"/>
      <c r="AB1300" s="1"/>
      <c r="AF1300" s="1"/>
      <c r="AJ1300" s="1"/>
      <c r="AN1300" s="1"/>
      <c r="AS1300" s="1"/>
      <c r="AX1300" s="1"/>
    </row>
    <row r="1301" spans="1:50" x14ac:dyDescent="0.3">
      <c r="A1301" s="19">
        <f t="shared" si="104"/>
        <v>47736</v>
      </c>
      <c r="B1301">
        <f t="shared" ca="1" si="100"/>
        <v>-4.4000000000000004</v>
      </c>
      <c r="C1301" t="str">
        <f ca="1">IF(currency="USD",'Future et co'!D1301,IF(currency="EUR",'Future et co'!E1301,IF(currency="GBP",'Future et co'!F1301,FALSE)))</f>
        <v>RFR USD</v>
      </c>
      <c r="D1301" t="str">
        <f t="shared" ca="1" si="101"/>
        <v>RFR USD</v>
      </c>
      <c r="E1301" t="str">
        <f t="shared" ca="1" si="102"/>
        <v>RFR EUR</v>
      </c>
      <c r="F1301" t="str">
        <f t="shared" ca="1" si="103"/>
        <v>RFR GBP</v>
      </c>
      <c r="J1301" s="1"/>
      <c r="N1301" s="1"/>
      <c r="R1301" s="1"/>
      <c r="V1301" s="1"/>
      <c r="AB1301" s="1"/>
      <c r="AF1301" s="1"/>
      <c r="AJ1301" s="1"/>
      <c r="AN1301" s="1"/>
      <c r="AS1301" s="1"/>
      <c r="AX1301" s="1"/>
    </row>
    <row r="1302" spans="1:50" x14ac:dyDescent="0.3">
      <c r="A1302" s="19">
        <f t="shared" si="104"/>
        <v>47737</v>
      </c>
      <c r="B1302">
        <f t="shared" ca="1" si="100"/>
        <v>-4.4027777777777777</v>
      </c>
      <c r="C1302" t="str">
        <f ca="1">IF(currency="USD",'Future et co'!D1302,IF(currency="EUR",'Future et co'!E1302,IF(currency="GBP",'Future et co'!F1302,FALSE)))</f>
        <v>RFR USD</v>
      </c>
      <c r="D1302" t="str">
        <f t="shared" ca="1" si="101"/>
        <v>RFR USD</v>
      </c>
      <c r="E1302" t="str">
        <f t="shared" ca="1" si="102"/>
        <v>RFR EUR</v>
      </c>
      <c r="F1302" t="str">
        <f t="shared" ca="1" si="103"/>
        <v>RFR GBP</v>
      </c>
      <c r="J1302" s="1"/>
      <c r="N1302" s="1"/>
      <c r="R1302" s="1"/>
      <c r="V1302" s="1"/>
      <c r="AB1302" s="1"/>
      <c r="AF1302" s="1"/>
      <c r="AJ1302" s="1"/>
      <c r="AN1302" s="1"/>
      <c r="AS1302" s="1"/>
      <c r="AX1302" s="1"/>
    </row>
    <row r="1303" spans="1:50" x14ac:dyDescent="0.3">
      <c r="A1303" s="19">
        <f t="shared" si="104"/>
        <v>47738</v>
      </c>
      <c r="B1303">
        <f t="shared" ca="1" si="100"/>
        <v>-4.4055555555555559</v>
      </c>
      <c r="C1303" t="str">
        <f ca="1">IF(currency="USD",'Future et co'!D1303,IF(currency="EUR",'Future et co'!E1303,IF(currency="GBP",'Future et co'!F1303,FALSE)))</f>
        <v>RFR USD</v>
      </c>
      <c r="D1303" t="str">
        <f t="shared" ca="1" si="101"/>
        <v>RFR USD</v>
      </c>
      <c r="E1303" t="str">
        <f t="shared" ca="1" si="102"/>
        <v>RFR EUR</v>
      </c>
      <c r="F1303" t="str">
        <f t="shared" ca="1" si="103"/>
        <v>RFR GBP</v>
      </c>
      <c r="J1303" s="1"/>
      <c r="N1303" s="1"/>
      <c r="R1303" s="1"/>
      <c r="V1303" s="1"/>
      <c r="AB1303" s="1"/>
      <c r="AF1303" s="1"/>
      <c r="AJ1303" s="1"/>
      <c r="AN1303" s="1"/>
      <c r="AS1303" s="1"/>
      <c r="AX1303" s="1"/>
    </row>
    <row r="1304" spans="1:50" x14ac:dyDescent="0.3">
      <c r="A1304" s="19">
        <f t="shared" si="104"/>
        <v>47739</v>
      </c>
      <c r="B1304">
        <f t="shared" ca="1" si="100"/>
        <v>-4.4083333333333332</v>
      </c>
      <c r="C1304" t="str">
        <f ca="1">IF(currency="USD",'Future et co'!D1304,IF(currency="EUR",'Future et co'!E1304,IF(currency="GBP",'Future et co'!F1304,FALSE)))</f>
        <v>RFR USD</v>
      </c>
      <c r="D1304" t="str">
        <f t="shared" ca="1" si="101"/>
        <v>RFR USD</v>
      </c>
      <c r="E1304" t="str">
        <f t="shared" ca="1" si="102"/>
        <v>RFR EUR</v>
      </c>
      <c r="F1304" t="str">
        <f t="shared" ca="1" si="103"/>
        <v>RFR GBP</v>
      </c>
      <c r="J1304" s="1"/>
      <c r="N1304" s="1"/>
      <c r="R1304" s="1"/>
      <c r="V1304" s="1"/>
      <c r="AB1304" s="1"/>
      <c r="AF1304" s="1"/>
      <c r="AJ1304" s="1"/>
      <c r="AN1304" s="1"/>
      <c r="AS1304" s="1"/>
      <c r="AX1304" s="1"/>
    </row>
    <row r="1305" spans="1:50" x14ac:dyDescent="0.3">
      <c r="A1305" s="19">
        <f t="shared" si="104"/>
        <v>47742</v>
      </c>
      <c r="B1305">
        <f t="shared" ca="1" si="100"/>
        <v>-4.416666666666667</v>
      </c>
      <c r="C1305" t="str">
        <f ca="1">IF(currency="USD",'Future et co'!D1305,IF(currency="EUR",'Future et co'!E1305,IF(currency="GBP",'Future et co'!F1305,FALSE)))</f>
        <v>RFR USD</v>
      </c>
      <c r="D1305" t="str">
        <f t="shared" ca="1" si="101"/>
        <v>RFR USD</v>
      </c>
      <c r="E1305" t="str">
        <f t="shared" ca="1" si="102"/>
        <v>RFR EUR</v>
      </c>
      <c r="F1305" t="str">
        <f t="shared" ca="1" si="103"/>
        <v>RFR GBP</v>
      </c>
      <c r="J1305" s="1"/>
      <c r="N1305" s="1"/>
      <c r="R1305" s="1"/>
      <c r="V1305" s="1"/>
      <c r="AB1305" s="1"/>
      <c r="AF1305" s="1"/>
      <c r="AJ1305" s="1"/>
      <c r="AN1305" s="1"/>
      <c r="AS1305" s="1"/>
      <c r="AX1305" s="1"/>
    </row>
    <row r="1306" spans="1:50" x14ac:dyDescent="0.3">
      <c r="A1306" s="19">
        <f t="shared" si="104"/>
        <v>47743</v>
      </c>
      <c r="B1306">
        <f t="shared" ca="1" si="100"/>
        <v>-4.4194444444444443</v>
      </c>
      <c r="C1306" t="str">
        <f ca="1">IF(currency="USD",'Future et co'!D1306,IF(currency="EUR",'Future et co'!E1306,IF(currency="GBP",'Future et co'!F1306,FALSE)))</f>
        <v>RFR USD</v>
      </c>
      <c r="D1306" t="str">
        <f t="shared" ca="1" si="101"/>
        <v>RFR USD</v>
      </c>
      <c r="E1306" t="str">
        <f t="shared" ca="1" si="102"/>
        <v>RFR EUR</v>
      </c>
      <c r="F1306" t="str">
        <f t="shared" ca="1" si="103"/>
        <v>RFR GBP</v>
      </c>
      <c r="J1306" s="1"/>
      <c r="N1306" s="1"/>
      <c r="R1306" s="1"/>
      <c r="V1306" s="1"/>
      <c r="AB1306" s="1"/>
      <c r="AF1306" s="1"/>
      <c r="AJ1306" s="1"/>
      <c r="AN1306" s="1"/>
      <c r="AS1306" s="1"/>
      <c r="AX1306" s="1"/>
    </row>
    <row r="1307" spans="1:50" x14ac:dyDescent="0.3">
      <c r="A1307" s="19">
        <f t="shared" si="104"/>
        <v>47744</v>
      </c>
      <c r="B1307">
        <f t="shared" ca="1" si="100"/>
        <v>-4.4222222222222225</v>
      </c>
      <c r="C1307" t="str">
        <f ca="1">IF(currency="USD",'Future et co'!D1307,IF(currency="EUR",'Future et co'!E1307,IF(currency="GBP",'Future et co'!F1307,FALSE)))</f>
        <v>RFR USD</v>
      </c>
      <c r="D1307" t="str">
        <f t="shared" ca="1" si="101"/>
        <v>RFR USD</v>
      </c>
      <c r="E1307" t="str">
        <f t="shared" ca="1" si="102"/>
        <v>RFR EUR</v>
      </c>
      <c r="F1307" t="str">
        <f t="shared" ca="1" si="103"/>
        <v>RFR GBP</v>
      </c>
      <c r="J1307" s="1"/>
      <c r="N1307" s="1"/>
      <c r="R1307" s="1"/>
      <c r="V1307" s="1"/>
      <c r="AB1307" s="1"/>
      <c r="AF1307" s="1"/>
      <c r="AJ1307" s="1"/>
      <c r="AN1307" s="1"/>
      <c r="AS1307" s="1"/>
      <c r="AX1307" s="1"/>
    </row>
    <row r="1308" spans="1:50" x14ac:dyDescent="0.3">
      <c r="A1308" s="19">
        <f t="shared" si="104"/>
        <v>47745</v>
      </c>
      <c r="B1308">
        <f t="shared" ca="1" si="100"/>
        <v>-4.4249999999999998</v>
      </c>
      <c r="C1308" t="str">
        <f ca="1">IF(currency="USD",'Future et co'!D1308,IF(currency="EUR",'Future et co'!E1308,IF(currency="GBP",'Future et co'!F1308,FALSE)))</f>
        <v>RFR USD</v>
      </c>
      <c r="D1308" t="str">
        <f t="shared" ca="1" si="101"/>
        <v>RFR USD</v>
      </c>
      <c r="E1308" t="str">
        <f t="shared" ca="1" si="102"/>
        <v>RFR EUR</v>
      </c>
      <c r="F1308" t="str">
        <f t="shared" ca="1" si="103"/>
        <v>RFR GBP</v>
      </c>
      <c r="J1308" s="1"/>
      <c r="N1308" s="1"/>
      <c r="R1308" s="1"/>
      <c r="V1308" s="1"/>
      <c r="AB1308" s="1"/>
      <c r="AF1308" s="1"/>
      <c r="AJ1308" s="1"/>
      <c r="AN1308" s="1"/>
      <c r="AS1308" s="1"/>
      <c r="AX1308" s="1"/>
    </row>
    <row r="1309" spans="1:50" x14ac:dyDescent="0.3">
      <c r="A1309" s="19">
        <f t="shared" si="104"/>
        <v>47746</v>
      </c>
      <c r="B1309">
        <f t="shared" ca="1" si="100"/>
        <v>-4.427777777777778</v>
      </c>
      <c r="C1309" t="str">
        <f ca="1">IF(currency="USD",'Future et co'!D1309,IF(currency="EUR",'Future et co'!E1309,IF(currency="GBP",'Future et co'!F1309,FALSE)))</f>
        <v>RFR USD</v>
      </c>
      <c r="D1309" t="str">
        <f t="shared" ca="1" si="101"/>
        <v>RFR USD</v>
      </c>
      <c r="E1309" t="str">
        <f t="shared" ca="1" si="102"/>
        <v>RFR EUR</v>
      </c>
      <c r="F1309" t="str">
        <f t="shared" ca="1" si="103"/>
        <v>RFR GBP</v>
      </c>
      <c r="J1309" s="1"/>
      <c r="N1309" s="1"/>
      <c r="R1309" s="1"/>
      <c r="V1309" s="1"/>
      <c r="AB1309" s="1"/>
      <c r="AF1309" s="1"/>
      <c r="AJ1309" s="1"/>
      <c r="AN1309" s="1"/>
      <c r="AS1309" s="1"/>
      <c r="AX1309" s="1"/>
    </row>
    <row r="1310" spans="1:50" x14ac:dyDescent="0.3">
      <c r="A1310" s="19">
        <f t="shared" si="104"/>
        <v>47749</v>
      </c>
      <c r="B1310">
        <f t="shared" ca="1" si="100"/>
        <v>-4.4361111111111109</v>
      </c>
      <c r="C1310" t="str">
        <f ca="1">IF(currency="USD",'Future et co'!D1310,IF(currency="EUR",'Future et co'!E1310,IF(currency="GBP",'Future et co'!F1310,FALSE)))</f>
        <v>RFR USD</v>
      </c>
      <c r="D1310" t="str">
        <f t="shared" ca="1" si="101"/>
        <v>RFR USD</v>
      </c>
      <c r="E1310" t="str">
        <f t="shared" ca="1" si="102"/>
        <v>RFR EUR</v>
      </c>
      <c r="F1310" t="str">
        <f t="shared" ca="1" si="103"/>
        <v>RFR GBP</v>
      </c>
      <c r="J1310" s="1"/>
      <c r="N1310" s="1"/>
      <c r="R1310" s="1"/>
      <c r="V1310" s="1"/>
      <c r="AB1310" s="1"/>
      <c r="AF1310" s="1"/>
      <c r="AJ1310" s="1"/>
      <c r="AN1310" s="1"/>
      <c r="AS1310" s="1"/>
      <c r="AX1310" s="1"/>
    </row>
    <row r="1311" spans="1:50" x14ac:dyDescent="0.3">
      <c r="A1311" s="19">
        <f t="shared" si="104"/>
        <v>47750</v>
      </c>
      <c r="B1311">
        <f t="shared" ca="1" si="100"/>
        <v>-4.4388888888888891</v>
      </c>
      <c r="C1311" t="str">
        <f ca="1">IF(currency="USD",'Future et co'!D1311,IF(currency="EUR",'Future et co'!E1311,IF(currency="GBP",'Future et co'!F1311,FALSE)))</f>
        <v>RFR USD</v>
      </c>
      <c r="D1311" t="str">
        <f t="shared" ca="1" si="101"/>
        <v>RFR USD</v>
      </c>
      <c r="E1311" t="str">
        <f t="shared" ca="1" si="102"/>
        <v>RFR EUR</v>
      </c>
      <c r="F1311" t="str">
        <f t="shared" ca="1" si="103"/>
        <v>RFR GBP</v>
      </c>
      <c r="J1311" s="1"/>
      <c r="N1311" s="1"/>
      <c r="R1311" s="1"/>
      <c r="V1311" s="1"/>
      <c r="AB1311" s="1"/>
      <c r="AF1311" s="1"/>
      <c r="AJ1311" s="1"/>
      <c r="AN1311" s="1"/>
      <c r="AS1311" s="1"/>
      <c r="AX1311" s="1"/>
    </row>
    <row r="1312" spans="1:50" x14ac:dyDescent="0.3">
      <c r="A1312" s="19">
        <f t="shared" si="104"/>
        <v>47751</v>
      </c>
      <c r="B1312">
        <f t="shared" ca="1" si="100"/>
        <v>-4.4416666666666664</v>
      </c>
      <c r="C1312" t="str">
        <f ca="1">IF(currency="USD",'Future et co'!D1312,IF(currency="EUR",'Future et co'!E1312,IF(currency="GBP",'Future et co'!F1312,FALSE)))</f>
        <v>RFR USD</v>
      </c>
      <c r="D1312" t="str">
        <f t="shared" ca="1" si="101"/>
        <v>RFR USD</v>
      </c>
      <c r="E1312" t="str">
        <f t="shared" ca="1" si="102"/>
        <v>RFR EUR</v>
      </c>
      <c r="F1312" t="str">
        <f t="shared" ca="1" si="103"/>
        <v>RFR GBP</v>
      </c>
      <c r="J1312" s="1"/>
      <c r="N1312" s="1"/>
      <c r="R1312" s="1"/>
      <c r="V1312" s="1"/>
      <c r="AB1312" s="1"/>
      <c r="AF1312" s="1"/>
      <c r="AJ1312" s="1"/>
      <c r="AN1312" s="1"/>
      <c r="AS1312" s="1"/>
      <c r="AX1312" s="1"/>
    </row>
    <row r="1313" spans="1:50" x14ac:dyDescent="0.3">
      <c r="A1313" s="19">
        <f t="shared" si="104"/>
        <v>47752</v>
      </c>
      <c r="B1313">
        <f t="shared" ca="1" si="100"/>
        <v>-4.4444444444444446</v>
      </c>
      <c r="C1313" t="str">
        <f ca="1">IF(currency="USD",'Future et co'!D1313,IF(currency="EUR",'Future et co'!E1313,IF(currency="GBP",'Future et co'!F1313,FALSE)))</f>
        <v>RFR USD</v>
      </c>
      <c r="D1313" t="str">
        <f t="shared" ca="1" si="101"/>
        <v>RFR USD</v>
      </c>
      <c r="E1313" t="str">
        <f t="shared" ca="1" si="102"/>
        <v>RFR EUR</v>
      </c>
      <c r="F1313" t="str">
        <f t="shared" ca="1" si="103"/>
        <v>RFR GBP</v>
      </c>
      <c r="J1313" s="1"/>
      <c r="N1313" s="1"/>
      <c r="R1313" s="1"/>
      <c r="V1313" s="1"/>
      <c r="AB1313" s="1"/>
      <c r="AF1313" s="1"/>
      <c r="AJ1313" s="1"/>
      <c r="AN1313" s="1"/>
      <c r="AS1313" s="1"/>
      <c r="AX1313" s="1"/>
    </row>
    <row r="1314" spans="1:50" x14ac:dyDescent="0.3">
      <c r="A1314" s="19">
        <f t="shared" si="104"/>
        <v>47753</v>
      </c>
      <c r="B1314">
        <f t="shared" ca="1" si="100"/>
        <v>-4.447222222222222</v>
      </c>
      <c r="C1314" t="str">
        <f ca="1">IF(currency="USD",'Future et co'!D1314,IF(currency="EUR",'Future et co'!E1314,IF(currency="GBP",'Future et co'!F1314,FALSE)))</f>
        <v>RFR USD</v>
      </c>
      <c r="D1314" t="str">
        <f t="shared" ca="1" si="101"/>
        <v>RFR USD</v>
      </c>
      <c r="E1314" t="str">
        <f t="shared" ca="1" si="102"/>
        <v>RFR EUR</v>
      </c>
      <c r="F1314" t="str">
        <f t="shared" ca="1" si="103"/>
        <v>RFR GBP</v>
      </c>
      <c r="J1314" s="1"/>
      <c r="N1314" s="1"/>
      <c r="R1314" s="1"/>
      <c r="V1314" s="1"/>
      <c r="AB1314" s="1"/>
      <c r="AF1314" s="1"/>
      <c r="AJ1314" s="1"/>
      <c r="AN1314" s="1"/>
      <c r="AS1314" s="1"/>
      <c r="AX1314" s="1"/>
    </row>
    <row r="1315" spans="1:50" x14ac:dyDescent="0.3">
      <c r="A1315" s="19">
        <f t="shared" si="104"/>
        <v>47756</v>
      </c>
      <c r="B1315">
        <f t="shared" ca="1" si="100"/>
        <v>-4.4555555555555557</v>
      </c>
      <c r="C1315" t="str">
        <f ca="1">IF(currency="USD",'Future et co'!D1315,IF(currency="EUR",'Future et co'!E1315,IF(currency="GBP",'Future et co'!F1315,FALSE)))</f>
        <v>RFR USD</v>
      </c>
      <c r="D1315" t="str">
        <f t="shared" ca="1" si="101"/>
        <v>RFR USD</v>
      </c>
      <c r="E1315" t="str">
        <f t="shared" ca="1" si="102"/>
        <v>RFR EUR</v>
      </c>
      <c r="F1315" t="str">
        <f t="shared" ca="1" si="103"/>
        <v>RFR GBP</v>
      </c>
      <c r="J1315" s="1"/>
      <c r="N1315" s="1"/>
      <c r="R1315" s="1"/>
      <c r="V1315" s="1"/>
      <c r="AB1315" s="1"/>
      <c r="AF1315" s="1"/>
      <c r="AJ1315" s="1"/>
      <c r="AN1315" s="1"/>
      <c r="AS1315" s="1"/>
      <c r="AX1315" s="1"/>
    </row>
    <row r="1316" spans="1:50" x14ac:dyDescent="0.3">
      <c r="A1316" s="19">
        <f t="shared" si="104"/>
        <v>47757</v>
      </c>
      <c r="B1316">
        <f t="shared" ca="1" si="100"/>
        <v>-4.458333333333333</v>
      </c>
      <c r="C1316" t="str">
        <f ca="1">IF(currency="USD",'Future et co'!D1316,IF(currency="EUR",'Future et co'!E1316,IF(currency="GBP",'Future et co'!F1316,FALSE)))</f>
        <v>RFR USD</v>
      </c>
      <c r="D1316" t="str">
        <f t="shared" ca="1" si="101"/>
        <v>RFR USD</v>
      </c>
      <c r="E1316" t="str">
        <f t="shared" ca="1" si="102"/>
        <v>RFR EUR</v>
      </c>
      <c r="F1316" t="str">
        <f t="shared" ca="1" si="103"/>
        <v>RFR GBP</v>
      </c>
      <c r="J1316" s="1"/>
      <c r="N1316" s="1"/>
      <c r="R1316" s="1"/>
      <c r="V1316" s="1"/>
      <c r="AB1316" s="1"/>
      <c r="AF1316" s="1"/>
      <c r="AJ1316" s="1"/>
      <c r="AN1316" s="1"/>
      <c r="AS1316" s="1"/>
      <c r="AX1316" s="1"/>
    </row>
    <row r="1317" spans="1:50" x14ac:dyDescent="0.3">
      <c r="A1317" s="19">
        <f t="shared" si="104"/>
        <v>47758</v>
      </c>
      <c r="B1317">
        <f t="shared" ca="1" si="100"/>
        <v>-4.4611111111111112</v>
      </c>
      <c r="C1317" t="str">
        <f ca="1">IF(currency="USD",'Future et co'!D1317,IF(currency="EUR",'Future et co'!E1317,IF(currency="GBP",'Future et co'!F1317,FALSE)))</f>
        <v>RFR USD</v>
      </c>
      <c r="D1317" t="str">
        <f t="shared" ca="1" si="101"/>
        <v>RFR USD</v>
      </c>
      <c r="E1317" t="str">
        <f t="shared" ca="1" si="102"/>
        <v>RFR EUR</v>
      </c>
      <c r="F1317" t="str">
        <f t="shared" ca="1" si="103"/>
        <v>RFR GBP</v>
      </c>
      <c r="J1317" s="1"/>
      <c r="N1317" s="1"/>
      <c r="R1317" s="1"/>
      <c r="V1317" s="1"/>
      <c r="AB1317" s="1"/>
      <c r="AF1317" s="1"/>
      <c r="AJ1317" s="1"/>
      <c r="AN1317" s="1"/>
      <c r="AS1317" s="1"/>
      <c r="AX1317" s="1"/>
    </row>
    <row r="1318" spans="1:50" x14ac:dyDescent="0.3">
      <c r="A1318" s="19">
        <f t="shared" si="104"/>
        <v>47759</v>
      </c>
      <c r="B1318">
        <f t="shared" ca="1" si="100"/>
        <v>-4.4638888888888886</v>
      </c>
      <c r="C1318" t="str">
        <f ca="1">IF(currency="USD",'Future et co'!D1318,IF(currency="EUR",'Future et co'!E1318,IF(currency="GBP",'Future et co'!F1318,FALSE)))</f>
        <v>RFR USD</v>
      </c>
      <c r="D1318" t="str">
        <f t="shared" ca="1" si="101"/>
        <v>RFR USD</v>
      </c>
      <c r="E1318" t="str">
        <f t="shared" ca="1" si="102"/>
        <v>RFR EUR</v>
      </c>
      <c r="F1318" t="str">
        <f t="shared" ca="1" si="103"/>
        <v>RFR GBP</v>
      </c>
      <c r="J1318" s="1"/>
      <c r="N1318" s="1"/>
      <c r="R1318" s="1"/>
      <c r="V1318" s="1"/>
      <c r="AB1318" s="1"/>
      <c r="AF1318" s="1"/>
      <c r="AJ1318" s="1"/>
      <c r="AN1318" s="1"/>
      <c r="AS1318" s="1"/>
      <c r="AX1318" s="1"/>
    </row>
    <row r="1319" spans="1:50" x14ac:dyDescent="0.3">
      <c r="A1319" s="19">
        <f t="shared" si="104"/>
        <v>47760</v>
      </c>
      <c r="B1319">
        <f t="shared" ca="1" si="100"/>
        <v>-4.4666666666666668</v>
      </c>
      <c r="C1319" t="str">
        <f ca="1">IF(currency="USD",'Future et co'!D1319,IF(currency="EUR",'Future et co'!E1319,IF(currency="GBP",'Future et co'!F1319,FALSE)))</f>
        <v>RFR USD</v>
      </c>
      <c r="D1319" t="str">
        <f t="shared" ca="1" si="101"/>
        <v>RFR USD</v>
      </c>
      <c r="E1319" t="str">
        <f t="shared" ca="1" si="102"/>
        <v>RFR EUR</v>
      </c>
      <c r="F1319" t="str">
        <f t="shared" ca="1" si="103"/>
        <v>RFR GBP</v>
      </c>
      <c r="J1319" s="1"/>
      <c r="N1319" s="1"/>
      <c r="R1319" s="1"/>
      <c r="V1319" s="1"/>
      <c r="AB1319" s="1"/>
      <c r="AF1319" s="1"/>
      <c r="AJ1319" s="1"/>
      <c r="AN1319" s="1"/>
      <c r="AS1319" s="1"/>
      <c r="AX1319" s="1"/>
    </row>
    <row r="1320" spans="1:50" x14ac:dyDescent="0.3">
      <c r="A1320" s="19">
        <f t="shared" si="104"/>
        <v>47763</v>
      </c>
      <c r="B1320">
        <f t="shared" ca="1" si="100"/>
        <v>-4.4749999999999996</v>
      </c>
      <c r="C1320" t="str">
        <f ca="1">IF(currency="USD",'Future et co'!D1320,IF(currency="EUR",'Future et co'!E1320,IF(currency="GBP",'Future et co'!F1320,FALSE)))</f>
        <v>RFR USD</v>
      </c>
      <c r="D1320" t="str">
        <f t="shared" ca="1" si="101"/>
        <v>RFR USD</v>
      </c>
      <c r="E1320" t="str">
        <f t="shared" ca="1" si="102"/>
        <v>RFR EUR</v>
      </c>
      <c r="F1320" t="str">
        <f t="shared" ca="1" si="103"/>
        <v>RFR GBP</v>
      </c>
      <c r="J1320" s="1"/>
      <c r="N1320" s="1"/>
      <c r="R1320" s="1"/>
      <c r="V1320" s="1"/>
      <c r="AB1320" s="1"/>
      <c r="AF1320" s="1"/>
      <c r="AJ1320" s="1"/>
      <c r="AN1320" s="1"/>
      <c r="AS1320" s="1"/>
      <c r="AX1320" s="1"/>
    </row>
    <row r="1321" spans="1:50" x14ac:dyDescent="0.3">
      <c r="A1321" s="19">
        <f t="shared" si="104"/>
        <v>47764</v>
      </c>
      <c r="B1321">
        <f t="shared" ca="1" si="100"/>
        <v>-4.4777777777777779</v>
      </c>
      <c r="C1321" t="str">
        <f ca="1">IF(currency="USD",'Future et co'!D1321,IF(currency="EUR",'Future et co'!E1321,IF(currency="GBP",'Future et co'!F1321,FALSE)))</f>
        <v>RFR USD</v>
      </c>
      <c r="D1321" t="str">
        <f t="shared" ca="1" si="101"/>
        <v>RFR USD</v>
      </c>
      <c r="E1321" t="str">
        <f t="shared" ca="1" si="102"/>
        <v>RFR EUR</v>
      </c>
      <c r="F1321" t="str">
        <f t="shared" ca="1" si="103"/>
        <v>RFR GBP</v>
      </c>
      <c r="J1321" s="1"/>
      <c r="N1321" s="1"/>
      <c r="R1321" s="1"/>
      <c r="V1321" s="1"/>
      <c r="AB1321" s="1"/>
      <c r="AF1321" s="1"/>
      <c r="AJ1321" s="1"/>
      <c r="AN1321" s="1"/>
      <c r="AS1321" s="1"/>
      <c r="AX1321" s="1"/>
    </row>
    <row r="1322" spans="1:50" x14ac:dyDescent="0.3">
      <c r="A1322" s="19">
        <f t="shared" si="104"/>
        <v>47765</v>
      </c>
      <c r="B1322">
        <f t="shared" ca="1" si="100"/>
        <v>-4.4805555555555552</v>
      </c>
      <c r="C1322" t="str">
        <f ca="1">IF(currency="USD",'Future et co'!D1322,IF(currency="EUR",'Future et co'!E1322,IF(currency="GBP",'Future et co'!F1322,FALSE)))</f>
        <v>RFR USD</v>
      </c>
      <c r="D1322" t="str">
        <f t="shared" ca="1" si="101"/>
        <v>RFR USD</v>
      </c>
      <c r="E1322" t="str">
        <f t="shared" ca="1" si="102"/>
        <v>RFR EUR</v>
      </c>
      <c r="F1322" t="str">
        <f t="shared" ca="1" si="103"/>
        <v>RFR GBP</v>
      </c>
      <c r="J1322" s="1"/>
      <c r="N1322" s="1"/>
      <c r="R1322" s="1"/>
      <c r="V1322" s="1"/>
      <c r="AB1322" s="1"/>
      <c r="AF1322" s="1"/>
      <c r="AJ1322" s="1"/>
      <c r="AN1322" s="1"/>
      <c r="AS1322" s="1"/>
      <c r="AX1322" s="1"/>
    </row>
    <row r="1323" spans="1:50" x14ac:dyDescent="0.3">
      <c r="A1323" s="19">
        <f t="shared" si="104"/>
        <v>47766</v>
      </c>
      <c r="B1323">
        <f t="shared" ca="1" si="100"/>
        <v>-4.4833333333333334</v>
      </c>
      <c r="C1323" t="str">
        <f ca="1">IF(currency="USD",'Future et co'!D1323,IF(currency="EUR",'Future et co'!E1323,IF(currency="GBP",'Future et co'!F1323,FALSE)))</f>
        <v>RFR USD</v>
      </c>
      <c r="D1323" t="str">
        <f t="shared" ca="1" si="101"/>
        <v>RFR USD</v>
      </c>
      <c r="E1323" t="str">
        <f t="shared" ca="1" si="102"/>
        <v>RFR EUR</v>
      </c>
      <c r="F1323" t="str">
        <f t="shared" ca="1" si="103"/>
        <v>RFR GBP</v>
      </c>
      <c r="J1323" s="1"/>
      <c r="N1323" s="1"/>
      <c r="R1323" s="1"/>
      <c r="V1323" s="1"/>
      <c r="AB1323" s="1"/>
      <c r="AF1323" s="1"/>
      <c r="AJ1323" s="1"/>
      <c r="AN1323" s="1"/>
      <c r="AS1323" s="1"/>
      <c r="AX1323" s="1"/>
    </row>
    <row r="1324" spans="1:50" x14ac:dyDescent="0.3">
      <c r="A1324" s="19">
        <f t="shared" si="104"/>
        <v>47767</v>
      </c>
      <c r="B1324">
        <f t="shared" ca="1" si="100"/>
        <v>-4.4861111111111107</v>
      </c>
      <c r="C1324" t="str">
        <f ca="1">IF(currency="USD",'Future et co'!D1324,IF(currency="EUR",'Future et co'!E1324,IF(currency="GBP",'Future et co'!F1324,FALSE)))</f>
        <v>RFR USD</v>
      </c>
      <c r="D1324" t="str">
        <f t="shared" ca="1" si="101"/>
        <v>RFR USD</v>
      </c>
      <c r="E1324" t="str">
        <f t="shared" ca="1" si="102"/>
        <v>RFR EUR</v>
      </c>
      <c r="F1324" t="str">
        <f t="shared" ca="1" si="103"/>
        <v>RFR GBP</v>
      </c>
      <c r="J1324" s="1"/>
      <c r="N1324" s="1"/>
      <c r="R1324" s="1"/>
      <c r="V1324" s="1"/>
      <c r="AB1324" s="1"/>
      <c r="AF1324" s="1"/>
      <c r="AJ1324" s="1"/>
      <c r="AN1324" s="1"/>
      <c r="AS1324" s="1"/>
      <c r="AX1324" s="1"/>
    </row>
    <row r="1325" spans="1:50" x14ac:dyDescent="0.3">
      <c r="A1325" s="19">
        <f t="shared" si="104"/>
        <v>47770</v>
      </c>
      <c r="B1325">
        <f t="shared" ca="1" si="100"/>
        <v>-4.4944444444444445</v>
      </c>
      <c r="C1325" t="str">
        <f ca="1">IF(currency="USD",'Future et co'!D1325,IF(currency="EUR",'Future et co'!E1325,IF(currency="GBP",'Future et co'!F1325,FALSE)))</f>
        <v>RFR USD</v>
      </c>
      <c r="D1325" t="str">
        <f t="shared" ca="1" si="101"/>
        <v>RFR USD</v>
      </c>
      <c r="E1325" t="str">
        <f t="shared" ca="1" si="102"/>
        <v>RFR EUR</v>
      </c>
      <c r="F1325" t="str">
        <f t="shared" ca="1" si="103"/>
        <v>RFR GBP</v>
      </c>
      <c r="J1325" s="1"/>
      <c r="N1325" s="1"/>
      <c r="R1325" s="1"/>
      <c r="V1325" s="1"/>
      <c r="AB1325" s="1"/>
      <c r="AF1325" s="1"/>
      <c r="AJ1325" s="1"/>
      <c r="AN1325" s="1"/>
      <c r="AS1325" s="1"/>
      <c r="AX1325" s="1"/>
    </row>
    <row r="1326" spans="1:50" x14ac:dyDescent="0.3">
      <c r="A1326" s="19">
        <f t="shared" si="104"/>
        <v>47771</v>
      </c>
      <c r="B1326">
        <f t="shared" ca="1" si="100"/>
        <v>-4.4972222222222218</v>
      </c>
      <c r="C1326" t="str">
        <f ca="1">IF(currency="USD",'Future et co'!D1326,IF(currency="EUR",'Future et co'!E1326,IF(currency="GBP",'Future et co'!F1326,FALSE)))</f>
        <v>RFR USD</v>
      </c>
      <c r="D1326" t="str">
        <f t="shared" ca="1" si="101"/>
        <v>RFR USD</v>
      </c>
      <c r="E1326" t="str">
        <f t="shared" ca="1" si="102"/>
        <v>RFR EUR</v>
      </c>
      <c r="F1326" t="str">
        <f t="shared" ca="1" si="103"/>
        <v>RFR GBP</v>
      </c>
      <c r="J1326" s="1"/>
      <c r="N1326" s="1"/>
      <c r="R1326" s="1"/>
      <c r="V1326" s="1"/>
      <c r="AB1326" s="1"/>
      <c r="AF1326" s="1"/>
      <c r="AJ1326" s="1"/>
      <c r="AN1326" s="1"/>
      <c r="AS1326" s="1"/>
      <c r="AX1326" s="1"/>
    </row>
    <row r="1327" spans="1:50" x14ac:dyDescent="0.3">
      <c r="A1327" s="19">
        <f t="shared" si="104"/>
        <v>47772</v>
      </c>
      <c r="B1327">
        <f t="shared" ca="1" si="100"/>
        <v>-4.5</v>
      </c>
      <c r="C1327" t="str">
        <f ca="1">IF(currency="USD",'Future et co'!D1327,IF(currency="EUR",'Future et co'!E1327,IF(currency="GBP",'Future et co'!F1327,FALSE)))</f>
        <v>RFR USD</v>
      </c>
      <c r="D1327" t="str">
        <f t="shared" ca="1" si="101"/>
        <v>RFR USD</v>
      </c>
      <c r="E1327" t="str">
        <f t="shared" ca="1" si="102"/>
        <v>RFR EUR</v>
      </c>
      <c r="F1327" t="str">
        <f t="shared" ca="1" si="103"/>
        <v>RFR GBP</v>
      </c>
      <c r="J1327" s="1"/>
      <c r="N1327" s="1"/>
      <c r="R1327" s="1"/>
      <c r="V1327" s="1"/>
      <c r="AB1327" s="1"/>
      <c r="AF1327" s="1"/>
      <c r="AJ1327" s="1"/>
      <c r="AN1327" s="1"/>
      <c r="AS1327" s="1"/>
      <c r="AX1327" s="1"/>
    </row>
    <row r="1328" spans="1:50" x14ac:dyDescent="0.3">
      <c r="A1328" s="19">
        <f t="shared" si="104"/>
        <v>47773</v>
      </c>
      <c r="B1328">
        <f t="shared" ca="1" si="100"/>
        <v>-4.5027777777777782</v>
      </c>
      <c r="C1328" t="str">
        <f ca="1">IF(currency="USD",'Future et co'!D1328,IF(currency="EUR",'Future et co'!E1328,IF(currency="GBP",'Future et co'!F1328,FALSE)))</f>
        <v>RFR USD</v>
      </c>
      <c r="D1328" t="str">
        <f t="shared" ca="1" si="101"/>
        <v>RFR USD</v>
      </c>
      <c r="E1328" t="str">
        <f t="shared" ca="1" si="102"/>
        <v>RFR EUR</v>
      </c>
      <c r="F1328" t="str">
        <f t="shared" ca="1" si="103"/>
        <v>RFR GBP</v>
      </c>
      <c r="J1328" s="1"/>
      <c r="N1328" s="1"/>
      <c r="R1328" s="1"/>
      <c r="V1328" s="1"/>
      <c r="AB1328" s="1"/>
      <c r="AF1328" s="1"/>
      <c r="AJ1328" s="1"/>
      <c r="AN1328" s="1"/>
      <c r="AS1328" s="1"/>
      <c r="AX1328" s="1"/>
    </row>
    <row r="1329" spans="1:50" x14ac:dyDescent="0.3">
      <c r="A1329" s="19">
        <f t="shared" si="104"/>
        <v>47774</v>
      </c>
      <c r="B1329">
        <f t="shared" ca="1" si="100"/>
        <v>-4.5055555555555555</v>
      </c>
      <c r="C1329" t="str">
        <f ca="1">IF(currency="USD",'Future et co'!D1329,IF(currency="EUR",'Future et co'!E1329,IF(currency="GBP",'Future et co'!F1329,FALSE)))</f>
        <v>RFR USD</v>
      </c>
      <c r="D1329" t="str">
        <f t="shared" ca="1" si="101"/>
        <v>RFR USD</v>
      </c>
      <c r="E1329" t="str">
        <f t="shared" ca="1" si="102"/>
        <v>RFR EUR</v>
      </c>
      <c r="F1329" t="str">
        <f t="shared" ca="1" si="103"/>
        <v>RFR GBP</v>
      </c>
      <c r="J1329" s="1"/>
      <c r="N1329" s="1"/>
      <c r="R1329" s="1"/>
      <c r="V1329" s="1"/>
      <c r="AB1329" s="1"/>
      <c r="AF1329" s="1"/>
      <c r="AJ1329" s="1"/>
      <c r="AN1329" s="1"/>
      <c r="AS1329" s="1"/>
      <c r="AX1329" s="1"/>
    </row>
    <row r="1330" spans="1:50" x14ac:dyDescent="0.3">
      <c r="A1330" s="19">
        <f t="shared" si="104"/>
        <v>47777</v>
      </c>
      <c r="B1330">
        <f t="shared" ca="1" si="100"/>
        <v>-4.5138888888888893</v>
      </c>
      <c r="C1330" t="str">
        <f ca="1">IF(currency="USD",'Future et co'!D1330,IF(currency="EUR",'Future et co'!E1330,IF(currency="GBP",'Future et co'!F1330,FALSE)))</f>
        <v>RFR USD</v>
      </c>
      <c r="D1330" t="str">
        <f t="shared" ca="1" si="101"/>
        <v>RFR USD</v>
      </c>
      <c r="E1330" t="str">
        <f t="shared" ca="1" si="102"/>
        <v>RFR EUR</v>
      </c>
      <c r="F1330" t="str">
        <f t="shared" ca="1" si="103"/>
        <v>RFR GBP</v>
      </c>
      <c r="J1330" s="1"/>
      <c r="N1330" s="1"/>
      <c r="R1330" s="1"/>
      <c r="V1330" s="1"/>
      <c r="AB1330" s="1"/>
      <c r="AF1330" s="1"/>
      <c r="AJ1330" s="1"/>
      <c r="AN1330" s="1"/>
      <c r="AS1330" s="1"/>
      <c r="AX1330" s="1"/>
    </row>
    <row r="1331" spans="1:50" x14ac:dyDescent="0.3">
      <c r="A1331" s="19">
        <f t="shared" si="104"/>
        <v>47778</v>
      </c>
      <c r="B1331">
        <f t="shared" ca="1" si="100"/>
        <v>-4.5166666666666666</v>
      </c>
      <c r="C1331" t="str">
        <f ca="1">IF(currency="USD",'Future et co'!D1331,IF(currency="EUR",'Future et co'!E1331,IF(currency="GBP",'Future et co'!F1331,FALSE)))</f>
        <v>RFR USD</v>
      </c>
      <c r="D1331" t="str">
        <f t="shared" ca="1" si="101"/>
        <v>RFR USD</v>
      </c>
      <c r="E1331" t="str">
        <f t="shared" ca="1" si="102"/>
        <v>RFR EUR</v>
      </c>
      <c r="F1331" t="str">
        <f t="shared" ca="1" si="103"/>
        <v>RFR GBP</v>
      </c>
      <c r="J1331" s="1"/>
      <c r="N1331" s="1"/>
      <c r="R1331" s="1"/>
      <c r="V1331" s="1"/>
      <c r="AB1331" s="1"/>
      <c r="AF1331" s="1"/>
      <c r="AJ1331" s="1"/>
      <c r="AN1331" s="1"/>
      <c r="AS1331" s="1"/>
      <c r="AX1331" s="1"/>
    </row>
    <row r="1332" spans="1:50" x14ac:dyDescent="0.3">
      <c r="A1332" s="19">
        <f t="shared" si="104"/>
        <v>47779</v>
      </c>
      <c r="B1332">
        <f t="shared" ca="1" si="100"/>
        <v>-4.5194444444444448</v>
      </c>
      <c r="C1332" t="str">
        <f ca="1">IF(currency="USD",'Future et co'!D1332,IF(currency="EUR",'Future et co'!E1332,IF(currency="GBP",'Future et co'!F1332,FALSE)))</f>
        <v>RFR USD</v>
      </c>
      <c r="D1332" t="str">
        <f t="shared" ca="1" si="101"/>
        <v>RFR USD</v>
      </c>
      <c r="E1332" t="str">
        <f t="shared" ca="1" si="102"/>
        <v>RFR EUR</v>
      </c>
      <c r="F1332" t="str">
        <f t="shared" ca="1" si="103"/>
        <v>RFR GBP</v>
      </c>
      <c r="J1332" s="1"/>
      <c r="N1332" s="1"/>
      <c r="R1332" s="1"/>
      <c r="V1332" s="1"/>
      <c r="AB1332" s="1"/>
      <c r="AF1332" s="1"/>
      <c r="AJ1332" s="1"/>
      <c r="AN1332" s="1"/>
      <c r="AS1332" s="1"/>
      <c r="AX1332" s="1"/>
    </row>
    <row r="1333" spans="1:50" x14ac:dyDescent="0.3">
      <c r="A1333" s="19">
        <f t="shared" si="104"/>
        <v>47780</v>
      </c>
      <c r="B1333">
        <f t="shared" ca="1" si="100"/>
        <v>-4.5222222222222221</v>
      </c>
      <c r="C1333" t="str">
        <f ca="1">IF(currency="USD",'Future et co'!D1333,IF(currency="EUR",'Future et co'!E1333,IF(currency="GBP",'Future et co'!F1333,FALSE)))</f>
        <v>RFR USD</v>
      </c>
      <c r="D1333" t="str">
        <f t="shared" ca="1" si="101"/>
        <v>RFR USD</v>
      </c>
      <c r="E1333" t="str">
        <f t="shared" ca="1" si="102"/>
        <v>RFR EUR</v>
      </c>
      <c r="F1333" t="str">
        <f t="shared" ca="1" si="103"/>
        <v>RFR GBP</v>
      </c>
      <c r="J1333" s="1"/>
      <c r="N1333" s="1"/>
      <c r="R1333" s="1"/>
      <c r="V1333" s="1"/>
      <c r="AB1333" s="1"/>
      <c r="AF1333" s="1"/>
      <c r="AJ1333" s="1"/>
      <c r="AN1333" s="1"/>
      <c r="AS1333" s="1"/>
      <c r="AX1333" s="1"/>
    </row>
    <row r="1334" spans="1:50" x14ac:dyDescent="0.3">
      <c r="A1334" s="19">
        <f t="shared" si="104"/>
        <v>47781</v>
      </c>
      <c r="B1334">
        <f t="shared" ca="1" si="100"/>
        <v>-4.5250000000000004</v>
      </c>
      <c r="C1334" t="str">
        <f ca="1">IF(currency="USD",'Future et co'!D1334,IF(currency="EUR",'Future et co'!E1334,IF(currency="GBP",'Future et co'!F1334,FALSE)))</f>
        <v>RFR USD</v>
      </c>
      <c r="D1334" t="str">
        <f t="shared" ca="1" si="101"/>
        <v>RFR USD</v>
      </c>
      <c r="E1334" t="str">
        <f t="shared" ca="1" si="102"/>
        <v>RFR EUR</v>
      </c>
      <c r="F1334" t="str">
        <f t="shared" ca="1" si="103"/>
        <v>RFR GBP</v>
      </c>
      <c r="J1334" s="1"/>
      <c r="N1334" s="1"/>
      <c r="R1334" s="1"/>
      <c r="V1334" s="1"/>
      <c r="AB1334" s="1"/>
      <c r="AF1334" s="1"/>
      <c r="AJ1334" s="1"/>
      <c r="AN1334" s="1"/>
      <c r="AS1334" s="1"/>
      <c r="AX1334" s="1"/>
    </row>
    <row r="1335" spans="1:50" x14ac:dyDescent="0.3">
      <c r="A1335" s="19">
        <f t="shared" si="104"/>
        <v>47784</v>
      </c>
      <c r="B1335">
        <f t="shared" ca="1" si="100"/>
        <v>-4.5333333333333332</v>
      </c>
      <c r="C1335" t="str">
        <f ca="1">IF(currency="USD",'Future et co'!D1335,IF(currency="EUR",'Future et co'!E1335,IF(currency="GBP",'Future et co'!F1335,FALSE)))</f>
        <v>RFR USD</v>
      </c>
      <c r="D1335" t="str">
        <f t="shared" ca="1" si="101"/>
        <v>RFR USD</v>
      </c>
      <c r="E1335" t="str">
        <f t="shared" ca="1" si="102"/>
        <v>RFR EUR</v>
      </c>
      <c r="F1335" t="str">
        <f t="shared" ca="1" si="103"/>
        <v>RFR GBP</v>
      </c>
      <c r="J1335" s="1"/>
      <c r="N1335" s="1"/>
      <c r="R1335" s="1"/>
      <c r="V1335" s="1"/>
      <c r="AB1335" s="1"/>
      <c r="AF1335" s="1"/>
      <c r="AJ1335" s="1"/>
      <c r="AN1335" s="1"/>
      <c r="AS1335" s="1"/>
      <c r="AX1335" s="1"/>
    </row>
    <row r="1336" spans="1:50" x14ac:dyDescent="0.3">
      <c r="A1336" s="19">
        <f t="shared" si="104"/>
        <v>47785</v>
      </c>
      <c r="B1336">
        <f t="shared" ca="1" si="100"/>
        <v>-4.5361111111111114</v>
      </c>
      <c r="C1336" t="str">
        <f ca="1">IF(currency="USD",'Future et co'!D1336,IF(currency="EUR",'Future et co'!E1336,IF(currency="GBP",'Future et co'!F1336,FALSE)))</f>
        <v>RFR USD</v>
      </c>
      <c r="D1336" t="str">
        <f t="shared" ca="1" si="101"/>
        <v>RFR USD</v>
      </c>
      <c r="E1336" t="str">
        <f t="shared" ca="1" si="102"/>
        <v>RFR EUR</v>
      </c>
      <c r="F1336" t="str">
        <f t="shared" ca="1" si="103"/>
        <v>RFR GBP</v>
      </c>
      <c r="J1336" s="1"/>
      <c r="N1336" s="1"/>
      <c r="R1336" s="1"/>
      <c r="V1336" s="1"/>
      <c r="AB1336" s="1"/>
      <c r="AF1336" s="1"/>
      <c r="AJ1336" s="1"/>
      <c r="AN1336" s="1"/>
      <c r="AS1336" s="1"/>
      <c r="AX1336" s="1"/>
    </row>
    <row r="1337" spans="1:50" x14ac:dyDescent="0.3">
      <c r="A1337" s="19">
        <f t="shared" si="104"/>
        <v>47786</v>
      </c>
      <c r="B1337">
        <f t="shared" ca="1" si="100"/>
        <v>-4.5388888888888888</v>
      </c>
      <c r="C1337" t="str">
        <f ca="1">IF(currency="USD",'Future et co'!D1337,IF(currency="EUR",'Future et co'!E1337,IF(currency="GBP",'Future et co'!F1337,FALSE)))</f>
        <v>RFR USD</v>
      </c>
      <c r="D1337" t="str">
        <f t="shared" ca="1" si="101"/>
        <v>RFR USD</v>
      </c>
      <c r="E1337" t="str">
        <f t="shared" ca="1" si="102"/>
        <v>RFR EUR</v>
      </c>
      <c r="F1337" t="str">
        <f t="shared" ca="1" si="103"/>
        <v>RFR GBP</v>
      </c>
      <c r="J1337" s="1"/>
      <c r="N1337" s="1"/>
      <c r="R1337" s="1"/>
      <c r="V1337" s="1"/>
      <c r="AB1337" s="1"/>
      <c r="AF1337" s="1"/>
      <c r="AJ1337" s="1"/>
      <c r="AN1337" s="1"/>
      <c r="AS1337" s="1"/>
      <c r="AX1337" s="1"/>
    </row>
    <row r="1338" spans="1:50" x14ac:dyDescent="0.3">
      <c r="A1338" s="19">
        <f t="shared" si="104"/>
        <v>47787</v>
      </c>
      <c r="B1338">
        <f t="shared" ca="1" si="100"/>
        <v>-4.541666666666667</v>
      </c>
      <c r="C1338" t="str">
        <f ca="1">IF(currency="USD",'Future et co'!D1338,IF(currency="EUR",'Future et co'!E1338,IF(currency="GBP",'Future et co'!F1338,FALSE)))</f>
        <v>RFR USD</v>
      </c>
      <c r="D1338" t="str">
        <f t="shared" ca="1" si="101"/>
        <v>RFR USD</v>
      </c>
      <c r="E1338" t="str">
        <f t="shared" ca="1" si="102"/>
        <v>RFR EUR</v>
      </c>
      <c r="F1338" t="str">
        <f t="shared" ca="1" si="103"/>
        <v>RFR GBP</v>
      </c>
      <c r="J1338" s="1"/>
      <c r="N1338" s="1"/>
      <c r="R1338" s="1"/>
      <c r="V1338" s="1"/>
      <c r="AB1338" s="1"/>
      <c r="AF1338" s="1"/>
      <c r="AJ1338" s="1"/>
      <c r="AN1338" s="1"/>
      <c r="AS1338" s="1"/>
      <c r="AX1338" s="1"/>
    </row>
    <row r="1339" spans="1:50" x14ac:dyDescent="0.3">
      <c r="A1339" s="19">
        <f t="shared" si="104"/>
        <v>47788</v>
      </c>
      <c r="B1339">
        <f t="shared" ca="1" si="100"/>
        <v>-4.5444444444444443</v>
      </c>
      <c r="C1339" t="str">
        <f ca="1">IF(currency="USD",'Future et co'!D1339,IF(currency="EUR",'Future et co'!E1339,IF(currency="GBP",'Future et co'!F1339,FALSE)))</f>
        <v>RFR USD</v>
      </c>
      <c r="D1339" t="str">
        <f t="shared" ca="1" si="101"/>
        <v>RFR USD</v>
      </c>
      <c r="E1339" t="str">
        <f t="shared" ca="1" si="102"/>
        <v>RFR EUR</v>
      </c>
      <c r="F1339" t="str">
        <f t="shared" ca="1" si="103"/>
        <v>RFR GBP</v>
      </c>
      <c r="J1339" s="1"/>
      <c r="N1339" s="1"/>
      <c r="R1339" s="1"/>
      <c r="V1339" s="1"/>
      <c r="AB1339" s="1"/>
      <c r="AF1339" s="1"/>
      <c r="AJ1339" s="1"/>
      <c r="AN1339" s="1"/>
      <c r="AS1339" s="1"/>
      <c r="AX1339" s="1"/>
    </row>
    <row r="1340" spans="1:50" x14ac:dyDescent="0.3">
      <c r="A1340" s="19">
        <f t="shared" si="104"/>
        <v>47791</v>
      </c>
      <c r="B1340">
        <f t="shared" ca="1" si="100"/>
        <v>-4.552777777777778</v>
      </c>
      <c r="C1340" t="str">
        <f ca="1">IF(currency="USD",'Future et co'!D1340,IF(currency="EUR",'Future et co'!E1340,IF(currency="GBP",'Future et co'!F1340,FALSE)))</f>
        <v>RFR USD</v>
      </c>
      <c r="D1340" t="str">
        <f t="shared" ca="1" si="101"/>
        <v>RFR USD</v>
      </c>
      <c r="E1340" t="str">
        <f t="shared" ca="1" si="102"/>
        <v>RFR EUR</v>
      </c>
      <c r="F1340" t="str">
        <f t="shared" ca="1" si="103"/>
        <v>RFR GBP</v>
      </c>
      <c r="J1340" s="1"/>
      <c r="N1340" s="1"/>
      <c r="R1340" s="1"/>
      <c r="V1340" s="1"/>
      <c r="AB1340" s="1"/>
      <c r="AF1340" s="1"/>
      <c r="AJ1340" s="1"/>
      <c r="AN1340" s="1"/>
      <c r="AS1340" s="1"/>
      <c r="AX1340" s="1"/>
    </row>
    <row r="1341" spans="1:50" x14ac:dyDescent="0.3">
      <c r="A1341" s="19">
        <f t="shared" si="104"/>
        <v>47792</v>
      </c>
      <c r="B1341">
        <f t="shared" ca="1" si="100"/>
        <v>-4.5555555555555554</v>
      </c>
      <c r="C1341" t="str">
        <f ca="1">IF(currency="USD",'Future et co'!D1341,IF(currency="EUR",'Future et co'!E1341,IF(currency="GBP",'Future et co'!F1341,FALSE)))</f>
        <v>RFR USD</v>
      </c>
      <c r="D1341" t="str">
        <f t="shared" ca="1" si="101"/>
        <v>RFR USD</v>
      </c>
      <c r="E1341" t="str">
        <f t="shared" ca="1" si="102"/>
        <v>RFR EUR</v>
      </c>
      <c r="F1341" t="str">
        <f t="shared" ca="1" si="103"/>
        <v>RFR GBP</v>
      </c>
      <c r="J1341" s="1"/>
      <c r="N1341" s="1"/>
      <c r="R1341" s="1"/>
      <c r="V1341" s="1"/>
      <c r="AB1341" s="1"/>
      <c r="AF1341" s="1"/>
      <c r="AJ1341" s="1"/>
      <c r="AN1341" s="1"/>
      <c r="AS1341" s="1"/>
      <c r="AX1341" s="1"/>
    </row>
    <row r="1342" spans="1:50" x14ac:dyDescent="0.3">
      <c r="A1342" s="19">
        <f t="shared" si="104"/>
        <v>47793</v>
      </c>
      <c r="B1342">
        <f t="shared" ca="1" si="100"/>
        <v>-4.5583333333333336</v>
      </c>
      <c r="C1342" t="str">
        <f ca="1">IF(currency="USD",'Future et co'!D1342,IF(currency="EUR",'Future et co'!E1342,IF(currency="GBP",'Future et co'!F1342,FALSE)))</f>
        <v>RFR USD</v>
      </c>
      <c r="D1342" t="str">
        <f t="shared" ca="1" si="101"/>
        <v>RFR USD</v>
      </c>
      <c r="E1342" t="str">
        <f t="shared" ca="1" si="102"/>
        <v>RFR EUR</v>
      </c>
      <c r="F1342" t="str">
        <f t="shared" ca="1" si="103"/>
        <v>RFR GBP</v>
      </c>
      <c r="J1342" s="1"/>
      <c r="N1342" s="1"/>
      <c r="R1342" s="1"/>
      <c r="V1342" s="1"/>
      <c r="AB1342" s="1"/>
      <c r="AF1342" s="1"/>
      <c r="AJ1342" s="1"/>
      <c r="AN1342" s="1"/>
      <c r="AS1342" s="1"/>
      <c r="AX1342" s="1"/>
    </row>
    <row r="1343" spans="1:50" x14ac:dyDescent="0.3">
      <c r="A1343" s="19">
        <f t="shared" si="104"/>
        <v>47794</v>
      </c>
      <c r="B1343">
        <f t="shared" ca="1" si="100"/>
        <v>-4.5611111111111109</v>
      </c>
      <c r="C1343" t="str">
        <f ca="1">IF(currency="USD",'Future et co'!D1343,IF(currency="EUR",'Future et co'!E1343,IF(currency="GBP",'Future et co'!F1343,FALSE)))</f>
        <v>RFR USD</v>
      </c>
      <c r="D1343" t="str">
        <f t="shared" ca="1" si="101"/>
        <v>RFR USD</v>
      </c>
      <c r="E1343" t="str">
        <f t="shared" ca="1" si="102"/>
        <v>RFR EUR</v>
      </c>
      <c r="F1343" t="str">
        <f t="shared" ca="1" si="103"/>
        <v>RFR GBP</v>
      </c>
      <c r="J1343" s="1"/>
      <c r="N1343" s="1"/>
      <c r="R1343" s="1"/>
      <c r="V1343" s="1"/>
      <c r="AB1343" s="1"/>
      <c r="AF1343" s="1"/>
      <c r="AJ1343" s="1"/>
      <c r="AN1343" s="1"/>
      <c r="AS1343" s="1"/>
      <c r="AX1343" s="1"/>
    </row>
    <row r="1344" spans="1:50" x14ac:dyDescent="0.3">
      <c r="A1344" s="19">
        <f t="shared" si="104"/>
        <v>47795</v>
      </c>
      <c r="B1344">
        <f t="shared" ca="1" si="100"/>
        <v>-4.5638888888888891</v>
      </c>
      <c r="C1344" t="str">
        <f ca="1">IF(currency="USD",'Future et co'!D1344,IF(currency="EUR",'Future et co'!E1344,IF(currency="GBP",'Future et co'!F1344,FALSE)))</f>
        <v>RFR USD</v>
      </c>
      <c r="D1344" t="str">
        <f t="shared" ca="1" si="101"/>
        <v>RFR USD</v>
      </c>
      <c r="E1344" t="str">
        <f t="shared" ca="1" si="102"/>
        <v>RFR EUR</v>
      </c>
      <c r="F1344" t="str">
        <f t="shared" ca="1" si="103"/>
        <v>RFR GBP</v>
      </c>
      <c r="J1344" s="1"/>
      <c r="N1344" s="1"/>
      <c r="R1344" s="1"/>
      <c r="V1344" s="1"/>
      <c r="AB1344" s="1"/>
      <c r="AF1344" s="1"/>
      <c r="AJ1344" s="1"/>
      <c r="AN1344" s="1"/>
      <c r="AS1344" s="1"/>
      <c r="AX1344" s="1"/>
    </row>
    <row r="1345" spans="1:50" x14ac:dyDescent="0.3">
      <c r="A1345" s="19">
        <f t="shared" si="104"/>
        <v>47798</v>
      </c>
      <c r="B1345">
        <f t="shared" ca="1" si="100"/>
        <v>-4.572222222222222</v>
      </c>
      <c r="C1345" t="str">
        <f ca="1">IF(currency="USD",'Future et co'!D1345,IF(currency="EUR",'Future et co'!E1345,IF(currency="GBP",'Future et co'!F1345,FALSE)))</f>
        <v>RFR USD</v>
      </c>
      <c r="D1345" t="str">
        <f t="shared" ca="1" si="101"/>
        <v>RFR USD</v>
      </c>
      <c r="E1345" t="str">
        <f t="shared" ca="1" si="102"/>
        <v>RFR EUR</v>
      </c>
      <c r="F1345" t="str">
        <f t="shared" ca="1" si="103"/>
        <v>RFR GBP</v>
      </c>
      <c r="J1345" s="1"/>
      <c r="N1345" s="1"/>
      <c r="R1345" s="1"/>
      <c r="V1345" s="1"/>
      <c r="AB1345" s="1"/>
      <c r="AF1345" s="1"/>
      <c r="AJ1345" s="1"/>
      <c r="AN1345" s="1"/>
      <c r="AS1345" s="1"/>
      <c r="AX1345" s="1"/>
    </row>
    <row r="1346" spans="1:50" x14ac:dyDescent="0.3">
      <c r="A1346" s="19">
        <f t="shared" si="104"/>
        <v>47799</v>
      </c>
      <c r="B1346">
        <f t="shared" ca="1" si="100"/>
        <v>-4.5750000000000002</v>
      </c>
      <c r="C1346" t="str">
        <f ca="1">IF(currency="USD",'Future et co'!D1346,IF(currency="EUR",'Future et co'!E1346,IF(currency="GBP",'Future et co'!F1346,FALSE)))</f>
        <v>RFR USD</v>
      </c>
      <c r="D1346" t="str">
        <f t="shared" ca="1" si="101"/>
        <v>RFR USD</v>
      </c>
      <c r="E1346" t="str">
        <f t="shared" ca="1" si="102"/>
        <v>RFR EUR</v>
      </c>
      <c r="F1346" t="str">
        <f t="shared" ca="1" si="103"/>
        <v>RFR GBP</v>
      </c>
      <c r="J1346" s="1"/>
      <c r="N1346" s="1"/>
      <c r="R1346" s="1"/>
      <c r="V1346" s="1"/>
      <c r="AB1346" s="1"/>
      <c r="AF1346" s="1"/>
      <c r="AJ1346" s="1"/>
      <c r="AN1346" s="1"/>
      <c r="AS1346" s="1"/>
      <c r="AX1346" s="1"/>
    </row>
    <row r="1347" spans="1:50" x14ac:dyDescent="0.3">
      <c r="A1347" s="19">
        <f t="shared" si="104"/>
        <v>47800</v>
      </c>
      <c r="B1347">
        <f t="shared" ca="1" si="100"/>
        <v>-4.5777777777777775</v>
      </c>
      <c r="C1347" t="str">
        <f ca="1">IF(currency="USD",'Future et co'!D1347,IF(currency="EUR",'Future et co'!E1347,IF(currency="GBP",'Future et co'!F1347,FALSE)))</f>
        <v>RFR USD</v>
      </c>
      <c r="D1347" t="str">
        <f t="shared" ca="1" si="101"/>
        <v>RFR USD</v>
      </c>
      <c r="E1347" t="str">
        <f t="shared" ca="1" si="102"/>
        <v>RFR EUR</v>
      </c>
      <c r="F1347" t="str">
        <f t="shared" ca="1" si="103"/>
        <v>RFR GBP</v>
      </c>
      <c r="J1347" s="1"/>
      <c r="N1347" s="1"/>
      <c r="R1347" s="1"/>
      <c r="V1347" s="1"/>
      <c r="AB1347" s="1"/>
      <c r="AF1347" s="1"/>
      <c r="AJ1347" s="1"/>
      <c r="AN1347" s="1"/>
      <c r="AS1347" s="1"/>
      <c r="AX1347" s="1"/>
    </row>
    <row r="1348" spans="1:50" x14ac:dyDescent="0.3">
      <c r="A1348" s="19">
        <f t="shared" si="104"/>
        <v>47801</v>
      </c>
      <c r="B1348">
        <f t="shared" ca="1" si="100"/>
        <v>-4.5805555555555557</v>
      </c>
      <c r="C1348" t="str">
        <f ca="1">IF(currency="USD",'Future et co'!D1348,IF(currency="EUR",'Future et co'!E1348,IF(currency="GBP",'Future et co'!F1348,FALSE)))</f>
        <v>RFR USD</v>
      </c>
      <c r="D1348" t="str">
        <f t="shared" ca="1" si="101"/>
        <v>RFR USD</v>
      </c>
      <c r="E1348" t="str">
        <f t="shared" ca="1" si="102"/>
        <v>RFR EUR</v>
      </c>
      <c r="F1348" t="str">
        <f t="shared" ca="1" si="103"/>
        <v>RFR GBP</v>
      </c>
      <c r="J1348" s="1"/>
      <c r="N1348" s="1"/>
      <c r="R1348" s="1"/>
      <c r="V1348" s="1"/>
      <c r="AB1348" s="1"/>
      <c r="AF1348" s="1"/>
      <c r="AJ1348" s="1"/>
      <c r="AN1348" s="1"/>
      <c r="AS1348" s="1"/>
      <c r="AX1348" s="1"/>
    </row>
    <row r="1349" spans="1:50" x14ac:dyDescent="0.3">
      <c r="A1349" s="19">
        <f t="shared" si="104"/>
        <v>47802</v>
      </c>
      <c r="B1349">
        <f t="shared" ca="1" si="100"/>
        <v>-4.583333333333333</v>
      </c>
      <c r="C1349" t="str">
        <f ca="1">IF(currency="USD",'Future et co'!D1349,IF(currency="EUR",'Future et co'!E1349,IF(currency="GBP",'Future et co'!F1349,FALSE)))</f>
        <v>RFR USD</v>
      </c>
      <c r="D1349" t="str">
        <f t="shared" ca="1" si="101"/>
        <v>RFR USD</v>
      </c>
      <c r="E1349" t="str">
        <f t="shared" ca="1" si="102"/>
        <v>RFR EUR</v>
      </c>
      <c r="F1349" t="str">
        <f t="shared" ca="1" si="103"/>
        <v>RFR GBP</v>
      </c>
      <c r="J1349" s="1"/>
      <c r="N1349" s="1"/>
      <c r="R1349" s="1"/>
      <c r="V1349" s="1"/>
      <c r="AB1349" s="1"/>
      <c r="AF1349" s="1"/>
      <c r="AJ1349" s="1"/>
      <c r="AN1349" s="1"/>
      <c r="AS1349" s="1"/>
      <c r="AX1349" s="1"/>
    </row>
    <row r="1350" spans="1:50" x14ac:dyDescent="0.3">
      <c r="A1350" s="19">
        <f t="shared" si="104"/>
        <v>47805</v>
      </c>
      <c r="B1350">
        <f t="shared" ca="1" si="100"/>
        <v>-4.5916666666666668</v>
      </c>
      <c r="C1350" t="str">
        <f ca="1">IF(currency="USD",'Future et co'!D1350,IF(currency="EUR",'Future et co'!E1350,IF(currency="GBP",'Future et co'!F1350,FALSE)))</f>
        <v>RFR USD</v>
      </c>
      <c r="D1350" t="str">
        <f t="shared" ca="1" si="101"/>
        <v>RFR USD</v>
      </c>
      <c r="E1350" t="str">
        <f t="shared" ca="1" si="102"/>
        <v>RFR EUR</v>
      </c>
      <c r="F1350" t="str">
        <f t="shared" ca="1" si="103"/>
        <v>RFR GBP</v>
      </c>
      <c r="J1350" s="1"/>
      <c r="N1350" s="1"/>
      <c r="R1350" s="1"/>
      <c r="V1350" s="1"/>
      <c r="AB1350" s="1"/>
      <c r="AF1350" s="1"/>
      <c r="AJ1350" s="1"/>
      <c r="AN1350" s="1"/>
      <c r="AS1350" s="1"/>
      <c r="AX1350" s="1"/>
    </row>
    <row r="1351" spans="1:50" x14ac:dyDescent="0.3">
      <c r="A1351" s="19">
        <f t="shared" si="104"/>
        <v>47806</v>
      </c>
      <c r="B1351">
        <f t="shared" ca="1" si="100"/>
        <v>-4.5944444444444441</v>
      </c>
      <c r="C1351" t="str">
        <f ca="1">IF(currency="USD",'Future et co'!D1351,IF(currency="EUR",'Future et co'!E1351,IF(currency="GBP",'Future et co'!F1351,FALSE)))</f>
        <v>RFR USD</v>
      </c>
      <c r="D1351" t="str">
        <f t="shared" ca="1" si="101"/>
        <v>RFR USD</v>
      </c>
      <c r="E1351" t="str">
        <f t="shared" ca="1" si="102"/>
        <v>RFR EUR</v>
      </c>
      <c r="F1351" t="str">
        <f t="shared" ca="1" si="103"/>
        <v>RFR GBP</v>
      </c>
      <c r="J1351" s="1"/>
      <c r="N1351" s="1"/>
      <c r="R1351" s="1"/>
      <c r="V1351" s="1"/>
      <c r="AB1351" s="1"/>
      <c r="AF1351" s="1"/>
      <c r="AJ1351" s="1"/>
      <c r="AN1351" s="1"/>
      <c r="AS1351" s="1"/>
      <c r="AX1351" s="1"/>
    </row>
    <row r="1352" spans="1:50" x14ac:dyDescent="0.3">
      <c r="A1352" s="19">
        <f t="shared" si="104"/>
        <v>47807</v>
      </c>
      <c r="B1352">
        <f t="shared" ca="1" si="100"/>
        <v>-4.5972222222222223</v>
      </c>
      <c r="C1352" t="str">
        <f ca="1">IF(currency="USD",'Future et co'!D1352,IF(currency="EUR",'Future et co'!E1352,IF(currency="GBP",'Future et co'!F1352,FALSE)))</f>
        <v>RFR USD</v>
      </c>
      <c r="D1352" t="str">
        <f t="shared" ca="1" si="101"/>
        <v>RFR USD</v>
      </c>
      <c r="E1352" t="str">
        <f t="shared" ca="1" si="102"/>
        <v>RFR EUR</v>
      </c>
      <c r="F1352" t="str">
        <f t="shared" ca="1" si="103"/>
        <v>RFR GBP</v>
      </c>
      <c r="J1352" s="1"/>
      <c r="N1352" s="1"/>
      <c r="R1352" s="1"/>
      <c r="V1352" s="1"/>
      <c r="AB1352" s="1"/>
      <c r="AF1352" s="1"/>
      <c r="AJ1352" s="1"/>
      <c r="AN1352" s="1"/>
      <c r="AS1352" s="1"/>
      <c r="AX1352" s="1"/>
    </row>
    <row r="1353" spans="1:50" x14ac:dyDescent="0.3">
      <c r="A1353" s="19">
        <f t="shared" si="104"/>
        <v>47808</v>
      </c>
      <c r="B1353">
        <f t="shared" ca="1" si="100"/>
        <v>-4.5999999999999996</v>
      </c>
      <c r="C1353" t="str">
        <f ca="1">IF(currency="USD",'Future et co'!D1353,IF(currency="EUR",'Future et co'!E1353,IF(currency="GBP",'Future et co'!F1353,FALSE)))</f>
        <v>RFR USD</v>
      </c>
      <c r="D1353" t="str">
        <f t="shared" ca="1" si="101"/>
        <v>RFR USD</v>
      </c>
      <c r="E1353" t="str">
        <f t="shared" ca="1" si="102"/>
        <v>RFR EUR</v>
      </c>
      <c r="F1353" t="str">
        <f t="shared" ca="1" si="103"/>
        <v>RFR GBP</v>
      </c>
      <c r="J1353" s="1"/>
      <c r="N1353" s="1"/>
      <c r="R1353" s="1"/>
      <c r="V1353" s="1"/>
      <c r="AB1353" s="1"/>
      <c r="AF1353" s="1"/>
      <c r="AJ1353" s="1"/>
      <c r="AN1353" s="1"/>
      <c r="AS1353" s="1"/>
      <c r="AX1353" s="1"/>
    </row>
    <row r="1354" spans="1:50" x14ac:dyDescent="0.3">
      <c r="A1354" s="19">
        <f t="shared" si="104"/>
        <v>47809</v>
      </c>
      <c r="B1354">
        <f t="shared" ca="1" si="100"/>
        <v>-4.6027777777777779</v>
      </c>
      <c r="C1354" t="str">
        <f ca="1">IF(currency="USD",'Future et co'!D1354,IF(currency="EUR",'Future et co'!E1354,IF(currency="GBP",'Future et co'!F1354,FALSE)))</f>
        <v>RFR USD</v>
      </c>
      <c r="D1354" t="str">
        <f t="shared" ca="1" si="101"/>
        <v>RFR USD</v>
      </c>
      <c r="E1354" t="str">
        <f t="shared" ca="1" si="102"/>
        <v>RFR EUR</v>
      </c>
      <c r="F1354" t="str">
        <f t="shared" ca="1" si="103"/>
        <v>RFR GBP</v>
      </c>
      <c r="J1354" s="1"/>
      <c r="N1354" s="1"/>
      <c r="R1354" s="1"/>
      <c r="V1354" s="1"/>
      <c r="AB1354" s="1"/>
      <c r="AF1354" s="1"/>
      <c r="AJ1354" s="1"/>
      <c r="AN1354" s="1"/>
      <c r="AS1354" s="1"/>
      <c r="AX1354" s="1"/>
    </row>
    <row r="1355" spans="1:50" x14ac:dyDescent="0.3">
      <c r="A1355" s="19">
        <f t="shared" si="104"/>
        <v>47812</v>
      </c>
      <c r="B1355">
        <f t="shared" ref="B1355:B1418" ca="1" si="105">($B$7-A1355)/360</f>
        <v>-4.6111111111111107</v>
      </c>
      <c r="C1355" t="str">
        <f ca="1">IF(currency="USD",'Future et co'!D1355,IF(currency="EUR",'Future et co'!E1355,IF(currency="GBP",'Future et co'!F1355,FALSE)))</f>
        <v>RFR USD</v>
      </c>
      <c r="D1355" t="str">
        <f t="shared" ref="D1355:D1418" ca="1" si="106">IFERROR(IF(B1355&lt;0.25,VLOOKUP(A1355,$J$11:$L$5325,3,FALSE),IF(AND(B1355&gt;=0.25,B1355&lt;0.5),VLOOKUP(A1355,$N$11:$P$5325,3,FALSE),IF(AND(B1355&gt;=0.5,B1355&lt;1),VLOOKUP(A1355,$R$11:$T$5325,3,FALSE),VLOOKUP(A1355,$V$11:$X$5010,3,FALSE)))),D1354)</f>
        <v>RFR USD</v>
      </c>
      <c r="E1355" t="str">
        <f t="shared" ref="E1355:E1418" ca="1" si="107">IFERROR(IF(B1355&lt;0.25,VLOOKUP(A1355,$AF$11:$AH$5325,3,FALSE),IF(AND(B1355&gt;=0.25,B1355&lt;0.5),VLOOKUP(A1355,$AJ$11:$AL$5325,3,FALSE),VLOOKUP(A1355,$AN$11:$AP$5325,3,FALSE))),E1354)</f>
        <v>RFR EUR</v>
      </c>
      <c r="F1355" t="str">
        <f t="shared" ref="F1355:F1418" ca="1" si="108">IFERROR(VLOOKUP(A1355,$AS$11:$AU$9999,3,FALSE),F1354)</f>
        <v>RFR GBP</v>
      </c>
      <c r="J1355" s="1"/>
      <c r="N1355" s="1"/>
      <c r="R1355" s="1"/>
      <c r="V1355" s="1"/>
      <c r="AB1355" s="1"/>
      <c r="AF1355" s="1"/>
      <c r="AJ1355" s="1"/>
      <c r="AN1355" s="1"/>
      <c r="AS1355" s="1"/>
      <c r="AX1355" s="1"/>
    </row>
    <row r="1356" spans="1:50" x14ac:dyDescent="0.3">
      <c r="A1356" s="19">
        <f t="shared" si="104"/>
        <v>47813</v>
      </c>
      <c r="B1356">
        <f t="shared" ca="1" si="105"/>
        <v>-4.6138888888888889</v>
      </c>
      <c r="C1356" t="str">
        <f ca="1">IF(currency="USD",'Future et co'!D1356,IF(currency="EUR",'Future et co'!E1356,IF(currency="GBP",'Future et co'!F1356,FALSE)))</f>
        <v>RFR USD</v>
      </c>
      <c r="D1356" t="str">
        <f t="shared" ca="1" si="106"/>
        <v>RFR USD</v>
      </c>
      <c r="E1356" t="str">
        <f t="shared" ca="1" si="107"/>
        <v>RFR EUR</v>
      </c>
      <c r="F1356" t="str">
        <f t="shared" ca="1" si="108"/>
        <v>RFR GBP</v>
      </c>
      <c r="J1356" s="1"/>
      <c r="N1356" s="1"/>
      <c r="R1356" s="1"/>
      <c r="V1356" s="1"/>
      <c r="AB1356" s="1"/>
      <c r="AF1356" s="1"/>
      <c r="AJ1356" s="1"/>
      <c r="AN1356" s="1"/>
      <c r="AS1356" s="1"/>
      <c r="AX1356" s="1"/>
    </row>
    <row r="1357" spans="1:50" x14ac:dyDescent="0.3">
      <c r="A1357" s="19">
        <f t="shared" ref="A1357:A1420" si="109">WORKDAY(A1356,1)</f>
        <v>47814</v>
      </c>
      <c r="B1357">
        <f t="shared" ca="1" si="105"/>
        <v>-4.6166666666666663</v>
      </c>
      <c r="C1357" t="str">
        <f ca="1">IF(currency="USD",'Future et co'!D1357,IF(currency="EUR",'Future et co'!E1357,IF(currency="GBP",'Future et co'!F1357,FALSE)))</f>
        <v>RFR USD</v>
      </c>
      <c r="D1357" t="str">
        <f t="shared" ca="1" si="106"/>
        <v>RFR USD</v>
      </c>
      <c r="E1357" t="str">
        <f t="shared" ca="1" si="107"/>
        <v>RFR EUR</v>
      </c>
      <c r="F1357" t="str">
        <f t="shared" ca="1" si="108"/>
        <v>RFR GBP</v>
      </c>
      <c r="J1357" s="1"/>
      <c r="N1357" s="1"/>
      <c r="R1357" s="1"/>
      <c r="V1357" s="1"/>
      <c r="AB1357" s="1"/>
      <c r="AF1357" s="1"/>
      <c r="AJ1357" s="1"/>
      <c r="AN1357" s="1"/>
      <c r="AS1357" s="1"/>
      <c r="AX1357" s="1"/>
    </row>
    <row r="1358" spans="1:50" x14ac:dyDescent="0.3">
      <c r="A1358" s="19">
        <f t="shared" si="109"/>
        <v>47815</v>
      </c>
      <c r="B1358">
        <f t="shared" ca="1" si="105"/>
        <v>-4.6194444444444445</v>
      </c>
      <c r="C1358" t="str">
        <f ca="1">IF(currency="USD",'Future et co'!D1358,IF(currency="EUR",'Future et co'!E1358,IF(currency="GBP",'Future et co'!F1358,FALSE)))</f>
        <v>RFR USD</v>
      </c>
      <c r="D1358" t="str">
        <f t="shared" ca="1" si="106"/>
        <v>RFR USD</v>
      </c>
      <c r="E1358" t="str">
        <f t="shared" ca="1" si="107"/>
        <v>RFR EUR</v>
      </c>
      <c r="F1358" t="str">
        <f t="shared" ca="1" si="108"/>
        <v>RFR GBP</v>
      </c>
      <c r="J1358" s="1"/>
      <c r="N1358" s="1"/>
      <c r="R1358" s="1"/>
      <c r="V1358" s="1"/>
      <c r="AB1358" s="1"/>
      <c r="AF1358" s="1"/>
      <c r="AJ1358" s="1"/>
      <c r="AN1358" s="1"/>
      <c r="AS1358" s="1"/>
      <c r="AX1358" s="1"/>
    </row>
    <row r="1359" spans="1:50" x14ac:dyDescent="0.3">
      <c r="A1359" s="19">
        <f t="shared" si="109"/>
        <v>47816</v>
      </c>
      <c r="B1359">
        <f t="shared" ca="1" si="105"/>
        <v>-4.6222222222222218</v>
      </c>
      <c r="C1359" t="str">
        <f ca="1">IF(currency="USD",'Future et co'!D1359,IF(currency="EUR",'Future et co'!E1359,IF(currency="GBP",'Future et co'!F1359,FALSE)))</f>
        <v>RFR USD</v>
      </c>
      <c r="D1359" t="str">
        <f t="shared" ca="1" si="106"/>
        <v>RFR USD</v>
      </c>
      <c r="E1359" t="str">
        <f t="shared" ca="1" si="107"/>
        <v>RFR EUR</v>
      </c>
      <c r="F1359" t="str">
        <f t="shared" ca="1" si="108"/>
        <v>RFR GBP</v>
      </c>
      <c r="J1359" s="1"/>
      <c r="N1359" s="1"/>
      <c r="R1359" s="1"/>
      <c r="V1359" s="1"/>
      <c r="AB1359" s="1"/>
      <c r="AF1359" s="1"/>
      <c r="AJ1359" s="1"/>
      <c r="AN1359" s="1"/>
      <c r="AS1359" s="1"/>
      <c r="AX1359" s="1"/>
    </row>
    <row r="1360" spans="1:50" x14ac:dyDescent="0.3">
      <c r="A1360" s="19">
        <f t="shared" si="109"/>
        <v>47819</v>
      </c>
      <c r="B1360">
        <f t="shared" ca="1" si="105"/>
        <v>-4.6305555555555555</v>
      </c>
      <c r="C1360" t="str">
        <f ca="1">IF(currency="USD",'Future et co'!D1360,IF(currency="EUR",'Future et co'!E1360,IF(currency="GBP",'Future et co'!F1360,FALSE)))</f>
        <v>RFR USD</v>
      </c>
      <c r="D1360" t="str">
        <f t="shared" ca="1" si="106"/>
        <v>RFR USD</v>
      </c>
      <c r="E1360" t="str">
        <f t="shared" ca="1" si="107"/>
        <v>RFR EUR</v>
      </c>
      <c r="F1360" t="str">
        <f t="shared" ca="1" si="108"/>
        <v>RFR GBP</v>
      </c>
      <c r="J1360" s="1"/>
      <c r="N1360" s="1"/>
      <c r="R1360" s="1"/>
      <c r="V1360" s="1"/>
      <c r="AB1360" s="1"/>
      <c r="AF1360" s="1"/>
      <c r="AJ1360" s="1"/>
      <c r="AN1360" s="1"/>
      <c r="AS1360" s="1"/>
      <c r="AX1360" s="1"/>
    </row>
    <row r="1361" spans="1:50" x14ac:dyDescent="0.3">
      <c r="A1361" s="19">
        <f t="shared" si="109"/>
        <v>47820</v>
      </c>
      <c r="B1361">
        <f t="shared" ca="1" si="105"/>
        <v>-4.6333333333333337</v>
      </c>
      <c r="C1361" t="str">
        <f ca="1">IF(currency="USD",'Future et co'!D1361,IF(currency="EUR",'Future et co'!E1361,IF(currency="GBP",'Future et co'!F1361,FALSE)))</f>
        <v>RFR USD</v>
      </c>
      <c r="D1361" t="str">
        <f t="shared" ca="1" si="106"/>
        <v>RFR USD</v>
      </c>
      <c r="E1361" t="str">
        <f t="shared" ca="1" si="107"/>
        <v>RFR EUR</v>
      </c>
      <c r="F1361" t="str">
        <f t="shared" ca="1" si="108"/>
        <v>RFR GBP</v>
      </c>
      <c r="J1361" s="1"/>
      <c r="N1361" s="1"/>
      <c r="R1361" s="1"/>
      <c r="V1361" s="1"/>
      <c r="AB1361" s="1"/>
      <c r="AF1361" s="1"/>
      <c r="AJ1361" s="1"/>
      <c r="AN1361" s="1"/>
      <c r="AS1361" s="1"/>
      <c r="AX1361" s="1"/>
    </row>
    <row r="1362" spans="1:50" x14ac:dyDescent="0.3">
      <c r="A1362" s="19">
        <f t="shared" si="109"/>
        <v>47821</v>
      </c>
      <c r="B1362">
        <f t="shared" ca="1" si="105"/>
        <v>-4.6361111111111111</v>
      </c>
      <c r="C1362" t="str">
        <f ca="1">IF(currency="USD",'Future et co'!D1362,IF(currency="EUR",'Future et co'!E1362,IF(currency="GBP",'Future et co'!F1362,FALSE)))</f>
        <v>RFR USD</v>
      </c>
      <c r="D1362" t="str">
        <f t="shared" ca="1" si="106"/>
        <v>RFR USD</v>
      </c>
      <c r="E1362" t="str">
        <f t="shared" ca="1" si="107"/>
        <v>RFR EUR</v>
      </c>
      <c r="F1362" t="str">
        <f t="shared" ca="1" si="108"/>
        <v>RFR GBP</v>
      </c>
      <c r="J1362" s="1"/>
      <c r="N1362" s="1"/>
      <c r="R1362" s="1"/>
      <c r="V1362" s="1"/>
      <c r="AB1362" s="1"/>
      <c r="AF1362" s="1"/>
      <c r="AJ1362" s="1"/>
      <c r="AN1362" s="1"/>
      <c r="AS1362" s="1"/>
      <c r="AX1362" s="1"/>
    </row>
    <row r="1363" spans="1:50" x14ac:dyDescent="0.3">
      <c r="A1363" s="19">
        <f t="shared" si="109"/>
        <v>47822</v>
      </c>
      <c r="B1363">
        <f t="shared" ca="1" si="105"/>
        <v>-4.6388888888888893</v>
      </c>
      <c r="C1363" t="str">
        <f ca="1">IF(currency="USD",'Future et co'!D1363,IF(currency="EUR",'Future et co'!E1363,IF(currency="GBP",'Future et co'!F1363,FALSE)))</f>
        <v>RFR USD</v>
      </c>
      <c r="D1363" t="str">
        <f t="shared" ca="1" si="106"/>
        <v>RFR USD</v>
      </c>
      <c r="E1363" t="str">
        <f t="shared" ca="1" si="107"/>
        <v>RFR EUR</v>
      </c>
      <c r="F1363" t="str">
        <f t="shared" ca="1" si="108"/>
        <v>RFR GBP</v>
      </c>
      <c r="J1363" s="1"/>
      <c r="N1363" s="1"/>
      <c r="R1363" s="1"/>
      <c r="V1363" s="1"/>
      <c r="AB1363" s="1"/>
      <c r="AF1363" s="1"/>
      <c r="AJ1363" s="1"/>
      <c r="AN1363" s="1"/>
      <c r="AS1363" s="1"/>
      <c r="AX1363" s="1"/>
    </row>
    <row r="1364" spans="1:50" x14ac:dyDescent="0.3">
      <c r="A1364" s="19">
        <f t="shared" si="109"/>
        <v>47823</v>
      </c>
      <c r="B1364">
        <f t="shared" ca="1" si="105"/>
        <v>-4.6416666666666666</v>
      </c>
      <c r="C1364" t="str">
        <f ca="1">IF(currency="USD",'Future et co'!D1364,IF(currency="EUR",'Future et co'!E1364,IF(currency="GBP",'Future et co'!F1364,FALSE)))</f>
        <v>RFR USD</v>
      </c>
      <c r="D1364" t="str">
        <f t="shared" ca="1" si="106"/>
        <v>RFR USD</v>
      </c>
      <c r="E1364" t="str">
        <f t="shared" ca="1" si="107"/>
        <v>RFR EUR</v>
      </c>
      <c r="F1364" t="str">
        <f t="shared" ca="1" si="108"/>
        <v>RFR GBP</v>
      </c>
      <c r="J1364" s="1"/>
      <c r="N1364" s="1"/>
      <c r="R1364" s="1"/>
      <c r="V1364" s="1"/>
      <c r="AB1364" s="1"/>
      <c r="AF1364" s="1"/>
      <c r="AJ1364" s="1"/>
      <c r="AN1364" s="1"/>
      <c r="AS1364" s="1"/>
      <c r="AX1364" s="1"/>
    </row>
    <row r="1365" spans="1:50" x14ac:dyDescent="0.3">
      <c r="A1365" s="19">
        <f t="shared" si="109"/>
        <v>47826</v>
      </c>
      <c r="B1365">
        <f t="shared" ca="1" si="105"/>
        <v>-4.6500000000000004</v>
      </c>
      <c r="C1365" t="str">
        <f ca="1">IF(currency="USD",'Future et co'!D1365,IF(currency="EUR",'Future et co'!E1365,IF(currency="GBP",'Future et co'!F1365,FALSE)))</f>
        <v>RFR USD</v>
      </c>
      <c r="D1365" t="str">
        <f t="shared" ca="1" si="106"/>
        <v>RFR USD</v>
      </c>
      <c r="E1365" t="str">
        <f t="shared" ca="1" si="107"/>
        <v>RFR EUR</v>
      </c>
      <c r="F1365" t="str">
        <f t="shared" ca="1" si="108"/>
        <v>RFR GBP</v>
      </c>
      <c r="J1365" s="1"/>
      <c r="N1365" s="1"/>
      <c r="R1365" s="1"/>
      <c r="V1365" s="1"/>
      <c r="AB1365" s="1"/>
      <c r="AF1365" s="1"/>
      <c r="AJ1365" s="1"/>
      <c r="AN1365" s="1"/>
      <c r="AS1365" s="1"/>
      <c r="AX1365" s="1"/>
    </row>
    <row r="1366" spans="1:50" x14ac:dyDescent="0.3">
      <c r="A1366" s="19">
        <f t="shared" si="109"/>
        <v>47827</v>
      </c>
      <c r="B1366">
        <f t="shared" ca="1" si="105"/>
        <v>-4.6527777777777777</v>
      </c>
      <c r="C1366" t="str">
        <f ca="1">IF(currency="USD",'Future et co'!D1366,IF(currency="EUR",'Future et co'!E1366,IF(currency="GBP",'Future et co'!F1366,FALSE)))</f>
        <v>RFR USD</v>
      </c>
      <c r="D1366" t="str">
        <f t="shared" ca="1" si="106"/>
        <v>RFR USD</v>
      </c>
      <c r="E1366" t="str">
        <f t="shared" ca="1" si="107"/>
        <v>RFR EUR</v>
      </c>
      <c r="F1366" t="str">
        <f t="shared" ca="1" si="108"/>
        <v>RFR GBP</v>
      </c>
      <c r="J1366" s="1"/>
      <c r="N1366" s="1"/>
      <c r="R1366" s="1"/>
      <c r="V1366" s="1"/>
      <c r="AB1366" s="1"/>
      <c r="AF1366" s="1"/>
      <c r="AJ1366" s="1"/>
      <c r="AN1366" s="1"/>
      <c r="AS1366" s="1"/>
      <c r="AX1366" s="1"/>
    </row>
    <row r="1367" spans="1:50" x14ac:dyDescent="0.3">
      <c r="A1367" s="19">
        <f t="shared" si="109"/>
        <v>47828</v>
      </c>
      <c r="B1367">
        <f t="shared" ca="1" si="105"/>
        <v>-4.6555555555555559</v>
      </c>
      <c r="C1367" t="str">
        <f ca="1">IF(currency="USD",'Future et co'!D1367,IF(currency="EUR",'Future et co'!E1367,IF(currency="GBP",'Future et co'!F1367,FALSE)))</f>
        <v>RFR USD</v>
      </c>
      <c r="D1367" t="str">
        <f t="shared" ca="1" si="106"/>
        <v>RFR USD</v>
      </c>
      <c r="E1367" t="str">
        <f t="shared" ca="1" si="107"/>
        <v>RFR EUR</v>
      </c>
      <c r="F1367" t="str">
        <f t="shared" ca="1" si="108"/>
        <v>RFR GBP</v>
      </c>
      <c r="J1367" s="1"/>
      <c r="N1367" s="1"/>
      <c r="R1367" s="1"/>
      <c r="V1367" s="1"/>
      <c r="AB1367" s="1"/>
      <c r="AF1367" s="1"/>
      <c r="AJ1367" s="1"/>
      <c r="AN1367" s="1"/>
      <c r="AS1367" s="1"/>
      <c r="AX1367" s="1"/>
    </row>
    <row r="1368" spans="1:50" x14ac:dyDescent="0.3">
      <c r="A1368" s="19">
        <f t="shared" si="109"/>
        <v>47829</v>
      </c>
      <c r="B1368">
        <f t="shared" ca="1" si="105"/>
        <v>-4.6583333333333332</v>
      </c>
      <c r="C1368" t="str">
        <f ca="1">IF(currency="USD",'Future et co'!D1368,IF(currency="EUR",'Future et co'!E1368,IF(currency="GBP",'Future et co'!F1368,FALSE)))</f>
        <v>RFR USD</v>
      </c>
      <c r="D1368" t="str">
        <f t="shared" ca="1" si="106"/>
        <v>RFR USD</v>
      </c>
      <c r="E1368" t="str">
        <f t="shared" ca="1" si="107"/>
        <v>RFR EUR</v>
      </c>
      <c r="F1368" t="str">
        <f t="shared" ca="1" si="108"/>
        <v>RFR GBP</v>
      </c>
      <c r="J1368" s="1"/>
      <c r="N1368" s="1"/>
      <c r="R1368" s="1"/>
      <c r="V1368" s="1"/>
      <c r="AB1368" s="1"/>
      <c r="AF1368" s="1"/>
      <c r="AJ1368" s="1"/>
      <c r="AN1368" s="1"/>
      <c r="AS1368" s="1"/>
      <c r="AX1368" s="1"/>
    </row>
    <row r="1369" spans="1:50" x14ac:dyDescent="0.3">
      <c r="A1369" s="19">
        <f t="shared" si="109"/>
        <v>47830</v>
      </c>
      <c r="B1369">
        <f t="shared" ca="1" si="105"/>
        <v>-4.6611111111111114</v>
      </c>
      <c r="C1369" t="str">
        <f ca="1">IF(currency="USD",'Future et co'!D1369,IF(currency="EUR",'Future et co'!E1369,IF(currency="GBP",'Future et co'!F1369,FALSE)))</f>
        <v>RFR USD</v>
      </c>
      <c r="D1369" t="str">
        <f t="shared" ca="1" si="106"/>
        <v>RFR USD</v>
      </c>
      <c r="E1369" t="str">
        <f t="shared" ca="1" si="107"/>
        <v>RFR EUR</v>
      </c>
      <c r="F1369" t="str">
        <f t="shared" ca="1" si="108"/>
        <v>RFR GBP</v>
      </c>
      <c r="J1369" s="1"/>
      <c r="N1369" s="1"/>
      <c r="R1369" s="1"/>
      <c r="V1369" s="1"/>
      <c r="AB1369" s="1"/>
      <c r="AF1369" s="1"/>
      <c r="AJ1369" s="1"/>
      <c r="AN1369" s="1"/>
      <c r="AS1369" s="1"/>
      <c r="AX1369" s="1"/>
    </row>
    <row r="1370" spans="1:50" x14ac:dyDescent="0.3">
      <c r="A1370" s="19">
        <f t="shared" si="109"/>
        <v>47833</v>
      </c>
      <c r="B1370">
        <f t="shared" ca="1" si="105"/>
        <v>-4.6694444444444443</v>
      </c>
      <c r="C1370" t="str">
        <f ca="1">IF(currency="USD",'Future et co'!D1370,IF(currency="EUR",'Future et co'!E1370,IF(currency="GBP",'Future et co'!F1370,FALSE)))</f>
        <v>RFR USD</v>
      </c>
      <c r="D1370" t="str">
        <f t="shared" ca="1" si="106"/>
        <v>RFR USD</v>
      </c>
      <c r="E1370" t="str">
        <f t="shared" ca="1" si="107"/>
        <v>RFR EUR</v>
      </c>
      <c r="F1370" t="str">
        <f t="shared" ca="1" si="108"/>
        <v>RFR GBP</v>
      </c>
      <c r="J1370" s="1"/>
      <c r="N1370" s="1"/>
      <c r="R1370" s="1"/>
      <c r="V1370" s="1"/>
      <c r="AB1370" s="1"/>
      <c r="AF1370" s="1"/>
      <c r="AJ1370" s="1"/>
      <c r="AN1370" s="1"/>
      <c r="AS1370" s="1"/>
      <c r="AX1370" s="1"/>
    </row>
    <row r="1371" spans="1:50" x14ac:dyDescent="0.3">
      <c r="A1371" s="19">
        <f t="shared" si="109"/>
        <v>47834</v>
      </c>
      <c r="B1371">
        <f t="shared" ca="1" si="105"/>
        <v>-4.6722222222222225</v>
      </c>
      <c r="C1371" t="str">
        <f ca="1">IF(currency="USD",'Future et co'!D1371,IF(currency="EUR",'Future et co'!E1371,IF(currency="GBP",'Future et co'!F1371,FALSE)))</f>
        <v>RFR USD</v>
      </c>
      <c r="D1371" t="str">
        <f t="shared" ca="1" si="106"/>
        <v>RFR USD</v>
      </c>
      <c r="E1371" t="str">
        <f t="shared" ca="1" si="107"/>
        <v>RFR EUR</v>
      </c>
      <c r="F1371" t="str">
        <f t="shared" ca="1" si="108"/>
        <v>RFR GBP</v>
      </c>
      <c r="J1371" s="1"/>
      <c r="N1371" s="1"/>
      <c r="R1371" s="1"/>
      <c r="V1371" s="1"/>
      <c r="AB1371" s="1"/>
      <c r="AF1371" s="1"/>
      <c r="AJ1371" s="1"/>
      <c r="AN1371" s="1"/>
      <c r="AS1371" s="1"/>
      <c r="AX1371" s="1"/>
    </row>
    <row r="1372" spans="1:50" x14ac:dyDescent="0.3">
      <c r="A1372" s="19">
        <f t="shared" si="109"/>
        <v>47835</v>
      </c>
      <c r="B1372">
        <f t="shared" ca="1" si="105"/>
        <v>-4.6749999999999998</v>
      </c>
      <c r="C1372" t="str">
        <f ca="1">IF(currency="USD",'Future et co'!D1372,IF(currency="EUR",'Future et co'!E1372,IF(currency="GBP",'Future et co'!F1372,FALSE)))</f>
        <v>RFR USD</v>
      </c>
      <c r="D1372" t="str">
        <f t="shared" ca="1" si="106"/>
        <v>RFR USD</v>
      </c>
      <c r="E1372" t="str">
        <f t="shared" ca="1" si="107"/>
        <v>RFR EUR</v>
      </c>
      <c r="F1372" t="str">
        <f t="shared" ca="1" si="108"/>
        <v>RFR GBP</v>
      </c>
      <c r="J1372" s="1"/>
      <c r="N1372" s="1"/>
      <c r="R1372" s="1"/>
      <c r="V1372" s="1"/>
      <c r="AB1372" s="1"/>
      <c r="AF1372" s="1"/>
      <c r="AJ1372" s="1"/>
      <c r="AN1372" s="1"/>
      <c r="AS1372" s="1"/>
      <c r="AX1372" s="1"/>
    </row>
    <row r="1373" spans="1:50" x14ac:dyDescent="0.3">
      <c r="A1373" s="19">
        <f t="shared" si="109"/>
        <v>47836</v>
      </c>
      <c r="B1373">
        <f t="shared" ca="1" si="105"/>
        <v>-4.677777777777778</v>
      </c>
      <c r="C1373" t="str">
        <f ca="1">IF(currency="USD",'Future et co'!D1373,IF(currency="EUR",'Future et co'!E1373,IF(currency="GBP",'Future et co'!F1373,FALSE)))</f>
        <v>RFR USD</v>
      </c>
      <c r="D1373" t="str">
        <f t="shared" ca="1" si="106"/>
        <v>RFR USD</v>
      </c>
      <c r="E1373" t="str">
        <f t="shared" ca="1" si="107"/>
        <v>RFR EUR</v>
      </c>
      <c r="F1373" t="str">
        <f t="shared" ca="1" si="108"/>
        <v>RFR GBP</v>
      </c>
      <c r="J1373" s="1"/>
      <c r="N1373" s="1"/>
      <c r="R1373" s="1"/>
      <c r="V1373" s="1"/>
      <c r="AB1373" s="1"/>
      <c r="AF1373" s="1"/>
      <c r="AJ1373" s="1"/>
      <c r="AN1373" s="1"/>
      <c r="AS1373" s="1"/>
      <c r="AX1373" s="1"/>
    </row>
    <row r="1374" spans="1:50" x14ac:dyDescent="0.3">
      <c r="A1374" s="19">
        <f t="shared" si="109"/>
        <v>47837</v>
      </c>
      <c r="B1374">
        <f t="shared" ca="1" si="105"/>
        <v>-4.6805555555555554</v>
      </c>
      <c r="C1374" t="str">
        <f ca="1">IF(currency="USD",'Future et co'!D1374,IF(currency="EUR",'Future et co'!E1374,IF(currency="GBP",'Future et co'!F1374,FALSE)))</f>
        <v>RFR USD</v>
      </c>
      <c r="D1374" t="str">
        <f t="shared" ca="1" si="106"/>
        <v>RFR USD</v>
      </c>
      <c r="E1374" t="str">
        <f t="shared" ca="1" si="107"/>
        <v>RFR EUR</v>
      </c>
      <c r="F1374" t="str">
        <f t="shared" ca="1" si="108"/>
        <v>RFR GBP</v>
      </c>
      <c r="J1374" s="1"/>
      <c r="N1374" s="1"/>
      <c r="R1374" s="1"/>
      <c r="V1374" s="1"/>
      <c r="AB1374" s="1"/>
      <c r="AF1374" s="1"/>
      <c r="AJ1374" s="1"/>
      <c r="AN1374" s="1"/>
      <c r="AS1374" s="1"/>
      <c r="AX1374" s="1"/>
    </row>
    <row r="1375" spans="1:50" x14ac:dyDescent="0.3">
      <c r="A1375" s="19">
        <f t="shared" si="109"/>
        <v>47840</v>
      </c>
      <c r="B1375">
        <f t="shared" ca="1" si="105"/>
        <v>-4.6888888888888891</v>
      </c>
      <c r="C1375" t="str">
        <f ca="1">IF(currency="USD",'Future et co'!D1375,IF(currency="EUR",'Future et co'!E1375,IF(currency="GBP",'Future et co'!F1375,FALSE)))</f>
        <v>RFR USD</v>
      </c>
      <c r="D1375" t="str">
        <f t="shared" ca="1" si="106"/>
        <v>RFR USD</v>
      </c>
      <c r="E1375" t="str">
        <f t="shared" ca="1" si="107"/>
        <v>RFR EUR</v>
      </c>
      <c r="F1375" t="str">
        <f t="shared" ca="1" si="108"/>
        <v>RFR GBP</v>
      </c>
      <c r="J1375" s="1"/>
      <c r="N1375" s="1"/>
      <c r="R1375" s="1"/>
      <c r="V1375" s="1"/>
      <c r="AB1375" s="1"/>
      <c r="AF1375" s="1"/>
      <c r="AJ1375" s="1"/>
      <c r="AN1375" s="1"/>
      <c r="AS1375" s="1"/>
      <c r="AX1375" s="1"/>
    </row>
    <row r="1376" spans="1:50" x14ac:dyDescent="0.3">
      <c r="A1376" s="19">
        <f t="shared" si="109"/>
        <v>47841</v>
      </c>
      <c r="B1376">
        <f t="shared" ca="1" si="105"/>
        <v>-4.6916666666666664</v>
      </c>
      <c r="C1376" t="str">
        <f ca="1">IF(currency="USD",'Future et co'!D1376,IF(currency="EUR",'Future et co'!E1376,IF(currency="GBP",'Future et co'!F1376,FALSE)))</f>
        <v>RFR USD</v>
      </c>
      <c r="D1376" t="str">
        <f t="shared" ca="1" si="106"/>
        <v>RFR USD</v>
      </c>
      <c r="E1376" t="str">
        <f t="shared" ca="1" si="107"/>
        <v>RFR EUR</v>
      </c>
      <c r="F1376" t="str">
        <f t="shared" ca="1" si="108"/>
        <v>RFR GBP</v>
      </c>
      <c r="J1376" s="1"/>
      <c r="N1376" s="1"/>
      <c r="R1376" s="1"/>
      <c r="V1376" s="1"/>
      <c r="AB1376" s="1"/>
      <c r="AF1376" s="1"/>
      <c r="AJ1376" s="1"/>
      <c r="AN1376" s="1"/>
      <c r="AS1376" s="1"/>
      <c r="AX1376" s="1"/>
    </row>
    <row r="1377" spans="1:50" x14ac:dyDescent="0.3">
      <c r="A1377" s="19">
        <f t="shared" si="109"/>
        <v>47842</v>
      </c>
      <c r="B1377">
        <f t="shared" ca="1" si="105"/>
        <v>-4.6944444444444446</v>
      </c>
      <c r="C1377" t="str">
        <f ca="1">IF(currency="USD",'Future et co'!D1377,IF(currency="EUR",'Future et co'!E1377,IF(currency="GBP",'Future et co'!F1377,FALSE)))</f>
        <v>RFR USD</v>
      </c>
      <c r="D1377" t="str">
        <f t="shared" ca="1" si="106"/>
        <v>RFR USD</v>
      </c>
      <c r="E1377" t="str">
        <f t="shared" ca="1" si="107"/>
        <v>RFR EUR</v>
      </c>
      <c r="F1377" t="str">
        <f t="shared" ca="1" si="108"/>
        <v>RFR GBP</v>
      </c>
      <c r="J1377" s="1"/>
      <c r="N1377" s="1"/>
      <c r="R1377" s="1"/>
      <c r="V1377" s="1"/>
      <c r="AB1377" s="1"/>
      <c r="AF1377" s="1"/>
      <c r="AJ1377" s="1"/>
      <c r="AN1377" s="1"/>
      <c r="AS1377" s="1"/>
      <c r="AX1377" s="1"/>
    </row>
    <row r="1378" spans="1:50" x14ac:dyDescent="0.3">
      <c r="A1378" s="19">
        <f t="shared" si="109"/>
        <v>47843</v>
      </c>
      <c r="B1378">
        <f t="shared" ca="1" si="105"/>
        <v>-4.697222222222222</v>
      </c>
      <c r="C1378" t="str">
        <f ca="1">IF(currency="USD",'Future et co'!D1378,IF(currency="EUR",'Future et co'!E1378,IF(currency="GBP",'Future et co'!F1378,FALSE)))</f>
        <v>RFR USD</v>
      </c>
      <c r="D1378" t="str">
        <f t="shared" ca="1" si="106"/>
        <v>RFR USD</v>
      </c>
      <c r="E1378" t="str">
        <f t="shared" ca="1" si="107"/>
        <v>RFR EUR</v>
      </c>
      <c r="F1378" t="str">
        <f t="shared" ca="1" si="108"/>
        <v>RFR GBP</v>
      </c>
      <c r="J1378" s="1"/>
      <c r="N1378" s="1"/>
      <c r="R1378" s="1"/>
      <c r="V1378" s="1"/>
      <c r="AB1378" s="1"/>
      <c r="AF1378" s="1"/>
      <c r="AJ1378" s="1"/>
      <c r="AN1378" s="1"/>
      <c r="AS1378" s="1"/>
      <c r="AX1378" s="1"/>
    </row>
    <row r="1379" spans="1:50" x14ac:dyDescent="0.3">
      <c r="A1379" s="19">
        <f t="shared" si="109"/>
        <v>47844</v>
      </c>
      <c r="B1379">
        <f t="shared" ca="1" si="105"/>
        <v>-4.7</v>
      </c>
      <c r="C1379" t="str">
        <f ca="1">IF(currency="USD",'Future et co'!D1379,IF(currency="EUR",'Future et co'!E1379,IF(currency="GBP",'Future et co'!F1379,FALSE)))</f>
        <v>RFR USD</v>
      </c>
      <c r="D1379" t="str">
        <f t="shared" ca="1" si="106"/>
        <v>RFR USD</v>
      </c>
      <c r="E1379" t="str">
        <f t="shared" ca="1" si="107"/>
        <v>RFR EUR</v>
      </c>
      <c r="F1379" t="str">
        <f t="shared" ca="1" si="108"/>
        <v>RFR GBP</v>
      </c>
      <c r="J1379" s="1"/>
      <c r="N1379" s="1"/>
      <c r="R1379" s="1"/>
      <c r="V1379" s="1"/>
      <c r="AB1379" s="1"/>
      <c r="AF1379" s="1"/>
      <c r="AJ1379" s="1"/>
      <c r="AN1379" s="1"/>
      <c r="AS1379" s="1"/>
      <c r="AX1379" s="1"/>
    </row>
    <row r="1380" spans="1:50" x14ac:dyDescent="0.3">
      <c r="A1380" s="19">
        <f t="shared" si="109"/>
        <v>47847</v>
      </c>
      <c r="B1380">
        <f t="shared" ca="1" si="105"/>
        <v>-4.708333333333333</v>
      </c>
      <c r="C1380" t="str">
        <f ca="1">IF(currency="USD",'Future et co'!D1380,IF(currency="EUR",'Future et co'!E1380,IF(currency="GBP",'Future et co'!F1380,FALSE)))</f>
        <v>RFR USD</v>
      </c>
      <c r="D1380" t="str">
        <f t="shared" ca="1" si="106"/>
        <v>RFR USD</v>
      </c>
      <c r="E1380" t="str">
        <f t="shared" ca="1" si="107"/>
        <v>RFR EUR</v>
      </c>
      <c r="F1380" t="str">
        <f t="shared" ca="1" si="108"/>
        <v>RFR GBP</v>
      </c>
      <c r="J1380" s="1"/>
      <c r="N1380" s="1"/>
      <c r="R1380" s="1"/>
      <c r="V1380" s="1"/>
      <c r="AB1380" s="1"/>
      <c r="AF1380" s="1"/>
      <c r="AJ1380" s="1"/>
      <c r="AN1380" s="1"/>
      <c r="AS1380" s="1"/>
      <c r="AX1380" s="1"/>
    </row>
    <row r="1381" spans="1:50" x14ac:dyDescent="0.3">
      <c r="A1381" s="19">
        <f t="shared" si="109"/>
        <v>47848</v>
      </c>
      <c r="B1381">
        <f t="shared" ca="1" si="105"/>
        <v>-4.7111111111111112</v>
      </c>
      <c r="C1381" t="str">
        <f ca="1">IF(currency="USD",'Future et co'!D1381,IF(currency="EUR",'Future et co'!E1381,IF(currency="GBP",'Future et co'!F1381,FALSE)))</f>
        <v>RFR USD</v>
      </c>
      <c r="D1381" t="str">
        <f t="shared" ca="1" si="106"/>
        <v>RFR USD</v>
      </c>
      <c r="E1381" t="str">
        <f t="shared" ca="1" si="107"/>
        <v>RFR EUR</v>
      </c>
      <c r="F1381" t="str">
        <f t="shared" ca="1" si="108"/>
        <v>RFR GBP</v>
      </c>
      <c r="J1381" s="1"/>
      <c r="N1381" s="1"/>
      <c r="R1381" s="1"/>
      <c r="V1381" s="1"/>
      <c r="AB1381" s="1"/>
      <c r="AF1381" s="1"/>
      <c r="AJ1381" s="1"/>
      <c r="AN1381" s="1"/>
      <c r="AS1381" s="1"/>
      <c r="AX1381" s="1"/>
    </row>
    <row r="1382" spans="1:50" x14ac:dyDescent="0.3">
      <c r="A1382" s="19">
        <f t="shared" si="109"/>
        <v>47849</v>
      </c>
      <c r="B1382">
        <f t="shared" ca="1" si="105"/>
        <v>-4.7138888888888886</v>
      </c>
      <c r="C1382" t="str">
        <f ca="1">IF(currency="USD",'Future et co'!D1382,IF(currency="EUR",'Future et co'!E1382,IF(currency="GBP",'Future et co'!F1382,FALSE)))</f>
        <v>RFR USD</v>
      </c>
      <c r="D1382" t="str">
        <f t="shared" ca="1" si="106"/>
        <v>RFR USD</v>
      </c>
      <c r="E1382" t="str">
        <f t="shared" ca="1" si="107"/>
        <v>RFR EUR</v>
      </c>
      <c r="F1382" t="str">
        <f t="shared" ca="1" si="108"/>
        <v>RFR GBP</v>
      </c>
      <c r="J1382" s="1"/>
      <c r="N1382" s="1"/>
      <c r="R1382" s="1"/>
      <c r="V1382" s="1"/>
      <c r="AB1382" s="1"/>
      <c r="AF1382" s="1"/>
      <c r="AJ1382" s="1"/>
      <c r="AN1382" s="1"/>
      <c r="AS1382" s="1"/>
      <c r="AX1382" s="1"/>
    </row>
    <row r="1383" spans="1:50" x14ac:dyDescent="0.3">
      <c r="A1383" s="19">
        <f t="shared" si="109"/>
        <v>47850</v>
      </c>
      <c r="B1383">
        <f t="shared" ca="1" si="105"/>
        <v>-4.7166666666666668</v>
      </c>
      <c r="C1383" t="str">
        <f ca="1">IF(currency="USD",'Future et co'!D1383,IF(currency="EUR",'Future et co'!E1383,IF(currency="GBP",'Future et co'!F1383,FALSE)))</f>
        <v>RFR USD</v>
      </c>
      <c r="D1383" t="str">
        <f t="shared" ca="1" si="106"/>
        <v>RFR USD</v>
      </c>
      <c r="E1383" t="str">
        <f t="shared" ca="1" si="107"/>
        <v>RFR EUR</v>
      </c>
      <c r="F1383" t="str">
        <f t="shared" ca="1" si="108"/>
        <v>RFR GBP</v>
      </c>
      <c r="J1383" s="1"/>
      <c r="N1383" s="1"/>
      <c r="R1383" s="1"/>
      <c r="V1383" s="1"/>
      <c r="AB1383" s="1"/>
      <c r="AF1383" s="1"/>
      <c r="AJ1383" s="1"/>
      <c r="AN1383" s="1"/>
      <c r="AS1383" s="1"/>
      <c r="AX1383" s="1"/>
    </row>
    <row r="1384" spans="1:50" x14ac:dyDescent="0.3">
      <c r="A1384" s="19">
        <f t="shared" si="109"/>
        <v>47851</v>
      </c>
      <c r="B1384">
        <f t="shared" ca="1" si="105"/>
        <v>-4.7194444444444441</v>
      </c>
      <c r="C1384" t="str">
        <f ca="1">IF(currency="USD",'Future et co'!D1384,IF(currency="EUR",'Future et co'!E1384,IF(currency="GBP",'Future et co'!F1384,FALSE)))</f>
        <v>RFR USD</v>
      </c>
      <c r="D1384" t="str">
        <f t="shared" ca="1" si="106"/>
        <v>RFR USD</v>
      </c>
      <c r="E1384" t="str">
        <f t="shared" ca="1" si="107"/>
        <v>RFR EUR</v>
      </c>
      <c r="F1384" t="str">
        <f t="shared" ca="1" si="108"/>
        <v>RFR GBP</v>
      </c>
      <c r="J1384" s="1"/>
      <c r="N1384" s="1"/>
      <c r="R1384" s="1"/>
      <c r="V1384" s="1"/>
      <c r="AB1384" s="1"/>
      <c r="AF1384" s="1"/>
      <c r="AJ1384" s="1"/>
      <c r="AN1384" s="1"/>
      <c r="AS1384" s="1"/>
      <c r="AX1384" s="1"/>
    </row>
    <row r="1385" spans="1:50" x14ac:dyDescent="0.3">
      <c r="A1385" s="19">
        <f t="shared" si="109"/>
        <v>47854</v>
      </c>
      <c r="B1385">
        <f t="shared" ca="1" si="105"/>
        <v>-4.7277777777777779</v>
      </c>
      <c r="C1385" t="str">
        <f ca="1">IF(currency="USD",'Future et co'!D1385,IF(currency="EUR",'Future et co'!E1385,IF(currency="GBP",'Future et co'!F1385,FALSE)))</f>
        <v>RFR USD</v>
      </c>
      <c r="D1385" t="str">
        <f t="shared" ca="1" si="106"/>
        <v>RFR USD</v>
      </c>
      <c r="E1385" t="str">
        <f t="shared" ca="1" si="107"/>
        <v>RFR EUR</v>
      </c>
      <c r="F1385" t="str">
        <f t="shared" ca="1" si="108"/>
        <v>RFR GBP</v>
      </c>
      <c r="J1385" s="1"/>
      <c r="N1385" s="1"/>
      <c r="R1385" s="1"/>
      <c r="V1385" s="1"/>
      <c r="AB1385" s="1"/>
      <c r="AF1385" s="1"/>
      <c r="AJ1385" s="1"/>
      <c r="AN1385" s="1"/>
      <c r="AS1385" s="1"/>
      <c r="AX1385" s="1"/>
    </row>
    <row r="1386" spans="1:50" x14ac:dyDescent="0.3">
      <c r="A1386" s="19">
        <f t="shared" si="109"/>
        <v>47855</v>
      </c>
      <c r="B1386">
        <f t="shared" ca="1" si="105"/>
        <v>-4.7305555555555552</v>
      </c>
      <c r="C1386" t="str">
        <f ca="1">IF(currency="USD",'Future et co'!D1386,IF(currency="EUR",'Future et co'!E1386,IF(currency="GBP",'Future et co'!F1386,FALSE)))</f>
        <v>RFR USD</v>
      </c>
      <c r="D1386" t="str">
        <f t="shared" ca="1" si="106"/>
        <v>RFR USD</v>
      </c>
      <c r="E1386" t="str">
        <f t="shared" ca="1" si="107"/>
        <v>RFR EUR</v>
      </c>
      <c r="F1386" t="str">
        <f t="shared" ca="1" si="108"/>
        <v>RFR GBP</v>
      </c>
      <c r="J1386" s="1"/>
      <c r="N1386" s="1"/>
      <c r="R1386" s="1"/>
      <c r="V1386" s="1"/>
      <c r="AB1386" s="1"/>
      <c r="AF1386" s="1"/>
      <c r="AJ1386" s="1"/>
      <c r="AN1386" s="1"/>
      <c r="AS1386" s="1"/>
      <c r="AX1386" s="1"/>
    </row>
    <row r="1387" spans="1:50" x14ac:dyDescent="0.3">
      <c r="A1387" s="19">
        <f t="shared" si="109"/>
        <v>47856</v>
      </c>
      <c r="B1387">
        <f t="shared" ca="1" si="105"/>
        <v>-4.7333333333333334</v>
      </c>
      <c r="C1387" t="str">
        <f ca="1">IF(currency="USD",'Future et co'!D1387,IF(currency="EUR",'Future et co'!E1387,IF(currency="GBP",'Future et co'!F1387,FALSE)))</f>
        <v>RFR USD</v>
      </c>
      <c r="D1387" t="str">
        <f t="shared" ca="1" si="106"/>
        <v>RFR USD</v>
      </c>
      <c r="E1387" t="str">
        <f t="shared" ca="1" si="107"/>
        <v>RFR EUR</v>
      </c>
      <c r="F1387" t="str">
        <f t="shared" ca="1" si="108"/>
        <v>RFR GBP</v>
      </c>
      <c r="J1387" s="1"/>
      <c r="N1387" s="1"/>
      <c r="R1387" s="1"/>
      <c r="V1387" s="1"/>
      <c r="AB1387" s="1"/>
      <c r="AF1387" s="1"/>
      <c r="AJ1387" s="1"/>
      <c r="AN1387" s="1"/>
      <c r="AS1387" s="1"/>
      <c r="AX1387" s="1"/>
    </row>
    <row r="1388" spans="1:50" x14ac:dyDescent="0.3">
      <c r="A1388" s="19">
        <f t="shared" si="109"/>
        <v>47857</v>
      </c>
      <c r="B1388">
        <f t="shared" ca="1" si="105"/>
        <v>-4.7361111111111107</v>
      </c>
      <c r="C1388" t="str">
        <f ca="1">IF(currency="USD",'Future et co'!D1388,IF(currency="EUR",'Future et co'!E1388,IF(currency="GBP",'Future et co'!F1388,FALSE)))</f>
        <v>RFR USD</v>
      </c>
      <c r="D1388" t="str">
        <f t="shared" ca="1" si="106"/>
        <v>RFR USD</v>
      </c>
      <c r="E1388" t="str">
        <f t="shared" ca="1" si="107"/>
        <v>RFR EUR</v>
      </c>
      <c r="F1388" t="str">
        <f t="shared" ca="1" si="108"/>
        <v>RFR GBP</v>
      </c>
      <c r="J1388" s="1"/>
      <c r="N1388" s="1"/>
      <c r="R1388" s="1"/>
      <c r="V1388" s="1"/>
      <c r="AB1388" s="1"/>
      <c r="AF1388" s="1"/>
      <c r="AJ1388" s="1"/>
      <c r="AN1388" s="1"/>
      <c r="AS1388" s="1"/>
      <c r="AX1388" s="1"/>
    </row>
    <row r="1389" spans="1:50" x14ac:dyDescent="0.3">
      <c r="A1389" s="19">
        <f t="shared" si="109"/>
        <v>47858</v>
      </c>
      <c r="B1389">
        <f t="shared" ca="1" si="105"/>
        <v>-4.7388888888888889</v>
      </c>
      <c r="C1389" t="str">
        <f ca="1">IF(currency="USD",'Future et co'!D1389,IF(currency="EUR",'Future et co'!E1389,IF(currency="GBP",'Future et co'!F1389,FALSE)))</f>
        <v>RFR USD</v>
      </c>
      <c r="D1389" t="str">
        <f t="shared" ca="1" si="106"/>
        <v>RFR USD</v>
      </c>
      <c r="E1389" t="str">
        <f t="shared" ca="1" si="107"/>
        <v>RFR EUR</v>
      </c>
      <c r="F1389" t="str">
        <f t="shared" ca="1" si="108"/>
        <v>RFR GBP</v>
      </c>
      <c r="J1389" s="1"/>
      <c r="N1389" s="1"/>
      <c r="R1389" s="1"/>
      <c r="V1389" s="1"/>
      <c r="AB1389" s="1"/>
      <c r="AF1389" s="1"/>
      <c r="AJ1389" s="1"/>
      <c r="AN1389" s="1"/>
      <c r="AS1389" s="1"/>
      <c r="AX1389" s="1"/>
    </row>
    <row r="1390" spans="1:50" x14ac:dyDescent="0.3">
      <c r="A1390" s="19">
        <f t="shared" si="109"/>
        <v>47861</v>
      </c>
      <c r="B1390">
        <f t="shared" ca="1" si="105"/>
        <v>-4.7472222222222218</v>
      </c>
      <c r="C1390" t="str">
        <f ca="1">IF(currency="USD",'Future et co'!D1390,IF(currency="EUR",'Future et co'!E1390,IF(currency="GBP",'Future et co'!F1390,FALSE)))</f>
        <v>RFR USD</v>
      </c>
      <c r="D1390" t="str">
        <f t="shared" ca="1" si="106"/>
        <v>RFR USD</v>
      </c>
      <c r="E1390" t="str">
        <f t="shared" ca="1" si="107"/>
        <v>RFR EUR</v>
      </c>
      <c r="F1390" t="str">
        <f t="shared" ca="1" si="108"/>
        <v>RFR GBP</v>
      </c>
      <c r="J1390" s="1"/>
      <c r="N1390" s="1"/>
      <c r="R1390" s="1"/>
      <c r="V1390" s="1"/>
      <c r="AB1390" s="1"/>
      <c r="AF1390" s="1"/>
      <c r="AJ1390" s="1"/>
      <c r="AN1390" s="1"/>
      <c r="AS1390" s="1"/>
      <c r="AX1390" s="1"/>
    </row>
    <row r="1391" spans="1:50" x14ac:dyDescent="0.3">
      <c r="A1391" s="19">
        <f t="shared" si="109"/>
        <v>47862</v>
      </c>
      <c r="B1391">
        <f t="shared" ca="1" si="105"/>
        <v>-4.75</v>
      </c>
      <c r="C1391" t="str">
        <f ca="1">IF(currency="USD",'Future et co'!D1391,IF(currency="EUR",'Future et co'!E1391,IF(currency="GBP",'Future et co'!F1391,FALSE)))</f>
        <v>RFR USD</v>
      </c>
      <c r="D1391" t="str">
        <f t="shared" ca="1" si="106"/>
        <v>RFR USD</v>
      </c>
      <c r="E1391" t="str">
        <f t="shared" ca="1" si="107"/>
        <v>RFR EUR</v>
      </c>
      <c r="F1391" t="str">
        <f t="shared" ca="1" si="108"/>
        <v>RFR GBP</v>
      </c>
      <c r="J1391" s="1"/>
      <c r="N1391" s="1"/>
      <c r="R1391" s="1"/>
      <c r="V1391" s="1"/>
      <c r="AB1391" s="1"/>
      <c r="AF1391" s="1"/>
      <c r="AJ1391" s="1"/>
      <c r="AN1391" s="1"/>
      <c r="AS1391" s="1"/>
      <c r="AX1391" s="1"/>
    </row>
    <row r="1392" spans="1:50" x14ac:dyDescent="0.3">
      <c r="A1392" s="19">
        <f t="shared" si="109"/>
        <v>47863</v>
      </c>
      <c r="B1392">
        <f t="shared" ca="1" si="105"/>
        <v>-4.7527777777777782</v>
      </c>
      <c r="C1392" t="str">
        <f ca="1">IF(currency="USD",'Future et co'!D1392,IF(currency="EUR",'Future et co'!E1392,IF(currency="GBP",'Future et co'!F1392,FALSE)))</f>
        <v>RFR USD</v>
      </c>
      <c r="D1392" t="str">
        <f t="shared" ca="1" si="106"/>
        <v>RFR USD</v>
      </c>
      <c r="E1392" t="str">
        <f t="shared" ca="1" si="107"/>
        <v>RFR EUR</v>
      </c>
      <c r="F1392" t="str">
        <f t="shared" ca="1" si="108"/>
        <v>RFR GBP</v>
      </c>
      <c r="J1392" s="1"/>
      <c r="N1392" s="1"/>
      <c r="R1392" s="1"/>
      <c r="V1392" s="1"/>
      <c r="AB1392" s="1"/>
      <c r="AF1392" s="1"/>
      <c r="AJ1392" s="1"/>
      <c r="AN1392" s="1"/>
      <c r="AS1392" s="1"/>
      <c r="AX1392" s="1"/>
    </row>
    <row r="1393" spans="1:50" x14ac:dyDescent="0.3">
      <c r="A1393" s="19">
        <f t="shared" si="109"/>
        <v>47864</v>
      </c>
      <c r="B1393">
        <f t="shared" ca="1" si="105"/>
        <v>-4.7555555555555555</v>
      </c>
      <c r="C1393" t="str">
        <f ca="1">IF(currency="USD",'Future et co'!D1393,IF(currency="EUR",'Future et co'!E1393,IF(currency="GBP",'Future et co'!F1393,FALSE)))</f>
        <v>RFR USD</v>
      </c>
      <c r="D1393" t="str">
        <f t="shared" ca="1" si="106"/>
        <v>RFR USD</v>
      </c>
      <c r="E1393" t="str">
        <f t="shared" ca="1" si="107"/>
        <v>RFR EUR</v>
      </c>
      <c r="F1393" t="str">
        <f t="shared" ca="1" si="108"/>
        <v>RFR GBP</v>
      </c>
      <c r="J1393" s="1"/>
      <c r="N1393" s="1"/>
      <c r="R1393" s="1"/>
      <c r="V1393" s="1"/>
      <c r="AB1393" s="1"/>
      <c r="AF1393" s="1"/>
      <c r="AJ1393" s="1"/>
      <c r="AN1393" s="1"/>
      <c r="AS1393" s="1"/>
      <c r="AX1393" s="1"/>
    </row>
    <row r="1394" spans="1:50" x14ac:dyDescent="0.3">
      <c r="A1394" s="19">
        <f t="shared" si="109"/>
        <v>47865</v>
      </c>
      <c r="B1394">
        <f t="shared" ca="1" si="105"/>
        <v>-4.7583333333333337</v>
      </c>
      <c r="C1394" t="str">
        <f ca="1">IF(currency="USD",'Future et co'!D1394,IF(currency="EUR",'Future et co'!E1394,IF(currency="GBP",'Future et co'!F1394,FALSE)))</f>
        <v>RFR USD</v>
      </c>
      <c r="D1394" t="str">
        <f t="shared" ca="1" si="106"/>
        <v>RFR USD</v>
      </c>
      <c r="E1394" t="str">
        <f t="shared" ca="1" si="107"/>
        <v>RFR EUR</v>
      </c>
      <c r="F1394" t="str">
        <f t="shared" ca="1" si="108"/>
        <v>RFR GBP</v>
      </c>
      <c r="J1394" s="1"/>
      <c r="N1394" s="1"/>
      <c r="R1394" s="1"/>
      <c r="V1394" s="1"/>
      <c r="AB1394" s="1"/>
      <c r="AF1394" s="1"/>
      <c r="AJ1394" s="1"/>
      <c r="AN1394" s="1"/>
      <c r="AS1394" s="1"/>
      <c r="AX1394" s="1"/>
    </row>
    <row r="1395" spans="1:50" x14ac:dyDescent="0.3">
      <c r="A1395" s="19">
        <f t="shared" si="109"/>
        <v>47868</v>
      </c>
      <c r="B1395">
        <f t="shared" ca="1" si="105"/>
        <v>-4.7666666666666666</v>
      </c>
      <c r="C1395" t="str">
        <f ca="1">IF(currency="USD",'Future et co'!D1395,IF(currency="EUR",'Future et co'!E1395,IF(currency="GBP",'Future et co'!F1395,FALSE)))</f>
        <v>RFR USD</v>
      </c>
      <c r="D1395" t="str">
        <f t="shared" ca="1" si="106"/>
        <v>RFR USD</v>
      </c>
      <c r="E1395" t="str">
        <f t="shared" ca="1" si="107"/>
        <v>RFR EUR</v>
      </c>
      <c r="F1395" t="str">
        <f t="shared" ca="1" si="108"/>
        <v>RFR GBP</v>
      </c>
      <c r="J1395" s="1"/>
      <c r="N1395" s="1"/>
      <c r="R1395" s="1"/>
      <c r="V1395" s="1"/>
      <c r="AB1395" s="1"/>
      <c r="AF1395" s="1"/>
      <c r="AJ1395" s="1"/>
      <c r="AN1395" s="1"/>
      <c r="AS1395" s="1"/>
      <c r="AX1395" s="1"/>
    </row>
    <row r="1396" spans="1:50" x14ac:dyDescent="0.3">
      <c r="A1396" s="19">
        <f t="shared" si="109"/>
        <v>47869</v>
      </c>
      <c r="B1396">
        <f t="shared" ca="1" si="105"/>
        <v>-4.7694444444444448</v>
      </c>
      <c r="C1396" t="str">
        <f ca="1">IF(currency="USD",'Future et co'!D1396,IF(currency="EUR",'Future et co'!E1396,IF(currency="GBP",'Future et co'!F1396,FALSE)))</f>
        <v>RFR USD</v>
      </c>
      <c r="D1396" t="str">
        <f t="shared" ca="1" si="106"/>
        <v>RFR USD</v>
      </c>
      <c r="E1396" t="str">
        <f t="shared" ca="1" si="107"/>
        <v>RFR EUR</v>
      </c>
      <c r="F1396" t="str">
        <f t="shared" ca="1" si="108"/>
        <v>RFR GBP</v>
      </c>
      <c r="J1396" s="1"/>
      <c r="N1396" s="1"/>
      <c r="R1396" s="1"/>
      <c r="V1396" s="1"/>
      <c r="AB1396" s="1"/>
      <c r="AF1396" s="1"/>
      <c r="AJ1396" s="1"/>
      <c r="AN1396" s="1"/>
      <c r="AS1396" s="1"/>
      <c r="AX1396" s="1"/>
    </row>
    <row r="1397" spans="1:50" x14ac:dyDescent="0.3">
      <c r="A1397" s="19">
        <f t="shared" si="109"/>
        <v>47870</v>
      </c>
      <c r="B1397">
        <f t="shared" ca="1" si="105"/>
        <v>-4.7722222222222221</v>
      </c>
      <c r="C1397" t="str">
        <f ca="1">IF(currency="USD",'Future et co'!D1397,IF(currency="EUR",'Future et co'!E1397,IF(currency="GBP",'Future et co'!F1397,FALSE)))</f>
        <v>RFR USD</v>
      </c>
      <c r="D1397" t="str">
        <f t="shared" ca="1" si="106"/>
        <v>RFR USD</v>
      </c>
      <c r="E1397" t="str">
        <f t="shared" ca="1" si="107"/>
        <v>RFR EUR</v>
      </c>
      <c r="F1397" t="str">
        <f t="shared" ca="1" si="108"/>
        <v>RFR GBP</v>
      </c>
      <c r="J1397" s="1"/>
      <c r="N1397" s="1"/>
      <c r="R1397" s="1"/>
      <c r="V1397" s="1"/>
      <c r="AB1397" s="1"/>
      <c r="AF1397" s="1"/>
      <c r="AJ1397" s="1"/>
      <c r="AN1397" s="1"/>
      <c r="AS1397" s="1"/>
      <c r="AX1397" s="1"/>
    </row>
    <row r="1398" spans="1:50" x14ac:dyDescent="0.3">
      <c r="A1398" s="19">
        <f t="shared" si="109"/>
        <v>47871</v>
      </c>
      <c r="B1398">
        <f t="shared" ca="1" si="105"/>
        <v>-4.7750000000000004</v>
      </c>
      <c r="C1398" t="str">
        <f ca="1">IF(currency="USD",'Future et co'!D1398,IF(currency="EUR",'Future et co'!E1398,IF(currency="GBP",'Future et co'!F1398,FALSE)))</f>
        <v>RFR USD</v>
      </c>
      <c r="D1398" t="str">
        <f t="shared" ca="1" si="106"/>
        <v>RFR USD</v>
      </c>
      <c r="E1398" t="str">
        <f t="shared" ca="1" si="107"/>
        <v>RFR EUR</v>
      </c>
      <c r="F1398" t="str">
        <f t="shared" ca="1" si="108"/>
        <v>RFR GBP</v>
      </c>
      <c r="J1398" s="1"/>
      <c r="N1398" s="1"/>
      <c r="R1398" s="1"/>
      <c r="V1398" s="1"/>
      <c r="AB1398" s="1"/>
      <c r="AF1398" s="1"/>
      <c r="AJ1398" s="1"/>
      <c r="AN1398" s="1"/>
      <c r="AS1398" s="1"/>
      <c r="AX1398" s="1"/>
    </row>
    <row r="1399" spans="1:50" x14ac:dyDescent="0.3">
      <c r="A1399" s="19">
        <f t="shared" si="109"/>
        <v>47872</v>
      </c>
      <c r="B1399">
        <f t="shared" ca="1" si="105"/>
        <v>-4.7777777777777777</v>
      </c>
      <c r="C1399" t="str">
        <f ca="1">IF(currency="USD",'Future et co'!D1399,IF(currency="EUR",'Future et co'!E1399,IF(currency="GBP",'Future et co'!F1399,FALSE)))</f>
        <v>RFR USD</v>
      </c>
      <c r="D1399" t="str">
        <f t="shared" ca="1" si="106"/>
        <v>RFR USD</v>
      </c>
      <c r="E1399" t="str">
        <f t="shared" ca="1" si="107"/>
        <v>RFR EUR</v>
      </c>
      <c r="F1399" t="str">
        <f t="shared" ca="1" si="108"/>
        <v>RFR GBP</v>
      </c>
      <c r="J1399" s="1"/>
      <c r="N1399" s="1"/>
      <c r="R1399" s="1"/>
      <c r="V1399" s="1"/>
      <c r="AB1399" s="1"/>
      <c r="AF1399" s="1"/>
      <c r="AJ1399" s="1"/>
      <c r="AN1399" s="1"/>
      <c r="AS1399" s="1"/>
      <c r="AX1399" s="1"/>
    </row>
    <row r="1400" spans="1:50" x14ac:dyDescent="0.3">
      <c r="A1400" s="19">
        <f t="shared" si="109"/>
        <v>47875</v>
      </c>
      <c r="B1400">
        <f t="shared" ca="1" si="105"/>
        <v>-4.7861111111111114</v>
      </c>
      <c r="C1400" t="str">
        <f ca="1">IF(currency="USD",'Future et co'!D1400,IF(currency="EUR",'Future et co'!E1400,IF(currency="GBP",'Future et co'!F1400,FALSE)))</f>
        <v>RFR USD</v>
      </c>
      <c r="D1400" t="str">
        <f t="shared" ca="1" si="106"/>
        <v>RFR USD</v>
      </c>
      <c r="E1400" t="str">
        <f t="shared" ca="1" si="107"/>
        <v>RFR EUR</v>
      </c>
      <c r="F1400" t="str">
        <f t="shared" ca="1" si="108"/>
        <v>RFR GBP</v>
      </c>
      <c r="J1400" s="1"/>
      <c r="N1400" s="1"/>
      <c r="R1400" s="1"/>
      <c r="V1400" s="1"/>
      <c r="AB1400" s="1"/>
      <c r="AF1400" s="1"/>
      <c r="AJ1400" s="1"/>
      <c r="AN1400" s="1"/>
      <c r="AS1400" s="1"/>
      <c r="AX1400" s="1"/>
    </row>
    <row r="1401" spans="1:50" x14ac:dyDescent="0.3">
      <c r="A1401" s="19">
        <f t="shared" si="109"/>
        <v>47876</v>
      </c>
      <c r="B1401">
        <f t="shared" ca="1" si="105"/>
        <v>-4.7888888888888888</v>
      </c>
      <c r="C1401" t="str">
        <f ca="1">IF(currency="USD",'Future et co'!D1401,IF(currency="EUR",'Future et co'!E1401,IF(currency="GBP",'Future et co'!F1401,FALSE)))</f>
        <v>RFR USD</v>
      </c>
      <c r="D1401" t="str">
        <f t="shared" ca="1" si="106"/>
        <v>RFR USD</v>
      </c>
      <c r="E1401" t="str">
        <f t="shared" ca="1" si="107"/>
        <v>RFR EUR</v>
      </c>
      <c r="F1401" t="str">
        <f t="shared" ca="1" si="108"/>
        <v>RFR GBP</v>
      </c>
      <c r="J1401" s="1"/>
      <c r="N1401" s="1"/>
      <c r="R1401" s="1"/>
      <c r="V1401" s="1"/>
      <c r="AB1401" s="1"/>
      <c r="AF1401" s="1"/>
      <c r="AJ1401" s="1"/>
      <c r="AN1401" s="1"/>
      <c r="AS1401" s="1"/>
      <c r="AX1401" s="1"/>
    </row>
    <row r="1402" spans="1:50" x14ac:dyDescent="0.3">
      <c r="A1402" s="19">
        <f t="shared" si="109"/>
        <v>47877</v>
      </c>
      <c r="B1402">
        <f t="shared" ca="1" si="105"/>
        <v>-4.791666666666667</v>
      </c>
      <c r="C1402" t="str">
        <f ca="1">IF(currency="USD",'Future et co'!D1402,IF(currency="EUR",'Future et co'!E1402,IF(currency="GBP",'Future et co'!F1402,FALSE)))</f>
        <v>RFR USD</v>
      </c>
      <c r="D1402" t="str">
        <f t="shared" ca="1" si="106"/>
        <v>RFR USD</v>
      </c>
      <c r="E1402" t="str">
        <f t="shared" ca="1" si="107"/>
        <v>RFR EUR</v>
      </c>
      <c r="F1402" t="str">
        <f t="shared" ca="1" si="108"/>
        <v>RFR GBP</v>
      </c>
      <c r="J1402" s="1"/>
      <c r="N1402" s="1"/>
      <c r="R1402" s="1"/>
      <c r="V1402" s="1"/>
      <c r="AB1402" s="1"/>
      <c r="AF1402" s="1"/>
      <c r="AJ1402" s="1"/>
      <c r="AN1402" s="1"/>
      <c r="AS1402" s="1"/>
      <c r="AX1402" s="1"/>
    </row>
    <row r="1403" spans="1:50" x14ac:dyDescent="0.3">
      <c r="A1403" s="19">
        <f t="shared" si="109"/>
        <v>47878</v>
      </c>
      <c r="B1403">
        <f t="shared" ca="1" si="105"/>
        <v>-4.7944444444444443</v>
      </c>
      <c r="C1403" t="str">
        <f ca="1">IF(currency="USD",'Future et co'!D1403,IF(currency="EUR",'Future et co'!E1403,IF(currency="GBP",'Future et co'!F1403,FALSE)))</f>
        <v>RFR USD</v>
      </c>
      <c r="D1403" t="str">
        <f t="shared" ca="1" si="106"/>
        <v>RFR USD</v>
      </c>
      <c r="E1403" t="str">
        <f t="shared" ca="1" si="107"/>
        <v>RFR EUR</v>
      </c>
      <c r="F1403" t="str">
        <f t="shared" ca="1" si="108"/>
        <v>RFR GBP</v>
      </c>
      <c r="J1403" s="1"/>
      <c r="N1403" s="1"/>
      <c r="R1403" s="1"/>
      <c r="V1403" s="1"/>
      <c r="AB1403" s="1"/>
      <c r="AF1403" s="1"/>
      <c r="AJ1403" s="1"/>
      <c r="AN1403" s="1"/>
      <c r="AS1403" s="1"/>
      <c r="AX1403" s="1"/>
    </row>
    <row r="1404" spans="1:50" x14ac:dyDescent="0.3">
      <c r="A1404" s="19">
        <f t="shared" si="109"/>
        <v>47879</v>
      </c>
      <c r="B1404">
        <f t="shared" ca="1" si="105"/>
        <v>-4.7972222222222225</v>
      </c>
      <c r="C1404" t="str">
        <f ca="1">IF(currency="USD",'Future et co'!D1404,IF(currency="EUR",'Future et co'!E1404,IF(currency="GBP",'Future et co'!F1404,FALSE)))</f>
        <v>RFR USD</v>
      </c>
      <c r="D1404" t="str">
        <f t="shared" ca="1" si="106"/>
        <v>RFR USD</v>
      </c>
      <c r="E1404" t="str">
        <f t="shared" ca="1" si="107"/>
        <v>RFR EUR</v>
      </c>
      <c r="F1404" t="str">
        <f t="shared" ca="1" si="108"/>
        <v>RFR GBP</v>
      </c>
      <c r="J1404" s="1"/>
      <c r="N1404" s="1"/>
      <c r="R1404" s="1"/>
      <c r="V1404" s="1"/>
      <c r="AB1404" s="1"/>
      <c r="AF1404" s="1"/>
      <c r="AJ1404" s="1"/>
      <c r="AN1404" s="1"/>
      <c r="AS1404" s="1"/>
      <c r="AX1404" s="1"/>
    </row>
    <row r="1405" spans="1:50" x14ac:dyDescent="0.3">
      <c r="A1405" s="19">
        <f t="shared" si="109"/>
        <v>47882</v>
      </c>
      <c r="B1405">
        <f t="shared" ca="1" si="105"/>
        <v>-4.8055555555555554</v>
      </c>
      <c r="C1405" t="str">
        <f ca="1">IF(currency="USD",'Future et co'!D1405,IF(currency="EUR",'Future et co'!E1405,IF(currency="GBP",'Future et co'!F1405,FALSE)))</f>
        <v>RFR USD</v>
      </c>
      <c r="D1405" t="str">
        <f t="shared" ca="1" si="106"/>
        <v>RFR USD</v>
      </c>
      <c r="E1405" t="str">
        <f t="shared" ca="1" si="107"/>
        <v>RFR EUR</v>
      </c>
      <c r="F1405" t="str">
        <f t="shared" ca="1" si="108"/>
        <v>RFR GBP</v>
      </c>
      <c r="J1405" s="1"/>
      <c r="N1405" s="1"/>
      <c r="R1405" s="1"/>
      <c r="V1405" s="1"/>
      <c r="AB1405" s="1"/>
      <c r="AF1405" s="1"/>
      <c r="AJ1405" s="1"/>
      <c r="AN1405" s="1"/>
      <c r="AS1405" s="1"/>
      <c r="AX1405" s="1"/>
    </row>
    <row r="1406" spans="1:50" x14ac:dyDescent="0.3">
      <c r="A1406" s="19">
        <f t="shared" si="109"/>
        <v>47883</v>
      </c>
      <c r="B1406">
        <f t="shared" ca="1" si="105"/>
        <v>-4.8083333333333336</v>
      </c>
      <c r="C1406" t="str">
        <f ca="1">IF(currency="USD",'Future et co'!D1406,IF(currency="EUR",'Future et co'!E1406,IF(currency="GBP",'Future et co'!F1406,FALSE)))</f>
        <v>RFR USD</v>
      </c>
      <c r="D1406" t="str">
        <f t="shared" ca="1" si="106"/>
        <v>RFR USD</v>
      </c>
      <c r="E1406" t="str">
        <f t="shared" ca="1" si="107"/>
        <v>RFR EUR</v>
      </c>
      <c r="F1406" t="str">
        <f t="shared" ca="1" si="108"/>
        <v>RFR GBP</v>
      </c>
      <c r="J1406" s="1"/>
      <c r="N1406" s="1"/>
      <c r="R1406" s="1"/>
      <c r="V1406" s="1"/>
      <c r="AB1406" s="1"/>
      <c r="AF1406" s="1"/>
      <c r="AJ1406" s="1"/>
      <c r="AN1406" s="1"/>
      <c r="AS1406" s="1"/>
      <c r="AX1406" s="1"/>
    </row>
    <row r="1407" spans="1:50" x14ac:dyDescent="0.3">
      <c r="A1407" s="19">
        <f t="shared" si="109"/>
        <v>47884</v>
      </c>
      <c r="B1407">
        <f t="shared" ca="1" si="105"/>
        <v>-4.8111111111111109</v>
      </c>
      <c r="C1407" t="str">
        <f ca="1">IF(currency="USD",'Future et co'!D1407,IF(currency="EUR",'Future et co'!E1407,IF(currency="GBP",'Future et co'!F1407,FALSE)))</f>
        <v>RFR USD</v>
      </c>
      <c r="D1407" t="str">
        <f t="shared" ca="1" si="106"/>
        <v>RFR USD</v>
      </c>
      <c r="E1407" t="str">
        <f t="shared" ca="1" si="107"/>
        <v>RFR EUR</v>
      </c>
      <c r="F1407" t="str">
        <f t="shared" ca="1" si="108"/>
        <v>RFR GBP</v>
      </c>
      <c r="J1407" s="1"/>
      <c r="N1407" s="1"/>
      <c r="R1407" s="1"/>
      <c r="V1407" s="1"/>
      <c r="AB1407" s="1"/>
      <c r="AF1407" s="1"/>
      <c r="AJ1407" s="1"/>
      <c r="AN1407" s="1"/>
      <c r="AS1407" s="1"/>
      <c r="AX1407" s="1"/>
    </row>
    <row r="1408" spans="1:50" x14ac:dyDescent="0.3">
      <c r="A1408" s="19">
        <f t="shared" si="109"/>
        <v>47885</v>
      </c>
      <c r="B1408">
        <f t="shared" ca="1" si="105"/>
        <v>-4.8138888888888891</v>
      </c>
      <c r="C1408" t="str">
        <f ca="1">IF(currency="USD",'Future et co'!D1408,IF(currency="EUR",'Future et co'!E1408,IF(currency="GBP",'Future et co'!F1408,FALSE)))</f>
        <v>RFR USD</v>
      </c>
      <c r="D1408" t="str">
        <f t="shared" ca="1" si="106"/>
        <v>RFR USD</v>
      </c>
      <c r="E1408" t="str">
        <f t="shared" ca="1" si="107"/>
        <v>RFR EUR</v>
      </c>
      <c r="F1408" t="str">
        <f t="shared" ca="1" si="108"/>
        <v>RFR GBP</v>
      </c>
      <c r="J1408" s="1"/>
      <c r="N1408" s="1"/>
      <c r="R1408" s="1"/>
      <c r="V1408" s="1"/>
      <c r="AB1408" s="1"/>
      <c r="AF1408" s="1"/>
      <c r="AJ1408" s="1"/>
      <c r="AN1408" s="1"/>
      <c r="AS1408" s="1"/>
      <c r="AX1408" s="1"/>
    </row>
    <row r="1409" spans="1:50" x14ac:dyDescent="0.3">
      <c r="A1409" s="19">
        <f t="shared" si="109"/>
        <v>47886</v>
      </c>
      <c r="B1409">
        <f t="shared" ca="1" si="105"/>
        <v>-4.8166666666666664</v>
      </c>
      <c r="C1409" t="str">
        <f ca="1">IF(currency="USD",'Future et co'!D1409,IF(currency="EUR",'Future et co'!E1409,IF(currency="GBP",'Future et co'!F1409,FALSE)))</f>
        <v>RFR USD</v>
      </c>
      <c r="D1409" t="str">
        <f t="shared" ca="1" si="106"/>
        <v>RFR USD</v>
      </c>
      <c r="E1409" t="str">
        <f t="shared" ca="1" si="107"/>
        <v>RFR EUR</v>
      </c>
      <c r="F1409" t="str">
        <f t="shared" ca="1" si="108"/>
        <v>RFR GBP</v>
      </c>
      <c r="J1409" s="1"/>
      <c r="N1409" s="1"/>
      <c r="R1409" s="1"/>
      <c r="V1409" s="1"/>
      <c r="AB1409" s="1"/>
      <c r="AF1409" s="1"/>
      <c r="AJ1409" s="1"/>
      <c r="AN1409" s="1"/>
      <c r="AS1409" s="1"/>
      <c r="AX1409" s="1"/>
    </row>
    <row r="1410" spans="1:50" x14ac:dyDescent="0.3">
      <c r="A1410" s="19">
        <f t="shared" si="109"/>
        <v>47889</v>
      </c>
      <c r="B1410">
        <f t="shared" ca="1" si="105"/>
        <v>-4.8250000000000002</v>
      </c>
      <c r="C1410" t="str">
        <f ca="1">IF(currency="USD",'Future et co'!D1410,IF(currency="EUR",'Future et co'!E1410,IF(currency="GBP",'Future et co'!F1410,FALSE)))</f>
        <v>RFR USD</v>
      </c>
      <c r="D1410" t="str">
        <f t="shared" ca="1" si="106"/>
        <v>RFR USD</v>
      </c>
      <c r="E1410" t="str">
        <f t="shared" ca="1" si="107"/>
        <v>RFR EUR</v>
      </c>
      <c r="F1410" t="str">
        <f t="shared" ca="1" si="108"/>
        <v>RFR GBP</v>
      </c>
      <c r="J1410" s="1"/>
      <c r="N1410" s="1"/>
      <c r="R1410" s="1"/>
      <c r="V1410" s="1"/>
      <c r="AB1410" s="1"/>
      <c r="AF1410" s="1"/>
      <c r="AJ1410" s="1"/>
      <c r="AN1410" s="1"/>
      <c r="AS1410" s="1"/>
      <c r="AX1410" s="1"/>
    </row>
    <row r="1411" spans="1:50" x14ac:dyDescent="0.3">
      <c r="A1411" s="19">
        <f t="shared" si="109"/>
        <v>47890</v>
      </c>
      <c r="B1411">
        <f t="shared" ca="1" si="105"/>
        <v>-4.8277777777777775</v>
      </c>
      <c r="C1411" t="str">
        <f ca="1">IF(currency="USD",'Future et co'!D1411,IF(currency="EUR",'Future et co'!E1411,IF(currency="GBP",'Future et co'!F1411,FALSE)))</f>
        <v>RFR USD</v>
      </c>
      <c r="D1411" t="str">
        <f t="shared" ca="1" si="106"/>
        <v>RFR USD</v>
      </c>
      <c r="E1411" t="str">
        <f t="shared" ca="1" si="107"/>
        <v>RFR EUR</v>
      </c>
      <c r="F1411" t="str">
        <f t="shared" ca="1" si="108"/>
        <v>RFR GBP</v>
      </c>
      <c r="J1411" s="1"/>
      <c r="N1411" s="1"/>
      <c r="R1411" s="1"/>
      <c r="V1411" s="1"/>
      <c r="AB1411" s="1"/>
      <c r="AF1411" s="1"/>
      <c r="AJ1411" s="1"/>
      <c r="AN1411" s="1"/>
      <c r="AS1411" s="1"/>
      <c r="AX1411" s="1"/>
    </row>
    <row r="1412" spans="1:50" x14ac:dyDescent="0.3">
      <c r="A1412" s="19">
        <f t="shared" si="109"/>
        <v>47891</v>
      </c>
      <c r="B1412">
        <f t="shared" ca="1" si="105"/>
        <v>-4.8305555555555557</v>
      </c>
      <c r="C1412" t="str">
        <f ca="1">IF(currency="USD",'Future et co'!D1412,IF(currency="EUR",'Future et co'!E1412,IF(currency="GBP",'Future et co'!F1412,FALSE)))</f>
        <v>RFR USD</v>
      </c>
      <c r="D1412" t="str">
        <f t="shared" ca="1" si="106"/>
        <v>RFR USD</v>
      </c>
      <c r="E1412" t="str">
        <f t="shared" ca="1" si="107"/>
        <v>RFR EUR</v>
      </c>
      <c r="F1412" t="str">
        <f t="shared" ca="1" si="108"/>
        <v>RFR GBP</v>
      </c>
      <c r="J1412" s="1"/>
      <c r="N1412" s="1"/>
      <c r="R1412" s="1"/>
      <c r="V1412" s="1"/>
      <c r="AB1412" s="1"/>
      <c r="AF1412" s="1"/>
      <c r="AJ1412" s="1"/>
      <c r="AN1412" s="1"/>
      <c r="AS1412" s="1"/>
      <c r="AX1412" s="1"/>
    </row>
    <row r="1413" spans="1:50" x14ac:dyDescent="0.3">
      <c r="A1413" s="19">
        <f t="shared" si="109"/>
        <v>47892</v>
      </c>
      <c r="B1413">
        <f t="shared" ca="1" si="105"/>
        <v>-4.833333333333333</v>
      </c>
      <c r="C1413" t="str">
        <f ca="1">IF(currency="USD",'Future et co'!D1413,IF(currency="EUR",'Future et co'!E1413,IF(currency="GBP",'Future et co'!F1413,FALSE)))</f>
        <v>RFR USD</v>
      </c>
      <c r="D1413" t="str">
        <f t="shared" ca="1" si="106"/>
        <v>RFR USD</v>
      </c>
      <c r="E1413" t="str">
        <f t="shared" ca="1" si="107"/>
        <v>RFR EUR</v>
      </c>
      <c r="F1413" t="str">
        <f t="shared" ca="1" si="108"/>
        <v>RFR GBP</v>
      </c>
      <c r="J1413" s="1"/>
      <c r="N1413" s="1"/>
      <c r="R1413" s="1"/>
      <c r="V1413" s="1"/>
      <c r="AB1413" s="1"/>
      <c r="AF1413" s="1"/>
      <c r="AJ1413" s="1"/>
      <c r="AN1413" s="1"/>
      <c r="AS1413" s="1"/>
      <c r="AX1413" s="1"/>
    </row>
    <row r="1414" spans="1:50" x14ac:dyDescent="0.3">
      <c r="A1414" s="19">
        <f t="shared" si="109"/>
        <v>47893</v>
      </c>
      <c r="B1414">
        <f t="shared" ca="1" si="105"/>
        <v>-4.8361111111111112</v>
      </c>
      <c r="C1414" t="str">
        <f ca="1">IF(currency="USD",'Future et co'!D1414,IF(currency="EUR",'Future et co'!E1414,IF(currency="GBP",'Future et co'!F1414,FALSE)))</f>
        <v>RFR USD</v>
      </c>
      <c r="D1414" t="str">
        <f t="shared" ca="1" si="106"/>
        <v>RFR USD</v>
      </c>
      <c r="E1414" t="str">
        <f t="shared" ca="1" si="107"/>
        <v>RFR EUR</v>
      </c>
      <c r="F1414" t="str">
        <f t="shared" ca="1" si="108"/>
        <v>RFR GBP</v>
      </c>
      <c r="J1414" s="1"/>
      <c r="N1414" s="1"/>
      <c r="R1414" s="1"/>
      <c r="V1414" s="1"/>
      <c r="AB1414" s="1"/>
      <c r="AF1414" s="1"/>
      <c r="AJ1414" s="1"/>
      <c r="AN1414" s="1"/>
      <c r="AS1414" s="1"/>
      <c r="AX1414" s="1"/>
    </row>
    <row r="1415" spans="1:50" x14ac:dyDescent="0.3">
      <c r="A1415" s="19">
        <f t="shared" si="109"/>
        <v>47896</v>
      </c>
      <c r="B1415">
        <f t="shared" ca="1" si="105"/>
        <v>-4.8444444444444441</v>
      </c>
      <c r="C1415" t="str">
        <f ca="1">IF(currency="USD",'Future et co'!D1415,IF(currency="EUR",'Future et co'!E1415,IF(currency="GBP",'Future et co'!F1415,FALSE)))</f>
        <v>RFR USD</v>
      </c>
      <c r="D1415" t="str">
        <f t="shared" ca="1" si="106"/>
        <v>RFR USD</v>
      </c>
      <c r="E1415" t="str">
        <f t="shared" ca="1" si="107"/>
        <v>RFR EUR</v>
      </c>
      <c r="F1415" t="str">
        <f t="shared" ca="1" si="108"/>
        <v>RFR GBP</v>
      </c>
      <c r="J1415" s="1"/>
      <c r="N1415" s="1"/>
      <c r="R1415" s="1"/>
      <c r="V1415" s="1"/>
      <c r="AB1415" s="1"/>
      <c r="AF1415" s="1"/>
      <c r="AJ1415" s="1"/>
      <c r="AN1415" s="1"/>
      <c r="AS1415" s="1"/>
      <c r="AX1415" s="1"/>
    </row>
    <row r="1416" spans="1:50" x14ac:dyDescent="0.3">
      <c r="A1416" s="19">
        <f t="shared" si="109"/>
        <v>47897</v>
      </c>
      <c r="B1416">
        <f t="shared" ca="1" si="105"/>
        <v>-4.8472222222222223</v>
      </c>
      <c r="C1416" t="str">
        <f ca="1">IF(currency="USD",'Future et co'!D1416,IF(currency="EUR",'Future et co'!E1416,IF(currency="GBP",'Future et co'!F1416,FALSE)))</f>
        <v>RFR USD</v>
      </c>
      <c r="D1416" t="str">
        <f t="shared" ca="1" si="106"/>
        <v>RFR USD</v>
      </c>
      <c r="E1416" t="str">
        <f t="shared" ca="1" si="107"/>
        <v>RFR EUR</v>
      </c>
      <c r="F1416" t="str">
        <f t="shared" ca="1" si="108"/>
        <v>RFR GBP</v>
      </c>
      <c r="J1416" s="1"/>
      <c r="N1416" s="1"/>
      <c r="R1416" s="1"/>
      <c r="V1416" s="1"/>
      <c r="AB1416" s="1"/>
      <c r="AF1416" s="1"/>
      <c r="AJ1416" s="1"/>
      <c r="AN1416" s="1"/>
      <c r="AS1416" s="1"/>
      <c r="AX1416" s="1"/>
    </row>
    <row r="1417" spans="1:50" x14ac:dyDescent="0.3">
      <c r="A1417" s="19">
        <f t="shared" si="109"/>
        <v>47898</v>
      </c>
      <c r="B1417">
        <f t="shared" ca="1" si="105"/>
        <v>-4.8499999999999996</v>
      </c>
      <c r="C1417" t="str">
        <f ca="1">IF(currency="USD",'Future et co'!D1417,IF(currency="EUR",'Future et co'!E1417,IF(currency="GBP",'Future et co'!F1417,FALSE)))</f>
        <v>RFR USD</v>
      </c>
      <c r="D1417" t="str">
        <f t="shared" ca="1" si="106"/>
        <v>RFR USD</v>
      </c>
      <c r="E1417" t="str">
        <f t="shared" ca="1" si="107"/>
        <v>RFR EUR</v>
      </c>
      <c r="F1417" t="str">
        <f t="shared" ca="1" si="108"/>
        <v>RFR GBP</v>
      </c>
      <c r="J1417" s="1"/>
      <c r="N1417" s="1"/>
      <c r="R1417" s="1"/>
      <c r="V1417" s="1"/>
      <c r="AB1417" s="1"/>
      <c r="AF1417" s="1"/>
      <c r="AJ1417" s="1"/>
      <c r="AN1417" s="1"/>
      <c r="AS1417" s="1"/>
      <c r="AX1417" s="1"/>
    </row>
    <row r="1418" spans="1:50" x14ac:dyDescent="0.3">
      <c r="A1418" s="19">
        <f t="shared" si="109"/>
        <v>47899</v>
      </c>
      <c r="B1418">
        <f t="shared" ca="1" si="105"/>
        <v>-4.8527777777777779</v>
      </c>
      <c r="C1418" t="str">
        <f ca="1">IF(currency="USD",'Future et co'!D1418,IF(currency="EUR",'Future et co'!E1418,IF(currency="GBP",'Future et co'!F1418,FALSE)))</f>
        <v>RFR USD</v>
      </c>
      <c r="D1418" t="str">
        <f t="shared" ca="1" si="106"/>
        <v>RFR USD</v>
      </c>
      <c r="E1418" t="str">
        <f t="shared" ca="1" si="107"/>
        <v>RFR EUR</v>
      </c>
      <c r="F1418" t="str">
        <f t="shared" ca="1" si="108"/>
        <v>RFR GBP</v>
      </c>
      <c r="J1418" s="1"/>
      <c r="N1418" s="1"/>
      <c r="R1418" s="1"/>
      <c r="V1418" s="1"/>
      <c r="AB1418" s="1"/>
      <c r="AF1418" s="1"/>
      <c r="AJ1418" s="1"/>
      <c r="AN1418" s="1"/>
      <c r="AS1418" s="1"/>
      <c r="AX1418" s="1"/>
    </row>
    <row r="1419" spans="1:50" x14ac:dyDescent="0.3">
      <c r="A1419" s="19">
        <f t="shared" si="109"/>
        <v>47900</v>
      </c>
      <c r="B1419">
        <f t="shared" ref="B1419:B1482" ca="1" si="110">($B$7-A1419)/360</f>
        <v>-4.8555555555555552</v>
      </c>
      <c r="C1419" t="str">
        <f ca="1">IF(currency="USD",'Future et co'!D1419,IF(currency="EUR",'Future et co'!E1419,IF(currency="GBP",'Future et co'!F1419,FALSE)))</f>
        <v>RFR USD</v>
      </c>
      <c r="D1419" t="str">
        <f t="shared" ref="D1419:D1482" ca="1" si="111">IFERROR(IF(B1419&lt;0.25,VLOOKUP(A1419,$J$11:$L$5325,3,FALSE),IF(AND(B1419&gt;=0.25,B1419&lt;0.5),VLOOKUP(A1419,$N$11:$P$5325,3,FALSE),IF(AND(B1419&gt;=0.5,B1419&lt;1),VLOOKUP(A1419,$R$11:$T$5325,3,FALSE),VLOOKUP(A1419,$V$11:$X$5010,3,FALSE)))),D1418)</f>
        <v>RFR USD</v>
      </c>
      <c r="E1419" t="str">
        <f t="shared" ref="E1419:E1482" ca="1" si="112">IFERROR(IF(B1419&lt;0.25,VLOOKUP(A1419,$AF$11:$AH$5325,3,FALSE),IF(AND(B1419&gt;=0.25,B1419&lt;0.5),VLOOKUP(A1419,$AJ$11:$AL$5325,3,FALSE),VLOOKUP(A1419,$AN$11:$AP$5325,3,FALSE))),E1418)</f>
        <v>RFR EUR</v>
      </c>
      <c r="F1419" t="str">
        <f t="shared" ref="F1419:F1482" ca="1" si="113">IFERROR(VLOOKUP(A1419,$AS$11:$AU$9999,3,FALSE),F1418)</f>
        <v>RFR GBP</v>
      </c>
      <c r="J1419" s="1"/>
      <c r="N1419" s="1"/>
      <c r="R1419" s="1"/>
      <c r="V1419" s="1"/>
      <c r="AB1419" s="1"/>
      <c r="AF1419" s="1"/>
      <c r="AJ1419" s="1"/>
      <c r="AN1419" s="1"/>
      <c r="AS1419" s="1"/>
      <c r="AX1419" s="1"/>
    </row>
    <row r="1420" spans="1:50" x14ac:dyDescent="0.3">
      <c r="A1420" s="19">
        <f t="shared" si="109"/>
        <v>47903</v>
      </c>
      <c r="B1420">
        <f t="shared" ca="1" si="110"/>
        <v>-4.8638888888888889</v>
      </c>
      <c r="C1420" t="str">
        <f ca="1">IF(currency="USD",'Future et co'!D1420,IF(currency="EUR",'Future et co'!E1420,IF(currency="GBP",'Future et co'!F1420,FALSE)))</f>
        <v>RFR USD</v>
      </c>
      <c r="D1420" t="str">
        <f t="shared" ca="1" si="111"/>
        <v>RFR USD</v>
      </c>
      <c r="E1420" t="str">
        <f t="shared" ca="1" si="112"/>
        <v>RFR EUR</v>
      </c>
      <c r="F1420" t="str">
        <f t="shared" ca="1" si="113"/>
        <v>RFR GBP</v>
      </c>
      <c r="J1420" s="1"/>
      <c r="N1420" s="1"/>
      <c r="R1420" s="1"/>
      <c r="V1420" s="1"/>
      <c r="AB1420" s="1"/>
      <c r="AF1420" s="1"/>
      <c r="AJ1420" s="1"/>
      <c r="AN1420" s="1"/>
      <c r="AS1420" s="1"/>
      <c r="AX1420" s="1"/>
    </row>
    <row r="1421" spans="1:50" x14ac:dyDescent="0.3">
      <c r="A1421" s="19">
        <f t="shared" ref="A1421:A1484" si="114">WORKDAY(A1420,1)</f>
        <v>47904</v>
      </c>
      <c r="B1421">
        <f t="shared" ca="1" si="110"/>
        <v>-4.8666666666666663</v>
      </c>
      <c r="C1421" t="str">
        <f ca="1">IF(currency="USD",'Future et co'!D1421,IF(currency="EUR",'Future et co'!E1421,IF(currency="GBP",'Future et co'!F1421,FALSE)))</f>
        <v>RFR USD</v>
      </c>
      <c r="D1421" t="str">
        <f t="shared" ca="1" si="111"/>
        <v>RFR USD</v>
      </c>
      <c r="E1421" t="str">
        <f t="shared" ca="1" si="112"/>
        <v>RFR EUR</v>
      </c>
      <c r="F1421" t="str">
        <f t="shared" ca="1" si="113"/>
        <v>RFR GBP</v>
      </c>
      <c r="J1421" s="1"/>
      <c r="N1421" s="1"/>
      <c r="R1421" s="1"/>
      <c r="V1421" s="1"/>
      <c r="AB1421" s="1"/>
      <c r="AF1421" s="1"/>
      <c r="AJ1421" s="1"/>
      <c r="AN1421" s="1"/>
      <c r="AS1421" s="1"/>
      <c r="AX1421" s="1"/>
    </row>
    <row r="1422" spans="1:50" x14ac:dyDescent="0.3">
      <c r="A1422" s="19">
        <f t="shared" si="114"/>
        <v>47905</v>
      </c>
      <c r="B1422">
        <f t="shared" ca="1" si="110"/>
        <v>-4.8694444444444445</v>
      </c>
      <c r="C1422" t="str">
        <f ca="1">IF(currency="USD",'Future et co'!D1422,IF(currency="EUR",'Future et co'!E1422,IF(currency="GBP",'Future et co'!F1422,FALSE)))</f>
        <v>RFR USD</v>
      </c>
      <c r="D1422" t="str">
        <f t="shared" ca="1" si="111"/>
        <v>RFR USD</v>
      </c>
      <c r="E1422" t="str">
        <f t="shared" ca="1" si="112"/>
        <v>RFR EUR</v>
      </c>
      <c r="F1422" t="str">
        <f t="shared" ca="1" si="113"/>
        <v>RFR GBP</v>
      </c>
      <c r="J1422" s="1"/>
      <c r="N1422" s="1"/>
      <c r="R1422" s="1"/>
      <c r="V1422" s="1"/>
      <c r="AB1422" s="1"/>
      <c r="AF1422" s="1"/>
      <c r="AJ1422" s="1"/>
      <c r="AN1422" s="1"/>
      <c r="AS1422" s="1"/>
      <c r="AX1422" s="1"/>
    </row>
    <row r="1423" spans="1:50" x14ac:dyDescent="0.3">
      <c r="A1423" s="19">
        <f t="shared" si="114"/>
        <v>47906</v>
      </c>
      <c r="B1423">
        <f t="shared" ca="1" si="110"/>
        <v>-4.8722222222222218</v>
      </c>
      <c r="C1423" t="str">
        <f ca="1">IF(currency="USD",'Future et co'!D1423,IF(currency="EUR",'Future et co'!E1423,IF(currency="GBP",'Future et co'!F1423,FALSE)))</f>
        <v>RFR USD</v>
      </c>
      <c r="D1423" t="str">
        <f t="shared" ca="1" si="111"/>
        <v>RFR USD</v>
      </c>
      <c r="E1423" t="str">
        <f t="shared" ca="1" si="112"/>
        <v>RFR EUR</v>
      </c>
      <c r="F1423" t="str">
        <f t="shared" ca="1" si="113"/>
        <v>RFR GBP</v>
      </c>
      <c r="J1423" s="1"/>
      <c r="N1423" s="1"/>
      <c r="R1423" s="1"/>
      <c r="V1423" s="1"/>
      <c r="AB1423" s="1"/>
      <c r="AF1423" s="1"/>
      <c r="AJ1423" s="1"/>
      <c r="AN1423" s="1"/>
      <c r="AS1423" s="1"/>
      <c r="AX1423" s="1"/>
    </row>
    <row r="1424" spans="1:50" x14ac:dyDescent="0.3">
      <c r="A1424" s="19">
        <f t="shared" si="114"/>
        <v>47907</v>
      </c>
      <c r="B1424">
        <f t="shared" ca="1" si="110"/>
        <v>-4.875</v>
      </c>
      <c r="C1424" t="str">
        <f ca="1">IF(currency="USD",'Future et co'!D1424,IF(currency="EUR",'Future et co'!E1424,IF(currency="GBP",'Future et co'!F1424,FALSE)))</f>
        <v>RFR USD</v>
      </c>
      <c r="D1424" t="str">
        <f t="shared" ca="1" si="111"/>
        <v>RFR USD</v>
      </c>
      <c r="E1424" t="str">
        <f t="shared" ca="1" si="112"/>
        <v>RFR EUR</v>
      </c>
      <c r="F1424" t="str">
        <f t="shared" ca="1" si="113"/>
        <v>RFR GBP</v>
      </c>
      <c r="J1424" s="1"/>
      <c r="N1424" s="1"/>
      <c r="R1424" s="1"/>
      <c r="V1424" s="1"/>
      <c r="AB1424" s="1"/>
      <c r="AF1424" s="1"/>
      <c r="AJ1424" s="1"/>
      <c r="AN1424" s="1"/>
      <c r="AS1424" s="1"/>
      <c r="AX1424" s="1"/>
    </row>
    <row r="1425" spans="1:50" x14ac:dyDescent="0.3">
      <c r="A1425" s="19">
        <f t="shared" si="114"/>
        <v>47910</v>
      </c>
      <c r="B1425">
        <f t="shared" ca="1" si="110"/>
        <v>-4.8833333333333337</v>
      </c>
      <c r="C1425" t="str">
        <f ca="1">IF(currency="USD",'Future et co'!D1425,IF(currency="EUR",'Future et co'!E1425,IF(currency="GBP",'Future et co'!F1425,FALSE)))</f>
        <v>RFR USD</v>
      </c>
      <c r="D1425" t="str">
        <f t="shared" ca="1" si="111"/>
        <v>RFR USD</v>
      </c>
      <c r="E1425" t="str">
        <f t="shared" ca="1" si="112"/>
        <v>RFR EUR</v>
      </c>
      <c r="F1425" t="str">
        <f t="shared" ca="1" si="113"/>
        <v>RFR GBP</v>
      </c>
      <c r="J1425" s="1"/>
      <c r="N1425" s="1"/>
      <c r="R1425" s="1"/>
      <c r="V1425" s="1"/>
      <c r="AB1425" s="1"/>
      <c r="AF1425" s="1"/>
      <c r="AJ1425" s="1"/>
      <c r="AN1425" s="1"/>
      <c r="AS1425" s="1"/>
      <c r="AX1425" s="1"/>
    </row>
    <row r="1426" spans="1:50" x14ac:dyDescent="0.3">
      <c r="A1426" s="19">
        <f t="shared" si="114"/>
        <v>47911</v>
      </c>
      <c r="B1426">
        <f t="shared" ca="1" si="110"/>
        <v>-4.8861111111111111</v>
      </c>
      <c r="C1426" t="str">
        <f ca="1">IF(currency="USD",'Future et co'!D1426,IF(currency="EUR",'Future et co'!E1426,IF(currency="GBP",'Future et co'!F1426,FALSE)))</f>
        <v>RFR USD</v>
      </c>
      <c r="D1426" t="str">
        <f t="shared" ca="1" si="111"/>
        <v>RFR USD</v>
      </c>
      <c r="E1426" t="str">
        <f t="shared" ca="1" si="112"/>
        <v>RFR EUR</v>
      </c>
      <c r="F1426" t="str">
        <f t="shared" ca="1" si="113"/>
        <v>RFR GBP</v>
      </c>
      <c r="J1426" s="1"/>
      <c r="N1426" s="1"/>
      <c r="R1426" s="1"/>
      <c r="V1426" s="1"/>
      <c r="AB1426" s="1"/>
      <c r="AF1426" s="1"/>
      <c r="AJ1426" s="1"/>
      <c r="AN1426" s="1"/>
      <c r="AS1426" s="1"/>
      <c r="AX1426" s="1"/>
    </row>
    <row r="1427" spans="1:50" x14ac:dyDescent="0.3">
      <c r="A1427" s="19">
        <f t="shared" si="114"/>
        <v>47912</v>
      </c>
      <c r="B1427">
        <f t="shared" ca="1" si="110"/>
        <v>-4.8888888888888893</v>
      </c>
      <c r="C1427" t="str">
        <f ca="1">IF(currency="USD",'Future et co'!D1427,IF(currency="EUR",'Future et co'!E1427,IF(currency="GBP",'Future et co'!F1427,FALSE)))</f>
        <v>RFR USD</v>
      </c>
      <c r="D1427" t="str">
        <f t="shared" ca="1" si="111"/>
        <v>RFR USD</v>
      </c>
      <c r="E1427" t="str">
        <f t="shared" ca="1" si="112"/>
        <v>RFR EUR</v>
      </c>
      <c r="F1427" t="str">
        <f t="shared" ca="1" si="113"/>
        <v>RFR GBP</v>
      </c>
      <c r="J1427" s="1"/>
      <c r="N1427" s="1"/>
      <c r="R1427" s="1"/>
      <c r="V1427" s="1"/>
      <c r="AB1427" s="1"/>
      <c r="AF1427" s="1"/>
      <c r="AJ1427" s="1"/>
      <c r="AN1427" s="1"/>
      <c r="AS1427" s="1"/>
      <c r="AX1427" s="1"/>
    </row>
    <row r="1428" spans="1:50" x14ac:dyDescent="0.3">
      <c r="A1428" s="19">
        <f t="shared" si="114"/>
        <v>47913</v>
      </c>
      <c r="B1428">
        <f t="shared" ca="1" si="110"/>
        <v>-4.8916666666666666</v>
      </c>
      <c r="C1428" t="str">
        <f ca="1">IF(currency="USD",'Future et co'!D1428,IF(currency="EUR",'Future et co'!E1428,IF(currency="GBP",'Future et co'!F1428,FALSE)))</f>
        <v>RFR USD</v>
      </c>
      <c r="D1428" t="str">
        <f t="shared" ca="1" si="111"/>
        <v>RFR USD</v>
      </c>
      <c r="E1428" t="str">
        <f t="shared" ca="1" si="112"/>
        <v>RFR EUR</v>
      </c>
      <c r="F1428" t="str">
        <f t="shared" ca="1" si="113"/>
        <v>RFR GBP</v>
      </c>
      <c r="J1428" s="1"/>
      <c r="N1428" s="1"/>
      <c r="R1428" s="1"/>
      <c r="V1428" s="1"/>
      <c r="AB1428" s="1"/>
      <c r="AF1428" s="1"/>
      <c r="AJ1428" s="1"/>
      <c r="AN1428" s="1"/>
      <c r="AS1428" s="1"/>
      <c r="AX1428" s="1"/>
    </row>
    <row r="1429" spans="1:50" x14ac:dyDescent="0.3">
      <c r="A1429" s="19">
        <f t="shared" si="114"/>
        <v>47914</v>
      </c>
      <c r="B1429">
        <f t="shared" ca="1" si="110"/>
        <v>-4.8944444444444448</v>
      </c>
      <c r="C1429" t="str">
        <f ca="1">IF(currency="USD",'Future et co'!D1429,IF(currency="EUR",'Future et co'!E1429,IF(currency="GBP",'Future et co'!F1429,FALSE)))</f>
        <v>RFR USD</v>
      </c>
      <c r="D1429" t="str">
        <f t="shared" ca="1" si="111"/>
        <v>RFR USD</v>
      </c>
      <c r="E1429" t="str">
        <f t="shared" ca="1" si="112"/>
        <v>RFR EUR</v>
      </c>
      <c r="F1429" t="str">
        <f t="shared" ca="1" si="113"/>
        <v>RFR GBP</v>
      </c>
      <c r="J1429" s="1"/>
      <c r="N1429" s="1"/>
      <c r="R1429" s="1"/>
      <c r="V1429" s="1"/>
      <c r="AB1429" s="1"/>
      <c r="AF1429" s="1"/>
      <c r="AJ1429" s="1"/>
      <c r="AN1429" s="1"/>
      <c r="AS1429" s="1"/>
      <c r="AX1429" s="1"/>
    </row>
    <row r="1430" spans="1:50" x14ac:dyDescent="0.3">
      <c r="A1430" s="19">
        <f t="shared" si="114"/>
        <v>47917</v>
      </c>
      <c r="B1430">
        <f t="shared" ca="1" si="110"/>
        <v>-4.9027777777777777</v>
      </c>
      <c r="C1430" t="str">
        <f ca="1">IF(currency="USD",'Future et co'!D1430,IF(currency="EUR",'Future et co'!E1430,IF(currency="GBP",'Future et co'!F1430,FALSE)))</f>
        <v>RFR USD</v>
      </c>
      <c r="D1430" t="str">
        <f t="shared" ca="1" si="111"/>
        <v>RFR USD</v>
      </c>
      <c r="E1430" t="str">
        <f t="shared" ca="1" si="112"/>
        <v>RFR EUR</v>
      </c>
      <c r="F1430" t="str">
        <f t="shared" ca="1" si="113"/>
        <v>RFR GBP</v>
      </c>
      <c r="J1430" s="1"/>
      <c r="N1430" s="1"/>
      <c r="R1430" s="1"/>
      <c r="V1430" s="1"/>
      <c r="AB1430" s="1"/>
      <c r="AF1430" s="1"/>
      <c r="AJ1430" s="1"/>
      <c r="AN1430" s="1"/>
      <c r="AS1430" s="1"/>
      <c r="AX1430" s="1"/>
    </row>
    <row r="1431" spans="1:50" x14ac:dyDescent="0.3">
      <c r="A1431" s="19">
        <f t="shared" si="114"/>
        <v>47918</v>
      </c>
      <c r="B1431">
        <f t="shared" ca="1" si="110"/>
        <v>-4.9055555555555559</v>
      </c>
      <c r="C1431" t="str">
        <f ca="1">IF(currency="USD",'Future et co'!D1431,IF(currency="EUR",'Future et co'!E1431,IF(currency="GBP",'Future et co'!F1431,FALSE)))</f>
        <v>RFR USD</v>
      </c>
      <c r="D1431" t="str">
        <f t="shared" ca="1" si="111"/>
        <v>RFR USD</v>
      </c>
      <c r="E1431" t="str">
        <f t="shared" ca="1" si="112"/>
        <v>RFR EUR</v>
      </c>
      <c r="F1431" t="str">
        <f t="shared" ca="1" si="113"/>
        <v>RFR GBP</v>
      </c>
      <c r="J1431" s="1"/>
      <c r="N1431" s="1"/>
      <c r="R1431" s="1"/>
      <c r="V1431" s="1"/>
      <c r="AB1431" s="1"/>
      <c r="AF1431" s="1"/>
      <c r="AJ1431" s="1"/>
      <c r="AN1431" s="1"/>
      <c r="AS1431" s="1"/>
      <c r="AX1431" s="1"/>
    </row>
    <row r="1432" spans="1:50" x14ac:dyDescent="0.3">
      <c r="A1432" s="19">
        <f t="shared" si="114"/>
        <v>47919</v>
      </c>
      <c r="B1432">
        <f t="shared" ca="1" si="110"/>
        <v>-4.9083333333333332</v>
      </c>
      <c r="C1432" t="str">
        <f ca="1">IF(currency="USD",'Future et co'!D1432,IF(currency="EUR",'Future et co'!E1432,IF(currency="GBP",'Future et co'!F1432,FALSE)))</f>
        <v>RFR USD</v>
      </c>
      <c r="D1432" t="str">
        <f t="shared" ca="1" si="111"/>
        <v>RFR USD</v>
      </c>
      <c r="E1432" t="str">
        <f t="shared" ca="1" si="112"/>
        <v>RFR EUR</v>
      </c>
      <c r="F1432" t="str">
        <f t="shared" ca="1" si="113"/>
        <v>RFR GBP</v>
      </c>
      <c r="J1432" s="1"/>
      <c r="N1432" s="1"/>
      <c r="R1432" s="1"/>
      <c r="V1432" s="1"/>
      <c r="AB1432" s="1"/>
      <c r="AF1432" s="1"/>
      <c r="AJ1432" s="1"/>
      <c r="AN1432" s="1"/>
      <c r="AS1432" s="1"/>
      <c r="AX1432" s="1"/>
    </row>
    <row r="1433" spans="1:50" x14ac:dyDescent="0.3">
      <c r="A1433" s="19">
        <f t="shared" si="114"/>
        <v>47920</v>
      </c>
      <c r="B1433">
        <f t="shared" ca="1" si="110"/>
        <v>-4.9111111111111114</v>
      </c>
      <c r="C1433" t="str">
        <f ca="1">IF(currency="USD",'Future et co'!D1433,IF(currency="EUR",'Future et co'!E1433,IF(currency="GBP",'Future et co'!F1433,FALSE)))</f>
        <v>RFR USD</v>
      </c>
      <c r="D1433" t="str">
        <f t="shared" ca="1" si="111"/>
        <v>RFR USD</v>
      </c>
      <c r="E1433" t="str">
        <f t="shared" ca="1" si="112"/>
        <v>RFR EUR</v>
      </c>
      <c r="F1433" t="str">
        <f t="shared" ca="1" si="113"/>
        <v>RFR GBP</v>
      </c>
      <c r="J1433" s="1"/>
      <c r="N1433" s="1"/>
      <c r="R1433" s="1"/>
      <c r="V1433" s="1"/>
      <c r="AB1433" s="1"/>
      <c r="AF1433" s="1"/>
      <c r="AJ1433" s="1"/>
      <c r="AN1433" s="1"/>
      <c r="AS1433" s="1"/>
      <c r="AX1433" s="1"/>
    </row>
    <row r="1434" spans="1:50" x14ac:dyDescent="0.3">
      <c r="A1434" s="19">
        <f t="shared" si="114"/>
        <v>47921</v>
      </c>
      <c r="B1434">
        <f t="shared" ca="1" si="110"/>
        <v>-4.9138888888888888</v>
      </c>
      <c r="C1434" t="str">
        <f ca="1">IF(currency="USD",'Future et co'!D1434,IF(currency="EUR",'Future et co'!E1434,IF(currency="GBP",'Future et co'!F1434,FALSE)))</f>
        <v>RFR USD</v>
      </c>
      <c r="D1434" t="str">
        <f t="shared" ca="1" si="111"/>
        <v>RFR USD</v>
      </c>
      <c r="E1434" t="str">
        <f t="shared" ca="1" si="112"/>
        <v>RFR EUR</v>
      </c>
      <c r="F1434" t="str">
        <f t="shared" ca="1" si="113"/>
        <v>RFR GBP</v>
      </c>
      <c r="J1434" s="1"/>
      <c r="N1434" s="1"/>
      <c r="R1434" s="1"/>
      <c r="V1434" s="1"/>
      <c r="AB1434" s="1"/>
      <c r="AF1434" s="1"/>
      <c r="AJ1434" s="1"/>
      <c r="AN1434" s="1"/>
      <c r="AS1434" s="1"/>
      <c r="AX1434" s="1"/>
    </row>
    <row r="1435" spans="1:50" x14ac:dyDescent="0.3">
      <c r="A1435" s="19">
        <f t="shared" si="114"/>
        <v>47924</v>
      </c>
      <c r="B1435">
        <f t="shared" ca="1" si="110"/>
        <v>-4.9222222222222225</v>
      </c>
      <c r="C1435" t="str">
        <f ca="1">IF(currency="USD",'Future et co'!D1435,IF(currency="EUR",'Future et co'!E1435,IF(currency="GBP",'Future et co'!F1435,FALSE)))</f>
        <v>RFR USD</v>
      </c>
      <c r="D1435" t="str">
        <f t="shared" ca="1" si="111"/>
        <v>RFR USD</v>
      </c>
      <c r="E1435" t="str">
        <f t="shared" ca="1" si="112"/>
        <v>RFR EUR</v>
      </c>
      <c r="F1435" t="str">
        <f t="shared" ca="1" si="113"/>
        <v>RFR GBP</v>
      </c>
      <c r="J1435" s="1"/>
      <c r="N1435" s="1"/>
      <c r="R1435" s="1"/>
      <c r="V1435" s="1"/>
      <c r="AB1435" s="1"/>
      <c r="AF1435" s="1"/>
      <c r="AJ1435" s="1"/>
      <c r="AN1435" s="1"/>
      <c r="AS1435" s="1"/>
      <c r="AX1435" s="1"/>
    </row>
    <row r="1436" spans="1:50" x14ac:dyDescent="0.3">
      <c r="A1436" s="19">
        <f t="shared" si="114"/>
        <v>47925</v>
      </c>
      <c r="B1436">
        <f t="shared" ca="1" si="110"/>
        <v>-4.9249999999999998</v>
      </c>
      <c r="C1436" t="str">
        <f ca="1">IF(currency="USD",'Future et co'!D1436,IF(currency="EUR",'Future et co'!E1436,IF(currency="GBP",'Future et co'!F1436,FALSE)))</f>
        <v>RFR USD</v>
      </c>
      <c r="D1436" t="str">
        <f t="shared" ca="1" si="111"/>
        <v>RFR USD</v>
      </c>
      <c r="E1436" t="str">
        <f t="shared" ca="1" si="112"/>
        <v>RFR EUR</v>
      </c>
      <c r="F1436" t="str">
        <f t="shared" ca="1" si="113"/>
        <v>RFR GBP</v>
      </c>
      <c r="J1436" s="1"/>
      <c r="N1436" s="1"/>
      <c r="R1436" s="1"/>
      <c r="V1436" s="1"/>
      <c r="AB1436" s="1"/>
      <c r="AF1436" s="1"/>
      <c r="AJ1436" s="1"/>
      <c r="AN1436" s="1"/>
      <c r="AS1436" s="1"/>
      <c r="AX1436" s="1"/>
    </row>
    <row r="1437" spans="1:50" x14ac:dyDescent="0.3">
      <c r="A1437" s="19">
        <f t="shared" si="114"/>
        <v>47926</v>
      </c>
      <c r="B1437">
        <f t="shared" ca="1" si="110"/>
        <v>-4.927777777777778</v>
      </c>
      <c r="C1437" t="str">
        <f ca="1">IF(currency="USD",'Future et co'!D1437,IF(currency="EUR",'Future et co'!E1437,IF(currency="GBP",'Future et co'!F1437,FALSE)))</f>
        <v>RFR USD</v>
      </c>
      <c r="D1437" t="str">
        <f t="shared" ca="1" si="111"/>
        <v>RFR USD</v>
      </c>
      <c r="E1437" t="str">
        <f t="shared" ca="1" si="112"/>
        <v>RFR EUR</v>
      </c>
      <c r="F1437" t="str">
        <f t="shared" ca="1" si="113"/>
        <v>RFR GBP</v>
      </c>
      <c r="J1437" s="1"/>
      <c r="N1437" s="1"/>
      <c r="R1437" s="1"/>
      <c r="V1437" s="1"/>
      <c r="AB1437" s="1"/>
      <c r="AF1437" s="1"/>
      <c r="AJ1437" s="1"/>
      <c r="AN1437" s="1"/>
      <c r="AS1437" s="1"/>
      <c r="AX1437" s="1"/>
    </row>
    <row r="1438" spans="1:50" x14ac:dyDescent="0.3">
      <c r="A1438" s="19">
        <f t="shared" si="114"/>
        <v>47927</v>
      </c>
      <c r="B1438">
        <f t="shared" ca="1" si="110"/>
        <v>-4.9305555555555554</v>
      </c>
      <c r="C1438" t="str">
        <f ca="1">IF(currency="USD",'Future et co'!D1438,IF(currency="EUR",'Future et co'!E1438,IF(currency="GBP",'Future et co'!F1438,FALSE)))</f>
        <v>RFR USD</v>
      </c>
      <c r="D1438" t="str">
        <f t="shared" ca="1" si="111"/>
        <v>RFR USD</v>
      </c>
      <c r="E1438" t="str">
        <f t="shared" ca="1" si="112"/>
        <v>RFR EUR</v>
      </c>
      <c r="F1438" t="str">
        <f t="shared" ca="1" si="113"/>
        <v>RFR GBP</v>
      </c>
      <c r="J1438" s="1"/>
      <c r="N1438" s="1"/>
      <c r="R1438" s="1"/>
      <c r="V1438" s="1"/>
      <c r="AB1438" s="1"/>
      <c r="AF1438" s="1"/>
      <c r="AJ1438" s="1"/>
      <c r="AN1438" s="1"/>
      <c r="AS1438" s="1"/>
      <c r="AX1438" s="1"/>
    </row>
    <row r="1439" spans="1:50" x14ac:dyDescent="0.3">
      <c r="A1439" s="19">
        <f t="shared" si="114"/>
        <v>47928</v>
      </c>
      <c r="B1439">
        <f t="shared" ca="1" si="110"/>
        <v>-4.9333333333333336</v>
      </c>
      <c r="C1439" t="str">
        <f ca="1">IF(currency="USD",'Future et co'!D1439,IF(currency="EUR",'Future et co'!E1439,IF(currency="GBP",'Future et co'!F1439,FALSE)))</f>
        <v>RFR USD</v>
      </c>
      <c r="D1439" t="str">
        <f t="shared" ca="1" si="111"/>
        <v>RFR USD</v>
      </c>
      <c r="E1439" t="str">
        <f t="shared" ca="1" si="112"/>
        <v>RFR EUR</v>
      </c>
      <c r="F1439" t="str">
        <f t="shared" ca="1" si="113"/>
        <v>RFR GBP</v>
      </c>
      <c r="J1439" s="1"/>
      <c r="N1439" s="1"/>
      <c r="R1439" s="1"/>
      <c r="V1439" s="1"/>
      <c r="AB1439" s="1"/>
      <c r="AF1439" s="1"/>
      <c r="AJ1439" s="1"/>
      <c r="AN1439" s="1"/>
      <c r="AS1439" s="1"/>
      <c r="AX1439" s="1"/>
    </row>
    <row r="1440" spans="1:50" x14ac:dyDescent="0.3">
      <c r="A1440" s="19">
        <f t="shared" si="114"/>
        <v>47931</v>
      </c>
      <c r="B1440">
        <f t="shared" ca="1" si="110"/>
        <v>-4.9416666666666664</v>
      </c>
      <c r="C1440" t="str">
        <f ca="1">IF(currency="USD",'Future et co'!D1440,IF(currency="EUR",'Future et co'!E1440,IF(currency="GBP",'Future et co'!F1440,FALSE)))</f>
        <v>RFR USD</v>
      </c>
      <c r="D1440" t="str">
        <f t="shared" ca="1" si="111"/>
        <v>RFR USD</v>
      </c>
      <c r="E1440" t="str">
        <f t="shared" ca="1" si="112"/>
        <v>RFR EUR</v>
      </c>
      <c r="F1440" t="str">
        <f t="shared" ca="1" si="113"/>
        <v>RFR GBP</v>
      </c>
      <c r="J1440" s="1"/>
      <c r="N1440" s="1"/>
      <c r="R1440" s="1"/>
      <c r="V1440" s="1"/>
      <c r="AB1440" s="1"/>
      <c r="AF1440" s="1"/>
      <c r="AJ1440" s="1"/>
      <c r="AN1440" s="1"/>
      <c r="AS1440" s="1"/>
      <c r="AX1440" s="1"/>
    </row>
    <row r="1441" spans="1:50" x14ac:dyDescent="0.3">
      <c r="A1441" s="19">
        <f t="shared" si="114"/>
        <v>47932</v>
      </c>
      <c r="B1441">
        <f t="shared" ca="1" si="110"/>
        <v>-4.9444444444444446</v>
      </c>
      <c r="C1441" t="str">
        <f ca="1">IF(currency="USD",'Future et co'!D1441,IF(currency="EUR",'Future et co'!E1441,IF(currency="GBP",'Future et co'!F1441,FALSE)))</f>
        <v>RFR USD</v>
      </c>
      <c r="D1441" t="str">
        <f t="shared" ca="1" si="111"/>
        <v>RFR USD</v>
      </c>
      <c r="E1441" t="str">
        <f t="shared" ca="1" si="112"/>
        <v>RFR EUR</v>
      </c>
      <c r="F1441" t="str">
        <f t="shared" ca="1" si="113"/>
        <v>RFR GBP</v>
      </c>
      <c r="J1441" s="1"/>
      <c r="N1441" s="1"/>
      <c r="R1441" s="1"/>
      <c r="V1441" s="1"/>
      <c r="AB1441" s="1"/>
      <c r="AF1441" s="1"/>
      <c r="AJ1441" s="1"/>
      <c r="AN1441" s="1"/>
      <c r="AS1441" s="1"/>
      <c r="AX1441" s="1"/>
    </row>
    <row r="1442" spans="1:50" x14ac:dyDescent="0.3">
      <c r="A1442" s="19">
        <f t="shared" si="114"/>
        <v>47933</v>
      </c>
      <c r="B1442">
        <f t="shared" ca="1" si="110"/>
        <v>-4.947222222222222</v>
      </c>
      <c r="C1442" t="str">
        <f ca="1">IF(currency="USD",'Future et co'!D1442,IF(currency="EUR",'Future et co'!E1442,IF(currency="GBP",'Future et co'!F1442,FALSE)))</f>
        <v>RFR USD</v>
      </c>
      <c r="D1442" t="str">
        <f t="shared" ca="1" si="111"/>
        <v>RFR USD</v>
      </c>
      <c r="E1442" t="str">
        <f t="shared" ca="1" si="112"/>
        <v>RFR EUR</v>
      </c>
      <c r="F1442" t="str">
        <f t="shared" ca="1" si="113"/>
        <v>RFR GBP</v>
      </c>
      <c r="J1442" s="1"/>
      <c r="N1442" s="1"/>
      <c r="R1442" s="1"/>
      <c r="V1442" s="1"/>
      <c r="AB1442" s="1"/>
      <c r="AF1442" s="1"/>
      <c r="AJ1442" s="1"/>
      <c r="AN1442" s="1"/>
      <c r="AS1442" s="1"/>
      <c r="AX1442" s="1"/>
    </row>
    <row r="1443" spans="1:50" x14ac:dyDescent="0.3">
      <c r="A1443" s="19">
        <f t="shared" si="114"/>
        <v>47934</v>
      </c>
      <c r="B1443">
        <f t="shared" ca="1" si="110"/>
        <v>-4.95</v>
      </c>
      <c r="C1443" t="str">
        <f ca="1">IF(currency="USD",'Future et co'!D1443,IF(currency="EUR",'Future et co'!E1443,IF(currency="GBP",'Future et co'!F1443,FALSE)))</f>
        <v>RFR USD</v>
      </c>
      <c r="D1443" t="str">
        <f t="shared" ca="1" si="111"/>
        <v>RFR USD</v>
      </c>
      <c r="E1443" t="str">
        <f t="shared" ca="1" si="112"/>
        <v>RFR EUR</v>
      </c>
      <c r="F1443" t="str">
        <f t="shared" ca="1" si="113"/>
        <v>RFR GBP</v>
      </c>
      <c r="J1443" s="1"/>
      <c r="N1443" s="1"/>
      <c r="R1443" s="1"/>
      <c r="V1443" s="1"/>
      <c r="AB1443" s="1"/>
      <c r="AF1443" s="1"/>
      <c r="AJ1443" s="1"/>
      <c r="AN1443" s="1"/>
      <c r="AS1443" s="1"/>
      <c r="AX1443" s="1"/>
    </row>
    <row r="1444" spans="1:50" x14ac:dyDescent="0.3">
      <c r="A1444" s="19">
        <f t="shared" si="114"/>
        <v>47935</v>
      </c>
      <c r="B1444">
        <f t="shared" ca="1" si="110"/>
        <v>-4.9527777777777775</v>
      </c>
      <c r="C1444" t="str">
        <f ca="1">IF(currency="USD",'Future et co'!D1444,IF(currency="EUR",'Future et co'!E1444,IF(currency="GBP",'Future et co'!F1444,FALSE)))</f>
        <v>RFR USD</v>
      </c>
      <c r="D1444" t="str">
        <f t="shared" ca="1" si="111"/>
        <v>RFR USD</v>
      </c>
      <c r="E1444" t="str">
        <f t="shared" ca="1" si="112"/>
        <v>RFR EUR</v>
      </c>
      <c r="F1444" t="str">
        <f t="shared" ca="1" si="113"/>
        <v>RFR GBP</v>
      </c>
      <c r="J1444" s="1"/>
      <c r="N1444" s="1"/>
      <c r="R1444" s="1"/>
      <c r="V1444" s="1"/>
      <c r="AB1444" s="1"/>
      <c r="AF1444" s="1"/>
      <c r="AJ1444" s="1"/>
      <c r="AN1444" s="1"/>
      <c r="AS1444" s="1"/>
      <c r="AX1444" s="1"/>
    </row>
    <row r="1445" spans="1:50" x14ac:dyDescent="0.3">
      <c r="A1445" s="19">
        <f t="shared" si="114"/>
        <v>47938</v>
      </c>
      <c r="B1445">
        <f t="shared" ca="1" si="110"/>
        <v>-4.9611111111111112</v>
      </c>
      <c r="C1445" t="str">
        <f ca="1">IF(currency="USD",'Future et co'!D1445,IF(currency="EUR",'Future et co'!E1445,IF(currency="GBP",'Future et co'!F1445,FALSE)))</f>
        <v>RFR USD</v>
      </c>
      <c r="D1445" t="str">
        <f t="shared" ca="1" si="111"/>
        <v>RFR USD</v>
      </c>
      <c r="E1445" t="str">
        <f t="shared" ca="1" si="112"/>
        <v>RFR EUR</v>
      </c>
      <c r="F1445" t="str">
        <f t="shared" ca="1" si="113"/>
        <v>RFR GBP</v>
      </c>
      <c r="J1445" s="1"/>
      <c r="N1445" s="1"/>
      <c r="R1445" s="1"/>
      <c r="V1445" s="1"/>
      <c r="AB1445" s="1"/>
      <c r="AF1445" s="1"/>
      <c r="AJ1445" s="1"/>
      <c r="AN1445" s="1"/>
      <c r="AS1445" s="1"/>
      <c r="AX1445" s="1"/>
    </row>
    <row r="1446" spans="1:50" x14ac:dyDescent="0.3">
      <c r="A1446" s="19">
        <f t="shared" si="114"/>
        <v>47939</v>
      </c>
      <c r="B1446">
        <f t="shared" ca="1" si="110"/>
        <v>-4.9638888888888886</v>
      </c>
      <c r="C1446" t="str">
        <f ca="1">IF(currency="USD",'Future et co'!D1446,IF(currency="EUR",'Future et co'!E1446,IF(currency="GBP",'Future et co'!F1446,FALSE)))</f>
        <v>RFR USD</v>
      </c>
      <c r="D1446" t="str">
        <f t="shared" ca="1" si="111"/>
        <v>RFR USD</v>
      </c>
      <c r="E1446" t="str">
        <f t="shared" ca="1" si="112"/>
        <v>RFR EUR</v>
      </c>
      <c r="F1446" t="str">
        <f t="shared" ca="1" si="113"/>
        <v>RFR GBP</v>
      </c>
      <c r="J1446" s="1"/>
      <c r="N1446" s="1"/>
      <c r="R1446" s="1"/>
      <c r="V1446" s="1"/>
      <c r="AB1446" s="1"/>
      <c r="AF1446" s="1"/>
      <c r="AJ1446" s="1"/>
      <c r="AN1446" s="1"/>
      <c r="AS1446" s="1"/>
      <c r="AX1446" s="1"/>
    </row>
    <row r="1447" spans="1:50" x14ac:dyDescent="0.3">
      <c r="A1447" s="19">
        <f t="shared" si="114"/>
        <v>47940</v>
      </c>
      <c r="B1447">
        <f t="shared" ca="1" si="110"/>
        <v>-4.9666666666666668</v>
      </c>
      <c r="C1447" t="str">
        <f ca="1">IF(currency="USD",'Future et co'!D1447,IF(currency="EUR",'Future et co'!E1447,IF(currency="GBP",'Future et co'!F1447,FALSE)))</f>
        <v>RFR USD</v>
      </c>
      <c r="D1447" t="str">
        <f t="shared" ca="1" si="111"/>
        <v>RFR USD</v>
      </c>
      <c r="E1447" t="str">
        <f t="shared" ca="1" si="112"/>
        <v>RFR EUR</v>
      </c>
      <c r="F1447" t="str">
        <f t="shared" ca="1" si="113"/>
        <v>RFR GBP</v>
      </c>
      <c r="J1447" s="1"/>
      <c r="N1447" s="1"/>
      <c r="R1447" s="1"/>
      <c r="V1447" s="1"/>
      <c r="AB1447" s="1"/>
      <c r="AF1447" s="1"/>
      <c r="AJ1447" s="1"/>
      <c r="AN1447" s="1"/>
      <c r="AS1447" s="1"/>
      <c r="AX1447" s="1"/>
    </row>
    <row r="1448" spans="1:50" x14ac:dyDescent="0.3">
      <c r="A1448" s="19">
        <f t="shared" si="114"/>
        <v>47941</v>
      </c>
      <c r="B1448">
        <f t="shared" ca="1" si="110"/>
        <v>-4.9694444444444441</v>
      </c>
      <c r="C1448" t="str">
        <f ca="1">IF(currency="USD",'Future et co'!D1448,IF(currency="EUR",'Future et co'!E1448,IF(currency="GBP",'Future et co'!F1448,FALSE)))</f>
        <v>RFR USD</v>
      </c>
      <c r="D1448" t="str">
        <f t="shared" ca="1" si="111"/>
        <v>RFR USD</v>
      </c>
      <c r="E1448" t="str">
        <f t="shared" ca="1" si="112"/>
        <v>RFR EUR</v>
      </c>
      <c r="F1448" t="str">
        <f t="shared" ca="1" si="113"/>
        <v>RFR GBP</v>
      </c>
      <c r="J1448" s="1"/>
      <c r="N1448" s="1"/>
      <c r="R1448" s="1"/>
      <c r="V1448" s="1"/>
      <c r="AB1448" s="1"/>
      <c r="AF1448" s="1"/>
      <c r="AJ1448" s="1"/>
      <c r="AN1448" s="1"/>
      <c r="AS1448" s="1"/>
      <c r="AX1448" s="1"/>
    </row>
    <row r="1449" spans="1:50" x14ac:dyDescent="0.3">
      <c r="A1449" s="19">
        <f t="shared" si="114"/>
        <v>47942</v>
      </c>
      <c r="B1449">
        <f t="shared" ca="1" si="110"/>
        <v>-4.9722222222222223</v>
      </c>
      <c r="C1449" t="str">
        <f ca="1">IF(currency="USD",'Future et co'!D1449,IF(currency="EUR",'Future et co'!E1449,IF(currency="GBP",'Future et co'!F1449,FALSE)))</f>
        <v>RFR USD</v>
      </c>
      <c r="D1449" t="str">
        <f t="shared" ca="1" si="111"/>
        <v>RFR USD</v>
      </c>
      <c r="E1449" t="str">
        <f t="shared" ca="1" si="112"/>
        <v>RFR EUR</v>
      </c>
      <c r="F1449" t="str">
        <f t="shared" ca="1" si="113"/>
        <v>RFR GBP</v>
      </c>
      <c r="J1449" s="1"/>
      <c r="N1449" s="1"/>
      <c r="R1449" s="1"/>
      <c r="V1449" s="1"/>
      <c r="AB1449" s="1"/>
      <c r="AF1449" s="1"/>
      <c r="AJ1449" s="1"/>
      <c r="AN1449" s="1"/>
      <c r="AS1449" s="1"/>
      <c r="AX1449" s="1"/>
    </row>
    <row r="1450" spans="1:50" x14ac:dyDescent="0.3">
      <c r="A1450" s="19">
        <f t="shared" si="114"/>
        <v>47945</v>
      </c>
      <c r="B1450">
        <f t="shared" ca="1" si="110"/>
        <v>-4.9805555555555552</v>
      </c>
      <c r="C1450" t="str">
        <f ca="1">IF(currency="USD",'Future et co'!D1450,IF(currency="EUR",'Future et co'!E1450,IF(currency="GBP",'Future et co'!F1450,FALSE)))</f>
        <v>RFR USD</v>
      </c>
      <c r="D1450" t="str">
        <f t="shared" ca="1" si="111"/>
        <v>RFR USD</v>
      </c>
      <c r="E1450" t="str">
        <f t="shared" ca="1" si="112"/>
        <v>RFR EUR</v>
      </c>
      <c r="F1450" t="str">
        <f t="shared" ca="1" si="113"/>
        <v>RFR GBP</v>
      </c>
      <c r="J1450" s="1"/>
      <c r="N1450" s="1"/>
      <c r="R1450" s="1"/>
      <c r="V1450" s="1"/>
      <c r="AB1450" s="1"/>
      <c r="AF1450" s="1"/>
      <c r="AJ1450" s="1"/>
      <c r="AN1450" s="1"/>
      <c r="AS1450" s="1"/>
      <c r="AX1450" s="1"/>
    </row>
    <row r="1451" spans="1:50" x14ac:dyDescent="0.3">
      <c r="A1451" s="19">
        <f t="shared" si="114"/>
        <v>47946</v>
      </c>
      <c r="B1451">
        <f t="shared" ca="1" si="110"/>
        <v>-4.9833333333333334</v>
      </c>
      <c r="C1451" t="str">
        <f ca="1">IF(currency="USD",'Future et co'!D1451,IF(currency="EUR",'Future et co'!E1451,IF(currency="GBP",'Future et co'!F1451,FALSE)))</f>
        <v>RFR USD</v>
      </c>
      <c r="D1451" t="str">
        <f t="shared" ca="1" si="111"/>
        <v>RFR USD</v>
      </c>
      <c r="E1451" t="str">
        <f t="shared" ca="1" si="112"/>
        <v>RFR EUR</v>
      </c>
      <c r="F1451" t="str">
        <f t="shared" ca="1" si="113"/>
        <v>RFR GBP</v>
      </c>
      <c r="J1451" s="1"/>
      <c r="N1451" s="1"/>
      <c r="R1451" s="1"/>
      <c r="V1451" s="1"/>
      <c r="AB1451" s="1"/>
      <c r="AF1451" s="1"/>
      <c r="AJ1451" s="1"/>
      <c r="AN1451" s="1"/>
      <c r="AS1451" s="1"/>
      <c r="AX1451" s="1"/>
    </row>
    <row r="1452" spans="1:50" x14ac:dyDescent="0.3">
      <c r="A1452" s="19">
        <f t="shared" si="114"/>
        <v>47947</v>
      </c>
      <c r="B1452">
        <f t="shared" ca="1" si="110"/>
        <v>-4.9861111111111107</v>
      </c>
      <c r="C1452" t="str">
        <f ca="1">IF(currency="USD",'Future et co'!D1452,IF(currency="EUR",'Future et co'!E1452,IF(currency="GBP",'Future et co'!F1452,FALSE)))</f>
        <v>RFR USD</v>
      </c>
      <c r="D1452" t="str">
        <f t="shared" ca="1" si="111"/>
        <v>RFR USD</v>
      </c>
      <c r="E1452" t="str">
        <f t="shared" ca="1" si="112"/>
        <v>RFR EUR</v>
      </c>
      <c r="F1452" t="str">
        <f t="shared" ca="1" si="113"/>
        <v>RFR GBP</v>
      </c>
      <c r="J1452" s="1"/>
      <c r="N1452" s="1"/>
      <c r="R1452" s="1"/>
      <c r="V1452" s="1"/>
      <c r="AB1452" s="1"/>
      <c r="AF1452" s="1"/>
      <c r="AJ1452" s="1"/>
      <c r="AN1452" s="1"/>
      <c r="AS1452" s="1"/>
      <c r="AX1452" s="1"/>
    </row>
    <row r="1453" spans="1:50" x14ac:dyDescent="0.3">
      <c r="A1453" s="19">
        <f t="shared" si="114"/>
        <v>47948</v>
      </c>
      <c r="B1453">
        <f t="shared" ca="1" si="110"/>
        <v>-4.9888888888888889</v>
      </c>
      <c r="C1453" t="str">
        <f ca="1">IF(currency="USD",'Future et co'!D1453,IF(currency="EUR",'Future et co'!E1453,IF(currency="GBP",'Future et co'!F1453,FALSE)))</f>
        <v>RFR USD</v>
      </c>
      <c r="D1453" t="str">
        <f t="shared" ca="1" si="111"/>
        <v>RFR USD</v>
      </c>
      <c r="E1453" t="str">
        <f t="shared" ca="1" si="112"/>
        <v>RFR EUR</v>
      </c>
      <c r="F1453" t="str">
        <f t="shared" ca="1" si="113"/>
        <v>RFR GBP</v>
      </c>
      <c r="J1453" s="1"/>
      <c r="N1453" s="1"/>
      <c r="R1453" s="1"/>
      <c r="V1453" s="1"/>
      <c r="AB1453" s="1"/>
      <c r="AF1453" s="1"/>
      <c r="AJ1453" s="1"/>
      <c r="AN1453" s="1"/>
      <c r="AS1453" s="1"/>
      <c r="AX1453" s="1"/>
    </row>
    <row r="1454" spans="1:50" x14ac:dyDescent="0.3">
      <c r="A1454" s="19">
        <f t="shared" si="114"/>
        <v>47949</v>
      </c>
      <c r="B1454">
        <f t="shared" ca="1" si="110"/>
        <v>-4.9916666666666663</v>
      </c>
      <c r="C1454" t="str">
        <f ca="1">IF(currency="USD",'Future et co'!D1454,IF(currency="EUR",'Future et co'!E1454,IF(currency="GBP",'Future et co'!F1454,FALSE)))</f>
        <v>RFR USD</v>
      </c>
      <c r="D1454" t="str">
        <f t="shared" ca="1" si="111"/>
        <v>RFR USD</v>
      </c>
      <c r="E1454" t="str">
        <f t="shared" ca="1" si="112"/>
        <v>RFR EUR</v>
      </c>
      <c r="F1454" t="str">
        <f t="shared" ca="1" si="113"/>
        <v>RFR GBP</v>
      </c>
      <c r="J1454" s="1"/>
      <c r="N1454" s="1"/>
      <c r="R1454" s="1"/>
      <c r="V1454" s="1"/>
      <c r="AB1454" s="1"/>
      <c r="AF1454" s="1"/>
      <c r="AJ1454" s="1"/>
      <c r="AN1454" s="1"/>
      <c r="AS1454" s="1"/>
      <c r="AX1454" s="1"/>
    </row>
    <row r="1455" spans="1:50" x14ac:dyDescent="0.3">
      <c r="A1455" s="19">
        <f t="shared" si="114"/>
        <v>47952</v>
      </c>
      <c r="B1455">
        <f t="shared" ca="1" si="110"/>
        <v>-5</v>
      </c>
      <c r="C1455" t="str">
        <f ca="1">IF(currency="USD",'Future et co'!D1455,IF(currency="EUR",'Future et co'!E1455,IF(currency="GBP",'Future et co'!F1455,FALSE)))</f>
        <v>RFR USD</v>
      </c>
      <c r="D1455" t="str">
        <f t="shared" ca="1" si="111"/>
        <v>RFR USD</v>
      </c>
      <c r="E1455" t="str">
        <f t="shared" ca="1" si="112"/>
        <v>RFR EUR</v>
      </c>
      <c r="F1455" t="str">
        <f t="shared" ca="1" si="113"/>
        <v>RFR GBP</v>
      </c>
      <c r="J1455" s="1"/>
      <c r="N1455" s="1"/>
      <c r="R1455" s="1"/>
      <c r="V1455" s="1"/>
      <c r="AB1455" s="1"/>
      <c r="AF1455" s="1"/>
      <c r="AJ1455" s="1"/>
      <c r="AN1455" s="1"/>
      <c r="AS1455" s="1"/>
      <c r="AX1455" s="1"/>
    </row>
    <row r="1456" spans="1:50" x14ac:dyDescent="0.3">
      <c r="A1456" s="19">
        <f t="shared" si="114"/>
        <v>47953</v>
      </c>
      <c r="B1456">
        <f t="shared" ca="1" si="110"/>
        <v>-5.0027777777777782</v>
      </c>
      <c r="C1456" t="str">
        <f ca="1">IF(currency="USD",'Future et co'!D1456,IF(currency="EUR",'Future et co'!E1456,IF(currency="GBP",'Future et co'!F1456,FALSE)))</f>
        <v>RFR USD</v>
      </c>
      <c r="D1456" t="str">
        <f t="shared" ca="1" si="111"/>
        <v>RFR USD</v>
      </c>
      <c r="E1456" t="str">
        <f t="shared" ca="1" si="112"/>
        <v>RFR EUR</v>
      </c>
      <c r="F1456" t="str">
        <f t="shared" ca="1" si="113"/>
        <v>RFR GBP</v>
      </c>
      <c r="J1456" s="1"/>
      <c r="N1456" s="1"/>
      <c r="R1456" s="1"/>
      <c r="V1456" s="1"/>
      <c r="AB1456" s="1"/>
      <c r="AF1456" s="1"/>
      <c r="AJ1456" s="1"/>
      <c r="AN1456" s="1"/>
      <c r="AS1456" s="1"/>
      <c r="AX1456" s="1"/>
    </row>
    <row r="1457" spans="1:50" x14ac:dyDescent="0.3">
      <c r="A1457" s="19">
        <f t="shared" si="114"/>
        <v>47954</v>
      </c>
      <c r="B1457">
        <f t="shared" ca="1" si="110"/>
        <v>-5.0055555555555555</v>
      </c>
      <c r="C1457" t="str">
        <f ca="1">IF(currency="USD",'Future et co'!D1457,IF(currency="EUR",'Future et co'!E1457,IF(currency="GBP",'Future et co'!F1457,FALSE)))</f>
        <v>RFR USD</v>
      </c>
      <c r="D1457" t="str">
        <f t="shared" ca="1" si="111"/>
        <v>RFR USD</v>
      </c>
      <c r="E1457" t="str">
        <f t="shared" ca="1" si="112"/>
        <v>RFR EUR</v>
      </c>
      <c r="F1457" t="str">
        <f t="shared" ca="1" si="113"/>
        <v>RFR GBP</v>
      </c>
      <c r="J1457" s="1"/>
      <c r="N1457" s="1"/>
      <c r="R1457" s="1"/>
      <c r="V1457" s="1"/>
      <c r="AB1457" s="1"/>
      <c r="AF1457" s="1"/>
      <c r="AJ1457" s="1"/>
      <c r="AN1457" s="1"/>
      <c r="AS1457" s="1"/>
      <c r="AX1457" s="1"/>
    </row>
    <row r="1458" spans="1:50" x14ac:dyDescent="0.3">
      <c r="A1458" s="19">
        <f t="shared" si="114"/>
        <v>47955</v>
      </c>
      <c r="B1458">
        <f t="shared" ca="1" si="110"/>
        <v>-5.0083333333333337</v>
      </c>
      <c r="C1458" t="str">
        <f ca="1">IF(currency="USD",'Future et co'!D1458,IF(currency="EUR",'Future et co'!E1458,IF(currency="GBP",'Future et co'!F1458,FALSE)))</f>
        <v>RFR USD</v>
      </c>
      <c r="D1458" t="str">
        <f t="shared" ca="1" si="111"/>
        <v>RFR USD</v>
      </c>
      <c r="E1458" t="str">
        <f t="shared" ca="1" si="112"/>
        <v>RFR EUR</v>
      </c>
      <c r="F1458" t="str">
        <f t="shared" ca="1" si="113"/>
        <v>RFR GBP</v>
      </c>
      <c r="J1458" s="1"/>
      <c r="N1458" s="1"/>
      <c r="R1458" s="1"/>
      <c r="V1458" s="1"/>
      <c r="AB1458" s="1"/>
      <c r="AF1458" s="1"/>
      <c r="AJ1458" s="1"/>
      <c r="AN1458" s="1"/>
      <c r="AS1458" s="1"/>
      <c r="AX1458" s="1"/>
    </row>
    <row r="1459" spans="1:50" x14ac:dyDescent="0.3">
      <c r="A1459" s="19">
        <f t="shared" si="114"/>
        <v>47956</v>
      </c>
      <c r="B1459">
        <f t="shared" ca="1" si="110"/>
        <v>-5.0111111111111111</v>
      </c>
      <c r="C1459" t="str">
        <f ca="1">IF(currency="USD",'Future et co'!D1459,IF(currency="EUR",'Future et co'!E1459,IF(currency="GBP",'Future et co'!F1459,FALSE)))</f>
        <v>RFR USD</v>
      </c>
      <c r="D1459" t="str">
        <f t="shared" ca="1" si="111"/>
        <v>RFR USD</v>
      </c>
      <c r="E1459" t="str">
        <f t="shared" ca="1" si="112"/>
        <v>RFR EUR</v>
      </c>
      <c r="F1459" t="str">
        <f t="shared" ca="1" si="113"/>
        <v>RFR GBP</v>
      </c>
      <c r="J1459" s="1"/>
      <c r="N1459" s="1"/>
      <c r="R1459" s="1"/>
      <c r="V1459" s="1"/>
      <c r="AB1459" s="1"/>
      <c r="AF1459" s="1"/>
      <c r="AJ1459" s="1"/>
      <c r="AN1459" s="1"/>
      <c r="AS1459" s="1"/>
      <c r="AX1459" s="1"/>
    </row>
    <row r="1460" spans="1:50" x14ac:dyDescent="0.3">
      <c r="A1460" s="19">
        <f t="shared" si="114"/>
        <v>47959</v>
      </c>
      <c r="B1460">
        <f t="shared" ca="1" si="110"/>
        <v>-5.0194444444444448</v>
      </c>
      <c r="C1460" t="str">
        <f ca="1">IF(currency="USD",'Future et co'!D1460,IF(currency="EUR",'Future et co'!E1460,IF(currency="GBP",'Future et co'!F1460,FALSE)))</f>
        <v>RFR USD</v>
      </c>
      <c r="D1460" t="str">
        <f t="shared" ca="1" si="111"/>
        <v>RFR USD</v>
      </c>
      <c r="E1460" t="str">
        <f t="shared" ca="1" si="112"/>
        <v>RFR EUR</v>
      </c>
      <c r="F1460" t="str">
        <f t="shared" ca="1" si="113"/>
        <v>RFR GBP</v>
      </c>
      <c r="J1460" s="1"/>
      <c r="N1460" s="1"/>
      <c r="R1460" s="1"/>
      <c r="V1460" s="1"/>
      <c r="AB1460" s="1"/>
      <c r="AF1460" s="1"/>
      <c r="AJ1460" s="1"/>
      <c r="AN1460" s="1"/>
      <c r="AS1460" s="1"/>
      <c r="AX1460" s="1"/>
    </row>
    <row r="1461" spans="1:50" x14ac:dyDescent="0.3">
      <c r="A1461" s="19">
        <f t="shared" si="114"/>
        <v>47960</v>
      </c>
      <c r="B1461">
        <f t="shared" ca="1" si="110"/>
        <v>-5.0222222222222221</v>
      </c>
      <c r="C1461" t="str">
        <f ca="1">IF(currency="USD",'Future et co'!D1461,IF(currency="EUR",'Future et co'!E1461,IF(currency="GBP",'Future et co'!F1461,FALSE)))</f>
        <v>RFR USD</v>
      </c>
      <c r="D1461" t="str">
        <f t="shared" ca="1" si="111"/>
        <v>RFR USD</v>
      </c>
      <c r="E1461" t="str">
        <f t="shared" ca="1" si="112"/>
        <v>RFR EUR</v>
      </c>
      <c r="F1461" t="str">
        <f t="shared" ca="1" si="113"/>
        <v>RFR GBP</v>
      </c>
      <c r="J1461" s="1"/>
      <c r="N1461" s="1"/>
      <c r="R1461" s="1"/>
      <c r="V1461" s="1"/>
      <c r="AB1461" s="1"/>
      <c r="AF1461" s="1"/>
      <c r="AJ1461" s="1"/>
      <c r="AN1461" s="1"/>
      <c r="AS1461" s="1"/>
      <c r="AX1461" s="1"/>
    </row>
    <row r="1462" spans="1:50" x14ac:dyDescent="0.3">
      <c r="A1462" s="19">
        <f t="shared" si="114"/>
        <v>47961</v>
      </c>
      <c r="B1462">
        <f t="shared" ca="1" si="110"/>
        <v>-5.0250000000000004</v>
      </c>
      <c r="C1462" t="str">
        <f ca="1">IF(currency="USD",'Future et co'!D1462,IF(currency="EUR",'Future et co'!E1462,IF(currency="GBP",'Future et co'!F1462,FALSE)))</f>
        <v>RFR USD</v>
      </c>
      <c r="D1462" t="str">
        <f t="shared" ca="1" si="111"/>
        <v>RFR USD</v>
      </c>
      <c r="E1462" t="str">
        <f t="shared" ca="1" si="112"/>
        <v>RFR EUR</v>
      </c>
      <c r="F1462" t="str">
        <f t="shared" ca="1" si="113"/>
        <v>RFR GBP</v>
      </c>
      <c r="J1462" s="1"/>
      <c r="N1462" s="1"/>
      <c r="R1462" s="1"/>
      <c r="V1462" s="1"/>
      <c r="AB1462" s="1"/>
      <c r="AF1462" s="1"/>
      <c r="AJ1462" s="1"/>
      <c r="AN1462" s="1"/>
      <c r="AS1462" s="1"/>
      <c r="AX1462" s="1"/>
    </row>
    <row r="1463" spans="1:50" x14ac:dyDescent="0.3">
      <c r="A1463" s="19">
        <f t="shared" si="114"/>
        <v>47962</v>
      </c>
      <c r="B1463">
        <f t="shared" ca="1" si="110"/>
        <v>-5.0277777777777777</v>
      </c>
      <c r="C1463" t="str">
        <f ca="1">IF(currency="USD",'Future et co'!D1463,IF(currency="EUR",'Future et co'!E1463,IF(currency="GBP",'Future et co'!F1463,FALSE)))</f>
        <v>RFR USD</v>
      </c>
      <c r="D1463" t="str">
        <f t="shared" ca="1" si="111"/>
        <v>RFR USD</v>
      </c>
      <c r="E1463" t="str">
        <f t="shared" ca="1" si="112"/>
        <v>RFR EUR</v>
      </c>
      <c r="F1463" t="str">
        <f t="shared" ca="1" si="113"/>
        <v>RFR GBP</v>
      </c>
      <c r="J1463" s="1"/>
      <c r="N1463" s="1"/>
      <c r="R1463" s="1"/>
      <c r="V1463" s="1"/>
      <c r="AB1463" s="1"/>
      <c r="AF1463" s="1"/>
      <c r="AJ1463" s="1"/>
      <c r="AN1463" s="1"/>
      <c r="AS1463" s="1"/>
      <c r="AX1463" s="1"/>
    </row>
    <row r="1464" spans="1:50" x14ac:dyDescent="0.3">
      <c r="A1464" s="19">
        <f t="shared" si="114"/>
        <v>47963</v>
      </c>
      <c r="B1464">
        <f t="shared" ca="1" si="110"/>
        <v>-5.0305555555555559</v>
      </c>
      <c r="C1464" t="str">
        <f ca="1">IF(currency="USD",'Future et co'!D1464,IF(currency="EUR",'Future et co'!E1464,IF(currency="GBP",'Future et co'!F1464,FALSE)))</f>
        <v>RFR USD</v>
      </c>
      <c r="D1464" t="str">
        <f t="shared" ca="1" si="111"/>
        <v>RFR USD</v>
      </c>
      <c r="E1464" t="str">
        <f t="shared" ca="1" si="112"/>
        <v>RFR EUR</v>
      </c>
      <c r="F1464" t="str">
        <f t="shared" ca="1" si="113"/>
        <v>RFR GBP</v>
      </c>
      <c r="J1464" s="1"/>
      <c r="N1464" s="1"/>
      <c r="R1464" s="1"/>
      <c r="V1464" s="1"/>
      <c r="AB1464" s="1"/>
      <c r="AF1464" s="1"/>
      <c r="AJ1464" s="1"/>
      <c r="AN1464" s="1"/>
      <c r="AS1464" s="1"/>
      <c r="AX1464" s="1"/>
    </row>
    <row r="1465" spans="1:50" x14ac:dyDescent="0.3">
      <c r="A1465" s="19">
        <f t="shared" si="114"/>
        <v>47966</v>
      </c>
      <c r="B1465">
        <f t="shared" ca="1" si="110"/>
        <v>-5.0388888888888888</v>
      </c>
      <c r="C1465" t="str">
        <f ca="1">IF(currency="USD",'Future et co'!D1465,IF(currency="EUR",'Future et co'!E1465,IF(currency="GBP",'Future et co'!F1465,FALSE)))</f>
        <v>RFR USD</v>
      </c>
      <c r="D1465" t="str">
        <f t="shared" ca="1" si="111"/>
        <v>RFR USD</v>
      </c>
      <c r="E1465" t="str">
        <f t="shared" ca="1" si="112"/>
        <v>RFR EUR</v>
      </c>
      <c r="F1465" t="str">
        <f t="shared" ca="1" si="113"/>
        <v>RFR GBP</v>
      </c>
      <c r="J1465" s="1"/>
      <c r="N1465" s="1"/>
      <c r="R1465" s="1"/>
      <c r="V1465" s="1"/>
      <c r="AB1465" s="1"/>
      <c r="AF1465" s="1"/>
      <c r="AJ1465" s="1"/>
      <c r="AN1465" s="1"/>
      <c r="AS1465" s="1"/>
      <c r="AX1465" s="1"/>
    </row>
    <row r="1466" spans="1:50" x14ac:dyDescent="0.3">
      <c r="A1466" s="19">
        <f t="shared" si="114"/>
        <v>47967</v>
      </c>
      <c r="B1466">
        <f t="shared" ca="1" si="110"/>
        <v>-5.041666666666667</v>
      </c>
      <c r="C1466" t="str">
        <f ca="1">IF(currency="USD",'Future et co'!D1466,IF(currency="EUR",'Future et co'!E1466,IF(currency="GBP",'Future et co'!F1466,FALSE)))</f>
        <v>RFR USD</v>
      </c>
      <c r="D1466" t="str">
        <f t="shared" ca="1" si="111"/>
        <v>RFR USD</v>
      </c>
      <c r="E1466" t="str">
        <f t="shared" ca="1" si="112"/>
        <v>RFR EUR</v>
      </c>
      <c r="F1466" t="str">
        <f t="shared" ca="1" si="113"/>
        <v>RFR GBP</v>
      </c>
      <c r="J1466" s="1"/>
      <c r="N1466" s="1"/>
      <c r="R1466" s="1"/>
      <c r="V1466" s="1"/>
      <c r="AB1466" s="1"/>
      <c r="AF1466" s="1"/>
      <c r="AJ1466" s="1"/>
      <c r="AN1466" s="1"/>
      <c r="AS1466" s="1"/>
      <c r="AX1466" s="1"/>
    </row>
    <row r="1467" spans="1:50" x14ac:dyDescent="0.3">
      <c r="A1467" s="19">
        <f t="shared" si="114"/>
        <v>47968</v>
      </c>
      <c r="B1467">
        <f t="shared" ca="1" si="110"/>
        <v>-5.0444444444444443</v>
      </c>
      <c r="C1467" t="str">
        <f ca="1">IF(currency="USD",'Future et co'!D1467,IF(currency="EUR",'Future et co'!E1467,IF(currency="GBP",'Future et co'!F1467,FALSE)))</f>
        <v>RFR USD</v>
      </c>
      <c r="D1467" t="str">
        <f t="shared" ca="1" si="111"/>
        <v>RFR USD</v>
      </c>
      <c r="E1467" t="str">
        <f t="shared" ca="1" si="112"/>
        <v>RFR EUR</v>
      </c>
      <c r="F1467" t="str">
        <f t="shared" ca="1" si="113"/>
        <v>RFR GBP</v>
      </c>
      <c r="J1467" s="1"/>
      <c r="N1467" s="1"/>
      <c r="R1467" s="1"/>
      <c r="V1467" s="1"/>
      <c r="AB1467" s="1"/>
      <c r="AF1467" s="1"/>
      <c r="AJ1467" s="1"/>
      <c r="AN1467" s="1"/>
      <c r="AS1467" s="1"/>
      <c r="AX1467" s="1"/>
    </row>
    <row r="1468" spans="1:50" x14ac:dyDescent="0.3">
      <c r="A1468" s="19">
        <f t="shared" si="114"/>
        <v>47969</v>
      </c>
      <c r="B1468">
        <f t="shared" ca="1" si="110"/>
        <v>-5.0472222222222225</v>
      </c>
      <c r="C1468" t="str">
        <f ca="1">IF(currency="USD",'Future et co'!D1468,IF(currency="EUR",'Future et co'!E1468,IF(currency="GBP",'Future et co'!F1468,FALSE)))</f>
        <v>RFR USD</v>
      </c>
      <c r="D1468" t="str">
        <f t="shared" ca="1" si="111"/>
        <v>RFR USD</v>
      </c>
      <c r="E1468" t="str">
        <f t="shared" ca="1" si="112"/>
        <v>RFR EUR</v>
      </c>
      <c r="F1468" t="str">
        <f t="shared" ca="1" si="113"/>
        <v>RFR GBP</v>
      </c>
      <c r="J1468" s="1"/>
      <c r="N1468" s="1"/>
      <c r="R1468" s="1"/>
      <c r="V1468" s="1"/>
      <c r="AB1468" s="1"/>
      <c r="AF1468" s="1"/>
      <c r="AJ1468" s="1"/>
      <c r="AN1468" s="1"/>
      <c r="AS1468" s="1"/>
      <c r="AX1468" s="1"/>
    </row>
    <row r="1469" spans="1:50" x14ac:dyDescent="0.3">
      <c r="A1469" s="19">
        <f t="shared" si="114"/>
        <v>47970</v>
      </c>
      <c r="B1469">
        <f t="shared" ca="1" si="110"/>
        <v>-5.05</v>
      </c>
      <c r="C1469" t="str">
        <f ca="1">IF(currency="USD",'Future et co'!D1469,IF(currency="EUR",'Future et co'!E1469,IF(currency="GBP",'Future et co'!F1469,FALSE)))</f>
        <v>RFR USD</v>
      </c>
      <c r="D1469" t="str">
        <f t="shared" ca="1" si="111"/>
        <v>RFR USD</v>
      </c>
      <c r="E1469" t="str">
        <f t="shared" ca="1" si="112"/>
        <v>RFR EUR</v>
      </c>
      <c r="F1469" t="str">
        <f t="shared" ca="1" si="113"/>
        <v>RFR GBP</v>
      </c>
      <c r="J1469" s="1"/>
      <c r="N1469" s="1"/>
      <c r="R1469" s="1"/>
      <c r="V1469" s="1"/>
      <c r="AB1469" s="1"/>
      <c r="AF1469" s="1"/>
      <c r="AJ1469" s="1"/>
      <c r="AN1469" s="1"/>
      <c r="AS1469" s="1"/>
      <c r="AX1469" s="1"/>
    </row>
    <row r="1470" spans="1:50" x14ac:dyDescent="0.3">
      <c r="A1470" s="19">
        <f t="shared" si="114"/>
        <v>47973</v>
      </c>
      <c r="B1470">
        <f t="shared" ca="1" si="110"/>
        <v>-5.0583333333333336</v>
      </c>
      <c r="C1470" t="str">
        <f ca="1">IF(currency="USD",'Future et co'!D1470,IF(currency="EUR",'Future et co'!E1470,IF(currency="GBP",'Future et co'!F1470,FALSE)))</f>
        <v>RFR USD</v>
      </c>
      <c r="D1470" t="str">
        <f t="shared" ca="1" si="111"/>
        <v>RFR USD</v>
      </c>
      <c r="E1470" t="str">
        <f t="shared" ca="1" si="112"/>
        <v>RFR EUR</v>
      </c>
      <c r="F1470" t="str">
        <f t="shared" ca="1" si="113"/>
        <v>RFR GBP</v>
      </c>
      <c r="J1470" s="1"/>
      <c r="N1470" s="1"/>
      <c r="R1470" s="1"/>
      <c r="V1470" s="1"/>
      <c r="AB1470" s="1"/>
      <c r="AF1470" s="1"/>
      <c r="AJ1470" s="1"/>
      <c r="AN1470" s="1"/>
      <c r="AS1470" s="1"/>
      <c r="AX1470" s="1"/>
    </row>
    <row r="1471" spans="1:50" x14ac:dyDescent="0.3">
      <c r="A1471" s="19">
        <f t="shared" si="114"/>
        <v>47974</v>
      </c>
      <c r="B1471">
        <f t="shared" ca="1" si="110"/>
        <v>-5.0611111111111109</v>
      </c>
      <c r="C1471" t="str">
        <f ca="1">IF(currency="USD",'Future et co'!D1471,IF(currency="EUR",'Future et co'!E1471,IF(currency="GBP",'Future et co'!F1471,FALSE)))</f>
        <v>RFR USD</v>
      </c>
      <c r="D1471" t="str">
        <f t="shared" ca="1" si="111"/>
        <v>RFR USD</v>
      </c>
      <c r="E1471" t="str">
        <f t="shared" ca="1" si="112"/>
        <v>RFR EUR</v>
      </c>
      <c r="F1471" t="str">
        <f t="shared" ca="1" si="113"/>
        <v>RFR GBP</v>
      </c>
      <c r="J1471" s="1"/>
      <c r="N1471" s="1"/>
      <c r="R1471" s="1"/>
      <c r="V1471" s="1"/>
      <c r="AB1471" s="1"/>
      <c r="AF1471" s="1"/>
      <c r="AJ1471" s="1"/>
      <c r="AN1471" s="1"/>
      <c r="AS1471" s="1"/>
      <c r="AX1471" s="1"/>
    </row>
    <row r="1472" spans="1:50" x14ac:dyDescent="0.3">
      <c r="A1472" s="19">
        <f t="shared" si="114"/>
        <v>47975</v>
      </c>
      <c r="B1472">
        <f t="shared" ca="1" si="110"/>
        <v>-5.0638888888888891</v>
      </c>
      <c r="C1472" t="str">
        <f ca="1">IF(currency="USD",'Future et co'!D1472,IF(currency="EUR",'Future et co'!E1472,IF(currency="GBP",'Future et co'!F1472,FALSE)))</f>
        <v>RFR USD</v>
      </c>
      <c r="D1472" t="str">
        <f t="shared" ca="1" si="111"/>
        <v>RFR USD</v>
      </c>
      <c r="E1472" t="str">
        <f t="shared" ca="1" si="112"/>
        <v>RFR EUR</v>
      </c>
      <c r="F1472" t="str">
        <f t="shared" ca="1" si="113"/>
        <v>RFR GBP</v>
      </c>
      <c r="J1472" s="1"/>
      <c r="N1472" s="1"/>
      <c r="R1472" s="1"/>
      <c r="V1472" s="1"/>
      <c r="AB1472" s="1"/>
      <c r="AF1472" s="1"/>
      <c r="AJ1472" s="1"/>
      <c r="AN1472" s="1"/>
      <c r="AS1472" s="1"/>
      <c r="AX1472" s="1"/>
    </row>
    <row r="1473" spans="1:50" x14ac:dyDescent="0.3">
      <c r="A1473" s="19">
        <f t="shared" si="114"/>
        <v>47976</v>
      </c>
      <c r="B1473">
        <f t="shared" ca="1" si="110"/>
        <v>-5.0666666666666664</v>
      </c>
      <c r="C1473" t="str">
        <f ca="1">IF(currency="USD",'Future et co'!D1473,IF(currency="EUR",'Future et co'!E1473,IF(currency="GBP",'Future et co'!F1473,FALSE)))</f>
        <v>RFR USD</v>
      </c>
      <c r="D1473" t="str">
        <f t="shared" ca="1" si="111"/>
        <v>RFR USD</v>
      </c>
      <c r="E1473" t="str">
        <f t="shared" ca="1" si="112"/>
        <v>RFR EUR</v>
      </c>
      <c r="F1473" t="str">
        <f t="shared" ca="1" si="113"/>
        <v>RFR GBP</v>
      </c>
      <c r="J1473" s="1"/>
      <c r="N1473" s="1"/>
      <c r="R1473" s="1"/>
      <c r="V1473" s="1"/>
      <c r="AB1473" s="1"/>
      <c r="AF1473" s="1"/>
      <c r="AJ1473" s="1"/>
      <c r="AN1473" s="1"/>
      <c r="AS1473" s="1"/>
      <c r="AX1473" s="1"/>
    </row>
    <row r="1474" spans="1:50" x14ac:dyDescent="0.3">
      <c r="A1474" s="19">
        <f t="shared" si="114"/>
        <v>47977</v>
      </c>
      <c r="B1474">
        <f t="shared" ca="1" si="110"/>
        <v>-5.0694444444444446</v>
      </c>
      <c r="C1474" t="str">
        <f ca="1">IF(currency="USD",'Future et co'!D1474,IF(currency="EUR",'Future et co'!E1474,IF(currency="GBP",'Future et co'!F1474,FALSE)))</f>
        <v>RFR USD</v>
      </c>
      <c r="D1474" t="str">
        <f t="shared" ca="1" si="111"/>
        <v>RFR USD</v>
      </c>
      <c r="E1474" t="str">
        <f t="shared" ca="1" si="112"/>
        <v>RFR EUR</v>
      </c>
      <c r="F1474" t="str">
        <f t="shared" ca="1" si="113"/>
        <v>RFR GBP</v>
      </c>
      <c r="J1474" s="1"/>
      <c r="N1474" s="1"/>
      <c r="R1474" s="1"/>
      <c r="V1474" s="1"/>
      <c r="AB1474" s="1"/>
      <c r="AF1474" s="1"/>
      <c r="AJ1474" s="1"/>
      <c r="AN1474" s="1"/>
      <c r="AS1474" s="1"/>
      <c r="AX1474" s="1"/>
    </row>
    <row r="1475" spans="1:50" x14ac:dyDescent="0.3">
      <c r="A1475" s="19">
        <f t="shared" si="114"/>
        <v>47980</v>
      </c>
      <c r="B1475">
        <f t="shared" ca="1" si="110"/>
        <v>-5.0777777777777775</v>
      </c>
      <c r="C1475" t="str">
        <f ca="1">IF(currency="USD",'Future et co'!D1475,IF(currency="EUR",'Future et co'!E1475,IF(currency="GBP",'Future et co'!F1475,FALSE)))</f>
        <v>RFR USD</v>
      </c>
      <c r="D1475" t="str">
        <f t="shared" ca="1" si="111"/>
        <v>RFR USD</v>
      </c>
      <c r="E1475" t="str">
        <f t="shared" ca="1" si="112"/>
        <v>RFR EUR</v>
      </c>
      <c r="F1475" t="str">
        <f t="shared" ca="1" si="113"/>
        <v>RFR GBP</v>
      </c>
      <c r="J1475" s="1"/>
      <c r="N1475" s="1"/>
      <c r="R1475" s="1"/>
      <c r="V1475" s="1"/>
      <c r="AB1475" s="1"/>
      <c r="AF1475" s="1"/>
      <c r="AJ1475" s="1"/>
      <c r="AN1475" s="1"/>
      <c r="AS1475" s="1"/>
      <c r="AX1475" s="1"/>
    </row>
    <row r="1476" spans="1:50" x14ac:dyDescent="0.3">
      <c r="A1476" s="19">
        <f t="shared" si="114"/>
        <v>47981</v>
      </c>
      <c r="B1476">
        <f t="shared" ca="1" si="110"/>
        <v>-5.0805555555555557</v>
      </c>
      <c r="C1476" t="str">
        <f ca="1">IF(currency="USD",'Future et co'!D1476,IF(currency="EUR",'Future et co'!E1476,IF(currency="GBP",'Future et co'!F1476,FALSE)))</f>
        <v>RFR USD</v>
      </c>
      <c r="D1476" t="str">
        <f t="shared" ca="1" si="111"/>
        <v>RFR USD</v>
      </c>
      <c r="E1476" t="str">
        <f t="shared" ca="1" si="112"/>
        <v>RFR EUR</v>
      </c>
      <c r="F1476" t="str">
        <f t="shared" ca="1" si="113"/>
        <v>RFR GBP</v>
      </c>
      <c r="J1476" s="1"/>
      <c r="N1476" s="1"/>
      <c r="R1476" s="1"/>
      <c r="V1476" s="1"/>
      <c r="AB1476" s="1"/>
      <c r="AF1476" s="1"/>
      <c r="AJ1476" s="1"/>
      <c r="AN1476" s="1"/>
      <c r="AS1476" s="1"/>
      <c r="AX1476" s="1"/>
    </row>
    <row r="1477" spans="1:50" x14ac:dyDescent="0.3">
      <c r="A1477" s="19">
        <f t="shared" si="114"/>
        <v>47982</v>
      </c>
      <c r="B1477">
        <f t="shared" ca="1" si="110"/>
        <v>-5.083333333333333</v>
      </c>
      <c r="C1477" t="str">
        <f ca="1">IF(currency="USD",'Future et co'!D1477,IF(currency="EUR",'Future et co'!E1477,IF(currency="GBP",'Future et co'!F1477,FALSE)))</f>
        <v>RFR USD</v>
      </c>
      <c r="D1477" t="str">
        <f t="shared" ca="1" si="111"/>
        <v>RFR USD</v>
      </c>
      <c r="E1477" t="str">
        <f t="shared" ca="1" si="112"/>
        <v>RFR EUR</v>
      </c>
      <c r="F1477" t="str">
        <f t="shared" ca="1" si="113"/>
        <v>RFR GBP</v>
      </c>
      <c r="J1477" s="1"/>
      <c r="N1477" s="1"/>
      <c r="R1477" s="1"/>
      <c r="V1477" s="1"/>
      <c r="AB1477" s="1"/>
      <c r="AF1477" s="1"/>
      <c r="AJ1477" s="1"/>
      <c r="AN1477" s="1"/>
      <c r="AS1477" s="1"/>
      <c r="AX1477" s="1"/>
    </row>
    <row r="1478" spans="1:50" x14ac:dyDescent="0.3">
      <c r="A1478" s="19">
        <f t="shared" si="114"/>
        <v>47983</v>
      </c>
      <c r="B1478">
        <f t="shared" ca="1" si="110"/>
        <v>-5.0861111111111112</v>
      </c>
      <c r="C1478" t="str">
        <f ca="1">IF(currency="USD",'Future et co'!D1478,IF(currency="EUR",'Future et co'!E1478,IF(currency="GBP",'Future et co'!F1478,FALSE)))</f>
        <v>RFR USD</v>
      </c>
      <c r="D1478" t="str">
        <f t="shared" ca="1" si="111"/>
        <v>RFR USD</v>
      </c>
      <c r="E1478" t="str">
        <f t="shared" ca="1" si="112"/>
        <v>RFR EUR</v>
      </c>
      <c r="F1478" t="str">
        <f t="shared" ca="1" si="113"/>
        <v>RFR GBP</v>
      </c>
      <c r="J1478" s="1"/>
      <c r="N1478" s="1"/>
      <c r="R1478" s="1"/>
      <c r="V1478" s="1"/>
      <c r="AB1478" s="1"/>
      <c r="AF1478" s="1"/>
      <c r="AJ1478" s="1"/>
      <c r="AN1478" s="1"/>
      <c r="AS1478" s="1"/>
      <c r="AX1478" s="1"/>
    </row>
    <row r="1479" spans="1:50" x14ac:dyDescent="0.3">
      <c r="A1479" s="19">
        <f t="shared" si="114"/>
        <v>47984</v>
      </c>
      <c r="B1479">
        <f t="shared" ca="1" si="110"/>
        <v>-5.0888888888888886</v>
      </c>
      <c r="C1479" t="str">
        <f ca="1">IF(currency="USD",'Future et co'!D1479,IF(currency="EUR",'Future et co'!E1479,IF(currency="GBP",'Future et co'!F1479,FALSE)))</f>
        <v>RFR USD</v>
      </c>
      <c r="D1479" t="str">
        <f t="shared" ca="1" si="111"/>
        <v>RFR USD</v>
      </c>
      <c r="E1479" t="str">
        <f t="shared" ca="1" si="112"/>
        <v>RFR EUR</v>
      </c>
      <c r="F1479" t="str">
        <f t="shared" ca="1" si="113"/>
        <v>RFR GBP</v>
      </c>
      <c r="J1479" s="1"/>
      <c r="N1479" s="1"/>
      <c r="R1479" s="1"/>
      <c r="V1479" s="1"/>
      <c r="AB1479" s="1"/>
      <c r="AF1479" s="1"/>
      <c r="AJ1479" s="1"/>
      <c r="AN1479" s="1"/>
      <c r="AS1479" s="1"/>
      <c r="AX1479" s="1"/>
    </row>
    <row r="1480" spans="1:50" x14ac:dyDescent="0.3">
      <c r="A1480" s="19">
        <f t="shared" si="114"/>
        <v>47987</v>
      </c>
      <c r="B1480">
        <f t="shared" ca="1" si="110"/>
        <v>-5.0972222222222223</v>
      </c>
      <c r="C1480" t="str">
        <f ca="1">IF(currency="USD",'Future et co'!D1480,IF(currency="EUR",'Future et co'!E1480,IF(currency="GBP",'Future et co'!F1480,FALSE)))</f>
        <v>RFR USD</v>
      </c>
      <c r="D1480" t="str">
        <f t="shared" ca="1" si="111"/>
        <v>RFR USD</v>
      </c>
      <c r="E1480" t="str">
        <f t="shared" ca="1" si="112"/>
        <v>RFR EUR</v>
      </c>
      <c r="F1480" t="str">
        <f t="shared" ca="1" si="113"/>
        <v>RFR GBP</v>
      </c>
      <c r="J1480" s="1"/>
      <c r="N1480" s="1"/>
      <c r="R1480" s="1"/>
      <c r="V1480" s="1"/>
      <c r="AB1480" s="1"/>
      <c r="AF1480" s="1"/>
      <c r="AJ1480" s="1"/>
      <c r="AN1480" s="1"/>
      <c r="AS1480" s="1"/>
      <c r="AX1480" s="1"/>
    </row>
    <row r="1481" spans="1:50" x14ac:dyDescent="0.3">
      <c r="A1481" s="19">
        <f t="shared" si="114"/>
        <v>47988</v>
      </c>
      <c r="B1481">
        <f t="shared" ca="1" si="110"/>
        <v>-5.0999999999999996</v>
      </c>
      <c r="C1481" t="str">
        <f ca="1">IF(currency="USD",'Future et co'!D1481,IF(currency="EUR",'Future et co'!E1481,IF(currency="GBP",'Future et co'!F1481,FALSE)))</f>
        <v>RFR USD</v>
      </c>
      <c r="D1481" t="str">
        <f t="shared" ca="1" si="111"/>
        <v>RFR USD</v>
      </c>
      <c r="E1481" t="str">
        <f t="shared" ca="1" si="112"/>
        <v>RFR EUR</v>
      </c>
      <c r="F1481" t="str">
        <f t="shared" ca="1" si="113"/>
        <v>RFR GBP</v>
      </c>
      <c r="J1481" s="1"/>
      <c r="N1481" s="1"/>
      <c r="R1481" s="1"/>
      <c r="V1481" s="1"/>
      <c r="AB1481" s="1"/>
      <c r="AF1481" s="1"/>
      <c r="AJ1481" s="1"/>
      <c r="AN1481" s="1"/>
      <c r="AS1481" s="1"/>
      <c r="AX1481" s="1"/>
    </row>
    <row r="1482" spans="1:50" x14ac:dyDescent="0.3">
      <c r="A1482" s="19">
        <f t="shared" si="114"/>
        <v>47989</v>
      </c>
      <c r="B1482">
        <f t="shared" ca="1" si="110"/>
        <v>-5.1027777777777779</v>
      </c>
      <c r="C1482" t="str">
        <f ca="1">IF(currency="USD",'Future et co'!D1482,IF(currency="EUR",'Future et co'!E1482,IF(currency="GBP",'Future et co'!F1482,FALSE)))</f>
        <v>RFR USD</v>
      </c>
      <c r="D1482" t="str">
        <f t="shared" ca="1" si="111"/>
        <v>RFR USD</v>
      </c>
      <c r="E1482" t="str">
        <f t="shared" ca="1" si="112"/>
        <v>RFR EUR</v>
      </c>
      <c r="F1482" t="str">
        <f t="shared" ca="1" si="113"/>
        <v>RFR GBP</v>
      </c>
      <c r="J1482" s="1"/>
      <c r="N1482" s="1"/>
      <c r="R1482" s="1"/>
      <c r="V1482" s="1"/>
      <c r="AB1482" s="1"/>
      <c r="AF1482" s="1"/>
      <c r="AJ1482" s="1"/>
      <c r="AN1482" s="1"/>
      <c r="AS1482" s="1"/>
      <c r="AX1482" s="1"/>
    </row>
    <row r="1483" spans="1:50" x14ac:dyDescent="0.3">
      <c r="A1483" s="19">
        <f t="shared" si="114"/>
        <v>47990</v>
      </c>
      <c r="B1483">
        <f t="shared" ref="B1483:B1546" ca="1" si="115">($B$7-A1483)/360</f>
        <v>-5.1055555555555552</v>
      </c>
      <c r="C1483" t="str">
        <f ca="1">IF(currency="USD",'Future et co'!D1483,IF(currency="EUR",'Future et co'!E1483,IF(currency="GBP",'Future et co'!F1483,FALSE)))</f>
        <v>RFR USD</v>
      </c>
      <c r="D1483" t="str">
        <f t="shared" ref="D1483:D1546" ca="1" si="116">IFERROR(IF(B1483&lt;0.25,VLOOKUP(A1483,$J$11:$L$5325,3,FALSE),IF(AND(B1483&gt;=0.25,B1483&lt;0.5),VLOOKUP(A1483,$N$11:$P$5325,3,FALSE),IF(AND(B1483&gt;=0.5,B1483&lt;1),VLOOKUP(A1483,$R$11:$T$5325,3,FALSE),VLOOKUP(A1483,$V$11:$X$5010,3,FALSE)))),D1482)</f>
        <v>RFR USD</v>
      </c>
      <c r="E1483" t="str">
        <f t="shared" ref="E1483:E1546" ca="1" si="117">IFERROR(IF(B1483&lt;0.25,VLOOKUP(A1483,$AF$11:$AH$5325,3,FALSE),IF(AND(B1483&gt;=0.25,B1483&lt;0.5),VLOOKUP(A1483,$AJ$11:$AL$5325,3,FALSE),VLOOKUP(A1483,$AN$11:$AP$5325,3,FALSE))),E1482)</f>
        <v>RFR EUR</v>
      </c>
      <c r="F1483" t="str">
        <f t="shared" ref="F1483:F1546" ca="1" si="118">IFERROR(VLOOKUP(A1483,$AS$11:$AU$9999,3,FALSE),F1482)</f>
        <v>RFR GBP</v>
      </c>
      <c r="J1483" s="1"/>
      <c r="N1483" s="1"/>
      <c r="R1483" s="1"/>
      <c r="V1483" s="1"/>
      <c r="AB1483" s="1"/>
      <c r="AF1483" s="1"/>
      <c r="AJ1483" s="1"/>
      <c r="AN1483" s="1"/>
      <c r="AS1483" s="1"/>
      <c r="AX1483" s="1"/>
    </row>
    <row r="1484" spans="1:50" x14ac:dyDescent="0.3">
      <c r="A1484" s="19">
        <f t="shared" si="114"/>
        <v>47991</v>
      </c>
      <c r="B1484">
        <f t="shared" ca="1" si="115"/>
        <v>-5.1083333333333334</v>
      </c>
      <c r="C1484" t="str">
        <f ca="1">IF(currency="USD",'Future et co'!D1484,IF(currency="EUR",'Future et co'!E1484,IF(currency="GBP",'Future et co'!F1484,FALSE)))</f>
        <v>RFR USD</v>
      </c>
      <c r="D1484" t="str">
        <f t="shared" ca="1" si="116"/>
        <v>RFR USD</v>
      </c>
      <c r="E1484" t="str">
        <f t="shared" ca="1" si="117"/>
        <v>RFR EUR</v>
      </c>
      <c r="F1484" t="str">
        <f t="shared" ca="1" si="118"/>
        <v>RFR GBP</v>
      </c>
      <c r="J1484" s="1"/>
      <c r="N1484" s="1"/>
      <c r="R1484" s="1"/>
      <c r="V1484" s="1"/>
      <c r="AB1484" s="1"/>
      <c r="AF1484" s="1"/>
      <c r="AJ1484" s="1"/>
      <c r="AN1484" s="1"/>
      <c r="AS1484" s="1"/>
      <c r="AX1484" s="1"/>
    </row>
    <row r="1485" spans="1:50" x14ac:dyDescent="0.3">
      <c r="A1485" s="19">
        <f t="shared" ref="A1485:A1548" si="119">WORKDAY(A1484,1)</f>
        <v>47994</v>
      </c>
      <c r="B1485">
        <f t="shared" ca="1" si="115"/>
        <v>-5.1166666666666663</v>
      </c>
      <c r="C1485" t="str">
        <f ca="1">IF(currency="USD",'Future et co'!D1485,IF(currency="EUR",'Future et co'!E1485,IF(currency="GBP",'Future et co'!F1485,FALSE)))</f>
        <v>RFR USD</v>
      </c>
      <c r="D1485" t="str">
        <f t="shared" ca="1" si="116"/>
        <v>RFR USD</v>
      </c>
      <c r="E1485" t="str">
        <f t="shared" ca="1" si="117"/>
        <v>RFR EUR</v>
      </c>
      <c r="F1485" t="str">
        <f t="shared" ca="1" si="118"/>
        <v>RFR GBP</v>
      </c>
      <c r="J1485" s="1"/>
      <c r="N1485" s="1"/>
      <c r="R1485" s="1"/>
      <c r="V1485" s="1"/>
      <c r="AB1485" s="1"/>
      <c r="AF1485" s="1"/>
      <c r="AJ1485" s="1"/>
      <c r="AN1485" s="1"/>
      <c r="AS1485" s="1"/>
      <c r="AX1485" s="1"/>
    </row>
    <row r="1486" spans="1:50" x14ac:dyDescent="0.3">
      <c r="A1486" s="19">
        <f t="shared" si="119"/>
        <v>47995</v>
      </c>
      <c r="B1486">
        <f t="shared" ca="1" si="115"/>
        <v>-5.1194444444444445</v>
      </c>
      <c r="C1486" t="str">
        <f ca="1">IF(currency="USD",'Future et co'!D1486,IF(currency="EUR",'Future et co'!E1486,IF(currency="GBP",'Future et co'!F1486,FALSE)))</f>
        <v>RFR USD</v>
      </c>
      <c r="D1486" t="str">
        <f t="shared" ca="1" si="116"/>
        <v>RFR USD</v>
      </c>
      <c r="E1486" t="str">
        <f t="shared" ca="1" si="117"/>
        <v>RFR EUR</v>
      </c>
      <c r="F1486" t="str">
        <f t="shared" ca="1" si="118"/>
        <v>RFR GBP</v>
      </c>
      <c r="J1486" s="1"/>
      <c r="N1486" s="1"/>
      <c r="R1486" s="1"/>
      <c r="V1486" s="1"/>
      <c r="AB1486" s="1"/>
      <c r="AF1486" s="1"/>
      <c r="AJ1486" s="1"/>
      <c r="AN1486" s="1"/>
      <c r="AS1486" s="1"/>
      <c r="AX1486" s="1"/>
    </row>
    <row r="1487" spans="1:50" x14ac:dyDescent="0.3">
      <c r="A1487" s="19">
        <f t="shared" si="119"/>
        <v>47996</v>
      </c>
      <c r="B1487">
        <f t="shared" ca="1" si="115"/>
        <v>-5.1222222222222218</v>
      </c>
      <c r="C1487" t="str">
        <f ca="1">IF(currency="USD",'Future et co'!D1487,IF(currency="EUR",'Future et co'!E1487,IF(currency="GBP",'Future et co'!F1487,FALSE)))</f>
        <v>RFR USD</v>
      </c>
      <c r="D1487" t="str">
        <f t="shared" ca="1" si="116"/>
        <v>RFR USD</v>
      </c>
      <c r="E1487" t="str">
        <f t="shared" ca="1" si="117"/>
        <v>RFR EUR</v>
      </c>
      <c r="F1487" t="str">
        <f t="shared" ca="1" si="118"/>
        <v>RFR GBP</v>
      </c>
      <c r="J1487" s="1"/>
      <c r="N1487" s="1"/>
      <c r="R1487" s="1"/>
      <c r="V1487" s="1"/>
      <c r="AB1487" s="1"/>
      <c r="AF1487" s="1"/>
      <c r="AJ1487" s="1"/>
      <c r="AN1487" s="1"/>
      <c r="AS1487" s="1"/>
      <c r="AX1487" s="1"/>
    </row>
    <row r="1488" spans="1:50" x14ac:dyDescent="0.3">
      <c r="A1488" s="19">
        <f t="shared" si="119"/>
        <v>47997</v>
      </c>
      <c r="B1488">
        <f t="shared" ca="1" si="115"/>
        <v>-5.125</v>
      </c>
      <c r="C1488" t="str">
        <f ca="1">IF(currency="USD",'Future et co'!D1488,IF(currency="EUR",'Future et co'!E1488,IF(currency="GBP",'Future et co'!F1488,FALSE)))</f>
        <v>RFR USD</v>
      </c>
      <c r="D1488" t="str">
        <f t="shared" ca="1" si="116"/>
        <v>RFR USD</v>
      </c>
      <c r="E1488" t="str">
        <f t="shared" ca="1" si="117"/>
        <v>RFR EUR</v>
      </c>
      <c r="F1488" t="str">
        <f t="shared" ca="1" si="118"/>
        <v>RFR GBP</v>
      </c>
      <c r="J1488" s="1"/>
      <c r="N1488" s="1"/>
      <c r="R1488" s="1"/>
      <c r="V1488" s="1"/>
      <c r="AB1488" s="1"/>
      <c r="AF1488" s="1"/>
      <c r="AJ1488" s="1"/>
      <c r="AN1488" s="1"/>
      <c r="AS1488" s="1"/>
      <c r="AX1488" s="1"/>
    </row>
    <row r="1489" spans="1:50" x14ac:dyDescent="0.3">
      <c r="A1489" s="19">
        <f t="shared" si="119"/>
        <v>47998</v>
      </c>
      <c r="B1489">
        <f t="shared" ca="1" si="115"/>
        <v>-5.1277777777777782</v>
      </c>
      <c r="C1489" t="str">
        <f ca="1">IF(currency="USD",'Future et co'!D1489,IF(currency="EUR",'Future et co'!E1489,IF(currency="GBP",'Future et co'!F1489,FALSE)))</f>
        <v>RFR USD</v>
      </c>
      <c r="D1489" t="str">
        <f t="shared" ca="1" si="116"/>
        <v>RFR USD</v>
      </c>
      <c r="E1489" t="str">
        <f t="shared" ca="1" si="117"/>
        <v>RFR EUR</v>
      </c>
      <c r="F1489" t="str">
        <f t="shared" ca="1" si="118"/>
        <v>RFR GBP</v>
      </c>
      <c r="J1489" s="1"/>
      <c r="N1489" s="1"/>
      <c r="R1489" s="1"/>
      <c r="V1489" s="1"/>
      <c r="AB1489" s="1"/>
      <c r="AF1489" s="1"/>
      <c r="AJ1489" s="1"/>
      <c r="AN1489" s="1"/>
      <c r="AS1489" s="1"/>
      <c r="AX1489" s="1"/>
    </row>
    <row r="1490" spans="1:50" x14ac:dyDescent="0.3">
      <c r="A1490" s="19">
        <f t="shared" si="119"/>
        <v>48001</v>
      </c>
      <c r="B1490">
        <f t="shared" ca="1" si="115"/>
        <v>-5.1361111111111111</v>
      </c>
      <c r="C1490" t="str">
        <f ca="1">IF(currency="USD",'Future et co'!D1490,IF(currency="EUR",'Future et co'!E1490,IF(currency="GBP",'Future et co'!F1490,FALSE)))</f>
        <v>RFR USD</v>
      </c>
      <c r="D1490" t="str">
        <f t="shared" ca="1" si="116"/>
        <v>RFR USD</v>
      </c>
      <c r="E1490" t="str">
        <f t="shared" ca="1" si="117"/>
        <v>RFR EUR</v>
      </c>
      <c r="F1490" t="str">
        <f t="shared" ca="1" si="118"/>
        <v>RFR GBP</v>
      </c>
      <c r="J1490" s="1"/>
      <c r="N1490" s="1"/>
      <c r="R1490" s="1"/>
      <c r="V1490" s="1"/>
      <c r="AB1490" s="1"/>
      <c r="AF1490" s="1"/>
      <c r="AJ1490" s="1"/>
      <c r="AN1490" s="1"/>
      <c r="AS1490" s="1"/>
      <c r="AX1490" s="1"/>
    </row>
    <row r="1491" spans="1:50" x14ac:dyDescent="0.3">
      <c r="A1491" s="19">
        <f t="shared" si="119"/>
        <v>48002</v>
      </c>
      <c r="B1491">
        <f t="shared" ca="1" si="115"/>
        <v>-5.1388888888888893</v>
      </c>
      <c r="C1491" t="str">
        <f ca="1">IF(currency="USD",'Future et co'!D1491,IF(currency="EUR",'Future et co'!E1491,IF(currency="GBP",'Future et co'!F1491,FALSE)))</f>
        <v>RFR USD</v>
      </c>
      <c r="D1491" t="str">
        <f t="shared" ca="1" si="116"/>
        <v>RFR USD</v>
      </c>
      <c r="E1491" t="str">
        <f t="shared" ca="1" si="117"/>
        <v>RFR EUR</v>
      </c>
      <c r="F1491" t="str">
        <f t="shared" ca="1" si="118"/>
        <v>RFR GBP</v>
      </c>
      <c r="J1491" s="1"/>
      <c r="N1491" s="1"/>
      <c r="R1491" s="1"/>
      <c r="V1491" s="1"/>
      <c r="AB1491" s="1"/>
      <c r="AF1491" s="1"/>
      <c r="AJ1491" s="1"/>
      <c r="AN1491" s="1"/>
      <c r="AS1491" s="1"/>
      <c r="AX1491" s="1"/>
    </row>
    <row r="1492" spans="1:50" x14ac:dyDescent="0.3">
      <c r="A1492" s="19">
        <f t="shared" si="119"/>
        <v>48003</v>
      </c>
      <c r="B1492">
        <f t="shared" ca="1" si="115"/>
        <v>-5.1416666666666666</v>
      </c>
      <c r="C1492" t="str">
        <f ca="1">IF(currency="USD",'Future et co'!D1492,IF(currency="EUR",'Future et co'!E1492,IF(currency="GBP",'Future et co'!F1492,FALSE)))</f>
        <v>RFR USD</v>
      </c>
      <c r="D1492" t="str">
        <f t="shared" ca="1" si="116"/>
        <v>RFR USD</v>
      </c>
      <c r="E1492" t="str">
        <f t="shared" ca="1" si="117"/>
        <v>RFR EUR</v>
      </c>
      <c r="F1492" t="str">
        <f t="shared" ca="1" si="118"/>
        <v>RFR GBP</v>
      </c>
      <c r="J1492" s="1"/>
      <c r="N1492" s="1"/>
      <c r="R1492" s="1"/>
      <c r="V1492" s="1"/>
      <c r="AB1492" s="1"/>
      <c r="AF1492" s="1"/>
      <c r="AJ1492" s="1"/>
      <c r="AN1492" s="1"/>
      <c r="AS1492" s="1"/>
      <c r="AX1492" s="1"/>
    </row>
    <row r="1493" spans="1:50" x14ac:dyDescent="0.3">
      <c r="A1493" s="19">
        <f t="shared" si="119"/>
        <v>48004</v>
      </c>
      <c r="B1493">
        <f t="shared" ca="1" si="115"/>
        <v>-5.1444444444444448</v>
      </c>
      <c r="C1493" t="str">
        <f ca="1">IF(currency="USD",'Future et co'!D1493,IF(currency="EUR",'Future et co'!E1493,IF(currency="GBP",'Future et co'!F1493,FALSE)))</f>
        <v>RFR USD</v>
      </c>
      <c r="D1493" t="str">
        <f t="shared" ca="1" si="116"/>
        <v>RFR USD</v>
      </c>
      <c r="E1493" t="str">
        <f t="shared" ca="1" si="117"/>
        <v>RFR EUR</v>
      </c>
      <c r="F1493" t="str">
        <f t="shared" ca="1" si="118"/>
        <v>RFR GBP</v>
      </c>
      <c r="J1493" s="1"/>
      <c r="N1493" s="1"/>
      <c r="R1493" s="1"/>
      <c r="V1493" s="1"/>
      <c r="AB1493" s="1"/>
      <c r="AF1493" s="1"/>
      <c r="AJ1493" s="1"/>
      <c r="AN1493" s="1"/>
      <c r="AS1493" s="1"/>
      <c r="AX1493" s="1"/>
    </row>
    <row r="1494" spans="1:50" x14ac:dyDescent="0.3">
      <c r="A1494" s="19">
        <f t="shared" si="119"/>
        <v>48005</v>
      </c>
      <c r="B1494">
        <f t="shared" ca="1" si="115"/>
        <v>-5.1472222222222221</v>
      </c>
      <c r="C1494" t="str">
        <f ca="1">IF(currency="USD",'Future et co'!D1494,IF(currency="EUR",'Future et co'!E1494,IF(currency="GBP",'Future et co'!F1494,FALSE)))</f>
        <v>RFR USD</v>
      </c>
      <c r="D1494" t="str">
        <f t="shared" ca="1" si="116"/>
        <v>RFR USD</v>
      </c>
      <c r="E1494" t="str">
        <f t="shared" ca="1" si="117"/>
        <v>RFR EUR</v>
      </c>
      <c r="F1494" t="str">
        <f t="shared" ca="1" si="118"/>
        <v>RFR GBP</v>
      </c>
      <c r="J1494" s="1"/>
      <c r="N1494" s="1"/>
      <c r="R1494" s="1"/>
      <c r="V1494" s="1"/>
      <c r="AB1494" s="1"/>
      <c r="AF1494" s="1"/>
      <c r="AJ1494" s="1"/>
      <c r="AN1494" s="1"/>
      <c r="AS1494" s="1"/>
      <c r="AX1494" s="1"/>
    </row>
    <row r="1495" spans="1:50" x14ac:dyDescent="0.3">
      <c r="A1495" s="19">
        <f t="shared" si="119"/>
        <v>48008</v>
      </c>
      <c r="B1495">
        <f t="shared" ca="1" si="115"/>
        <v>-5.1555555555555559</v>
      </c>
      <c r="C1495" t="str">
        <f ca="1">IF(currency="USD",'Future et co'!D1495,IF(currency="EUR",'Future et co'!E1495,IF(currency="GBP",'Future et co'!F1495,FALSE)))</f>
        <v>RFR USD</v>
      </c>
      <c r="D1495" t="str">
        <f t="shared" ca="1" si="116"/>
        <v>RFR USD</v>
      </c>
      <c r="E1495" t="str">
        <f t="shared" ca="1" si="117"/>
        <v>RFR EUR</v>
      </c>
      <c r="F1495" t="str">
        <f t="shared" ca="1" si="118"/>
        <v>RFR GBP</v>
      </c>
      <c r="J1495" s="1"/>
      <c r="N1495" s="1"/>
      <c r="R1495" s="1"/>
      <c r="V1495" s="1"/>
      <c r="AB1495" s="1"/>
      <c r="AF1495" s="1"/>
      <c r="AJ1495" s="1"/>
      <c r="AN1495" s="1"/>
      <c r="AS1495" s="1"/>
      <c r="AX1495" s="1"/>
    </row>
    <row r="1496" spans="1:50" x14ac:dyDescent="0.3">
      <c r="A1496" s="19">
        <f t="shared" si="119"/>
        <v>48009</v>
      </c>
      <c r="B1496">
        <f t="shared" ca="1" si="115"/>
        <v>-5.1583333333333332</v>
      </c>
      <c r="C1496" t="str">
        <f ca="1">IF(currency="USD",'Future et co'!D1496,IF(currency="EUR",'Future et co'!E1496,IF(currency="GBP",'Future et co'!F1496,FALSE)))</f>
        <v>RFR USD</v>
      </c>
      <c r="D1496" t="str">
        <f t="shared" ca="1" si="116"/>
        <v>RFR USD</v>
      </c>
      <c r="E1496" t="str">
        <f t="shared" ca="1" si="117"/>
        <v>RFR EUR</v>
      </c>
      <c r="F1496" t="str">
        <f t="shared" ca="1" si="118"/>
        <v>RFR GBP</v>
      </c>
      <c r="J1496" s="1"/>
      <c r="N1496" s="1"/>
      <c r="R1496" s="1"/>
      <c r="V1496" s="1"/>
      <c r="AB1496" s="1"/>
      <c r="AF1496" s="1"/>
      <c r="AJ1496" s="1"/>
      <c r="AN1496" s="1"/>
      <c r="AS1496" s="1"/>
      <c r="AX1496" s="1"/>
    </row>
    <row r="1497" spans="1:50" x14ac:dyDescent="0.3">
      <c r="A1497" s="19">
        <f t="shared" si="119"/>
        <v>48010</v>
      </c>
      <c r="B1497">
        <f t="shared" ca="1" si="115"/>
        <v>-5.1611111111111114</v>
      </c>
      <c r="C1497" t="str">
        <f ca="1">IF(currency="USD",'Future et co'!D1497,IF(currency="EUR",'Future et co'!E1497,IF(currency="GBP",'Future et co'!F1497,FALSE)))</f>
        <v>RFR USD</v>
      </c>
      <c r="D1497" t="str">
        <f t="shared" ca="1" si="116"/>
        <v>RFR USD</v>
      </c>
      <c r="E1497" t="str">
        <f t="shared" ca="1" si="117"/>
        <v>RFR EUR</v>
      </c>
      <c r="F1497" t="str">
        <f t="shared" ca="1" si="118"/>
        <v>RFR GBP</v>
      </c>
      <c r="J1497" s="1"/>
      <c r="N1497" s="1"/>
      <c r="R1497" s="1"/>
      <c r="V1497" s="1"/>
      <c r="AB1497" s="1"/>
      <c r="AF1497" s="1"/>
      <c r="AJ1497" s="1"/>
      <c r="AN1497" s="1"/>
      <c r="AS1497" s="1"/>
      <c r="AX1497" s="1"/>
    </row>
    <row r="1498" spans="1:50" x14ac:dyDescent="0.3">
      <c r="A1498" s="19">
        <f t="shared" si="119"/>
        <v>48011</v>
      </c>
      <c r="B1498">
        <f t="shared" ca="1" si="115"/>
        <v>-5.1638888888888888</v>
      </c>
      <c r="C1498" t="str">
        <f ca="1">IF(currency="USD",'Future et co'!D1498,IF(currency="EUR",'Future et co'!E1498,IF(currency="GBP",'Future et co'!F1498,FALSE)))</f>
        <v>RFR USD</v>
      </c>
      <c r="D1498" t="str">
        <f t="shared" ca="1" si="116"/>
        <v>RFR USD</v>
      </c>
      <c r="E1498" t="str">
        <f t="shared" ca="1" si="117"/>
        <v>RFR EUR</v>
      </c>
      <c r="F1498" t="str">
        <f t="shared" ca="1" si="118"/>
        <v>RFR GBP</v>
      </c>
      <c r="J1498" s="1"/>
      <c r="N1498" s="1"/>
      <c r="R1498" s="1"/>
      <c r="V1498" s="1"/>
      <c r="AB1498" s="1"/>
      <c r="AF1498" s="1"/>
      <c r="AJ1498" s="1"/>
      <c r="AN1498" s="1"/>
      <c r="AS1498" s="1"/>
      <c r="AX1498" s="1"/>
    </row>
    <row r="1499" spans="1:50" x14ac:dyDescent="0.3">
      <c r="A1499" s="19">
        <f t="shared" si="119"/>
        <v>48012</v>
      </c>
      <c r="B1499">
        <f t="shared" ca="1" si="115"/>
        <v>-5.166666666666667</v>
      </c>
      <c r="C1499" t="str">
        <f ca="1">IF(currency="USD",'Future et co'!D1499,IF(currency="EUR",'Future et co'!E1499,IF(currency="GBP",'Future et co'!F1499,FALSE)))</f>
        <v>RFR USD</v>
      </c>
      <c r="D1499" t="str">
        <f t="shared" ca="1" si="116"/>
        <v>RFR USD</v>
      </c>
      <c r="E1499" t="str">
        <f t="shared" ca="1" si="117"/>
        <v>RFR EUR</v>
      </c>
      <c r="F1499" t="str">
        <f t="shared" ca="1" si="118"/>
        <v>RFR GBP</v>
      </c>
      <c r="J1499" s="1"/>
      <c r="N1499" s="1"/>
      <c r="R1499" s="1"/>
      <c r="V1499" s="1"/>
      <c r="AB1499" s="1"/>
      <c r="AF1499" s="1"/>
      <c r="AJ1499" s="1"/>
      <c r="AN1499" s="1"/>
      <c r="AS1499" s="1"/>
      <c r="AX1499" s="1"/>
    </row>
    <row r="1500" spans="1:50" x14ac:dyDescent="0.3">
      <c r="A1500" s="19">
        <f t="shared" si="119"/>
        <v>48015</v>
      </c>
      <c r="B1500">
        <f t="shared" ca="1" si="115"/>
        <v>-5.1749999999999998</v>
      </c>
      <c r="C1500" t="str">
        <f ca="1">IF(currency="USD",'Future et co'!D1500,IF(currency="EUR",'Future et co'!E1500,IF(currency="GBP",'Future et co'!F1500,FALSE)))</f>
        <v>RFR USD</v>
      </c>
      <c r="D1500" t="str">
        <f t="shared" ca="1" si="116"/>
        <v>RFR USD</v>
      </c>
      <c r="E1500" t="str">
        <f t="shared" ca="1" si="117"/>
        <v>RFR EUR</v>
      </c>
      <c r="F1500" t="str">
        <f t="shared" ca="1" si="118"/>
        <v>RFR GBP</v>
      </c>
      <c r="J1500" s="1"/>
      <c r="N1500" s="1"/>
      <c r="R1500" s="1"/>
      <c r="V1500" s="1"/>
      <c r="AB1500" s="1"/>
      <c r="AF1500" s="1"/>
      <c r="AJ1500" s="1"/>
      <c r="AN1500" s="1"/>
      <c r="AS1500" s="1"/>
      <c r="AX1500" s="1"/>
    </row>
    <row r="1501" spans="1:50" x14ac:dyDescent="0.3">
      <c r="A1501" s="19">
        <f t="shared" si="119"/>
        <v>48016</v>
      </c>
      <c r="B1501">
        <f t="shared" ca="1" si="115"/>
        <v>-5.177777777777778</v>
      </c>
      <c r="C1501" t="str">
        <f ca="1">IF(currency="USD",'Future et co'!D1501,IF(currency="EUR",'Future et co'!E1501,IF(currency="GBP",'Future et co'!F1501,FALSE)))</f>
        <v>RFR USD</v>
      </c>
      <c r="D1501" t="str">
        <f t="shared" ca="1" si="116"/>
        <v>RFR USD</v>
      </c>
      <c r="E1501" t="str">
        <f t="shared" ca="1" si="117"/>
        <v>RFR EUR</v>
      </c>
      <c r="F1501" t="str">
        <f t="shared" ca="1" si="118"/>
        <v>RFR GBP</v>
      </c>
      <c r="J1501" s="1"/>
      <c r="N1501" s="1"/>
      <c r="R1501" s="1"/>
      <c r="V1501" s="1"/>
      <c r="AB1501" s="1"/>
      <c r="AF1501" s="1"/>
      <c r="AJ1501" s="1"/>
      <c r="AN1501" s="1"/>
      <c r="AS1501" s="1"/>
      <c r="AX1501" s="1"/>
    </row>
    <row r="1502" spans="1:50" x14ac:dyDescent="0.3">
      <c r="A1502" s="19">
        <f t="shared" si="119"/>
        <v>48017</v>
      </c>
      <c r="B1502">
        <f t="shared" ca="1" si="115"/>
        <v>-5.1805555555555554</v>
      </c>
      <c r="C1502" t="str">
        <f ca="1">IF(currency="USD",'Future et co'!D1502,IF(currency="EUR",'Future et co'!E1502,IF(currency="GBP",'Future et co'!F1502,FALSE)))</f>
        <v>RFR USD</v>
      </c>
      <c r="D1502" t="str">
        <f t="shared" ca="1" si="116"/>
        <v>RFR USD</v>
      </c>
      <c r="E1502" t="str">
        <f t="shared" ca="1" si="117"/>
        <v>RFR EUR</v>
      </c>
      <c r="F1502" t="str">
        <f t="shared" ca="1" si="118"/>
        <v>RFR GBP</v>
      </c>
      <c r="J1502" s="1"/>
      <c r="N1502" s="1"/>
      <c r="R1502" s="1"/>
      <c r="V1502" s="1"/>
      <c r="AB1502" s="1"/>
      <c r="AF1502" s="1"/>
      <c r="AJ1502" s="1"/>
      <c r="AN1502" s="1"/>
      <c r="AS1502" s="1"/>
      <c r="AX1502" s="1"/>
    </row>
    <row r="1503" spans="1:50" x14ac:dyDescent="0.3">
      <c r="A1503" s="19">
        <f t="shared" si="119"/>
        <v>48018</v>
      </c>
      <c r="B1503">
        <f t="shared" ca="1" si="115"/>
        <v>-5.1833333333333336</v>
      </c>
      <c r="C1503" t="str">
        <f ca="1">IF(currency="USD",'Future et co'!D1503,IF(currency="EUR",'Future et co'!E1503,IF(currency="GBP",'Future et co'!F1503,FALSE)))</f>
        <v>RFR USD</v>
      </c>
      <c r="D1503" t="str">
        <f t="shared" ca="1" si="116"/>
        <v>RFR USD</v>
      </c>
      <c r="E1503" t="str">
        <f t="shared" ca="1" si="117"/>
        <v>RFR EUR</v>
      </c>
      <c r="F1503" t="str">
        <f t="shared" ca="1" si="118"/>
        <v>RFR GBP</v>
      </c>
      <c r="J1503" s="1"/>
      <c r="N1503" s="1"/>
      <c r="R1503" s="1"/>
      <c r="V1503" s="1"/>
      <c r="AB1503" s="1"/>
      <c r="AF1503" s="1"/>
      <c r="AJ1503" s="1"/>
      <c r="AN1503" s="1"/>
      <c r="AS1503" s="1"/>
      <c r="AX1503" s="1"/>
    </row>
    <row r="1504" spans="1:50" x14ac:dyDescent="0.3">
      <c r="A1504" s="19">
        <f t="shared" si="119"/>
        <v>48019</v>
      </c>
      <c r="B1504">
        <f t="shared" ca="1" si="115"/>
        <v>-5.1861111111111109</v>
      </c>
      <c r="C1504" t="str">
        <f ca="1">IF(currency="USD",'Future et co'!D1504,IF(currency="EUR",'Future et co'!E1504,IF(currency="GBP",'Future et co'!F1504,FALSE)))</f>
        <v>RFR USD</v>
      </c>
      <c r="D1504" t="str">
        <f t="shared" ca="1" si="116"/>
        <v>RFR USD</v>
      </c>
      <c r="E1504" t="str">
        <f t="shared" ca="1" si="117"/>
        <v>RFR EUR</v>
      </c>
      <c r="F1504" t="str">
        <f t="shared" ca="1" si="118"/>
        <v>RFR GBP</v>
      </c>
      <c r="J1504" s="1"/>
      <c r="N1504" s="1"/>
      <c r="R1504" s="1"/>
      <c r="V1504" s="1"/>
      <c r="AB1504" s="1"/>
      <c r="AF1504" s="1"/>
      <c r="AJ1504" s="1"/>
      <c r="AN1504" s="1"/>
      <c r="AS1504" s="1"/>
      <c r="AX1504" s="1"/>
    </row>
    <row r="1505" spans="1:50" x14ac:dyDescent="0.3">
      <c r="A1505" s="19">
        <f t="shared" si="119"/>
        <v>48022</v>
      </c>
      <c r="B1505">
        <f t="shared" ca="1" si="115"/>
        <v>-5.1944444444444446</v>
      </c>
      <c r="C1505" t="str">
        <f ca="1">IF(currency="USD",'Future et co'!D1505,IF(currency="EUR",'Future et co'!E1505,IF(currency="GBP",'Future et co'!F1505,FALSE)))</f>
        <v>RFR USD</v>
      </c>
      <c r="D1505" t="str">
        <f t="shared" ca="1" si="116"/>
        <v>RFR USD</v>
      </c>
      <c r="E1505" t="str">
        <f t="shared" ca="1" si="117"/>
        <v>RFR EUR</v>
      </c>
      <c r="F1505" t="str">
        <f t="shared" ca="1" si="118"/>
        <v>RFR GBP</v>
      </c>
      <c r="J1505" s="1"/>
      <c r="N1505" s="1"/>
      <c r="R1505" s="1"/>
      <c r="V1505" s="1"/>
      <c r="AB1505" s="1"/>
      <c r="AF1505" s="1"/>
      <c r="AJ1505" s="1"/>
      <c r="AN1505" s="1"/>
      <c r="AS1505" s="1"/>
      <c r="AX1505" s="1"/>
    </row>
    <row r="1506" spans="1:50" x14ac:dyDescent="0.3">
      <c r="A1506" s="19">
        <f t="shared" si="119"/>
        <v>48023</v>
      </c>
      <c r="B1506">
        <f t="shared" ca="1" si="115"/>
        <v>-5.197222222222222</v>
      </c>
      <c r="C1506" t="str">
        <f ca="1">IF(currency="USD",'Future et co'!D1506,IF(currency="EUR",'Future et co'!E1506,IF(currency="GBP",'Future et co'!F1506,FALSE)))</f>
        <v>RFR USD</v>
      </c>
      <c r="D1506" t="str">
        <f t="shared" ca="1" si="116"/>
        <v>RFR USD</v>
      </c>
      <c r="E1506" t="str">
        <f t="shared" ca="1" si="117"/>
        <v>RFR EUR</v>
      </c>
      <c r="F1506" t="str">
        <f t="shared" ca="1" si="118"/>
        <v>RFR GBP</v>
      </c>
      <c r="J1506" s="1"/>
      <c r="N1506" s="1"/>
      <c r="R1506" s="1"/>
      <c r="V1506" s="1"/>
      <c r="AB1506" s="1"/>
      <c r="AF1506" s="1"/>
      <c r="AJ1506" s="1"/>
      <c r="AN1506" s="1"/>
      <c r="AS1506" s="1"/>
      <c r="AX1506" s="1"/>
    </row>
    <row r="1507" spans="1:50" x14ac:dyDescent="0.3">
      <c r="A1507" s="19">
        <f t="shared" si="119"/>
        <v>48024</v>
      </c>
      <c r="B1507">
        <f t="shared" ca="1" si="115"/>
        <v>-5.2</v>
      </c>
      <c r="C1507" t="str">
        <f ca="1">IF(currency="USD",'Future et co'!D1507,IF(currency="EUR",'Future et co'!E1507,IF(currency="GBP",'Future et co'!F1507,FALSE)))</f>
        <v>RFR USD</v>
      </c>
      <c r="D1507" t="str">
        <f t="shared" ca="1" si="116"/>
        <v>RFR USD</v>
      </c>
      <c r="E1507" t="str">
        <f t="shared" ca="1" si="117"/>
        <v>RFR EUR</v>
      </c>
      <c r="F1507" t="str">
        <f t="shared" ca="1" si="118"/>
        <v>RFR GBP</v>
      </c>
      <c r="J1507" s="1"/>
      <c r="N1507" s="1"/>
      <c r="R1507" s="1"/>
      <c r="V1507" s="1"/>
      <c r="AB1507" s="1"/>
      <c r="AF1507" s="1"/>
      <c r="AJ1507" s="1"/>
      <c r="AN1507" s="1"/>
      <c r="AS1507" s="1"/>
      <c r="AX1507" s="1"/>
    </row>
    <row r="1508" spans="1:50" x14ac:dyDescent="0.3">
      <c r="A1508" s="19">
        <f t="shared" si="119"/>
        <v>48025</v>
      </c>
      <c r="B1508">
        <f t="shared" ca="1" si="115"/>
        <v>-5.2027777777777775</v>
      </c>
      <c r="C1508" t="str">
        <f ca="1">IF(currency="USD",'Future et co'!D1508,IF(currency="EUR",'Future et co'!E1508,IF(currency="GBP",'Future et co'!F1508,FALSE)))</f>
        <v>RFR USD</v>
      </c>
      <c r="D1508" t="str">
        <f t="shared" ca="1" si="116"/>
        <v>RFR USD</v>
      </c>
      <c r="E1508" t="str">
        <f t="shared" ca="1" si="117"/>
        <v>RFR EUR</v>
      </c>
      <c r="F1508" t="str">
        <f t="shared" ca="1" si="118"/>
        <v>RFR GBP</v>
      </c>
      <c r="J1508" s="1"/>
      <c r="N1508" s="1"/>
      <c r="R1508" s="1"/>
      <c r="V1508" s="1"/>
      <c r="AB1508" s="1"/>
      <c r="AF1508" s="1"/>
      <c r="AJ1508" s="1"/>
      <c r="AN1508" s="1"/>
      <c r="AS1508" s="1"/>
      <c r="AX1508" s="1"/>
    </row>
    <row r="1509" spans="1:50" x14ac:dyDescent="0.3">
      <c r="A1509" s="19">
        <f t="shared" si="119"/>
        <v>48026</v>
      </c>
      <c r="B1509">
        <f t="shared" ca="1" si="115"/>
        <v>-5.2055555555555557</v>
      </c>
      <c r="C1509" t="str">
        <f ca="1">IF(currency="USD",'Future et co'!D1509,IF(currency="EUR",'Future et co'!E1509,IF(currency="GBP",'Future et co'!F1509,FALSE)))</f>
        <v>RFR USD</v>
      </c>
      <c r="D1509" t="str">
        <f t="shared" ca="1" si="116"/>
        <v>RFR USD</v>
      </c>
      <c r="E1509" t="str">
        <f t="shared" ca="1" si="117"/>
        <v>RFR EUR</v>
      </c>
      <c r="F1509" t="str">
        <f t="shared" ca="1" si="118"/>
        <v>RFR GBP</v>
      </c>
      <c r="J1509" s="1"/>
      <c r="N1509" s="1"/>
      <c r="R1509" s="1"/>
      <c r="V1509" s="1"/>
      <c r="AB1509" s="1"/>
      <c r="AF1509" s="1"/>
      <c r="AJ1509" s="1"/>
      <c r="AN1509" s="1"/>
      <c r="AS1509" s="1"/>
      <c r="AX1509" s="1"/>
    </row>
    <row r="1510" spans="1:50" x14ac:dyDescent="0.3">
      <c r="A1510" s="19">
        <f t="shared" si="119"/>
        <v>48029</v>
      </c>
      <c r="B1510">
        <f t="shared" ca="1" si="115"/>
        <v>-5.2138888888888886</v>
      </c>
      <c r="C1510" t="str">
        <f ca="1">IF(currency="USD",'Future et co'!D1510,IF(currency="EUR",'Future et co'!E1510,IF(currency="GBP",'Future et co'!F1510,FALSE)))</f>
        <v>RFR USD</v>
      </c>
      <c r="D1510" t="str">
        <f t="shared" ca="1" si="116"/>
        <v>RFR USD</v>
      </c>
      <c r="E1510" t="str">
        <f t="shared" ca="1" si="117"/>
        <v>RFR EUR</v>
      </c>
      <c r="F1510" t="str">
        <f t="shared" ca="1" si="118"/>
        <v>RFR GBP</v>
      </c>
      <c r="J1510" s="1"/>
      <c r="N1510" s="1"/>
      <c r="R1510" s="1"/>
      <c r="V1510" s="1"/>
      <c r="AB1510" s="1"/>
      <c r="AF1510" s="1"/>
      <c r="AJ1510" s="1"/>
      <c r="AN1510" s="1"/>
      <c r="AS1510" s="1"/>
      <c r="AX1510" s="1"/>
    </row>
    <row r="1511" spans="1:50" x14ac:dyDescent="0.3">
      <c r="A1511" s="19">
        <f t="shared" si="119"/>
        <v>48030</v>
      </c>
      <c r="B1511">
        <f t="shared" ca="1" si="115"/>
        <v>-5.2166666666666668</v>
      </c>
      <c r="C1511" t="str">
        <f ca="1">IF(currency="USD",'Future et co'!D1511,IF(currency="EUR",'Future et co'!E1511,IF(currency="GBP",'Future et co'!F1511,FALSE)))</f>
        <v>RFR USD</v>
      </c>
      <c r="D1511" t="str">
        <f t="shared" ca="1" si="116"/>
        <v>RFR USD</v>
      </c>
      <c r="E1511" t="str">
        <f t="shared" ca="1" si="117"/>
        <v>RFR EUR</v>
      </c>
      <c r="F1511" t="str">
        <f t="shared" ca="1" si="118"/>
        <v>RFR GBP</v>
      </c>
      <c r="J1511" s="1"/>
      <c r="N1511" s="1"/>
      <c r="R1511" s="1"/>
      <c r="V1511" s="1"/>
      <c r="AB1511" s="1"/>
      <c r="AF1511" s="1"/>
      <c r="AJ1511" s="1"/>
      <c r="AN1511" s="1"/>
      <c r="AS1511" s="1"/>
      <c r="AX1511" s="1"/>
    </row>
    <row r="1512" spans="1:50" x14ac:dyDescent="0.3">
      <c r="A1512" s="19">
        <f t="shared" si="119"/>
        <v>48031</v>
      </c>
      <c r="B1512">
        <f t="shared" ca="1" si="115"/>
        <v>-5.2194444444444441</v>
      </c>
      <c r="C1512" t="str">
        <f ca="1">IF(currency="USD",'Future et co'!D1512,IF(currency="EUR",'Future et co'!E1512,IF(currency="GBP",'Future et co'!F1512,FALSE)))</f>
        <v>RFR USD</v>
      </c>
      <c r="D1512" t="str">
        <f t="shared" ca="1" si="116"/>
        <v>RFR USD</v>
      </c>
      <c r="E1512" t="str">
        <f t="shared" ca="1" si="117"/>
        <v>RFR EUR</v>
      </c>
      <c r="F1512" t="str">
        <f t="shared" ca="1" si="118"/>
        <v>RFR GBP</v>
      </c>
      <c r="J1512" s="1"/>
      <c r="N1512" s="1"/>
      <c r="R1512" s="1"/>
      <c r="V1512" s="1"/>
      <c r="AB1512" s="1"/>
      <c r="AF1512" s="1"/>
      <c r="AJ1512" s="1"/>
      <c r="AN1512" s="1"/>
      <c r="AS1512" s="1"/>
      <c r="AX1512" s="1"/>
    </row>
    <row r="1513" spans="1:50" x14ac:dyDescent="0.3">
      <c r="A1513" s="19">
        <f t="shared" si="119"/>
        <v>48032</v>
      </c>
      <c r="B1513">
        <f t="shared" ca="1" si="115"/>
        <v>-5.2222222222222223</v>
      </c>
      <c r="C1513" t="str">
        <f ca="1">IF(currency="USD",'Future et co'!D1513,IF(currency="EUR",'Future et co'!E1513,IF(currency="GBP",'Future et co'!F1513,FALSE)))</f>
        <v>RFR USD</v>
      </c>
      <c r="D1513" t="str">
        <f t="shared" ca="1" si="116"/>
        <v>RFR USD</v>
      </c>
      <c r="E1513" t="str">
        <f t="shared" ca="1" si="117"/>
        <v>RFR EUR</v>
      </c>
      <c r="F1513" t="str">
        <f t="shared" ca="1" si="118"/>
        <v>RFR GBP</v>
      </c>
      <c r="J1513" s="1"/>
      <c r="N1513" s="1"/>
      <c r="R1513" s="1"/>
      <c r="V1513" s="1"/>
      <c r="AB1513" s="1"/>
      <c r="AF1513" s="1"/>
      <c r="AJ1513" s="1"/>
      <c r="AN1513" s="1"/>
      <c r="AS1513" s="1"/>
      <c r="AX1513" s="1"/>
    </row>
    <row r="1514" spans="1:50" x14ac:dyDescent="0.3">
      <c r="A1514" s="19">
        <f t="shared" si="119"/>
        <v>48033</v>
      </c>
      <c r="B1514">
        <f t="shared" ca="1" si="115"/>
        <v>-5.2249999999999996</v>
      </c>
      <c r="C1514" t="str">
        <f ca="1">IF(currency="USD",'Future et co'!D1514,IF(currency="EUR",'Future et co'!E1514,IF(currency="GBP",'Future et co'!F1514,FALSE)))</f>
        <v>RFR USD</v>
      </c>
      <c r="D1514" t="str">
        <f t="shared" ca="1" si="116"/>
        <v>RFR USD</v>
      </c>
      <c r="E1514" t="str">
        <f t="shared" ca="1" si="117"/>
        <v>RFR EUR</v>
      </c>
      <c r="F1514" t="str">
        <f t="shared" ca="1" si="118"/>
        <v>RFR GBP</v>
      </c>
      <c r="J1514" s="1"/>
      <c r="N1514" s="1"/>
      <c r="R1514" s="1"/>
      <c r="V1514" s="1"/>
      <c r="AB1514" s="1"/>
      <c r="AF1514" s="1"/>
      <c r="AJ1514" s="1"/>
      <c r="AN1514" s="1"/>
      <c r="AS1514" s="1"/>
      <c r="AX1514" s="1"/>
    </row>
    <row r="1515" spans="1:50" x14ac:dyDescent="0.3">
      <c r="A1515" s="19">
        <f t="shared" si="119"/>
        <v>48036</v>
      </c>
      <c r="B1515">
        <f t="shared" ca="1" si="115"/>
        <v>-5.2333333333333334</v>
      </c>
      <c r="C1515" t="str">
        <f ca="1">IF(currency="USD",'Future et co'!D1515,IF(currency="EUR",'Future et co'!E1515,IF(currency="GBP",'Future et co'!F1515,FALSE)))</f>
        <v>RFR USD</v>
      </c>
      <c r="D1515" t="str">
        <f t="shared" ca="1" si="116"/>
        <v>RFR USD</v>
      </c>
      <c r="E1515" t="str">
        <f t="shared" ca="1" si="117"/>
        <v>RFR EUR</v>
      </c>
      <c r="F1515" t="str">
        <f t="shared" ca="1" si="118"/>
        <v>RFR GBP</v>
      </c>
      <c r="J1515" s="1"/>
      <c r="N1515" s="1"/>
      <c r="R1515" s="1"/>
      <c r="V1515" s="1"/>
      <c r="AB1515" s="1"/>
      <c r="AF1515" s="1"/>
      <c r="AJ1515" s="1"/>
      <c r="AN1515" s="1"/>
      <c r="AS1515" s="1"/>
      <c r="AX1515" s="1"/>
    </row>
    <row r="1516" spans="1:50" x14ac:dyDescent="0.3">
      <c r="A1516" s="19">
        <f t="shared" si="119"/>
        <v>48037</v>
      </c>
      <c r="B1516">
        <f t="shared" ca="1" si="115"/>
        <v>-5.2361111111111107</v>
      </c>
      <c r="C1516" t="str">
        <f ca="1">IF(currency="USD",'Future et co'!D1516,IF(currency="EUR",'Future et co'!E1516,IF(currency="GBP",'Future et co'!F1516,FALSE)))</f>
        <v>RFR USD</v>
      </c>
      <c r="D1516" t="str">
        <f t="shared" ca="1" si="116"/>
        <v>RFR USD</v>
      </c>
      <c r="E1516" t="str">
        <f t="shared" ca="1" si="117"/>
        <v>RFR EUR</v>
      </c>
      <c r="F1516" t="str">
        <f t="shared" ca="1" si="118"/>
        <v>RFR GBP</v>
      </c>
      <c r="J1516" s="1"/>
      <c r="N1516" s="1"/>
      <c r="R1516" s="1"/>
      <c r="V1516" s="1"/>
      <c r="AB1516" s="1"/>
      <c r="AF1516" s="1"/>
      <c r="AJ1516" s="1"/>
      <c r="AN1516" s="1"/>
      <c r="AS1516" s="1"/>
      <c r="AX1516" s="1"/>
    </row>
    <row r="1517" spans="1:50" x14ac:dyDescent="0.3">
      <c r="A1517" s="19">
        <f t="shared" si="119"/>
        <v>48038</v>
      </c>
      <c r="B1517">
        <f t="shared" ca="1" si="115"/>
        <v>-5.2388888888888889</v>
      </c>
      <c r="C1517" t="str">
        <f ca="1">IF(currency="USD",'Future et co'!D1517,IF(currency="EUR",'Future et co'!E1517,IF(currency="GBP",'Future et co'!F1517,FALSE)))</f>
        <v>RFR USD</v>
      </c>
      <c r="D1517" t="str">
        <f t="shared" ca="1" si="116"/>
        <v>RFR USD</v>
      </c>
      <c r="E1517" t="str">
        <f t="shared" ca="1" si="117"/>
        <v>RFR EUR</v>
      </c>
      <c r="F1517" t="str">
        <f t="shared" ca="1" si="118"/>
        <v>RFR GBP</v>
      </c>
      <c r="J1517" s="1"/>
      <c r="N1517" s="1"/>
      <c r="R1517" s="1"/>
      <c r="V1517" s="1"/>
      <c r="AB1517" s="1"/>
      <c r="AF1517" s="1"/>
      <c r="AJ1517" s="1"/>
      <c r="AN1517" s="1"/>
      <c r="AS1517" s="1"/>
      <c r="AX1517" s="1"/>
    </row>
    <row r="1518" spans="1:50" x14ac:dyDescent="0.3">
      <c r="A1518" s="19">
        <f t="shared" si="119"/>
        <v>48039</v>
      </c>
      <c r="B1518">
        <f t="shared" ca="1" si="115"/>
        <v>-5.2416666666666663</v>
      </c>
      <c r="C1518" t="str">
        <f ca="1">IF(currency="USD",'Future et co'!D1518,IF(currency="EUR",'Future et co'!E1518,IF(currency="GBP",'Future et co'!F1518,FALSE)))</f>
        <v>RFR USD</v>
      </c>
      <c r="D1518" t="str">
        <f t="shared" ca="1" si="116"/>
        <v>RFR USD</v>
      </c>
      <c r="E1518" t="str">
        <f t="shared" ca="1" si="117"/>
        <v>RFR EUR</v>
      </c>
      <c r="F1518" t="str">
        <f t="shared" ca="1" si="118"/>
        <v>RFR GBP</v>
      </c>
      <c r="J1518" s="1"/>
      <c r="N1518" s="1"/>
      <c r="R1518" s="1"/>
      <c r="V1518" s="1"/>
      <c r="AB1518" s="1"/>
      <c r="AF1518" s="1"/>
      <c r="AJ1518" s="1"/>
      <c r="AN1518" s="1"/>
      <c r="AS1518" s="1"/>
      <c r="AX1518" s="1"/>
    </row>
    <row r="1519" spans="1:50" x14ac:dyDescent="0.3">
      <c r="A1519" s="19">
        <f t="shared" si="119"/>
        <v>48040</v>
      </c>
      <c r="B1519">
        <f t="shared" ca="1" si="115"/>
        <v>-5.2444444444444445</v>
      </c>
      <c r="C1519" t="str">
        <f ca="1">IF(currency="USD",'Future et co'!D1519,IF(currency="EUR",'Future et co'!E1519,IF(currency="GBP",'Future et co'!F1519,FALSE)))</f>
        <v>RFR USD</v>
      </c>
      <c r="D1519" t="str">
        <f t="shared" ca="1" si="116"/>
        <v>RFR USD</v>
      </c>
      <c r="E1519" t="str">
        <f t="shared" ca="1" si="117"/>
        <v>RFR EUR</v>
      </c>
      <c r="F1519" t="str">
        <f t="shared" ca="1" si="118"/>
        <v>RFR GBP</v>
      </c>
      <c r="J1519" s="1"/>
      <c r="N1519" s="1"/>
      <c r="R1519" s="1"/>
      <c r="V1519" s="1"/>
      <c r="AB1519" s="1"/>
      <c r="AF1519" s="1"/>
      <c r="AJ1519" s="1"/>
      <c r="AN1519" s="1"/>
      <c r="AS1519" s="1"/>
      <c r="AX1519" s="1"/>
    </row>
    <row r="1520" spans="1:50" x14ac:dyDescent="0.3">
      <c r="A1520" s="19">
        <f t="shared" si="119"/>
        <v>48043</v>
      </c>
      <c r="B1520">
        <f t="shared" ca="1" si="115"/>
        <v>-5.2527777777777782</v>
      </c>
      <c r="C1520" t="str">
        <f ca="1">IF(currency="USD",'Future et co'!D1520,IF(currency="EUR",'Future et co'!E1520,IF(currency="GBP",'Future et co'!F1520,FALSE)))</f>
        <v>RFR USD</v>
      </c>
      <c r="D1520" t="str">
        <f t="shared" ca="1" si="116"/>
        <v>RFR USD</v>
      </c>
      <c r="E1520" t="str">
        <f t="shared" ca="1" si="117"/>
        <v>RFR EUR</v>
      </c>
      <c r="F1520" t="str">
        <f t="shared" ca="1" si="118"/>
        <v>RFR GBP</v>
      </c>
      <c r="J1520" s="1"/>
      <c r="N1520" s="1"/>
      <c r="R1520" s="1"/>
      <c r="V1520" s="1"/>
      <c r="AB1520" s="1"/>
      <c r="AF1520" s="1"/>
      <c r="AJ1520" s="1"/>
      <c r="AN1520" s="1"/>
      <c r="AS1520" s="1"/>
      <c r="AX1520" s="1"/>
    </row>
    <row r="1521" spans="1:50" x14ac:dyDescent="0.3">
      <c r="A1521" s="19">
        <f t="shared" si="119"/>
        <v>48044</v>
      </c>
      <c r="B1521">
        <f t="shared" ca="1" si="115"/>
        <v>-5.2555555555555555</v>
      </c>
      <c r="C1521" t="str">
        <f ca="1">IF(currency="USD",'Future et co'!D1521,IF(currency="EUR",'Future et co'!E1521,IF(currency="GBP",'Future et co'!F1521,FALSE)))</f>
        <v>RFR USD</v>
      </c>
      <c r="D1521" t="str">
        <f t="shared" ca="1" si="116"/>
        <v>RFR USD</v>
      </c>
      <c r="E1521" t="str">
        <f t="shared" ca="1" si="117"/>
        <v>RFR EUR</v>
      </c>
      <c r="F1521" t="str">
        <f t="shared" ca="1" si="118"/>
        <v>RFR GBP</v>
      </c>
      <c r="J1521" s="1"/>
      <c r="N1521" s="1"/>
      <c r="R1521" s="1"/>
      <c r="V1521" s="1"/>
      <c r="AB1521" s="1"/>
      <c r="AF1521" s="1"/>
      <c r="AJ1521" s="1"/>
      <c r="AN1521" s="1"/>
      <c r="AS1521" s="1"/>
      <c r="AX1521" s="1"/>
    </row>
    <row r="1522" spans="1:50" x14ac:dyDescent="0.3">
      <c r="A1522" s="19">
        <f t="shared" si="119"/>
        <v>48045</v>
      </c>
      <c r="B1522">
        <f t="shared" ca="1" si="115"/>
        <v>-5.2583333333333337</v>
      </c>
      <c r="C1522" t="str">
        <f ca="1">IF(currency="USD",'Future et co'!D1522,IF(currency="EUR",'Future et co'!E1522,IF(currency="GBP",'Future et co'!F1522,FALSE)))</f>
        <v>RFR USD</v>
      </c>
      <c r="D1522" t="str">
        <f t="shared" ca="1" si="116"/>
        <v>RFR USD</v>
      </c>
      <c r="E1522" t="str">
        <f t="shared" ca="1" si="117"/>
        <v>RFR EUR</v>
      </c>
      <c r="F1522" t="str">
        <f t="shared" ca="1" si="118"/>
        <v>RFR GBP</v>
      </c>
      <c r="J1522" s="1"/>
      <c r="N1522" s="1"/>
      <c r="R1522" s="1"/>
      <c r="V1522" s="1"/>
      <c r="AB1522" s="1"/>
      <c r="AF1522" s="1"/>
      <c r="AJ1522" s="1"/>
      <c r="AN1522" s="1"/>
      <c r="AS1522" s="1"/>
      <c r="AX1522" s="1"/>
    </row>
    <row r="1523" spans="1:50" x14ac:dyDescent="0.3">
      <c r="A1523" s="19">
        <f t="shared" si="119"/>
        <v>48046</v>
      </c>
      <c r="B1523">
        <f t="shared" ca="1" si="115"/>
        <v>-5.2611111111111111</v>
      </c>
      <c r="C1523" t="str">
        <f ca="1">IF(currency="USD",'Future et co'!D1523,IF(currency="EUR",'Future et co'!E1523,IF(currency="GBP",'Future et co'!F1523,FALSE)))</f>
        <v>RFR USD</v>
      </c>
      <c r="D1523" t="str">
        <f t="shared" ca="1" si="116"/>
        <v>RFR USD</v>
      </c>
      <c r="E1523" t="str">
        <f t="shared" ca="1" si="117"/>
        <v>RFR EUR</v>
      </c>
      <c r="F1523" t="str">
        <f t="shared" ca="1" si="118"/>
        <v>RFR GBP</v>
      </c>
      <c r="J1523" s="1"/>
      <c r="N1523" s="1"/>
      <c r="R1523" s="1"/>
      <c r="V1523" s="1"/>
      <c r="AB1523" s="1"/>
      <c r="AF1523" s="1"/>
      <c r="AJ1523" s="1"/>
      <c r="AN1523" s="1"/>
      <c r="AS1523" s="1"/>
      <c r="AX1523" s="1"/>
    </row>
    <row r="1524" spans="1:50" x14ac:dyDescent="0.3">
      <c r="A1524" s="19">
        <f t="shared" si="119"/>
        <v>48047</v>
      </c>
      <c r="B1524">
        <f t="shared" ca="1" si="115"/>
        <v>-5.2638888888888893</v>
      </c>
      <c r="C1524" t="str">
        <f ca="1">IF(currency="USD",'Future et co'!D1524,IF(currency="EUR",'Future et co'!E1524,IF(currency="GBP",'Future et co'!F1524,FALSE)))</f>
        <v>RFR USD</v>
      </c>
      <c r="D1524" t="str">
        <f t="shared" ca="1" si="116"/>
        <v>RFR USD</v>
      </c>
      <c r="E1524" t="str">
        <f t="shared" ca="1" si="117"/>
        <v>RFR EUR</v>
      </c>
      <c r="F1524" t="str">
        <f t="shared" ca="1" si="118"/>
        <v>RFR GBP</v>
      </c>
      <c r="J1524" s="1"/>
      <c r="N1524" s="1"/>
      <c r="R1524" s="1"/>
      <c r="V1524" s="1"/>
      <c r="AB1524" s="1"/>
      <c r="AF1524" s="1"/>
      <c r="AJ1524" s="1"/>
      <c r="AN1524" s="1"/>
      <c r="AS1524" s="1"/>
      <c r="AX1524" s="1"/>
    </row>
    <row r="1525" spans="1:50" x14ac:dyDescent="0.3">
      <c r="A1525" s="19">
        <f t="shared" si="119"/>
        <v>48050</v>
      </c>
      <c r="B1525">
        <f t="shared" ca="1" si="115"/>
        <v>-5.2722222222222221</v>
      </c>
      <c r="C1525" t="str">
        <f ca="1">IF(currency="USD",'Future et co'!D1525,IF(currency="EUR",'Future et co'!E1525,IF(currency="GBP",'Future et co'!F1525,FALSE)))</f>
        <v>RFR USD</v>
      </c>
      <c r="D1525" t="str">
        <f t="shared" ca="1" si="116"/>
        <v>RFR USD</v>
      </c>
      <c r="E1525" t="str">
        <f t="shared" ca="1" si="117"/>
        <v>RFR EUR</v>
      </c>
      <c r="F1525" t="str">
        <f t="shared" ca="1" si="118"/>
        <v>RFR GBP</v>
      </c>
      <c r="J1525" s="1"/>
      <c r="N1525" s="1"/>
      <c r="R1525" s="1"/>
      <c r="V1525" s="1"/>
      <c r="AB1525" s="1"/>
      <c r="AF1525" s="1"/>
      <c r="AJ1525" s="1"/>
      <c r="AN1525" s="1"/>
      <c r="AS1525" s="1"/>
      <c r="AX1525" s="1"/>
    </row>
    <row r="1526" spans="1:50" x14ac:dyDescent="0.3">
      <c r="A1526" s="19">
        <f t="shared" si="119"/>
        <v>48051</v>
      </c>
      <c r="B1526">
        <f t="shared" ca="1" si="115"/>
        <v>-5.2750000000000004</v>
      </c>
      <c r="C1526" t="str">
        <f ca="1">IF(currency="USD",'Future et co'!D1526,IF(currency="EUR",'Future et co'!E1526,IF(currency="GBP",'Future et co'!F1526,FALSE)))</f>
        <v>RFR USD</v>
      </c>
      <c r="D1526" t="str">
        <f t="shared" ca="1" si="116"/>
        <v>RFR USD</v>
      </c>
      <c r="E1526" t="str">
        <f t="shared" ca="1" si="117"/>
        <v>RFR EUR</v>
      </c>
      <c r="F1526" t="str">
        <f t="shared" ca="1" si="118"/>
        <v>RFR GBP</v>
      </c>
      <c r="J1526" s="1"/>
      <c r="N1526" s="1"/>
      <c r="R1526" s="1"/>
      <c r="V1526" s="1"/>
      <c r="AB1526" s="1"/>
      <c r="AF1526" s="1"/>
      <c r="AJ1526" s="1"/>
      <c r="AN1526" s="1"/>
      <c r="AS1526" s="1"/>
      <c r="AX1526" s="1"/>
    </row>
    <row r="1527" spans="1:50" x14ac:dyDescent="0.3">
      <c r="A1527" s="19">
        <f t="shared" si="119"/>
        <v>48052</v>
      </c>
      <c r="B1527">
        <f t="shared" ca="1" si="115"/>
        <v>-5.2777777777777777</v>
      </c>
      <c r="C1527" t="str">
        <f ca="1">IF(currency="USD",'Future et co'!D1527,IF(currency="EUR",'Future et co'!E1527,IF(currency="GBP",'Future et co'!F1527,FALSE)))</f>
        <v>RFR USD</v>
      </c>
      <c r="D1527" t="str">
        <f t="shared" ca="1" si="116"/>
        <v>RFR USD</v>
      </c>
      <c r="E1527" t="str">
        <f t="shared" ca="1" si="117"/>
        <v>RFR EUR</v>
      </c>
      <c r="F1527" t="str">
        <f t="shared" ca="1" si="118"/>
        <v>RFR GBP</v>
      </c>
      <c r="J1527" s="1"/>
      <c r="N1527" s="1"/>
      <c r="R1527" s="1"/>
      <c r="V1527" s="1"/>
      <c r="AB1527" s="1"/>
      <c r="AF1527" s="1"/>
      <c r="AJ1527" s="1"/>
      <c r="AN1527" s="1"/>
      <c r="AS1527" s="1"/>
      <c r="AX1527" s="1"/>
    </row>
    <row r="1528" spans="1:50" x14ac:dyDescent="0.3">
      <c r="A1528" s="19">
        <f t="shared" si="119"/>
        <v>48053</v>
      </c>
      <c r="B1528">
        <f t="shared" ca="1" si="115"/>
        <v>-5.2805555555555559</v>
      </c>
      <c r="C1528" t="str">
        <f ca="1">IF(currency="USD",'Future et co'!D1528,IF(currency="EUR",'Future et co'!E1528,IF(currency="GBP",'Future et co'!F1528,FALSE)))</f>
        <v>RFR USD</v>
      </c>
      <c r="D1528" t="str">
        <f t="shared" ca="1" si="116"/>
        <v>RFR USD</v>
      </c>
      <c r="E1528" t="str">
        <f t="shared" ca="1" si="117"/>
        <v>RFR EUR</v>
      </c>
      <c r="F1528" t="str">
        <f t="shared" ca="1" si="118"/>
        <v>RFR GBP</v>
      </c>
      <c r="J1528" s="1"/>
      <c r="N1528" s="1"/>
      <c r="R1528" s="1"/>
      <c r="V1528" s="1"/>
      <c r="AB1528" s="1"/>
      <c r="AF1528" s="1"/>
      <c r="AJ1528" s="1"/>
      <c r="AN1528" s="1"/>
      <c r="AS1528" s="1"/>
      <c r="AX1528" s="1"/>
    </row>
    <row r="1529" spans="1:50" x14ac:dyDescent="0.3">
      <c r="A1529" s="19">
        <f t="shared" si="119"/>
        <v>48054</v>
      </c>
      <c r="B1529">
        <f t="shared" ca="1" si="115"/>
        <v>-5.2833333333333332</v>
      </c>
      <c r="C1529" t="str">
        <f ca="1">IF(currency="USD",'Future et co'!D1529,IF(currency="EUR",'Future et co'!E1529,IF(currency="GBP",'Future et co'!F1529,FALSE)))</f>
        <v>RFR USD</v>
      </c>
      <c r="D1529" t="str">
        <f t="shared" ca="1" si="116"/>
        <v>RFR USD</v>
      </c>
      <c r="E1529" t="str">
        <f t="shared" ca="1" si="117"/>
        <v>RFR EUR</v>
      </c>
      <c r="F1529" t="str">
        <f t="shared" ca="1" si="118"/>
        <v>RFR GBP</v>
      </c>
      <c r="J1529" s="1"/>
      <c r="N1529" s="1"/>
      <c r="R1529" s="1"/>
      <c r="V1529" s="1"/>
      <c r="AB1529" s="1"/>
      <c r="AF1529" s="1"/>
      <c r="AJ1529" s="1"/>
      <c r="AN1529" s="1"/>
      <c r="AS1529" s="1"/>
      <c r="AX1529" s="1"/>
    </row>
    <row r="1530" spans="1:50" x14ac:dyDescent="0.3">
      <c r="A1530" s="19">
        <f t="shared" si="119"/>
        <v>48057</v>
      </c>
      <c r="B1530">
        <f t="shared" ca="1" si="115"/>
        <v>-5.291666666666667</v>
      </c>
      <c r="C1530" t="str">
        <f ca="1">IF(currency="USD",'Future et co'!D1530,IF(currency="EUR",'Future et co'!E1530,IF(currency="GBP",'Future et co'!F1530,FALSE)))</f>
        <v>RFR USD</v>
      </c>
      <c r="D1530" t="str">
        <f t="shared" ca="1" si="116"/>
        <v>RFR USD</v>
      </c>
      <c r="E1530" t="str">
        <f t="shared" ca="1" si="117"/>
        <v>RFR EUR</v>
      </c>
      <c r="F1530" t="str">
        <f t="shared" ca="1" si="118"/>
        <v>RFR GBP</v>
      </c>
      <c r="J1530" s="1"/>
      <c r="N1530" s="1"/>
      <c r="R1530" s="1"/>
      <c r="V1530" s="1"/>
      <c r="AB1530" s="1"/>
      <c r="AF1530" s="1"/>
      <c r="AJ1530" s="1"/>
      <c r="AN1530" s="1"/>
      <c r="AS1530" s="1"/>
      <c r="AX1530" s="1"/>
    </row>
    <row r="1531" spans="1:50" x14ac:dyDescent="0.3">
      <c r="A1531" s="19">
        <f t="shared" si="119"/>
        <v>48058</v>
      </c>
      <c r="B1531">
        <f t="shared" ca="1" si="115"/>
        <v>-5.2944444444444443</v>
      </c>
      <c r="C1531" t="str">
        <f ca="1">IF(currency="USD",'Future et co'!D1531,IF(currency="EUR",'Future et co'!E1531,IF(currency="GBP",'Future et co'!F1531,FALSE)))</f>
        <v>RFR USD</v>
      </c>
      <c r="D1531" t="str">
        <f t="shared" ca="1" si="116"/>
        <v>RFR USD</v>
      </c>
      <c r="E1531" t="str">
        <f t="shared" ca="1" si="117"/>
        <v>RFR EUR</v>
      </c>
      <c r="F1531" t="str">
        <f t="shared" ca="1" si="118"/>
        <v>RFR GBP</v>
      </c>
      <c r="J1531" s="1"/>
      <c r="N1531" s="1"/>
      <c r="R1531" s="1"/>
      <c r="V1531" s="1"/>
      <c r="AB1531" s="1"/>
      <c r="AF1531" s="1"/>
      <c r="AJ1531" s="1"/>
      <c r="AN1531" s="1"/>
      <c r="AS1531" s="1"/>
      <c r="AX1531" s="1"/>
    </row>
    <row r="1532" spans="1:50" x14ac:dyDescent="0.3">
      <c r="A1532" s="19">
        <f t="shared" si="119"/>
        <v>48059</v>
      </c>
      <c r="B1532">
        <f t="shared" ca="1" si="115"/>
        <v>-5.2972222222222225</v>
      </c>
      <c r="C1532" t="str">
        <f ca="1">IF(currency="USD",'Future et co'!D1532,IF(currency="EUR",'Future et co'!E1532,IF(currency="GBP",'Future et co'!F1532,FALSE)))</f>
        <v>RFR USD</v>
      </c>
      <c r="D1532" t="str">
        <f t="shared" ca="1" si="116"/>
        <v>RFR USD</v>
      </c>
      <c r="E1532" t="str">
        <f t="shared" ca="1" si="117"/>
        <v>RFR EUR</v>
      </c>
      <c r="F1532" t="str">
        <f t="shared" ca="1" si="118"/>
        <v>RFR GBP</v>
      </c>
      <c r="J1532" s="1"/>
      <c r="N1532" s="1"/>
      <c r="R1532" s="1"/>
      <c r="V1532" s="1"/>
      <c r="AB1532" s="1"/>
      <c r="AF1532" s="1"/>
      <c r="AJ1532" s="1"/>
      <c r="AN1532" s="1"/>
      <c r="AS1532" s="1"/>
      <c r="AX1532" s="1"/>
    </row>
    <row r="1533" spans="1:50" x14ac:dyDescent="0.3">
      <c r="A1533" s="19">
        <f t="shared" si="119"/>
        <v>48060</v>
      </c>
      <c r="B1533">
        <f t="shared" ca="1" si="115"/>
        <v>-5.3</v>
      </c>
      <c r="C1533" t="str">
        <f ca="1">IF(currency="USD",'Future et co'!D1533,IF(currency="EUR",'Future et co'!E1533,IF(currency="GBP",'Future et co'!F1533,FALSE)))</f>
        <v>RFR USD</v>
      </c>
      <c r="D1533" t="str">
        <f t="shared" ca="1" si="116"/>
        <v>RFR USD</v>
      </c>
      <c r="E1533" t="str">
        <f t="shared" ca="1" si="117"/>
        <v>RFR EUR</v>
      </c>
      <c r="F1533" t="str">
        <f t="shared" ca="1" si="118"/>
        <v>RFR GBP</v>
      </c>
      <c r="J1533" s="1"/>
      <c r="N1533" s="1"/>
      <c r="R1533" s="1"/>
      <c r="V1533" s="1"/>
      <c r="AB1533" s="1"/>
      <c r="AF1533" s="1"/>
      <c r="AJ1533" s="1"/>
      <c r="AN1533" s="1"/>
      <c r="AS1533" s="1"/>
      <c r="AX1533" s="1"/>
    </row>
    <row r="1534" spans="1:50" x14ac:dyDescent="0.3">
      <c r="A1534" s="19">
        <f t="shared" si="119"/>
        <v>48061</v>
      </c>
      <c r="B1534">
        <f t="shared" ca="1" si="115"/>
        <v>-5.302777777777778</v>
      </c>
      <c r="C1534" t="str">
        <f ca="1">IF(currency="USD",'Future et co'!D1534,IF(currency="EUR",'Future et co'!E1534,IF(currency="GBP",'Future et co'!F1534,FALSE)))</f>
        <v>RFR USD</v>
      </c>
      <c r="D1534" t="str">
        <f t="shared" ca="1" si="116"/>
        <v>RFR USD</v>
      </c>
      <c r="E1534" t="str">
        <f t="shared" ca="1" si="117"/>
        <v>RFR EUR</v>
      </c>
      <c r="F1534" t="str">
        <f t="shared" ca="1" si="118"/>
        <v>RFR GBP</v>
      </c>
      <c r="J1534" s="1"/>
      <c r="N1534" s="1"/>
      <c r="R1534" s="1"/>
      <c r="V1534" s="1"/>
      <c r="AB1534" s="1"/>
      <c r="AF1534" s="1"/>
      <c r="AJ1534" s="1"/>
      <c r="AN1534" s="1"/>
      <c r="AS1534" s="1"/>
      <c r="AX1534" s="1"/>
    </row>
    <row r="1535" spans="1:50" x14ac:dyDescent="0.3">
      <c r="A1535" s="19">
        <f t="shared" si="119"/>
        <v>48064</v>
      </c>
      <c r="B1535">
        <f t="shared" ca="1" si="115"/>
        <v>-5.3111111111111109</v>
      </c>
      <c r="C1535" t="str">
        <f ca="1">IF(currency="USD",'Future et co'!D1535,IF(currency="EUR",'Future et co'!E1535,IF(currency="GBP",'Future et co'!F1535,FALSE)))</f>
        <v>RFR USD</v>
      </c>
      <c r="D1535" t="str">
        <f t="shared" ca="1" si="116"/>
        <v>RFR USD</v>
      </c>
      <c r="E1535" t="str">
        <f t="shared" ca="1" si="117"/>
        <v>RFR EUR</v>
      </c>
      <c r="F1535" t="str">
        <f t="shared" ca="1" si="118"/>
        <v>RFR GBP</v>
      </c>
      <c r="J1535" s="1"/>
      <c r="N1535" s="1"/>
      <c r="R1535" s="1"/>
      <c r="V1535" s="1"/>
      <c r="AB1535" s="1"/>
      <c r="AF1535" s="1"/>
      <c r="AJ1535" s="1"/>
      <c r="AN1535" s="1"/>
      <c r="AS1535" s="1"/>
      <c r="AX1535" s="1"/>
    </row>
    <row r="1536" spans="1:50" x14ac:dyDescent="0.3">
      <c r="A1536" s="19">
        <f t="shared" si="119"/>
        <v>48065</v>
      </c>
      <c r="B1536">
        <f t="shared" ca="1" si="115"/>
        <v>-5.3138888888888891</v>
      </c>
      <c r="C1536" t="str">
        <f ca="1">IF(currency="USD",'Future et co'!D1536,IF(currency="EUR",'Future et co'!E1536,IF(currency="GBP",'Future et co'!F1536,FALSE)))</f>
        <v>RFR USD</v>
      </c>
      <c r="D1536" t="str">
        <f t="shared" ca="1" si="116"/>
        <v>RFR USD</v>
      </c>
      <c r="E1536" t="str">
        <f t="shared" ca="1" si="117"/>
        <v>RFR EUR</v>
      </c>
      <c r="F1536" t="str">
        <f t="shared" ca="1" si="118"/>
        <v>RFR GBP</v>
      </c>
      <c r="J1536" s="1"/>
      <c r="N1536" s="1"/>
      <c r="R1536" s="1"/>
      <c r="V1536" s="1"/>
      <c r="AB1536" s="1"/>
      <c r="AF1536" s="1"/>
      <c r="AJ1536" s="1"/>
      <c r="AN1536" s="1"/>
      <c r="AS1536" s="1"/>
      <c r="AX1536" s="1"/>
    </row>
    <row r="1537" spans="1:50" x14ac:dyDescent="0.3">
      <c r="A1537" s="19">
        <f t="shared" si="119"/>
        <v>48066</v>
      </c>
      <c r="B1537">
        <f t="shared" ca="1" si="115"/>
        <v>-5.3166666666666664</v>
      </c>
      <c r="C1537" t="str">
        <f ca="1">IF(currency="USD",'Future et co'!D1537,IF(currency="EUR",'Future et co'!E1537,IF(currency="GBP",'Future et co'!F1537,FALSE)))</f>
        <v>RFR USD</v>
      </c>
      <c r="D1537" t="str">
        <f t="shared" ca="1" si="116"/>
        <v>RFR USD</v>
      </c>
      <c r="E1537" t="str">
        <f t="shared" ca="1" si="117"/>
        <v>RFR EUR</v>
      </c>
      <c r="F1537" t="str">
        <f t="shared" ca="1" si="118"/>
        <v>RFR GBP</v>
      </c>
      <c r="J1537" s="1"/>
      <c r="N1537" s="1"/>
      <c r="R1537" s="1"/>
      <c r="V1537" s="1"/>
      <c r="AB1537" s="1"/>
      <c r="AF1537" s="1"/>
      <c r="AJ1537" s="1"/>
      <c r="AN1537" s="1"/>
      <c r="AS1537" s="1"/>
      <c r="AX1537" s="1"/>
    </row>
    <row r="1538" spans="1:50" x14ac:dyDescent="0.3">
      <c r="A1538" s="19">
        <f t="shared" si="119"/>
        <v>48067</v>
      </c>
      <c r="B1538">
        <f t="shared" ca="1" si="115"/>
        <v>-5.3194444444444446</v>
      </c>
      <c r="C1538" t="str">
        <f ca="1">IF(currency="USD",'Future et co'!D1538,IF(currency="EUR",'Future et co'!E1538,IF(currency="GBP",'Future et co'!F1538,FALSE)))</f>
        <v>RFR USD</v>
      </c>
      <c r="D1538" t="str">
        <f t="shared" ca="1" si="116"/>
        <v>RFR USD</v>
      </c>
      <c r="E1538" t="str">
        <f t="shared" ca="1" si="117"/>
        <v>RFR EUR</v>
      </c>
      <c r="F1538" t="str">
        <f t="shared" ca="1" si="118"/>
        <v>RFR GBP</v>
      </c>
      <c r="J1538" s="1"/>
      <c r="N1538" s="1"/>
      <c r="R1538" s="1"/>
      <c r="V1538" s="1"/>
      <c r="AB1538" s="1"/>
      <c r="AF1538" s="1"/>
      <c r="AJ1538" s="1"/>
      <c r="AN1538" s="1"/>
      <c r="AS1538" s="1"/>
      <c r="AX1538" s="1"/>
    </row>
    <row r="1539" spans="1:50" x14ac:dyDescent="0.3">
      <c r="A1539" s="19">
        <f t="shared" si="119"/>
        <v>48068</v>
      </c>
      <c r="B1539">
        <f t="shared" ca="1" si="115"/>
        <v>-5.322222222222222</v>
      </c>
      <c r="C1539" t="str">
        <f ca="1">IF(currency="USD",'Future et co'!D1539,IF(currency="EUR",'Future et co'!E1539,IF(currency="GBP",'Future et co'!F1539,FALSE)))</f>
        <v>RFR USD</v>
      </c>
      <c r="D1539" t="str">
        <f t="shared" ca="1" si="116"/>
        <v>RFR USD</v>
      </c>
      <c r="E1539" t="str">
        <f t="shared" ca="1" si="117"/>
        <v>RFR EUR</v>
      </c>
      <c r="F1539" t="str">
        <f t="shared" ca="1" si="118"/>
        <v>RFR GBP</v>
      </c>
      <c r="J1539" s="1"/>
      <c r="N1539" s="1"/>
      <c r="R1539" s="1"/>
      <c r="V1539" s="1"/>
      <c r="AB1539" s="1"/>
      <c r="AF1539" s="1"/>
      <c r="AJ1539" s="1"/>
      <c r="AN1539" s="1"/>
      <c r="AS1539" s="1"/>
      <c r="AX1539" s="1"/>
    </row>
    <row r="1540" spans="1:50" x14ac:dyDescent="0.3">
      <c r="A1540" s="19">
        <f t="shared" si="119"/>
        <v>48071</v>
      </c>
      <c r="B1540">
        <f t="shared" ca="1" si="115"/>
        <v>-5.3305555555555557</v>
      </c>
      <c r="C1540" t="str">
        <f ca="1">IF(currency="USD",'Future et co'!D1540,IF(currency="EUR",'Future et co'!E1540,IF(currency="GBP",'Future et co'!F1540,FALSE)))</f>
        <v>RFR USD</v>
      </c>
      <c r="D1540" t="str">
        <f t="shared" ca="1" si="116"/>
        <v>RFR USD</v>
      </c>
      <c r="E1540" t="str">
        <f t="shared" ca="1" si="117"/>
        <v>RFR EUR</v>
      </c>
      <c r="F1540" t="str">
        <f t="shared" ca="1" si="118"/>
        <v>RFR GBP</v>
      </c>
      <c r="J1540" s="1"/>
      <c r="N1540" s="1"/>
      <c r="R1540" s="1"/>
      <c r="V1540" s="1"/>
      <c r="AB1540" s="1"/>
      <c r="AF1540" s="1"/>
      <c r="AJ1540" s="1"/>
      <c r="AN1540" s="1"/>
      <c r="AS1540" s="1"/>
      <c r="AX1540" s="1"/>
    </row>
    <row r="1541" spans="1:50" x14ac:dyDescent="0.3">
      <c r="A1541" s="19">
        <f t="shared" si="119"/>
        <v>48072</v>
      </c>
      <c r="B1541">
        <f t="shared" ca="1" si="115"/>
        <v>-5.333333333333333</v>
      </c>
      <c r="C1541" t="str">
        <f ca="1">IF(currency="USD",'Future et co'!D1541,IF(currency="EUR",'Future et co'!E1541,IF(currency="GBP",'Future et co'!F1541,FALSE)))</f>
        <v>RFR USD</v>
      </c>
      <c r="D1541" t="str">
        <f t="shared" ca="1" si="116"/>
        <v>RFR USD</v>
      </c>
      <c r="E1541" t="str">
        <f t="shared" ca="1" si="117"/>
        <v>RFR EUR</v>
      </c>
      <c r="F1541" t="str">
        <f t="shared" ca="1" si="118"/>
        <v>RFR GBP</v>
      </c>
      <c r="J1541" s="1"/>
      <c r="N1541" s="1"/>
      <c r="R1541" s="1"/>
      <c r="V1541" s="1"/>
      <c r="AB1541" s="1"/>
      <c r="AF1541" s="1"/>
      <c r="AJ1541" s="1"/>
      <c r="AN1541" s="1"/>
      <c r="AS1541" s="1"/>
      <c r="AX1541" s="1"/>
    </row>
    <row r="1542" spans="1:50" x14ac:dyDescent="0.3">
      <c r="A1542" s="19">
        <f t="shared" si="119"/>
        <v>48073</v>
      </c>
      <c r="B1542">
        <f t="shared" ca="1" si="115"/>
        <v>-5.3361111111111112</v>
      </c>
      <c r="C1542" t="str">
        <f ca="1">IF(currency="USD",'Future et co'!D1542,IF(currency="EUR",'Future et co'!E1542,IF(currency="GBP",'Future et co'!F1542,FALSE)))</f>
        <v>RFR USD</v>
      </c>
      <c r="D1542" t="str">
        <f t="shared" ca="1" si="116"/>
        <v>RFR USD</v>
      </c>
      <c r="E1542" t="str">
        <f t="shared" ca="1" si="117"/>
        <v>RFR EUR</v>
      </c>
      <c r="F1542" t="str">
        <f t="shared" ca="1" si="118"/>
        <v>RFR GBP</v>
      </c>
      <c r="J1542" s="1"/>
      <c r="N1542" s="1"/>
      <c r="R1542" s="1"/>
      <c r="V1542" s="1"/>
      <c r="AB1542" s="1"/>
      <c r="AF1542" s="1"/>
      <c r="AJ1542" s="1"/>
      <c r="AN1542" s="1"/>
      <c r="AS1542" s="1"/>
      <c r="AX1542" s="1"/>
    </row>
    <row r="1543" spans="1:50" x14ac:dyDescent="0.3">
      <c r="A1543" s="19">
        <f t="shared" si="119"/>
        <v>48074</v>
      </c>
      <c r="B1543">
        <f t="shared" ca="1" si="115"/>
        <v>-5.3388888888888886</v>
      </c>
      <c r="C1543" t="str">
        <f ca="1">IF(currency="USD",'Future et co'!D1543,IF(currency="EUR",'Future et co'!E1543,IF(currency="GBP",'Future et co'!F1543,FALSE)))</f>
        <v>RFR USD</v>
      </c>
      <c r="D1543" t="str">
        <f t="shared" ca="1" si="116"/>
        <v>RFR USD</v>
      </c>
      <c r="E1543" t="str">
        <f t="shared" ca="1" si="117"/>
        <v>RFR EUR</v>
      </c>
      <c r="F1543" t="str">
        <f t="shared" ca="1" si="118"/>
        <v>RFR GBP</v>
      </c>
      <c r="J1543" s="1"/>
      <c r="N1543" s="1"/>
      <c r="R1543" s="1"/>
      <c r="V1543" s="1"/>
      <c r="AB1543" s="1"/>
      <c r="AF1543" s="1"/>
      <c r="AJ1543" s="1"/>
      <c r="AN1543" s="1"/>
      <c r="AS1543" s="1"/>
      <c r="AX1543" s="1"/>
    </row>
    <row r="1544" spans="1:50" x14ac:dyDescent="0.3">
      <c r="A1544" s="19">
        <f t="shared" si="119"/>
        <v>48075</v>
      </c>
      <c r="B1544">
        <f t="shared" ca="1" si="115"/>
        <v>-5.3416666666666668</v>
      </c>
      <c r="C1544" t="str">
        <f ca="1">IF(currency="USD",'Future et co'!D1544,IF(currency="EUR",'Future et co'!E1544,IF(currency="GBP",'Future et co'!F1544,FALSE)))</f>
        <v>RFR USD</v>
      </c>
      <c r="D1544" t="str">
        <f t="shared" ca="1" si="116"/>
        <v>RFR USD</v>
      </c>
      <c r="E1544" t="str">
        <f t="shared" ca="1" si="117"/>
        <v>RFR EUR</v>
      </c>
      <c r="F1544" t="str">
        <f t="shared" ca="1" si="118"/>
        <v>RFR GBP</v>
      </c>
      <c r="J1544" s="1"/>
      <c r="N1544" s="1"/>
      <c r="R1544" s="1"/>
      <c r="V1544" s="1"/>
      <c r="AB1544" s="1"/>
      <c r="AF1544" s="1"/>
      <c r="AJ1544" s="1"/>
      <c r="AN1544" s="1"/>
      <c r="AS1544" s="1"/>
      <c r="AX1544" s="1"/>
    </row>
    <row r="1545" spans="1:50" x14ac:dyDescent="0.3">
      <c r="A1545" s="19">
        <f t="shared" si="119"/>
        <v>48078</v>
      </c>
      <c r="B1545">
        <f t="shared" ca="1" si="115"/>
        <v>-5.35</v>
      </c>
      <c r="C1545" t="str">
        <f ca="1">IF(currency="USD",'Future et co'!D1545,IF(currency="EUR",'Future et co'!E1545,IF(currency="GBP",'Future et co'!F1545,FALSE)))</f>
        <v>RFR USD</v>
      </c>
      <c r="D1545" t="str">
        <f t="shared" ca="1" si="116"/>
        <v>RFR USD</v>
      </c>
      <c r="E1545" t="str">
        <f t="shared" ca="1" si="117"/>
        <v>RFR EUR</v>
      </c>
      <c r="F1545" t="str">
        <f t="shared" ca="1" si="118"/>
        <v>RFR GBP</v>
      </c>
      <c r="J1545" s="1"/>
      <c r="N1545" s="1"/>
      <c r="R1545" s="1"/>
      <c r="V1545" s="1"/>
      <c r="AB1545" s="1"/>
      <c r="AF1545" s="1"/>
      <c r="AJ1545" s="1"/>
      <c r="AN1545" s="1"/>
      <c r="AS1545" s="1"/>
      <c r="AX1545" s="1"/>
    </row>
    <row r="1546" spans="1:50" x14ac:dyDescent="0.3">
      <c r="A1546" s="19">
        <f t="shared" si="119"/>
        <v>48079</v>
      </c>
      <c r="B1546">
        <f t="shared" ca="1" si="115"/>
        <v>-5.3527777777777779</v>
      </c>
      <c r="C1546" t="str">
        <f ca="1">IF(currency="USD",'Future et co'!D1546,IF(currency="EUR",'Future et co'!E1546,IF(currency="GBP",'Future et co'!F1546,FALSE)))</f>
        <v>RFR USD</v>
      </c>
      <c r="D1546" t="str">
        <f t="shared" ca="1" si="116"/>
        <v>RFR USD</v>
      </c>
      <c r="E1546" t="str">
        <f t="shared" ca="1" si="117"/>
        <v>RFR EUR</v>
      </c>
      <c r="F1546" t="str">
        <f t="shared" ca="1" si="118"/>
        <v>RFR GBP</v>
      </c>
      <c r="J1546" s="1"/>
      <c r="N1546" s="1"/>
      <c r="R1546" s="1"/>
      <c r="V1546" s="1"/>
      <c r="AB1546" s="1"/>
      <c r="AF1546" s="1"/>
      <c r="AJ1546" s="1"/>
      <c r="AN1546" s="1"/>
      <c r="AS1546" s="1"/>
      <c r="AX1546" s="1"/>
    </row>
    <row r="1547" spans="1:50" x14ac:dyDescent="0.3">
      <c r="A1547" s="19">
        <f t="shared" si="119"/>
        <v>48080</v>
      </c>
      <c r="B1547">
        <f t="shared" ref="B1547:B1610" ca="1" si="120">($B$7-A1547)/360</f>
        <v>-5.3555555555555552</v>
      </c>
      <c r="C1547" t="str">
        <f ca="1">IF(currency="USD",'Future et co'!D1547,IF(currency="EUR",'Future et co'!E1547,IF(currency="GBP",'Future et co'!F1547,FALSE)))</f>
        <v>RFR USD</v>
      </c>
      <c r="D1547" t="str">
        <f t="shared" ref="D1547:D1610" ca="1" si="121">IFERROR(IF(B1547&lt;0.25,VLOOKUP(A1547,$J$11:$L$5325,3,FALSE),IF(AND(B1547&gt;=0.25,B1547&lt;0.5),VLOOKUP(A1547,$N$11:$P$5325,3,FALSE),IF(AND(B1547&gt;=0.5,B1547&lt;1),VLOOKUP(A1547,$R$11:$T$5325,3,FALSE),VLOOKUP(A1547,$V$11:$X$5010,3,FALSE)))),D1546)</f>
        <v>RFR USD</v>
      </c>
      <c r="E1547" t="str">
        <f t="shared" ref="E1547:E1610" ca="1" si="122">IFERROR(IF(B1547&lt;0.25,VLOOKUP(A1547,$AF$11:$AH$5325,3,FALSE),IF(AND(B1547&gt;=0.25,B1547&lt;0.5),VLOOKUP(A1547,$AJ$11:$AL$5325,3,FALSE),VLOOKUP(A1547,$AN$11:$AP$5325,3,FALSE))),E1546)</f>
        <v>RFR EUR</v>
      </c>
      <c r="F1547" t="str">
        <f t="shared" ref="F1547:F1610" ca="1" si="123">IFERROR(VLOOKUP(A1547,$AS$11:$AU$9999,3,FALSE),F1546)</f>
        <v>RFR GBP</v>
      </c>
      <c r="J1547" s="1"/>
      <c r="N1547" s="1"/>
      <c r="R1547" s="1"/>
      <c r="V1547" s="1"/>
      <c r="AB1547" s="1"/>
      <c r="AF1547" s="1"/>
      <c r="AJ1547" s="1"/>
      <c r="AN1547" s="1"/>
      <c r="AS1547" s="1"/>
      <c r="AX1547" s="1"/>
    </row>
    <row r="1548" spans="1:50" x14ac:dyDescent="0.3">
      <c r="A1548" s="19">
        <f t="shared" si="119"/>
        <v>48081</v>
      </c>
      <c r="B1548">
        <f t="shared" ca="1" si="120"/>
        <v>-5.3583333333333334</v>
      </c>
      <c r="C1548" t="str">
        <f ca="1">IF(currency="USD",'Future et co'!D1548,IF(currency="EUR",'Future et co'!E1548,IF(currency="GBP",'Future et co'!F1548,FALSE)))</f>
        <v>RFR USD</v>
      </c>
      <c r="D1548" t="str">
        <f t="shared" ca="1" si="121"/>
        <v>RFR USD</v>
      </c>
      <c r="E1548" t="str">
        <f t="shared" ca="1" si="122"/>
        <v>RFR EUR</v>
      </c>
      <c r="F1548" t="str">
        <f t="shared" ca="1" si="123"/>
        <v>RFR GBP</v>
      </c>
      <c r="J1548" s="1"/>
      <c r="N1548" s="1"/>
      <c r="R1548" s="1"/>
      <c r="V1548" s="1"/>
      <c r="AB1548" s="1"/>
      <c r="AF1548" s="1"/>
      <c r="AJ1548" s="1"/>
      <c r="AN1548" s="1"/>
      <c r="AS1548" s="1"/>
      <c r="AX1548" s="1"/>
    </row>
    <row r="1549" spans="1:50" x14ac:dyDescent="0.3">
      <c r="A1549" s="19">
        <f t="shared" ref="A1549:A1612" si="124">WORKDAY(A1548,1)</f>
        <v>48082</v>
      </c>
      <c r="B1549">
        <f t="shared" ca="1" si="120"/>
        <v>-5.3611111111111107</v>
      </c>
      <c r="C1549" t="str">
        <f ca="1">IF(currency="USD",'Future et co'!D1549,IF(currency="EUR",'Future et co'!E1549,IF(currency="GBP",'Future et co'!F1549,FALSE)))</f>
        <v>RFR USD</v>
      </c>
      <c r="D1549" t="str">
        <f t="shared" ca="1" si="121"/>
        <v>RFR USD</v>
      </c>
      <c r="E1549" t="str">
        <f t="shared" ca="1" si="122"/>
        <v>RFR EUR</v>
      </c>
      <c r="F1549" t="str">
        <f t="shared" ca="1" si="123"/>
        <v>RFR GBP</v>
      </c>
      <c r="J1549" s="1"/>
      <c r="N1549" s="1"/>
      <c r="R1549" s="1"/>
      <c r="V1549" s="1"/>
      <c r="AB1549" s="1"/>
      <c r="AF1549" s="1"/>
      <c r="AJ1549" s="1"/>
      <c r="AN1549" s="1"/>
      <c r="AS1549" s="1"/>
      <c r="AX1549" s="1"/>
    </row>
    <row r="1550" spans="1:50" x14ac:dyDescent="0.3">
      <c r="A1550" s="19">
        <f t="shared" si="124"/>
        <v>48085</v>
      </c>
      <c r="B1550">
        <f t="shared" ca="1" si="120"/>
        <v>-5.3694444444444445</v>
      </c>
      <c r="C1550" t="str">
        <f ca="1">IF(currency="USD",'Future et co'!D1550,IF(currency="EUR",'Future et co'!E1550,IF(currency="GBP",'Future et co'!F1550,FALSE)))</f>
        <v>RFR USD</v>
      </c>
      <c r="D1550" t="str">
        <f t="shared" ca="1" si="121"/>
        <v>RFR USD</v>
      </c>
      <c r="E1550" t="str">
        <f t="shared" ca="1" si="122"/>
        <v>RFR EUR</v>
      </c>
      <c r="F1550" t="str">
        <f t="shared" ca="1" si="123"/>
        <v>RFR GBP</v>
      </c>
      <c r="J1550" s="1"/>
      <c r="N1550" s="1"/>
      <c r="R1550" s="1"/>
      <c r="V1550" s="1"/>
      <c r="AB1550" s="1"/>
      <c r="AF1550" s="1"/>
      <c r="AJ1550" s="1"/>
      <c r="AN1550" s="1"/>
      <c r="AS1550" s="1"/>
      <c r="AX1550" s="1"/>
    </row>
    <row r="1551" spans="1:50" x14ac:dyDescent="0.3">
      <c r="A1551" s="19">
        <f t="shared" si="124"/>
        <v>48086</v>
      </c>
      <c r="B1551">
        <f t="shared" ca="1" si="120"/>
        <v>-5.3722222222222218</v>
      </c>
      <c r="C1551" t="str">
        <f ca="1">IF(currency="USD",'Future et co'!D1551,IF(currency="EUR",'Future et co'!E1551,IF(currency="GBP",'Future et co'!F1551,FALSE)))</f>
        <v>RFR USD</v>
      </c>
      <c r="D1551" t="str">
        <f t="shared" ca="1" si="121"/>
        <v>RFR USD</v>
      </c>
      <c r="E1551" t="str">
        <f t="shared" ca="1" si="122"/>
        <v>RFR EUR</v>
      </c>
      <c r="F1551" t="str">
        <f t="shared" ca="1" si="123"/>
        <v>RFR GBP</v>
      </c>
      <c r="J1551" s="1"/>
      <c r="N1551" s="1"/>
      <c r="R1551" s="1"/>
      <c r="V1551" s="1"/>
      <c r="AB1551" s="1"/>
      <c r="AF1551" s="1"/>
      <c r="AJ1551" s="1"/>
      <c r="AN1551" s="1"/>
      <c r="AS1551" s="1"/>
      <c r="AX1551" s="1"/>
    </row>
    <row r="1552" spans="1:50" x14ac:dyDescent="0.3">
      <c r="A1552" s="19">
        <f t="shared" si="124"/>
        <v>48087</v>
      </c>
      <c r="B1552">
        <f t="shared" ca="1" si="120"/>
        <v>-5.375</v>
      </c>
      <c r="C1552" t="str">
        <f ca="1">IF(currency="USD",'Future et co'!D1552,IF(currency="EUR",'Future et co'!E1552,IF(currency="GBP",'Future et co'!F1552,FALSE)))</f>
        <v>RFR USD</v>
      </c>
      <c r="D1552" t="str">
        <f t="shared" ca="1" si="121"/>
        <v>RFR USD</v>
      </c>
      <c r="E1552" t="str">
        <f t="shared" ca="1" si="122"/>
        <v>RFR EUR</v>
      </c>
      <c r="F1552" t="str">
        <f t="shared" ca="1" si="123"/>
        <v>RFR GBP</v>
      </c>
      <c r="J1552" s="1"/>
      <c r="N1552" s="1"/>
      <c r="R1552" s="1"/>
      <c r="V1552" s="1"/>
      <c r="AB1552" s="1"/>
      <c r="AF1552" s="1"/>
      <c r="AJ1552" s="1"/>
      <c r="AN1552" s="1"/>
      <c r="AS1552" s="1"/>
      <c r="AX1552" s="1"/>
    </row>
    <row r="1553" spans="1:50" x14ac:dyDescent="0.3">
      <c r="A1553" s="19">
        <f t="shared" si="124"/>
        <v>48088</v>
      </c>
      <c r="B1553">
        <f t="shared" ca="1" si="120"/>
        <v>-5.3777777777777782</v>
      </c>
      <c r="C1553" t="str">
        <f ca="1">IF(currency="USD",'Future et co'!D1553,IF(currency="EUR",'Future et co'!E1553,IF(currency="GBP",'Future et co'!F1553,FALSE)))</f>
        <v>RFR USD</v>
      </c>
      <c r="D1553" t="str">
        <f t="shared" ca="1" si="121"/>
        <v>RFR USD</v>
      </c>
      <c r="E1553" t="str">
        <f t="shared" ca="1" si="122"/>
        <v>RFR EUR</v>
      </c>
      <c r="F1553" t="str">
        <f t="shared" ca="1" si="123"/>
        <v>RFR GBP</v>
      </c>
      <c r="J1553" s="1"/>
      <c r="N1553" s="1"/>
      <c r="R1553" s="1"/>
      <c r="V1553" s="1"/>
      <c r="AB1553" s="1"/>
      <c r="AF1553" s="1"/>
      <c r="AJ1553" s="1"/>
      <c r="AN1553" s="1"/>
      <c r="AS1553" s="1"/>
      <c r="AX1553" s="1"/>
    </row>
    <row r="1554" spans="1:50" x14ac:dyDescent="0.3">
      <c r="A1554" s="19">
        <f t="shared" si="124"/>
        <v>48089</v>
      </c>
      <c r="B1554">
        <f t="shared" ca="1" si="120"/>
        <v>-5.3805555555555555</v>
      </c>
      <c r="C1554" t="str">
        <f ca="1">IF(currency="USD",'Future et co'!D1554,IF(currency="EUR",'Future et co'!E1554,IF(currency="GBP",'Future et co'!F1554,FALSE)))</f>
        <v>RFR USD</v>
      </c>
      <c r="D1554" t="str">
        <f t="shared" ca="1" si="121"/>
        <v>RFR USD</v>
      </c>
      <c r="E1554" t="str">
        <f t="shared" ca="1" si="122"/>
        <v>RFR EUR</v>
      </c>
      <c r="F1554" t="str">
        <f t="shared" ca="1" si="123"/>
        <v>RFR GBP</v>
      </c>
      <c r="J1554" s="1"/>
      <c r="N1554" s="1"/>
      <c r="R1554" s="1"/>
      <c r="V1554" s="1"/>
      <c r="AB1554" s="1"/>
      <c r="AF1554" s="1"/>
      <c r="AJ1554" s="1"/>
      <c r="AN1554" s="1"/>
      <c r="AS1554" s="1"/>
      <c r="AX1554" s="1"/>
    </row>
    <row r="1555" spans="1:50" x14ac:dyDescent="0.3">
      <c r="A1555" s="19">
        <f t="shared" si="124"/>
        <v>48092</v>
      </c>
      <c r="B1555">
        <f t="shared" ca="1" si="120"/>
        <v>-5.3888888888888893</v>
      </c>
      <c r="C1555" t="str">
        <f ca="1">IF(currency="USD",'Future et co'!D1555,IF(currency="EUR",'Future et co'!E1555,IF(currency="GBP",'Future et co'!F1555,FALSE)))</f>
        <v>RFR USD</v>
      </c>
      <c r="D1555" t="str">
        <f t="shared" ca="1" si="121"/>
        <v>RFR USD</v>
      </c>
      <c r="E1555" t="str">
        <f t="shared" ca="1" si="122"/>
        <v>RFR EUR</v>
      </c>
      <c r="F1555" t="str">
        <f t="shared" ca="1" si="123"/>
        <v>RFR GBP</v>
      </c>
      <c r="J1555" s="1"/>
      <c r="N1555" s="1"/>
      <c r="R1555" s="1"/>
      <c r="V1555" s="1"/>
      <c r="AB1555" s="1"/>
      <c r="AF1555" s="1"/>
      <c r="AJ1555" s="1"/>
      <c r="AN1555" s="1"/>
      <c r="AS1555" s="1"/>
      <c r="AX1555" s="1"/>
    </row>
    <row r="1556" spans="1:50" x14ac:dyDescent="0.3">
      <c r="A1556" s="19">
        <f t="shared" si="124"/>
        <v>48093</v>
      </c>
      <c r="B1556">
        <f t="shared" ca="1" si="120"/>
        <v>-5.3916666666666666</v>
      </c>
      <c r="C1556" t="str">
        <f ca="1">IF(currency="USD",'Future et co'!D1556,IF(currency="EUR",'Future et co'!E1556,IF(currency="GBP",'Future et co'!F1556,FALSE)))</f>
        <v>RFR USD</v>
      </c>
      <c r="D1556" t="str">
        <f t="shared" ca="1" si="121"/>
        <v>RFR USD</v>
      </c>
      <c r="E1556" t="str">
        <f t="shared" ca="1" si="122"/>
        <v>RFR EUR</v>
      </c>
      <c r="F1556" t="str">
        <f t="shared" ca="1" si="123"/>
        <v>RFR GBP</v>
      </c>
      <c r="J1556" s="1"/>
      <c r="N1556" s="1"/>
      <c r="R1556" s="1"/>
      <c r="V1556" s="1"/>
      <c r="AB1556" s="1"/>
      <c r="AF1556" s="1"/>
      <c r="AJ1556" s="1"/>
      <c r="AN1556" s="1"/>
      <c r="AS1556" s="1"/>
      <c r="AX1556" s="1"/>
    </row>
    <row r="1557" spans="1:50" x14ac:dyDescent="0.3">
      <c r="A1557" s="19">
        <f t="shared" si="124"/>
        <v>48094</v>
      </c>
      <c r="B1557">
        <f t="shared" ca="1" si="120"/>
        <v>-5.3944444444444448</v>
      </c>
      <c r="C1557" t="str">
        <f ca="1">IF(currency="USD",'Future et co'!D1557,IF(currency="EUR",'Future et co'!E1557,IF(currency="GBP",'Future et co'!F1557,FALSE)))</f>
        <v>RFR USD</v>
      </c>
      <c r="D1557" t="str">
        <f t="shared" ca="1" si="121"/>
        <v>RFR USD</v>
      </c>
      <c r="E1557" t="str">
        <f t="shared" ca="1" si="122"/>
        <v>RFR EUR</v>
      </c>
      <c r="F1557" t="str">
        <f t="shared" ca="1" si="123"/>
        <v>RFR GBP</v>
      </c>
      <c r="J1557" s="1"/>
      <c r="N1557" s="1"/>
      <c r="R1557" s="1"/>
      <c r="V1557" s="1"/>
      <c r="AB1557" s="1"/>
      <c r="AF1557" s="1"/>
      <c r="AJ1557" s="1"/>
      <c r="AN1557" s="1"/>
      <c r="AS1557" s="1"/>
      <c r="AX1557" s="1"/>
    </row>
    <row r="1558" spans="1:50" x14ac:dyDescent="0.3">
      <c r="A1558" s="19">
        <f t="shared" si="124"/>
        <v>48095</v>
      </c>
      <c r="B1558">
        <f t="shared" ca="1" si="120"/>
        <v>-5.3972222222222221</v>
      </c>
      <c r="C1558" t="str">
        <f ca="1">IF(currency="USD",'Future et co'!D1558,IF(currency="EUR",'Future et co'!E1558,IF(currency="GBP",'Future et co'!F1558,FALSE)))</f>
        <v>RFR USD</v>
      </c>
      <c r="D1558" t="str">
        <f t="shared" ca="1" si="121"/>
        <v>RFR USD</v>
      </c>
      <c r="E1558" t="str">
        <f t="shared" ca="1" si="122"/>
        <v>RFR EUR</v>
      </c>
      <c r="F1558" t="str">
        <f t="shared" ca="1" si="123"/>
        <v>RFR GBP</v>
      </c>
      <c r="J1558" s="1"/>
      <c r="N1558" s="1"/>
      <c r="R1558" s="1"/>
      <c r="V1558" s="1"/>
      <c r="AB1558" s="1"/>
      <c r="AF1558" s="1"/>
      <c r="AJ1558" s="1"/>
      <c r="AN1558" s="1"/>
      <c r="AS1558" s="1"/>
      <c r="AX1558" s="1"/>
    </row>
    <row r="1559" spans="1:50" x14ac:dyDescent="0.3">
      <c r="A1559" s="19">
        <f t="shared" si="124"/>
        <v>48096</v>
      </c>
      <c r="B1559">
        <f t="shared" ca="1" si="120"/>
        <v>-5.4</v>
      </c>
      <c r="C1559" t="str">
        <f ca="1">IF(currency="USD",'Future et co'!D1559,IF(currency="EUR",'Future et co'!E1559,IF(currency="GBP",'Future et co'!F1559,FALSE)))</f>
        <v>RFR USD</v>
      </c>
      <c r="D1559" t="str">
        <f t="shared" ca="1" si="121"/>
        <v>RFR USD</v>
      </c>
      <c r="E1559" t="str">
        <f t="shared" ca="1" si="122"/>
        <v>RFR EUR</v>
      </c>
      <c r="F1559" t="str">
        <f t="shared" ca="1" si="123"/>
        <v>RFR GBP</v>
      </c>
      <c r="J1559" s="1"/>
      <c r="N1559" s="1"/>
      <c r="R1559" s="1"/>
      <c r="V1559" s="1"/>
      <c r="AB1559" s="1"/>
      <c r="AF1559" s="1"/>
      <c r="AJ1559" s="1"/>
      <c r="AN1559" s="1"/>
      <c r="AS1559" s="1"/>
      <c r="AX1559" s="1"/>
    </row>
    <row r="1560" spans="1:50" x14ac:dyDescent="0.3">
      <c r="A1560" s="19">
        <f t="shared" si="124"/>
        <v>48099</v>
      </c>
      <c r="B1560">
        <f t="shared" ca="1" si="120"/>
        <v>-5.4083333333333332</v>
      </c>
      <c r="C1560" t="str">
        <f ca="1">IF(currency="USD",'Future et co'!D1560,IF(currency="EUR",'Future et co'!E1560,IF(currency="GBP",'Future et co'!F1560,FALSE)))</f>
        <v>RFR USD</v>
      </c>
      <c r="D1560" t="str">
        <f t="shared" ca="1" si="121"/>
        <v>RFR USD</v>
      </c>
      <c r="E1560" t="str">
        <f t="shared" ca="1" si="122"/>
        <v>RFR EUR</v>
      </c>
      <c r="F1560" t="str">
        <f t="shared" ca="1" si="123"/>
        <v>RFR GBP</v>
      </c>
      <c r="J1560" s="1"/>
      <c r="N1560" s="1"/>
      <c r="R1560" s="1"/>
      <c r="V1560" s="1"/>
      <c r="AB1560" s="1"/>
      <c r="AF1560" s="1"/>
      <c r="AJ1560" s="1"/>
      <c r="AN1560" s="1"/>
      <c r="AS1560" s="1"/>
      <c r="AX1560" s="1"/>
    </row>
    <row r="1561" spans="1:50" x14ac:dyDescent="0.3">
      <c r="A1561" s="19">
        <f t="shared" si="124"/>
        <v>48100</v>
      </c>
      <c r="B1561">
        <f t="shared" ca="1" si="120"/>
        <v>-5.4111111111111114</v>
      </c>
      <c r="C1561" t="str">
        <f ca="1">IF(currency="USD",'Future et co'!D1561,IF(currency="EUR",'Future et co'!E1561,IF(currency="GBP",'Future et co'!F1561,FALSE)))</f>
        <v>RFR USD</v>
      </c>
      <c r="D1561" t="str">
        <f t="shared" ca="1" si="121"/>
        <v>RFR USD</v>
      </c>
      <c r="E1561" t="str">
        <f t="shared" ca="1" si="122"/>
        <v>RFR EUR</v>
      </c>
      <c r="F1561" t="str">
        <f t="shared" ca="1" si="123"/>
        <v>RFR GBP</v>
      </c>
      <c r="J1561" s="1"/>
      <c r="N1561" s="1"/>
      <c r="R1561" s="1"/>
      <c r="V1561" s="1"/>
      <c r="AB1561" s="1"/>
      <c r="AF1561" s="1"/>
      <c r="AJ1561" s="1"/>
      <c r="AN1561" s="1"/>
      <c r="AS1561" s="1"/>
      <c r="AX1561" s="1"/>
    </row>
    <row r="1562" spans="1:50" x14ac:dyDescent="0.3">
      <c r="A1562" s="19">
        <f t="shared" si="124"/>
        <v>48101</v>
      </c>
      <c r="B1562">
        <f t="shared" ca="1" si="120"/>
        <v>-5.4138888888888888</v>
      </c>
      <c r="C1562" t="str">
        <f ca="1">IF(currency="USD",'Future et co'!D1562,IF(currency="EUR",'Future et co'!E1562,IF(currency="GBP",'Future et co'!F1562,FALSE)))</f>
        <v>RFR USD</v>
      </c>
      <c r="D1562" t="str">
        <f t="shared" ca="1" si="121"/>
        <v>RFR USD</v>
      </c>
      <c r="E1562" t="str">
        <f t="shared" ca="1" si="122"/>
        <v>RFR EUR</v>
      </c>
      <c r="F1562" t="str">
        <f t="shared" ca="1" si="123"/>
        <v>RFR GBP</v>
      </c>
      <c r="J1562" s="1"/>
      <c r="N1562" s="1"/>
      <c r="R1562" s="1"/>
      <c r="V1562" s="1"/>
      <c r="AB1562" s="1"/>
      <c r="AF1562" s="1"/>
      <c r="AJ1562" s="1"/>
      <c r="AN1562" s="1"/>
      <c r="AS1562" s="1"/>
      <c r="AX1562" s="1"/>
    </row>
    <row r="1563" spans="1:50" x14ac:dyDescent="0.3">
      <c r="A1563" s="19">
        <f t="shared" si="124"/>
        <v>48102</v>
      </c>
      <c r="B1563">
        <f t="shared" ca="1" si="120"/>
        <v>-5.416666666666667</v>
      </c>
      <c r="C1563" t="str">
        <f ca="1">IF(currency="USD",'Future et co'!D1563,IF(currency="EUR",'Future et co'!E1563,IF(currency="GBP",'Future et co'!F1563,FALSE)))</f>
        <v>RFR USD</v>
      </c>
      <c r="D1563" t="str">
        <f t="shared" ca="1" si="121"/>
        <v>RFR USD</v>
      </c>
      <c r="E1563" t="str">
        <f t="shared" ca="1" si="122"/>
        <v>RFR EUR</v>
      </c>
      <c r="F1563" t="str">
        <f t="shared" ca="1" si="123"/>
        <v>RFR GBP</v>
      </c>
      <c r="J1563" s="1"/>
      <c r="N1563" s="1"/>
      <c r="R1563" s="1"/>
      <c r="V1563" s="1"/>
      <c r="AB1563" s="1"/>
      <c r="AF1563" s="1"/>
      <c r="AJ1563" s="1"/>
      <c r="AN1563" s="1"/>
      <c r="AS1563" s="1"/>
      <c r="AX1563" s="1"/>
    </row>
    <row r="1564" spans="1:50" x14ac:dyDescent="0.3">
      <c r="A1564" s="19">
        <f t="shared" si="124"/>
        <v>48103</v>
      </c>
      <c r="B1564">
        <f t="shared" ca="1" si="120"/>
        <v>-5.4194444444444443</v>
      </c>
      <c r="C1564" t="str">
        <f ca="1">IF(currency="USD",'Future et co'!D1564,IF(currency="EUR",'Future et co'!E1564,IF(currency="GBP",'Future et co'!F1564,FALSE)))</f>
        <v>RFR USD</v>
      </c>
      <c r="D1564" t="str">
        <f t="shared" ca="1" si="121"/>
        <v>RFR USD</v>
      </c>
      <c r="E1564" t="str">
        <f t="shared" ca="1" si="122"/>
        <v>RFR EUR</v>
      </c>
      <c r="F1564" t="str">
        <f t="shared" ca="1" si="123"/>
        <v>RFR GBP</v>
      </c>
      <c r="J1564" s="1"/>
      <c r="N1564" s="1"/>
      <c r="R1564" s="1"/>
      <c r="V1564" s="1"/>
      <c r="AB1564" s="1"/>
      <c r="AF1564" s="1"/>
      <c r="AJ1564" s="1"/>
      <c r="AN1564" s="1"/>
      <c r="AS1564" s="1"/>
      <c r="AX1564" s="1"/>
    </row>
    <row r="1565" spans="1:50" x14ac:dyDescent="0.3">
      <c r="A1565" s="19">
        <f t="shared" si="124"/>
        <v>48106</v>
      </c>
      <c r="B1565">
        <f t="shared" ca="1" si="120"/>
        <v>-5.427777777777778</v>
      </c>
      <c r="C1565" t="str">
        <f ca="1">IF(currency="USD",'Future et co'!D1565,IF(currency="EUR",'Future et co'!E1565,IF(currency="GBP",'Future et co'!F1565,FALSE)))</f>
        <v>RFR USD</v>
      </c>
      <c r="D1565" t="str">
        <f t="shared" ca="1" si="121"/>
        <v>RFR USD</v>
      </c>
      <c r="E1565" t="str">
        <f t="shared" ca="1" si="122"/>
        <v>RFR EUR</v>
      </c>
      <c r="F1565" t="str">
        <f t="shared" ca="1" si="123"/>
        <v>RFR GBP</v>
      </c>
      <c r="J1565" s="1"/>
      <c r="N1565" s="1"/>
      <c r="R1565" s="1"/>
      <c r="V1565" s="1"/>
      <c r="AB1565" s="1"/>
      <c r="AF1565" s="1"/>
      <c r="AJ1565" s="1"/>
      <c r="AN1565" s="1"/>
      <c r="AS1565" s="1"/>
      <c r="AX1565" s="1"/>
    </row>
    <row r="1566" spans="1:50" x14ac:dyDescent="0.3">
      <c r="A1566" s="19">
        <f t="shared" si="124"/>
        <v>48107</v>
      </c>
      <c r="B1566">
        <f t="shared" ca="1" si="120"/>
        <v>-5.4305555555555554</v>
      </c>
      <c r="C1566" t="str">
        <f ca="1">IF(currency="USD",'Future et co'!D1566,IF(currency="EUR",'Future et co'!E1566,IF(currency="GBP",'Future et co'!F1566,FALSE)))</f>
        <v>RFR USD</v>
      </c>
      <c r="D1566" t="str">
        <f t="shared" ca="1" si="121"/>
        <v>RFR USD</v>
      </c>
      <c r="E1566" t="str">
        <f t="shared" ca="1" si="122"/>
        <v>RFR EUR</v>
      </c>
      <c r="F1566" t="str">
        <f t="shared" ca="1" si="123"/>
        <v>RFR GBP</v>
      </c>
      <c r="J1566" s="1"/>
      <c r="N1566" s="1"/>
      <c r="R1566" s="1"/>
      <c r="V1566" s="1"/>
      <c r="AB1566" s="1"/>
      <c r="AF1566" s="1"/>
      <c r="AJ1566" s="1"/>
      <c r="AN1566" s="1"/>
      <c r="AS1566" s="1"/>
      <c r="AX1566" s="1"/>
    </row>
    <row r="1567" spans="1:50" x14ac:dyDescent="0.3">
      <c r="A1567" s="19">
        <f t="shared" si="124"/>
        <v>48108</v>
      </c>
      <c r="B1567">
        <f t="shared" ca="1" si="120"/>
        <v>-5.4333333333333336</v>
      </c>
      <c r="C1567" t="str">
        <f ca="1">IF(currency="USD",'Future et co'!D1567,IF(currency="EUR",'Future et co'!E1567,IF(currency="GBP",'Future et co'!F1567,FALSE)))</f>
        <v>RFR USD</v>
      </c>
      <c r="D1567" t="str">
        <f t="shared" ca="1" si="121"/>
        <v>RFR USD</v>
      </c>
      <c r="E1567" t="str">
        <f t="shared" ca="1" si="122"/>
        <v>RFR EUR</v>
      </c>
      <c r="F1567" t="str">
        <f t="shared" ca="1" si="123"/>
        <v>RFR GBP</v>
      </c>
      <c r="J1567" s="1"/>
      <c r="N1567" s="1"/>
      <c r="R1567" s="1"/>
      <c r="V1567" s="1"/>
      <c r="AB1567" s="1"/>
      <c r="AF1567" s="1"/>
      <c r="AJ1567" s="1"/>
      <c r="AN1567" s="1"/>
      <c r="AS1567" s="1"/>
      <c r="AX1567" s="1"/>
    </row>
    <row r="1568" spans="1:50" x14ac:dyDescent="0.3">
      <c r="A1568" s="19">
        <f t="shared" si="124"/>
        <v>48109</v>
      </c>
      <c r="B1568">
        <f t="shared" ca="1" si="120"/>
        <v>-5.4361111111111109</v>
      </c>
      <c r="C1568" t="str">
        <f ca="1">IF(currency="USD",'Future et co'!D1568,IF(currency="EUR",'Future et co'!E1568,IF(currency="GBP",'Future et co'!F1568,FALSE)))</f>
        <v>RFR USD</v>
      </c>
      <c r="D1568" t="str">
        <f t="shared" ca="1" si="121"/>
        <v>RFR USD</v>
      </c>
      <c r="E1568" t="str">
        <f t="shared" ca="1" si="122"/>
        <v>RFR EUR</v>
      </c>
      <c r="F1568" t="str">
        <f t="shared" ca="1" si="123"/>
        <v>RFR GBP</v>
      </c>
      <c r="J1568" s="1"/>
      <c r="N1568" s="1"/>
      <c r="R1568" s="1"/>
      <c r="V1568" s="1"/>
      <c r="AB1568" s="1"/>
      <c r="AF1568" s="1"/>
      <c r="AJ1568" s="1"/>
      <c r="AN1568" s="1"/>
      <c r="AS1568" s="1"/>
      <c r="AX1568" s="1"/>
    </row>
    <row r="1569" spans="1:50" x14ac:dyDescent="0.3">
      <c r="A1569" s="19">
        <f t="shared" si="124"/>
        <v>48110</v>
      </c>
      <c r="B1569">
        <f t="shared" ca="1" si="120"/>
        <v>-5.4388888888888891</v>
      </c>
      <c r="C1569" t="str">
        <f ca="1">IF(currency="USD",'Future et co'!D1569,IF(currency="EUR",'Future et co'!E1569,IF(currency="GBP",'Future et co'!F1569,FALSE)))</f>
        <v>RFR USD</v>
      </c>
      <c r="D1569" t="str">
        <f t="shared" ca="1" si="121"/>
        <v>RFR USD</v>
      </c>
      <c r="E1569" t="str">
        <f t="shared" ca="1" si="122"/>
        <v>RFR EUR</v>
      </c>
      <c r="F1569" t="str">
        <f t="shared" ca="1" si="123"/>
        <v>RFR GBP</v>
      </c>
      <c r="J1569" s="1"/>
      <c r="N1569" s="1"/>
      <c r="R1569" s="1"/>
      <c r="V1569" s="1"/>
      <c r="AB1569" s="1"/>
      <c r="AF1569" s="1"/>
      <c r="AJ1569" s="1"/>
      <c r="AN1569" s="1"/>
      <c r="AS1569" s="1"/>
      <c r="AX1569" s="1"/>
    </row>
    <row r="1570" spans="1:50" x14ac:dyDescent="0.3">
      <c r="A1570" s="19">
        <f t="shared" si="124"/>
        <v>48113</v>
      </c>
      <c r="B1570">
        <f t="shared" ca="1" si="120"/>
        <v>-5.447222222222222</v>
      </c>
      <c r="C1570" t="str">
        <f ca="1">IF(currency="USD",'Future et co'!D1570,IF(currency="EUR",'Future et co'!E1570,IF(currency="GBP",'Future et co'!F1570,FALSE)))</f>
        <v>RFR USD</v>
      </c>
      <c r="D1570" t="str">
        <f t="shared" ca="1" si="121"/>
        <v>RFR USD</v>
      </c>
      <c r="E1570" t="str">
        <f t="shared" ca="1" si="122"/>
        <v>RFR EUR</v>
      </c>
      <c r="F1570" t="str">
        <f t="shared" ca="1" si="123"/>
        <v>RFR GBP</v>
      </c>
      <c r="J1570" s="1"/>
      <c r="N1570" s="1"/>
      <c r="R1570" s="1"/>
      <c r="V1570" s="1"/>
      <c r="AB1570" s="1"/>
      <c r="AF1570" s="1"/>
      <c r="AJ1570" s="1"/>
      <c r="AN1570" s="1"/>
      <c r="AS1570" s="1"/>
      <c r="AX1570" s="1"/>
    </row>
    <row r="1571" spans="1:50" x14ac:dyDescent="0.3">
      <c r="A1571" s="19">
        <f t="shared" si="124"/>
        <v>48114</v>
      </c>
      <c r="B1571">
        <f t="shared" ca="1" si="120"/>
        <v>-5.45</v>
      </c>
      <c r="C1571" t="str">
        <f ca="1">IF(currency="USD",'Future et co'!D1571,IF(currency="EUR",'Future et co'!E1571,IF(currency="GBP",'Future et co'!F1571,FALSE)))</f>
        <v>RFR USD</v>
      </c>
      <c r="D1571" t="str">
        <f t="shared" ca="1" si="121"/>
        <v>RFR USD</v>
      </c>
      <c r="E1571" t="str">
        <f t="shared" ca="1" si="122"/>
        <v>RFR EUR</v>
      </c>
      <c r="F1571" t="str">
        <f t="shared" ca="1" si="123"/>
        <v>RFR GBP</v>
      </c>
      <c r="J1571" s="1"/>
      <c r="N1571" s="1"/>
      <c r="R1571" s="1"/>
      <c r="V1571" s="1"/>
      <c r="AB1571" s="1"/>
      <c r="AF1571" s="1"/>
      <c r="AJ1571" s="1"/>
      <c r="AN1571" s="1"/>
      <c r="AS1571" s="1"/>
      <c r="AX1571" s="1"/>
    </row>
    <row r="1572" spans="1:50" x14ac:dyDescent="0.3">
      <c r="A1572" s="19">
        <f t="shared" si="124"/>
        <v>48115</v>
      </c>
      <c r="B1572">
        <f t="shared" ca="1" si="120"/>
        <v>-5.4527777777777775</v>
      </c>
      <c r="C1572" t="str">
        <f ca="1">IF(currency="USD",'Future et co'!D1572,IF(currency="EUR",'Future et co'!E1572,IF(currency="GBP",'Future et co'!F1572,FALSE)))</f>
        <v>RFR USD</v>
      </c>
      <c r="D1572" t="str">
        <f t="shared" ca="1" si="121"/>
        <v>RFR USD</v>
      </c>
      <c r="E1572" t="str">
        <f t="shared" ca="1" si="122"/>
        <v>RFR EUR</v>
      </c>
      <c r="F1572" t="str">
        <f t="shared" ca="1" si="123"/>
        <v>RFR GBP</v>
      </c>
      <c r="J1572" s="1"/>
      <c r="N1572" s="1"/>
      <c r="R1572" s="1"/>
      <c r="V1572" s="1"/>
      <c r="AB1572" s="1"/>
      <c r="AF1572" s="1"/>
      <c r="AJ1572" s="1"/>
      <c r="AN1572" s="1"/>
      <c r="AS1572" s="1"/>
      <c r="AX1572" s="1"/>
    </row>
    <row r="1573" spans="1:50" x14ac:dyDescent="0.3">
      <c r="A1573" s="19">
        <f t="shared" si="124"/>
        <v>48116</v>
      </c>
      <c r="B1573">
        <f t="shared" ca="1" si="120"/>
        <v>-5.4555555555555557</v>
      </c>
      <c r="C1573" t="str">
        <f ca="1">IF(currency="USD",'Future et co'!D1573,IF(currency="EUR",'Future et co'!E1573,IF(currency="GBP",'Future et co'!F1573,FALSE)))</f>
        <v>RFR USD</v>
      </c>
      <c r="D1573" t="str">
        <f t="shared" ca="1" si="121"/>
        <v>RFR USD</v>
      </c>
      <c r="E1573" t="str">
        <f t="shared" ca="1" si="122"/>
        <v>RFR EUR</v>
      </c>
      <c r="F1573" t="str">
        <f t="shared" ca="1" si="123"/>
        <v>RFR GBP</v>
      </c>
      <c r="J1573" s="1"/>
      <c r="N1573" s="1"/>
      <c r="R1573" s="1"/>
      <c r="V1573" s="1"/>
      <c r="AB1573" s="1"/>
      <c r="AF1573" s="1"/>
      <c r="AJ1573" s="1"/>
      <c r="AN1573" s="1"/>
      <c r="AS1573" s="1"/>
      <c r="AX1573" s="1"/>
    </row>
    <row r="1574" spans="1:50" x14ac:dyDescent="0.3">
      <c r="A1574" s="19">
        <f t="shared" si="124"/>
        <v>48117</v>
      </c>
      <c r="B1574">
        <f t="shared" ca="1" si="120"/>
        <v>-5.458333333333333</v>
      </c>
      <c r="C1574" t="str">
        <f ca="1">IF(currency="USD",'Future et co'!D1574,IF(currency="EUR",'Future et co'!E1574,IF(currency="GBP",'Future et co'!F1574,FALSE)))</f>
        <v>RFR USD</v>
      </c>
      <c r="D1574" t="str">
        <f t="shared" ca="1" si="121"/>
        <v>RFR USD</v>
      </c>
      <c r="E1574" t="str">
        <f t="shared" ca="1" si="122"/>
        <v>RFR EUR</v>
      </c>
      <c r="F1574" t="str">
        <f t="shared" ca="1" si="123"/>
        <v>RFR GBP</v>
      </c>
      <c r="J1574" s="1"/>
      <c r="N1574" s="1"/>
      <c r="R1574" s="1"/>
      <c r="V1574" s="1"/>
      <c r="AB1574" s="1"/>
      <c r="AF1574" s="1"/>
      <c r="AJ1574" s="1"/>
      <c r="AN1574" s="1"/>
      <c r="AS1574" s="1"/>
      <c r="AX1574" s="1"/>
    </row>
    <row r="1575" spans="1:50" x14ac:dyDescent="0.3">
      <c r="A1575" s="19">
        <f t="shared" si="124"/>
        <v>48120</v>
      </c>
      <c r="B1575">
        <f t="shared" ca="1" si="120"/>
        <v>-5.4666666666666668</v>
      </c>
      <c r="C1575" t="str">
        <f ca="1">IF(currency="USD",'Future et co'!D1575,IF(currency="EUR",'Future et co'!E1575,IF(currency="GBP",'Future et co'!F1575,FALSE)))</f>
        <v>RFR USD</v>
      </c>
      <c r="D1575" t="str">
        <f t="shared" ca="1" si="121"/>
        <v>RFR USD</v>
      </c>
      <c r="E1575" t="str">
        <f t="shared" ca="1" si="122"/>
        <v>RFR EUR</v>
      </c>
      <c r="F1575" t="str">
        <f t="shared" ca="1" si="123"/>
        <v>RFR GBP</v>
      </c>
      <c r="J1575" s="1"/>
      <c r="N1575" s="1"/>
      <c r="R1575" s="1"/>
      <c r="V1575" s="1"/>
      <c r="AB1575" s="1"/>
      <c r="AF1575" s="1"/>
      <c r="AJ1575" s="1"/>
      <c r="AN1575" s="1"/>
      <c r="AS1575" s="1"/>
      <c r="AX1575" s="1"/>
    </row>
    <row r="1576" spans="1:50" x14ac:dyDescent="0.3">
      <c r="A1576" s="19">
        <f t="shared" si="124"/>
        <v>48121</v>
      </c>
      <c r="B1576">
        <f t="shared" ca="1" si="120"/>
        <v>-5.4694444444444441</v>
      </c>
      <c r="C1576" t="str">
        <f ca="1">IF(currency="USD",'Future et co'!D1576,IF(currency="EUR",'Future et co'!E1576,IF(currency="GBP",'Future et co'!F1576,FALSE)))</f>
        <v>RFR USD</v>
      </c>
      <c r="D1576" t="str">
        <f t="shared" ca="1" si="121"/>
        <v>RFR USD</v>
      </c>
      <c r="E1576" t="str">
        <f t="shared" ca="1" si="122"/>
        <v>RFR EUR</v>
      </c>
      <c r="F1576" t="str">
        <f t="shared" ca="1" si="123"/>
        <v>RFR GBP</v>
      </c>
      <c r="J1576" s="1"/>
      <c r="N1576" s="1"/>
      <c r="R1576" s="1"/>
      <c r="V1576" s="1"/>
      <c r="AB1576" s="1"/>
      <c r="AF1576" s="1"/>
      <c r="AJ1576" s="1"/>
      <c r="AN1576" s="1"/>
      <c r="AS1576" s="1"/>
      <c r="AX1576" s="1"/>
    </row>
    <row r="1577" spans="1:50" x14ac:dyDescent="0.3">
      <c r="A1577" s="19">
        <f t="shared" si="124"/>
        <v>48122</v>
      </c>
      <c r="B1577">
        <f t="shared" ca="1" si="120"/>
        <v>-5.4722222222222223</v>
      </c>
      <c r="C1577" t="str">
        <f ca="1">IF(currency="USD",'Future et co'!D1577,IF(currency="EUR",'Future et co'!E1577,IF(currency="GBP",'Future et co'!F1577,FALSE)))</f>
        <v>RFR USD</v>
      </c>
      <c r="D1577" t="str">
        <f t="shared" ca="1" si="121"/>
        <v>RFR USD</v>
      </c>
      <c r="E1577" t="str">
        <f t="shared" ca="1" si="122"/>
        <v>RFR EUR</v>
      </c>
      <c r="F1577" t="str">
        <f t="shared" ca="1" si="123"/>
        <v>RFR GBP</v>
      </c>
      <c r="J1577" s="1"/>
      <c r="N1577" s="1"/>
      <c r="R1577" s="1"/>
      <c r="V1577" s="1"/>
      <c r="AB1577" s="1"/>
      <c r="AF1577" s="1"/>
      <c r="AJ1577" s="1"/>
      <c r="AN1577" s="1"/>
      <c r="AS1577" s="1"/>
      <c r="AX1577" s="1"/>
    </row>
    <row r="1578" spans="1:50" x14ac:dyDescent="0.3">
      <c r="A1578" s="19">
        <f t="shared" si="124"/>
        <v>48123</v>
      </c>
      <c r="B1578">
        <f t="shared" ca="1" si="120"/>
        <v>-5.4749999999999996</v>
      </c>
      <c r="C1578" t="str">
        <f ca="1">IF(currency="USD",'Future et co'!D1578,IF(currency="EUR",'Future et co'!E1578,IF(currency="GBP",'Future et co'!F1578,FALSE)))</f>
        <v>RFR USD</v>
      </c>
      <c r="D1578" t="str">
        <f t="shared" ca="1" si="121"/>
        <v>RFR USD</v>
      </c>
      <c r="E1578" t="str">
        <f t="shared" ca="1" si="122"/>
        <v>RFR EUR</v>
      </c>
      <c r="F1578" t="str">
        <f t="shared" ca="1" si="123"/>
        <v>RFR GBP</v>
      </c>
      <c r="J1578" s="1"/>
      <c r="N1578" s="1"/>
      <c r="R1578" s="1"/>
      <c r="V1578" s="1"/>
      <c r="AB1578" s="1"/>
      <c r="AF1578" s="1"/>
      <c r="AJ1578" s="1"/>
      <c r="AN1578" s="1"/>
      <c r="AS1578" s="1"/>
      <c r="AX1578" s="1"/>
    </row>
    <row r="1579" spans="1:50" x14ac:dyDescent="0.3">
      <c r="A1579" s="19">
        <f t="shared" si="124"/>
        <v>48124</v>
      </c>
      <c r="B1579">
        <f t="shared" ca="1" si="120"/>
        <v>-5.4777777777777779</v>
      </c>
      <c r="C1579" t="str">
        <f ca="1">IF(currency="USD",'Future et co'!D1579,IF(currency="EUR",'Future et co'!E1579,IF(currency="GBP",'Future et co'!F1579,FALSE)))</f>
        <v>RFR USD</v>
      </c>
      <c r="D1579" t="str">
        <f t="shared" ca="1" si="121"/>
        <v>RFR USD</v>
      </c>
      <c r="E1579" t="str">
        <f t="shared" ca="1" si="122"/>
        <v>RFR EUR</v>
      </c>
      <c r="F1579" t="str">
        <f t="shared" ca="1" si="123"/>
        <v>RFR GBP</v>
      </c>
      <c r="J1579" s="1"/>
      <c r="N1579" s="1"/>
      <c r="R1579" s="1"/>
      <c r="V1579" s="1"/>
      <c r="AB1579" s="1"/>
      <c r="AF1579" s="1"/>
      <c r="AJ1579" s="1"/>
      <c r="AN1579" s="1"/>
      <c r="AS1579" s="1"/>
      <c r="AX1579" s="1"/>
    </row>
    <row r="1580" spans="1:50" x14ac:dyDescent="0.3">
      <c r="A1580" s="19">
        <f t="shared" si="124"/>
        <v>48127</v>
      </c>
      <c r="B1580">
        <f t="shared" ca="1" si="120"/>
        <v>-5.4861111111111107</v>
      </c>
      <c r="C1580" t="str">
        <f ca="1">IF(currency="USD",'Future et co'!D1580,IF(currency="EUR",'Future et co'!E1580,IF(currency="GBP",'Future et co'!F1580,FALSE)))</f>
        <v>RFR USD</v>
      </c>
      <c r="D1580" t="str">
        <f t="shared" ca="1" si="121"/>
        <v>RFR USD</v>
      </c>
      <c r="E1580" t="str">
        <f t="shared" ca="1" si="122"/>
        <v>RFR EUR</v>
      </c>
      <c r="F1580" t="str">
        <f t="shared" ca="1" si="123"/>
        <v>RFR GBP</v>
      </c>
      <c r="J1580" s="1"/>
      <c r="N1580" s="1"/>
      <c r="R1580" s="1"/>
      <c r="V1580" s="1"/>
      <c r="AB1580" s="1"/>
      <c r="AF1580" s="1"/>
      <c r="AJ1580" s="1"/>
      <c r="AN1580" s="1"/>
      <c r="AS1580" s="1"/>
      <c r="AX1580" s="1"/>
    </row>
    <row r="1581" spans="1:50" x14ac:dyDescent="0.3">
      <c r="A1581" s="19">
        <f t="shared" si="124"/>
        <v>48128</v>
      </c>
      <c r="B1581">
        <f t="shared" ca="1" si="120"/>
        <v>-5.4888888888888889</v>
      </c>
      <c r="C1581" t="str">
        <f ca="1">IF(currency="USD",'Future et co'!D1581,IF(currency="EUR",'Future et co'!E1581,IF(currency="GBP",'Future et co'!F1581,FALSE)))</f>
        <v>RFR USD</v>
      </c>
      <c r="D1581" t="str">
        <f t="shared" ca="1" si="121"/>
        <v>RFR USD</v>
      </c>
      <c r="E1581" t="str">
        <f t="shared" ca="1" si="122"/>
        <v>RFR EUR</v>
      </c>
      <c r="F1581" t="str">
        <f t="shared" ca="1" si="123"/>
        <v>RFR GBP</v>
      </c>
      <c r="J1581" s="1"/>
      <c r="N1581" s="1"/>
      <c r="R1581" s="1"/>
      <c r="V1581" s="1"/>
      <c r="AB1581" s="1"/>
      <c r="AF1581" s="1"/>
      <c r="AJ1581" s="1"/>
      <c r="AN1581" s="1"/>
      <c r="AS1581" s="1"/>
      <c r="AX1581" s="1"/>
    </row>
    <row r="1582" spans="1:50" x14ac:dyDescent="0.3">
      <c r="A1582" s="19">
        <f t="shared" si="124"/>
        <v>48129</v>
      </c>
      <c r="B1582">
        <f t="shared" ca="1" si="120"/>
        <v>-5.4916666666666663</v>
      </c>
      <c r="C1582" t="str">
        <f ca="1">IF(currency="USD",'Future et co'!D1582,IF(currency="EUR",'Future et co'!E1582,IF(currency="GBP",'Future et co'!F1582,FALSE)))</f>
        <v>RFR USD</v>
      </c>
      <c r="D1582" t="str">
        <f t="shared" ca="1" si="121"/>
        <v>RFR USD</v>
      </c>
      <c r="E1582" t="str">
        <f t="shared" ca="1" si="122"/>
        <v>RFR EUR</v>
      </c>
      <c r="F1582" t="str">
        <f t="shared" ca="1" si="123"/>
        <v>RFR GBP</v>
      </c>
      <c r="J1582" s="1"/>
      <c r="N1582" s="1"/>
      <c r="R1582" s="1"/>
      <c r="V1582" s="1"/>
      <c r="AB1582" s="1"/>
      <c r="AF1582" s="1"/>
      <c r="AJ1582" s="1"/>
      <c r="AN1582" s="1"/>
      <c r="AS1582" s="1"/>
      <c r="AX1582" s="1"/>
    </row>
    <row r="1583" spans="1:50" x14ac:dyDescent="0.3">
      <c r="A1583" s="19">
        <f t="shared" si="124"/>
        <v>48130</v>
      </c>
      <c r="B1583">
        <f t="shared" ca="1" si="120"/>
        <v>-5.4944444444444445</v>
      </c>
      <c r="C1583" t="str">
        <f ca="1">IF(currency="USD",'Future et co'!D1583,IF(currency="EUR",'Future et co'!E1583,IF(currency="GBP",'Future et co'!F1583,FALSE)))</f>
        <v>RFR USD</v>
      </c>
      <c r="D1583" t="str">
        <f t="shared" ca="1" si="121"/>
        <v>RFR USD</v>
      </c>
      <c r="E1583" t="str">
        <f t="shared" ca="1" si="122"/>
        <v>RFR EUR</v>
      </c>
      <c r="F1583" t="str">
        <f t="shared" ca="1" si="123"/>
        <v>RFR GBP</v>
      </c>
      <c r="J1583" s="1"/>
      <c r="N1583" s="1"/>
      <c r="R1583" s="1"/>
      <c r="V1583" s="1"/>
      <c r="AB1583" s="1"/>
      <c r="AF1583" s="1"/>
      <c r="AJ1583" s="1"/>
      <c r="AN1583" s="1"/>
      <c r="AS1583" s="1"/>
      <c r="AX1583" s="1"/>
    </row>
    <row r="1584" spans="1:50" x14ac:dyDescent="0.3">
      <c r="A1584" s="19">
        <f t="shared" si="124"/>
        <v>48131</v>
      </c>
      <c r="B1584">
        <f t="shared" ca="1" si="120"/>
        <v>-5.4972222222222218</v>
      </c>
      <c r="C1584" t="str">
        <f ca="1">IF(currency="USD",'Future et co'!D1584,IF(currency="EUR",'Future et co'!E1584,IF(currency="GBP",'Future et co'!F1584,FALSE)))</f>
        <v>RFR USD</v>
      </c>
      <c r="D1584" t="str">
        <f t="shared" ca="1" si="121"/>
        <v>RFR USD</v>
      </c>
      <c r="E1584" t="str">
        <f t="shared" ca="1" si="122"/>
        <v>RFR EUR</v>
      </c>
      <c r="F1584" t="str">
        <f t="shared" ca="1" si="123"/>
        <v>RFR GBP</v>
      </c>
      <c r="J1584" s="1"/>
      <c r="N1584" s="1"/>
      <c r="R1584" s="1"/>
      <c r="V1584" s="1"/>
      <c r="AB1584" s="1"/>
      <c r="AF1584" s="1"/>
      <c r="AJ1584" s="1"/>
      <c r="AN1584" s="1"/>
      <c r="AS1584" s="1"/>
      <c r="AX1584" s="1"/>
    </row>
    <row r="1585" spans="1:50" x14ac:dyDescent="0.3">
      <c r="A1585" s="19">
        <f t="shared" si="124"/>
        <v>48134</v>
      </c>
      <c r="B1585">
        <f t="shared" ca="1" si="120"/>
        <v>-5.5055555555555555</v>
      </c>
      <c r="C1585" t="str">
        <f ca="1">IF(currency="USD",'Future et co'!D1585,IF(currency="EUR",'Future et co'!E1585,IF(currency="GBP",'Future et co'!F1585,FALSE)))</f>
        <v>RFR USD</v>
      </c>
      <c r="D1585" t="str">
        <f t="shared" ca="1" si="121"/>
        <v>RFR USD</v>
      </c>
      <c r="E1585" t="str">
        <f t="shared" ca="1" si="122"/>
        <v>RFR EUR</v>
      </c>
      <c r="F1585" t="str">
        <f t="shared" ca="1" si="123"/>
        <v>RFR GBP</v>
      </c>
      <c r="J1585" s="1"/>
      <c r="N1585" s="1"/>
      <c r="R1585" s="1"/>
      <c r="V1585" s="1"/>
      <c r="AB1585" s="1"/>
      <c r="AF1585" s="1"/>
      <c r="AJ1585" s="1"/>
      <c r="AN1585" s="1"/>
      <c r="AS1585" s="1"/>
      <c r="AX1585" s="1"/>
    </row>
    <row r="1586" spans="1:50" x14ac:dyDescent="0.3">
      <c r="A1586" s="19">
        <f t="shared" si="124"/>
        <v>48135</v>
      </c>
      <c r="B1586">
        <f t="shared" ca="1" si="120"/>
        <v>-5.5083333333333337</v>
      </c>
      <c r="C1586" t="str">
        <f ca="1">IF(currency="USD",'Future et co'!D1586,IF(currency="EUR",'Future et co'!E1586,IF(currency="GBP",'Future et co'!F1586,FALSE)))</f>
        <v>RFR USD</v>
      </c>
      <c r="D1586" t="str">
        <f t="shared" ca="1" si="121"/>
        <v>RFR USD</v>
      </c>
      <c r="E1586" t="str">
        <f t="shared" ca="1" si="122"/>
        <v>RFR EUR</v>
      </c>
      <c r="F1586" t="str">
        <f t="shared" ca="1" si="123"/>
        <v>RFR GBP</v>
      </c>
      <c r="J1586" s="1"/>
      <c r="N1586" s="1"/>
      <c r="R1586" s="1"/>
      <c r="V1586" s="1"/>
      <c r="AB1586" s="1"/>
      <c r="AF1586" s="1"/>
      <c r="AJ1586" s="1"/>
      <c r="AN1586" s="1"/>
      <c r="AS1586" s="1"/>
      <c r="AX1586" s="1"/>
    </row>
    <row r="1587" spans="1:50" x14ac:dyDescent="0.3">
      <c r="A1587" s="19">
        <f t="shared" si="124"/>
        <v>48136</v>
      </c>
      <c r="B1587">
        <f t="shared" ca="1" si="120"/>
        <v>-5.5111111111111111</v>
      </c>
      <c r="C1587" t="str">
        <f ca="1">IF(currency="USD",'Future et co'!D1587,IF(currency="EUR",'Future et co'!E1587,IF(currency="GBP",'Future et co'!F1587,FALSE)))</f>
        <v>RFR USD</v>
      </c>
      <c r="D1587" t="str">
        <f t="shared" ca="1" si="121"/>
        <v>RFR USD</v>
      </c>
      <c r="E1587" t="str">
        <f t="shared" ca="1" si="122"/>
        <v>RFR EUR</v>
      </c>
      <c r="F1587" t="str">
        <f t="shared" ca="1" si="123"/>
        <v>RFR GBP</v>
      </c>
      <c r="J1587" s="1"/>
      <c r="N1587" s="1"/>
      <c r="R1587" s="1"/>
      <c r="V1587" s="1"/>
      <c r="AB1587" s="1"/>
      <c r="AF1587" s="1"/>
      <c r="AJ1587" s="1"/>
      <c r="AN1587" s="1"/>
      <c r="AS1587" s="1"/>
      <c r="AX1587" s="1"/>
    </row>
    <row r="1588" spans="1:50" x14ac:dyDescent="0.3">
      <c r="A1588" s="19">
        <f t="shared" si="124"/>
        <v>48137</v>
      </c>
      <c r="B1588">
        <f t="shared" ca="1" si="120"/>
        <v>-5.5138888888888893</v>
      </c>
      <c r="C1588" t="str">
        <f ca="1">IF(currency="USD",'Future et co'!D1588,IF(currency="EUR",'Future et co'!E1588,IF(currency="GBP",'Future et co'!F1588,FALSE)))</f>
        <v>RFR USD</v>
      </c>
      <c r="D1588" t="str">
        <f t="shared" ca="1" si="121"/>
        <v>RFR USD</v>
      </c>
      <c r="E1588" t="str">
        <f t="shared" ca="1" si="122"/>
        <v>RFR EUR</v>
      </c>
      <c r="F1588" t="str">
        <f t="shared" ca="1" si="123"/>
        <v>RFR GBP</v>
      </c>
      <c r="J1588" s="1"/>
      <c r="N1588" s="1"/>
      <c r="R1588" s="1"/>
      <c r="V1588" s="1"/>
      <c r="AB1588" s="1"/>
      <c r="AF1588" s="1"/>
      <c r="AJ1588" s="1"/>
      <c r="AN1588" s="1"/>
      <c r="AS1588" s="1"/>
      <c r="AX1588" s="1"/>
    </row>
    <row r="1589" spans="1:50" x14ac:dyDescent="0.3">
      <c r="A1589" s="19">
        <f t="shared" si="124"/>
        <v>48138</v>
      </c>
      <c r="B1589">
        <f t="shared" ca="1" si="120"/>
        <v>-5.5166666666666666</v>
      </c>
      <c r="C1589" t="str">
        <f ca="1">IF(currency="USD",'Future et co'!D1589,IF(currency="EUR",'Future et co'!E1589,IF(currency="GBP",'Future et co'!F1589,FALSE)))</f>
        <v>RFR USD</v>
      </c>
      <c r="D1589" t="str">
        <f t="shared" ca="1" si="121"/>
        <v>RFR USD</v>
      </c>
      <c r="E1589" t="str">
        <f t="shared" ca="1" si="122"/>
        <v>RFR EUR</v>
      </c>
      <c r="F1589" t="str">
        <f t="shared" ca="1" si="123"/>
        <v>RFR GBP</v>
      </c>
      <c r="J1589" s="1"/>
      <c r="N1589" s="1"/>
      <c r="R1589" s="1"/>
      <c r="V1589" s="1"/>
      <c r="AB1589" s="1"/>
      <c r="AF1589" s="1"/>
      <c r="AJ1589" s="1"/>
      <c r="AN1589" s="1"/>
      <c r="AS1589" s="1"/>
      <c r="AX1589" s="1"/>
    </row>
    <row r="1590" spans="1:50" x14ac:dyDescent="0.3">
      <c r="A1590" s="19">
        <f t="shared" si="124"/>
        <v>48141</v>
      </c>
      <c r="B1590">
        <f t="shared" ca="1" si="120"/>
        <v>-5.5250000000000004</v>
      </c>
      <c r="C1590" t="str">
        <f ca="1">IF(currency="USD",'Future et co'!D1590,IF(currency="EUR",'Future et co'!E1590,IF(currency="GBP",'Future et co'!F1590,FALSE)))</f>
        <v>RFR USD</v>
      </c>
      <c r="D1590" t="str">
        <f t="shared" ca="1" si="121"/>
        <v>RFR USD</v>
      </c>
      <c r="E1590" t="str">
        <f t="shared" ca="1" si="122"/>
        <v>RFR EUR</v>
      </c>
      <c r="F1590" t="str">
        <f t="shared" ca="1" si="123"/>
        <v>RFR GBP</v>
      </c>
      <c r="J1590" s="1"/>
      <c r="N1590" s="1"/>
      <c r="R1590" s="1"/>
      <c r="V1590" s="1"/>
      <c r="AB1590" s="1"/>
      <c r="AF1590" s="1"/>
      <c r="AJ1590" s="1"/>
      <c r="AN1590" s="1"/>
      <c r="AS1590" s="1"/>
      <c r="AX1590" s="1"/>
    </row>
    <row r="1591" spans="1:50" x14ac:dyDescent="0.3">
      <c r="A1591" s="19">
        <f t="shared" si="124"/>
        <v>48142</v>
      </c>
      <c r="B1591">
        <f t="shared" ca="1" si="120"/>
        <v>-5.5277777777777777</v>
      </c>
      <c r="C1591" t="str">
        <f ca="1">IF(currency="USD",'Future et co'!D1591,IF(currency="EUR",'Future et co'!E1591,IF(currency="GBP",'Future et co'!F1591,FALSE)))</f>
        <v>RFR USD</v>
      </c>
      <c r="D1591" t="str">
        <f t="shared" ca="1" si="121"/>
        <v>RFR USD</v>
      </c>
      <c r="E1591" t="str">
        <f t="shared" ca="1" si="122"/>
        <v>RFR EUR</v>
      </c>
      <c r="F1591" t="str">
        <f t="shared" ca="1" si="123"/>
        <v>RFR GBP</v>
      </c>
      <c r="J1591" s="1"/>
      <c r="N1591" s="1"/>
      <c r="R1591" s="1"/>
      <c r="V1591" s="1"/>
      <c r="AB1591" s="1"/>
      <c r="AF1591" s="1"/>
      <c r="AJ1591" s="1"/>
      <c r="AN1591" s="1"/>
      <c r="AS1591" s="1"/>
      <c r="AX1591" s="1"/>
    </row>
    <row r="1592" spans="1:50" x14ac:dyDescent="0.3">
      <c r="A1592" s="19">
        <f t="shared" si="124"/>
        <v>48143</v>
      </c>
      <c r="B1592">
        <f t="shared" ca="1" si="120"/>
        <v>-5.5305555555555559</v>
      </c>
      <c r="C1592" t="str">
        <f ca="1">IF(currency="USD",'Future et co'!D1592,IF(currency="EUR",'Future et co'!E1592,IF(currency="GBP",'Future et co'!F1592,FALSE)))</f>
        <v>RFR USD</v>
      </c>
      <c r="D1592" t="str">
        <f t="shared" ca="1" si="121"/>
        <v>RFR USD</v>
      </c>
      <c r="E1592" t="str">
        <f t="shared" ca="1" si="122"/>
        <v>RFR EUR</v>
      </c>
      <c r="F1592" t="str">
        <f t="shared" ca="1" si="123"/>
        <v>RFR GBP</v>
      </c>
      <c r="J1592" s="1"/>
      <c r="N1592" s="1"/>
      <c r="R1592" s="1"/>
      <c r="V1592" s="1"/>
      <c r="AB1592" s="1"/>
      <c r="AF1592" s="1"/>
      <c r="AJ1592" s="1"/>
      <c r="AN1592" s="1"/>
      <c r="AS1592" s="1"/>
      <c r="AX1592" s="1"/>
    </row>
    <row r="1593" spans="1:50" x14ac:dyDescent="0.3">
      <c r="A1593" s="19">
        <f t="shared" si="124"/>
        <v>48144</v>
      </c>
      <c r="B1593">
        <f t="shared" ca="1" si="120"/>
        <v>-5.5333333333333332</v>
      </c>
      <c r="C1593" t="str">
        <f ca="1">IF(currency="USD",'Future et co'!D1593,IF(currency="EUR",'Future et co'!E1593,IF(currency="GBP",'Future et co'!F1593,FALSE)))</f>
        <v>RFR USD</v>
      </c>
      <c r="D1593" t="str">
        <f t="shared" ca="1" si="121"/>
        <v>RFR USD</v>
      </c>
      <c r="E1593" t="str">
        <f t="shared" ca="1" si="122"/>
        <v>RFR EUR</v>
      </c>
      <c r="F1593" t="str">
        <f t="shared" ca="1" si="123"/>
        <v>RFR GBP</v>
      </c>
      <c r="J1593" s="1"/>
      <c r="N1593" s="1"/>
      <c r="R1593" s="1"/>
      <c r="V1593" s="1"/>
      <c r="AB1593" s="1"/>
      <c r="AF1593" s="1"/>
      <c r="AJ1593" s="1"/>
      <c r="AN1593" s="1"/>
      <c r="AS1593" s="1"/>
      <c r="AX1593" s="1"/>
    </row>
    <row r="1594" spans="1:50" x14ac:dyDescent="0.3">
      <c r="A1594" s="19">
        <f t="shared" si="124"/>
        <v>48145</v>
      </c>
      <c r="B1594">
        <f t="shared" ca="1" si="120"/>
        <v>-5.5361111111111114</v>
      </c>
      <c r="C1594" t="str">
        <f ca="1">IF(currency="USD",'Future et co'!D1594,IF(currency="EUR",'Future et co'!E1594,IF(currency="GBP",'Future et co'!F1594,FALSE)))</f>
        <v>RFR USD</v>
      </c>
      <c r="D1594" t="str">
        <f t="shared" ca="1" si="121"/>
        <v>RFR USD</v>
      </c>
      <c r="E1594" t="str">
        <f t="shared" ca="1" si="122"/>
        <v>RFR EUR</v>
      </c>
      <c r="F1594" t="str">
        <f t="shared" ca="1" si="123"/>
        <v>RFR GBP</v>
      </c>
      <c r="J1594" s="1"/>
      <c r="N1594" s="1"/>
      <c r="R1594" s="1"/>
      <c r="V1594" s="1"/>
      <c r="AB1594" s="1"/>
      <c r="AF1594" s="1"/>
      <c r="AJ1594" s="1"/>
      <c r="AN1594" s="1"/>
      <c r="AS1594" s="1"/>
      <c r="AX1594" s="1"/>
    </row>
    <row r="1595" spans="1:50" x14ac:dyDescent="0.3">
      <c r="A1595" s="19">
        <f t="shared" si="124"/>
        <v>48148</v>
      </c>
      <c r="B1595">
        <f t="shared" ca="1" si="120"/>
        <v>-5.5444444444444443</v>
      </c>
      <c r="C1595" t="str">
        <f ca="1">IF(currency="USD",'Future et co'!D1595,IF(currency="EUR",'Future et co'!E1595,IF(currency="GBP",'Future et co'!F1595,FALSE)))</f>
        <v>RFR USD</v>
      </c>
      <c r="D1595" t="str">
        <f t="shared" ca="1" si="121"/>
        <v>RFR USD</v>
      </c>
      <c r="E1595" t="str">
        <f t="shared" ca="1" si="122"/>
        <v>RFR EUR</v>
      </c>
      <c r="F1595" t="str">
        <f t="shared" ca="1" si="123"/>
        <v>RFR GBP</v>
      </c>
      <c r="J1595" s="1"/>
      <c r="N1595" s="1"/>
      <c r="R1595" s="1"/>
      <c r="V1595" s="1"/>
      <c r="AB1595" s="1"/>
      <c r="AF1595" s="1"/>
      <c r="AJ1595" s="1"/>
      <c r="AN1595" s="1"/>
      <c r="AS1595" s="1"/>
      <c r="AX1595" s="1"/>
    </row>
    <row r="1596" spans="1:50" x14ac:dyDescent="0.3">
      <c r="A1596" s="19">
        <f t="shared" si="124"/>
        <v>48149</v>
      </c>
      <c r="B1596">
        <f t="shared" ca="1" si="120"/>
        <v>-5.5472222222222225</v>
      </c>
      <c r="C1596" t="str">
        <f ca="1">IF(currency="USD",'Future et co'!D1596,IF(currency="EUR",'Future et co'!E1596,IF(currency="GBP",'Future et co'!F1596,FALSE)))</f>
        <v>RFR USD</v>
      </c>
      <c r="D1596" t="str">
        <f t="shared" ca="1" si="121"/>
        <v>RFR USD</v>
      </c>
      <c r="E1596" t="str">
        <f t="shared" ca="1" si="122"/>
        <v>RFR EUR</v>
      </c>
      <c r="F1596" t="str">
        <f t="shared" ca="1" si="123"/>
        <v>RFR GBP</v>
      </c>
      <c r="J1596" s="1"/>
      <c r="N1596" s="1"/>
      <c r="R1596" s="1"/>
      <c r="V1596" s="1"/>
      <c r="AB1596" s="1"/>
      <c r="AF1596" s="1"/>
      <c r="AJ1596" s="1"/>
      <c r="AN1596" s="1"/>
      <c r="AS1596" s="1"/>
      <c r="AX1596" s="1"/>
    </row>
    <row r="1597" spans="1:50" x14ac:dyDescent="0.3">
      <c r="A1597" s="19">
        <f t="shared" si="124"/>
        <v>48150</v>
      </c>
      <c r="B1597">
        <f t="shared" ca="1" si="120"/>
        <v>-5.55</v>
      </c>
      <c r="C1597" t="str">
        <f ca="1">IF(currency="USD",'Future et co'!D1597,IF(currency="EUR",'Future et co'!E1597,IF(currency="GBP",'Future et co'!F1597,FALSE)))</f>
        <v>RFR USD</v>
      </c>
      <c r="D1597" t="str">
        <f t="shared" ca="1" si="121"/>
        <v>RFR USD</v>
      </c>
      <c r="E1597" t="str">
        <f t="shared" ca="1" si="122"/>
        <v>RFR EUR</v>
      </c>
      <c r="F1597" t="str">
        <f t="shared" ca="1" si="123"/>
        <v>RFR GBP</v>
      </c>
      <c r="J1597" s="1"/>
      <c r="N1597" s="1"/>
      <c r="R1597" s="1"/>
      <c r="V1597" s="1"/>
      <c r="AB1597" s="1"/>
      <c r="AF1597" s="1"/>
      <c r="AJ1597" s="1"/>
      <c r="AN1597" s="1"/>
      <c r="AS1597" s="1"/>
      <c r="AX1597" s="1"/>
    </row>
    <row r="1598" spans="1:50" x14ac:dyDescent="0.3">
      <c r="A1598" s="19">
        <f t="shared" si="124"/>
        <v>48151</v>
      </c>
      <c r="B1598">
        <f t="shared" ca="1" si="120"/>
        <v>-5.552777777777778</v>
      </c>
      <c r="C1598" t="str">
        <f ca="1">IF(currency="USD",'Future et co'!D1598,IF(currency="EUR",'Future et co'!E1598,IF(currency="GBP",'Future et co'!F1598,FALSE)))</f>
        <v>RFR USD</v>
      </c>
      <c r="D1598" t="str">
        <f t="shared" ca="1" si="121"/>
        <v>RFR USD</v>
      </c>
      <c r="E1598" t="str">
        <f t="shared" ca="1" si="122"/>
        <v>RFR EUR</v>
      </c>
      <c r="F1598" t="str">
        <f t="shared" ca="1" si="123"/>
        <v>RFR GBP</v>
      </c>
      <c r="J1598" s="1"/>
      <c r="N1598" s="1"/>
      <c r="R1598" s="1"/>
      <c r="V1598" s="1"/>
      <c r="AB1598" s="1"/>
      <c r="AF1598" s="1"/>
      <c r="AJ1598" s="1"/>
      <c r="AN1598" s="1"/>
      <c r="AS1598" s="1"/>
      <c r="AX1598" s="1"/>
    </row>
    <row r="1599" spans="1:50" x14ac:dyDescent="0.3">
      <c r="A1599" s="19">
        <f t="shared" si="124"/>
        <v>48152</v>
      </c>
      <c r="B1599">
        <f t="shared" ca="1" si="120"/>
        <v>-5.5555555555555554</v>
      </c>
      <c r="C1599" t="str">
        <f ca="1">IF(currency="USD",'Future et co'!D1599,IF(currency="EUR",'Future et co'!E1599,IF(currency="GBP",'Future et co'!F1599,FALSE)))</f>
        <v>RFR USD</v>
      </c>
      <c r="D1599" t="str">
        <f t="shared" ca="1" si="121"/>
        <v>RFR USD</v>
      </c>
      <c r="E1599" t="str">
        <f t="shared" ca="1" si="122"/>
        <v>RFR EUR</v>
      </c>
      <c r="F1599" t="str">
        <f t="shared" ca="1" si="123"/>
        <v>RFR GBP</v>
      </c>
      <c r="J1599" s="1"/>
      <c r="N1599" s="1"/>
      <c r="R1599" s="1"/>
      <c r="V1599" s="1"/>
      <c r="AB1599" s="1"/>
      <c r="AF1599" s="1"/>
      <c r="AJ1599" s="1"/>
      <c r="AN1599" s="1"/>
      <c r="AS1599" s="1"/>
      <c r="AX1599" s="1"/>
    </row>
    <row r="1600" spans="1:50" x14ac:dyDescent="0.3">
      <c r="A1600" s="19">
        <f t="shared" si="124"/>
        <v>48155</v>
      </c>
      <c r="B1600">
        <f t="shared" ca="1" si="120"/>
        <v>-5.5638888888888891</v>
      </c>
      <c r="C1600" t="str">
        <f ca="1">IF(currency="USD",'Future et co'!D1600,IF(currency="EUR",'Future et co'!E1600,IF(currency="GBP",'Future et co'!F1600,FALSE)))</f>
        <v>RFR USD</v>
      </c>
      <c r="D1600" t="str">
        <f t="shared" ca="1" si="121"/>
        <v>RFR USD</v>
      </c>
      <c r="E1600" t="str">
        <f t="shared" ca="1" si="122"/>
        <v>RFR EUR</v>
      </c>
      <c r="F1600" t="str">
        <f t="shared" ca="1" si="123"/>
        <v>RFR GBP</v>
      </c>
      <c r="J1600" s="1"/>
      <c r="N1600" s="1"/>
      <c r="R1600" s="1"/>
      <c r="V1600" s="1"/>
      <c r="AB1600" s="1"/>
      <c r="AF1600" s="1"/>
      <c r="AJ1600" s="1"/>
      <c r="AN1600" s="1"/>
      <c r="AS1600" s="1"/>
      <c r="AX1600" s="1"/>
    </row>
    <row r="1601" spans="1:50" x14ac:dyDescent="0.3">
      <c r="A1601" s="19">
        <f t="shared" si="124"/>
        <v>48156</v>
      </c>
      <c r="B1601">
        <f t="shared" ca="1" si="120"/>
        <v>-5.5666666666666664</v>
      </c>
      <c r="C1601" t="str">
        <f ca="1">IF(currency="USD",'Future et co'!D1601,IF(currency="EUR",'Future et co'!E1601,IF(currency="GBP",'Future et co'!F1601,FALSE)))</f>
        <v>RFR USD</v>
      </c>
      <c r="D1601" t="str">
        <f t="shared" ca="1" si="121"/>
        <v>RFR USD</v>
      </c>
      <c r="E1601" t="str">
        <f t="shared" ca="1" si="122"/>
        <v>RFR EUR</v>
      </c>
      <c r="F1601" t="str">
        <f t="shared" ca="1" si="123"/>
        <v>RFR GBP</v>
      </c>
      <c r="J1601" s="1"/>
      <c r="N1601" s="1"/>
      <c r="R1601" s="1"/>
      <c r="V1601" s="1"/>
      <c r="AB1601" s="1"/>
      <c r="AF1601" s="1"/>
      <c r="AJ1601" s="1"/>
      <c r="AN1601" s="1"/>
      <c r="AS1601" s="1"/>
      <c r="AX1601" s="1"/>
    </row>
    <row r="1602" spans="1:50" x14ac:dyDescent="0.3">
      <c r="A1602" s="19">
        <f t="shared" si="124"/>
        <v>48157</v>
      </c>
      <c r="B1602">
        <f t="shared" ca="1" si="120"/>
        <v>-5.5694444444444446</v>
      </c>
      <c r="C1602" t="str">
        <f ca="1">IF(currency="USD",'Future et co'!D1602,IF(currency="EUR",'Future et co'!E1602,IF(currency="GBP",'Future et co'!F1602,FALSE)))</f>
        <v>RFR USD</v>
      </c>
      <c r="D1602" t="str">
        <f t="shared" ca="1" si="121"/>
        <v>RFR USD</v>
      </c>
      <c r="E1602" t="str">
        <f t="shared" ca="1" si="122"/>
        <v>RFR EUR</v>
      </c>
      <c r="F1602" t="str">
        <f t="shared" ca="1" si="123"/>
        <v>RFR GBP</v>
      </c>
      <c r="J1602" s="1"/>
      <c r="N1602" s="1"/>
      <c r="R1602" s="1"/>
      <c r="V1602" s="1"/>
      <c r="AB1602" s="1"/>
      <c r="AF1602" s="1"/>
      <c r="AJ1602" s="1"/>
      <c r="AN1602" s="1"/>
      <c r="AS1602" s="1"/>
      <c r="AX1602" s="1"/>
    </row>
    <row r="1603" spans="1:50" x14ac:dyDescent="0.3">
      <c r="A1603" s="19">
        <f t="shared" si="124"/>
        <v>48158</v>
      </c>
      <c r="B1603">
        <f t="shared" ca="1" si="120"/>
        <v>-5.572222222222222</v>
      </c>
      <c r="C1603" t="str">
        <f ca="1">IF(currency="USD",'Future et co'!D1603,IF(currency="EUR",'Future et co'!E1603,IF(currency="GBP",'Future et co'!F1603,FALSE)))</f>
        <v>RFR USD</v>
      </c>
      <c r="D1603" t="str">
        <f t="shared" ca="1" si="121"/>
        <v>RFR USD</v>
      </c>
      <c r="E1603" t="str">
        <f t="shared" ca="1" si="122"/>
        <v>RFR EUR</v>
      </c>
      <c r="F1603" t="str">
        <f t="shared" ca="1" si="123"/>
        <v>RFR GBP</v>
      </c>
      <c r="J1603" s="1"/>
      <c r="N1603" s="1"/>
      <c r="R1603" s="1"/>
      <c r="V1603" s="1"/>
      <c r="AB1603" s="1"/>
      <c r="AF1603" s="1"/>
      <c r="AJ1603" s="1"/>
      <c r="AN1603" s="1"/>
      <c r="AS1603" s="1"/>
      <c r="AX1603" s="1"/>
    </row>
    <row r="1604" spans="1:50" x14ac:dyDescent="0.3">
      <c r="A1604" s="19">
        <f t="shared" si="124"/>
        <v>48159</v>
      </c>
      <c r="B1604">
        <f t="shared" ca="1" si="120"/>
        <v>-5.5750000000000002</v>
      </c>
      <c r="C1604" t="str">
        <f ca="1">IF(currency="USD",'Future et co'!D1604,IF(currency="EUR",'Future et co'!E1604,IF(currency="GBP",'Future et co'!F1604,FALSE)))</f>
        <v>RFR USD</v>
      </c>
      <c r="D1604" t="str">
        <f t="shared" ca="1" si="121"/>
        <v>RFR USD</v>
      </c>
      <c r="E1604" t="str">
        <f t="shared" ca="1" si="122"/>
        <v>RFR EUR</v>
      </c>
      <c r="F1604" t="str">
        <f t="shared" ca="1" si="123"/>
        <v>RFR GBP</v>
      </c>
      <c r="J1604" s="1"/>
      <c r="N1604" s="1"/>
      <c r="R1604" s="1"/>
      <c r="V1604" s="1"/>
      <c r="AB1604" s="1"/>
      <c r="AF1604" s="1"/>
      <c r="AJ1604" s="1"/>
      <c r="AN1604" s="1"/>
      <c r="AS1604" s="1"/>
      <c r="AX1604" s="1"/>
    </row>
    <row r="1605" spans="1:50" x14ac:dyDescent="0.3">
      <c r="A1605" s="19">
        <f t="shared" si="124"/>
        <v>48162</v>
      </c>
      <c r="B1605">
        <f t="shared" ca="1" si="120"/>
        <v>-5.583333333333333</v>
      </c>
      <c r="C1605" t="str">
        <f ca="1">IF(currency="USD",'Future et co'!D1605,IF(currency="EUR",'Future et co'!E1605,IF(currency="GBP",'Future et co'!F1605,FALSE)))</f>
        <v>RFR USD</v>
      </c>
      <c r="D1605" t="str">
        <f t="shared" ca="1" si="121"/>
        <v>RFR USD</v>
      </c>
      <c r="E1605" t="str">
        <f t="shared" ca="1" si="122"/>
        <v>RFR EUR</v>
      </c>
      <c r="F1605" t="str">
        <f t="shared" ca="1" si="123"/>
        <v>RFR GBP</v>
      </c>
      <c r="J1605" s="1"/>
      <c r="N1605" s="1"/>
      <c r="R1605" s="1"/>
      <c r="V1605" s="1"/>
      <c r="AB1605" s="1"/>
      <c r="AF1605" s="1"/>
      <c r="AJ1605" s="1"/>
      <c r="AN1605" s="1"/>
      <c r="AS1605" s="1"/>
      <c r="AX1605" s="1"/>
    </row>
    <row r="1606" spans="1:50" x14ac:dyDescent="0.3">
      <c r="A1606" s="19">
        <f t="shared" si="124"/>
        <v>48163</v>
      </c>
      <c r="B1606">
        <f t="shared" ca="1" si="120"/>
        <v>-5.5861111111111112</v>
      </c>
      <c r="C1606" t="str">
        <f ca="1">IF(currency="USD",'Future et co'!D1606,IF(currency="EUR",'Future et co'!E1606,IF(currency="GBP",'Future et co'!F1606,FALSE)))</f>
        <v>RFR USD</v>
      </c>
      <c r="D1606" t="str">
        <f t="shared" ca="1" si="121"/>
        <v>RFR USD</v>
      </c>
      <c r="E1606" t="str">
        <f t="shared" ca="1" si="122"/>
        <v>RFR EUR</v>
      </c>
      <c r="F1606" t="str">
        <f t="shared" ca="1" si="123"/>
        <v>RFR GBP</v>
      </c>
      <c r="J1606" s="1"/>
      <c r="N1606" s="1"/>
      <c r="R1606" s="1"/>
      <c r="V1606" s="1"/>
      <c r="AB1606" s="1"/>
      <c r="AF1606" s="1"/>
      <c r="AJ1606" s="1"/>
      <c r="AN1606" s="1"/>
      <c r="AS1606" s="1"/>
      <c r="AX1606" s="1"/>
    </row>
    <row r="1607" spans="1:50" x14ac:dyDescent="0.3">
      <c r="A1607" s="19">
        <f t="shared" si="124"/>
        <v>48164</v>
      </c>
      <c r="B1607">
        <f t="shared" ca="1" si="120"/>
        <v>-5.5888888888888886</v>
      </c>
      <c r="C1607" t="str">
        <f ca="1">IF(currency="USD",'Future et co'!D1607,IF(currency="EUR",'Future et co'!E1607,IF(currency="GBP",'Future et co'!F1607,FALSE)))</f>
        <v>RFR USD</v>
      </c>
      <c r="D1607" t="str">
        <f t="shared" ca="1" si="121"/>
        <v>RFR USD</v>
      </c>
      <c r="E1607" t="str">
        <f t="shared" ca="1" si="122"/>
        <v>RFR EUR</v>
      </c>
      <c r="F1607" t="str">
        <f t="shared" ca="1" si="123"/>
        <v>RFR GBP</v>
      </c>
      <c r="J1607" s="1"/>
      <c r="N1607" s="1"/>
      <c r="R1607" s="1"/>
      <c r="V1607" s="1"/>
      <c r="AB1607" s="1"/>
      <c r="AF1607" s="1"/>
      <c r="AJ1607" s="1"/>
      <c r="AN1607" s="1"/>
      <c r="AS1607" s="1"/>
      <c r="AX1607" s="1"/>
    </row>
    <row r="1608" spans="1:50" x14ac:dyDescent="0.3">
      <c r="A1608" s="19">
        <f t="shared" si="124"/>
        <v>48165</v>
      </c>
      <c r="B1608">
        <f t="shared" ca="1" si="120"/>
        <v>-5.5916666666666668</v>
      </c>
      <c r="C1608" t="str">
        <f ca="1">IF(currency="USD",'Future et co'!D1608,IF(currency="EUR",'Future et co'!E1608,IF(currency="GBP",'Future et co'!F1608,FALSE)))</f>
        <v>RFR USD</v>
      </c>
      <c r="D1608" t="str">
        <f t="shared" ca="1" si="121"/>
        <v>RFR USD</v>
      </c>
      <c r="E1608" t="str">
        <f t="shared" ca="1" si="122"/>
        <v>RFR EUR</v>
      </c>
      <c r="F1608" t="str">
        <f t="shared" ca="1" si="123"/>
        <v>RFR GBP</v>
      </c>
      <c r="J1608" s="1"/>
      <c r="N1608" s="1"/>
      <c r="R1608" s="1"/>
      <c r="V1608" s="1"/>
      <c r="AB1608" s="1"/>
      <c r="AF1608" s="1"/>
      <c r="AJ1608" s="1"/>
      <c r="AN1608" s="1"/>
      <c r="AS1608" s="1"/>
      <c r="AX1608" s="1"/>
    </row>
    <row r="1609" spans="1:50" x14ac:dyDescent="0.3">
      <c r="A1609" s="19">
        <f t="shared" si="124"/>
        <v>48166</v>
      </c>
      <c r="B1609">
        <f t="shared" ca="1" si="120"/>
        <v>-5.5944444444444441</v>
      </c>
      <c r="C1609" t="str">
        <f ca="1">IF(currency="USD",'Future et co'!D1609,IF(currency="EUR",'Future et co'!E1609,IF(currency="GBP",'Future et co'!F1609,FALSE)))</f>
        <v>RFR USD</v>
      </c>
      <c r="D1609" t="str">
        <f t="shared" ca="1" si="121"/>
        <v>RFR USD</v>
      </c>
      <c r="E1609" t="str">
        <f t="shared" ca="1" si="122"/>
        <v>RFR EUR</v>
      </c>
      <c r="F1609" t="str">
        <f t="shared" ca="1" si="123"/>
        <v>RFR GBP</v>
      </c>
      <c r="J1609" s="1"/>
      <c r="N1609" s="1"/>
      <c r="R1609" s="1"/>
      <c r="V1609" s="1"/>
      <c r="AB1609" s="1"/>
      <c r="AF1609" s="1"/>
      <c r="AJ1609" s="1"/>
      <c r="AN1609" s="1"/>
      <c r="AS1609" s="1"/>
      <c r="AX1609" s="1"/>
    </row>
    <row r="1610" spans="1:50" x14ac:dyDescent="0.3">
      <c r="A1610" s="19">
        <f t="shared" si="124"/>
        <v>48169</v>
      </c>
      <c r="B1610">
        <f t="shared" ca="1" si="120"/>
        <v>-5.6027777777777779</v>
      </c>
      <c r="C1610" t="str">
        <f ca="1">IF(currency="USD",'Future et co'!D1610,IF(currency="EUR",'Future et co'!E1610,IF(currency="GBP",'Future et co'!F1610,FALSE)))</f>
        <v>RFR USD</v>
      </c>
      <c r="D1610" t="str">
        <f t="shared" ca="1" si="121"/>
        <v>RFR USD</v>
      </c>
      <c r="E1610" t="str">
        <f t="shared" ca="1" si="122"/>
        <v>RFR EUR</v>
      </c>
      <c r="F1610" t="str">
        <f t="shared" ca="1" si="123"/>
        <v>RFR GBP</v>
      </c>
      <c r="J1610" s="1"/>
      <c r="N1610" s="1"/>
      <c r="R1610" s="1"/>
      <c r="V1610" s="1"/>
      <c r="AB1610" s="1"/>
      <c r="AF1610" s="1"/>
      <c r="AJ1610" s="1"/>
      <c r="AN1610" s="1"/>
      <c r="AS1610" s="1"/>
      <c r="AX1610" s="1"/>
    </row>
    <row r="1611" spans="1:50" x14ac:dyDescent="0.3">
      <c r="A1611" s="19">
        <f t="shared" si="124"/>
        <v>48170</v>
      </c>
      <c r="B1611">
        <f t="shared" ref="B1611:B1674" ca="1" si="125">($B$7-A1611)/360</f>
        <v>-5.6055555555555552</v>
      </c>
      <c r="C1611" t="str">
        <f ca="1">IF(currency="USD",'Future et co'!D1611,IF(currency="EUR",'Future et co'!E1611,IF(currency="GBP",'Future et co'!F1611,FALSE)))</f>
        <v>RFR USD</v>
      </c>
      <c r="D1611" t="str">
        <f t="shared" ref="D1611:D1674" ca="1" si="126">IFERROR(IF(B1611&lt;0.25,VLOOKUP(A1611,$J$11:$L$5325,3,FALSE),IF(AND(B1611&gt;=0.25,B1611&lt;0.5),VLOOKUP(A1611,$N$11:$P$5325,3,FALSE),IF(AND(B1611&gt;=0.5,B1611&lt;1),VLOOKUP(A1611,$R$11:$T$5325,3,FALSE),VLOOKUP(A1611,$V$11:$X$5010,3,FALSE)))),D1610)</f>
        <v>RFR USD</v>
      </c>
      <c r="E1611" t="str">
        <f t="shared" ref="E1611:E1674" ca="1" si="127">IFERROR(IF(B1611&lt;0.25,VLOOKUP(A1611,$AF$11:$AH$5325,3,FALSE),IF(AND(B1611&gt;=0.25,B1611&lt;0.5),VLOOKUP(A1611,$AJ$11:$AL$5325,3,FALSE),VLOOKUP(A1611,$AN$11:$AP$5325,3,FALSE))),E1610)</f>
        <v>RFR EUR</v>
      </c>
      <c r="F1611" t="str">
        <f t="shared" ref="F1611:F1674" ca="1" si="128">IFERROR(VLOOKUP(A1611,$AS$11:$AU$9999,3,FALSE),F1610)</f>
        <v>RFR GBP</v>
      </c>
      <c r="J1611" s="1"/>
      <c r="N1611" s="1"/>
      <c r="R1611" s="1"/>
      <c r="V1611" s="1"/>
      <c r="AB1611" s="1"/>
      <c r="AF1611" s="1"/>
      <c r="AJ1611" s="1"/>
      <c r="AN1611" s="1"/>
      <c r="AS1611" s="1"/>
      <c r="AX1611" s="1"/>
    </row>
    <row r="1612" spans="1:50" x14ac:dyDescent="0.3">
      <c r="A1612" s="19">
        <f t="shared" si="124"/>
        <v>48171</v>
      </c>
      <c r="B1612">
        <f t="shared" ca="1" si="125"/>
        <v>-5.6083333333333334</v>
      </c>
      <c r="C1612" t="str">
        <f ca="1">IF(currency="USD",'Future et co'!D1612,IF(currency="EUR",'Future et co'!E1612,IF(currency="GBP",'Future et co'!F1612,FALSE)))</f>
        <v>RFR USD</v>
      </c>
      <c r="D1612" t="str">
        <f t="shared" ca="1" si="126"/>
        <v>RFR USD</v>
      </c>
      <c r="E1612" t="str">
        <f t="shared" ca="1" si="127"/>
        <v>RFR EUR</v>
      </c>
      <c r="F1612" t="str">
        <f t="shared" ca="1" si="128"/>
        <v>RFR GBP</v>
      </c>
      <c r="J1612" s="1"/>
      <c r="N1612" s="1"/>
      <c r="R1612" s="1"/>
      <c r="V1612" s="1"/>
      <c r="AB1612" s="1"/>
      <c r="AF1612" s="1"/>
      <c r="AJ1612" s="1"/>
      <c r="AN1612" s="1"/>
      <c r="AS1612" s="1"/>
      <c r="AX1612" s="1"/>
    </row>
    <row r="1613" spans="1:50" x14ac:dyDescent="0.3">
      <c r="A1613" s="19">
        <f t="shared" ref="A1613:A1676" si="129">WORKDAY(A1612,1)</f>
        <v>48172</v>
      </c>
      <c r="B1613">
        <f t="shared" ca="1" si="125"/>
        <v>-5.6111111111111107</v>
      </c>
      <c r="C1613" t="str">
        <f ca="1">IF(currency="USD",'Future et co'!D1613,IF(currency="EUR",'Future et co'!E1613,IF(currency="GBP",'Future et co'!F1613,FALSE)))</f>
        <v>RFR USD</v>
      </c>
      <c r="D1613" t="str">
        <f t="shared" ca="1" si="126"/>
        <v>RFR USD</v>
      </c>
      <c r="E1613" t="str">
        <f t="shared" ca="1" si="127"/>
        <v>RFR EUR</v>
      </c>
      <c r="F1613" t="str">
        <f t="shared" ca="1" si="128"/>
        <v>RFR GBP</v>
      </c>
      <c r="J1613" s="1"/>
      <c r="N1613" s="1"/>
      <c r="R1613" s="1"/>
      <c r="V1613" s="1"/>
      <c r="AB1613" s="1"/>
      <c r="AF1613" s="1"/>
      <c r="AJ1613" s="1"/>
      <c r="AN1613" s="1"/>
      <c r="AS1613" s="1"/>
      <c r="AX1613" s="1"/>
    </row>
    <row r="1614" spans="1:50" x14ac:dyDescent="0.3">
      <c r="A1614" s="19">
        <f t="shared" si="129"/>
        <v>48173</v>
      </c>
      <c r="B1614">
        <f t="shared" ca="1" si="125"/>
        <v>-5.6138888888888889</v>
      </c>
      <c r="C1614" t="str">
        <f ca="1">IF(currency="USD",'Future et co'!D1614,IF(currency="EUR",'Future et co'!E1614,IF(currency="GBP",'Future et co'!F1614,FALSE)))</f>
        <v>RFR USD</v>
      </c>
      <c r="D1614" t="str">
        <f t="shared" ca="1" si="126"/>
        <v>RFR USD</v>
      </c>
      <c r="E1614" t="str">
        <f t="shared" ca="1" si="127"/>
        <v>RFR EUR</v>
      </c>
      <c r="F1614" t="str">
        <f t="shared" ca="1" si="128"/>
        <v>RFR GBP</v>
      </c>
      <c r="J1614" s="1"/>
      <c r="N1614" s="1"/>
      <c r="R1614" s="1"/>
      <c r="V1614" s="1"/>
      <c r="AB1614" s="1"/>
      <c r="AF1614" s="1"/>
      <c r="AJ1614" s="1"/>
      <c r="AN1614" s="1"/>
      <c r="AS1614" s="1"/>
      <c r="AX1614" s="1"/>
    </row>
    <row r="1615" spans="1:50" x14ac:dyDescent="0.3">
      <c r="A1615" s="19">
        <f t="shared" si="129"/>
        <v>48176</v>
      </c>
      <c r="B1615">
        <f t="shared" ca="1" si="125"/>
        <v>-5.6222222222222218</v>
      </c>
      <c r="C1615" t="str">
        <f ca="1">IF(currency="USD",'Future et co'!D1615,IF(currency="EUR",'Future et co'!E1615,IF(currency="GBP",'Future et co'!F1615,FALSE)))</f>
        <v>RFR USD</v>
      </c>
      <c r="D1615" t="str">
        <f t="shared" ca="1" si="126"/>
        <v>RFR USD</v>
      </c>
      <c r="E1615" t="str">
        <f t="shared" ca="1" si="127"/>
        <v>RFR EUR</v>
      </c>
      <c r="F1615" t="str">
        <f t="shared" ca="1" si="128"/>
        <v>RFR GBP</v>
      </c>
      <c r="J1615" s="1"/>
      <c r="N1615" s="1"/>
      <c r="R1615" s="1"/>
      <c r="V1615" s="1"/>
      <c r="AB1615" s="1"/>
      <c r="AF1615" s="1"/>
      <c r="AJ1615" s="1"/>
      <c r="AN1615" s="1"/>
      <c r="AS1615" s="1"/>
      <c r="AX1615" s="1"/>
    </row>
    <row r="1616" spans="1:50" x14ac:dyDescent="0.3">
      <c r="A1616" s="19">
        <f t="shared" si="129"/>
        <v>48177</v>
      </c>
      <c r="B1616">
        <f t="shared" ca="1" si="125"/>
        <v>-5.625</v>
      </c>
      <c r="C1616" t="str">
        <f ca="1">IF(currency="USD",'Future et co'!D1616,IF(currency="EUR",'Future et co'!E1616,IF(currency="GBP",'Future et co'!F1616,FALSE)))</f>
        <v>RFR USD</v>
      </c>
      <c r="D1616" t="str">
        <f t="shared" ca="1" si="126"/>
        <v>RFR USD</v>
      </c>
      <c r="E1616" t="str">
        <f t="shared" ca="1" si="127"/>
        <v>RFR EUR</v>
      </c>
      <c r="F1616" t="str">
        <f t="shared" ca="1" si="128"/>
        <v>RFR GBP</v>
      </c>
      <c r="J1616" s="1"/>
      <c r="N1616" s="1"/>
      <c r="R1616" s="1"/>
      <c r="V1616" s="1"/>
      <c r="AB1616" s="1"/>
      <c r="AF1616" s="1"/>
      <c r="AJ1616" s="1"/>
      <c r="AN1616" s="1"/>
      <c r="AS1616" s="1"/>
      <c r="AX1616" s="1"/>
    </row>
    <row r="1617" spans="1:50" x14ac:dyDescent="0.3">
      <c r="A1617" s="19">
        <f t="shared" si="129"/>
        <v>48178</v>
      </c>
      <c r="B1617">
        <f t="shared" ca="1" si="125"/>
        <v>-5.6277777777777782</v>
      </c>
      <c r="C1617" t="str">
        <f ca="1">IF(currency="USD",'Future et co'!D1617,IF(currency="EUR",'Future et co'!E1617,IF(currency="GBP",'Future et co'!F1617,FALSE)))</f>
        <v>RFR USD</v>
      </c>
      <c r="D1617" t="str">
        <f t="shared" ca="1" si="126"/>
        <v>RFR USD</v>
      </c>
      <c r="E1617" t="str">
        <f t="shared" ca="1" si="127"/>
        <v>RFR EUR</v>
      </c>
      <c r="F1617" t="str">
        <f t="shared" ca="1" si="128"/>
        <v>RFR GBP</v>
      </c>
      <c r="J1617" s="1"/>
      <c r="N1617" s="1"/>
      <c r="R1617" s="1"/>
      <c r="V1617" s="1"/>
      <c r="AB1617" s="1"/>
      <c r="AF1617" s="1"/>
      <c r="AJ1617" s="1"/>
      <c r="AN1617" s="1"/>
      <c r="AS1617" s="1"/>
      <c r="AX1617" s="1"/>
    </row>
    <row r="1618" spans="1:50" x14ac:dyDescent="0.3">
      <c r="A1618" s="19">
        <f t="shared" si="129"/>
        <v>48179</v>
      </c>
      <c r="B1618">
        <f t="shared" ca="1" si="125"/>
        <v>-5.6305555555555555</v>
      </c>
      <c r="C1618" t="str">
        <f ca="1">IF(currency="USD",'Future et co'!D1618,IF(currency="EUR",'Future et co'!E1618,IF(currency="GBP",'Future et co'!F1618,FALSE)))</f>
        <v>RFR USD</v>
      </c>
      <c r="D1618" t="str">
        <f t="shared" ca="1" si="126"/>
        <v>RFR USD</v>
      </c>
      <c r="E1618" t="str">
        <f t="shared" ca="1" si="127"/>
        <v>RFR EUR</v>
      </c>
      <c r="F1618" t="str">
        <f t="shared" ca="1" si="128"/>
        <v>RFR GBP</v>
      </c>
      <c r="J1618" s="1"/>
      <c r="N1618" s="1"/>
      <c r="R1618" s="1"/>
      <c r="V1618" s="1"/>
      <c r="AB1618" s="1"/>
      <c r="AF1618" s="1"/>
      <c r="AJ1618" s="1"/>
      <c r="AN1618" s="1"/>
      <c r="AS1618" s="1"/>
      <c r="AX1618" s="1"/>
    </row>
    <row r="1619" spans="1:50" x14ac:dyDescent="0.3">
      <c r="A1619" s="19">
        <f t="shared" si="129"/>
        <v>48180</v>
      </c>
      <c r="B1619">
        <f t="shared" ca="1" si="125"/>
        <v>-5.6333333333333337</v>
      </c>
      <c r="C1619" t="str">
        <f ca="1">IF(currency="USD",'Future et co'!D1619,IF(currency="EUR",'Future et co'!E1619,IF(currency="GBP",'Future et co'!F1619,FALSE)))</f>
        <v>RFR USD</v>
      </c>
      <c r="D1619" t="str">
        <f t="shared" ca="1" si="126"/>
        <v>RFR USD</v>
      </c>
      <c r="E1619" t="str">
        <f t="shared" ca="1" si="127"/>
        <v>RFR EUR</v>
      </c>
      <c r="F1619" t="str">
        <f t="shared" ca="1" si="128"/>
        <v>RFR GBP</v>
      </c>
      <c r="J1619" s="1"/>
      <c r="N1619" s="1"/>
      <c r="R1619" s="1"/>
      <c r="V1619" s="1"/>
      <c r="AB1619" s="1"/>
      <c r="AF1619" s="1"/>
      <c r="AJ1619" s="1"/>
      <c r="AN1619" s="1"/>
      <c r="AS1619" s="1"/>
      <c r="AX1619" s="1"/>
    </row>
    <row r="1620" spans="1:50" x14ac:dyDescent="0.3">
      <c r="A1620" s="19">
        <f t="shared" si="129"/>
        <v>48183</v>
      </c>
      <c r="B1620">
        <f t="shared" ca="1" si="125"/>
        <v>-5.6416666666666666</v>
      </c>
      <c r="C1620" t="str">
        <f ca="1">IF(currency="USD",'Future et co'!D1620,IF(currency="EUR",'Future et co'!E1620,IF(currency="GBP",'Future et co'!F1620,FALSE)))</f>
        <v>RFR USD</v>
      </c>
      <c r="D1620" t="str">
        <f t="shared" ca="1" si="126"/>
        <v>RFR USD</v>
      </c>
      <c r="E1620" t="str">
        <f t="shared" ca="1" si="127"/>
        <v>RFR EUR</v>
      </c>
      <c r="F1620" t="str">
        <f t="shared" ca="1" si="128"/>
        <v>RFR GBP</v>
      </c>
      <c r="J1620" s="1"/>
      <c r="N1620" s="1"/>
      <c r="R1620" s="1"/>
      <c r="V1620" s="1"/>
      <c r="AB1620" s="1"/>
      <c r="AF1620" s="1"/>
      <c r="AJ1620" s="1"/>
      <c r="AN1620" s="1"/>
      <c r="AS1620" s="1"/>
      <c r="AX1620" s="1"/>
    </row>
    <row r="1621" spans="1:50" x14ac:dyDescent="0.3">
      <c r="A1621" s="19">
        <f t="shared" si="129"/>
        <v>48184</v>
      </c>
      <c r="B1621">
        <f t="shared" ca="1" si="125"/>
        <v>-5.6444444444444448</v>
      </c>
      <c r="C1621" t="str">
        <f ca="1">IF(currency="USD",'Future et co'!D1621,IF(currency="EUR",'Future et co'!E1621,IF(currency="GBP",'Future et co'!F1621,FALSE)))</f>
        <v>RFR USD</v>
      </c>
      <c r="D1621" t="str">
        <f t="shared" ca="1" si="126"/>
        <v>RFR USD</v>
      </c>
      <c r="E1621" t="str">
        <f t="shared" ca="1" si="127"/>
        <v>RFR EUR</v>
      </c>
      <c r="F1621" t="str">
        <f t="shared" ca="1" si="128"/>
        <v>RFR GBP</v>
      </c>
      <c r="J1621" s="1"/>
      <c r="N1621" s="1"/>
      <c r="R1621" s="1"/>
      <c r="V1621" s="1"/>
      <c r="AB1621" s="1"/>
      <c r="AF1621" s="1"/>
      <c r="AJ1621" s="1"/>
      <c r="AN1621" s="1"/>
      <c r="AS1621" s="1"/>
      <c r="AX1621" s="1"/>
    </row>
    <row r="1622" spans="1:50" x14ac:dyDescent="0.3">
      <c r="A1622" s="19">
        <f t="shared" si="129"/>
        <v>48185</v>
      </c>
      <c r="B1622">
        <f t="shared" ca="1" si="125"/>
        <v>-5.6472222222222221</v>
      </c>
      <c r="C1622" t="str">
        <f ca="1">IF(currency="USD",'Future et co'!D1622,IF(currency="EUR",'Future et co'!E1622,IF(currency="GBP",'Future et co'!F1622,FALSE)))</f>
        <v>RFR USD</v>
      </c>
      <c r="D1622" t="str">
        <f t="shared" ca="1" si="126"/>
        <v>RFR USD</v>
      </c>
      <c r="E1622" t="str">
        <f t="shared" ca="1" si="127"/>
        <v>RFR EUR</v>
      </c>
      <c r="F1622" t="str">
        <f t="shared" ca="1" si="128"/>
        <v>RFR GBP</v>
      </c>
      <c r="J1622" s="1"/>
      <c r="N1622" s="1"/>
      <c r="R1622" s="1"/>
      <c r="V1622" s="1"/>
      <c r="AB1622" s="1"/>
      <c r="AF1622" s="1"/>
      <c r="AJ1622" s="1"/>
      <c r="AN1622" s="1"/>
      <c r="AS1622" s="1"/>
      <c r="AX1622" s="1"/>
    </row>
    <row r="1623" spans="1:50" x14ac:dyDescent="0.3">
      <c r="A1623" s="19">
        <f t="shared" si="129"/>
        <v>48186</v>
      </c>
      <c r="B1623">
        <f t="shared" ca="1" si="125"/>
        <v>-5.65</v>
      </c>
      <c r="C1623" t="str">
        <f ca="1">IF(currency="USD",'Future et co'!D1623,IF(currency="EUR",'Future et co'!E1623,IF(currency="GBP",'Future et co'!F1623,FALSE)))</f>
        <v>RFR USD</v>
      </c>
      <c r="D1623" t="str">
        <f t="shared" ca="1" si="126"/>
        <v>RFR USD</v>
      </c>
      <c r="E1623" t="str">
        <f t="shared" ca="1" si="127"/>
        <v>RFR EUR</v>
      </c>
      <c r="F1623" t="str">
        <f t="shared" ca="1" si="128"/>
        <v>RFR GBP</v>
      </c>
      <c r="J1623" s="1"/>
      <c r="N1623" s="1"/>
      <c r="R1623" s="1"/>
      <c r="V1623" s="1"/>
      <c r="AB1623" s="1"/>
      <c r="AF1623" s="1"/>
      <c r="AJ1623" s="1"/>
      <c r="AN1623" s="1"/>
      <c r="AS1623" s="1"/>
      <c r="AX1623" s="1"/>
    </row>
    <row r="1624" spans="1:50" x14ac:dyDescent="0.3">
      <c r="A1624" s="19">
        <f t="shared" si="129"/>
        <v>48187</v>
      </c>
      <c r="B1624">
        <f t="shared" ca="1" si="125"/>
        <v>-5.6527777777777777</v>
      </c>
      <c r="C1624" t="str">
        <f ca="1">IF(currency="USD",'Future et co'!D1624,IF(currency="EUR",'Future et co'!E1624,IF(currency="GBP",'Future et co'!F1624,FALSE)))</f>
        <v>RFR USD</v>
      </c>
      <c r="D1624" t="str">
        <f t="shared" ca="1" si="126"/>
        <v>RFR USD</v>
      </c>
      <c r="E1624" t="str">
        <f t="shared" ca="1" si="127"/>
        <v>RFR EUR</v>
      </c>
      <c r="F1624" t="str">
        <f t="shared" ca="1" si="128"/>
        <v>RFR GBP</v>
      </c>
      <c r="J1624" s="1"/>
      <c r="N1624" s="1"/>
      <c r="R1624" s="1"/>
      <c r="V1624" s="1"/>
      <c r="AB1624" s="1"/>
      <c r="AF1624" s="1"/>
      <c r="AJ1624" s="1"/>
      <c r="AN1624" s="1"/>
      <c r="AS1624" s="1"/>
      <c r="AX1624" s="1"/>
    </row>
    <row r="1625" spans="1:50" x14ac:dyDescent="0.3">
      <c r="A1625" s="19">
        <f t="shared" si="129"/>
        <v>48190</v>
      </c>
      <c r="B1625">
        <f t="shared" ca="1" si="125"/>
        <v>-5.6611111111111114</v>
      </c>
      <c r="C1625" t="str">
        <f ca="1">IF(currency="USD",'Future et co'!D1625,IF(currency="EUR",'Future et co'!E1625,IF(currency="GBP",'Future et co'!F1625,FALSE)))</f>
        <v>RFR USD</v>
      </c>
      <c r="D1625" t="str">
        <f t="shared" ca="1" si="126"/>
        <v>RFR USD</v>
      </c>
      <c r="E1625" t="str">
        <f t="shared" ca="1" si="127"/>
        <v>RFR EUR</v>
      </c>
      <c r="F1625" t="str">
        <f t="shared" ca="1" si="128"/>
        <v>RFR GBP</v>
      </c>
      <c r="J1625" s="1"/>
      <c r="N1625" s="1"/>
      <c r="R1625" s="1"/>
      <c r="V1625" s="1"/>
      <c r="AB1625" s="1"/>
      <c r="AF1625" s="1"/>
      <c r="AJ1625" s="1"/>
      <c r="AN1625" s="1"/>
      <c r="AS1625" s="1"/>
      <c r="AX1625" s="1"/>
    </row>
    <row r="1626" spans="1:50" x14ac:dyDescent="0.3">
      <c r="A1626" s="19">
        <f t="shared" si="129"/>
        <v>48191</v>
      </c>
      <c r="B1626">
        <f t="shared" ca="1" si="125"/>
        <v>-5.6638888888888888</v>
      </c>
      <c r="C1626" t="str">
        <f ca="1">IF(currency="USD",'Future et co'!D1626,IF(currency="EUR",'Future et co'!E1626,IF(currency="GBP",'Future et co'!F1626,FALSE)))</f>
        <v>RFR USD</v>
      </c>
      <c r="D1626" t="str">
        <f t="shared" ca="1" si="126"/>
        <v>RFR USD</v>
      </c>
      <c r="E1626" t="str">
        <f t="shared" ca="1" si="127"/>
        <v>RFR EUR</v>
      </c>
      <c r="F1626" t="str">
        <f t="shared" ca="1" si="128"/>
        <v>RFR GBP</v>
      </c>
      <c r="J1626" s="1"/>
      <c r="N1626" s="1"/>
      <c r="R1626" s="1"/>
      <c r="V1626" s="1"/>
      <c r="AB1626" s="1"/>
      <c r="AF1626" s="1"/>
      <c r="AJ1626" s="1"/>
      <c r="AN1626" s="1"/>
      <c r="AS1626" s="1"/>
      <c r="AX1626" s="1"/>
    </row>
    <row r="1627" spans="1:50" x14ac:dyDescent="0.3">
      <c r="A1627" s="19">
        <f t="shared" si="129"/>
        <v>48192</v>
      </c>
      <c r="B1627">
        <f t="shared" ca="1" si="125"/>
        <v>-5.666666666666667</v>
      </c>
      <c r="C1627" t="str">
        <f ca="1">IF(currency="USD",'Future et co'!D1627,IF(currency="EUR",'Future et co'!E1627,IF(currency="GBP",'Future et co'!F1627,FALSE)))</f>
        <v>RFR USD</v>
      </c>
      <c r="D1627" t="str">
        <f t="shared" ca="1" si="126"/>
        <v>RFR USD</v>
      </c>
      <c r="E1627" t="str">
        <f t="shared" ca="1" si="127"/>
        <v>RFR EUR</v>
      </c>
      <c r="F1627" t="str">
        <f t="shared" ca="1" si="128"/>
        <v>RFR GBP</v>
      </c>
      <c r="J1627" s="1"/>
      <c r="N1627" s="1"/>
      <c r="R1627" s="1"/>
      <c r="V1627" s="1"/>
      <c r="AB1627" s="1"/>
      <c r="AF1627" s="1"/>
      <c r="AJ1627" s="1"/>
      <c r="AN1627" s="1"/>
      <c r="AS1627" s="1"/>
      <c r="AX1627" s="1"/>
    </row>
    <row r="1628" spans="1:50" x14ac:dyDescent="0.3">
      <c r="A1628" s="19">
        <f t="shared" si="129"/>
        <v>48193</v>
      </c>
      <c r="B1628">
        <f t="shared" ca="1" si="125"/>
        <v>-5.6694444444444443</v>
      </c>
      <c r="C1628" t="str">
        <f ca="1">IF(currency="USD",'Future et co'!D1628,IF(currency="EUR",'Future et co'!E1628,IF(currency="GBP",'Future et co'!F1628,FALSE)))</f>
        <v>RFR USD</v>
      </c>
      <c r="D1628" t="str">
        <f t="shared" ca="1" si="126"/>
        <v>RFR USD</v>
      </c>
      <c r="E1628" t="str">
        <f t="shared" ca="1" si="127"/>
        <v>RFR EUR</v>
      </c>
      <c r="F1628" t="str">
        <f t="shared" ca="1" si="128"/>
        <v>RFR GBP</v>
      </c>
      <c r="J1628" s="1"/>
      <c r="N1628" s="1"/>
      <c r="R1628" s="1"/>
      <c r="V1628" s="1"/>
      <c r="AB1628" s="1"/>
      <c r="AF1628" s="1"/>
      <c r="AJ1628" s="1"/>
      <c r="AN1628" s="1"/>
      <c r="AS1628" s="1"/>
      <c r="AX1628" s="1"/>
    </row>
    <row r="1629" spans="1:50" x14ac:dyDescent="0.3">
      <c r="A1629" s="19">
        <f t="shared" si="129"/>
        <v>48194</v>
      </c>
      <c r="B1629">
        <f t="shared" ca="1" si="125"/>
        <v>-5.6722222222222225</v>
      </c>
      <c r="C1629" t="str">
        <f ca="1">IF(currency="USD",'Future et co'!D1629,IF(currency="EUR",'Future et co'!E1629,IF(currency="GBP",'Future et co'!F1629,FALSE)))</f>
        <v>RFR USD</v>
      </c>
      <c r="D1629" t="str">
        <f t="shared" ca="1" si="126"/>
        <v>RFR USD</v>
      </c>
      <c r="E1629" t="str">
        <f t="shared" ca="1" si="127"/>
        <v>RFR EUR</v>
      </c>
      <c r="F1629" t="str">
        <f t="shared" ca="1" si="128"/>
        <v>RFR GBP</v>
      </c>
      <c r="J1629" s="1"/>
      <c r="N1629" s="1"/>
      <c r="R1629" s="1"/>
      <c r="V1629" s="1"/>
      <c r="AB1629" s="1"/>
      <c r="AF1629" s="1"/>
      <c r="AJ1629" s="1"/>
      <c r="AN1629" s="1"/>
      <c r="AS1629" s="1"/>
      <c r="AX1629" s="1"/>
    </row>
    <row r="1630" spans="1:50" x14ac:dyDescent="0.3">
      <c r="A1630" s="19">
        <f t="shared" si="129"/>
        <v>48197</v>
      </c>
      <c r="B1630">
        <f t="shared" ca="1" si="125"/>
        <v>-5.6805555555555554</v>
      </c>
      <c r="C1630" t="str">
        <f ca="1">IF(currency="USD",'Future et co'!D1630,IF(currency="EUR",'Future et co'!E1630,IF(currency="GBP",'Future et co'!F1630,FALSE)))</f>
        <v>RFR USD</v>
      </c>
      <c r="D1630" t="str">
        <f t="shared" ca="1" si="126"/>
        <v>RFR USD</v>
      </c>
      <c r="E1630" t="str">
        <f t="shared" ca="1" si="127"/>
        <v>RFR EUR</v>
      </c>
      <c r="F1630" t="str">
        <f t="shared" ca="1" si="128"/>
        <v>RFR GBP</v>
      </c>
      <c r="J1630" s="1"/>
      <c r="N1630" s="1"/>
      <c r="R1630" s="1"/>
      <c r="V1630" s="1"/>
      <c r="AB1630" s="1"/>
      <c r="AF1630" s="1"/>
      <c r="AJ1630" s="1"/>
      <c r="AN1630" s="1"/>
      <c r="AS1630" s="1"/>
      <c r="AX1630" s="1"/>
    </row>
    <row r="1631" spans="1:50" x14ac:dyDescent="0.3">
      <c r="A1631" s="19">
        <f t="shared" si="129"/>
        <v>48198</v>
      </c>
      <c r="B1631">
        <f t="shared" ca="1" si="125"/>
        <v>-5.6833333333333336</v>
      </c>
      <c r="C1631" t="str">
        <f ca="1">IF(currency="USD",'Future et co'!D1631,IF(currency="EUR",'Future et co'!E1631,IF(currency="GBP",'Future et co'!F1631,FALSE)))</f>
        <v>RFR USD</v>
      </c>
      <c r="D1631" t="str">
        <f t="shared" ca="1" si="126"/>
        <v>RFR USD</v>
      </c>
      <c r="E1631" t="str">
        <f t="shared" ca="1" si="127"/>
        <v>RFR EUR</v>
      </c>
      <c r="F1631" t="str">
        <f t="shared" ca="1" si="128"/>
        <v>RFR GBP</v>
      </c>
      <c r="J1631" s="1"/>
      <c r="N1631" s="1"/>
      <c r="R1631" s="1"/>
      <c r="V1631" s="1"/>
      <c r="AB1631" s="1"/>
      <c r="AF1631" s="1"/>
      <c r="AJ1631" s="1"/>
      <c r="AN1631" s="1"/>
      <c r="AS1631" s="1"/>
      <c r="AX1631" s="1"/>
    </row>
    <row r="1632" spans="1:50" x14ac:dyDescent="0.3">
      <c r="A1632" s="19">
        <f t="shared" si="129"/>
        <v>48199</v>
      </c>
      <c r="B1632">
        <f t="shared" ca="1" si="125"/>
        <v>-5.6861111111111109</v>
      </c>
      <c r="C1632" t="str">
        <f ca="1">IF(currency="USD",'Future et co'!D1632,IF(currency="EUR",'Future et co'!E1632,IF(currency="GBP",'Future et co'!F1632,FALSE)))</f>
        <v>RFR USD</v>
      </c>
      <c r="D1632" t="str">
        <f t="shared" ca="1" si="126"/>
        <v>RFR USD</v>
      </c>
      <c r="E1632" t="str">
        <f t="shared" ca="1" si="127"/>
        <v>RFR EUR</v>
      </c>
      <c r="F1632" t="str">
        <f t="shared" ca="1" si="128"/>
        <v>RFR GBP</v>
      </c>
      <c r="J1632" s="1"/>
      <c r="N1632" s="1"/>
      <c r="R1632" s="1"/>
      <c r="V1632" s="1"/>
      <c r="AB1632" s="1"/>
      <c r="AF1632" s="1"/>
      <c r="AJ1632" s="1"/>
      <c r="AN1632" s="1"/>
      <c r="AS1632" s="1"/>
      <c r="AX1632" s="1"/>
    </row>
    <row r="1633" spans="1:50" x14ac:dyDescent="0.3">
      <c r="A1633" s="19">
        <f t="shared" si="129"/>
        <v>48200</v>
      </c>
      <c r="B1633">
        <f t="shared" ca="1" si="125"/>
        <v>-5.6888888888888891</v>
      </c>
      <c r="C1633" t="str">
        <f ca="1">IF(currency="USD",'Future et co'!D1633,IF(currency="EUR",'Future et co'!E1633,IF(currency="GBP",'Future et co'!F1633,FALSE)))</f>
        <v>RFR USD</v>
      </c>
      <c r="D1633" t="str">
        <f t="shared" ca="1" si="126"/>
        <v>RFR USD</v>
      </c>
      <c r="E1633" t="str">
        <f t="shared" ca="1" si="127"/>
        <v>RFR EUR</v>
      </c>
      <c r="F1633" t="str">
        <f t="shared" ca="1" si="128"/>
        <v>RFR GBP</v>
      </c>
      <c r="J1633" s="1"/>
      <c r="N1633" s="1"/>
      <c r="R1633" s="1"/>
      <c r="V1633" s="1"/>
      <c r="AB1633" s="1"/>
      <c r="AF1633" s="1"/>
      <c r="AJ1633" s="1"/>
      <c r="AN1633" s="1"/>
      <c r="AS1633" s="1"/>
      <c r="AX1633" s="1"/>
    </row>
    <row r="1634" spans="1:50" x14ac:dyDescent="0.3">
      <c r="A1634" s="19">
        <f t="shared" si="129"/>
        <v>48201</v>
      </c>
      <c r="B1634">
        <f t="shared" ca="1" si="125"/>
        <v>-5.6916666666666664</v>
      </c>
      <c r="C1634" t="str">
        <f ca="1">IF(currency="USD",'Future et co'!D1634,IF(currency="EUR",'Future et co'!E1634,IF(currency="GBP",'Future et co'!F1634,FALSE)))</f>
        <v>RFR USD</v>
      </c>
      <c r="D1634" t="str">
        <f t="shared" ca="1" si="126"/>
        <v>RFR USD</v>
      </c>
      <c r="E1634" t="str">
        <f t="shared" ca="1" si="127"/>
        <v>RFR EUR</v>
      </c>
      <c r="F1634" t="str">
        <f t="shared" ca="1" si="128"/>
        <v>RFR GBP</v>
      </c>
      <c r="J1634" s="1"/>
      <c r="N1634" s="1"/>
      <c r="R1634" s="1"/>
      <c r="V1634" s="1"/>
      <c r="AB1634" s="1"/>
      <c r="AF1634" s="1"/>
      <c r="AJ1634" s="1"/>
      <c r="AN1634" s="1"/>
      <c r="AS1634" s="1"/>
      <c r="AX1634" s="1"/>
    </row>
    <row r="1635" spans="1:50" x14ac:dyDescent="0.3">
      <c r="A1635" s="19">
        <f t="shared" si="129"/>
        <v>48204</v>
      </c>
      <c r="B1635">
        <f t="shared" ca="1" si="125"/>
        <v>-5.7</v>
      </c>
      <c r="C1635" t="str">
        <f ca="1">IF(currency="USD",'Future et co'!D1635,IF(currency="EUR",'Future et co'!E1635,IF(currency="GBP",'Future et co'!F1635,FALSE)))</f>
        <v>RFR USD</v>
      </c>
      <c r="D1635" t="str">
        <f t="shared" ca="1" si="126"/>
        <v>RFR USD</v>
      </c>
      <c r="E1635" t="str">
        <f t="shared" ca="1" si="127"/>
        <v>RFR EUR</v>
      </c>
      <c r="F1635" t="str">
        <f t="shared" ca="1" si="128"/>
        <v>RFR GBP</v>
      </c>
      <c r="J1635" s="1"/>
      <c r="N1635" s="1"/>
      <c r="R1635" s="1"/>
      <c r="V1635" s="1"/>
      <c r="AB1635" s="1"/>
      <c r="AF1635" s="1"/>
      <c r="AJ1635" s="1"/>
      <c r="AN1635" s="1"/>
      <c r="AS1635" s="1"/>
      <c r="AX1635" s="1"/>
    </row>
    <row r="1636" spans="1:50" x14ac:dyDescent="0.3">
      <c r="A1636" s="19">
        <f t="shared" si="129"/>
        <v>48205</v>
      </c>
      <c r="B1636">
        <f t="shared" ca="1" si="125"/>
        <v>-5.7027777777777775</v>
      </c>
      <c r="C1636" t="str">
        <f ca="1">IF(currency="USD",'Future et co'!D1636,IF(currency="EUR",'Future et co'!E1636,IF(currency="GBP",'Future et co'!F1636,FALSE)))</f>
        <v>RFR USD</v>
      </c>
      <c r="D1636" t="str">
        <f t="shared" ca="1" si="126"/>
        <v>RFR USD</v>
      </c>
      <c r="E1636" t="str">
        <f t="shared" ca="1" si="127"/>
        <v>RFR EUR</v>
      </c>
      <c r="F1636" t="str">
        <f t="shared" ca="1" si="128"/>
        <v>RFR GBP</v>
      </c>
      <c r="J1636" s="1"/>
      <c r="N1636" s="1"/>
      <c r="R1636" s="1"/>
      <c r="V1636" s="1"/>
      <c r="AB1636" s="1"/>
      <c r="AF1636" s="1"/>
      <c r="AJ1636" s="1"/>
      <c r="AN1636" s="1"/>
      <c r="AS1636" s="1"/>
      <c r="AX1636" s="1"/>
    </row>
    <row r="1637" spans="1:50" x14ac:dyDescent="0.3">
      <c r="A1637" s="19">
        <f t="shared" si="129"/>
        <v>48206</v>
      </c>
      <c r="B1637">
        <f t="shared" ca="1" si="125"/>
        <v>-5.7055555555555557</v>
      </c>
      <c r="C1637" t="str">
        <f ca="1">IF(currency="USD",'Future et co'!D1637,IF(currency="EUR",'Future et co'!E1637,IF(currency="GBP",'Future et co'!F1637,FALSE)))</f>
        <v>RFR USD</v>
      </c>
      <c r="D1637" t="str">
        <f t="shared" ca="1" si="126"/>
        <v>RFR USD</v>
      </c>
      <c r="E1637" t="str">
        <f t="shared" ca="1" si="127"/>
        <v>RFR EUR</v>
      </c>
      <c r="F1637" t="str">
        <f t="shared" ca="1" si="128"/>
        <v>RFR GBP</v>
      </c>
      <c r="J1637" s="1"/>
      <c r="N1637" s="1"/>
      <c r="R1637" s="1"/>
      <c r="V1637" s="1"/>
      <c r="AB1637" s="1"/>
      <c r="AF1637" s="1"/>
      <c r="AJ1637" s="1"/>
      <c r="AN1637" s="1"/>
      <c r="AS1637" s="1"/>
      <c r="AX1637" s="1"/>
    </row>
    <row r="1638" spans="1:50" x14ac:dyDescent="0.3">
      <c r="A1638" s="19">
        <f t="shared" si="129"/>
        <v>48207</v>
      </c>
      <c r="B1638">
        <f t="shared" ca="1" si="125"/>
        <v>-5.708333333333333</v>
      </c>
      <c r="C1638" t="str">
        <f ca="1">IF(currency="USD",'Future et co'!D1638,IF(currency="EUR",'Future et co'!E1638,IF(currency="GBP",'Future et co'!F1638,FALSE)))</f>
        <v>RFR USD</v>
      </c>
      <c r="D1638" t="str">
        <f t="shared" ca="1" si="126"/>
        <v>RFR USD</v>
      </c>
      <c r="E1638" t="str">
        <f t="shared" ca="1" si="127"/>
        <v>RFR EUR</v>
      </c>
      <c r="F1638" t="str">
        <f t="shared" ca="1" si="128"/>
        <v>RFR GBP</v>
      </c>
      <c r="J1638" s="1"/>
      <c r="N1638" s="1"/>
      <c r="R1638" s="1"/>
      <c r="V1638" s="1"/>
      <c r="AB1638" s="1"/>
      <c r="AF1638" s="1"/>
      <c r="AJ1638" s="1"/>
      <c r="AN1638" s="1"/>
      <c r="AS1638" s="1"/>
      <c r="AX1638" s="1"/>
    </row>
    <row r="1639" spans="1:50" x14ac:dyDescent="0.3">
      <c r="A1639" s="19">
        <f t="shared" si="129"/>
        <v>48208</v>
      </c>
      <c r="B1639">
        <f t="shared" ca="1" si="125"/>
        <v>-5.7111111111111112</v>
      </c>
      <c r="C1639" t="str">
        <f ca="1">IF(currency="USD",'Future et co'!D1639,IF(currency="EUR",'Future et co'!E1639,IF(currency="GBP",'Future et co'!F1639,FALSE)))</f>
        <v>RFR USD</v>
      </c>
      <c r="D1639" t="str">
        <f t="shared" ca="1" si="126"/>
        <v>RFR USD</v>
      </c>
      <c r="E1639" t="str">
        <f t="shared" ca="1" si="127"/>
        <v>RFR EUR</v>
      </c>
      <c r="F1639" t="str">
        <f t="shared" ca="1" si="128"/>
        <v>RFR GBP</v>
      </c>
      <c r="J1639" s="1"/>
      <c r="N1639" s="1"/>
      <c r="R1639" s="1"/>
      <c r="V1639" s="1"/>
      <c r="AB1639" s="1"/>
      <c r="AF1639" s="1"/>
      <c r="AJ1639" s="1"/>
      <c r="AN1639" s="1"/>
      <c r="AS1639" s="1"/>
      <c r="AX1639" s="1"/>
    </row>
    <row r="1640" spans="1:50" x14ac:dyDescent="0.3">
      <c r="A1640" s="19">
        <f t="shared" si="129"/>
        <v>48211</v>
      </c>
      <c r="B1640">
        <f t="shared" ca="1" si="125"/>
        <v>-5.7194444444444441</v>
      </c>
      <c r="C1640" t="str">
        <f ca="1">IF(currency="USD",'Future et co'!D1640,IF(currency="EUR",'Future et co'!E1640,IF(currency="GBP",'Future et co'!F1640,FALSE)))</f>
        <v>RFR USD</v>
      </c>
      <c r="D1640" t="str">
        <f t="shared" ca="1" si="126"/>
        <v>RFR USD</v>
      </c>
      <c r="E1640" t="str">
        <f t="shared" ca="1" si="127"/>
        <v>RFR EUR</v>
      </c>
      <c r="F1640" t="str">
        <f t="shared" ca="1" si="128"/>
        <v>RFR GBP</v>
      </c>
      <c r="J1640" s="1"/>
      <c r="N1640" s="1"/>
      <c r="R1640" s="1"/>
      <c r="V1640" s="1"/>
      <c r="AB1640" s="1"/>
      <c r="AF1640" s="1"/>
      <c r="AJ1640" s="1"/>
      <c r="AN1640" s="1"/>
      <c r="AS1640" s="1"/>
      <c r="AX1640" s="1"/>
    </row>
    <row r="1641" spans="1:50" x14ac:dyDescent="0.3">
      <c r="A1641" s="19">
        <f t="shared" si="129"/>
        <v>48212</v>
      </c>
      <c r="B1641">
        <f t="shared" ca="1" si="125"/>
        <v>-5.7222222222222223</v>
      </c>
      <c r="C1641" t="str">
        <f ca="1">IF(currency="USD",'Future et co'!D1641,IF(currency="EUR",'Future et co'!E1641,IF(currency="GBP",'Future et co'!F1641,FALSE)))</f>
        <v>RFR USD</v>
      </c>
      <c r="D1641" t="str">
        <f t="shared" ca="1" si="126"/>
        <v>RFR USD</v>
      </c>
      <c r="E1641" t="str">
        <f t="shared" ca="1" si="127"/>
        <v>RFR EUR</v>
      </c>
      <c r="F1641" t="str">
        <f t="shared" ca="1" si="128"/>
        <v>RFR GBP</v>
      </c>
      <c r="J1641" s="1"/>
      <c r="N1641" s="1"/>
      <c r="R1641" s="1"/>
      <c r="V1641" s="1"/>
      <c r="AB1641" s="1"/>
      <c r="AF1641" s="1"/>
      <c r="AJ1641" s="1"/>
      <c r="AN1641" s="1"/>
      <c r="AS1641" s="1"/>
      <c r="AX1641" s="1"/>
    </row>
    <row r="1642" spans="1:50" x14ac:dyDescent="0.3">
      <c r="A1642" s="19">
        <f t="shared" si="129"/>
        <v>48213</v>
      </c>
      <c r="B1642">
        <f t="shared" ca="1" si="125"/>
        <v>-5.7249999999999996</v>
      </c>
      <c r="C1642" t="str">
        <f ca="1">IF(currency="USD",'Future et co'!D1642,IF(currency="EUR",'Future et co'!E1642,IF(currency="GBP",'Future et co'!F1642,FALSE)))</f>
        <v>RFR USD</v>
      </c>
      <c r="D1642" t="str">
        <f t="shared" ca="1" si="126"/>
        <v>RFR USD</v>
      </c>
      <c r="E1642" t="str">
        <f t="shared" ca="1" si="127"/>
        <v>RFR EUR</v>
      </c>
      <c r="F1642" t="str">
        <f t="shared" ca="1" si="128"/>
        <v>RFR GBP</v>
      </c>
      <c r="J1642" s="1"/>
      <c r="N1642" s="1"/>
      <c r="R1642" s="1"/>
      <c r="V1642" s="1"/>
      <c r="AB1642" s="1"/>
      <c r="AF1642" s="1"/>
      <c r="AJ1642" s="1"/>
      <c r="AN1642" s="1"/>
      <c r="AS1642" s="1"/>
      <c r="AX1642" s="1"/>
    </row>
    <row r="1643" spans="1:50" x14ac:dyDescent="0.3">
      <c r="A1643" s="19">
        <f t="shared" si="129"/>
        <v>48214</v>
      </c>
      <c r="B1643">
        <f t="shared" ca="1" si="125"/>
        <v>-5.7277777777777779</v>
      </c>
      <c r="C1643" t="str">
        <f ca="1">IF(currency="USD",'Future et co'!D1643,IF(currency="EUR",'Future et co'!E1643,IF(currency="GBP",'Future et co'!F1643,FALSE)))</f>
        <v>RFR USD</v>
      </c>
      <c r="D1643" t="str">
        <f t="shared" ca="1" si="126"/>
        <v>RFR USD</v>
      </c>
      <c r="E1643" t="str">
        <f t="shared" ca="1" si="127"/>
        <v>RFR EUR</v>
      </c>
      <c r="F1643" t="str">
        <f t="shared" ca="1" si="128"/>
        <v>RFR GBP</v>
      </c>
      <c r="J1643" s="1"/>
      <c r="N1643" s="1"/>
      <c r="R1643" s="1"/>
      <c r="V1643" s="1"/>
      <c r="AB1643" s="1"/>
      <c r="AF1643" s="1"/>
      <c r="AJ1643" s="1"/>
      <c r="AN1643" s="1"/>
      <c r="AS1643" s="1"/>
      <c r="AX1643" s="1"/>
    </row>
    <row r="1644" spans="1:50" x14ac:dyDescent="0.3">
      <c r="A1644" s="19">
        <f t="shared" si="129"/>
        <v>48215</v>
      </c>
      <c r="B1644">
        <f t="shared" ca="1" si="125"/>
        <v>-5.7305555555555552</v>
      </c>
      <c r="C1644" t="str">
        <f ca="1">IF(currency="USD",'Future et co'!D1644,IF(currency="EUR",'Future et co'!E1644,IF(currency="GBP",'Future et co'!F1644,FALSE)))</f>
        <v>RFR USD</v>
      </c>
      <c r="D1644" t="str">
        <f t="shared" ca="1" si="126"/>
        <v>RFR USD</v>
      </c>
      <c r="E1644" t="str">
        <f t="shared" ca="1" si="127"/>
        <v>RFR EUR</v>
      </c>
      <c r="F1644" t="str">
        <f t="shared" ca="1" si="128"/>
        <v>RFR GBP</v>
      </c>
      <c r="J1644" s="1"/>
      <c r="N1644" s="1"/>
      <c r="R1644" s="1"/>
      <c r="V1644" s="1"/>
      <c r="AB1644" s="1"/>
      <c r="AF1644" s="1"/>
      <c r="AJ1644" s="1"/>
      <c r="AN1644" s="1"/>
      <c r="AS1644" s="1"/>
      <c r="AX1644" s="1"/>
    </row>
    <row r="1645" spans="1:50" x14ac:dyDescent="0.3">
      <c r="A1645" s="19">
        <f t="shared" si="129"/>
        <v>48218</v>
      </c>
      <c r="B1645">
        <f t="shared" ca="1" si="125"/>
        <v>-5.7388888888888889</v>
      </c>
      <c r="C1645" t="str">
        <f ca="1">IF(currency="USD",'Future et co'!D1645,IF(currency="EUR",'Future et co'!E1645,IF(currency="GBP",'Future et co'!F1645,FALSE)))</f>
        <v>RFR USD</v>
      </c>
      <c r="D1645" t="str">
        <f t="shared" ca="1" si="126"/>
        <v>RFR USD</v>
      </c>
      <c r="E1645" t="str">
        <f t="shared" ca="1" si="127"/>
        <v>RFR EUR</v>
      </c>
      <c r="F1645" t="str">
        <f t="shared" ca="1" si="128"/>
        <v>RFR GBP</v>
      </c>
      <c r="J1645" s="1"/>
      <c r="N1645" s="1"/>
      <c r="R1645" s="1"/>
      <c r="V1645" s="1"/>
      <c r="AB1645" s="1"/>
      <c r="AF1645" s="1"/>
      <c r="AJ1645" s="1"/>
      <c r="AN1645" s="1"/>
      <c r="AS1645" s="1"/>
      <c r="AX1645" s="1"/>
    </row>
    <row r="1646" spans="1:50" x14ac:dyDescent="0.3">
      <c r="A1646" s="19">
        <f t="shared" si="129"/>
        <v>48219</v>
      </c>
      <c r="B1646">
        <f t="shared" ca="1" si="125"/>
        <v>-5.7416666666666663</v>
      </c>
      <c r="C1646" t="str">
        <f ca="1">IF(currency="USD",'Future et co'!D1646,IF(currency="EUR",'Future et co'!E1646,IF(currency="GBP",'Future et co'!F1646,FALSE)))</f>
        <v>RFR USD</v>
      </c>
      <c r="D1646" t="str">
        <f t="shared" ca="1" si="126"/>
        <v>RFR USD</v>
      </c>
      <c r="E1646" t="str">
        <f t="shared" ca="1" si="127"/>
        <v>RFR EUR</v>
      </c>
      <c r="F1646" t="str">
        <f t="shared" ca="1" si="128"/>
        <v>RFR GBP</v>
      </c>
      <c r="J1646" s="1"/>
      <c r="N1646" s="1"/>
      <c r="R1646" s="1"/>
      <c r="V1646" s="1"/>
      <c r="AB1646" s="1"/>
      <c r="AF1646" s="1"/>
      <c r="AJ1646" s="1"/>
      <c r="AN1646" s="1"/>
      <c r="AS1646" s="1"/>
      <c r="AX1646" s="1"/>
    </row>
    <row r="1647" spans="1:50" x14ac:dyDescent="0.3">
      <c r="A1647" s="19">
        <f t="shared" si="129"/>
        <v>48220</v>
      </c>
      <c r="B1647">
        <f t="shared" ca="1" si="125"/>
        <v>-5.7444444444444445</v>
      </c>
      <c r="C1647" t="str">
        <f ca="1">IF(currency="USD",'Future et co'!D1647,IF(currency="EUR",'Future et co'!E1647,IF(currency="GBP",'Future et co'!F1647,FALSE)))</f>
        <v>RFR USD</v>
      </c>
      <c r="D1647" t="str">
        <f t="shared" ca="1" si="126"/>
        <v>RFR USD</v>
      </c>
      <c r="E1647" t="str">
        <f t="shared" ca="1" si="127"/>
        <v>RFR EUR</v>
      </c>
      <c r="F1647" t="str">
        <f t="shared" ca="1" si="128"/>
        <v>RFR GBP</v>
      </c>
      <c r="J1647" s="1"/>
      <c r="N1647" s="1"/>
      <c r="R1647" s="1"/>
      <c r="V1647" s="1"/>
      <c r="AB1647" s="1"/>
      <c r="AF1647" s="1"/>
      <c r="AJ1647" s="1"/>
      <c r="AN1647" s="1"/>
      <c r="AS1647" s="1"/>
      <c r="AX1647" s="1"/>
    </row>
    <row r="1648" spans="1:50" x14ac:dyDescent="0.3">
      <c r="A1648" s="19">
        <f t="shared" si="129"/>
        <v>48221</v>
      </c>
      <c r="B1648">
        <f t="shared" ca="1" si="125"/>
        <v>-5.7472222222222218</v>
      </c>
      <c r="C1648" t="str">
        <f ca="1">IF(currency="USD",'Future et co'!D1648,IF(currency="EUR",'Future et co'!E1648,IF(currency="GBP",'Future et co'!F1648,FALSE)))</f>
        <v>RFR USD</v>
      </c>
      <c r="D1648" t="str">
        <f t="shared" ca="1" si="126"/>
        <v>RFR USD</v>
      </c>
      <c r="E1648" t="str">
        <f t="shared" ca="1" si="127"/>
        <v>RFR EUR</v>
      </c>
      <c r="F1648" t="str">
        <f t="shared" ca="1" si="128"/>
        <v>RFR GBP</v>
      </c>
      <c r="J1648" s="1"/>
      <c r="N1648" s="1"/>
      <c r="R1648" s="1"/>
      <c r="V1648" s="1"/>
      <c r="AB1648" s="1"/>
      <c r="AF1648" s="1"/>
      <c r="AJ1648" s="1"/>
      <c r="AN1648" s="1"/>
      <c r="AS1648" s="1"/>
      <c r="AX1648" s="1"/>
    </row>
    <row r="1649" spans="1:50" x14ac:dyDescent="0.3">
      <c r="A1649" s="19">
        <f t="shared" si="129"/>
        <v>48222</v>
      </c>
      <c r="B1649">
        <f t="shared" ca="1" si="125"/>
        <v>-5.75</v>
      </c>
      <c r="C1649" t="str">
        <f ca="1">IF(currency="USD",'Future et co'!D1649,IF(currency="EUR",'Future et co'!E1649,IF(currency="GBP",'Future et co'!F1649,FALSE)))</f>
        <v>RFR USD</v>
      </c>
      <c r="D1649" t="str">
        <f t="shared" ca="1" si="126"/>
        <v>RFR USD</v>
      </c>
      <c r="E1649" t="str">
        <f t="shared" ca="1" si="127"/>
        <v>RFR EUR</v>
      </c>
      <c r="F1649" t="str">
        <f t="shared" ca="1" si="128"/>
        <v>RFR GBP</v>
      </c>
      <c r="J1649" s="1"/>
      <c r="N1649" s="1"/>
      <c r="R1649" s="1"/>
      <c r="V1649" s="1"/>
      <c r="AB1649" s="1"/>
      <c r="AF1649" s="1"/>
      <c r="AJ1649" s="1"/>
      <c r="AN1649" s="1"/>
      <c r="AS1649" s="1"/>
      <c r="AX1649" s="1"/>
    </row>
    <row r="1650" spans="1:50" x14ac:dyDescent="0.3">
      <c r="A1650" s="19">
        <f t="shared" si="129"/>
        <v>48225</v>
      </c>
      <c r="B1650">
        <f t="shared" ca="1" si="125"/>
        <v>-5.7583333333333337</v>
      </c>
      <c r="C1650" t="str">
        <f ca="1">IF(currency="USD",'Future et co'!D1650,IF(currency="EUR",'Future et co'!E1650,IF(currency="GBP",'Future et co'!F1650,FALSE)))</f>
        <v>RFR USD</v>
      </c>
      <c r="D1650" t="str">
        <f t="shared" ca="1" si="126"/>
        <v>RFR USD</v>
      </c>
      <c r="E1650" t="str">
        <f t="shared" ca="1" si="127"/>
        <v>RFR EUR</v>
      </c>
      <c r="F1650" t="str">
        <f t="shared" ca="1" si="128"/>
        <v>RFR GBP</v>
      </c>
      <c r="J1650" s="1"/>
      <c r="N1650" s="1"/>
      <c r="R1650" s="1"/>
      <c r="V1650" s="1"/>
      <c r="AB1650" s="1"/>
      <c r="AF1650" s="1"/>
      <c r="AJ1650" s="1"/>
      <c r="AN1650" s="1"/>
      <c r="AS1650" s="1"/>
      <c r="AX1650" s="1"/>
    </row>
    <row r="1651" spans="1:50" x14ac:dyDescent="0.3">
      <c r="A1651" s="19">
        <f t="shared" si="129"/>
        <v>48226</v>
      </c>
      <c r="B1651">
        <f t="shared" ca="1" si="125"/>
        <v>-5.7611111111111111</v>
      </c>
      <c r="C1651" t="str">
        <f ca="1">IF(currency="USD",'Future et co'!D1651,IF(currency="EUR",'Future et co'!E1651,IF(currency="GBP",'Future et co'!F1651,FALSE)))</f>
        <v>RFR USD</v>
      </c>
      <c r="D1651" t="str">
        <f t="shared" ca="1" si="126"/>
        <v>RFR USD</v>
      </c>
      <c r="E1651" t="str">
        <f t="shared" ca="1" si="127"/>
        <v>RFR EUR</v>
      </c>
      <c r="F1651" t="str">
        <f t="shared" ca="1" si="128"/>
        <v>RFR GBP</v>
      </c>
      <c r="J1651" s="1"/>
      <c r="N1651" s="1"/>
      <c r="R1651" s="1"/>
      <c r="V1651" s="1"/>
      <c r="AB1651" s="1"/>
      <c r="AF1651" s="1"/>
      <c r="AJ1651" s="1"/>
      <c r="AN1651" s="1"/>
      <c r="AS1651" s="1"/>
      <c r="AX1651" s="1"/>
    </row>
    <row r="1652" spans="1:50" x14ac:dyDescent="0.3">
      <c r="A1652" s="19">
        <f t="shared" si="129"/>
        <v>48227</v>
      </c>
      <c r="B1652">
        <f t="shared" ca="1" si="125"/>
        <v>-5.7638888888888893</v>
      </c>
      <c r="C1652" t="str">
        <f ca="1">IF(currency="USD",'Future et co'!D1652,IF(currency="EUR",'Future et co'!E1652,IF(currency="GBP",'Future et co'!F1652,FALSE)))</f>
        <v>RFR USD</v>
      </c>
      <c r="D1652" t="str">
        <f t="shared" ca="1" si="126"/>
        <v>RFR USD</v>
      </c>
      <c r="E1652" t="str">
        <f t="shared" ca="1" si="127"/>
        <v>RFR EUR</v>
      </c>
      <c r="F1652" t="str">
        <f t="shared" ca="1" si="128"/>
        <v>RFR GBP</v>
      </c>
      <c r="J1652" s="1"/>
      <c r="N1652" s="1"/>
      <c r="R1652" s="1"/>
      <c r="V1652" s="1"/>
      <c r="AB1652" s="1"/>
      <c r="AF1652" s="1"/>
      <c r="AJ1652" s="1"/>
      <c r="AN1652" s="1"/>
      <c r="AS1652" s="1"/>
      <c r="AX1652" s="1"/>
    </row>
    <row r="1653" spans="1:50" x14ac:dyDescent="0.3">
      <c r="A1653" s="19">
        <f t="shared" si="129"/>
        <v>48228</v>
      </c>
      <c r="B1653">
        <f t="shared" ca="1" si="125"/>
        <v>-5.7666666666666666</v>
      </c>
      <c r="C1653" t="str">
        <f ca="1">IF(currency="USD",'Future et co'!D1653,IF(currency="EUR",'Future et co'!E1653,IF(currency="GBP",'Future et co'!F1653,FALSE)))</f>
        <v>RFR USD</v>
      </c>
      <c r="D1653" t="str">
        <f t="shared" ca="1" si="126"/>
        <v>RFR USD</v>
      </c>
      <c r="E1653" t="str">
        <f t="shared" ca="1" si="127"/>
        <v>RFR EUR</v>
      </c>
      <c r="F1653" t="str">
        <f t="shared" ca="1" si="128"/>
        <v>RFR GBP</v>
      </c>
      <c r="J1653" s="1"/>
      <c r="N1653" s="1"/>
      <c r="R1653" s="1"/>
      <c r="V1653" s="1"/>
      <c r="AB1653" s="1"/>
      <c r="AF1653" s="1"/>
      <c r="AJ1653" s="1"/>
      <c r="AN1653" s="1"/>
      <c r="AS1653" s="1"/>
      <c r="AX1653" s="1"/>
    </row>
    <row r="1654" spans="1:50" x14ac:dyDescent="0.3">
      <c r="A1654" s="19">
        <f t="shared" si="129"/>
        <v>48229</v>
      </c>
      <c r="B1654">
        <f t="shared" ca="1" si="125"/>
        <v>-5.7694444444444448</v>
      </c>
      <c r="C1654" t="str">
        <f ca="1">IF(currency="USD",'Future et co'!D1654,IF(currency="EUR",'Future et co'!E1654,IF(currency="GBP",'Future et co'!F1654,FALSE)))</f>
        <v>RFR USD</v>
      </c>
      <c r="D1654" t="str">
        <f t="shared" ca="1" si="126"/>
        <v>RFR USD</v>
      </c>
      <c r="E1654" t="str">
        <f t="shared" ca="1" si="127"/>
        <v>RFR EUR</v>
      </c>
      <c r="F1654" t="str">
        <f t="shared" ca="1" si="128"/>
        <v>RFR GBP</v>
      </c>
      <c r="J1654" s="1"/>
      <c r="N1654" s="1"/>
      <c r="R1654" s="1"/>
      <c r="V1654" s="1"/>
      <c r="AB1654" s="1"/>
      <c r="AF1654" s="1"/>
      <c r="AJ1654" s="1"/>
      <c r="AN1654" s="1"/>
      <c r="AS1654" s="1"/>
      <c r="AX1654" s="1"/>
    </row>
    <row r="1655" spans="1:50" x14ac:dyDescent="0.3">
      <c r="A1655" s="19">
        <f t="shared" si="129"/>
        <v>48232</v>
      </c>
      <c r="B1655">
        <f t="shared" ca="1" si="125"/>
        <v>-5.7777777777777777</v>
      </c>
      <c r="C1655" t="str">
        <f ca="1">IF(currency="USD",'Future et co'!D1655,IF(currency="EUR",'Future et co'!E1655,IF(currency="GBP",'Future et co'!F1655,FALSE)))</f>
        <v>RFR USD</v>
      </c>
      <c r="D1655" t="str">
        <f t="shared" ca="1" si="126"/>
        <v>RFR USD</v>
      </c>
      <c r="E1655" t="str">
        <f t="shared" ca="1" si="127"/>
        <v>RFR EUR</v>
      </c>
      <c r="F1655" t="str">
        <f t="shared" ca="1" si="128"/>
        <v>RFR GBP</v>
      </c>
      <c r="J1655" s="1"/>
      <c r="N1655" s="1"/>
      <c r="R1655" s="1"/>
      <c r="V1655" s="1"/>
      <c r="AB1655" s="1"/>
      <c r="AF1655" s="1"/>
      <c r="AJ1655" s="1"/>
      <c r="AN1655" s="1"/>
      <c r="AS1655" s="1"/>
      <c r="AX1655" s="1"/>
    </row>
    <row r="1656" spans="1:50" x14ac:dyDescent="0.3">
      <c r="A1656" s="19">
        <f t="shared" si="129"/>
        <v>48233</v>
      </c>
      <c r="B1656">
        <f t="shared" ca="1" si="125"/>
        <v>-5.7805555555555559</v>
      </c>
      <c r="C1656" t="str">
        <f ca="1">IF(currency="USD",'Future et co'!D1656,IF(currency="EUR",'Future et co'!E1656,IF(currency="GBP",'Future et co'!F1656,FALSE)))</f>
        <v>RFR USD</v>
      </c>
      <c r="D1656" t="str">
        <f t="shared" ca="1" si="126"/>
        <v>RFR USD</v>
      </c>
      <c r="E1656" t="str">
        <f t="shared" ca="1" si="127"/>
        <v>RFR EUR</v>
      </c>
      <c r="F1656" t="str">
        <f t="shared" ca="1" si="128"/>
        <v>RFR GBP</v>
      </c>
      <c r="J1656" s="1"/>
      <c r="N1656" s="1"/>
      <c r="R1656" s="1"/>
      <c r="V1656" s="1"/>
      <c r="AB1656" s="1"/>
      <c r="AF1656" s="1"/>
      <c r="AJ1656" s="1"/>
      <c r="AN1656" s="1"/>
      <c r="AS1656" s="1"/>
      <c r="AX1656" s="1"/>
    </row>
    <row r="1657" spans="1:50" x14ac:dyDescent="0.3">
      <c r="A1657" s="19">
        <f t="shared" si="129"/>
        <v>48234</v>
      </c>
      <c r="B1657">
        <f t="shared" ca="1" si="125"/>
        <v>-5.7833333333333332</v>
      </c>
      <c r="C1657" t="str">
        <f ca="1">IF(currency="USD",'Future et co'!D1657,IF(currency="EUR",'Future et co'!E1657,IF(currency="GBP",'Future et co'!F1657,FALSE)))</f>
        <v>RFR USD</v>
      </c>
      <c r="D1657" t="str">
        <f t="shared" ca="1" si="126"/>
        <v>RFR USD</v>
      </c>
      <c r="E1657" t="str">
        <f t="shared" ca="1" si="127"/>
        <v>RFR EUR</v>
      </c>
      <c r="F1657" t="str">
        <f t="shared" ca="1" si="128"/>
        <v>RFR GBP</v>
      </c>
      <c r="J1657" s="1"/>
      <c r="N1657" s="1"/>
      <c r="R1657" s="1"/>
      <c r="V1657" s="1"/>
      <c r="AB1657" s="1"/>
      <c r="AF1657" s="1"/>
      <c r="AJ1657" s="1"/>
      <c r="AN1657" s="1"/>
      <c r="AS1657" s="1"/>
      <c r="AX1657" s="1"/>
    </row>
    <row r="1658" spans="1:50" x14ac:dyDescent="0.3">
      <c r="A1658" s="19">
        <f t="shared" si="129"/>
        <v>48235</v>
      </c>
      <c r="B1658">
        <f t="shared" ca="1" si="125"/>
        <v>-5.7861111111111114</v>
      </c>
      <c r="C1658" t="str">
        <f ca="1">IF(currency="USD",'Future et co'!D1658,IF(currency="EUR",'Future et co'!E1658,IF(currency="GBP",'Future et co'!F1658,FALSE)))</f>
        <v>RFR USD</v>
      </c>
      <c r="D1658" t="str">
        <f t="shared" ca="1" si="126"/>
        <v>RFR USD</v>
      </c>
      <c r="E1658" t="str">
        <f t="shared" ca="1" si="127"/>
        <v>RFR EUR</v>
      </c>
      <c r="F1658" t="str">
        <f t="shared" ca="1" si="128"/>
        <v>RFR GBP</v>
      </c>
      <c r="J1658" s="1"/>
      <c r="N1658" s="1"/>
      <c r="R1658" s="1"/>
      <c r="V1658" s="1"/>
      <c r="AB1658" s="1"/>
      <c r="AF1658" s="1"/>
      <c r="AJ1658" s="1"/>
      <c r="AN1658" s="1"/>
      <c r="AS1658" s="1"/>
      <c r="AX1658" s="1"/>
    </row>
    <row r="1659" spans="1:50" x14ac:dyDescent="0.3">
      <c r="A1659" s="19">
        <f t="shared" si="129"/>
        <v>48236</v>
      </c>
      <c r="B1659">
        <f t="shared" ca="1" si="125"/>
        <v>-5.7888888888888888</v>
      </c>
      <c r="C1659" t="str">
        <f ca="1">IF(currency="USD",'Future et co'!D1659,IF(currency="EUR",'Future et co'!E1659,IF(currency="GBP",'Future et co'!F1659,FALSE)))</f>
        <v>RFR USD</v>
      </c>
      <c r="D1659" t="str">
        <f t="shared" ca="1" si="126"/>
        <v>RFR USD</v>
      </c>
      <c r="E1659" t="str">
        <f t="shared" ca="1" si="127"/>
        <v>RFR EUR</v>
      </c>
      <c r="F1659" t="str">
        <f t="shared" ca="1" si="128"/>
        <v>RFR GBP</v>
      </c>
      <c r="J1659" s="1"/>
      <c r="N1659" s="1"/>
      <c r="R1659" s="1"/>
      <c r="V1659" s="1"/>
      <c r="AB1659" s="1"/>
      <c r="AF1659" s="1"/>
      <c r="AJ1659" s="1"/>
      <c r="AN1659" s="1"/>
      <c r="AS1659" s="1"/>
      <c r="AX1659" s="1"/>
    </row>
    <row r="1660" spans="1:50" x14ac:dyDescent="0.3">
      <c r="A1660" s="19">
        <f t="shared" si="129"/>
        <v>48239</v>
      </c>
      <c r="B1660">
        <f t="shared" ca="1" si="125"/>
        <v>-5.7972222222222225</v>
      </c>
      <c r="C1660" t="str">
        <f ca="1">IF(currency="USD",'Future et co'!D1660,IF(currency="EUR",'Future et co'!E1660,IF(currency="GBP",'Future et co'!F1660,FALSE)))</f>
        <v>RFR USD</v>
      </c>
      <c r="D1660" t="str">
        <f t="shared" ca="1" si="126"/>
        <v>RFR USD</v>
      </c>
      <c r="E1660" t="str">
        <f t="shared" ca="1" si="127"/>
        <v>RFR EUR</v>
      </c>
      <c r="F1660" t="str">
        <f t="shared" ca="1" si="128"/>
        <v>RFR GBP</v>
      </c>
      <c r="J1660" s="1"/>
      <c r="N1660" s="1"/>
      <c r="R1660" s="1"/>
      <c r="V1660" s="1"/>
      <c r="AB1660" s="1"/>
      <c r="AF1660" s="1"/>
      <c r="AJ1660" s="1"/>
      <c r="AN1660" s="1"/>
      <c r="AS1660" s="1"/>
      <c r="AX1660" s="1"/>
    </row>
    <row r="1661" spans="1:50" x14ac:dyDescent="0.3">
      <c r="A1661" s="19">
        <f t="shared" si="129"/>
        <v>48240</v>
      </c>
      <c r="B1661">
        <f t="shared" ca="1" si="125"/>
        <v>-5.8</v>
      </c>
      <c r="C1661" t="str">
        <f ca="1">IF(currency="USD",'Future et co'!D1661,IF(currency="EUR",'Future et co'!E1661,IF(currency="GBP",'Future et co'!F1661,FALSE)))</f>
        <v>RFR USD</v>
      </c>
      <c r="D1661" t="str">
        <f t="shared" ca="1" si="126"/>
        <v>RFR USD</v>
      </c>
      <c r="E1661" t="str">
        <f t="shared" ca="1" si="127"/>
        <v>RFR EUR</v>
      </c>
      <c r="F1661" t="str">
        <f t="shared" ca="1" si="128"/>
        <v>RFR GBP</v>
      </c>
      <c r="J1661" s="1"/>
      <c r="N1661" s="1"/>
      <c r="R1661" s="1"/>
      <c r="V1661" s="1"/>
      <c r="AB1661" s="1"/>
      <c r="AF1661" s="1"/>
      <c r="AJ1661" s="1"/>
      <c r="AN1661" s="1"/>
      <c r="AS1661" s="1"/>
      <c r="AX1661" s="1"/>
    </row>
    <row r="1662" spans="1:50" x14ac:dyDescent="0.3">
      <c r="A1662" s="19">
        <f t="shared" si="129"/>
        <v>48241</v>
      </c>
      <c r="B1662">
        <f t="shared" ca="1" si="125"/>
        <v>-5.802777777777778</v>
      </c>
      <c r="C1662" t="str">
        <f ca="1">IF(currency="USD",'Future et co'!D1662,IF(currency="EUR",'Future et co'!E1662,IF(currency="GBP",'Future et co'!F1662,FALSE)))</f>
        <v>RFR USD</v>
      </c>
      <c r="D1662" t="str">
        <f t="shared" ca="1" si="126"/>
        <v>RFR USD</v>
      </c>
      <c r="E1662" t="str">
        <f t="shared" ca="1" si="127"/>
        <v>RFR EUR</v>
      </c>
      <c r="F1662" t="str">
        <f t="shared" ca="1" si="128"/>
        <v>RFR GBP</v>
      </c>
      <c r="J1662" s="1"/>
      <c r="N1662" s="1"/>
      <c r="R1662" s="1"/>
      <c r="V1662" s="1"/>
      <c r="AB1662" s="1"/>
      <c r="AF1662" s="1"/>
      <c r="AJ1662" s="1"/>
      <c r="AN1662" s="1"/>
      <c r="AS1662" s="1"/>
      <c r="AX1662" s="1"/>
    </row>
    <row r="1663" spans="1:50" x14ac:dyDescent="0.3">
      <c r="A1663" s="19">
        <f t="shared" si="129"/>
        <v>48242</v>
      </c>
      <c r="B1663">
        <f t="shared" ca="1" si="125"/>
        <v>-5.8055555555555554</v>
      </c>
      <c r="C1663" t="str">
        <f ca="1">IF(currency="USD",'Future et co'!D1663,IF(currency="EUR",'Future et co'!E1663,IF(currency="GBP",'Future et co'!F1663,FALSE)))</f>
        <v>RFR USD</v>
      </c>
      <c r="D1663" t="str">
        <f t="shared" ca="1" si="126"/>
        <v>RFR USD</v>
      </c>
      <c r="E1663" t="str">
        <f t="shared" ca="1" si="127"/>
        <v>RFR EUR</v>
      </c>
      <c r="F1663" t="str">
        <f t="shared" ca="1" si="128"/>
        <v>RFR GBP</v>
      </c>
      <c r="J1663" s="1"/>
      <c r="N1663" s="1"/>
      <c r="R1663" s="1"/>
      <c r="V1663" s="1"/>
      <c r="AB1663" s="1"/>
      <c r="AF1663" s="1"/>
      <c r="AJ1663" s="1"/>
      <c r="AN1663" s="1"/>
      <c r="AS1663" s="1"/>
      <c r="AX1663" s="1"/>
    </row>
    <row r="1664" spans="1:50" x14ac:dyDescent="0.3">
      <c r="A1664" s="19">
        <f t="shared" si="129"/>
        <v>48243</v>
      </c>
      <c r="B1664">
        <f t="shared" ca="1" si="125"/>
        <v>-5.8083333333333336</v>
      </c>
      <c r="C1664" t="str">
        <f ca="1">IF(currency="USD",'Future et co'!D1664,IF(currency="EUR",'Future et co'!E1664,IF(currency="GBP",'Future et co'!F1664,FALSE)))</f>
        <v>RFR USD</v>
      </c>
      <c r="D1664" t="str">
        <f t="shared" ca="1" si="126"/>
        <v>RFR USD</v>
      </c>
      <c r="E1664" t="str">
        <f t="shared" ca="1" si="127"/>
        <v>RFR EUR</v>
      </c>
      <c r="F1664" t="str">
        <f t="shared" ca="1" si="128"/>
        <v>RFR GBP</v>
      </c>
      <c r="J1664" s="1"/>
      <c r="N1664" s="1"/>
      <c r="R1664" s="1"/>
      <c r="V1664" s="1"/>
      <c r="AB1664" s="1"/>
      <c r="AF1664" s="1"/>
      <c r="AJ1664" s="1"/>
      <c r="AN1664" s="1"/>
      <c r="AS1664" s="1"/>
      <c r="AX1664" s="1"/>
    </row>
    <row r="1665" spans="1:50" x14ac:dyDescent="0.3">
      <c r="A1665" s="19">
        <f t="shared" si="129"/>
        <v>48246</v>
      </c>
      <c r="B1665">
        <f t="shared" ca="1" si="125"/>
        <v>-5.8166666666666664</v>
      </c>
      <c r="C1665" t="str">
        <f ca="1">IF(currency="USD",'Future et co'!D1665,IF(currency="EUR",'Future et co'!E1665,IF(currency="GBP",'Future et co'!F1665,FALSE)))</f>
        <v>RFR USD</v>
      </c>
      <c r="D1665" t="str">
        <f t="shared" ca="1" si="126"/>
        <v>RFR USD</v>
      </c>
      <c r="E1665" t="str">
        <f t="shared" ca="1" si="127"/>
        <v>RFR EUR</v>
      </c>
      <c r="F1665" t="str">
        <f t="shared" ca="1" si="128"/>
        <v>RFR GBP</v>
      </c>
      <c r="J1665" s="1"/>
      <c r="N1665" s="1"/>
      <c r="R1665" s="1"/>
      <c r="V1665" s="1"/>
      <c r="AB1665" s="1"/>
      <c r="AF1665" s="1"/>
      <c r="AJ1665" s="1"/>
      <c r="AN1665" s="1"/>
      <c r="AS1665" s="1"/>
      <c r="AX1665" s="1"/>
    </row>
    <row r="1666" spans="1:50" x14ac:dyDescent="0.3">
      <c r="A1666" s="19">
        <f t="shared" si="129"/>
        <v>48247</v>
      </c>
      <c r="B1666">
        <f t="shared" ca="1" si="125"/>
        <v>-5.8194444444444446</v>
      </c>
      <c r="C1666" t="str">
        <f ca="1">IF(currency="USD",'Future et co'!D1666,IF(currency="EUR",'Future et co'!E1666,IF(currency="GBP",'Future et co'!F1666,FALSE)))</f>
        <v>RFR USD</v>
      </c>
      <c r="D1666" t="str">
        <f t="shared" ca="1" si="126"/>
        <v>RFR USD</v>
      </c>
      <c r="E1666" t="str">
        <f t="shared" ca="1" si="127"/>
        <v>RFR EUR</v>
      </c>
      <c r="F1666" t="str">
        <f t="shared" ca="1" si="128"/>
        <v>RFR GBP</v>
      </c>
      <c r="J1666" s="1"/>
      <c r="N1666" s="1"/>
      <c r="R1666" s="1"/>
      <c r="V1666" s="1"/>
      <c r="AB1666" s="1"/>
      <c r="AF1666" s="1"/>
      <c r="AJ1666" s="1"/>
      <c r="AN1666" s="1"/>
      <c r="AS1666" s="1"/>
      <c r="AX1666" s="1"/>
    </row>
    <row r="1667" spans="1:50" x14ac:dyDescent="0.3">
      <c r="A1667" s="19">
        <f t="shared" si="129"/>
        <v>48248</v>
      </c>
      <c r="B1667">
        <f t="shared" ca="1" si="125"/>
        <v>-5.822222222222222</v>
      </c>
      <c r="C1667" t="str">
        <f ca="1">IF(currency="USD",'Future et co'!D1667,IF(currency="EUR",'Future et co'!E1667,IF(currency="GBP",'Future et co'!F1667,FALSE)))</f>
        <v>RFR USD</v>
      </c>
      <c r="D1667" t="str">
        <f t="shared" ca="1" si="126"/>
        <v>RFR USD</v>
      </c>
      <c r="E1667" t="str">
        <f t="shared" ca="1" si="127"/>
        <v>RFR EUR</v>
      </c>
      <c r="F1667" t="str">
        <f t="shared" ca="1" si="128"/>
        <v>RFR GBP</v>
      </c>
      <c r="J1667" s="1"/>
      <c r="N1667" s="1"/>
      <c r="R1667" s="1"/>
      <c r="V1667" s="1"/>
      <c r="AB1667" s="1"/>
      <c r="AF1667" s="1"/>
      <c r="AJ1667" s="1"/>
      <c r="AN1667" s="1"/>
      <c r="AS1667" s="1"/>
      <c r="AX1667" s="1"/>
    </row>
    <row r="1668" spans="1:50" x14ac:dyDescent="0.3">
      <c r="A1668" s="19">
        <f t="shared" si="129"/>
        <v>48249</v>
      </c>
      <c r="B1668">
        <f t="shared" ca="1" si="125"/>
        <v>-5.8250000000000002</v>
      </c>
      <c r="C1668" t="str">
        <f ca="1">IF(currency="USD",'Future et co'!D1668,IF(currency="EUR",'Future et co'!E1668,IF(currency="GBP",'Future et co'!F1668,FALSE)))</f>
        <v>RFR USD</v>
      </c>
      <c r="D1668" t="str">
        <f t="shared" ca="1" si="126"/>
        <v>RFR USD</v>
      </c>
      <c r="E1668" t="str">
        <f t="shared" ca="1" si="127"/>
        <v>RFR EUR</v>
      </c>
      <c r="F1668" t="str">
        <f t="shared" ca="1" si="128"/>
        <v>RFR GBP</v>
      </c>
      <c r="J1668" s="1"/>
      <c r="N1668" s="1"/>
      <c r="R1668" s="1"/>
      <c r="V1668" s="1"/>
      <c r="AB1668" s="1"/>
      <c r="AF1668" s="1"/>
      <c r="AJ1668" s="1"/>
      <c r="AN1668" s="1"/>
      <c r="AS1668" s="1"/>
      <c r="AX1668" s="1"/>
    </row>
    <row r="1669" spans="1:50" x14ac:dyDescent="0.3">
      <c r="A1669" s="19">
        <f t="shared" si="129"/>
        <v>48250</v>
      </c>
      <c r="B1669">
        <f t="shared" ca="1" si="125"/>
        <v>-5.8277777777777775</v>
      </c>
      <c r="C1669" t="str">
        <f ca="1">IF(currency="USD",'Future et co'!D1669,IF(currency="EUR",'Future et co'!E1669,IF(currency="GBP",'Future et co'!F1669,FALSE)))</f>
        <v>RFR USD</v>
      </c>
      <c r="D1669" t="str">
        <f t="shared" ca="1" si="126"/>
        <v>RFR USD</v>
      </c>
      <c r="E1669" t="str">
        <f t="shared" ca="1" si="127"/>
        <v>RFR EUR</v>
      </c>
      <c r="F1669" t="str">
        <f t="shared" ca="1" si="128"/>
        <v>RFR GBP</v>
      </c>
      <c r="J1669" s="1"/>
      <c r="N1669" s="1"/>
      <c r="R1669" s="1"/>
      <c r="V1669" s="1"/>
      <c r="AB1669" s="1"/>
      <c r="AF1669" s="1"/>
      <c r="AJ1669" s="1"/>
      <c r="AN1669" s="1"/>
      <c r="AS1669" s="1"/>
      <c r="AX1669" s="1"/>
    </row>
    <row r="1670" spans="1:50" x14ac:dyDescent="0.3">
      <c r="A1670" s="19">
        <f t="shared" si="129"/>
        <v>48253</v>
      </c>
      <c r="B1670">
        <f t="shared" ca="1" si="125"/>
        <v>-5.8361111111111112</v>
      </c>
      <c r="C1670" t="str">
        <f ca="1">IF(currency="USD",'Future et co'!D1670,IF(currency="EUR",'Future et co'!E1670,IF(currency="GBP",'Future et co'!F1670,FALSE)))</f>
        <v>RFR USD</v>
      </c>
      <c r="D1670" t="str">
        <f t="shared" ca="1" si="126"/>
        <v>RFR USD</v>
      </c>
      <c r="E1670" t="str">
        <f t="shared" ca="1" si="127"/>
        <v>RFR EUR</v>
      </c>
      <c r="F1670" t="str">
        <f t="shared" ca="1" si="128"/>
        <v>RFR GBP</v>
      </c>
      <c r="J1670" s="1"/>
      <c r="N1670" s="1"/>
      <c r="R1670" s="1"/>
      <c r="V1670" s="1"/>
      <c r="AB1670" s="1"/>
      <c r="AF1670" s="1"/>
      <c r="AJ1670" s="1"/>
      <c r="AN1670" s="1"/>
      <c r="AS1670" s="1"/>
      <c r="AX1670" s="1"/>
    </row>
    <row r="1671" spans="1:50" x14ac:dyDescent="0.3">
      <c r="A1671" s="19">
        <f t="shared" si="129"/>
        <v>48254</v>
      </c>
      <c r="B1671">
        <f t="shared" ca="1" si="125"/>
        <v>-5.8388888888888886</v>
      </c>
      <c r="C1671" t="str">
        <f ca="1">IF(currency="USD",'Future et co'!D1671,IF(currency="EUR",'Future et co'!E1671,IF(currency="GBP",'Future et co'!F1671,FALSE)))</f>
        <v>RFR USD</v>
      </c>
      <c r="D1671" t="str">
        <f t="shared" ca="1" si="126"/>
        <v>RFR USD</v>
      </c>
      <c r="E1671" t="str">
        <f t="shared" ca="1" si="127"/>
        <v>RFR EUR</v>
      </c>
      <c r="F1671" t="str">
        <f t="shared" ca="1" si="128"/>
        <v>RFR GBP</v>
      </c>
      <c r="J1671" s="1"/>
      <c r="N1671" s="1"/>
      <c r="R1671" s="1"/>
      <c r="V1671" s="1"/>
      <c r="AB1671" s="1"/>
      <c r="AF1671" s="1"/>
      <c r="AJ1671" s="1"/>
      <c r="AN1671" s="1"/>
      <c r="AS1671" s="1"/>
      <c r="AX1671" s="1"/>
    </row>
    <row r="1672" spans="1:50" x14ac:dyDescent="0.3">
      <c r="A1672" s="19">
        <f t="shared" si="129"/>
        <v>48255</v>
      </c>
      <c r="B1672">
        <f t="shared" ca="1" si="125"/>
        <v>-5.8416666666666668</v>
      </c>
      <c r="C1672" t="str">
        <f ca="1">IF(currency="USD",'Future et co'!D1672,IF(currency="EUR",'Future et co'!E1672,IF(currency="GBP",'Future et co'!F1672,FALSE)))</f>
        <v>RFR USD</v>
      </c>
      <c r="D1672" t="str">
        <f t="shared" ca="1" si="126"/>
        <v>RFR USD</v>
      </c>
      <c r="E1672" t="str">
        <f t="shared" ca="1" si="127"/>
        <v>RFR EUR</v>
      </c>
      <c r="F1672" t="str">
        <f t="shared" ca="1" si="128"/>
        <v>RFR GBP</v>
      </c>
      <c r="J1672" s="1"/>
      <c r="N1672" s="1"/>
      <c r="R1672" s="1"/>
      <c r="V1672" s="1"/>
      <c r="AB1672" s="1"/>
      <c r="AF1672" s="1"/>
      <c r="AJ1672" s="1"/>
      <c r="AN1672" s="1"/>
      <c r="AS1672" s="1"/>
      <c r="AX1672" s="1"/>
    </row>
    <row r="1673" spans="1:50" x14ac:dyDescent="0.3">
      <c r="A1673" s="19">
        <f t="shared" si="129"/>
        <v>48256</v>
      </c>
      <c r="B1673">
        <f t="shared" ca="1" si="125"/>
        <v>-5.8444444444444441</v>
      </c>
      <c r="C1673" t="str">
        <f ca="1">IF(currency="USD",'Future et co'!D1673,IF(currency="EUR",'Future et co'!E1673,IF(currency="GBP",'Future et co'!F1673,FALSE)))</f>
        <v>RFR USD</v>
      </c>
      <c r="D1673" t="str">
        <f t="shared" ca="1" si="126"/>
        <v>RFR USD</v>
      </c>
      <c r="E1673" t="str">
        <f t="shared" ca="1" si="127"/>
        <v>RFR EUR</v>
      </c>
      <c r="F1673" t="str">
        <f t="shared" ca="1" si="128"/>
        <v>RFR GBP</v>
      </c>
      <c r="J1673" s="1"/>
      <c r="N1673" s="1"/>
      <c r="R1673" s="1"/>
      <c r="V1673" s="1"/>
      <c r="AB1673" s="1"/>
      <c r="AF1673" s="1"/>
      <c r="AJ1673" s="1"/>
      <c r="AN1673" s="1"/>
      <c r="AS1673" s="1"/>
      <c r="AX1673" s="1"/>
    </row>
    <row r="1674" spans="1:50" x14ac:dyDescent="0.3">
      <c r="A1674" s="19">
        <f t="shared" si="129"/>
        <v>48257</v>
      </c>
      <c r="B1674">
        <f t="shared" ca="1" si="125"/>
        <v>-5.8472222222222223</v>
      </c>
      <c r="C1674" t="str">
        <f ca="1">IF(currency="USD",'Future et co'!D1674,IF(currency="EUR",'Future et co'!E1674,IF(currency="GBP",'Future et co'!F1674,FALSE)))</f>
        <v>RFR USD</v>
      </c>
      <c r="D1674" t="str">
        <f t="shared" ca="1" si="126"/>
        <v>RFR USD</v>
      </c>
      <c r="E1674" t="str">
        <f t="shared" ca="1" si="127"/>
        <v>RFR EUR</v>
      </c>
      <c r="F1674" t="str">
        <f t="shared" ca="1" si="128"/>
        <v>RFR GBP</v>
      </c>
      <c r="J1674" s="1"/>
      <c r="N1674" s="1"/>
      <c r="R1674" s="1"/>
      <c r="V1674" s="1"/>
      <c r="AB1674" s="1"/>
      <c r="AF1674" s="1"/>
      <c r="AJ1674" s="1"/>
      <c r="AN1674" s="1"/>
      <c r="AS1674" s="1"/>
      <c r="AX1674" s="1"/>
    </row>
    <row r="1675" spans="1:50" x14ac:dyDescent="0.3">
      <c r="A1675" s="19">
        <f t="shared" si="129"/>
        <v>48260</v>
      </c>
      <c r="B1675">
        <f t="shared" ref="B1675:B1738" ca="1" si="130">($B$7-A1675)/360</f>
        <v>-5.8555555555555552</v>
      </c>
      <c r="C1675" t="str">
        <f ca="1">IF(currency="USD",'Future et co'!D1675,IF(currency="EUR",'Future et co'!E1675,IF(currency="GBP",'Future et co'!F1675,FALSE)))</f>
        <v>RFR USD</v>
      </c>
      <c r="D1675" t="str">
        <f t="shared" ref="D1675:D1738" ca="1" si="131">IFERROR(IF(B1675&lt;0.25,VLOOKUP(A1675,$J$11:$L$5325,3,FALSE),IF(AND(B1675&gt;=0.25,B1675&lt;0.5),VLOOKUP(A1675,$N$11:$P$5325,3,FALSE),IF(AND(B1675&gt;=0.5,B1675&lt;1),VLOOKUP(A1675,$R$11:$T$5325,3,FALSE),VLOOKUP(A1675,$V$11:$X$5010,3,FALSE)))),D1674)</f>
        <v>RFR USD</v>
      </c>
      <c r="E1675" t="str">
        <f t="shared" ref="E1675:E1738" ca="1" si="132">IFERROR(IF(B1675&lt;0.25,VLOOKUP(A1675,$AF$11:$AH$5325,3,FALSE),IF(AND(B1675&gt;=0.25,B1675&lt;0.5),VLOOKUP(A1675,$AJ$11:$AL$5325,3,FALSE),VLOOKUP(A1675,$AN$11:$AP$5325,3,FALSE))),E1674)</f>
        <v>RFR EUR</v>
      </c>
      <c r="F1675" t="str">
        <f t="shared" ref="F1675:F1738" ca="1" si="133">IFERROR(VLOOKUP(A1675,$AS$11:$AU$9999,3,FALSE),F1674)</f>
        <v>RFR GBP</v>
      </c>
      <c r="J1675" s="1"/>
      <c r="N1675" s="1"/>
      <c r="R1675" s="1"/>
      <c r="V1675" s="1"/>
      <c r="AB1675" s="1"/>
      <c r="AF1675" s="1"/>
      <c r="AJ1675" s="1"/>
      <c r="AN1675" s="1"/>
      <c r="AS1675" s="1"/>
      <c r="AX1675" s="1"/>
    </row>
    <row r="1676" spans="1:50" x14ac:dyDescent="0.3">
      <c r="A1676" s="19">
        <f t="shared" si="129"/>
        <v>48261</v>
      </c>
      <c r="B1676">
        <f t="shared" ca="1" si="130"/>
        <v>-5.8583333333333334</v>
      </c>
      <c r="C1676" t="str">
        <f ca="1">IF(currency="USD",'Future et co'!D1676,IF(currency="EUR",'Future et co'!E1676,IF(currency="GBP",'Future et co'!F1676,FALSE)))</f>
        <v>RFR USD</v>
      </c>
      <c r="D1676" t="str">
        <f t="shared" ca="1" si="131"/>
        <v>RFR USD</v>
      </c>
      <c r="E1676" t="str">
        <f t="shared" ca="1" si="132"/>
        <v>RFR EUR</v>
      </c>
      <c r="F1676" t="str">
        <f t="shared" ca="1" si="133"/>
        <v>RFR GBP</v>
      </c>
      <c r="J1676" s="1"/>
      <c r="N1676" s="1"/>
      <c r="R1676" s="1"/>
      <c r="V1676" s="1"/>
      <c r="AB1676" s="1"/>
      <c r="AF1676" s="1"/>
      <c r="AJ1676" s="1"/>
      <c r="AN1676" s="1"/>
      <c r="AS1676" s="1"/>
      <c r="AX1676" s="1"/>
    </row>
    <row r="1677" spans="1:50" x14ac:dyDescent="0.3">
      <c r="A1677" s="19">
        <f t="shared" ref="A1677:A1740" si="134">WORKDAY(A1676,1)</f>
        <v>48262</v>
      </c>
      <c r="B1677">
        <f t="shared" ca="1" si="130"/>
        <v>-5.8611111111111107</v>
      </c>
      <c r="C1677" t="str">
        <f ca="1">IF(currency="USD",'Future et co'!D1677,IF(currency="EUR",'Future et co'!E1677,IF(currency="GBP",'Future et co'!F1677,FALSE)))</f>
        <v>RFR USD</v>
      </c>
      <c r="D1677" t="str">
        <f t="shared" ca="1" si="131"/>
        <v>RFR USD</v>
      </c>
      <c r="E1677" t="str">
        <f t="shared" ca="1" si="132"/>
        <v>RFR EUR</v>
      </c>
      <c r="F1677" t="str">
        <f t="shared" ca="1" si="133"/>
        <v>RFR GBP</v>
      </c>
      <c r="J1677" s="1"/>
      <c r="N1677" s="1"/>
      <c r="R1677" s="1"/>
      <c r="V1677" s="1"/>
      <c r="AB1677" s="1"/>
      <c r="AF1677" s="1"/>
      <c r="AJ1677" s="1"/>
      <c r="AN1677" s="1"/>
      <c r="AS1677" s="1"/>
      <c r="AX1677" s="1"/>
    </row>
    <row r="1678" spans="1:50" x14ac:dyDescent="0.3">
      <c r="A1678" s="19">
        <f t="shared" si="134"/>
        <v>48263</v>
      </c>
      <c r="B1678">
        <f t="shared" ca="1" si="130"/>
        <v>-5.8638888888888889</v>
      </c>
      <c r="C1678" t="str">
        <f ca="1">IF(currency="USD",'Future et co'!D1678,IF(currency="EUR",'Future et co'!E1678,IF(currency="GBP",'Future et co'!F1678,FALSE)))</f>
        <v>RFR USD</v>
      </c>
      <c r="D1678" t="str">
        <f t="shared" ca="1" si="131"/>
        <v>RFR USD</v>
      </c>
      <c r="E1678" t="str">
        <f t="shared" ca="1" si="132"/>
        <v>RFR EUR</v>
      </c>
      <c r="F1678" t="str">
        <f t="shared" ca="1" si="133"/>
        <v>RFR GBP</v>
      </c>
      <c r="J1678" s="1"/>
      <c r="N1678" s="1"/>
      <c r="R1678" s="1"/>
      <c r="V1678" s="1"/>
      <c r="AB1678" s="1"/>
      <c r="AF1678" s="1"/>
      <c r="AJ1678" s="1"/>
      <c r="AN1678" s="1"/>
      <c r="AS1678" s="1"/>
      <c r="AX1678" s="1"/>
    </row>
    <row r="1679" spans="1:50" x14ac:dyDescent="0.3">
      <c r="A1679" s="19">
        <f t="shared" si="134"/>
        <v>48264</v>
      </c>
      <c r="B1679">
        <f t="shared" ca="1" si="130"/>
        <v>-5.8666666666666663</v>
      </c>
      <c r="C1679" t="str">
        <f ca="1">IF(currency="USD",'Future et co'!D1679,IF(currency="EUR",'Future et co'!E1679,IF(currency="GBP",'Future et co'!F1679,FALSE)))</f>
        <v>RFR USD</v>
      </c>
      <c r="D1679" t="str">
        <f t="shared" ca="1" si="131"/>
        <v>RFR USD</v>
      </c>
      <c r="E1679" t="str">
        <f t="shared" ca="1" si="132"/>
        <v>RFR EUR</v>
      </c>
      <c r="F1679" t="str">
        <f t="shared" ca="1" si="133"/>
        <v>RFR GBP</v>
      </c>
      <c r="J1679" s="1"/>
      <c r="N1679" s="1"/>
      <c r="R1679" s="1"/>
      <c r="V1679" s="1"/>
      <c r="AB1679" s="1"/>
      <c r="AF1679" s="1"/>
      <c r="AJ1679" s="1"/>
      <c r="AN1679" s="1"/>
      <c r="AS1679" s="1"/>
      <c r="AX1679" s="1"/>
    </row>
    <row r="1680" spans="1:50" x14ac:dyDescent="0.3">
      <c r="A1680" s="19">
        <f t="shared" si="134"/>
        <v>48267</v>
      </c>
      <c r="B1680">
        <f t="shared" ca="1" si="130"/>
        <v>-5.875</v>
      </c>
      <c r="C1680" t="str">
        <f ca="1">IF(currency="USD",'Future et co'!D1680,IF(currency="EUR",'Future et co'!E1680,IF(currency="GBP",'Future et co'!F1680,FALSE)))</f>
        <v>RFR USD</v>
      </c>
      <c r="D1680" t="str">
        <f t="shared" ca="1" si="131"/>
        <v>RFR USD</v>
      </c>
      <c r="E1680" t="str">
        <f t="shared" ca="1" si="132"/>
        <v>RFR EUR</v>
      </c>
      <c r="F1680" t="str">
        <f t="shared" ca="1" si="133"/>
        <v>RFR GBP</v>
      </c>
      <c r="J1680" s="1"/>
      <c r="N1680" s="1"/>
      <c r="R1680" s="1"/>
      <c r="V1680" s="1"/>
      <c r="AB1680" s="1"/>
      <c r="AF1680" s="1"/>
      <c r="AJ1680" s="1"/>
      <c r="AN1680" s="1"/>
      <c r="AS1680" s="1"/>
      <c r="AX1680" s="1"/>
    </row>
    <row r="1681" spans="1:50" x14ac:dyDescent="0.3">
      <c r="A1681" s="19">
        <f t="shared" si="134"/>
        <v>48268</v>
      </c>
      <c r="B1681">
        <f t="shared" ca="1" si="130"/>
        <v>-5.8777777777777782</v>
      </c>
      <c r="C1681" t="str">
        <f ca="1">IF(currency="USD",'Future et co'!D1681,IF(currency="EUR",'Future et co'!E1681,IF(currency="GBP",'Future et co'!F1681,FALSE)))</f>
        <v>RFR USD</v>
      </c>
      <c r="D1681" t="str">
        <f t="shared" ca="1" si="131"/>
        <v>RFR USD</v>
      </c>
      <c r="E1681" t="str">
        <f t="shared" ca="1" si="132"/>
        <v>RFR EUR</v>
      </c>
      <c r="F1681" t="str">
        <f t="shared" ca="1" si="133"/>
        <v>RFR GBP</v>
      </c>
      <c r="J1681" s="1"/>
      <c r="N1681" s="1"/>
      <c r="R1681" s="1"/>
      <c r="V1681" s="1"/>
      <c r="AB1681" s="1"/>
      <c r="AF1681" s="1"/>
      <c r="AJ1681" s="1"/>
      <c r="AN1681" s="1"/>
      <c r="AS1681" s="1"/>
      <c r="AX1681" s="1"/>
    </row>
    <row r="1682" spans="1:50" x14ac:dyDescent="0.3">
      <c r="A1682" s="19">
        <f t="shared" si="134"/>
        <v>48269</v>
      </c>
      <c r="B1682">
        <f t="shared" ca="1" si="130"/>
        <v>-5.8805555555555555</v>
      </c>
      <c r="C1682" t="str">
        <f ca="1">IF(currency="USD",'Future et co'!D1682,IF(currency="EUR",'Future et co'!E1682,IF(currency="GBP",'Future et co'!F1682,FALSE)))</f>
        <v>RFR USD</v>
      </c>
      <c r="D1682" t="str">
        <f t="shared" ca="1" si="131"/>
        <v>RFR USD</v>
      </c>
      <c r="E1682" t="str">
        <f t="shared" ca="1" si="132"/>
        <v>RFR EUR</v>
      </c>
      <c r="F1682" t="str">
        <f t="shared" ca="1" si="133"/>
        <v>RFR GBP</v>
      </c>
      <c r="J1682" s="1"/>
      <c r="N1682" s="1"/>
      <c r="R1682" s="1"/>
      <c r="V1682" s="1"/>
      <c r="AB1682" s="1"/>
      <c r="AF1682" s="1"/>
      <c r="AJ1682" s="1"/>
      <c r="AN1682" s="1"/>
      <c r="AS1682" s="1"/>
      <c r="AX1682" s="1"/>
    </row>
    <row r="1683" spans="1:50" x14ac:dyDescent="0.3">
      <c r="A1683" s="19">
        <f t="shared" si="134"/>
        <v>48270</v>
      </c>
      <c r="B1683">
        <f t="shared" ca="1" si="130"/>
        <v>-5.8833333333333337</v>
      </c>
      <c r="C1683" t="str">
        <f ca="1">IF(currency="USD",'Future et co'!D1683,IF(currency="EUR",'Future et co'!E1683,IF(currency="GBP",'Future et co'!F1683,FALSE)))</f>
        <v>RFR USD</v>
      </c>
      <c r="D1683" t="str">
        <f t="shared" ca="1" si="131"/>
        <v>RFR USD</v>
      </c>
      <c r="E1683" t="str">
        <f t="shared" ca="1" si="132"/>
        <v>RFR EUR</v>
      </c>
      <c r="F1683" t="str">
        <f t="shared" ca="1" si="133"/>
        <v>RFR GBP</v>
      </c>
      <c r="J1683" s="1"/>
      <c r="N1683" s="1"/>
      <c r="R1683" s="1"/>
      <c r="V1683" s="1"/>
      <c r="AB1683" s="1"/>
      <c r="AF1683" s="1"/>
      <c r="AJ1683" s="1"/>
      <c r="AN1683" s="1"/>
      <c r="AS1683" s="1"/>
      <c r="AX1683" s="1"/>
    </row>
    <row r="1684" spans="1:50" x14ac:dyDescent="0.3">
      <c r="A1684" s="19">
        <f t="shared" si="134"/>
        <v>48271</v>
      </c>
      <c r="B1684">
        <f t="shared" ca="1" si="130"/>
        <v>-5.8861111111111111</v>
      </c>
      <c r="C1684" t="str">
        <f ca="1">IF(currency="USD",'Future et co'!D1684,IF(currency="EUR",'Future et co'!E1684,IF(currency="GBP",'Future et co'!F1684,FALSE)))</f>
        <v>RFR USD</v>
      </c>
      <c r="D1684" t="str">
        <f t="shared" ca="1" si="131"/>
        <v>RFR USD</v>
      </c>
      <c r="E1684" t="str">
        <f t="shared" ca="1" si="132"/>
        <v>RFR EUR</v>
      </c>
      <c r="F1684" t="str">
        <f t="shared" ca="1" si="133"/>
        <v>RFR GBP</v>
      </c>
      <c r="J1684" s="1"/>
      <c r="N1684" s="1"/>
      <c r="R1684" s="1"/>
      <c r="V1684" s="1"/>
      <c r="AB1684" s="1"/>
      <c r="AF1684" s="1"/>
      <c r="AJ1684" s="1"/>
      <c r="AN1684" s="1"/>
      <c r="AS1684" s="1"/>
      <c r="AX1684" s="1"/>
    </row>
    <row r="1685" spans="1:50" x14ac:dyDescent="0.3">
      <c r="A1685" s="19">
        <f t="shared" si="134"/>
        <v>48274</v>
      </c>
      <c r="B1685">
        <f t="shared" ca="1" si="130"/>
        <v>-5.8944444444444448</v>
      </c>
      <c r="C1685" t="str">
        <f ca="1">IF(currency="USD",'Future et co'!D1685,IF(currency="EUR",'Future et co'!E1685,IF(currency="GBP",'Future et co'!F1685,FALSE)))</f>
        <v>RFR USD</v>
      </c>
      <c r="D1685" t="str">
        <f t="shared" ca="1" si="131"/>
        <v>RFR USD</v>
      </c>
      <c r="E1685" t="str">
        <f t="shared" ca="1" si="132"/>
        <v>RFR EUR</v>
      </c>
      <c r="F1685" t="str">
        <f t="shared" ca="1" si="133"/>
        <v>RFR GBP</v>
      </c>
      <c r="J1685" s="1"/>
      <c r="N1685" s="1"/>
      <c r="R1685" s="1"/>
      <c r="V1685" s="1"/>
      <c r="AB1685" s="1"/>
      <c r="AF1685" s="1"/>
      <c r="AJ1685" s="1"/>
      <c r="AN1685" s="1"/>
      <c r="AS1685" s="1"/>
      <c r="AX1685" s="1"/>
    </row>
    <row r="1686" spans="1:50" x14ac:dyDescent="0.3">
      <c r="A1686" s="19">
        <f t="shared" si="134"/>
        <v>48275</v>
      </c>
      <c r="B1686">
        <f t="shared" ca="1" si="130"/>
        <v>-5.8972222222222221</v>
      </c>
      <c r="C1686" t="str">
        <f ca="1">IF(currency="USD",'Future et co'!D1686,IF(currency="EUR",'Future et co'!E1686,IF(currency="GBP",'Future et co'!F1686,FALSE)))</f>
        <v>RFR USD</v>
      </c>
      <c r="D1686" t="str">
        <f t="shared" ca="1" si="131"/>
        <v>RFR USD</v>
      </c>
      <c r="E1686" t="str">
        <f t="shared" ca="1" si="132"/>
        <v>RFR EUR</v>
      </c>
      <c r="F1686" t="str">
        <f t="shared" ca="1" si="133"/>
        <v>RFR GBP</v>
      </c>
      <c r="J1686" s="1"/>
      <c r="N1686" s="1"/>
      <c r="R1686" s="1"/>
      <c r="V1686" s="1"/>
      <c r="AB1686" s="1"/>
      <c r="AF1686" s="1"/>
      <c r="AJ1686" s="1"/>
      <c r="AN1686" s="1"/>
      <c r="AS1686" s="1"/>
      <c r="AX1686" s="1"/>
    </row>
    <row r="1687" spans="1:50" x14ac:dyDescent="0.3">
      <c r="A1687" s="19">
        <f t="shared" si="134"/>
        <v>48276</v>
      </c>
      <c r="B1687">
        <f t="shared" ca="1" si="130"/>
        <v>-5.9</v>
      </c>
      <c r="C1687" t="str">
        <f ca="1">IF(currency="USD",'Future et co'!D1687,IF(currency="EUR",'Future et co'!E1687,IF(currency="GBP",'Future et co'!F1687,FALSE)))</f>
        <v>RFR USD</v>
      </c>
      <c r="D1687" t="str">
        <f t="shared" ca="1" si="131"/>
        <v>RFR USD</v>
      </c>
      <c r="E1687" t="str">
        <f t="shared" ca="1" si="132"/>
        <v>RFR EUR</v>
      </c>
      <c r="F1687" t="str">
        <f t="shared" ca="1" si="133"/>
        <v>RFR GBP</v>
      </c>
      <c r="J1687" s="1"/>
      <c r="N1687" s="1"/>
      <c r="R1687" s="1"/>
      <c r="V1687" s="1"/>
      <c r="AB1687" s="1"/>
      <c r="AF1687" s="1"/>
      <c r="AJ1687" s="1"/>
      <c r="AN1687" s="1"/>
      <c r="AS1687" s="1"/>
      <c r="AX1687" s="1"/>
    </row>
    <row r="1688" spans="1:50" x14ac:dyDescent="0.3">
      <c r="A1688" s="19">
        <f t="shared" si="134"/>
        <v>48277</v>
      </c>
      <c r="B1688">
        <f t="shared" ca="1" si="130"/>
        <v>-5.9027777777777777</v>
      </c>
      <c r="C1688" t="str">
        <f ca="1">IF(currency="USD",'Future et co'!D1688,IF(currency="EUR",'Future et co'!E1688,IF(currency="GBP",'Future et co'!F1688,FALSE)))</f>
        <v>RFR USD</v>
      </c>
      <c r="D1688" t="str">
        <f t="shared" ca="1" si="131"/>
        <v>RFR USD</v>
      </c>
      <c r="E1688" t="str">
        <f t="shared" ca="1" si="132"/>
        <v>RFR EUR</v>
      </c>
      <c r="F1688" t="str">
        <f t="shared" ca="1" si="133"/>
        <v>RFR GBP</v>
      </c>
      <c r="J1688" s="1"/>
      <c r="N1688" s="1"/>
      <c r="R1688" s="1"/>
      <c r="V1688" s="1"/>
      <c r="AB1688" s="1"/>
      <c r="AF1688" s="1"/>
      <c r="AJ1688" s="1"/>
      <c r="AN1688" s="1"/>
      <c r="AS1688" s="1"/>
      <c r="AX1688" s="1"/>
    </row>
    <row r="1689" spans="1:50" x14ac:dyDescent="0.3">
      <c r="A1689" s="19">
        <f t="shared" si="134"/>
        <v>48278</v>
      </c>
      <c r="B1689">
        <f t="shared" ca="1" si="130"/>
        <v>-5.9055555555555559</v>
      </c>
      <c r="C1689" t="str">
        <f ca="1">IF(currency="USD",'Future et co'!D1689,IF(currency="EUR",'Future et co'!E1689,IF(currency="GBP",'Future et co'!F1689,FALSE)))</f>
        <v>RFR USD</v>
      </c>
      <c r="D1689" t="str">
        <f t="shared" ca="1" si="131"/>
        <v>RFR USD</v>
      </c>
      <c r="E1689" t="str">
        <f t="shared" ca="1" si="132"/>
        <v>RFR EUR</v>
      </c>
      <c r="F1689" t="str">
        <f t="shared" ca="1" si="133"/>
        <v>RFR GBP</v>
      </c>
      <c r="J1689" s="1"/>
      <c r="N1689" s="1"/>
      <c r="R1689" s="1"/>
      <c r="V1689" s="1"/>
      <c r="AB1689" s="1"/>
      <c r="AF1689" s="1"/>
      <c r="AJ1689" s="1"/>
      <c r="AN1689" s="1"/>
      <c r="AS1689" s="1"/>
      <c r="AX1689" s="1"/>
    </row>
    <row r="1690" spans="1:50" x14ac:dyDescent="0.3">
      <c r="A1690" s="19">
        <f t="shared" si="134"/>
        <v>48281</v>
      </c>
      <c r="B1690">
        <f t="shared" ca="1" si="130"/>
        <v>-5.9138888888888888</v>
      </c>
      <c r="C1690" t="str">
        <f ca="1">IF(currency="USD",'Future et co'!D1690,IF(currency="EUR",'Future et co'!E1690,IF(currency="GBP",'Future et co'!F1690,FALSE)))</f>
        <v>RFR USD</v>
      </c>
      <c r="D1690" t="str">
        <f t="shared" ca="1" si="131"/>
        <v>RFR USD</v>
      </c>
      <c r="E1690" t="str">
        <f t="shared" ca="1" si="132"/>
        <v>RFR EUR</v>
      </c>
      <c r="F1690" t="str">
        <f t="shared" ca="1" si="133"/>
        <v>RFR GBP</v>
      </c>
      <c r="J1690" s="1"/>
      <c r="N1690" s="1"/>
      <c r="R1690" s="1"/>
      <c r="V1690" s="1"/>
      <c r="AB1690" s="1"/>
      <c r="AF1690" s="1"/>
      <c r="AJ1690" s="1"/>
      <c r="AN1690" s="1"/>
      <c r="AS1690" s="1"/>
      <c r="AX1690" s="1"/>
    </row>
    <row r="1691" spans="1:50" x14ac:dyDescent="0.3">
      <c r="A1691" s="19">
        <f t="shared" si="134"/>
        <v>48282</v>
      </c>
      <c r="B1691">
        <f t="shared" ca="1" si="130"/>
        <v>-5.916666666666667</v>
      </c>
      <c r="C1691" t="str">
        <f ca="1">IF(currency="USD",'Future et co'!D1691,IF(currency="EUR",'Future et co'!E1691,IF(currency="GBP",'Future et co'!F1691,FALSE)))</f>
        <v>RFR USD</v>
      </c>
      <c r="D1691" t="str">
        <f t="shared" ca="1" si="131"/>
        <v>RFR USD</v>
      </c>
      <c r="E1691" t="str">
        <f t="shared" ca="1" si="132"/>
        <v>RFR EUR</v>
      </c>
      <c r="F1691" t="str">
        <f t="shared" ca="1" si="133"/>
        <v>RFR GBP</v>
      </c>
      <c r="J1691" s="1"/>
      <c r="N1691" s="1"/>
      <c r="R1691" s="1"/>
      <c r="V1691" s="1"/>
      <c r="AB1691" s="1"/>
      <c r="AF1691" s="1"/>
      <c r="AJ1691" s="1"/>
      <c r="AN1691" s="1"/>
      <c r="AS1691" s="1"/>
      <c r="AX1691" s="1"/>
    </row>
    <row r="1692" spans="1:50" x14ac:dyDescent="0.3">
      <c r="A1692" s="19">
        <f t="shared" si="134"/>
        <v>48283</v>
      </c>
      <c r="B1692">
        <f t="shared" ca="1" si="130"/>
        <v>-5.9194444444444443</v>
      </c>
      <c r="C1692" t="str">
        <f ca="1">IF(currency="USD",'Future et co'!D1692,IF(currency="EUR",'Future et co'!E1692,IF(currency="GBP",'Future et co'!F1692,FALSE)))</f>
        <v>RFR USD</v>
      </c>
      <c r="D1692" t="str">
        <f t="shared" ca="1" si="131"/>
        <v>RFR USD</v>
      </c>
      <c r="E1692" t="str">
        <f t="shared" ca="1" si="132"/>
        <v>RFR EUR</v>
      </c>
      <c r="F1692" t="str">
        <f t="shared" ca="1" si="133"/>
        <v>RFR GBP</v>
      </c>
      <c r="J1692" s="1"/>
      <c r="N1692" s="1"/>
      <c r="R1692" s="1"/>
      <c r="V1692" s="1"/>
      <c r="AB1692" s="1"/>
      <c r="AF1692" s="1"/>
      <c r="AJ1692" s="1"/>
      <c r="AN1692" s="1"/>
      <c r="AS1692" s="1"/>
      <c r="AX1692" s="1"/>
    </row>
    <row r="1693" spans="1:50" x14ac:dyDescent="0.3">
      <c r="A1693" s="19">
        <f t="shared" si="134"/>
        <v>48284</v>
      </c>
      <c r="B1693">
        <f t="shared" ca="1" si="130"/>
        <v>-5.9222222222222225</v>
      </c>
      <c r="C1693" t="str">
        <f ca="1">IF(currency="USD",'Future et co'!D1693,IF(currency="EUR",'Future et co'!E1693,IF(currency="GBP",'Future et co'!F1693,FALSE)))</f>
        <v>RFR USD</v>
      </c>
      <c r="D1693" t="str">
        <f t="shared" ca="1" si="131"/>
        <v>RFR USD</v>
      </c>
      <c r="E1693" t="str">
        <f t="shared" ca="1" si="132"/>
        <v>RFR EUR</v>
      </c>
      <c r="F1693" t="str">
        <f t="shared" ca="1" si="133"/>
        <v>RFR GBP</v>
      </c>
      <c r="J1693" s="1"/>
      <c r="N1693" s="1"/>
      <c r="R1693" s="1"/>
      <c r="V1693" s="1"/>
      <c r="AB1693" s="1"/>
      <c r="AF1693" s="1"/>
      <c r="AJ1693" s="1"/>
      <c r="AN1693" s="1"/>
      <c r="AS1693" s="1"/>
      <c r="AX1693" s="1"/>
    </row>
    <row r="1694" spans="1:50" x14ac:dyDescent="0.3">
      <c r="A1694" s="19">
        <f t="shared" si="134"/>
        <v>48285</v>
      </c>
      <c r="B1694">
        <f t="shared" ca="1" si="130"/>
        <v>-5.9249999999999998</v>
      </c>
      <c r="C1694" t="str">
        <f ca="1">IF(currency="USD",'Future et co'!D1694,IF(currency="EUR",'Future et co'!E1694,IF(currency="GBP",'Future et co'!F1694,FALSE)))</f>
        <v>RFR USD</v>
      </c>
      <c r="D1694" t="str">
        <f t="shared" ca="1" si="131"/>
        <v>RFR USD</v>
      </c>
      <c r="E1694" t="str">
        <f t="shared" ca="1" si="132"/>
        <v>RFR EUR</v>
      </c>
      <c r="F1694" t="str">
        <f t="shared" ca="1" si="133"/>
        <v>RFR GBP</v>
      </c>
      <c r="J1694" s="1"/>
      <c r="N1694" s="1"/>
      <c r="R1694" s="1"/>
      <c r="V1694" s="1"/>
      <c r="AB1694" s="1"/>
      <c r="AF1694" s="1"/>
      <c r="AJ1694" s="1"/>
      <c r="AN1694" s="1"/>
      <c r="AS1694" s="1"/>
      <c r="AX1694" s="1"/>
    </row>
    <row r="1695" spans="1:50" x14ac:dyDescent="0.3">
      <c r="A1695" s="19">
        <f t="shared" si="134"/>
        <v>48288</v>
      </c>
      <c r="B1695">
        <f t="shared" ca="1" si="130"/>
        <v>-5.9333333333333336</v>
      </c>
      <c r="C1695" t="str">
        <f ca="1">IF(currency="USD",'Future et co'!D1695,IF(currency="EUR",'Future et co'!E1695,IF(currency="GBP",'Future et co'!F1695,FALSE)))</f>
        <v>RFR USD</v>
      </c>
      <c r="D1695" t="str">
        <f t="shared" ca="1" si="131"/>
        <v>RFR USD</v>
      </c>
      <c r="E1695" t="str">
        <f t="shared" ca="1" si="132"/>
        <v>RFR EUR</v>
      </c>
      <c r="F1695" t="str">
        <f t="shared" ca="1" si="133"/>
        <v>RFR GBP</v>
      </c>
      <c r="J1695" s="1"/>
      <c r="N1695" s="1"/>
      <c r="R1695" s="1"/>
      <c r="V1695" s="1"/>
      <c r="AB1695" s="1"/>
      <c r="AF1695" s="1"/>
      <c r="AJ1695" s="1"/>
      <c r="AN1695" s="1"/>
      <c r="AS1695" s="1"/>
      <c r="AX1695" s="1"/>
    </row>
    <row r="1696" spans="1:50" x14ac:dyDescent="0.3">
      <c r="A1696" s="19">
        <f t="shared" si="134"/>
        <v>48289</v>
      </c>
      <c r="B1696">
        <f t="shared" ca="1" si="130"/>
        <v>-5.9361111111111109</v>
      </c>
      <c r="C1696" t="str">
        <f ca="1">IF(currency="USD",'Future et co'!D1696,IF(currency="EUR",'Future et co'!E1696,IF(currency="GBP",'Future et co'!F1696,FALSE)))</f>
        <v>RFR USD</v>
      </c>
      <c r="D1696" t="str">
        <f t="shared" ca="1" si="131"/>
        <v>RFR USD</v>
      </c>
      <c r="E1696" t="str">
        <f t="shared" ca="1" si="132"/>
        <v>RFR EUR</v>
      </c>
      <c r="F1696" t="str">
        <f t="shared" ca="1" si="133"/>
        <v>RFR GBP</v>
      </c>
      <c r="J1696" s="1"/>
      <c r="N1696" s="1"/>
      <c r="R1696" s="1"/>
      <c r="V1696" s="1"/>
      <c r="AB1696" s="1"/>
      <c r="AF1696" s="1"/>
      <c r="AJ1696" s="1"/>
      <c r="AN1696" s="1"/>
      <c r="AS1696" s="1"/>
      <c r="AX1696" s="1"/>
    </row>
    <row r="1697" spans="1:50" x14ac:dyDescent="0.3">
      <c r="A1697" s="19">
        <f t="shared" si="134"/>
        <v>48290</v>
      </c>
      <c r="B1697">
        <f t="shared" ca="1" si="130"/>
        <v>-5.9388888888888891</v>
      </c>
      <c r="C1697" t="str">
        <f ca="1">IF(currency="USD",'Future et co'!D1697,IF(currency="EUR",'Future et co'!E1697,IF(currency="GBP",'Future et co'!F1697,FALSE)))</f>
        <v>RFR USD</v>
      </c>
      <c r="D1697" t="str">
        <f t="shared" ca="1" si="131"/>
        <v>RFR USD</v>
      </c>
      <c r="E1697" t="str">
        <f t="shared" ca="1" si="132"/>
        <v>RFR EUR</v>
      </c>
      <c r="F1697" t="str">
        <f t="shared" ca="1" si="133"/>
        <v>RFR GBP</v>
      </c>
      <c r="J1697" s="1"/>
      <c r="N1697" s="1"/>
      <c r="R1697" s="1"/>
      <c r="V1697" s="1"/>
      <c r="AB1697" s="1"/>
      <c r="AF1697" s="1"/>
      <c r="AJ1697" s="1"/>
      <c r="AN1697" s="1"/>
      <c r="AS1697" s="1"/>
      <c r="AX1697" s="1"/>
    </row>
    <row r="1698" spans="1:50" x14ac:dyDescent="0.3">
      <c r="A1698" s="19">
        <f t="shared" si="134"/>
        <v>48291</v>
      </c>
      <c r="B1698">
        <f t="shared" ca="1" si="130"/>
        <v>-5.9416666666666664</v>
      </c>
      <c r="C1698" t="str">
        <f ca="1">IF(currency="USD",'Future et co'!D1698,IF(currency="EUR",'Future et co'!E1698,IF(currency="GBP",'Future et co'!F1698,FALSE)))</f>
        <v>RFR USD</v>
      </c>
      <c r="D1698" t="str">
        <f t="shared" ca="1" si="131"/>
        <v>RFR USD</v>
      </c>
      <c r="E1698" t="str">
        <f t="shared" ca="1" si="132"/>
        <v>RFR EUR</v>
      </c>
      <c r="F1698" t="str">
        <f t="shared" ca="1" si="133"/>
        <v>RFR GBP</v>
      </c>
      <c r="J1698" s="1"/>
      <c r="N1698" s="1"/>
      <c r="R1698" s="1"/>
      <c r="V1698" s="1"/>
      <c r="AB1698" s="1"/>
      <c r="AF1698" s="1"/>
      <c r="AJ1698" s="1"/>
      <c r="AN1698" s="1"/>
      <c r="AS1698" s="1"/>
      <c r="AX1698" s="1"/>
    </row>
    <row r="1699" spans="1:50" x14ac:dyDescent="0.3">
      <c r="A1699" s="19">
        <f t="shared" si="134"/>
        <v>48292</v>
      </c>
      <c r="B1699">
        <f t="shared" ca="1" si="130"/>
        <v>-5.9444444444444446</v>
      </c>
      <c r="C1699" t="str">
        <f ca="1">IF(currency="USD",'Future et co'!D1699,IF(currency="EUR",'Future et co'!E1699,IF(currency="GBP",'Future et co'!F1699,FALSE)))</f>
        <v>RFR USD</v>
      </c>
      <c r="D1699" t="str">
        <f t="shared" ca="1" si="131"/>
        <v>RFR USD</v>
      </c>
      <c r="E1699" t="str">
        <f t="shared" ca="1" si="132"/>
        <v>RFR EUR</v>
      </c>
      <c r="F1699" t="str">
        <f t="shared" ca="1" si="133"/>
        <v>RFR GBP</v>
      </c>
      <c r="J1699" s="1"/>
      <c r="N1699" s="1"/>
      <c r="R1699" s="1"/>
      <c r="V1699" s="1"/>
      <c r="AB1699" s="1"/>
      <c r="AF1699" s="1"/>
      <c r="AJ1699" s="1"/>
      <c r="AN1699" s="1"/>
      <c r="AS1699" s="1"/>
      <c r="AX1699" s="1"/>
    </row>
    <row r="1700" spans="1:50" x14ac:dyDescent="0.3">
      <c r="A1700" s="19">
        <f t="shared" si="134"/>
        <v>48295</v>
      </c>
      <c r="B1700">
        <f t="shared" ca="1" si="130"/>
        <v>-5.9527777777777775</v>
      </c>
      <c r="C1700" t="str">
        <f ca="1">IF(currency="USD",'Future et co'!D1700,IF(currency="EUR",'Future et co'!E1700,IF(currency="GBP",'Future et co'!F1700,FALSE)))</f>
        <v>RFR USD</v>
      </c>
      <c r="D1700" t="str">
        <f t="shared" ca="1" si="131"/>
        <v>RFR USD</v>
      </c>
      <c r="E1700" t="str">
        <f t="shared" ca="1" si="132"/>
        <v>RFR EUR</v>
      </c>
      <c r="F1700" t="str">
        <f t="shared" ca="1" si="133"/>
        <v>RFR GBP</v>
      </c>
      <c r="J1700" s="1"/>
      <c r="N1700" s="1"/>
      <c r="R1700" s="1"/>
      <c r="V1700" s="1"/>
      <c r="AB1700" s="1"/>
      <c r="AF1700" s="1"/>
      <c r="AJ1700" s="1"/>
      <c r="AN1700" s="1"/>
      <c r="AS1700" s="1"/>
      <c r="AX1700" s="1"/>
    </row>
    <row r="1701" spans="1:50" x14ac:dyDescent="0.3">
      <c r="A1701" s="19">
        <f t="shared" si="134"/>
        <v>48296</v>
      </c>
      <c r="B1701">
        <f t="shared" ca="1" si="130"/>
        <v>-5.9555555555555557</v>
      </c>
      <c r="C1701" t="str">
        <f ca="1">IF(currency="USD",'Future et co'!D1701,IF(currency="EUR",'Future et co'!E1701,IF(currency="GBP",'Future et co'!F1701,FALSE)))</f>
        <v>RFR USD</v>
      </c>
      <c r="D1701" t="str">
        <f t="shared" ca="1" si="131"/>
        <v>RFR USD</v>
      </c>
      <c r="E1701" t="str">
        <f t="shared" ca="1" si="132"/>
        <v>RFR EUR</v>
      </c>
      <c r="F1701" t="str">
        <f t="shared" ca="1" si="133"/>
        <v>RFR GBP</v>
      </c>
      <c r="J1701" s="1"/>
      <c r="N1701" s="1"/>
      <c r="R1701" s="1"/>
      <c r="V1701" s="1"/>
      <c r="AB1701" s="1"/>
      <c r="AF1701" s="1"/>
      <c r="AJ1701" s="1"/>
      <c r="AN1701" s="1"/>
      <c r="AS1701" s="1"/>
      <c r="AX1701" s="1"/>
    </row>
    <row r="1702" spans="1:50" x14ac:dyDescent="0.3">
      <c r="A1702" s="19">
        <f t="shared" si="134"/>
        <v>48297</v>
      </c>
      <c r="B1702">
        <f t="shared" ca="1" si="130"/>
        <v>-5.958333333333333</v>
      </c>
      <c r="C1702" t="str">
        <f ca="1">IF(currency="USD",'Future et co'!D1702,IF(currency="EUR",'Future et co'!E1702,IF(currency="GBP",'Future et co'!F1702,FALSE)))</f>
        <v>RFR USD</v>
      </c>
      <c r="D1702" t="str">
        <f t="shared" ca="1" si="131"/>
        <v>RFR USD</v>
      </c>
      <c r="E1702" t="str">
        <f t="shared" ca="1" si="132"/>
        <v>RFR EUR</v>
      </c>
      <c r="F1702" t="str">
        <f t="shared" ca="1" si="133"/>
        <v>RFR GBP</v>
      </c>
      <c r="J1702" s="1"/>
      <c r="N1702" s="1"/>
      <c r="R1702" s="1"/>
      <c r="V1702" s="1"/>
      <c r="AB1702" s="1"/>
      <c r="AF1702" s="1"/>
      <c r="AJ1702" s="1"/>
      <c r="AN1702" s="1"/>
      <c r="AS1702" s="1"/>
      <c r="AX1702" s="1"/>
    </row>
    <row r="1703" spans="1:50" x14ac:dyDescent="0.3">
      <c r="A1703" s="19">
        <f t="shared" si="134"/>
        <v>48298</v>
      </c>
      <c r="B1703">
        <f t="shared" ca="1" si="130"/>
        <v>-5.9611111111111112</v>
      </c>
      <c r="C1703" t="str">
        <f ca="1">IF(currency="USD",'Future et co'!D1703,IF(currency="EUR",'Future et co'!E1703,IF(currency="GBP",'Future et co'!F1703,FALSE)))</f>
        <v>RFR USD</v>
      </c>
      <c r="D1703" t="str">
        <f t="shared" ca="1" si="131"/>
        <v>RFR USD</v>
      </c>
      <c r="E1703" t="str">
        <f t="shared" ca="1" si="132"/>
        <v>RFR EUR</v>
      </c>
      <c r="F1703" t="str">
        <f t="shared" ca="1" si="133"/>
        <v>RFR GBP</v>
      </c>
      <c r="J1703" s="1"/>
      <c r="N1703" s="1"/>
      <c r="R1703" s="1"/>
      <c r="V1703" s="1"/>
      <c r="AB1703" s="1"/>
      <c r="AF1703" s="1"/>
      <c r="AJ1703" s="1"/>
      <c r="AN1703" s="1"/>
      <c r="AS1703" s="1"/>
      <c r="AX1703" s="1"/>
    </row>
    <row r="1704" spans="1:50" x14ac:dyDescent="0.3">
      <c r="A1704" s="19">
        <f t="shared" si="134"/>
        <v>48299</v>
      </c>
      <c r="B1704">
        <f t="shared" ca="1" si="130"/>
        <v>-5.9638888888888886</v>
      </c>
      <c r="C1704" t="str">
        <f ca="1">IF(currency="USD",'Future et co'!D1704,IF(currency="EUR",'Future et co'!E1704,IF(currency="GBP",'Future et co'!F1704,FALSE)))</f>
        <v>RFR USD</v>
      </c>
      <c r="D1704" t="str">
        <f t="shared" ca="1" si="131"/>
        <v>RFR USD</v>
      </c>
      <c r="E1704" t="str">
        <f t="shared" ca="1" si="132"/>
        <v>RFR EUR</v>
      </c>
      <c r="F1704" t="str">
        <f t="shared" ca="1" si="133"/>
        <v>RFR GBP</v>
      </c>
      <c r="J1704" s="1"/>
      <c r="N1704" s="1"/>
      <c r="R1704" s="1"/>
      <c r="V1704" s="1"/>
      <c r="AB1704" s="1"/>
      <c r="AF1704" s="1"/>
      <c r="AJ1704" s="1"/>
      <c r="AN1704" s="1"/>
      <c r="AS1704" s="1"/>
      <c r="AX1704" s="1"/>
    </row>
    <row r="1705" spans="1:50" x14ac:dyDescent="0.3">
      <c r="A1705" s="19">
        <f t="shared" si="134"/>
        <v>48302</v>
      </c>
      <c r="B1705">
        <f t="shared" ca="1" si="130"/>
        <v>-5.9722222222222223</v>
      </c>
      <c r="C1705" t="str">
        <f ca="1">IF(currency="USD",'Future et co'!D1705,IF(currency="EUR",'Future et co'!E1705,IF(currency="GBP",'Future et co'!F1705,FALSE)))</f>
        <v>RFR USD</v>
      </c>
      <c r="D1705" t="str">
        <f t="shared" ca="1" si="131"/>
        <v>RFR USD</v>
      </c>
      <c r="E1705" t="str">
        <f t="shared" ca="1" si="132"/>
        <v>RFR EUR</v>
      </c>
      <c r="F1705" t="str">
        <f t="shared" ca="1" si="133"/>
        <v>RFR GBP</v>
      </c>
      <c r="J1705" s="1"/>
      <c r="N1705" s="1"/>
      <c r="R1705" s="1"/>
      <c r="V1705" s="1"/>
      <c r="AB1705" s="1"/>
      <c r="AF1705" s="1"/>
      <c r="AJ1705" s="1"/>
      <c r="AN1705" s="1"/>
      <c r="AS1705" s="1"/>
      <c r="AX1705" s="1"/>
    </row>
    <row r="1706" spans="1:50" x14ac:dyDescent="0.3">
      <c r="A1706" s="19">
        <f t="shared" si="134"/>
        <v>48303</v>
      </c>
      <c r="B1706">
        <f t="shared" ca="1" si="130"/>
        <v>-5.9749999999999996</v>
      </c>
      <c r="C1706" t="str">
        <f ca="1">IF(currency="USD",'Future et co'!D1706,IF(currency="EUR",'Future et co'!E1706,IF(currency="GBP",'Future et co'!F1706,FALSE)))</f>
        <v>RFR USD</v>
      </c>
      <c r="D1706" t="str">
        <f t="shared" ca="1" si="131"/>
        <v>RFR USD</v>
      </c>
      <c r="E1706" t="str">
        <f t="shared" ca="1" si="132"/>
        <v>RFR EUR</v>
      </c>
      <c r="F1706" t="str">
        <f t="shared" ca="1" si="133"/>
        <v>RFR GBP</v>
      </c>
      <c r="J1706" s="1"/>
      <c r="N1706" s="1"/>
      <c r="R1706" s="1"/>
      <c r="V1706" s="1"/>
      <c r="AB1706" s="1"/>
      <c r="AF1706" s="1"/>
      <c r="AJ1706" s="1"/>
      <c r="AN1706" s="1"/>
      <c r="AS1706" s="1"/>
      <c r="AX1706" s="1"/>
    </row>
    <row r="1707" spans="1:50" x14ac:dyDescent="0.3">
      <c r="A1707" s="19">
        <f t="shared" si="134"/>
        <v>48304</v>
      </c>
      <c r="B1707">
        <f t="shared" ca="1" si="130"/>
        <v>-5.9777777777777779</v>
      </c>
      <c r="C1707" t="str">
        <f ca="1">IF(currency="USD",'Future et co'!D1707,IF(currency="EUR",'Future et co'!E1707,IF(currency="GBP",'Future et co'!F1707,FALSE)))</f>
        <v>RFR USD</v>
      </c>
      <c r="D1707" t="str">
        <f t="shared" ca="1" si="131"/>
        <v>RFR USD</v>
      </c>
      <c r="E1707" t="str">
        <f t="shared" ca="1" si="132"/>
        <v>RFR EUR</v>
      </c>
      <c r="F1707" t="str">
        <f t="shared" ca="1" si="133"/>
        <v>RFR GBP</v>
      </c>
      <c r="J1707" s="1"/>
      <c r="N1707" s="1"/>
      <c r="R1707" s="1"/>
      <c r="V1707" s="1"/>
      <c r="AB1707" s="1"/>
      <c r="AF1707" s="1"/>
      <c r="AJ1707" s="1"/>
      <c r="AN1707" s="1"/>
      <c r="AS1707" s="1"/>
      <c r="AX1707" s="1"/>
    </row>
    <row r="1708" spans="1:50" x14ac:dyDescent="0.3">
      <c r="A1708" s="19">
        <f t="shared" si="134"/>
        <v>48305</v>
      </c>
      <c r="B1708">
        <f t="shared" ca="1" si="130"/>
        <v>-5.9805555555555552</v>
      </c>
      <c r="C1708" t="str">
        <f ca="1">IF(currency="USD",'Future et co'!D1708,IF(currency="EUR",'Future et co'!E1708,IF(currency="GBP",'Future et co'!F1708,FALSE)))</f>
        <v>RFR USD</v>
      </c>
      <c r="D1708" t="str">
        <f t="shared" ca="1" si="131"/>
        <v>RFR USD</v>
      </c>
      <c r="E1708" t="str">
        <f t="shared" ca="1" si="132"/>
        <v>RFR EUR</v>
      </c>
      <c r="F1708" t="str">
        <f t="shared" ca="1" si="133"/>
        <v>RFR GBP</v>
      </c>
      <c r="J1708" s="1"/>
      <c r="N1708" s="1"/>
      <c r="R1708" s="1"/>
      <c r="V1708" s="1"/>
      <c r="AB1708" s="1"/>
      <c r="AF1708" s="1"/>
      <c r="AJ1708" s="1"/>
      <c r="AN1708" s="1"/>
      <c r="AS1708" s="1"/>
      <c r="AX1708" s="1"/>
    </row>
    <row r="1709" spans="1:50" x14ac:dyDescent="0.3">
      <c r="A1709" s="19">
        <f t="shared" si="134"/>
        <v>48306</v>
      </c>
      <c r="B1709">
        <f t="shared" ca="1" si="130"/>
        <v>-5.9833333333333334</v>
      </c>
      <c r="C1709" t="str">
        <f ca="1">IF(currency="USD",'Future et co'!D1709,IF(currency="EUR",'Future et co'!E1709,IF(currency="GBP",'Future et co'!F1709,FALSE)))</f>
        <v>RFR USD</v>
      </c>
      <c r="D1709" t="str">
        <f t="shared" ca="1" si="131"/>
        <v>RFR USD</v>
      </c>
      <c r="E1709" t="str">
        <f t="shared" ca="1" si="132"/>
        <v>RFR EUR</v>
      </c>
      <c r="F1709" t="str">
        <f t="shared" ca="1" si="133"/>
        <v>RFR GBP</v>
      </c>
      <c r="J1709" s="1"/>
      <c r="N1709" s="1"/>
      <c r="R1709" s="1"/>
      <c r="V1709" s="1"/>
      <c r="AB1709" s="1"/>
      <c r="AF1709" s="1"/>
      <c r="AJ1709" s="1"/>
      <c r="AN1709" s="1"/>
      <c r="AS1709" s="1"/>
      <c r="AX1709" s="1"/>
    </row>
    <row r="1710" spans="1:50" x14ac:dyDescent="0.3">
      <c r="A1710" s="19">
        <f t="shared" si="134"/>
        <v>48309</v>
      </c>
      <c r="B1710">
        <f t="shared" ca="1" si="130"/>
        <v>-5.9916666666666663</v>
      </c>
      <c r="C1710" t="str">
        <f ca="1">IF(currency="USD",'Future et co'!D1710,IF(currency="EUR",'Future et co'!E1710,IF(currency="GBP",'Future et co'!F1710,FALSE)))</f>
        <v>RFR USD</v>
      </c>
      <c r="D1710" t="str">
        <f t="shared" ca="1" si="131"/>
        <v>RFR USD</v>
      </c>
      <c r="E1710" t="str">
        <f t="shared" ca="1" si="132"/>
        <v>RFR EUR</v>
      </c>
      <c r="F1710" t="str">
        <f t="shared" ca="1" si="133"/>
        <v>RFR GBP</v>
      </c>
      <c r="J1710" s="1"/>
      <c r="N1710" s="1"/>
      <c r="R1710" s="1"/>
      <c r="V1710" s="1"/>
      <c r="AB1710" s="1"/>
      <c r="AF1710" s="1"/>
      <c r="AJ1710" s="1"/>
      <c r="AN1710" s="1"/>
      <c r="AS1710" s="1"/>
      <c r="AX1710" s="1"/>
    </row>
    <row r="1711" spans="1:50" x14ac:dyDescent="0.3">
      <c r="A1711" s="19">
        <f t="shared" si="134"/>
        <v>48310</v>
      </c>
      <c r="B1711">
        <f t="shared" ca="1" si="130"/>
        <v>-5.9944444444444445</v>
      </c>
      <c r="C1711" t="str">
        <f ca="1">IF(currency="USD",'Future et co'!D1711,IF(currency="EUR",'Future et co'!E1711,IF(currency="GBP",'Future et co'!F1711,FALSE)))</f>
        <v>RFR USD</v>
      </c>
      <c r="D1711" t="str">
        <f t="shared" ca="1" si="131"/>
        <v>RFR USD</v>
      </c>
      <c r="E1711" t="str">
        <f t="shared" ca="1" si="132"/>
        <v>RFR EUR</v>
      </c>
      <c r="F1711" t="str">
        <f t="shared" ca="1" si="133"/>
        <v>RFR GBP</v>
      </c>
      <c r="J1711" s="1"/>
      <c r="N1711" s="1"/>
      <c r="R1711" s="1"/>
      <c r="V1711" s="1"/>
      <c r="AB1711" s="1"/>
      <c r="AF1711" s="1"/>
      <c r="AJ1711" s="1"/>
      <c r="AN1711" s="1"/>
      <c r="AS1711" s="1"/>
      <c r="AX1711" s="1"/>
    </row>
    <row r="1712" spans="1:50" x14ac:dyDescent="0.3">
      <c r="A1712" s="19">
        <f t="shared" si="134"/>
        <v>48311</v>
      </c>
      <c r="B1712">
        <f t="shared" ca="1" si="130"/>
        <v>-5.9972222222222218</v>
      </c>
      <c r="C1712" t="str">
        <f ca="1">IF(currency="USD",'Future et co'!D1712,IF(currency="EUR",'Future et co'!E1712,IF(currency="GBP",'Future et co'!F1712,FALSE)))</f>
        <v>RFR USD</v>
      </c>
      <c r="D1712" t="str">
        <f t="shared" ca="1" si="131"/>
        <v>RFR USD</v>
      </c>
      <c r="E1712" t="str">
        <f t="shared" ca="1" si="132"/>
        <v>RFR EUR</v>
      </c>
      <c r="F1712" t="str">
        <f t="shared" ca="1" si="133"/>
        <v>RFR GBP</v>
      </c>
      <c r="J1712" s="1"/>
      <c r="N1712" s="1"/>
      <c r="R1712" s="1"/>
      <c r="V1712" s="1"/>
      <c r="AB1712" s="1"/>
      <c r="AF1712" s="1"/>
      <c r="AJ1712" s="1"/>
      <c r="AN1712" s="1"/>
      <c r="AS1712" s="1"/>
      <c r="AX1712" s="1"/>
    </row>
    <row r="1713" spans="1:50" x14ac:dyDescent="0.3">
      <c r="A1713" s="19">
        <f t="shared" si="134"/>
        <v>48312</v>
      </c>
      <c r="B1713">
        <f t="shared" ca="1" si="130"/>
        <v>-6</v>
      </c>
      <c r="C1713" t="str">
        <f ca="1">IF(currency="USD",'Future et co'!D1713,IF(currency="EUR",'Future et co'!E1713,IF(currency="GBP",'Future et co'!F1713,FALSE)))</f>
        <v>RFR USD</v>
      </c>
      <c r="D1713" t="str">
        <f t="shared" ca="1" si="131"/>
        <v>RFR USD</v>
      </c>
      <c r="E1713" t="str">
        <f t="shared" ca="1" si="132"/>
        <v>RFR EUR</v>
      </c>
      <c r="F1713" t="str">
        <f t="shared" ca="1" si="133"/>
        <v>RFR GBP</v>
      </c>
      <c r="J1713" s="1"/>
      <c r="N1713" s="1"/>
      <c r="R1713" s="1"/>
      <c r="V1713" s="1"/>
      <c r="AB1713" s="1"/>
      <c r="AF1713" s="1"/>
      <c r="AJ1713" s="1"/>
      <c r="AN1713" s="1"/>
      <c r="AS1713" s="1"/>
      <c r="AX1713" s="1"/>
    </row>
    <row r="1714" spans="1:50" x14ac:dyDescent="0.3">
      <c r="A1714" s="19">
        <f t="shared" si="134"/>
        <v>48313</v>
      </c>
      <c r="B1714">
        <f t="shared" ca="1" si="130"/>
        <v>-6.0027777777777782</v>
      </c>
      <c r="C1714" t="str">
        <f ca="1">IF(currency="USD",'Future et co'!D1714,IF(currency="EUR",'Future et co'!E1714,IF(currency="GBP",'Future et co'!F1714,FALSE)))</f>
        <v>RFR USD</v>
      </c>
      <c r="D1714" t="str">
        <f t="shared" ca="1" si="131"/>
        <v>RFR USD</v>
      </c>
      <c r="E1714" t="str">
        <f t="shared" ca="1" si="132"/>
        <v>RFR EUR</v>
      </c>
      <c r="F1714" t="str">
        <f t="shared" ca="1" si="133"/>
        <v>RFR GBP</v>
      </c>
      <c r="J1714" s="1"/>
      <c r="N1714" s="1"/>
      <c r="R1714" s="1"/>
      <c r="V1714" s="1"/>
      <c r="AB1714" s="1"/>
      <c r="AF1714" s="1"/>
      <c r="AJ1714" s="1"/>
      <c r="AN1714" s="1"/>
      <c r="AS1714" s="1"/>
      <c r="AX1714" s="1"/>
    </row>
    <row r="1715" spans="1:50" x14ac:dyDescent="0.3">
      <c r="A1715" s="19">
        <f t="shared" si="134"/>
        <v>48316</v>
      </c>
      <c r="B1715">
        <f t="shared" ca="1" si="130"/>
        <v>-6.0111111111111111</v>
      </c>
      <c r="C1715" t="str">
        <f ca="1">IF(currency="USD",'Future et co'!D1715,IF(currency="EUR",'Future et co'!E1715,IF(currency="GBP",'Future et co'!F1715,FALSE)))</f>
        <v>RFR USD</v>
      </c>
      <c r="D1715" t="str">
        <f t="shared" ca="1" si="131"/>
        <v>RFR USD</v>
      </c>
      <c r="E1715" t="str">
        <f t="shared" ca="1" si="132"/>
        <v>RFR EUR</v>
      </c>
      <c r="F1715" t="str">
        <f t="shared" ca="1" si="133"/>
        <v>RFR GBP</v>
      </c>
      <c r="J1715" s="1"/>
      <c r="N1715" s="1"/>
      <c r="R1715" s="1"/>
      <c r="V1715" s="1"/>
      <c r="AB1715" s="1"/>
      <c r="AF1715" s="1"/>
      <c r="AJ1715" s="1"/>
      <c r="AN1715" s="1"/>
      <c r="AS1715" s="1"/>
      <c r="AX1715" s="1"/>
    </row>
    <row r="1716" spans="1:50" x14ac:dyDescent="0.3">
      <c r="A1716" s="19">
        <f t="shared" si="134"/>
        <v>48317</v>
      </c>
      <c r="B1716">
        <f t="shared" ca="1" si="130"/>
        <v>-6.0138888888888893</v>
      </c>
      <c r="C1716" t="str">
        <f ca="1">IF(currency="USD",'Future et co'!D1716,IF(currency="EUR",'Future et co'!E1716,IF(currency="GBP",'Future et co'!F1716,FALSE)))</f>
        <v>RFR USD</v>
      </c>
      <c r="D1716" t="str">
        <f t="shared" ca="1" si="131"/>
        <v>RFR USD</v>
      </c>
      <c r="E1716" t="str">
        <f t="shared" ca="1" si="132"/>
        <v>RFR EUR</v>
      </c>
      <c r="F1716" t="str">
        <f t="shared" ca="1" si="133"/>
        <v>RFR GBP</v>
      </c>
      <c r="J1716" s="1"/>
      <c r="N1716" s="1"/>
      <c r="R1716" s="1"/>
      <c r="V1716" s="1"/>
      <c r="AB1716" s="1"/>
      <c r="AF1716" s="1"/>
      <c r="AJ1716" s="1"/>
      <c r="AN1716" s="1"/>
      <c r="AS1716" s="1"/>
      <c r="AX1716" s="1"/>
    </row>
    <row r="1717" spans="1:50" x14ac:dyDescent="0.3">
      <c r="A1717" s="19">
        <f t="shared" si="134"/>
        <v>48318</v>
      </c>
      <c r="B1717">
        <f t="shared" ca="1" si="130"/>
        <v>-6.0166666666666666</v>
      </c>
      <c r="C1717" t="str">
        <f ca="1">IF(currency="USD",'Future et co'!D1717,IF(currency="EUR",'Future et co'!E1717,IF(currency="GBP",'Future et co'!F1717,FALSE)))</f>
        <v>RFR USD</v>
      </c>
      <c r="D1717" t="str">
        <f t="shared" ca="1" si="131"/>
        <v>RFR USD</v>
      </c>
      <c r="E1717" t="str">
        <f t="shared" ca="1" si="132"/>
        <v>RFR EUR</v>
      </c>
      <c r="F1717" t="str">
        <f t="shared" ca="1" si="133"/>
        <v>RFR GBP</v>
      </c>
      <c r="J1717" s="1"/>
      <c r="N1717" s="1"/>
      <c r="R1717" s="1"/>
      <c r="V1717" s="1"/>
      <c r="AB1717" s="1"/>
      <c r="AF1717" s="1"/>
      <c r="AJ1717" s="1"/>
      <c r="AN1717" s="1"/>
      <c r="AS1717" s="1"/>
      <c r="AX1717" s="1"/>
    </row>
    <row r="1718" spans="1:50" x14ac:dyDescent="0.3">
      <c r="A1718" s="19">
        <f t="shared" si="134"/>
        <v>48319</v>
      </c>
      <c r="B1718">
        <f t="shared" ca="1" si="130"/>
        <v>-6.0194444444444448</v>
      </c>
      <c r="C1718" t="str">
        <f ca="1">IF(currency="USD",'Future et co'!D1718,IF(currency="EUR",'Future et co'!E1718,IF(currency="GBP",'Future et co'!F1718,FALSE)))</f>
        <v>RFR USD</v>
      </c>
      <c r="D1718" t="str">
        <f t="shared" ca="1" si="131"/>
        <v>RFR USD</v>
      </c>
      <c r="E1718" t="str">
        <f t="shared" ca="1" si="132"/>
        <v>RFR EUR</v>
      </c>
      <c r="F1718" t="str">
        <f t="shared" ca="1" si="133"/>
        <v>RFR GBP</v>
      </c>
      <c r="J1718" s="1"/>
      <c r="N1718" s="1"/>
      <c r="R1718" s="1"/>
      <c r="V1718" s="1"/>
      <c r="AB1718" s="1"/>
      <c r="AF1718" s="1"/>
      <c r="AJ1718" s="1"/>
      <c r="AN1718" s="1"/>
      <c r="AS1718" s="1"/>
      <c r="AX1718" s="1"/>
    </row>
    <row r="1719" spans="1:50" x14ac:dyDescent="0.3">
      <c r="A1719" s="19">
        <f t="shared" si="134"/>
        <v>48320</v>
      </c>
      <c r="B1719">
        <f t="shared" ca="1" si="130"/>
        <v>-6.0222222222222221</v>
      </c>
      <c r="C1719" t="str">
        <f ca="1">IF(currency="USD",'Future et co'!D1719,IF(currency="EUR",'Future et co'!E1719,IF(currency="GBP",'Future et co'!F1719,FALSE)))</f>
        <v>RFR USD</v>
      </c>
      <c r="D1719" t="str">
        <f t="shared" ca="1" si="131"/>
        <v>RFR USD</v>
      </c>
      <c r="E1719" t="str">
        <f t="shared" ca="1" si="132"/>
        <v>RFR EUR</v>
      </c>
      <c r="F1719" t="str">
        <f t="shared" ca="1" si="133"/>
        <v>RFR GBP</v>
      </c>
      <c r="J1719" s="1"/>
      <c r="N1719" s="1"/>
      <c r="R1719" s="1"/>
      <c r="V1719" s="1"/>
      <c r="AB1719" s="1"/>
      <c r="AF1719" s="1"/>
      <c r="AJ1719" s="1"/>
      <c r="AN1719" s="1"/>
      <c r="AS1719" s="1"/>
      <c r="AX1719" s="1"/>
    </row>
    <row r="1720" spans="1:50" x14ac:dyDescent="0.3">
      <c r="A1720" s="19">
        <f t="shared" si="134"/>
        <v>48323</v>
      </c>
      <c r="B1720">
        <f t="shared" ca="1" si="130"/>
        <v>-6.0305555555555559</v>
      </c>
      <c r="C1720" t="str">
        <f ca="1">IF(currency="USD",'Future et co'!D1720,IF(currency="EUR",'Future et co'!E1720,IF(currency="GBP",'Future et co'!F1720,FALSE)))</f>
        <v>RFR USD</v>
      </c>
      <c r="D1720" t="str">
        <f t="shared" ca="1" si="131"/>
        <v>RFR USD</v>
      </c>
      <c r="E1720" t="str">
        <f t="shared" ca="1" si="132"/>
        <v>RFR EUR</v>
      </c>
      <c r="F1720" t="str">
        <f t="shared" ca="1" si="133"/>
        <v>RFR GBP</v>
      </c>
      <c r="J1720" s="1"/>
      <c r="N1720" s="1"/>
      <c r="R1720" s="1"/>
      <c r="V1720" s="1"/>
      <c r="AB1720" s="1"/>
      <c r="AF1720" s="1"/>
      <c r="AJ1720" s="1"/>
      <c r="AN1720" s="1"/>
      <c r="AS1720" s="1"/>
      <c r="AX1720" s="1"/>
    </row>
    <row r="1721" spans="1:50" x14ac:dyDescent="0.3">
      <c r="A1721" s="19">
        <f t="shared" si="134"/>
        <v>48324</v>
      </c>
      <c r="B1721">
        <f t="shared" ca="1" si="130"/>
        <v>-6.0333333333333332</v>
      </c>
      <c r="C1721" t="str">
        <f ca="1">IF(currency="USD",'Future et co'!D1721,IF(currency="EUR",'Future et co'!E1721,IF(currency="GBP",'Future et co'!F1721,FALSE)))</f>
        <v>RFR USD</v>
      </c>
      <c r="D1721" t="str">
        <f t="shared" ca="1" si="131"/>
        <v>RFR USD</v>
      </c>
      <c r="E1721" t="str">
        <f t="shared" ca="1" si="132"/>
        <v>RFR EUR</v>
      </c>
      <c r="F1721" t="str">
        <f t="shared" ca="1" si="133"/>
        <v>RFR GBP</v>
      </c>
      <c r="J1721" s="1"/>
      <c r="N1721" s="1"/>
      <c r="R1721" s="1"/>
      <c r="V1721" s="1"/>
      <c r="AB1721" s="1"/>
      <c r="AF1721" s="1"/>
      <c r="AJ1721" s="1"/>
      <c r="AN1721" s="1"/>
      <c r="AS1721" s="1"/>
      <c r="AX1721" s="1"/>
    </row>
    <row r="1722" spans="1:50" x14ac:dyDescent="0.3">
      <c r="A1722" s="19">
        <f t="shared" si="134"/>
        <v>48325</v>
      </c>
      <c r="B1722">
        <f t="shared" ca="1" si="130"/>
        <v>-6.0361111111111114</v>
      </c>
      <c r="C1722" t="str">
        <f ca="1">IF(currency="USD",'Future et co'!D1722,IF(currency="EUR",'Future et co'!E1722,IF(currency="GBP",'Future et co'!F1722,FALSE)))</f>
        <v>RFR USD</v>
      </c>
      <c r="D1722" t="str">
        <f t="shared" ca="1" si="131"/>
        <v>RFR USD</v>
      </c>
      <c r="E1722" t="str">
        <f t="shared" ca="1" si="132"/>
        <v>RFR EUR</v>
      </c>
      <c r="F1722" t="str">
        <f t="shared" ca="1" si="133"/>
        <v>RFR GBP</v>
      </c>
      <c r="J1722" s="1"/>
      <c r="N1722" s="1"/>
      <c r="R1722" s="1"/>
      <c r="V1722" s="1"/>
      <c r="AB1722" s="1"/>
      <c r="AF1722" s="1"/>
      <c r="AJ1722" s="1"/>
      <c r="AN1722" s="1"/>
      <c r="AS1722" s="1"/>
      <c r="AX1722" s="1"/>
    </row>
    <row r="1723" spans="1:50" x14ac:dyDescent="0.3">
      <c r="A1723" s="19">
        <f t="shared" si="134"/>
        <v>48326</v>
      </c>
      <c r="B1723">
        <f t="shared" ca="1" si="130"/>
        <v>-6.0388888888888888</v>
      </c>
      <c r="C1723" t="str">
        <f ca="1">IF(currency="USD",'Future et co'!D1723,IF(currency="EUR",'Future et co'!E1723,IF(currency="GBP",'Future et co'!F1723,FALSE)))</f>
        <v>RFR USD</v>
      </c>
      <c r="D1723" t="str">
        <f t="shared" ca="1" si="131"/>
        <v>RFR USD</v>
      </c>
      <c r="E1723" t="str">
        <f t="shared" ca="1" si="132"/>
        <v>RFR EUR</v>
      </c>
      <c r="F1723" t="str">
        <f t="shared" ca="1" si="133"/>
        <v>RFR GBP</v>
      </c>
      <c r="J1723" s="1"/>
      <c r="N1723" s="1"/>
      <c r="R1723" s="1"/>
      <c r="V1723" s="1"/>
      <c r="AB1723" s="1"/>
      <c r="AF1723" s="1"/>
      <c r="AJ1723" s="1"/>
      <c r="AN1723" s="1"/>
      <c r="AS1723" s="1"/>
      <c r="AX1723" s="1"/>
    </row>
    <row r="1724" spans="1:50" x14ac:dyDescent="0.3">
      <c r="A1724" s="19">
        <f t="shared" si="134"/>
        <v>48327</v>
      </c>
      <c r="B1724">
        <f t="shared" ca="1" si="130"/>
        <v>-6.041666666666667</v>
      </c>
      <c r="C1724" t="str">
        <f ca="1">IF(currency="USD",'Future et co'!D1724,IF(currency="EUR",'Future et co'!E1724,IF(currency="GBP",'Future et co'!F1724,FALSE)))</f>
        <v>RFR USD</v>
      </c>
      <c r="D1724" t="str">
        <f t="shared" ca="1" si="131"/>
        <v>RFR USD</v>
      </c>
      <c r="E1724" t="str">
        <f t="shared" ca="1" si="132"/>
        <v>RFR EUR</v>
      </c>
      <c r="F1724" t="str">
        <f t="shared" ca="1" si="133"/>
        <v>RFR GBP</v>
      </c>
      <c r="J1724" s="1"/>
      <c r="N1724" s="1"/>
      <c r="R1724" s="1"/>
      <c r="V1724" s="1"/>
      <c r="AB1724" s="1"/>
      <c r="AF1724" s="1"/>
      <c r="AJ1724" s="1"/>
      <c r="AN1724" s="1"/>
      <c r="AS1724" s="1"/>
      <c r="AX1724" s="1"/>
    </row>
    <row r="1725" spans="1:50" x14ac:dyDescent="0.3">
      <c r="A1725" s="19">
        <f t="shared" si="134"/>
        <v>48330</v>
      </c>
      <c r="B1725">
        <f t="shared" ca="1" si="130"/>
        <v>-6.05</v>
      </c>
      <c r="C1725" t="str">
        <f ca="1">IF(currency="USD",'Future et co'!D1725,IF(currency="EUR",'Future et co'!E1725,IF(currency="GBP",'Future et co'!F1725,FALSE)))</f>
        <v>RFR USD</v>
      </c>
      <c r="D1725" t="str">
        <f t="shared" ca="1" si="131"/>
        <v>RFR USD</v>
      </c>
      <c r="E1725" t="str">
        <f t="shared" ca="1" si="132"/>
        <v>RFR EUR</v>
      </c>
      <c r="F1725" t="str">
        <f t="shared" ca="1" si="133"/>
        <v>RFR GBP</v>
      </c>
      <c r="J1725" s="1"/>
      <c r="N1725" s="1"/>
      <c r="R1725" s="1"/>
      <c r="V1725" s="1"/>
      <c r="AB1725" s="1"/>
      <c r="AF1725" s="1"/>
      <c r="AJ1725" s="1"/>
      <c r="AN1725" s="1"/>
      <c r="AS1725" s="1"/>
      <c r="AX1725" s="1"/>
    </row>
    <row r="1726" spans="1:50" x14ac:dyDescent="0.3">
      <c r="A1726" s="19">
        <f t="shared" si="134"/>
        <v>48331</v>
      </c>
      <c r="B1726">
        <f t="shared" ca="1" si="130"/>
        <v>-6.052777777777778</v>
      </c>
      <c r="C1726" t="str">
        <f ca="1">IF(currency="USD",'Future et co'!D1726,IF(currency="EUR",'Future et co'!E1726,IF(currency="GBP",'Future et co'!F1726,FALSE)))</f>
        <v>RFR USD</v>
      </c>
      <c r="D1726" t="str">
        <f t="shared" ca="1" si="131"/>
        <v>RFR USD</v>
      </c>
      <c r="E1726" t="str">
        <f t="shared" ca="1" si="132"/>
        <v>RFR EUR</v>
      </c>
      <c r="F1726" t="str">
        <f t="shared" ca="1" si="133"/>
        <v>RFR GBP</v>
      </c>
      <c r="J1726" s="1"/>
      <c r="N1726" s="1"/>
      <c r="R1726" s="1"/>
      <c r="V1726" s="1"/>
      <c r="AB1726" s="1"/>
      <c r="AF1726" s="1"/>
      <c r="AJ1726" s="1"/>
      <c r="AN1726" s="1"/>
      <c r="AS1726" s="1"/>
      <c r="AX1726" s="1"/>
    </row>
    <row r="1727" spans="1:50" x14ac:dyDescent="0.3">
      <c r="A1727" s="19">
        <f t="shared" si="134"/>
        <v>48332</v>
      </c>
      <c r="B1727">
        <f t="shared" ca="1" si="130"/>
        <v>-6.0555555555555554</v>
      </c>
      <c r="C1727" t="str">
        <f ca="1">IF(currency="USD",'Future et co'!D1727,IF(currency="EUR",'Future et co'!E1727,IF(currency="GBP",'Future et co'!F1727,FALSE)))</f>
        <v>RFR USD</v>
      </c>
      <c r="D1727" t="str">
        <f t="shared" ca="1" si="131"/>
        <v>RFR USD</v>
      </c>
      <c r="E1727" t="str">
        <f t="shared" ca="1" si="132"/>
        <v>RFR EUR</v>
      </c>
      <c r="F1727" t="str">
        <f t="shared" ca="1" si="133"/>
        <v>RFR GBP</v>
      </c>
      <c r="J1727" s="1"/>
      <c r="N1727" s="1"/>
      <c r="R1727" s="1"/>
      <c r="V1727" s="1"/>
      <c r="AB1727" s="1"/>
      <c r="AF1727" s="1"/>
      <c r="AJ1727" s="1"/>
      <c r="AN1727" s="1"/>
      <c r="AS1727" s="1"/>
      <c r="AX1727" s="1"/>
    </row>
    <row r="1728" spans="1:50" x14ac:dyDescent="0.3">
      <c r="A1728" s="19">
        <f t="shared" si="134"/>
        <v>48333</v>
      </c>
      <c r="B1728">
        <f t="shared" ca="1" si="130"/>
        <v>-6.0583333333333336</v>
      </c>
      <c r="C1728" t="str">
        <f ca="1">IF(currency="USD",'Future et co'!D1728,IF(currency="EUR",'Future et co'!E1728,IF(currency="GBP",'Future et co'!F1728,FALSE)))</f>
        <v>RFR USD</v>
      </c>
      <c r="D1728" t="str">
        <f t="shared" ca="1" si="131"/>
        <v>RFR USD</v>
      </c>
      <c r="E1728" t="str">
        <f t="shared" ca="1" si="132"/>
        <v>RFR EUR</v>
      </c>
      <c r="F1728" t="str">
        <f t="shared" ca="1" si="133"/>
        <v>RFR GBP</v>
      </c>
      <c r="J1728" s="1"/>
      <c r="N1728" s="1"/>
      <c r="R1728" s="1"/>
      <c r="V1728" s="1"/>
      <c r="AB1728" s="1"/>
      <c r="AF1728" s="1"/>
      <c r="AJ1728" s="1"/>
      <c r="AN1728" s="1"/>
      <c r="AS1728" s="1"/>
      <c r="AX1728" s="1"/>
    </row>
    <row r="1729" spans="1:50" x14ac:dyDescent="0.3">
      <c r="A1729" s="19">
        <f t="shared" si="134"/>
        <v>48334</v>
      </c>
      <c r="B1729">
        <f t="shared" ca="1" si="130"/>
        <v>-6.0611111111111109</v>
      </c>
      <c r="C1729" t="str">
        <f ca="1">IF(currency="USD",'Future et co'!D1729,IF(currency="EUR",'Future et co'!E1729,IF(currency="GBP",'Future et co'!F1729,FALSE)))</f>
        <v>RFR USD</v>
      </c>
      <c r="D1729" t="str">
        <f t="shared" ca="1" si="131"/>
        <v>RFR USD</v>
      </c>
      <c r="E1729" t="str">
        <f t="shared" ca="1" si="132"/>
        <v>RFR EUR</v>
      </c>
      <c r="F1729" t="str">
        <f t="shared" ca="1" si="133"/>
        <v>RFR GBP</v>
      </c>
      <c r="J1729" s="1"/>
      <c r="N1729" s="1"/>
      <c r="R1729" s="1"/>
      <c r="V1729" s="1"/>
      <c r="AB1729" s="1"/>
      <c r="AF1729" s="1"/>
      <c r="AJ1729" s="1"/>
      <c r="AN1729" s="1"/>
      <c r="AS1729" s="1"/>
      <c r="AX1729" s="1"/>
    </row>
    <row r="1730" spans="1:50" x14ac:dyDescent="0.3">
      <c r="A1730" s="19">
        <f t="shared" si="134"/>
        <v>48337</v>
      </c>
      <c r="B1730">
        <f t="shared" ca="1" si="130"/>
        <v>-6.0694444444444446</v>
      </c>
      <c r="C1730" t="str">
        <f ca="1">IF(currency="USD",'Future et co'!D1730,IF(currency="EUR",'Future et co'!E1730,IF(currency="GBP",'Future et co'!F1730,FALSE)))</f>
        <v>RFR USD</v>
      </c>
      <c r="D1730" t="str">
        <f t="shared" ca="1" si="131"/>
        <v>RFR USD</v>
      </c>
      <c r="E1730" t="str">
        <f t="shared" ca="1" si="132"/>
        <v>RFR EUR</v>
      </c>
      <c r="F1730" t="str">
        <f t="shared" ca="1" si="133"/>
        <v>RFR GBP</v>
      </c>
      <c r="J1730" s="1"/>
      <c r="N1730" s="1"/>
      <c r="R1730" s="1"/>
      <c r="V1730" s="1"/>
      <c r="AB1730" s="1"/>
      <c r="AF1730" s="1"/>
      <c r="AJ1730" s="1"/>
      <c r="AN1730" s="1"/>
      <c r="AS1730" s="1"/>
      <c r="AX1730" s="1"/>
    </row>
    <row r="1731" spans="1:50" x14ac:dyDescent="0.3">
      <c r="A1731" s="19">
        <f t="shared" si="134"/>
        <v>48338</v>
      </c>
      <c r="B1731">
        <f t="shared" ca="1" si="130"/>
        <v>-6.072222222222222</v>
      </c>
      <c r="C1731" t="str">
        <f ca="1">IF(currency="USD",'Future et co'!D1731,IF(currency="EUR",'Future et co'!E1731,IF(currency="GBP",'Future et co'!F1731,FALSE)))</f>
        <v>RFR USD</v>
      </c>
      <c r="D1731" t="str">
        <f t="shared" ca="1" si="131"/>
        <v>RFR USD</v>
      </c>
      <c r="E1731" t="str">
        <f t="shared" ca="1" si="132"/>
        <v>RFR EUR</v>
      </c>
      <c r="F1731" t="str">
        <f t="shared" ca="1" si="133"/>
        <v>RFR GBP</v>
      </c>
      <c r="J1731" s="1"/>
      <c r="N1731" s="1"/>
      <c r="R1731" s="1"/>
      <c r="V1731" s="1"/>
      <c r="AB1731" s="1"/>
      <c r="AF1731" s="1"/>
      <c r="AJ1731" s="1"/>
      <c r="AN1731" s="1"/>
      <c r="AS1731" s="1"/>
      <c r="AX1731" s="1"/>
    </row>
    <row r="1732" spans="1:50" x14ac:dyDescent="0.3">
      <c r="A1732" s="19">
        <f t="shared" si="134"/>
        <v>48339</v>
      </c>
      <c r="B1732">
        <f t="shared" ca="1" si="130"/>
        <v>-6.0750000000000002</v>
      </c>
      <c r="C1732" t="str">
        <f ca="1">IF(currency="USD",'Future et co'!D1732,IF(currency="EUR",'Future et co'!E1732,IF(currency="GBP",'Future et co'!F1732,FALSE)))</f>
        <v>RFR USD</v>
      </c>
      <c r="D1732" t="str">
        <f t="shared" ca="1" si="131"/>
        <v>RFR USD</v>
      </c>
      <c r="E1732" t="str">
        <f t="shared" ca="1" si="132"/>
        <v>RFR EUR</v>
      </c>
      <c r="F1732" t="str">
        <f t="shared" ca="1" si="133"/>
        <v>RFR GBP</v>
      </c>
      <c r="J1732" s="1"/>
      <c r="N1732" s="1"/>
      <c r="R1732" s="1"/>
      <c r="V1732" s="1"/>
      <c r="AB1732" s="1"/>
      <c r="AF1732" s="1"/>
      <c r="AJ1732" s="1"/>
      <c r="AN1732" s="1"/>
      <c r="AS1732" s="1"/>
      <c r="AX1732" s="1"/>
    </row>
    <row r="1733" spans="1:50" x14ac:dyDescent="0.3">
      <c r="A1733" s="19">
        <f t="shared" si="134"/>
        <v>48340</v>
      </c>
      <c r="B1733">
        <f t="shared" ca="1" si="130"/>
        <v>-6.0777777777777775</v>
      </c>
      <c r="C1733" t="str">
        <f ca="1">IF(currency="USD",'Future et co'!D1733,IF(currency="EUR",'Future et co'!E1733,IF(currency="GBP",'Future et co'!F1733,FALSE)))</f>
        <v>RFR USD</v>
      </c>
      <c r="D1733" t="str">
        <f t="shared" ca="1" si="131"/>
        <v>RFR USD</v>
      </c>
      <c r="E1733" t="str">
        <f t="shared" ca="1" si="132"/>
        <v>RFR EUR</v>
      </c>
      <c r="F1733" t="str">
        <f t="shared" ca="1" si="133"/>
        <v>RFR GBP</v>
      </c>
      <c r="J1733" s="1"/>
      <c r="N1733" s="1"/>
      <c r="R1733" s="1"/>
      <c r="V1733" s="1"/>
      <c r="AB1733" s="1"/>
      <c r="AF1733" s="1"/>
      <c r="AJ1733" s="1"/>
      <c r="AN1733" s="1"/>
      <c r="AS1733" s="1"/>
      <c r="AX1733" s="1"/>
    </row>
    <row r="1734" spans="1:50" x14ac:dyDescent="0.3">
      <c r="A1734" s="19">
        <f t="shared" si="134"/>
        <v>48341</v>
      </c>
      <c r="B1734">
        <f t="shared" ca="1" si="130"/>
        <v>-6.0805555555555557</v>
      </c>
      <c r="C1734" t="str">
        <f ca="1">IF(currency="USD",'Future et co'!D1734,IF(currency="EUR",'Future et co'!E1734,IF(currency="GBP",'Future et co'!F1734,FALSE)))</f>
        <v>RFR USD</v>
      </c>
      <c r="D1734" t="str">
        <f t="shared" ca="1" si="131"/>
        <v>RFR USD</v>
      </c>
      <c r="E1734" t="str">
        <f t="shared" ca="1" si="132"/>
        <v>RFR EUR</v>
      </c>
      <c r="F1734" t="str">
        <f t="shared" ca="1" si="133"/>
        <v>RFR GBP</v>
      </c>
      <c r="J1734" s="1"/>
      <c r="N1734" s="1"/>
      <c r="R1734" s="1"/>
      <c r="V1734" s="1"/>
      <c r="AB1734" s="1"/>
      <c r="AF1734" s="1"/>
      <c r="AJ1734" s="1"/>
      <c r="AN1734" s="1"/>
      <c r="AS1734" s="1"/>
      <c r="AX1734" s="1"/>
    </row>
    <row r="1735" spans="1:50" x14ac:dyDescent="0.3">
      <c r="A1735" s="19">
        <f t="shared" si="134"/>
        <v>48344</v>
      </c>
      <c r="B1735">
        <f t="shared" ca="1" si="130"/>
        <v>-6.0888888888888886</v>
      </c>
      <c r="C1735" t="str">
        <f ca="1">IF(currency="USD",'Future et co'!D1735,IF(currency="EUR",'Future et co'!E1735,IF(currency="GBP",'Future et co'!F1735,FALSE)))</f>
        <v>RFR USD</v>
      </c>
      <c r="D1735" t="str">
        <f t="shared" ca="1" si="131"/>
        <v>RFR USD</v>
      </c>
      <c r="E1735" t="str">
        <f t="shared" ca="1" si="132"/>
        <v>RFR EUR</v>
      </c>
      <c r="F1735" t="str">
        <f t="shared" ca="1" si="133"/>
        <v>RFR GBP</v>
      </c>
      <c r="J1735" s="1"/>
      <c r="N1735" s="1"/>
      <c r="R1735" s="1"/>
      <c r="V1735" s="1"/>
      <c r="AB1735" s="1"/>
      <c r="AF1735" s="1"/>
      <c r="AJ1735" s="1"/>
      <c r="AN1735" s="1"/>
      <c r="AS1735" s="1"/>
      <c r="AX1735" s="1"/>
    </row>
    <row r="1736" spans="1:50" x14ac:dyDescent="0.3">
      <c r="A1736" s="19">
        <f t="shared" si="134"/>
        <v>48345</v>
      </c>
      <c r="B1736">
        <f t="shared" ca="1" si="130"/>
        <v>-6.0916666666666668</v>
      </c>
      <c r="C1736" t="str">
        <f ca="1">IF(currency="USD",'Future et co'!D1736,IF(currency="EUR",'Future et co'!E1736,IF(currency="GBP",'Future et co'!F1736,FALSE)))</f>
        <v>RFR USD</v>
      </c>
      <c r="D1736" t="str">
        <f t="shared" ca="1" si="131"/>
        <v>RFR USD</v>
      </c>
      <c r="E1736" t="str">
        <f t="shared" ca="1" si="132"/>
        <v>RFR EUR</v>
      </c>
      <c r="F1736" t="str">
        <f t="shared" ca="1" si="133"/>
        <v>RFR GBP</v>
      </c>
      <c r="J1736" s="1"/>
      <c r="N1736" s="1"/>
      <c r="R1736" s="1"/>
      <c r="V1736" s="1"/>
      <c r="AB1736" s="1"/>
      <c r="AF1736" s="1"/>
      <c r="AJ1736" s="1"/>
      <c r="AN1736" s="1"/>
      <c r="AS1736" s="1"/>
      <c r="AX1736" s="1"/>
    </row>
    <row r="1737" spans="1:50" x14ac:dyDescent="0.3">
      <c r="A1737" s="19">
        <f t="shared" si="134"/>
        <v>48346</v>
      </c>
      <c r="B1737">
        <f t="shared" ca="1" si="130"/>
        <v>-6.0944444444444441</v>
      </c>
      <c r="C1737" t="str">
        <f ca="1">IF(currency="USD",'Future et co'!D1737,IF(currency="EUR",'Future et co'!E1737,IF(currency="GBP",'Future et co'!F1737,FALSE)))</f>
        <v>RFR USD</v>
      </c>
      <c r="D1737" t="str">
        <f t="shared" ca="1" si="131"/>
        <v>RFR USD</v>
      </c>
      <c r="E1737" t="str">
        <f t="shared" ca="1" si="132"/>
        <v>RFR EUR</v>
      </c>
      <c r="F1737" t="str">
        <f t="shared" ca="1" si="133"/>
        <v>RFR GBP</v>
      </c>
      <c r="J1737" s="1"/>
      <c r="N1737" s="1"/>
      <c r="R1737" s="1"/>
      <c r="V1737" s="1"/>
      <c r="AB1737" s="1"/>
      <c r="AF1737" s="1"/>
      <c r="AJ1737" s="1"/>
      <c r="AN1737" s="1"/>
      <c r="AS1737" s="1"/>
      <c r="AX1737" s="1"/>
    </row>
    <row r="1738" spans="1:50" x14ac:dyDescent="0.3">
      <c r="A1738" s="19">
        <f t="shared" si="134"/>
        <v>48347</v>
      </c>
      <c r="B1738">
        <f t="shared" ca="1" si="130"/>
        <v>-6.0972222222222223</v>
      </c>
      <c r="C1738" t="str">
        <f ca="1">IF(currency="USD",'Future et co'!D1738,IF(currency="EUR",'Future et co'!E1738,IF(currency="GBP",'Future et co'!F1738,FALSE)))</f>
        <v>RFR USD</v>
      </c>
      <c r="D1738" t="str">
        <f t="shared" ca="1" si="131"/>
        <v>RFR USD</v>
      </c>
      <c r="E1738" t="str">
        <f t="shared" ca="1" si="132"/>
        <v>RFR EUR</v>
      </c>
      <c r="F1738" t="str">
        <f t="shared" ca="1" si="133"/>
        <v>RFR GBP</v>
      </c>
      <c r="J1738" s="1"/>
      <c r="N1738" s="1"/>
      <c r="R1738" s="1"/>
      <c r="V1738" s="1"/>
      <c r="AB1738" s="1"/>
      <c r="AF1738" s="1"/>
      <c r="AJ1738" s="1"/>
      <c r="AN1738" s="1"/>
      <c r="AS1738" s="1"/>
      <c r="AX1738" s="1"/>
    </row>
    <row r="1739" spans="1:50" x14ac:dyDescent="0.3">
      <c r="A1739" s="19">
        <f t="shared" si="134"/>
        <v>48348</v>
      </c>
      <c r="B1739">
        <f t="shared" ref="B1739:B1802" ca="1" si="135">($B$7-A1739)/360</f>
        <v>-6.1</v>
      </c>
      <c r="C1739" t="str">
        <f ca="1">IF(currency="USD",'Future et co'!D1739,IF(currency="EUR",'Future et co'!E1739,IF(currency="GBP",'Future et co'!F1739,FALSE)))</f>
        <v>RFR USD</v>
      </c>
      <c r="D1739" t="str">
        <f t="shared" ref="D1739:D1802" ca="1" si="136">IFERROR(IF(B1739&lt;0.25,VLOOKUP(A1739,$J$11:$L$5325,3,FALSE),IF(AND(B1739&gt;=0.25,B1739&lt;0.5),VLOOKUP(A1739,$N$11:$P$5325,3,FALSE),IF(AND(B1739&gt;=0.5,B1739&lt;1),VLOOKUP(A1739,$R$11:$T$5325,3,FALSE),VLOOKUP(A1739,$V$11:$X$5010,3,FALSE)))),D1738)</f>
        <v>RFR USD</v>
      </c>
      <c r="E1739" t="str">
        <f t="shared" ref="E1739:E1802" ca="1" si="137">IFERROR(IF(B1739&lt;0.25,VLOOKUP(A1739,$AF$11:$AH$5325,3,FALSE),IF(AND(B1739&gt;=0.25,B1739&lt;0.5),VLOOKUP(A1739,$AJ$11:$AL$5325,3,FALSE),VLOOKUP(A1739,$AN$11:$AP$5325,3,FALSE))),E1738)</f>
        <v>RFR EUR</v>
      </c>
      <c r="F1739" t="str">
        <f t="shared" ref="F1739:F1802" ca="1" si="138">IFERROR(VLOOKUP(A1739,$AS$11:$AU$9999,3,FALSE),F1738)</f>
        <v>RFR GBP</v>
      </c>
      <c r="J1739" s="1"/>
      <c r="N1739" s="1"/>
      <c r="R1739" s="1"/>
      <c r="V1739" s="1"/>
      <c r="AB1739" s="1"/>
      <c r="AF1739" s="1"/>
      <c r="AJ1739" s="1"/>
      <c r="AN1739" s="1"/>
      <c r="AS1739" s="1"/>
      <c r="AX1739" s="1"/>
    </row>
    <row r="1740" spans="1:50" x14ac:dyDescent="0.3">
      <c r="A1740" s="19">
        <f t="shared" si="134"/>
        <v>48351</v>
      </c>
      <c r="B1740">
        <f t="shared" ca="1" si="135"/>
        <v>-6.1083333333333334</v>
      </c>
      <c r="C1740" t="str">
        <f ca="1">IF(currency="USD",'Future et co'!D1740,IF(currency="EUR",'Future et co'!E1740,IF(currency="GBP",'Future et co'!F1740,FALSE)))</f>
        <v>RFR USD</v>
      </c>
      <c r="D1740" t="str">
        <f t="shared" ca="1" si="136"/>
        <v>RFR USD</v>
      </c>
      <c r="E1740" t="str">
        <f t="shared" ca="1" si="137"/>
        <v>RFR EUR</v>
      </c>
      <c r="F1740" t="str">
        <f t="shared" ca="1" si="138"/>
        <v>RFR GBP</v>
      </c>
      <c r="J1740" s="1"/>
      <c r="N1740" s="1"/>
      <c r="R1740" s="1"/>
      <c r="V1740" s="1"/>
      <c r="AB1740" s="1"/>
      <c r="AF1740" s="1"/>
      <c r="AJ1740" s="1"/>
      <c r="AN1740" s="1"/>
      <c r="AS1740" s="1"/>
      <c r="AX1740" s="1"/>
    </row>
    <row r="1741" spans="1:50" x14ac:dyDescent="0.3">
      <c r="A1741" s="19">
        <f t="shared" ref="A1741:A1804" si="139">WORKDAY(A1740,1)</f>
        <v>48352</v>
      </c>
      <c r="B1741">
        <f t="shared" ca="1" si="135"/>
        <v>-6.1111111111111107</v>
      </c>
      <c r="C1741" t="str">
        <f ca="1">IF(currency="USD",'Future et co'!D1741,IF(currency="EUR",'Future et co'!E1741,IF(currency="GBP",'Future et co'!F1741,FALSE)))</f>
        <v>RFR USD</v>
      </c>
      <c r="D1741" t="str">
        <f t="shared" ca="1" si="136"/>
        <v>RFR USD</v>
      </c>
      <c r="E1741" t="str">
        <f t="shared" ca="1" si="137"/>
        <v>RFR EUR</v>
      </c>
      <c r="F1741" t="str">
        <f t="shared" ca="1" si="138"/>
        <v>RFR GBP</v>
      </c>
      <c r="J1741" s="1"/>
      <c r="N1741" s="1"/>
      <c r="R1741" s="1"/>
      <c r="V1741" s="1"/>
      <c r="AB1741" s="1"/>
      <c r="AF1741" s="1"/>
      <c r="AJ1741" s="1"/>
      <c r="AN1741" s="1"/>
      <c r="AS1741" s="1"/>
      <c r="AX1741" s="1"/>
    </row>
    <row r="1742" spans="1:50" x14ac:dyDescent="0.3">
      <c r="A1742" s="19">
        <f t="shared" si="139"/>
        <v>48353</v>
      </c>
      <c r="B1742">
        <f t="shared" ca="1" si="135"/>
        <v>-6.1138888888888889</v>
      </c>
      <c r="C1742" t="str">
        <f ca="1">IF(currency="USD",'Future et co'!D1742,IF(currency="EUR",'Future et co'!E1742,IF(currency="GBP",'Future et co'!F1742,FALSE)))</f>
        <v>RFR USD</v>
      </c>
      <c r="D1742" t="str">
        <f t="shared" ca="1" si="136"/>
        <v>RFR USD</v>
      </c>
      <c r="E1742" t="str">
        <f t="shared" ca="1" si="137"/>
        <v>RFR EUR</v>
      </c>
      <c r="F1742" t="str">
        <f t="shared" ca="1" si="138"/>
        <v>RFR GBP</v>
      </c>
      <c r="J1742" s="1"/>
      <c r="N1742" s="1"/>
      <c r="R1742" s="1"/>
      <c r="V1742" s="1"/>
      <c r="AB1742" s="1"/>
      <c r="AF1742" s="1"/>
      <c r="AJ1742" s="1"/>
      <c r="AN1742" s="1"/>
      <c r="AS1742" s="1"/>
      <c r="AX1742" s="1"/>
    </row>
    <row r="1743" spans="1:50" x14ac:dyDescent="0.3">
      <c r="A1743" s="19">
        <f t="shared" si="139"/>
        <v>48354</v>
      </c>
      <c r="B1743">
        <f t="shared" ca="1" si="135"/>
        <v>-6.1166666666666663</v>
      </c>
      <c r="C1743" t="str">
        <f ca="1">IF(currency="USD",'Future et co'!D1743,IF(currency="EUR",'Future et co'!E1743,IF(currency="GBP",'Future et co'!F1743,FALSE)))</f>
        <v>RFR USD</v>
      </c>
      <c r="D1743" t="str">
        <f t="shared" ca="1" si="136"/>
        <v>RFR USD</v>
      </c>
      <c r="E1743" t="str">
        <f t="shared" ca="1" si="137"/>
        <v>RFR EUR</v>
      </c>
      <c r="F1743" t="str">
        <f t="shared" ca="1" si="138"/>
        <v>RFR GBP</v>
      </c>
      <c r="J1743" s="1"/>
      <c r="N1743" s="1"/>
      <c r="R1743" s="1"/>
      <c r="V1743" s="1"/>
      <c r="AB1743" s="1"/>
      <c r="AF1743" s="1"/>
      <c r="AJ1743" s="1"/>
      <c r="AN1743" s="1"/>
      <c r="AS1743" s="1"/>
      <c r="AX1743" s="1"/>
    </row>
    <row r="1744" spans="1:50" x14ac:dyDescent="0.3">
      <c r="A1744" s="19">
        <f t="shared" si="139"/>
        <v>48355</v>
      </c>
      <c r="B1744">
        <f t="shared" ca="1" si="135"/>
        <v>-6.1194444444444445</v>
      </c>
      <c r="C1744" t="str">
        <f ca="1">IF(currency="USD",'Future et co'!D1744,IF(currency="EUR",'Future et co'!E1744,IF(currency="GBP",'Future et co'!F1744,FALSE)))</f>
        <v>RFR USD</v>
      </c>
      <c r="D1744" t="str">
        <f t="shared" ca="1" si="136"/>
        <v>RFR USD</v>
      </c>
      <c r="E1744" t="str">
        <f t="shared" ca="1" si="137"/>
        <v>RFR EUR</v>
      </c>
      <c r="F1744" t="str">
        <f t="shared" ca="1" si="138"/>
        <v>RFR GBP</v>
      </c>
      <c r="J1744" s="1"/>
      <c r="N1744" s="1"/>
      <c r="R1744" s="1"/>
      <c r="V1744" s="1"/>
      <c r="AB1744" s="1"/>
      <c r="AF1744" s="1"/>
      <c r="AJ1744" s="1"/>
      <c r="AN1744" s="1"/>
      <c r="AS1744" s="1"/>
      <c r="AX1744" s="1"/>
    </row>
    <row r="1745" spans="1:50" x14ac:dyDescent="0.3">
      <c r="A1745" s="19">
        <f t="shared" si="139"/>
        <v>48358</v>
      </c>
      <c r="B1745">
        <f t="shared" ca="1" si="135"/>
        <v>-6.1277777777777782</v>
      </c>
      <c r="C1745" t="str">
        <f ca="1">IF(currency="USD",'Future et co'!D1745,IF(currency="EUR",'Future et co'!E1745,IF(currency="GBP",'Future et co'!F1745,FALSE)))</f>
        <v>RFR USD</v>
      </c>
      <c r="D1745" t="str">
        <f t="shared" ca="1" si="136"/>
        <v>RFR USD</v>
      </c>
      <c r="E1745" t="str">
        <f t="shared" ca="1" si="137"/>
        <v>RFR EUR</v>
      </c>
      <c r="F1745" t="str">
        <f t="shared" ca="1" si="138"/>
        <v>RFR GBP</v>
      </c>
      <c r="J1745" s="1"/>
      <c r="N1745" s="1"/>
      <c r="R1745" s="1"/>
      <c r="V1745" s="1"/>
      <c r="AB1745" s="1"/>
      <c r="AF1745" s="1"/>
      <c r="AJ1745" s="1"/>
      <c r="AN1745" s="1"/>
      <c r="AS1745" s="1"/>
      <c r="AX1745" s="1"/>
    </row>
    <row r="1746" spans="1:50" x14ac:dyDescent="0.3">
      <c r="A1746" s="19">
        <f t="shared" si="139"/>
        <v>48359</v>
      </c>
      <c r="B1746">
        <f t="shared" ca="1" si="135"/>
        <v>-6.1305555555555555</v>
      </c>
      <c r="C1746" t="str">
        <f ca="1">IF(currency="USD",'Future et co'!D1746,IF(currency="EUR",'Future et co'!E1746,IF(currency="GBP",'Future et co'!F1746,FALSE)))</f>
        <v>RFR USD</v>
      </c>
      <c r="D1746" t="str">
        <f t="shared" ca="1" si="136"/>
        <v>RFR USD</v>
      </c>
      <c r="E1746" t="str">
        <f t="shared" ca="1" si="137"/>
        <v>RFR EUR</v>
      </c>
      <c r="F1746" t="str">
        <f t="shared" ca="1" si="138"/>
        <v>RFR GBP</v>
      </c>
      <c r="J1746" s="1"/>
      <c r="N1746" s="1"/>
      <c r="R1746" s="1"/>
      <c r="V1746" s="1"/>
      <c r="AB1746" s="1"/>
      <c r="AF1746" s="1"/>
      <c r="AJ1746" s="1"/>
      <c r="AN1746" s="1"/>
      <c r="AS1746" s="1"/>
      <c r="AX1746" s="1"/>
    </row>
    <row r="1747" spans="1:50" x14ac:dyDescent="0.3">
      <c r="A1747" s="19">
        <f t="shared" si="139"/>
        <v>48360</v>
      </c>
      <c r="B1747">
        <f t="shared" ca="1" si="135"/>
        <v>-6.1333333333333337</v>
      </c>
      <c r="C1747" t="str">
        <f ca="1">IF(currency="USD",'Future et co'!D1747,IF(currency="EUR",'Future et co'!E1747,IF(currency="GBP",'Future et co'!F1747,FALSE)))</f>
        <v>RFR USD</v>
      </c>
      <c r="D1747" t="str">
        <f t="shared" ca="1" si="136"/>
        <v>RFR USD</v>
      </c>
      <c r="E1747" t="str">
        <f t="shared" ca="1" si="137"/>
        <v>RFR EUR</v>
      </c>
      <c r="F1747" t="str">
        <f t="shared" ca="1" si="138"/>
        <v>RFR GBP</v>
      </c>
      <c r="J1747" s="1"/>
      <c r="N1747" s="1"/>
      <c r="R1747" s="1"/>
      <c r="V1747" s="1"/>
      <c r="AB1747" s="1"/>
      <c r="AF1747" s="1"/>
      <c r="AJ1747" s="1"/>
      <c r="AN1747" s="1"/>
      <c r="AS1747" s="1"/>
      <c r="AX1747" s="1"/>
    </row>
    <row r="1748" spans="1:50" x14ac:dyDescent="0.3">
      <c r="A1748" s="19">
        <f t="shared" si="139"/>
        <v>48361</v>
      </c>
      <c r="B1748">
        <f t="shared" ca="1" si="135"/>
        <v>-6.1361111111111111</v>
      </c>
      <c r="C1748" t="str">
        <f ca="1">IF(currency="USD",'Future et co'!D1748,IF(currency="EUR",'Future et co'!E1748,IF(currency="GBP",'Future et co'!F1748,FALSE)))</f>
        <v>RFR USD</v>
      </c>
      <c r="D1748" t="str">
        <f t="shared" ca="1" si="136"/>
        <v>RFR USD</v>
      </c>
      <c r="E1748" t="str">
        <f t="shared" ca="1" si="137"/>
        <v>RFR EUR</v>
      </c>
      <c r="F1748" t="str">
        <f t="shared" ca="1" si="138"/>
        <v>RFR GBP</v>
      </c>
      <c r="J1748" s="1"/>
      <c r="N1748" s="1"/>
      <c r="R1748" s="1"/>
      <c r="V1748" s="1"/>
      <c r="AB1748" s="1"/>
      <c r="AF1748" s="1"/>
      <c r="AJ1748" s="1"/>
      <c r="AN1748" s="1"/>
      <c r="AS1748" s="1"/>
      <c r="AX1748" s="1"/>
    </row>
    <row r="1749" spans="1:50" x14ac:dyDescent="0.3">
      <c r="A1749" s="19">
        <f t="shared" si="139"/>
        <v>48362</v>
      </c>
      <c r="B1749">
        <f t="shared" ca="1" si="135"/>
        <v>-6.1388888888888893</v>
      </c>
      <c r="C1749" t="str">
        <f ca="1">IF(currency="USD",'Future et co'!D1749,IF(currency="EUR",'Future et co'!E1749,IF(currency="GBP",'Future et co'!F1749,FALSE)))</f>
        <v>RFR USD</v>
      </c>
      <c r="D1749" t="str">
        <f t="shared" ca="1" si="136"/>
        <v>RFR USD</v>
      </c>
      <c r="E1749" t="str">
        <f t="shared" ca="1" si="137"/>
        <v>RFR EUR</v>
      </c>
      <c r="F1749" t="str">
        <f t="shared" ca="1" si="138"/>
        <v>RFR GBP</v>
      </c>
      <c r="J1749" s="1"/>
      <c r="N1749" s="1"/>
      <c r="R1749" s="1"/>
      <c r="V1749" s="1"/>
      <c r="AB1749" s="1"/>
      <c r="AF1749" s="1"/>
      <c r="AJ1749" s="1"/>
      <c r="AN1749" s="1"/>
      <c r="AS1749" s="1"/>
      <c r="AX1749" s="1"/>
    </row>
    <row r="1750" spans="1:50" x14ac:dyDescent="0.3">
      <c r="A1750" s="19">
        <f t="shared" si="139"/>
        <v>48365</v>
      </c>
      <c r="B1750">
        <f t="shared" ca="1" si="135"/>
        <v>-6.1472222222222221</v>
      </c>
      <c r="C1750" t="str">
        <f ca="1">IF(currency="USD",'Future et co'!D1750,IF(currency="EUR",'Future et co'!E1750,IF(currency="GBP",'Future et co'!F1750,FALSE)))</f>
        <v>RFR USD</v>
      </c>
      <c r="D1750" t="str">
        <f t="shared" ca="1" si="136"/>
        <v>RFR USD</v>
      </c>
      <c r="E1750" t="str">
        <f t="shared" ca="1" si="137"/>
        <v>RFR EUR</v>
      </c>
      <c r="F1750" t="str">
        <f t="shared" ca="1" si="138"/>
        <v>RFR GBP</v>
      </c>
      <c r="J1750" s="1"/>
      <c r="N1750" s="1"/>
      <c r="R1750" s="1"/>
      <c r="V1750" s="1"/>
      <c r="AB1750" s="1"/>
      <c r="AF1750" s="1"/>
      <c r="AJ1750" s="1"/>
      <c r="AN1750" s="1"/>
      <c r="AS1750" s="1"/>
      <c r="AX1750" s="1"/>
    </row>
    <row r="1751" spans="1:50" x14ac:dyDescent="0.3">
      <c r="A1751" s="19">
        <f t="shared" si="139"/>
        <v>48366</v>
      </c>
      <c r="B1751">
        <f t="shared" ca="1" si="135"/>
        <v>-6.15</v>
      </c>
      <c r="C1751" t="str">
        <f ca="1">IF(currency="USD",'Future et co'!D1751,IF(currency="EUR",'Future et co'!E1751,IF(currency="GBP",'Future et co'!F1751,FALSE)))</f>
        <v>RFR USD</v>
      </c>
      <c r="D1751" t="str">
        <f t="shared" ca="1" si="136"/>
        <v>RFR USD</v>
      </c>
      <c r="E1751" t="str">
        <f t="shared" ca="1" si="137"/>
        <v>RFR EUR</v>
      </c>
      <c r="F1751" t="str">
        <f t="shared" ca="1" si="138"/>
        <v>RFR GBP</v>
      </c>
      <c r="J1751" s="1"/>
      <c r="N1751" s="1"/>
      <c r="R1751" s="1"/>
      <c r="V1751" s="1"/>
      <c r="AB1751" s="1"/>
      <c r="AF1751" s="1"/>
      <c r="AJ1751" s="1"/>
      <c r="AN1751" s="1"/>
      <c r="AS1751" s="1"/>
      <c r="AX1751" s="1"/>
    </row>
    <row r="1752" spans="1:50" x14ac:dyDescent="0.3">
      <c r="A1752" s="19">
        <f t="shared" si="139"/>
        <v>48367</v>
      </c>
      <c r="B1752">
        <f t="shared" ca="1" si="135"/>
        <v>-6.1527777777777777</v>
      </c>
      <c r="C1752" t="str">
        <f ca="1">IF(currency="USD",'Future et co'!D1752,IF(currency="EUR",'Future et co'!E1752,IF(currency="GBP",'Future et co'!F1752,FALSE)))</f>
        <v>RFR USD</v>
      </c>
      <c r="D1752" t="str">
        <f t="shared" ca="1" si="136"/>
        <v>RFR USD</v>
      </c>
      <c r="E1752" t="str">
        <f t="shared" ca="1" si="137"/>
        <v>RFR EUR</v>
      </c>
      <c r="F1752" t="str">
        <f t="shared" ca="1" si="138"/>
        <v>RFR GBP</v>
      </c>
      <c r="J1752" s="1"/>
      <c r="N1752" s="1"/>
      <c r="R1752" s="1"/>
      <c r="V1752" s="1"/>
      <c r="AB1752" s="1"/>
      <c r="AF1752" s="1"/>
      <c r="AJ1752" s="1"/>
      <c r="AN1752" s="1"/>
      <c r="AS1752" s="1"/>
      <c r="AX1752" s="1"/>
    </row>
    <row r="1753" spans="1:50" x14ac:dyDescent="0.3">
      <c r="A1753" s="19">
        <f t="shared" si="139"/>
        <v>48368</v>
      </c>
      <c r="B1753">
        <f t="shared" ca="1" si="135"/>
        <v>-6.1555555555555559</v>
      </c>
      <c r="C1753" t="str">
        <f ca="1">IF(currency="USD",'Future et co'!D1753,IF(currency="EUR",'Future et co'!E1753,IF(currency="GBP",'Future et co'!F1753,FALSE)))</f>
        <v>RFR USD</v>
      </c>
      <c r="D1753" t="str">
        <f t="shared" ca="1" si="136"/>
        <v>RFR USD</v>
      </c>
      <c r="E1753" t="str">
        <f t="shared" ca="1" si="137"/>
        <v>RFR EUR</v>
      </c>
      <c r="F1753" t="str">
        <f t="shared" ca="1" si="138"/>
        <v>RFR GBP</v>
      </c>
      <c r="J1753" s="1"/>
      <c r="N1753" s="1"/>
      <c r="R1753" s="1"/>
      <c r="V1753" s="1"/>
      <c r="AB1753" s="1"/>
      <c r="AF1753" s="1"/>
      <c r="AJ1753" s="1"/>
      <c r="AN1753" s="1"/>
      <c r="AS1753" s="1"/>
      <c r="AX1753" s="1"/>
    </row>
    <row r="1754" spans="1:50" x14ac:dyDescent="0.3">
      <c r="A1754" s="19">
        <f t="shared" si="139"/>
        <v>48369</v>
      </c>
      <c r="B1754">
        <f t="shared" ca="1" si="135"/>
        <v>-6.1583333333333332</v>
      </c>
      <c r="C1754" t="str">
        <f ca="1">IF(currency="USD",'Future et co'!D1754,IF(currency="EUR",'Future et co'!E1754,IF(currency="GBP",'Future et co'!F1754,FALSE)))</f>
        <v>RFR USD</v>
      </c>
      <c r="D1754" t="str">
        <f t="shared" ca="1" si="136"/>
        <v>RFR USD</v>
      </c>
      <c r="E1754" t="str">
        <f t="shared" ca="1" si="137"/>
        <v>RFR EUR</v>
      </c>
      <c r="F1754" t="str">
        <f t="shared" ca="1" si="138"/>
        <v>RFR GBP</v>
      </c>
      <c r="J1754" s="1"/>
      <c r="N1754" s="1"/>
      <c r="R1754" s="1"/>
      <c r="V1754" s="1"/>
      <c r="AB1754" s="1"/>
      <c r="AF1754" s="1"/>
      <c r="AJ1754" s="1"/>
      <c r="AN1754" s="1"/>
      <c r="AS1754" s="1"/>
      <c r="AX1754" s="1"/>
    </row>
    <row r="1755" spans="1:50" x14ac:dyDescent="0.3">
      <c r="A1755" s="19">
        <f t="shared" si="139"/>
        <v>48372</v>
      </c>
      <c r="B1755">
        <f t="shared" ca="1" si="135"/>
        <v>-6.166666666666667</v>
      </c>
      <c r="C1755" t="str">
        <f ca="1">IF(currency="USD",'Future et co'!D1755,IF(currency="EUR",'Future et co'!E1755,IF(currency="GBP",'Future et co'!F1755,FALSE)))</f>
        <v>RFR USD</v>
      </c>
      <c r="D1755" t="str">
        <f t="shared" ca="1" si="136"/>
        <v>RFR USD</v>
      </c>
      <c r="E1755" t="str">
        <f t="shared" ca="1" si="137"/>
        <v>RFR EUR</v>
      </c>
      <c r="F1755" t="str">
        <f t="shared" ca="1" si="138"/>
        <v>RFR GBP</v>
      </c>
      <c r="J1755" s="1"/>
      <c r="N1755" s="1"/>
      <c r="R1755" s="1"/>
      <c r="V1755" s="1"/>
      <c r="AB1755" s="1"/>
      <c r="AF1755" s="1"/>
      <c r="AJ1755" s="1"/>
      <c r="AN1755" s="1"/>
      <c r="AS1755" s="1"/>
      <c r="AX1755" s="1"/>
    </row>
    <row r="1756" spans="1:50" x14ac:dyDescent="0.3">
      <c r="A1756" s="19">
        <f t="shared" si="139"/>
        <v>48373</v>
      </c>
      <c r="B1756">
        <f t="shared" ca="1" si="135"/>
        <v>-6.1694444444444443</v>
      </c>
      <c r="C1756" t="str">
        <f ca="1">IF(currency="USD",'Future et co'!D1756,IF(currency="EUR",'Future et co'!E1756,IF(currency="GBP",'Future et co'!F1756,FALSE)))</f>
        <v>RFR USD</v>
      </c>
      <c r="D1756" t="str">
        <f t="shared" ca="1" si="136"/>
        <v>RFR USD</v>
      </c>
      <c r="E1756" t="str">
        <f t="shared" ca="1" si="137"/>
        <v>RFR EUR</v>
      </c>
      <c r="F1756" t="str">
        <f t="shared" ca="1" si="138"/>
        <v>RFR GBP</v>
      </c>
      <c r="J1756" s="1"/>
      <c r="N1756" s="1"/>
      <c r="R1756" s="1"/>
      <c r="V1756" s="1"/>
      <c r="AB1756" s="1"/>
      <c r="AF1756" s="1"/>
      <c r="AJ1756" s="1"/>
      <c r="AN1756" s="1"/>
      <c r="AS1756" s="1"/>
      <c r="AX1756" s="1"/>
    </row>
    <row r="1757" spans="1:50" x14ac:dyDescent="0.3">
      <c r="A1757" s="19">
        <f t="shared" si="139"/>
        <v>48374</v>
      </c>
      <c r="B1757">
        <f t="shared" ca="1" si="135"/>
        <v>-6.1722222222222225</v>
      </c>
      <c r="C1757" t="str">
        <f ca="1">IF(currency="USD",'Future et co'!D1757,IF(currency="EUR",'Future et co'!E1757,IF(currency="GBP",'Future et co'!F1757,FALSE)))</f>
        <v>RFR USD</v>
      </c>
      <c r="D1757" t="str">
        <f t="shared" ca="1" si="136"/>
        <v>RFR USD</v>
      </c>
      <c r="E1757" t="str">
        <f t="shared" ca="1" si="137"/>
        <v>RFR EUR</v>
      </c>
      <c r="F1757" t="str">
        <f t="shared" ca="1" si="138"/>
        <v>RFR GBP</v>
      </c>
      <c r="J1757" s="1"/>
      <c r="N1757" s="1"/>
      <c r="R1757" s="1"/>
      <c r="V1757" s="1"/>
      <c r="AB1757" s="1"/>
      <c r="AF1757" s="1"/>
      <c r="AJ1757" s="1"/>
      <c r="AN1757" s="1"/>
      <c r="AS1757" s="1"/>
      <c r="AX1757" s="1"/>
    </row>
    <row r="1758" spans="1:50" x14ac:dyDescent="0.3">
      <c r="A1758" s="19">
        <f t="shared" si="139"/>
        <v>48375</v>
      </c>
      <c r="B1758">
        <f t="shared" ca="1" si="135"/>
        <v>-6.1749999999999998</v>
      </c>
      <c r="C1758" t="str">
        <f ca="1">IF(currency="USD",'Future et co'!D1758,IF(currency="EUR",'Future et co'!E1758,IF(currency="GBP",'Future et co'!F1758,FALSE)))</f>
        <v>RFR USD</v>
      </c>
      <c r="D1758" t="str">
        <f t="shared" ca="1" si="136"/>
        <v>RFR USD</v>
      </c>
      <c r="E1758" t="str">
        <f t="shared" ca="1" si="137"/>
        <v>RFR EUR</v>
      </c>
      <c r="F1758" t="str">
        <f t="shared" ca="1" si="138"/>
        <v>RFR GBP</v>
      </c>
      <c r="J1758" s="1"/>
      <c r="N1758" s="1"/>
      <c r="R1758" s="1"/>
      <c r="V1758" s="1"/>
      <c r="AB1758" s="1"/>
      <c r="AF1758" s="1"/>
      <c r="AJ1758" s="1"/>
      <c r="AN1758" s="1"/>
      <c r="AS1758" s="1"/>
      <c r="AX1758" s="1"/>
    </row>
    <row r="1759" spans="1:50" x14ac:dyDescent="0.3">
      <c r="A1759" s="19">
        <f t="shared" si="139"/>
        <v>48376</v>
      </c>
      <c r="B1759">
        <f t="shared" ca="1" si="135"/>
        <v>-6.177777777777778</v>
      </c>
      <c r="C1759" t="str">
        <f ca="1">IF(currency="USD",'Future et co'!D1759,IF(currency="EUR",'Future et co'!E1759,IF(currency="GBP",'Future et co'!F1759,FALSE)))</f>
        <v>RFR USD</v>
      </c>
      <c r="D1759" t="str">
        <f t="shared" ca="1" si="136"/>
        <v>RFR USD</v>
      </c>
      <c r="E1759" t="str">
        <f t="shared" ca="1" si="137"/>
        <v>RFR EUR</v>
      </c>
      <c r="F1759" t="str">
        <f t="shared" ca="1" si="138"/>
        <v>RFR GBP</v>
      </c>
      <c r="J1759" s="1"/>
      <c r="N1759" s="1"/>
      <c r="R1759" s="1"/>
      <c r="V1759" s="1"/>
      <c r="AB1759" s="1"/>
      <c r="AF1759" s="1"/>
      <c r="AJ1759" s="1"/>
      <c r="AN1759" s="1"/>
      <c r="AS1759" s="1"/>
      <c r="AX1759" s="1"/>
    </row>
    <row r="1760" spans="1:50" x14ac:dyDescent="0.3">
      <c r="A1760" s="19">
        <f t="shared" si="139"/>
        <v>48379</v>
      </c>
      <c r="B1760">
        <f t="shared" ca="1" si="135"/>
        <v>-6.1861111111111109</v>
      </c>
      <c r="C1760" t="str">
        <f ca="1">IF(currency="USD",'Future et co'!D1760,IF(currency="EUR",'Future et co'!E1760,IF(currency="GBP",'Future et co'!F1760,FALSE)))</f>
        <v>RFR USD</v>
      </c>
      <c r="D1760" t="str">
        <f t="shared" ca="1" si="136"/>
        <v>RFR USD</v>
      </c>
      <c r="E1760" t="str">
        <f t="shared" ca="1" si="137"/>
        <v>RFR EUR</v>
      </c>
      <c r="F1760" t="str">
        <f t="shared" ca="1" si="138"/>
        <v>RFR GBP</v>
      </c>
      <c r="J1760" s="1"/>
      <c r="N1760" s="1"/>
      <c r="R1760" s="1"/>
      <c r="V1760" s="1"/>
      <c r="AB1760" s="1"/>
      <c r="AF1760" s="1"/>
      <c r="AJ1760" s="1"/>
      <c r="AN1760" s="1"/>
      <c r="AS1760" s="1"/>
      <c r="AX1760" s="1"/>
    </row>
    <row r="1761" spans="1:50" x14ac:dyDescent="0.3">
      <c r="A1761" s="19">
        <f t="shared" si="139"/>
        <v>48380</v>
      </c>
      <c r="B1761">
        <f t="shared" ca="1" si="135"/>
        <v>-6.1888888888888891</v>
      </c>
      <c r="C1761" t="str">
        <f ca="1">IF(currency="USD",'Future et co'!D1761,IF(currency="EUR",'Future et co'!E1761,IF(currency="GBP",'Future et co'!F1761,FALSE)))</f>
        <v>RFR USD</v>
      </c>
      <c r="D1761" t="str">
        <f t="shared" ca="1" si="136"/>
        <v>RFR USD</v>
      </c>
      <c r="E1761" t="str">
        <f t="shared" ca="1" si="137"/>
        <v>RFR EUR</v>
      </c>
      <c r="F1761" t="str">
        <f t="shared" ca="1" si="138"/>
        <v>RFR GBP</v>
      </c>
      <c r="J1761" s="1"/>
      <c r="N1761" s="1"/>
      <c r="R1761" s="1"/>
      <c r="V1761" s="1"/>
      <c r="AB1761" s="1"/>
      <c r="AF1761" s="1"/>
      <c r="AJ1761" s="1"/>
      <c r="AN1761" s="1"/>
      <c r="AS1761" s="1"/>
      <c r="AX1761" s="1"/>
    </row>
    <row r="1762" spans="1:50" x14ac:dyDescent="0.3">
      <c r="A1762" s="19">
        <f t="shared" si="139"/>
        <v>48381</v>
      </c>
      <c r="B1762">
        <f t="shared" ca="1" si="135"/>
        <v>-6.1916666666666664</v>
      </c>
      <c r="C1762" t="str">
        <f ca="1">IF(currency="USD",'Future et co'!D1762,IF(currency="EUR",'Future et co'!E1762,IF(currency="GBP",'Future et co'!F1762,FALSE)))</f>
        <v>RFR USD</v>
      </c>
      <c r="D1762" t="str">
        <f t="shared" ca="1" si="136"/>
        <v>RFR USD</v>
      </c>
      <c r="E1762" t="str">
        <f t="shared" ca="1" si="137"/>
        <v>RFR EUR</v>
      </c>
      <c r="F1762" t="str">
        <f t="shared" ca="1" si="138"/>
        <v>RFR GBP</v>
      </c>
      <c r="J1762" s="1"/>
      <c r="N1762" s="1"/>
      <c r="R1762" s="1"/>
      <c r="V1762" s="1"/>
      <c r="AB1762" s="1"/>
      <c r="AF1762" s="1"/>
      <c r="AJ1762" s="1"/>
      <c r="AN1762" s="1"/>
      <c r="AS1762" s="1"/>
      <c r="AX1762" s="1"/>
    </row>
    <row r="1763" spans="1:50" x14ac:dyDescent="0.3">
      <c r="A1763" s="19">
        <f t="shared" si="139"/>
        <v>48382</v>
      </c>
      <c r="B1763">
        <f t="shared" ca="1" si="135"/>
        <v>-6.1944444444444446</v>
      </c>
      <c r="C1763" t="str">
        <f ca="1">IF(currency="USD",'Future et co'!D1763,IF(currency="EUR",'Future et co'!E1763,IF(currency="GBP",'Future et co'!F1763,FALSE)))</f>
        <v>RFR USD</v>
      </c>
      <c r="D1763" t="str">
        <f t="shared" ca="1" si="136"/>
        <v>RFR USD</v>
      </c>
      <c r="E1763" t="str">
        <f t="shared" ca="1" si="137"/>
        <v>RFR EUR</v>
      </c>
      <c r="F1763" t="str">
        <f t="shared" ca="1" si="138"/>
        <v>RFR GBP</v>
      </c>
      <c r="J1763" s="1"/>
      <c r="N1763" s="1"/>
      <c r="R1763" s="1"/>
      <c r="V1763" s="1"/>
      <c r="AB1763" s="1"/>
      <c r="AF1763" s="1"/>
      <c r="AJ1763" s="1"/>
      <c r="AN1763" s="1"/>
      <c r="AS1763" s="1"/>
      <c r="AX1763" s="1"/>
    </row>
    <row r="1764" spans="1:50" x14ac:dyDescent="0.3">
      <c r="A1764" s="19">
        <f t="shared" si="139"/>
        <v>48383</v>
      </c>
      <c r="B1764">
        <f t="shared" ca="1" si="135"/>
        <v>-6.197222222222222</v>
      </c>
      <c r="C1764" t="str">
        <f ca="1">IF(currency="USD",'Future et co'!D1764,IF(currency="EUR",'Future et co'!E1764,IF(currency="GBP",'Future et co'!F1764,FALSE)))</f>
        <v>RFR USD</v>
      </c>
      <c r="D1764" t="str">
        <f t="shared" ca="1" si="136"/>
        <v>RFR USD</v>
      </c>
      <c r="E1764" t="str">
        <f t="shared" ca="1" si="137"/>
        <v>RFR EUR</v>
      </c>
      <c r="F1764" t="str">
        <f t="shared" ca="1" si="138"/>
        <v>RFR GBP</v>
      </c>
      <c r="J1764" s="1"/>
      <c r="N1764" s="1"/>
      <c r="R1764" s="1"/>
      <c r="V1764" s="1"/>
      <c r="AB1764" s="1"/>
      <c r="AF1764" s="1"/>
      <c r="AJ1764" s="1"/>
      <c r="AN1764" s="1"/>
      <c r="AS1764" s="1"/>
      <c r="AX1764" s="1"/>
    </row>
    <row r="1765" spans="1:50" x14ac:dyDescent="0.3">
      <c r="A1765" s="19">
        <f t="shared" si="139"/>
        <v>48386</v>
      </c>
      <c r="B1765">
        <f t="shared" ca="1" si="135"/>
        <v>-6.2055555555555557</v>
      </c>
      <c r="C1765" t="str">
        <f ca="1">IF(currency="USD",'Future et co'!D1765,IF(currency="EUR",'Future et co'!E1765,IF(currency="GBP",'Future et co'!F1765,FALSE)))</f>
        <v>RFR USD</v>
      </c>
      <c r="D1765" t="str">
        <f t="shared" ca="1" si="136"/>
        <v>RFR USD</v>
      </c>
      <c r="E1765" t="str">
        <f t="shared" ca="1" si="137"/>
        <v>RFR EUR</v>
      </c>
      <c r="F1765" t="str">
        <f t="shared" ca="1" si="138"/>
        <v>RFR GBP</v>
      </c>
      <c r="J1765" s="1"/>
      <c r="N1765" s="1"/>
      <c r="R1765" s="1"/>
      <c r="V1765" s="1"/>
      <c r="AB1765" s="1"/>
      <c r="AF1765" s="1"/>
      <c r="AJ1765" s="1"/>
      <c r="AN1765" s="1"/>
      <c r="AS1765" s="1"/>
      <c r="AX1765" s="1"/>
    </row>
    <row r="1766" spans="1:50" x14ac:dyDescent="0.3">
      <c r="A1766" s="19">
        <f t="shared" si="139"/>
        <v>48387</v>
      </c>
      <c r="B1766">
        <f t="shared" ca="1" si="135"/>
        <v>-6.208333333333333</v>
      </c>
      <c r="C1766" t="str">
        <f ca="1">IF(currency="USD",'Future et co'!D1766,IF(currency="EUR",'Future et co'!E1766,IF(currency="GBP",'Future et co'!F1766,FALSE)))</f>
        <v>RFR USD</v>
      </c>
      <c r="D1766" t="str">
        <f t="shared" ca="1" si="136"/>
        <v>RFR USD</v>
      </c>
      <c r="E1766" t="str">
        <f t="shared" ca="1" si="137"/>
        <v>RFR EUR</v>
      </c>
      <c r="F1766" t="str">
        <f t="shared" ca="1" si="138"/>
        <v>RFR GBP</v>
      </c>
      <c r="J1766" s="1"/>
      <c r="N1766" s="1"/>
      <c r="R1766" s="1"/>
      <c r="V1766" s="1"/>
      <c r="AB1766" s="1"/>
      <c r="AF1766" s="1"/>
      <c r="AJ1766" s="1"/>
      <c r="AN1766" s="1"/>
      <c r="AS1766" s="1"/>
      <c r="AX1766" s="1"/>
    </row>
    <row r="1767" spans="1:50" x14ac:dyDescent="0.3">
      <c r="A1767" s="19">
        <f t="shared" si="139"/>
        <v>48388</v>
      </c>
      <c r="B1767">
        <f t="shared" ca="1" si="135"/>
        <v>-6.2111111111111112</v>
      </c>
      <c r="C1767" t="str">
        <f ca="1">IF(currency="USD",'Future et co'!D1767,IF(currency="EUR",'Future et co'!E1767,IF(currency="GBP",'Future et co'!F1767,FALSE)))</f>
        <v>RFR USD</v>
      </c>
      <c r="D1767" t="str">
        <f t="shared" ca="1" si="136"/>
        <v>RFR USD</v>
      </c>
      <c r="E1767" t="str">
        <f t="shared" ca="1" si="137"/>
        <v>RFR EUR</v>
      </c>
      <c r="F1767" t="str">
        <f t="shared" ca="1" si="138"/>
        <v>RFR GBP</v>
      </c>
      <c r="J1767" s="1"/>
      <c r="N1767" s="1"/>
      <c r="R1767" s="1"/>
      <c r="V1767" s="1"/>
      <c r="AB1767" s="1"/>
      <c r="AF1767" s="1"/>
      <c r="AJ1767" s="1"/>
      <c r="AN1767" s="1"/>
      <c r="AS1767" s="1"/>
      <c r="AX1767" s="1"/>
    </row>
    <row r="1768" spans="1:50" x14ac:dyDescent="0.3">
      <c r="A1768" s="19">
        <f t="shared" si="139"/>
        <v>48389</v>
      </c>
      <c r="B1768">
        <f t="shared" ca="1" si="135"/>
        <v>-6.2138888888888886</v>
      </c>
      <c r="C1768" t="str">
        <f ca="1">IF(currency="USD",'Future et co'!D1768,IF(currency="EUR",'Future et co'!E1768,IF(currency="GBP",'Future et co'!F1768,FALSE)))</f>
        <v>RFR USD</v>
      </c>
      <c r="D1768" t="str">
        <f t="shared" ca="1" si="136"/>
        <v>RFR USD</v>
      </c>
      <c r="E1768" t="str">
        <f t="shared" ca="1" si="137"/>
        <v>RFR EUR</v>
      </c>
      <c r="F1768" t="str">
        <f t="shared" ca="1" si="138"/>
        <v>RFR GBP</v>
      </c>
      <c r="J1768" s="1"/>
      <c r="N1768" s="1"/>
      <c r="R1768" s="1"/>
      <c r="V1768" s="1"/>
      <c r="AB1768" s="1"/>
      <c r="AF1768" s="1"/>
      <c r="AJ1768" s="1"/>
      <c r="AN1768" s="1"/>
      <c r="AS1768" s="1"/>
      <c r="AX1768" s="1"/>
    </row>
    <row r="1769" spans="1:50" x14ac:dyDescent="0.3">
      <c r="A1769" s="19">
        <f t="shared" si="139"/>
        <v>48390</v>
      </c>
      <c r="B1769">
        <f t="shared" ca="1" si="135"/>
        <v>-6.2166666666666668</v>
      </c>
      <c r="C1769" t="str">
        <f ca="1">IF(currency="USD",'Future et co'!D1769,IF(currency="EUR",'Future et co'!E1769,IF(currency="GBP",'Future et co'!F1769,FALSE)))</f>
        <v>RFR USD</v>
      </c>
      <c r="D1769" t="str">
        <f t="shared" ca="1" si="136"/>
        <v>RFR USD</v>
      </c>
      <c r="E1769" t="str">
        <f t="shared" ca="1" si="137"/>
        <v>RFR EUR</v>
      </c>
      <c r="F1769" t="str">
        <f t="shared" ca="1" si="138"/>
        <v>RFR GBP</v>
      </c>
      <c r="J1769" s="1"/>
      <c r="N1769" s="1"/>
      <c r="R1769" s="1"/>
      <c r="V1769" s="1"/>
      <c r="AB1769" s="1"/>
      <c r="AF1769" s="1"/>
      <c r="AJ1769" s="1"/>
      <c r="AN1769" s="1"/>
      <c r="AS1769" s="1"/>
      <c r="AX1769" s="1"/>
    </row>
    <row r="1770" spans="1:50" x14ac:dyDescent="0.3">
      <c r="A1770" s="19">
        <f t="shared" si="139"/>
        <v>48393</v>
      </c>
      <c r="B1770">
        <f t="shared" ca="1" si="135"/>
        <v>-6.2249999999999996</v>
      </c>
      <c r="C1770" t="str">
        <f ca="1">IF(currency="USD",'Future et co'!D1770,IF(currency="EUR",'Future et co'!E1770,IF(currency="GBP",'Future et co'!F1770,FALSE)))</f>
        <v>RFR USD</v>
      </c>
      <c r="D1770" t="str">
        <f t="shared" ca="1" si="136"/>
        <v>RFR USD</v>
      </c>
      <c r="E1770" t="str">
        <f t="shared" ca="1" si="137"/>
        <v>RFR EUR</v>
      </c>
      <c r="F1770" t="str">
        <f t="shared" ca="1" si="138"/>
        <v>RFR GBP</v>
      </c>
      <c r="J1770" s="1"/>
      <c r="N1770" s="1"/>
      <c r="R1770" s="1"/>
      <c r="V1770" s="1"/>
      <c r="AB1770" s="1"/>
      <c r="AF1770" s="1"/>
      <c r="AJ1770" s="1"/>
      <c r="AN1770" s="1"/>
      <c r="AS1770" s="1"/>
      <c r="AX1770" s="1"/>
    </row>
    <row r="1771" spans="1:50" x14ac:dyDescent="0.3">
      <c r="A1771" s="19">
        <f t="shared" si="139"/>
        <v>48394</v>
      </c>
      <c r="B1771">
        <f t="shared" ca="1" si="135"/>
        <v>-6.2277777777777779</v>
      </c>
      <c r="C1771" t="str">
        <f ca="1">IF(currency="USD",'Future et co'!D1771,IF(currency="EUR",'Future et co'!E1771,IF(currency="GBP",'Future et co'!F1771,FALSE)))</f>
        <v>RFR USD</v>
      </c>
      <c r="D1771" t="str">
        <f t="shared" ca="1" si="136"/>
        <v>RFR USD</v>
      </c>
      <c r="E1771" t="str">
        <f t="shared" ca="1" si="137"/>
        <v>RFR EUR</v>
      </c>
      <c r="F1771" t="str">
        <f t="shared" ca="1" si="138"/>
        <v>RFR GBP</v>
      </c>
      <c r="J1771" s="1"/>
      <c r="N1771" s="1"/>
      <c r="R1771" s="1"/>
      <c r="V1771" s="1"/>
      <c r="AB1771" s="1"/>
      <c r="AF1771" s="1"/>
      <c r="AJ1771" s="1"/>
      <c r="AN1771" s="1"/>
      <c r="AS1771" s="1"/>
      <c r="AX1771" s="1"/>
    </row>
    <row r="1772" spans="1:50" x14ac:dyDescent="0.3">
      <c r="A1772" s="19">
        <f t="shared" si="139"/>
        <v>48395</v>
      </c>
      <c r="B1772">
        <f t="shared" ca="1" si="135"/>
        <v>-6.2305555555555552</v>
      </c>
      <c r="C1772" t="str">
        <f ca="1">IF(currency="USD",'Future et co'!D1772,IF(currency="EUR",'Future et co'!E1772,IF(currency="GBP",'Future et co'!F1772,FALSE)))</f>
        <v>RFR USD</v>
      </c>
      <c r="D1772" t="str">
        <f t="shared" ca="1" si="136"/>
        <v>RFR USD</v>
      </c>
      <c r="E1772" t="str">
        <f t="shared" ca="1" si="137"/>
        <v>RFR EUR</v>
      </c>
      <c r="F1772" t="str">
        <f t="shared" ca="1" si="138"/>
        <v>RFR GBP</v>
      </c>
      <c r="J1772" s="1"/>
      <c r="N1772" s="1"/>
      <c r="R1772" s="1"/>
      <c r="V1772" s="1"/>
      <c r="AB1772" s="1"/>
      <c r="AF1772" s="1"/>
      <c r="AJ1772" s="1"/>
      <c r="AN1772" s="1"/>
      <c r="AS1772" s="1"/>
      <c r="AX1772" s="1"/>
    </row>
    <row r="1773" spans="1:50" x14ac:dyDescent="0.3">
      <c r="A1773" s="19">
        <f t="shared" si="139"/>
        <v>48396</v>
      </c>
      <c r="B1773">
        <f t="shared" ca="1" si="135"/>
        <v>-6.2333333333333334</v>
      </c>
      <c r="C1773" t="str">
        <f ca="1">IF(currency="USD",'Future et co'!D1773,IF(currency="EUR",'Future et co'!E1773,IF(currency="GBP",'Future et co'!F1773,FALSE)))</f>
        <v>RFR USD</v>
      </c>
      <c r="D1773" t="str">
        <f t="shared" ca="1" si="136"/>
        <v>RFR USD</v>
      </c>
      <c r="E1773" t="str">
        <f t="shared" ca="1" si="137"/>
        <v>RFR EUR</v>
      </c>
      <c r="F1773" t="str">
        <f t="shared" ca="1" si="138"/>
        <v>RFR GBP</v>
      </c>
      <c r="J1773" s="1"/>
      <c r="N1773" s="1"/>
      <c r="R1773" s="1"/>
      <c r="V1773" s="1"/>
      <c r="AB1773" s="1"/>
      <c r="AF1773" s="1"/>
      <c r="AJ1773" s="1"/>
      <c r="AN1773" s="1"/>
      <c r="AS1773" s="1"/>
      <c r="AX1773" s="1"/>
    </row>
    <row r="1774" spans="1:50" x14ac:dyDescent="0.3">
      <c r="A1774" s="19">
        <f t="shared" si="139"/>
        <v>48397</v>
      </c>
      <c r="B1774">
        <f t="shared" ca="1" si="135"/>
        <v>-6.2361111111111107</v>
      </c>
      <c r="C1774" t="str">
        <f ca="1">IF(currency="USD",'Future et co'!D1774,IF(currency="EUR",'Future et co'!E1774,IF(currency="GBP",'Future et co'!F1774,FALSE)))</f>
        <v>RFR USD</v>
      </c>
      <c r="D1774" t="str">
        <f t="shared" ca="1" si="136"/>
        <v>RFR USD</v>
      </c>
      <c r="E1774" t="str">
        <f t="shared" ca="1" si="137"/>
        <v>RFR EUR</v>
      </c>
      <c r="F1774" t="str">
        <f t="shared" ca="1" si="138"/>
        <v>RFR GBP</v>
      </c>
      <c r="J1774" s="1"/>
      <c r="N1774" s="1"/>
      <c r="R1774" s="1"/>
      <c r="V1774" s="1"/>
      <c r="AB1774" s="1"/>
      <c r="AF1774" s="1"/>
      <c r="AJ1774" s="1"/>
      <c r="AN1774" s="1"/>
      <c r="AS1774" s="1"/>
      <c r="AX1774" s="1"/>
    </row>
    <row r="1775" spans="1:50" x14ac:dyDescent="0.3">
      <c r="A1775" s="19">
        <f t="shared" si="139"/>
        <v>48400</v>
      </c>
      <c r="B1775">
        <f t="shared" ca="1" si="135"/>
        <v>-6.2444444444444445</v>
      </c>
      <c r="C1775" t="str">
        <f ca="1">IF(currency="USD",'Future et co'!D1775,IF(currency="EUR",'Future et co'!E1775,IF(currency="GBP",'Future et co'!F1775,FALSE)))</f>
        <v>RFR USD</v>
      </c>
      <c r="D1775" t="str">
        <f t="shared" ca="1" si="136"/>
        <v>RFR USD</v>
      </c>
      <c r="E1775" t="str">
        <f t="shared" ca="1" si="137"/>
        <v>RFR EUR</v>
      </c>
      <c r="F1775" t="str">
        <f t="shared" ca="1" si="138"/>
        <v>RFR GBP</v>
      </c>
      <c r="J1775" s="1"/>
      <c r="N1775" s="1"/>
      <c r="R1775" s="1"/>
      <c r="V1775" s="1"/>
      <c r="AB1775" s="1"/>
      <c r="AF1775" s="1"/>
      <c r="AJ1775" s="1"/>
      <c r="AN1775" s="1"/>
      <c r="AS1775" s="1"/>
      <c r="AX1775" s="1"/>
    </row>
    <row r="1776" spans="1:50" x14ac:dyDescent="0.3">
      <c r="A1776" s="19">
        <f t="shared" si="139"/>
        <v>48401</v>
      </c>
      <c r="B1776">
        <f t="shared" ca="1" si="135"/>
        <v>-6.2472222222222218</v>
      </c>
      <c r="C1776" t="str">
        <f ca="1">IF(currency="USD",'Future et co'!D1776,IF(currency="EUR",'Future et co'!E1776,IF(currency="GBP",'Future et co'!F1776,FALSE)))</f>
        <v>RFR USD</v>
      </c>
      <c r="D1776" t="str">
        <f t="shared" ca="1" si="136"/>
        <v>RFR USD</v>
      </c>
      <c r="E1776" t="str">
        <f t="shared" ca="1" si="137"/>
        <v>RFR EUR</v>
      </c>
      <c r="F1776" t="str">
        <f t="shared" ca="1" si="138"/>
        <v>RFR GBP</v>
      </c>
      <c r="J1776" s="1"/>
      <c r="N1776" s="1"/>
      <c r="R1776" s="1"/>
      <c r="V1776" s="1"/>
      <c r="AB1776" s="1"/>
      <c r="AF1776" s="1"/>
      <c r="AJ1776" s="1"/>
      <c r="AN1776" s="1"/>
      <c r="AS1776" s="1"/>
      <c r="AX1776" s="1"/>
    </row>
    <row r="1777" spans="1:50" x14ac:dyDescent="0.3">
      <c r="A1777" s="19">
        <f t="shared" si="139"/>
        <v>48402</v>
      </c>
      <c r="B1777">
        <f t="shared" ca="1" si="135"/>
        <v>-6.25</v>
      </c>
      <c r="C1777" t="str">
        <f ca="1">IF(currency="USD",'Future et co'!D1777,IF(currency="EUR",'Future et co'!E1777,IF(currency="GBP",'Future et co'!F1777,FALSE)))</f>
        <v>RFR USD</v>
      </c>
      <c r="D1777" t="str">
        <f t="shared" ca="1" si="136"/>
        <v>RFR USD</v>
      </c>
      <c r="E1777" t="str">
        <f t="shared" ca="1" si="137"/>
        <v>RFR EUR</v>
      </c>
      <c r="F1777" t="str">
        <f t="shared" ca="1" si="138"/>
        <v>RFR GBP</v>
      </c>
      <c r="J1777" s="1"/>
      <c r="N1777" s="1"/>
      <c r="R1777" s="1"/>
      <c r="V1777" s="1"/>
      <c r="AB1777" s="1"/>
      <c r="AF1777" s="1"/>
      <c r="AJ1777" s="1"/>
      <c r="AN1777" s="1"/>
      <c r="AS1777" s="1"/>
      <c r="AX1777" s="1"/>
    </row>
    <row r="1778" spans="1:50" x14ac:dyDescent="0.3">
      <c r="A1778" s="19">
        <f t="shared" si="139"/>
        <v>48403</v>
      </c>
      <c r="B1778">
        <f t="shared" ca="1" si="135"/>
        <v>-6.2527777777777782</v>
      </c>
      <c r="C1778" t="str">
        <f ca="1">IF(currency="USD",'Future et co'!D1778,IF(currency="EUR",'Future et co'!E1778,IF(currency="GBP",'Future et co'!F1778,FALSE)))</f>
        <v>RFR USD</v>
      </c>
      <c r="D1778" t="str">
        <f t="shared" ca="1" si="136"/>
        <v>RFR USD</v>
      </c>
      <c r="E1778" t="str">
        <f t="shared" ca="1" si="137"/>
        <v>RFR EUR</v>
      </c>
      <c r="F1778" t="str">
        <f t="shared" ca="1" si="138"/>
        <v>RFR GBP</v>
      </c>
      <c r="J1778" s="1"/>
      <c r="N1778" s="1"/>
      <c r="R1778" s="1"/>
      <c r="V1778" s="1"/>
      <c r="AB1778" s="1"/>
      <c r="AF1778" s="1"/>
      <c r="AJ1778" s="1"/>
      <c r="AN1778" s="1"/>
      <c r="AS1778" s="1"/>
      <c r="AX1778" s="1"/>
    </row>
    <row r="1779" spans="1:50" x14ac:dyDescent="0.3">
      <c r="A1779" s="19">
        <f t="shared" si="139"/>
        <v>48404</v>
      </c>
      <c r="B1779">
        <f t="shared" ca="1" si="135"/>
        <v>-6.2555555555555555</v>
      </c>
      <c r="C1779" t="str">
        <f ca="1">IF(currency="USD",'Future et co'!D1779,IF(currency="EUR",'Future et co'!E1779,IF(currency="GBP",'Future et co'!F1779,FALSE)))</f>
        <v>RFR USD</v>
      </c>
      <c r="D1779" t="str">
        <f t="shared" ca="1" si="136"/>
        <v>RFR USD</v>
      </c>
      <c r="E1779" t="str">
        <f t="shared" ca="1" si="137"/>
        <v>RFR EUR</v>
      </c>
      <c r="F1779" t="str">
        <f t="shared" ca="1" si="138"/>
        <v>RFR GBP</v>
      </c>
      <c r="J1779" s="1"/>
      <c r="N1779" s="1"/>
      <c r="R1779" s="1"/>
      <c r="V1779" s="1"/>
      <c r="AB1779" s="1"/>
      <c r="AF1779" s="1"/>
      <c r="AJ1779" s="1"/>
      <c r="AN1779" s="1"/>
      <c r="AS1779" s="1"/>
      <c r="AX1779" s="1"/>
    </row>
    <row r="1780" spans="1:50" x14ac:dyDescent="0.3">
      <c r="A1780" s="19">
        <f t="shared" si="139"/>
        <v>48407</v>
      </c>
      <c r="B1780">
        <f t="shared" ca="1" si="135"/>
        <v>-6.2638888888888893</v>
      </c>
      <c r="C1780" t="str">
        <f ca="1">IF(currency="USD",'Future et co'!D1780,IF(currency="EUR",'Future et co'!E1780,IF(currency="GBP",'Future et co'!F1780,FALSE)))</f>
        <v>RFR USD</v>
      </c>
      <c r="D1780" t="str">
        <f t="shared" ca="1" si="136"/>
        <v>RFR USD</v>
      </c>
      <c r="E1780" t="str">
        <f t="shared" ca="1" si="137"/>
        <v>RFR EUR</v>
      </c>
      <c r="F1780" t="str">
        <f t="shared" ca="1" si="138"/>
        <v>RFR GBP</v>
      </c>
      <c r="J1780" s="1"/>
      <c r="N1780" s="1"/>
      <c r="R1780" s="1"/>
      <c r="V1780" s="1"/>
      <c r="AB1780" s="1"/>
      <c r="AF1780" s="1"/>
      <c r="AJ1780" s="1"/>
      <c r="AN1780" s="1"/>
      <c r="AS1780" s="1"/>
      <c r="AX1780" s="1"/>
    </row>
    <row r="1781" spans="1:50" x14ac:dyDescent="0.3">
      <c r="A1781" s="19">
        <f t="shared" si="139"/>
        <v>48408</v>
      </c>
      <c r="B1781">
        <f t="shared" ca="1" si="135"/>
        <v>-6.2666666666666666</v>
      </c>
      <c r="C1781" t="str">
        <f ca="1">IF(currency="USD",'Future et co'!D1781,IF(currency="EUR",'Future et co'!E1781,IF(currency="GBP",'Future et co'!F1781,FALSE)))</f>
        <v>RFR USD</v>
      </c>
      <c r="D1781" t="str">
        <f t="shared" ca="1" si="136"/>
        <v>RFR USD</v>
      </c>
      <c r="E1781" t="str">
        <f t="shared" ca="1" si="137"/>
        <v>RFR EUR</v>
      </c>
      <c r="F1781" t="str">
        <f t="shared" ca="1" si="138"/>
        <v>RFR GBP</v>
      </c>
      <c r="J1781" s="1"/>
      <c r="N1781" s="1"/>
      <c r="R1781" s="1"/>
      <c r="V1781" s="1"/>
      <c r="AB1781" s="1"/>
      <c r="AF1781" s="1"/>
      <c r="AJ1781" s="1"/>
      <c r="AN1781" s="1"/>
      <c r="AS1781" s="1"/>
      <c r="AX1781" s="1"/>
    </row>
    <row r="1782" spans="1:50" x14ac:dyDescent="0.3">
      <c r="A1782" s="19">
        <f t="shared" si="139"/>
        <v>48409</v>
      </c>
      <c r="B1782">
        <f t="shared" ca="1" si="135"/>
        <v>-6.2694444444444448</v>
      </c>
      <c r="C1782" t="str">
        <f ca="1">IF(currency="USD",'Future et co'!D1782,IF(currency="EUR",'Future et co'!E1782,IF(currency="GBP",'Future et co'!F1782,FALSE)))</f>
        <v>RFR USD</v>
      </c>
      <c r="D1782" t="str">
        <f t="shared" ca="1" si="136"/>
        <v>RFR USD</v>
      </c>
      <c r="E1782" t="str">
        <f t="shared" ca="1" si="137"/>
        <v>RFR EUR</v>
      </c>
      <c r="F1782" t="str">
        <f t="shared" ca="1" si="138"/>
        <v>RFR GBP</v>
      </c>
      <c r="J1782" s="1"/>
      <c r="N1782" s="1"/>
      <c r="R1782" s="1"/>
      <c r="V1782" s="1"/>
      <c r="AB1782" s="1"/>
      <c r="AF1782" s="1"/>
      <c r="AJ1782" s="1"/>
      <c r="AN1782" s="1"/>
      <c r="AS1782" s="1"/>
      <c r="AX1782" s="1"/>
    </row>
    <row r="1783" spans="1:50" x14ac:dyDescent="0.3">
      <c r="A1783" s="19">
        <f t="shared" si="139"/>
        <v>48410</v>
      </c>
      <c r="B1783">
        <f t="shared" ca="1" si="135"/>
        <v>-6.2722222222222221</v>
      </c>
      <c r="C1783" t="str">
        <f ca="1">IF(currency="USD",'Future et co'!D1783,IF(currency="EUR",'Future et co'!E1783,IF(currency="GBP",'Future et co'!F1783,FALSE)))</f>
        <v>RFR USD</v>
      </c>
      <c r="D1783" t="str">
        <f t="shared" ca="1" si="136"/>
        <v>RFR USD</v>
      </c>
      <c r="E1783" t="str">
        <f t="shared" ca="1" si="137"/>
        <v>RFR EUR</v>
      </c>
      <c r="F1783" t="str">
        <f t="shared" ca="1" si="138"/>
        <v>RFR GBP</v>
      </c>
      <c r="J1783" s="1"/>
      <c r="N1783" s="1"/>
      <c r="R1783" s="1"/>
      <c r="V1783" s="1"/>
      <c r="AB1783" s="1"/>
      <c r="AF1783" s="1"/>
      <c r="AJ1783" s="1"/>
      <c r="AN1783" s="1"/>
      <c r="AS1783" s="1"/>
      <c r="AX1783" s="1"/>
    </row>
    <row r="1784" spans="1:50" x14ac:dyDescent="0.3">
      <c r="A1784" s="19">
        <f t="shared" si="139"/>
        <v>48411</v>
      </c>
      <c r="B1784">
        <f t="shared" ca="1" si="135"/>
        <v>-6.2750000000000004</v>
      </c>
      <c r="C1784" t="str">
        <f ca="1">IF(currency="USD",'Future et co'!D1784,IF(currency="EUR",'Future et co'!E1784,IF(currency="GBP",'Future et co'!F1784,FALSE)))</f>
        <v>RFR USD</v>
      </c>
      <c r="D1784" t="str">
        <f t="shared" ca="1" si="136"/>
        <v>RFR USD</v>
      </c>
      <c r="E1784" t="str">
        <f t="shared" ca="1" si="137"/>
        <v>RFR EUR</v>
      </c>
      <c r="F1784" t="str">
        <f t="shared" ca="1" si="138"/>
        <v>RFR GBP</v>
      </c>
      <c r="J1784" s="1"/>
      <c r="N1784" s="1"/>
      <c r="R1784" s="1"/>
      <c r="V1784" s="1"/>
      <c r="AB1784" s="1"/>
      <c r="AF1784" s="1"/>
      <c r="AJ1784" s="1"/>
      <c r="AN1784" s="1"/>
      <c r="AS1784" s="1"/>
      <c r="AX1784" s="1"/>
    </row>
    <row r="1785" spans="1:50" x14ac:dyDescent="0.3">
      <c r="A1785" s="19">
        <f t="shared" si="139"/>
        <v>48414</v>
      </c>
      <c r="B1785">
        <f t="shared" ca="1" si="135"/>
        <v>-6.2833333333333332</v>
      </c>
      <c r="C1785" t="str">
        <f ca="1">IF(currency="USD",'Future et co'!D1785,IF(currency="EUR",'Future et co'!E1785,IF(currency="GBP",'Future et co'!F1785,FALSE)))</f>
        <v>RFR USD</v>
      </c>
      <c r="D1785" t="str">
        <f t="shared" ca="1" si="136"/>
        <v>RFR USD</v>
      </c>
      <c r="E1785" t="str">
        <f t="shared" ca="1" si="137"/>
        <v>RFR EUR</v>
      </c>
      <c r="F1785" t="str">
        <f t="shared" ca="1" si="138"/>
        <v>RFR GBP</v>
      </c>
      <c r="J1785" s="1"/>
      <c r="N1785" s="1"/>
      <c r="R1785" s="1"/>
      <c r="V1785" s="1"/>
      <c r="AB1785" s="1"/>
      <c r="AF1785" s="1"/>
      <c r="AJ1785" s="1"/>
      <c r="AN1785" s="1"/>
      <c r="AS1785" s="1"/>
      <c r="AX1785" s="1"/>
    </row>
    <row r="1786" spans="1:50" x14ac:dyDescent="0.3">
      <c r="A1786" s="19">
        <f t="shared" si="139"/>
        <v>48415</v>
      </c>
      <c r="B1786">
        <f t="shared" ca="1" si="135"/>
        <v>-6.2861111111111114</v>
      </c>
      <c r="C1786" t="str">
        <f ca="1">IF(currency="USD",'Future et co'!D1786,IF(currency="EUR",'Future et co'!E1786,IF(currency="GBP",'Future et co'!F1786,FALSE)))</f>
        <v>RFR USD</v>
      </c>
      <c r="D1786" t="str">
        <f t="shared" ca="1" si="136"/>
        <v>RFR USD</v>
      </c>
      <c r="E1786" t="str">
        <f t="shared" ca="1" si="137"/>
        <v>RFR EUR</v>
      </c>
      <c r="F1786" t="str">
        <f t="shared" ca="1" si="138"/>
        <v>RFR GBP</v>
      </c>
      <c r="J1786" s="1"/>
      <c r="N1786" s="1"/>
      <c r="R1786" s="1"/>
      <c r="V1786" s="1"/>
      <c r="AB1786" s="1"/>
      <c r="AF1786" s="1"/>
      <c r="AJ1786" s="1"/>
      <c r="AN1786" s="1"/>
      <c r="AS1786" s="1"/>
      <c r="AX1786" s="1"/>
    </row>
    <row r="1787" spans="1:50" x14ac:dyDescent="0.3">
      <c r="A1787" s="19">
        <f t="shared" si="139"/>
        <v>48416</v>
      </c>
      <c r="B1787">
        <f t="shared" ca="1" si="135"/>
        <v>-6.2888888888888888</v>
      </c>
      <c r="C1787" t="str">
        <f ca="1">IF(currency="USD",'Future et co'!D1787,IF(currency="EUR",'Future et co'!E1787,IF(currency="GBP",'Future et co'!F1787,FALSE)))</f>
        <v>RFR USD</v>
      </c>
      <c r="D1787" t="str">
        <f t="shared" ca="1" si="136"/>
        <v>RFR USD</v>
      </c>
      <c r="E1787" t="str">
        <f t="shared" ca="1" si="137"/>
        <v>RFR EUR</v>
      </c>
      <c r="F1787" t="str">
        <f t="shared" ca="1" si="138"/>
        <v>RFR GBP</v>
      </c>
      <c r="J1787" s="1"/>
      <c r="N1787" s="1"/>
      <c r="R1787" s="1"/>
      <c r="V1787" s="1"/>
      <c r="AB1787" s="1"/>
      <c r="AF1787" s="1"/>
      <c r="AJ1787" s="1"/>
      <c r="AN1787" s="1"/>
      <c r="AS1787" s="1"/>
      <c r="AX1787" s="1"/>
    </row>
    <row r="1788" spans="1:50" x14ac:dyDescent="0.3">
      <c r="A1788" s="19">
        <f t="shared" si="139"/>
        <v>48417</v>
      </c>
      <c r="B1788">
        <f t="shared" ca="1" si="135"/>
        <v>-6.291666666666667</v>
      </c>
      <c r="C1788" t="str">
        <f ca="1">IF(currency="USD",'Future et co'!D1788,IF(currency="EUR",'Future et co'!E1788,IF(currency="GBP",'Future et co'!F1788,FALSE)))</f>
        <v>RFR USD</v>
      </c>
      <c r="D1788" t="str">
        <f t="shared" ca="1" si="136"/>
        <v>RFR USD</v>
      </c>
      <c r="E1788" t="str">
        <f t="shared" ca="1" si="137"/>
        <v>RFR EUR</v>
      </c>
      <c r="F1788" t="str">
        <f t="shared" ca="1" si="138"/>
        <v>RFR GBP</v>
      </c>
      <c r="J1788" s="1"/>
      <c r="N1788" s="1"/>
      <c r="R1788" s="1"/>
      <c r="V1788" s="1"/>
      <c r="AB1788" s="1"/>
      <c r="AF1788" s="1"/>
      <c r="AJ1788" s="1"/>
      <c r="AN1788" s="1"/>
      <c r="AS1788" s="1"/>
      <c r="AX1788" s="1"/>
    </row>
    <row r="1789" spans="1:50" x14ac:dyDescent="0.3">
      <c r="A1789" s="19">
        <f t="shared" si="139"/>
        <v>48418</v>
      </c>
      <c r="B1789">
        <f t="shared" ca="1" si="135"/>
        <v>-6.2944444444444443</v>
      </c>
      <c r="C1789" t="str">
        <f ca="1">IF(currency="USD",'Future et co'!D1789,IF(currency="EUR",'Future et co'!E1789,IF(currency="GBP",'Future et co'!F1789,FALSE)))</f>
        <v>RFR USD</v>
      </c>
      <c r="D1789" t="str">
        <f t="shared" ca="1" si="136"/>
        <v>RFR USD</v>
      </c>
      <c r="E1789" t="str">
        <f t="shared" ca="1" si="137"/>
        <v>RFR EUR</v>
      </c>
      <c r="F1789" t="str">
        <f t="shared" ca="1" si="138"/>
        <v>RFR GBP</v>
      </c>
      <c r="J1789" s="1"/>
      <c r="N1789" s="1"/>
      <c r="R1789" s="1"/>
      <c r="V1789" s="1"/>
      <c r="AB1789" s="1"/>
      <c r="AF1789" s="1"/>
      <c r="AJ1789" s="1"/>
      <c r="AN1789" s="1"/>
      <c r="AS1789" s="1"/>
      <c r="AX1789" s="1"/>
    </row>
    <row r="1790" spans="1:50" x14ac:dyDescent="0.3">
      <c r="A1790" s="19">
        <f t="shared" si="139"/>
        <v>48421</v>
      </c>
      <c r="B1790">
        <f t="shared" ca="1" si="135"/>
        <v>-6.302777777777778</v>
      </c>
      <c r="C1790" t="str">
        <f ca="1">IF(currency="USD",'Future et co'!D1790,IF(currency="EUR",'Future et co'!E1790,IF(currency="GBP",'Future et co'!F1790,FALSE)))</f>
        <v>RFR USD</v>
      </c>
      <c r="D1790" t="str">
        <f t="shared" ca="1" si="136"/>
        <v>RFR USD</v>
      </c>
      <c r="E1790" t="str">
        <f t="shared" ca="1" si="137"/>
        <v>RFR EUR</v>
      </c>
      <c r="F1790" t="str">
        <f t="shared" ca="1" si="138"/>
        <v>RFR GBP</v>
      </c>
      <c r="J1790" s="1"/>
      <c r="N1790" s="1"/>
      <c r="R1790" s="1"/>
      <c r="V1790" s="1"/>
      <c r="AB1790" s="1"/>
      <c r="AF1790" s="1"/>
      <c r="AJ1790" s="1"/>
      <c r="AN1790" s="1"/>
      <c r="AS1790" s="1"/>
      <c r="AX1790" s="1"/>
    </row>
    <row r="1791" spans="1:50" x14ac:dyDescent="0.3">
      <c r="A1791" s="19">
        <f t="shared" si="139"/>
        <v>48422</v>
      </c>
      <c r="B1791">
        <f t="shared" ca="1" si="135"/>
        <v>-6.3055555555555554</v>
      </c>
      <c r="C1791" t="str">
        <f ca="1">IF(currency="USD",'Future et co'!D1791,IF(currency="EUR",'Future et co'!E1791,IF(currency="GBP",'Future et co'!F1791,FALSE)))</f>
        <v>RFR USD</v>
      </c>
      <c r="D1791" t="str">
        <f t="shared" ca="1" si="136"/>
        <v>RFR USD</v>
      </c>
      <c r="E1791" t="str">
        <f t="shared" ca="1" si="137"/>
        <v>RFR EUR</v>
      </c>
      <c r="F1791" t="str">
        <f t="shared" ca="1" si="138"/>
        <v>RFR GBP</v>
      </c>
      <c r="J1791" s="1"/>
      <c r="N1791" s="1"/>
      <c r="R1791" s="1"/>
      <c r="V1791" s="1"/>
      <c r="AB1791" s="1"/>
      <c r="AF1791" s="1"/>
      <c r="AJ1791" s="1"/>
      <c r="AN1791" s="1"/>
      <c r="AS1791" s="1"/>
      <c r="AX1791" s="1"/>
    </row>
    <row r="1792" spans="1:50" x14ac:dyDescent="0.3">
      <c r="A1792" s="19">
        <f t="shared" si="139"/>
        <v>48423</v>
      </c>
      <c r="B1792">
        <f t="shared" ca="1" si="135"/>
        <v>-6.3083333333333336</v>
      </c>
      <c r="C1792" t="str">
        <f ca="1">IF(currency="USD",'Future et co'!D1792,IF(currency="EUR",'Future et co'!E1792,IF(currency="GBP",'Future et co'!F1792,FALSE)))</f>
        <v>RFR USD</v>
      </c>
      <c r="D1792" t="str">
        <f t="shared" ca="1" si="136"/>
        <v>RFR USD</v>
      </c>
      <c r="E1792" t="str">
        <f t="shared" ca="1" si="137"/>
        <v>RFR EUR</v>
      </c>
      <c r="F1792" t="str">
        <f t="shared" ca="1" si="138"/>
        <v>RFR GBP</v>
      </c>
      <c r="J1792" s="1"/>
      <c r="N1792" s="1"/>
      <c r="R1792" s="1"/>
      <c r="V1792" s="1"/>
      <c r="AB1792" s="1"/>
      <c r="AF1792" s="1"/>
      <c r="AJ1792" s="1"/>
      <c r="AN1792" s="1"/>
      <c r="AS1792" s="1"/>
      <c r="AX1792" s="1"/>
    </row>
    <row r="1793" spans="1:50" x14ac:dyDescent="0.3">
      <c r="A1793" s="19">
        <f t="shared" si="139"/>
        <v>48424</v>
      </c>
      <c r="B1793">
        <f t="shared" ca="1" si="135"/>
        <v>-6.3111111111111109</v>
      </c>
      <c r="C1793" t="str">
        <f ca="1">IF(currency="USD",'Future et co'!D1793,IF(currency="EUR",'Future et co'!E1793,IF(currency="GBP",'Future et co'!F1793,FALSE)))</f>
        <v>RFR USD</v>
      </c>
      <c r="D1793" t="str">
        <f t="shared" ca="1" si="136"/>
        <v>RFR USD</v>
      </c>
      <c r="E1793" t="str">
        <f t="shared" ca="1" si="137"/>
        <v>RFR EUR</v>
      </c>
      <c r="F1793" t="str">
        <f t="shared" ca="1" si="138"/>
        <v>RFR GBP</v>
      </c>
      <c r="J1793" s="1"/>
      <c r="N1793" s="1"/>
      <c r="R1793" s="1"/>
      <c r="V1793" s="1"/>
      <c r="AB1793" s="1"/>
      <c r="AF1793" s="1"/>
      <c r="AJ1793" s="1"/>
      <c r="AN1793" s="1"/>
      <c r="AS1793" s="1"/>
      <c r="AX1793" s="1"/>
    </row>
    <row r="1794" spans="1:50" x14ac:dyDescent="0.3">
      <c r="A1794" s="19">
        <f t="shared" si="139"/>
        <v>48425</v>
      </c>
      <c r="B1794">
        <f t="shared" ca="1" si="135"/>
        <v>-6.3138888888888891</v>
      </c>
      <c r="C1794" t="str">
        <f ca="1">IF(currency="USD",'Future et co'!D1794,IF(currency="EUR",'Future et co'!E1794,IF(currency="GBP",'Future et co'!F1794,FALSE)))</f>
        <v>RFR USD</v>
      </c>
      <c r="D1794" t="str">
        <f t="shared" ca="1" si="136"/>
        <v>RFR USD</v>
      </c>
      <c r="E1794" t="str">
        <f t="shared" ca="1" si="137"/>
        <v>RFR EUR</v>
      </c>
      <c r="F1794" t="str">
        <f t="shared" ca="1" si="138"/>
        <v>RFR GBP</v>
      </c>
      <c r="J1794" s="1"/>
      <c r="N1794" s="1"/>
      <c r="R1794" s="1"/>
      <c r="V1794" s="1"/>
      <c r="AB1794" s="1"/>
      <c r="AF1794" s="1"/>
      <c r="AJ1794" s="1"/>
      <c r="AN1794" s="1"/>
      <c r="AS1794" s="1"/>
      <c r="AX1794" s="1"/>
    </row>
    <row r="1795" spans="1:50" x14ac:dyDescent="0.3">
      <c r="A1795" s="19">
        <f t="shared" si="139"/>
        <v>48428</v>
      </c>
      <c r="B1795">
        <f t="shared" ca="1" si="135"/>
        <v>-6.322222222222222</v>
      </c>
      <c r="C1795" t="str">
        <f ca="1">IF(currency="USD",'Future et co'!D1795,IF(currency="EUR",'Future et co'!E1795,IF(currency="GBP",'Future et co'!F1795,FALSE)))</f>
        <v>RFR USD</v>
      </c>
      <c r="D1795" t="str">
        <f t="shared" ca="1" si="136"/>
        <v>RFR USD</v>
      </c>
      <c r="E1795" t="str">
        <f t="shared" ca="1" si="137"/>
        <v>RFR EUR</v>
      </c>
      <c r="F1795" t="str">
        <f t="shared" ca="1" si="138"/>
        <v>RFR GBP</v>
      </c>
      <c r="J1795" s="1"/>
      <c r="N1795" s="1"/>
      <c r="R1795" s="1"/>
      <c r="V1795" s="1"/>
      <c r="AB1795" s="1"/>
      <c r="AF1795" s="1"/>
      <c r="AJ1795" s="1"/>
      <c r="AN1795" s="1"/>
      <c r="AS1795" s="1"/>
      <c r="AX1795" s="1"/>
    </row>
    <row r="1796" spans="1:50" x14ac:dyDescent="0.3">
      <c r="A1796" s="19">
        <f t="shared" si="139"/>
        <v>48429</v>
      </c>
      <c r="B1796">
        <f t="shared" ca="1" si="135"/>
        <v>-6.3250000000000002</v>
      </c>
      <c r="C1796" t="str">
        <f ca="1">IF(currency="USD",'Future et co'!D1796,IF(currency="EUR",'Future et co'!E1796,IF(currency="GBP",'Future et co'!F1796,FALSE)))</f>
        <v>RFR USD</v>
      </c>
      <c r="D1796" t="str">
        <f t="shared" ca="1" si="136"/>
        <v>RFR USD</v>
      </c>
      <c r="E1796" t="str">
        <f t="shared" ca="1" si="137"/>
        <v>RFR EUR</v>
      </c>
      <c r="F1796" t="str">
        <f t="shared" ca="1" si="138"/>
        <v>RFR GBP</v>
      </c>
      <c r="J1796" s="1"/>
      <c r="N1796" s="1"/>
      <c r="R1796" s="1"/>
      <c r="V1796" s="1"/>
      <c r="AB1796" s="1"/>
      <c r="AF1796" s="1"/>
      <c r="AJ1796" s="1"/>
      <c r="AN1796" s="1"/>
      <c r="AS1796" s="1"/>
      <c r="AX1796" s="1"/>
    </row>
    <row r="1797" spans="1:50" x14ac:dyDescent="0.3">
      <c r="A1797" s="19">
        <f t="shared" si="139"/>
        <v>48430</v>
      </c>
      <c r="B1797">
        <f t="shared" ca="1" si="135"/>
        <v>-6.3277777777777775</v>
      </c>
      <c r="C1797" t="str">
        <f ca="1">IF(currency="USD",'Future et co'!D1797,IF(currency="EUR",'Future et co'!E1797,IF(currency="GBP",'Future et co'!F1797,FALSE)))</f>
        <v>RFR USD</v>
      </c>
      <c r="D1797" t="str">
        <f t="shared" ca="1" si="136"/>
        <v>RFR USD</v>
      </c>
      <c r="E1797" t="str">
        <f t="shared" ca="1" si="137"/>
        <v>RFR EUR</v>
      </c>
      <c r="F1797" t="str">
        <f t="shared" ca="1" si="138"/>
        <v>RFR GBP</v>
      </c>
      <c r="J1797" s="1"/>
      <c r="N1797" s="1"/>
      <c r="R1797" s="1"/>
      <c r="V1797" s="1"/>
      <c r="AB1797" s="1"/>
      <c r="AF1797" s="1"/>
      <c r="AJ1797" s="1"/>
      <c r="AN1797" s="1"/>
      <c r="AS1797" s="1"/>
      <c r="AX1797" s="1"/>
    </row>
    <row r="1798" spans="1:50" x14ac:dyDescent="0.3">
      <c r="A1798" s="19">
        <f t="shared" si="139"/>
        <v>48431</v>
      </c>
      <c r="B1798">
        <f t="shared" ca="1" si="135"/>
        <v>-6.3305555555555557</v>
      </c>
      <c r="C1798" t="str">
        <f ca="1">IF(currency="USD",'Future et co'!D1798,IF(currency="EUR",'Future et co'!E1798,IF(currency="GBP",'Future et co'!F1798,FALSE)))</f>
        <v>RFR USD</v>
      </c>
      <c r="D1798" t="str">
        <f t="shared" ca="1" si="136"/>
        <v>RFR USD</v>
      </c>
      <c r="E1798" t="str">
        <f t="shared" ca="1" si="137"/>
        <v>RFR EUR</v>
      </c>
      <c r="F1798" t="str">
        <f t="shared" ca="1" si="138"/>
        <v>RFR GBP</v>
      </c>
      <c r="J1798" s="1"/>
      <c r="N1798" s="1"/>
      <c r="R1798" s="1"/>
      <c r="V1798" s="1"/>
      <c r="AB1798" s="1"/>
      <c r="AF1798" s="1"/>
      <c r="AJ1798" s="1"/>
      <c r="AN1798" s="1"/>
      <c r="AS1798" s="1"/>
      <c r="AX1798" s="1"/>
    </row>
    <row r="1799" spans="1:50" x14ac:dyDescent="0.3">
      <c r="A1799" s="19">
        <f t="shared" si="139"/>
        <v>48432</v>
      </c>
      <c r="B1799">
        <f t="shared" ca="1" si="135"/>
        <v>-6.333333333333333</v>
      </c>
      <c r="C1799" t="str">
        <f ca="1">IF(currency="USD",'Future et co'!D1799,IF(currency="EUR",'Future et co'!E1799,IF(currency="GBP",'Future et co'!F1799,FALSE)))</f>
        <v>RFR USD</v>
      </c>
      <c r="D1799" t="str">
        <f t="shared" ca="1" si="136"/>
        <v>RFR USD</v>
      </c>
      <c r="E1799" t="str">
        <f t="shared" ca="1" si="137"/>
        <v>RFR EUR</v>
      </c>
      <c r="F1799" t="str">
        <f t="shared" ca="1" si="138"/>
        <v>RFR GBP</v>
      </c>
      <c r="J1799" s="1"/>
      <c r="N1799" s="1"/>
      <c r="R1799" s="1"/>
      <c r="V1799" s="1"/>
      <c r="AB1799" s="1"/>
      <c r="AF1799" s="1"/>
      <c r="AJ1799" s="1"/>
      <c r="AN1799" s="1"/>
      <c r="AS1799" s="1"/>
      <c r="AX1799" s="1"/>
    </row>
    <row r="1800" spans="1:50" x14ac:dyDescent="0.3">
      <c r="A1800" s="19">
        <f t="shared" si="139"/>
        <v>48435</v>
      </c>
      <c r="B1800">
        <f t="shared" ca="1" si="135"/>
        <v>-6.3416666666666668</v>
      </c>
      <c r="C1800" t="str">
        <f ca="1">IF(currency="USD",'Future et co'!D1800,IF(currency="EUR",'Future et co'!E1800,IF(currency="GBP",'Future et co'!F1800,FALSE)))</f>
        <v>RFR USD</v>
      </c>
      <c r="D1800" t="str">
        <f t="shared" ca="1" si="136"/>
        <v>RFR USD</v>
      </c>
      <c r="E1800" t="str">
        <f t="shared" ca="1" si="137"/>
        <v>RFR EUR</v>
      </c>
      <c r="F1800" t="str">
        <f t="shared" ca="1" si="138"/>
        <v>RFR GBP</v>
      </c>
      <c r="J1800" s="1"/>
      <c r="N1800" s="1"/>
      <c r="R1800" s="1"/>
      <c r="V1800" s="1"/>
      <c r="AB1800" s="1"/>
      <c r="AF1800" s="1"/>
      <c r="AJ1800" s="1"/>
      <c r="AN1800" s="1"/>
      <c r="AS1800" s="1"/>
      <c r="AX1800" s="1"/>
    </row>
    <row r="1801" spans="1:50" x14ac:dyDescent="0.3">
      <c r="A1801" s="19">
        <f t="shared" si="139"/>
        <v>48436</v>
      </c>
      <c r="B1801">
        <f t="shared" ca="1" si="135"/>
        <v>-6.3444444444444441</v>
      </c>
      <c r="C1801" t="str">
        <f ca="1">IF(currency="USD",'Future et co'!D1801,IF(currency="EUR",'Future et co'!E1801,IF(currency="GBP",'Future et co'!F1801,FALSE)))</f>
        <v>RFR USD</v>
      </c>
      <c r="D1801" t="str">
        <f t="shared" ca="1" si="136"/>
        <v>RFR USD</v>
      </c>
      <c r="E1801" t="str">
        <f t="shared" ca="1" si="137"/>
        <v>RFR EUR</v>
      </c>
      <c r="F1801" t="str">
        <f t="shared" ca="1" si="138"/>
        <v>RFR GBP</v>
      </c>
      <c r="J1801" s="1"/>
      <c r="N1801" s="1"/>
      <c r="R1801" s="1"/>
      <c r="V1801" s="1"/>
      <c r="AB1801" s="1"/>
      <c r="AF1801" s="1"/>
      <c r="AJ1801" s="1"/>
      <c r="AN1801" s="1"/>
      <c r="AS1801" s="1"/>
      <c r="AX1801" s="1"/>
    </row>
    <row r="1802" spans="1:50" x14ac:dyDescent="0.3">
      <c r="A1802" s="19">
        <f t="shared" si="139"/>
        <v>48437</v>
      </c>
      <c r="B1802">
        <f t="shared" ca="1" si="135"/>
        <v>-6.3472222222222223</v>
      </c>
      <c r="C1802" t="str">
        <f ca="1">IF(currency="USD",'Future et co'!D1802,IF(currency="EUR",'Future et co'!E1802,IF(currency="GBP",'Future et co'!F1802,FALSE)))</f>
        <v>RFR USD</v>
      </c>
      <c r="D1802" t="str">
        <f t="shared" ca="1" si="136"/>
        <v>RFR USD</v>
      </c>
      <c r="E1802" t="str">
        <f t="shared" ca="1" si="137"/>
        <v>RFR EUR</v>
      </c>
      <c r="F1802" t="str">
        <f t="shared" ca="1" si="138"/>
        <v>RFR GBP</v>
      </c>
      <c r="J1802" s="1"/>
      <c r="N1802" s="1"/>
      <c r="R1802" s="1"/>
      <c r="V1802" s="1"/>
      <c r="AB1802" s="1"/>
      <c r="AF1802" s="1"/>
      <c r="AJ1802" s="1"/>
      <c r="AN1802" s="1"/>
      <c r="AS1802" s="1"/>
      <c r="AX1802" s="1"/>
    </row>
    <row r="1803" spans="1:50" x14ac:dyDescent="0.3">
      <c r="A1803" s="19">
        <f t="shared" si="139"/>
        <v>48438</v>
      </c>
      <c r="B1803">
        <f t="shared" ref="B1803:B1866" ca="1" si="140">($B$7-A1803)/360</f>
        <v>-6.35</v>
      </c>
      <c r="C1803" t="str">
        <f ca="1">IF(currency="USD",'Future et co'!D1803,IF(currency="EUR",'Future et co'!E1803,IF(currency="GBP",'Future et co'!F1803,FALSE)))</f>
        <v>RFR USD</v>
      </c>
      <c r="D1803" t="str">
        <f t="shared" ref="D1803:D1866" ca="1" si="141">IFERROR(IF(B1803&lt;0.25,VLOOKUP(A1803,$J$11:$L$5325,3,FALSE),IF(AND(B1803&gt;=0.25,B1803&lt;0.5),VLOOKUP(A1803,$N$11:$P$5325,3,FALSE),IF(AND(B1803&gt;=0.5,B1803&lt;1),VLOOKUP(A1803,$R$11:$T$5325,3,FALSE),VLOOKUP(A1803,$V$11:$X$5010,3,FALSE)))),D1802)</f>
        <v>RFR USD</v>
      </c>
      <c r="E1803" t="str">
        <f t="shared" ref="E1803:E1866" ca="1" si="142">IFERROR(IF(B1803&lt;0.25,VLOOKUP(A1803,$AF$11:$AH$5325,3,FALSE),IF(AND(B1803&gt;=0.25,B1803&lt;0.5),VLOOKUP(A1803,$AJ$11:$AL$5325,3,FALSE),VLOOKUP(A1803,$AN$11:$AP$5325,3,FALSE))),E1802)</f>
        <v>RFR EUR</v>
      </c>
      <c r="F1803" t="str">
        <f t="shared" ref="F1803:F1866" ca="1" si="143">IFERROR(VLOOKUP(A1803,$AS$11:$AU$9999,3,FALSE),F1802)</f>
        <v>RFR GBP</v>
      </c>
      <c r="J1803" s="1"/>
      <c r="N1803" s="1"/>
      <c r="R1803" s="1"/>
      <c r="V1803" s="1"/>
      <c r="AB1803" s="1"/>
      <c r="AF1803" s="1"/>
      <c r="AJ1803" s="1"/>
      <c r="AN1803" s="1"/>
      <c r="AS1803" s="1"/>
      <c r="AX1803" s="1"/>
    </row>
    <row r="1804" spans="1:50" x14ac:dyDescent="0.3">
      <c r="A1804" s="19">
        <f t="shared" si="139"/>
        <v>48439</v>
      </c>
      <c r="B1804">
        <f t="shared" ca="1" si="140"/>
        <v>-6.3527777777777779</v>
      </c>
      <c r="C1804" t="str">
        <f ca="1">IF(currency="USD",'Future et co'!D1804,IF(currency="EUR",'Future et co'!E1804,IF(currency="GBP",'Future et co'!F1804,FALSE)))</f>
        <v>RFR USD</v>
      </c>
      <c r="D1804" t="str">
        <f t="shared" ca="1" si="141"/>
        <v>RFR USD</v>
      </c>
      <c r="E1804" t="str">
        <f t="shared" ca="1" si="142"/>
        <v>RFR EUR</v>
      </c>
      <c r="F1804" t="str">
        <f t="shared" ca="1" si="143"/>
        <v>RFR GBP</v>
      </c>
      <c r="J1804" s="1"/>
      <c r="N1804" s="1"/>
      <c r="R1804" s="1"/>
      <c r="V1804" s="1"/>
      <c r="AB1804" s="1"/>
      <c r="AF1804" s="1"/>
      <c r="AJ1804" s="1"/>
      <c r="AN1804" s="1"/>
      <c r="AS1804" s="1"/>
      <c r="AX1804" s="1"/>
    </row>
    <row r="1805" spans="1:50" x14ac:dyDescent="0.3">
      <c r="A1805" s="19">
        <f t="shared" ref="A1805:A1868" si="144">WORKDAY(A1804,1)</f>
        <v>48442</v>
      </c>
      <c r="B1805">
        <f t="shared" ca="1" si="140"/>
        <v>-6.3611111111111107</v>
      </c>
      <c r="C1805" t="str">
        <f ca="1">IF(currency="USD",'Future et co'!D1805,IF(currency="EUR",'Future et co'!E1805,IF(currency="GBP",'Future et co'!F1805,FALSE)))</f>
        <v>RFR USD</v>
      </c>
      <c r="D1805" t="str">
        <f t="shared" ca="1" si="141"/>
        <v>RFR USD</v>
      </c>
      <c r="E1805" t="str">
        <f t="shared" ca="1" si="142"/>
        <v>RFR EUR</v>
      </c>
      <c r="F1805" t="str">
        <f t="shared" ca="1" si="143"/>
        <v>RFR GBP</v>
      </c>
      <c r="J1805" s="1"/>
      <c r="N1805" s="1"/>
      <c r="R1805" s="1"/>
      <c r="V1805" s="1"/>
      <c r="AB1805" s="1"/>
      <c r="AF1805" s="1"/>
      <c r="AJ1805" s="1"/>
      <c r="AN1805" s="1"/>
      <c r="AS1805" s="1"/>
      <c r="AX1805" s="1"/>
    </row>
    <row r="1806" spans="1:50" x14ac:dyDescent="0.3">
      <c r="A1806" s="19">
        <f t="shared" si="144"/>
        <v>48443</v>
      </c>
      <c r="B1806">
        <f t="shared" ca="1" si="140"/>
        <v>-6.3638888888888889</v>
      </c>
      <c r="C1806" t="str">
        <f ca="1">IF(currency="USD",'Future et co'!D1806,IF(currency="EUR",'Future et co'!E1806,IF(currency="GBP",'Future et co'!F1806,FALSE)))</f>
        <v>RFR USD</v>
      </c>
      <c r="D1806" t="str">
        <f t="shared" ca="1" si="141"/>
        <v>RFR USD</v>
      </c>
      <c r="E1806" t="str">
        <f t="shared" ca="1" si="142"/>
        <v>RFR EUR</v>
      </c>
      <c r="F1806" t="str">
        <f t="shared" ca="1" si="143"/>
        <v>RFR GBP</v>
      </c>
      <c r="J1806" s="1"/>
      <c r="N1806" s="1"/>
      <c r="R1806" s="1"/>
      <c r="V1806" s="1"/>
      <c r="AB1806" s="1"/>
      <c r="AF1806" s="1"/>
      <c r="AJ1806" s="1"/>
      <c r="AN1806" s="1"/>
      <c r="AS1806" s="1"/>
      <c r="AX1806" s="1"/>
    </row>
    <row r="1807" spans="1:50" x14ac:dyDescent="0.3">
      <c r="A1807" s="19">
        <f t="shared" si="144"/>
        <v>48444</v>
      </c>
      <c r="B1807">
        <f t="shared" ca="1" si="140"/>
        <v>-6.3666666666666663</v>
      </c>
      <c r="C1807" t="str">
        <f ca="1">IF(currency="USD",'Future et co'!D1807,IF(currency="EUR",'Future et co'!E1807,IF(currency="GBP",'Future et co'!F1807,FALSE)))</f>
        <v>RFR USD</v>
      </c>
      <c r="D1807" t="str">
        <f t="shared" ca="1" si="141"/>
        <v>RFR USD</v>
      </c>
      <c r="E1807" t="str">
        <f t="shared" ca="1" si="142"/>
        <v>RFR EUR</v>
      </c>
      <c r="F1807" t="str">
        <f t="shared" ca="1" si="143"/>
        <v>RFR GBP</v>
      </c>
      <c r="J1807" s="1"/>
      <c r="N1807" s="1"/>
      <c r="R1807" s="1"/>
      <c r="V1807" s="1"/>
      <c r="AB1807" s="1"/>
      <c r="AF1807" s="1"/>
      <c r="AJ1807" s="1"/>
      <c r="AN1807" s="1"/>
      <c r="AS1807" s="1"/>
      <c r="AX1807" s="1"/>
    </row>
    <row r="1808" spans="1:50" x14ac:dyDescent="0.3">
      <c r="A1808" s="19">
        <f t="shared" si="144"/>
        <v>48445</v>
      </c>
      <c r="B1808">
        <f t="shared" ca="1" si="140"/>
        <v>-6.3694444444444445</v>
      </c>
      <c r="C1808" t="str">
        <f ca="1">IF(currency="USD",'Future et co'!D1808,IF(currency="EUR",'Future et co'!E1808,IF(currency="GBP",'Future et co'!F1808,FALSE)))</f>
        <v>RFR USD</v>
      </c>
      <c r="D1808" t="str">
        <f t="shared" ca="1" si="141"/>
        <v>RFR USD</v>
      </c>
      <c r="E1808" t="str">
        <f t="shared" ca="1" si="142"/>
        <v>RFR EUR</v>
      </c>
      <c r="F1808" t="str">
        <f t="shared" ca="1" si="143"/>
        <v>RFR GBP</v>
      </c>
      <c r="J1808" s="1"/>
      <c r="N1808" s="1"/>
      <c r="R1808" s="1"/>
      <c r="V1808" s="1"/>
      <c r="AB1808" s="1"/>
      <c r="AF1808" s="1"/>
      <c r="AJ1808" s="1"/>
      <c r="AN1808" s="1"/>
      <c r="AS1808" s="1"/>
      <c r="AX1808" s="1"/>
    </row>
    <row r="1809" spans="1:50" x14ac:dyDescent="0.3">
      <c r="A1809" s="19">
        <f t="shared" si="144"/>
        <v>48446</v>
      </c>
      <c r="B1809">
        <f t="shared" ca="1" si="140"/>
        <v>-6.3722222222222218</v>
      </c>
      <c r="C1809" t="str">
        <f ca="1">IF(currency="USD",'Future et co'!D1809,IF(currency="EUR",'Future et co'!E1809,IF(currency="GBP",'Future et co'!F1809,FALSE)))</f>
        <v>RFR USD</v>
      </c>
      <c r="D1809" t="str">
        <f t="shared" ca="1" si="141"/>
        <v>RFR USD</v>
      </c>
      <c r="E1809" t="str">
        <f t="shared" ca="1" si="142"/>
        <v>RFR EUR</v>
      </c>
      <c r="F1809" t="str">
        <f t="shared" ca="1" si="143"/>
        <v>RFR GBP</v>
      </c>
      <c r="J1809" s="1"/>
      <c r="N1809" s="1"/>
      <c r="R1809" s="1"/>
      <c r="V1809" s="1"/>
      <c r="AB1809" s="1"/>
      <c r="AF1809" s="1"/>
      <c r="AJ1809" s="1"/>
      <c r="AN1809" s="1"/>
      <c r="AS1809" s="1"/>
      <c r="AX1809" s="1"/>
    </row>
    <row r="1810" spans="1:50" x14ac:dyDescent="0.3">
      <c r="A1810" s="19">
        <f t="shared" si="144"/>
        <v>48449</v>
      </c>
      <c r="B1810">
        <f t="shared" ca="1" si="140"/>
        <v>-6.3805555555555555</v>
      </c>
      <c r="C1810" t="str">
        <f ca="1">IF(currency="USD",'Future et co'!D1810,IF(currency="EUR",'Future et co'!E1810,IF(currency="GBP",'Future et co'!F1810,FALSE)))</f>
        <v>RFR USD</v>
      </c>
      <c r="D1810" t="str">
        <f t="shared" ca="1" si="141"/>
        <v>RFR USD</v>
      </c>
      <c r="E1810" t="str">
        <f t="shared" ca="1" si="142"/>
        <v>RFR EUR</v>
      </c>
      <c r="F1810" t="str">
        <f t="shared" ca="1" si="143"/>
        <v>RFR GBP</v>
      </c>
      <c r="J1810" s="1"/>
      <c r="N1810" s="1"/>
      <c r="R1810" s="1"/>
      <c r="V1810" s="1"/>
      <c r="AB1810" s="1"/>
      <c r="AF1810" s="1"/>
      <c r="AJ1810" s="1"/>
      <c r="AN1810" s="1"/>
      <c r="AS1810" s="1"/>
      <c r="AX1810" s="1"/>
    </row>
    <row r="1811" spans="1:50" x14ac:dyDescent="0.3">
      <c r="A1811" s="19">
        <f t="shared" si="144"/>
        <v>48450</v>
      </c>
      <c r="B1811">
        <f t="shared" ca="1" si="140"/>
        <v>-6.3833333333333337</v>
      </c>
      <c r="C1811" t="str">
        <f ca="1">IF(currency="USD",'Future et co'!D1811,IF(currency="EUR",'Future et co'!E1811,IF(currency="GBP",'Future et co'!F1811,FALSE)))</f>
        <v>RFR USD</v>
      </c>
      <c r="D1811" t="str">
        <f t="shared" ca="1" si="141"/>
        <v>RFR USD</v>
      </c>
      <c r="E1811" t="str">
        <f t="shared" ca="1" si="142"/>
        <v>RFR EUR</v>
      </c>
      <c r="F1811" t="str">
        <f t="shared" ca="1" si="143"/>
        <v>RFR GBP</v>
      </c>
      <c r="J1811" s="1"/>
      <c r="N1811" s="1"/>
      <c r="R1811" s="1"/>
      <c r="V1811" s="1"/>
      <c r="AB1811" s="1"/>
      <c r="AF1811" s="1"/>
      <c r="AJ1811" s="1"/>
      <c r="AN1811" s="1"/>
      <c r="AS1811" s="1"/>
      <c r="AX1811" s="1"/>
    </row>
    <row r="1812" spans="1:50" x14ac:dyDescent="0.3">
      <c r="A1812" s="19">
        <f t="shared" si="144"/>
        <v>48451</v>
      </c>
      <c r="B1812">
        <f t="shared" ca="1" si="140"/>
        <v>-6.3861111111111111</v>
      </c>
      <c r="C1812" t="str">
        <f ca="1">IF(currency="USD",'Future et co'!D1812,IF(currency="EUR",'Future et co'!E1812,IF(currency="GBP",'Future et co'!F1812,FALSE)))</f>
        <v>RFR USD</v>
      </c>
      <c r="D1812" t="str">
        <f t="shared" ca="1" si="141"/>
        <v>RFR USD</v>
      </c>
      <c r="E1812" t="str">
        <f t="shared" ca="1" si="142"/>
        <v>RFR EUR</v>
      </c>
      <c r="F1812" t="str">
        <f t="shared" ca="1" si="143"/>
        <v>RFR GBP</v>
      </c>
      <c r="J1812" s="1"/>
      <c r="N1812" s="1"/>
      <c r="R1812" s="1"/>
      <c r="V1812" s="1"/>
      <c r="AB1812" s="1"/>
      <c r="AF1812" s="1"/>
      <c r="AJ1812" s="1"/>
      <c r="AN1812" s="1"/>
      <c r="AS1812" s="1"/>
      <c r="AX1812" s="1"/>
    </row>
    <row r="1813" spans="1:50" x14ac:dyDescent="0.3">
      <c r="A1813" s="19">
        <f t="shared" si="144"/>
        <v>48452</v>
      </c>
      <c r="B1813">
        <f t="shared" ca="1" si="140"/>
        <v>-6.3888888888888893</v>
      </c>
      <c r="C1813" t="str">
        <f ca="1">IF(currency="USD",'Future et co'!D1813,IF(currency="EUR",'Future et co'!E1813,IF(currency="GBP",'Future et co'!F1813,FALSE)))</f>
        <v>RFR USD</v>
      </c>
      <c r="D1813" t="str">
        <f t="shared" ca="1" si="141"/>
        <v>RFR USD</v>
      </c>
      <c r="E1813" t="str">
        <f t="shared" ca="1" si="142"/>
        <v>RFR EUR</v>
      </c>
      <c r="F1813" t="str">
        <f t="shared" ca="1" si="143"/>
        <v>RFR GBP</v>
      </c>
      <c r="J1813" s="1"/>
      <c r="N1813" s="1"/>
      <c r="R1813" s="1"/>
      <c r="V1813" s="1"/>
      <c r="AB1813" s="1"/>
      <c r="AF1813" s="1"/>
      <c r="AJ1813" s="1"/>
      <c r="AN1813" s="1"/>
      <c r="AS1813" s="1"/>
      <c r="AX1813" s="1"/>
    </row>
    <row r="1814" spans="1:50" x14ac:dyDescent="0.3">
      <c r="A1814" s="19">
        <f t="shared" si="144"/>
        <v>48453</v>
      </c>
      <c r="B1814">
        <f t="shared" ca="1" si="140"/>
        <v>-6.3916666666666666</v>
      </c>
      <c r="C1814" t="str">
        <f ca="1">IF(currency="USD",'Future et co'!D1814,IF(currency="EUR",'Future et co'!E1814,IF(currency="GBP",'Future et co'!F1814,FALSE)))</f>
        <v>RFR USD</v>
      </c>
      <c r="D1814" t="str">
        <f t="shared" ca="1" si="141"/>
        <v>RFR USD</v>
      </c>
      <c r="E1814" t="str">
        <f t="shared" ca="1" si="142"/>
        <v>RFR EUR</v>
      </c>
      <c r="F1814" t="str">
        <f t="shared" ca="1" si="143"/>
        <v>RFR GBP</v>
      </c>
      <c r="J1814" s="1"/>
      <c r="N1814" s="1"/>
      <c r="R1814" s="1"/>
      <c r="V1814" s="1"/>
      <c r="AB1814" s="1"/>
      <c r="AF1814" s="1"/>
      <c r="AJ1814" s="1"/>
      <c r="AN1814" s="1"/>
      <c r="AS1814" s="1"/>
      <c r="AX1814" s="1"/>
    </row>
    <row r="1815" spans="1:50" x14ac:dyDescent="0.3">
      <c r="A1815" s="19">
        <f t="shared" si="144"/>
        <v>48456</v>
      </c>
      <c r="B1815">
        <f t="shared" ca="1" si="140"/>
        <v>-6.4</v>
      </c>
      <c r="C1815" t="str">
        <f ca="1">IF(currency="USD",'Future et co'!D1815,IF(currency="EUR",'Future et co'!E1815,IF(currency="GBP",'Future et co'!F1815,FALSE)))</f>
        <v>RFR USD</v>
      </c>
      <c r="D1815" t="str">
        <f t="shared" ca="1" si="141"/>
        <v>RFR USD</v>
      </c>
      <c r="E1815" t="str">
        <f t="shared" ca="1" si="142"/>
        <v>RFR EUR</v>
      </c>
      <c r="F1815" t="str">
        <f t="shared" ca="1" si="143"/>
        <v>RFR GBP</v>
      </c>
      <c r="J1815" s="1"/>
      <c r="N1815" s="1"/>
      <c r="R1815" s="1"/>
      <c r="V1815" s="1"/>
      <c r="AB1815" s="1"/>
      <c r="AF1815" s="1"/>
      <c r="AJ1815" s="1"/>
      <c r="AN1815" s="1"/>
      <c r="AS1815" s="1"/>
      <c r="AX1815" s="1"/>
    </row>
    <row r="1816" spans="1:50" x14ac:dyDescent="0.3">
      <c r="A1816" s="19">
        <f t="shared" si="144"/>
        <v>48457</v>
      </c>
      <c r="B1816">
        <f t="shared" ca="1" si="140"/>
        <v>-6.4027777777777777</v>
      </c>
      <c r="C1816" t="str">
        <f ca="1">IF(currency="USD",'Future et co'!D1816,IF(currency="EUR",'Future et co'!E1816,IF(currency="GBP",'Future et co'!F1816,FALSE)))</f>
        <v>RFR USD</v>
      </c>
      <c r="D1816" t="str">
        <f t="shared" ca="1" si="141"/>
        <v>RFR USD</v>
      </c>
      <c r="E1816" t="str">
        <f t="shared" ca="1" si="142"/>
        <v>RFR EUR</v>
      </c>
      <c r="F1816" t="str">
        <f t="shared" ca="1" si="143"/>
        <v>RFR GBP</v>
      </c>
      <c r="J1816" s="1"/>
      <c r="N1816" s="1"/>
      <c r="R1816" s="1"/>
      <c r="V1816" s="1"/>
      <c r="AB1816" s="1"/>
      <c r="AF1816" s="1"/>
      <c r="AJ1816" s="1"/>
      <c r="AN1816" s="1"/>
      <c r="AS1816" s="1"/>
      <c r="AX1816" s="1"/>
    </row>
    <row r="1817" spans="1:50" x14ac:dyDescent="0.3">
      <c r="A1817" s="19">
        <f t="shared" si="144"/>
        <v>48458</v>
      </c>
      <c r="B1817">
        <f t="shared" ca="1" si="140"/>
        <v>-6.4055555555555559</v>
      </c>
      <c r="C1817" t="str">
        <f ca="1">IF(currency="USD",'Future et co'!D1817,IF(currency="EUR",'Future et co'!E1817,IF(currency="GBP",'Future et co'!F1817,FALSE)))</f>
        <v>RFR USD</v>
      </c>
      <c r="D1817" t="str">
        <f t="shared" ca="1" si="141"/>
        <v>RFR USD</v>
      </c>
      <c r="E1817" t="str">
        <f t="shared" ca="1" si="142"/>
        <v>RFR EUR</v>
      </c>
      <c r="F1817" t="str">
        <f t="shared" ca="1" si="143"/>
        <v>RFR GBP</v>
      </c>
      <c r="J1817" s="1"/>
      <c r="N1817" s="1"/>
      <c r="R1817" s="1"/>
      <c r="V1817" s="1"/>
      <c r="AB1817" s="1"/>
      <c r="AF1817" s="1"/>
      <c r="AJ1817" s="1"/>
      <c r="AN1817" s="1"/>
      <c r="AS1817" s="1"/>
      <c r="AX1817" s="1"/>
    </row>
    <row r="1818" spans="1:50" x14ac:dyDescent="0.3">
      <c r="A1818" s="19">
        <f t="shared" si="144"/>
        <v>48459</v>
      </c>
      <c r="B1818">
        <f t="shared" ca="1" si="140"/>
        <v>-6.4083333333333332</v>
      </c>
      <c r="C1818" t="str">
        <f ca="1">IF(currency="USD",'Future et co'!D1818,IF(currency="EUR",'Future et co'!E1818,IF(currency="GBP",'Future et co'!F1818,FALSE)))</f>
        <v>RFR USD</v>
      </c>
      <c r="D1818" t="str">
        <f t="shared" ca="1" si="141"/>
        <v>RFR USD</v>
      </c>
      <c r="E1818" t="str">
        <f t="shared" ca="1" si="142"/>
        <v>RFR EUR</v>
      </c>
      <c r="F1818" t="str">
        <f t="shared" ca="1" si="143"/>
        <v>RFR GBP</v>
      </c>
      <c r="J1818" s="1"/>
      <c r="N1818" s="1"/>
      <c r="R1818" s="1"/>
      <c r="V1818" s="1"/>
      <c r="AB1818" s="1"/>
      <c r="AF1818" s="1"/>
      <c r="AJ1818" s="1"/>
      <c r="AN1818" s="1"/>
      <c r="AS1818" s="1"/>
      <c r="AX1818" s="1"/>
    </row>
    <row r="1819" spans="1:50" x14ac:dyDescent="0.3">
      <c r="A1819" s="19">
        <f t="shared" si="144"/>
        <v>48460</v>
      </c>
      <c r="B1819">
        <f t="shared" ca="1" si="140"/>
        <v>-6.4111111111111114</v>
      </c>
      <c r="C1819" t="str">
        <f ca="1">IF(currency="USD",'Future et co'!D1819,IF(currency="EUR",'Future et co'!E1819,IF(currency="GBP",'Future et co'!F1819,FALSE)))</f>
        <v>RFR USD</v>
      </c>
      <c r="D1819" t="str">
        <f t="shared" ca="1" si="141"/>
        <v>RFR USD</v>
      </c>
      <c r="E1819" t="str">
        <f t="shared" ca="1" si="142"/>
        <v>RFR EUR</v>
      </c>
      <c r="F1819" t="str">
        <f t="shared" ca="1" si="143"/>
        <v>RFR GBP</v>
      </c>
      <c r="J1819" s="1"/>
      <c r="N1819" s="1"/>
      <c r="R1819" s="1"/>
      <c r="V1819" s="1"/>
      <c r="AB1819" s="1"/>
      <c r="AF1819" s="1"/>
      <c r="AJ1819" s="1"/>
      <c r="AN1819" s="1"/>
      <c r="AS1819" s="1"/>
      <c r="AX1819" s="1"/>
    </row>
    <row r="1820" spans="1:50" x14ac:dyDescent="0.3">
      <c r="A1820" s="19">
        <f t="shared" si="144"/>
        <v>48463</v>
      </c>
      <c r="B1820">
        <f t="shared" ca="1" si="140"/>
        <v>-6.4194444444444443</v>
      </c>
      <c r="C1820" t="str">
        <f ca="1">IF(currency="USD",'Future et co'!D1820,IF(currency="EUR",'Future et co'!E1820,IF(currency="GBP",'Future et co'!F1820,FALSE)))</f>
        <v>RFR USD</v>
      </c>
      <c r="D1820" t="str">
        <f t="shared" ca="1" si="141"/>
        <v>RFR USD</v>
      </c>
      <c r="E1820" t="str">
        <f t="shared" ca="1" si="142"/>
        <v>RFR EUR</v>
      </c>
      <c r="F1820" t="str">
        <f t="shared" ca="1" si="143"/>
        <v>RFR GBP</v>
      </c>
      <c r="J1820" s="1"/>
      <c r="N1820" s="1"/>
      <c r="R1820" s="1"/>
      <c r="V1820" s="1"/>
      <c r="AB1820" s="1"/>
      <c r="AF1820" s="1"/>
      <c r="AJ1820" s="1"/>
      <c r="AN1820" s="1"/>
      <c r="AS1820" s="1"/>
      <c r="AX1820" s="1"/>
    </row>
    <row r="1821" spans="1:50" x14ac:dyDescent="0.3">
      <c r="A1821" s="19">
        <f t="shared" si="144"/>
        <v>48464</v>
      </c>
      <c r="B1821">
        <f t="shared" ca="1" si="140"/>
        <v>-6.4222222222222225</v>
      </c>
      <c r="C1821" t="str">
        <f ca="1">IF(currency="USD",'Future et co'!D1821,IF(currency="EUR",'Future et co'!E1821,IF(currency="GBP",'Future et co'!F1821,FALSE)))</f>
        <v>RFR USD</v>
      </c>
      <c r="D1821" t="str">
        <f t="shared" ca="1" si="141"/>
        <v>RFR USD</v>
      </c>
      <c r="E1821" t="str">
        <f t="shared" ca="1" si="142"/>
        <v>RFR EUR</v>
      </c>
      <c r="F1821" t="str">
        <f t="shared" ca="1" si="143"/>
        <v>RFR GBP</v>
      </c>
      <c r="J1821" s="1"/>
      <c r="N1821" s="1"/>
      <c r="R1821" s="1"/>
      <c r="V1821" s="1"/>
      <c r="AB1821" s="1"/>
      <c r="AF1821" s="1"/>
      <c r="AJ1821" s="1"/>
      <c r="AN1821" s="1"/>
      <c r="AS1821" s="1"/>
      <c r="AX1821" s="1"/>
    </row>
    <row r="1822" spans="1:50" x14ac:dyDescent="0.3">
      <c r="A1822" s="19">
        <f t="shared" si="144"/>
        <v>48465</v>
      </c>
      <c r="B1822">
        <f t="shared" ca="1" si="140"/>
        <v>-6.4249999999999998</v>
      </c>
      <c r="C1822" t="str">
        <f ca="1">IF(currency="USD",'Future et co'!D1822,IF(currency="EUR",'Future et co'!E1822,IF(currency="GBP",'Future et co'!F1822,FALSE)))</f>
        <v>RFR USD</v>
      </c>
      <c r="D1822" t="str">
        <f t="shared" ca="1" si="141"/>
        <v>RFR USD</v>
      </c>
      <c r="E1822" t="str">
        <f t="shared" ca="1" si="142"/>
        <v>RFR EUR</v>
      </c>
      <c r="F1822" t="str">
        <f t="shared" ca="1" si="143"/>
        <v>RFR GBP</v>
      </c>
      <c r="J1822" s="1"/>
      <c r="N1822" s="1"/>
      <c r="R1822" s="1"/>
      <c r="V1822" s="1"/>
      <c r="AB1822" s="1"/>
      <c r="AF1822" s="1"/>
      <c r="AJ1822" s="1"/>
      <c r="AN1822" s="1"/>
      <c r="AS1822" s="1"/>
      <c r="AX1822" s="1"/>
    </row>
    <row r="1823" spans="1:50" x14ac:dyDescent="0.3">
      <c r="A1823" s="19">
        <f t="shared" si="144"/>
        <v>48466</v>
      </c>
      <c r="B1823">
        <f t="shared" ca="1" si="140"/>
        <v>-6.427777777777778</v>
      </c>
      <c r="C1823" t="str">
        <f ca="1">IF(currency="USD",'Future et co'!D1823,IF(currency="EUR",'Future et co'!E1823,IF(currency="GBP",'Future et co'!F1823,FALSE)))</f>
        <v>RFR USD</v>
      </c>
      <c r="D1823" t="str">
        <f t="shared" ca="1" si="141"/>
        <v>RFR USD</v>
      </c>
      <c r="E1823" t="str">
        <f t="shared" ca="1" si="142"/>
        <v>RFR EUR</v>
      </c>
      <c r="F1823" t="str">
        <f t="shared" ca="1" si="143"/>
        <v>RFR GBP</v>
      </c>
      <c r="J1823" s="1"/>
      <c r="N1823" s="1"/>
      <c r="R1823" s="1"/>
      <c r="V1823" s="1"/>
      <c r="AB1823" s="1"/>
      <c r="AF1823" s="1"/>
      <c r="AJ1823" s="1"/>
      <c r="AN1823" s="1"/>
      <c r="AS1823" s="1"/>
      <c r="AX1823" s="1"/>
    </row>
    <row r="1824" spans="1:50" x14ac:dyDescent="0.3">
      <c r="A1824" s="19">
        <f t="shared" si="144"/>
        <v>48467</v>
      </c>
      <c r="B1824">
        <f t="shared" ca="1" si="140"/>
        <v>-6.4305555555555554</v>
      </c>
      <c r="C1824" t="str">
        <f ca="1">IF(currency="USD",'Future et co'!D1824,IF(currency="EUR",'Future et co'!E1824,IF(currency="GBP",'Future et co'!F1824,FALSE)))</f>
        <v>RFR USD</v>
      </c>
      <c r="D1824" t="str">
        <f t="shared" ca="1" si="141"/>
        <v>RFR USD</v>
      </c>
      <c r="E1824" t="str">
        <f t="shared" ca="1" si="142"/>
        <v>RFR EUR</v>
      </c>
      <c r="F1824" t="str">
        <f t="shared" ca="1" si="143"/>
        <v>RFR GBP</v>
      </c>
      <c r="J1824" s="1"/>
      <c r="N1824" s="1"/>
      <c r="R1824" s="1"/>
      <c r="V1824" s="1"/>
      <c r="AB1824" s="1"/>
      <c r="AF1824" s="1"/>
      <c r="AJ1824" s="1"/>
      <c r="AN1824" s="1"/>
      <c r="AS1824" s="1"/>
      <c r="AX1824" s="1"/>
    </row>
    <row r="1825" spans="1:50" x14ac:dyDescent="0.3">
      <c r="A1825" s="19">
        <f t="shared" si="144"/>
        <v>48470</v>
      </c>
      <c r="B1825">
        <f t="shared" ca="1" si="140"/>
        <v>-6.4388888888888891</v>
      </c>
      <c r="C1825" t="str">
        <f ca="1">IF(currency="USD",'Future et co'!D1825,IF(currency="EUR",'Future et co'!E1825,IF(currency="GBP",'Future et co'!F1825,FALSE)))</f>
        <v>RFR USD</v>
      </c>
      <c r="D1825" t="str">
        <f t="shared" ca="1" si="141"/>
        <v>RFR USD</v>
      </c>
      <c r="E1825" t="str">
        <f t="shared" ca="1" si="142"/>
        <v>RFR EUR</v>
      </c>
      <c r="F1825" t="str">
        <f t="shared" ca="1" si="143"/>
        <v>RFR GBP</v>
      </c>
      <c r="J1825" s="1"/>
      <c r="N1825" s="1"/>
      <c r="R1825" s="1"/>
      <c r="V1825" s="1"/>
      <c r="AB1825" s="1"/>
      <c r="AF1825" s="1"/>
      <c r="AJ1825" s="1"/>
      <c r="AN1825" s="1"/>
      <c r="AS1825" s="1"/>
      <c r="AX1825" s="1"/>
    </row>
    <row r="1826" spans="1:50" x14ac:dyDescent="0.3">
      <c r="A1826" s="19">
        <f t="shared" si="144"/>
        <v>48471</v>
      </c>
      <c r="B1826">
        <f t="shared" ca="1" si="140"/>
        <v>-6.4416666666666664</v>
      </c>
      <c r="C1826" t="str">
        <f ca="1">IF(currency="USD",'Future et co'!D1826,IF(currency="EUR",'Future et co'!E1826,IF(currency="GBP",'Future et co'!F1826,FALSE)))</f>
        <v>RFR USD</v>
      </c>
      <c r="D1826" t="str">
        <f t="shared" ca="1" si="141"/>
        <v>RFR USD</v>
      </c>
      <c r="E1826" t="str">
        <f t="shared" ca="1" si="142"/>
        <v>RFR EUR</v>
      </c>
      <c r="F1826" t="str">
        <f t="shared" ca="1" si="143"/>
        <v>RFR GBP</v>
      </c>
      <c r="J1826" s="1"/>
      <c r="N1826" s="1"/>
      <c r="R1826" s="1"/>
      <c r="V1826" s="1"/>
      <c r="AB1826" s="1"/>
      <c r="AF1826" s="1"/>
      <c r="AJ1826" s="1"/>
      <c r="AN1826" s="1"/>
      <c r="AS1826" s="1"/>
      <c r="AX1826" s="1"/>
    </row>
    <row r="1827" spans="1:50" x14ac:dyDescent="0.3">
      <c r="A1827" s="19">
        <f t="shared" si="144"/>
        <v>48472</v>
      </c>
      <c r="B1827">
        <f t="shared" ca="1" si="140"/>
        <v>-6.4444444444444446</v>
      </c>
      <c r="C1827" t="str">
        <f ca="1">IF(currency="USD",'Future et co'!D1827,IF(currency="EUR",'Future et co'!E1827,IF(currency="GBP",'Future et co'!F1827,FALSE)))</f>
        <v>RFR USD</v>
      </c>
      <c r="D1827" t="str">
        <f t="shared" ca="1" si="141"/>
        <v>RFR USD</v>
      </c>
      <c r="E1827" t="str">
        <f t="shared" ca="1" si="142"/>
        <v>RFR EUR</v>
      </c>
      <c r="F1827" t="str">
        <f t="shared" ca="1" si="143"/>
        <v>RFR GBP</v>
      </c>
      <c r="J1827" s="1"/>
      <c r="N1827" s="1"/>
      <c r="R1827" s="1"/>
      <c r="V1827" s="1"/>
      <c r="AB1827" s="1"/>
      <c r="AF1827" s="1"/>
      <c r="AJ1827" s="1"/>
      <c r="AN1827" s="1"/>
      <c r="AS1827" s="1"/>
      <c r="AX1827" s="1"/>
    </row>
    <row r="1828" spans="1:50" x14ac:dyDescent="0.3">
      <c r="A1828" s="19">
        <f t="shared" si="144"/>
        <v>48473</v>
      </c>
      <c r="B1828">
        <f t="shared" ca="1" si="140"/>
        <v>-6.447222222222222</v>
      </c>
      <c r="C1828" t="str">
        <f ca="1">IF(currency="USD",'Future et co'!D1828,IF(currency="EUR",'Future et co'!E1828,IF(currency="GBP",'Future et co'!F1828,FALSE)))</f>
        <v>RFR USD</v>
      </c>
      <c r="D1828" t="str">
        <f t="shared" ca="1" si="141"/>
        <v>RFR USD</v>
      </c>
      <c r="E1828" t="str">
        <f t="shared" ca="1" si="142"/>
        <v>RFR EUR</v>
      </c>
      <c r="F1828" t="str">
        <f t="shared" ca="1" si="143"/>
        <v>RFR GBP</v>
      </c>
      <c r="J1828" s="1"/>
      <c r="N1828" s="1"/>
      <c r="R1828" s="1"/>
      <c r="V1828" s="1"/>
      <c r="AB1828" s="1"/>
      <c r="AF1828" s="1"/>
      <c r="AJ1828" s="1"/>
      <c r="AN1828" s="1"/>
      <c r="AS1828" s="1"/>
      <c r="AX1828" s="1"/>
    </row>
    <row r="1829" spans="1:50" x14ac:dyDescent="0.3">
      <c r="A1829" s="19">
        <f t="shared" si="144"/>
        <v>48474</v>
      </c>
      <c r="B1829">
        <f t="shared" ca="1" si="140"/>
        <v>-6.45</v>
      </c>
      <c r="C1829" t="str">
        <f ca="1">IF(currency="USD",'Future et co'!D1829,IF(currency="EUR",'Future et co'!E1829,IF(currency="GBP",'Future et co'!F1829,FALSE)))</f>
        <v>RFR USD</v>
      </c>
      <c r="D1829" t="str">
        <f t="shared" ca="1" si="141"/>
        <v>RFR USD</v>
      </c>
      <c r="E1829" t="str">
        <f t="shared" ca="1" si="142"/>
        <v>RFR EUR</v>
      </c>
      <c r="F1829" t="str">
        <f t="shared" ca="1" si="143"/>
        <v>RFR GBP</v>
      </c>
      <c r="J1829" s="1"/>
      <c r="N1829" s="1"/>
      <c r="R1829" s="1"/>
      <c r="V1829" s="1"/>
      <c r="AB1829" s="1"/>
      <c r="AF1829" s="1"/>
      <c r="AJ1829" s="1"/>
      <c r="AN1829" s="1"/>
      <c r="AS1829" s="1"/>
      <c r="AX1829" s="1"/>
    </row>
    <row r="1830" spans="1:50" x14ac:dyDescent="0.3">
      <c r="A1830" s="19">
        <f t="shared" si="144"/>
        <v>48477</v>
      </c>
      <c r="B1830">
        <f t="shared" ca="1" si="140"/>
        <v>-6.458333333333333</v>
      </c>
      <c r="C1830" t="str">
        <f ca="1">IF(currency="USD",'Future et co'!D1830,IF(currency="EUR",'Future et co'!E1830,IF(currency="GBP",'Future et co'!F1830,FALSE)))</f>
        <v>RFR USD</v>
      </c>
      <c r="D1830" t="str">
        <f t="shared" ca="1" si="141"/>
        <v>RFR USD</v>
      </c>
      <c r="E1830" t="str">
        <f t="shared" ca="1" si="142"/>
        <v>RFR EUR</v>
      </c>
      <c r="F1830" t="str">
        <f t="shared" ca="1" si="143"/>
        <v>RFR GBP</v>
      </c>
      <c r="J1830" s="1"/>
      <c r="N1830" s="1"/>
      <c r="R1830" s="1"/>
      <c r="V1830" s="1"/>
      <c r="AB1830" s="1"/>
      <c r="AF1830" s="1"/>
      <c r="AJ1830" s="1"/>
      <c r="AN1830" s="1"/>
      <c r="AS1830" s="1"/>
      <c r="AX1830" s="1"/>
    </row>
    <row r="1831" spans="1:50" x14ac:dyDescent="0.3">
      <c r="A1831" s="19">
        <f t="shared" si="144"/>
        <v>48478</v>
      </c>
      <c r="B1831">
        <f t="shared" ca="1" si="140"/>
        <v>-6.4611111111111112</v>
      </c>
      <c r="C1831" t="str">
        <f ca="1">IF(currency="USD",'Future et co'!D1831,IF(currency="EUR",'Future et co'!E1831,IF(currency="GBP",'Future et co'!F1831,FALSE)))</f>
        <v>RFR USD</v>
      </c>
      <c r="D1831" t="str">
        <f t="shared" ca="1" si="141"/>
        <v>RFR USD</v>
      </c>
      <c r="E1831" t="str">
        <f t="shared" ca="1" si="142"/>
        <v>RFR EUR</v>
      </c>
      <c r="F1831" t="str">
        <f t="shared" ca="1" si="143"/>
        <v>RFR GBP</v>
      </c>
      <c r="J1831" s="1"/>
      <c r="N1831" s="1"/>
      <c r="R1831" s="1"/>
      <c r="V1831" s="1"/>
      <c r="AB1831" s="1"/>
      <c r="AF1831" s="1"/>
      <c r="AJ1831" s="1"/>
      <c r="AN1831" s="1"/>
      <c r="AS1831" s="1"/>
      <c r="AX1831" s="1"/>
    </row>
    <row r="1832" spans="1:50" x14ac:dyDescent="0.3">
      <c r="A1832" s="19">
        <f t="shared" si="144"/>
        <v>48479</v>
      </c>
      <c r="B1832">
        <f t="shared" ca="1" si="140"/>
        <v>-6.4638888888888886</v>
      </c>
      <c r="C1832" t="str">
        <f ca="1">IF(currency="USD",'Future et co'!D1832,IF(currency="EUR",'Future et co'!E1832,IF(currency="GBP",'Future et co'!F1832,FALSE)))</f>
        <v>RFR USD</v>
      </c>
      <c r="D1832" t="str">
        <f t="shared" ca="1" si="141"/>
        <v>RFR USD</v>
      </c>
      <c r="E1832" t="str">
        <f t="shared" ca="1" si="142"/>
        <v>RFR EUR</v>
      </c>
      <c r="F1832" t="str">
        <f t="shared" ca="1" si="143"/>
        <v>RFR GBP</v>
      </c>
      <c r="J1832" s="1"/>
      <c r="N1832" s="1"/>
      <c r="R1832" s="1"/>
      <c r="V1832" s="1"/>
      <c r="AB1832" s="1"/>
      <c r="AF1832" s="1"/>
      <c r="AJ1832" s="1"/>
      <c r="AN1832" s="1"/>
      <c r="AS1832" s="1"/>
      <c r="AX1832" s="1"/>
    </row>
    <row r="1833" spans="1:50" x14ac:dyDescent="0.3">
      <c r="A1833" s="19">
        <f t="shared" si="144"/>
        <v>48480</v>
      </c>
      <c r="B1833">
        <f t="shared" ca="1" si="140"/>
        <v>-6.4666666666666668</v>
      </c>
      <c r="C1833" t="str">
        <f ca="1">IF(currency="USD",'Future et co'!D1833,IF(currency="EUR",'Future et co'!E1833,IF(currency="GBP",'Future et co'!F1833,FALSE)))</f>
        <v>RFR USD</v>
      </c>
      <c r="D1833" t="str">
        <f t="shared" ca="1" si="141"/>
        <v>RFR USD</v>
      </c>
      <c r="E1833" t="str">
        <f t="shared" ca="1" si="142"/>
        <v>RFR EUR</v>
      </c>
      <c r="F1833" t="str">
        <f t="shared" ca="1" si="143"/>
        <v>RFR GBP</v>
      </c>
      <c r="J1833" s="1"/>
      <c r="N1833" s="1"/>
      <c r="R1833" s="1"/>
      <c r="V1833" s="1"/>
      <c r="AB1833" s="1"/>
      <c r="AF1833" s="1"/>
      <c r="AJ1833" s="1"/>
      <c r="AN1833" s="1"/>
      <c r="AS1833" s="1"/>
      <c r="AX1833" s="1"/>
    </row>
    <row r="1834" spans="1:50" x14ac:dyDescent="0.3">
      <c r="A1834" s="19">
        <f t="shared" si="144"/>
        <v>48481</v>
      </c>
      <c r="B1834">
        <f t="shared" ca="1" si="140"/>
        <v>-6.4694444444444441</v>
      </c>
      <c r="C1834" t="str">
        <f ca="1">IF(currency="USD",'Future et co'!D1834,IF(currency="EUR",'Future et co'!E1834,IF(currency="GBP",'Future et co'!F1834,FALSE)))</f>
        <v>RFR USD</v>
      </c>
      <c r="D1834" t="str">
        <f t="shared" ca="1" si="141"/>
        <v>RFR USD</v>
      </c>
      <c r="E1834" t="str">
        <f t="shared" ca="1" si="142"/>
        <v>RFR EUR</v>
      </c>
      <c r="F1834" t="str">
        <f t="shared" ca="1" si="143"/>
        <v>RFR GBP</v>
      </c>
      <c r="J1834" s="1"/>
      <c r="N1834" s="1"/>
      <c r="R1834" s="1"/>
      <c r="V1834" s="1"/>
      <c r="AB1834" s="1"/>
      <c r="AF1834" s="1"/>
      <c r="AJ1834" s="1"/>
      <c r="AN1834" s="1"/>
      <c r="AS1834" s="1"/>
      <c r="AX1834" s="1"/>
    </row>
    <row r="1835" spans="1:50" x14ac:dyDescent="0.3">
      <c r="A1835" s="19">
        <f t="shared" si="144"/>
        <v>48484</v>
      </c>
      <c r="B1835">
        <f t="shared" ca="1" si="140"/>
        <v>-6.4777777777777779</v>
      </c>
      <c r="C1835" t="str">
        <f ca="1">IF(currency="USD",'Future et co'!D1835,IF(currency="EUR",'Future et co'!E1835,IF(currency="GBP",'Future et co'!F1835,FALSE)))</f>
        <v>RFR USD</v>
      </c>
      <c r="D1835" t="str">
        <f t="shared" ca="1" si="141"/>
        <v>RFR USD</v>
      </c>
      <c r="E1835" t="str">
        <f t="shared" ca="1" si="142"/>
        <v>RFR EUR</v>
      </c>
      <c r="F1835" t="str">
        <f t="shared" ca="1" si="143"/>
        <v>RFR GBP</v>
      </c>
      <c r="J1835" s="1"/>
      <c r="N1835" s="1"/>
      <c r="R1835" s="1"/>
      <c r="V1835" s="1"/>
      <c r="AB1835" s="1"/>
      <c r="AF1835" s="1"/>
      <c r="AJ1835" s="1"/>
      <c r="AN1835" s="1"/>
      <c r="AS1835" s="1"/>
      <c r="AX1835" s="1"/>
    </row>
    <row r="1836" spans="1:50" x14ac:dyDescent="0.3">
      <c r="A1836" s="19">
        <f t="shared" si="144"/>
        <v>48485</v>
      </c>
      <c r="B1836">
        <f t="shared" ca="1" si="140"/>
        <v>-6.4805555555555552</v>
      </c>
      <c r="C1836" t="str">
        <f ca="1">IF(currency="USD",'Future et co'!D1836,IF(currency="EUR",'Future et co'!E1836,IF(currency="GBP",'Future et co'!F1836,FALSE)))</f>
        <v>RFR USD</v>
      </c>
      <c r="D1836" t="str">
        <f t="shared" ca="1" si="141"/>
        <v>RFR USD</v>
      </c>
      <c r="E1836" t="str">
        <f t="shared" ca="1" si="142"/>
        <v>RFR EUR</v>
      </c>
      <c r="F1836" t="str">
        <f t="shared" ca="1" si="143"/>
        <v>RFR GBP</v>
      </c>
      <c r="J1836" s="1"/>
      <c r="N1836" s="1"/>
      <c r="R1836" s="1"/>
      <c r="V1836" s="1"/>
      <c r="AB1836" s="1"/>
      <c r="AF1836" s="1"/>
      <c r="AJ1836" s="1"/>
      <c r="AN1836" s="1"/>
      <c r="AS1836" s="1"/>
      <c r="AX1836" s="1"/>
    </row>
    <row r="1837" spans="1:50" x14ac:dyDescent="0.3">
      <c r="A1837" s="19">
        <f t="shared" si="144"/>
        <v>48486</v>
      </c>
      <c r="B1837">
        <f t="shared" ca="1" si="140"/>
        <v>-6.4833333333333334</v>
      </c>
      <c r="C1837" t="str">
        <f ca="1">IF(currency="USD",'Future et co'!D1837,IF(currency="EUR",'Future et co'!E1837,IF(currency="GBP",'Future et co'!F1837,FALSE)))</f>
        <v>RFR USD</v>
      </c>
      <c r="D1837" t="str">
        <f t="shared" ca="1" si="141"/>
        <v>RFR USD</v>
      </c>
      <c r="E1837" t="str">
        <f t="shared" ca="1" si="142"/>
        <v>RFR EUR</v>
      </c>
      <c r="F1837" t="str">
        <f t="shared" ca="1" si="143"/>
        <v>RFR GBP</v>
      </c>
      <c r="J1837" s="1"/>
      <c r="N1837" s="1"/>
      <c r="R1837" s="1"/>
      <c r="V1837" s="1"/>
      <c r="AB1837" s="1"/>
      <c r="AF1837" s="1"/>
      <c r="AJ1837" s="1"/>
      <c r="AN1837" s="1"/>
      <c r="AS1837" s="1"/>
      <c r="AX1837" s="1"/>
    </row>
    <row r="1838" spans="1:50" x14ac:dyDescent="0.3">
      <c r="A1838" s="19">
        <f t="shared" si="144"/>
        <v>48487</v>
      </c>
      <c r="B1838">
        <f t="shared" ca="1" si="140"/>
        <v>-6.4861111111111107</v>
      </c>
      <c r="C1838" t="str">
        <f ca="1">IF(currency="USD",'Future et co'!D1838,IF(currency="EUR",'Future et co'!E1838,IF(currency="GBP",'Future et co'!F1838,FALSE)))</f>
        <v>RFR USD</v>
      </c>
      <c r="D1838" t="str">
        <f t="shared" ca="1" si="141"/>
        <v>RFR USD</v>
      </c>
      <c r="E1838" t="str">
        <f t="shared" ca="1" si="142"/>
        <v>RFR EUR</v>
      </c>
      <c r="F1838" t="str">
        <f t="shared" ca="1" si="143"/>
        <v>RFR GBP</v>
      </c>
      <c r="J1838" s="1"/>
      <c r="N1838" s="1"/>
      <c r="R1838" s="1"/>
      <c r="V1838" s="1"/>
      <c r="AB1838" s="1"/>
      <c r="AF1838" s="1"/>
      <c r="AJ1838" s="1"/>
      <c r="AN1838" s="1"/>
      <c r="AS1838" s="1"/>
      <c r="AX1838" s="1"/>
    </row>
    <row r="1839" spans="1:50" x14ac:dyDescent="0.3">
      <c r="A1839" s="19">
        <f t="shared" si="144"/>
        <v>48488</v>
      </c>
      <c r="B1839">
        <f t="shared" ca="1" si="140"/>
        <v>-6.4888888888888889</v>
      </c>
      <c r="C1839" t="str">
        <f ca="1">IF(currency="USD",'Future et co'!D1839,IF(currency="EUR",'Future et co'!E1839,IF(currency="GBP",'Future et co'!F1839,FALSE)))</f>
        <v>RFR USD</v>
      </c>
      <c r="D1839" t="str">
        <f t="shared" ca="1" si="141"/>
        <v>RFR USD</v>
      </c>
      <c r="E1839" t="str">
        <f t="shared" ca="1" si="142"/>
        <v>RFR EUR</v>
      </c>
      <c r="F1839" t="str">
        <f t="shared" ca="1" si="143"/>
        <v>RFR GBP</v>
      </c>
      <c r="J1839" s="1"/>
      <c r="N1839" s="1"/>
      <c r="R1839" s="1"/>
      <c r="V1839" s="1"/>
      <c r="AB1839" s="1"/>
      <c r="AF1839" s="1"/>
      <c r="AJ1839" s="1"/>
      <c r="AN1839" s="1"/>
      <c r="AS1839" s="1"/>
      <c r="AX1839" s="1"/>
    </row>
    <row r="1840" spans="1:50" x14ac:dyDescent="0.3">
      <c r="A1840" s="19">
        <f t="shared" si="144"/>
        <v>48491</v>
      </c>
      <c r="B1840">
        <f t="shared" ca="1" si="140"/>
        <v>-6.4972222222222218</v>
      </c>
      <c r="C1840" t="str">
        <f ca="1">IF(currency="USD",'Future et co'!D1840,IF(currency="EUR",'Future et co'!E1840,IF(currency="GBP",'Future et co'!F1840,FALSE)))</f>
        <v>RFR USD</v>
      </c>
      <c r="D1840" t="str">
        <f t="shared" ca="1" si="141"/>
        <v>RFR USD</v>
      </c>
      <c r="E1840" t="str">
        <f t="shared" ca="1" si="142"/>
        <v>RFR EUR</v>
      </c>
      <c r="F1840" t="str">
        <f t="shared" ca="1" si="143"/>
        <v>RFR GBP</v>
      </c>
      <c r="J1840" s="1"/>
      <c r="N1840" s="1"/>
      <c r="R1840" s="1"/>
      <c r="V1840" s="1"/>
      <c r="AB1840" s="1"/>
      <c r="AF1840" s="1"/>
      <c r="AJ1840" s="1"/>
      <c r="AN1840" s="1"/>
      <c r="AS1840" s="1"/>
      <c r="AX1840" s="1"/>
    </row>
    <row r="1841" spans="1:50" x14ac:dyDescent="0.3">
      <c r="A1841" s="19">
        <f t="shared" si="144"/>
        <v>48492</v>
      </c>
      <c r="B1841">
        <f t="shared" ca="1" si="140"/>
        <v>-6.5</v>
      </c>
      <c r="C1841" t="str">
        <f ca="1">IF(currency="USD",'Future et co'!D1841,IF(currency="EUR",'Future et co'!E1841,IF(currency="GBP",'Future et co'!F1841,FALSE)))</f>
        <v>RFR USD</v>
      </c>
      <c r="D1841" t="str">
        <f t="shared" ca="1" si="141"/>
        <v>RFR USD</v>
      </c>
      <c r="E1841" t="str">
        <f t="shared" ca="1" si="142"/>
        <v>RFR EUR</v>
      </c>
      <c r="F1841" t="str">
        <f t="shared" ca="1" si="143"/>
        <v>RFR GBP</v>
      </c>
      <c r="J1841" s="1"/>
      <c r="N1841" s="1"/>
      <c r="R1841" s="1"/>
      <c r="V1841" s="1"/>
      <c r="AB1841" s="1"/>
      <c r="AF1841" s="1"/>
      <c r="AJ1841" s="1"/>
      <c r="AN1841" s="1"/>
      <c r="AS1841" s="1"/>
      <c r="AX1841" s="1"/>
    </row>
    <row r="1842" spans="1:50" x14ac:dyDescent="0.3">
      <c r="A1842" s="19">
        <f t="shared" si="144"/>
        <v>48493</v>
      </c>
      <c r="B1842">
        <f t="shared" ca="1" si="140"/>
        <v>-6.5027777777777782</v>
      </c>
      <c r="C1842" t="str">
        <f ca="1">IF(currency="USD",'Future et co'!D1842,IF(currency="EUR",'Future et co'!E1842,IF(currency="GBP",'Future et co'!F1842,FALSE)))</f>
        <v>RFR USD</v>
      </c>
      <c r="D1842" t="str">
        <f t="shared" ca="1" si="141"/>
        <v>RFR USD</v>
      </c>
      <c r="E1842" t="str">
        <f t="shared" ca="1" si="142"/>
        <v>RFR EUR</v>
      </c>
      <c r="F1842" t="str">
        <f t="shared" ca="1" si="143"/>
        <v>RFR GBP</v>
      </c>
      <c r="J1842" s="1"/>
      <c r="N1842" s="1"/>
      <c r="R1842" s="1"/>
      <c r="V1842" s="1"/>
      <c r="AB1842" s="1"/>
      <c r="AF1842" s="1"/>
      <c r="AJ1842" s="1"/>
      <c r="AN1842" s="1"/>
      <c r="AS1842" s="1"/>
      <c r="AX1842" s="1"/>
    </row>
    <row r="1843" spans="1:50" x14ac:dyDescent="0.3">
      <c r="A1843" s="19">
        <f t="shared" si="144"/>
        <v>48494</v>
      </c>
      <c r="B1843">
        <f t="shared" ca="1" si="140"/>
        <v>-6.5055555555555555</v>
      </c>
      <c r="C1843" t="str">
        <f ca="1">IF(currency="USD",'Future et co'!D1843,IF(currency="EUR",'Future et co'!E1843,IF(currency="GBP",'Future et co'!F1843,FALSE)))</f>
        <v>RFR USD</v>
      </c>
      <c r="D1843" t="str">
        <f t="shared" ca="1" si="141"/>
        <v>RFR USD</v>
      </c>
      <c r="E1843" t="str">
        <f t="shared" ca="1" si="142"/>
        <v>RFR EUR</v>
      </c>
      <c r="F1843" t="str">
        <f t="shared" ca="1" si="143"/>
        <v>RFR GBP</v>
      </c>
      <c r="J1843" s="1"/>
      <c r="N1843" s="1"/>
      <c r="R1843" s="1"/>
      <c r="V1843" s="1"/>
      <c r="AB1843" s="1"/>
      <c r="AF1843" s="1"/>
      <c r="AJ1843" s="1"/>
      <c r="AN1843" s="1"/>
      <c r="AS1843" s="1"/>
      <c r="AX1843" s="1"/>
    </row>
    <row r="1844" spans="1:50" x14ac:dyDescent="0.3">
      <c r="A1844" s="19">
        <f t="shared" si="144"/>
        <v>48495</v>
      </c>
      <c r="B1844">
        <f t="shared" ca="1" si="140"/>
        <v>-6.5083333333333337</v>
      </c>
      <c r="C1844" t="str">
        <f ca="1">IF(currency="USD",'Future et co'!D1844,IF(currency="EUR",'Future et co'!E1844,IF(currency="GBP",'Future et co'!F1844,FALSE)))</f>
        <v>RFR USD</v>
      </c>
      <c r="D1844" t="str">
        <f t="shared" ca="1" si="141"/>
        <v>RFR USD</v>
      </c>
      <c r="E1844" t="str">
        <f t="shared" ca="1" si="142"/>
        <v>RFR EUR</v>
      </c>
      <c r="F1844" t="str">
        <f t="shared" ca="1" si="143"/>
        <v>RFR GBP</v>
      </c>
      <c r="J1844" s="1"/>
      <c r="N1844" s="1"/>
      <c r="R1844" s="1"/>
      <c r="V1844" s="1"/>
      <c r="AB1844" s="1"/>
      <c r="AF1844" s="1"/>
      <c r="AJ1844" s="1"/>
      <c r="AN1844" s="1"/>
      <c r="AS1844" s="1"/>
      <c r="AX1844" s="1"/>
    </row>
    <row r="1845" spans="1:50" x14ac:dyDescent="0.3">
      <c r="A1845" s="19">
        <f t="shared" si="144"/>
        <v>48498</v>
      </c>
      <c r="B1845">
        <f t="shared" ca="1" si="140"/>
        <v>-6.5166666666666666</v>
      </c>
      <c r="C1845" t="str">
        <f ca="1">IF(currency="USD",'Future et co'!D1845,IF(currency="EUR",'Future et co'!E1845,IF(currency="GBP",'Future et co'!F1845,FALSE)))</f>
        <v>RFR USD</v>
      </c>
      <c r="D1845" t="str">
        <f t="shared" ca="1" si="141"/>
        <v>RFR USD</v>
      </c>
      <c r="E1845" t="str">
        <f t="shared" ca="1" si="142"/>
        <v>RFR EUR</v>
      </c>
      <c r="F1845" t="str">
        <f t="shared" ca="1" si="143"/>
        <v>RFR GBP</v>
      </c>
      <c r="J1845" s="1"/>
      <c r="N1845" s="1"/>
      <c r="R1845" s="1"/>
      <c r="V1845" s="1"/>
      <c r="AB1845" s="1"/>
      <c r="AF1845" s="1"/>
      <c r="AJ1845" s="1"/>
      <c r="AN1845" s="1"/>
      <c r="AS1845" s="1"/>
      <c r="AX1845" s="1"/>
    </row>
    <row r="1846" spans="1:50" x14ac:dyDescent="0.3">
      <c r="A1846" s="19">
        <f t="shared" si="144"/>
        <v>48499</v>
      </c>
      <c r="B1846">
        <f t="shared" ca="1" si="140"/>
        <v>-6.5194444444444448</v>
      </c>
      <c r="C1846" t="str">
        <f ca="1">IF(currency="USD",'Future et co'!D1846,IF(currency="EUR",'Future et co'!E1846,IF(currency="GBP",'Future et co'!F1846,FALSE)))</f>
        <v>RFR USD</v>
      </c>
      <c r="D1846" t="str">
        <f t="shared" ca="1" si="141"/>
        <v>RFR USD</v>
      </c>
      <c r="E1846" t="str">
        <f t="shared" ca="1" si="142"/>
        <v>RFR EUR</v>
      </c>
      <c r="F1846" t="str">
        <f t="shared" ca="1" si="143"/>
        <v>RFR GBP</v>
      </c>
      <c r="J1846" s="1"/>
      <c r="N1846" s="1"/>
      <c r="R1846" s="1"/>
      <c r="V1846" s="1"/>
      <c r="AB1846" s="1"/>
      <c r="AF1846" s="1"/>
      <c r="AJ1846" s="1"/>
      <c r="AN1846" s="1"/>
      <c r="AS1846" s="1"/>
      <c r="AX1846" s="1"/>
    </row>
    <row r="1847" spans="1:50" x14ac:dyDescent="0.3">
      <c r="A1847" s="19">
        <f t="shared" si="144"/>
        <v>48500</v>
      </c>
      <c r="B1847">
        <f t="shared" ca="1" si="140"/>
        <v>-6.5222222222222221</v>
      </c>
      <c r="C1847" t="str">
        <f ca="1">IF(currency="USD",'Future et co'!D1847,IF(currency="EUR",'Future et co'!E1847,IF(currency="GBP",'Future et co'!F1847,FALSE)))</f>
        <v>RFR USD</v>
      </c>
      <c r="D1847" t="str">
        <f t="shared" ca="1" si="141"/>
        <v>RFR USD</v>
      </c>
      <c r="E1847" t="str">
        <f t="shared" ca="1" si="142"/>
        <v>RFR EUR</v>
      </c>
      <c r="F1847" t="str">
        <f t="shared" ca="1" si="143"/>
        <v>RFR GBP</v>
      </c>
      <c r="J1847" s="1"/>
      <c r="N1847" s="1"/>
      <c r="R1847" s="1"/>
      <c r="V1847" s="1"/>
      <c r="AB1847" s="1"/>
      <c r="AF1847" s="1"/>
      <c r="AJ1847" s="1"/>
      <c r="AN1847" s="1"/>
      <c r="AS1847" s="1"/>
      <c r="AX1847" s="1"/>
    </row>
    <row r="1848" spans="1:50" x14ac:dyDescent="0.3">
      <c r="A1848" s="19">
        <f t="shared" si="144"/>
        <v>48501</v>
      </c>
      <c r="B1848">
        <f t="shared" ca="1" si="140"/>
        <v>-6.5250000000000004</v>
      </c>
      <c r="C1848" t="str">
        <f ca="1">IF(currency="USD",'Future et co'!D1848,IF(currency="EUR",'Future et co'!E1848,IF(currency="GBP",'Future et co'!F1848,FALSE)))</f>
        <v>RFR USD</v>
      </c>
      <c r="D1848" t="str">
        <f t="shared" ca="1" si="141"/>
        <v>RFR USD</v>
      </c>
      <c r="E1848" t="str">
        <f t="shared" ca="1" si="142"/>
        <v>RFR EUR</v>
      </c>
      <c r="F1848" t="str">
        <f t="shared" ca="1" si="143"/>
        <v>RFR GBP</v>
      </c>
      <c r="J1848" s="1"/>
      <c r="N1848" s="1"/>
      <c r="R1848" s="1"/>
      <c r="V1848" s="1"/>
      <c r="AB1848" s="1"/>
      <c r="AF1848" s="1"/>
      <c r="AJ1848" s="1"/>
      <c r="AN1848" s="1"/>
      <c r="AS1848" s="1"/>
      <c r="AX1848" s="1"/>
    </row>
    <row r="1849" spans="1:50" x14ac:dyDescent="0.3">
      <c r="A1849" s="19">
        <f t="shared" si="144"/>
        <v>48502</v>
      </c>
      <c r="B1849">
        <f t="shared" ca="1" si="140"/>
        <v>-6.5277777777777777</v>
      </c>
      <c r="C1849" t="str">
        <f ca="1">IF(currency="USD",'Future et co'!D1849,IF(currency="EUR",'Future et co'!E1849,IF(currency="GBP",'Future et co'!F1849,FALSE)))</f>
        <v>RFR USD</v>
      </c>
      <c r="D1849" t="str">
        <f t="shared" ca="1" si="141"/>
        <v>RFR USD</v>
      </c>
      <c r="E1849" t="str">
        <f t="shared" ca="1" si="142"/>
        <v>RFR EUR</v>
      </c>
      <c r="F1849" t="str">
        <f t="shared" ca="1" si="143"/>
        <v>RFR GBP</v>
      </c>
      <c r="J1849" s="1"/>
      <c r="N1849" s="1"/>
      <c r="R1849" s="1"/>
      <c r="V1849" s="1"/>
      <c r="AB1849" s="1"/>
      <c r="AF1849" s="1"/>
      <c r="AJ1849" s="1"/>
      <c r="AN1849" s="1"/>
      <c r="AS1849" s="1"/>
      <c r="AX1849" s="1"/>
    </row>
    <row r="1850" spans="1:50" x14ac:dyDescent="0.3">
      <c r="A1850" s="19">
        <f t="shared" si="144"/>
        <v>48505</v>
      </c>
      <c r="B1850">
        <f t="shared" ca="1" si="140"/>
        <v>-6.5361111111111114</v>
      </c>
      <c r="C1850" t="str">
        <f ca="1">IF(currency="USD",'Future et co'!D1850,IF(currency="EUR",'Future et co'!E1850,IF(currency="GBP",'Future et co'!F1850,FALSE)))</f>
        <v>RFR USD</v>
      </c>
      <c r="D1850" t="str">
        <f t="shared" ca="1" si="141"/>
        <v>RFR USD</v>
      </c>
      <c r="E1850" t="str">
        <f t="shared" ca="1" si="142"/>
        <v>RFR EUR</v>
      </c>
      <c r="F1850" t="str">
        <f t="shared" ca="1" si="143"/>
        <v>RFR GBP</v>
      </c>
      <c r="J1850" s="1"/>
      <c r="N1850" s="1"/>
      <c r="R1850" s="1"/>
      <c r="V1850" s="1"/>
      <c r="AB1850" s="1"/>
      <c r="AF1850" s="1"/>
      <c r="AJ1850" s="1"/>
      <c r="AN1850" s="1"/>
      <c r="AS1850" s="1"/>
      <c r="AX1850" s="1"/>
    </row>
    <row r="1851" spans="1:50" x14ac:dyDescent="0.3">
      <c r="A1851" s="19">
        <f t="shared" si="144"/>
        <v>48506</v>
      </c>
      <c r="B1851">
        <f t="shared" ca="1" si="140"/>
        <v>-6.5388888888888888</v>
      </c>
      <c r="C1851" t="str">
        <f ca="1">IF(currency="USD",'Future et co'!D1851,IF(currency="EUR",'Future et co'!E1851,IF(currency="GBP",'Future et co'!F1851,FALSE)))</f>
        <v>RFR USD</v>
      </c>
      <c r="D1851" t="str">
        <f t="shared" ca="1" si="141"/>
        <v>RFR USD</v>
      </c>
      <c r="E1851" t="str">
        <f t="shared" ca="1" si="142"/>
        <v>RFR EUR</v>
      </c>
      <c r="F1851" t="str">
        <f t="shared" ca="1" si="143"/>
        <v>RFR GBP</v>
      </c>
      <c r="J1851" s="1"/>
      <c r="N1851" s="1"/>
      <c r="R1851" s="1"/>
      <c r="V1851" s="1"/>
      <c r="AB1851" s="1"/>
      <c r="AF1851" s="1"/>
      <c r="AJ1851" s="1"/>
      <c r="AN1851" s="1"/>
      <c r="AS1851" s="1"/>
      <c r="AX1851" s="1"/>
    </row>
    <row r="1852" spans="1:50" x14ac:dyDescent="0.3">
      <c r="A1852" s="19">
        <f t="shared" si="144"/>
        <v>48507</v>
      </c>
      <c r="B1852">
        <f t="shared" ca="1" si="140"/>
        <v>-6.541666666666667</v>
      </c>
      <c r="C1852" t="str">
        <f ca="1">IF(currency="USD",'Future et co'!D1852,IF(currency="EUR",'Future et co'!E1852,IF(currency="GBP",'Future et co'!F1852,FALSE)))</f>
        <v>RFR USD</v>
      </c>
      <c r="D1852" t="str">
        <f t="shared" ca="1" si="141"/>
        <v>RFR USD</v>
      </c>
      <c r="E1852" t="str">
        <f t="shared" ca="1" si="142"/>
        <v>RFR EUR</v>
      </c>
      <c r="F1852" t="str">
        <f t="shared" ca="1" si="143"/>
        <v>RFR GBP</v>
      </c>
      <c r="J1852" s="1"/>
      <c r="N1852" s="1"/>
      <c r="R1852" s="1"/>
      <c r="V1852" s="1"/>
      <c r="AB1852" s="1"/>
      <c r="AF1852" s="1"/>
      <c r="AJ1852" s="1"/>
      <c r="AN1852" s="1"/>
      <c r="AS1852" s="1"/>
      <c r="AX1852" s="1"/>
    </row>
    <row r="1853" spans="1:50" x14ac:dyDescent="0.3">
      <c r="A1853" s="19">
        <f t="shared" si="144"/>
        <v>48508</v>
      </c>
      <c r="B1853">
        <f t="shared" ca="1" si="140"/>
        <v>-6.5444444444444443</v>
      </c>
      <c r="C1853" t="str">
        <f ca="1">IF(currency="USD",'Future et co'!D1853,IF(currency="EUR",'Future et co'!E1853,IF(currency="GBP",'Future et co'!F1853,FALSE)))</f>
        <v>RFR USD</v>
      </c>
      <c r="D1853" t="str">
        <f t="shared" ca="1" si="141"/>
        <v>RFR USD</v>
      </c>
      <c r="E1853" t="str">
        <f t="shared" ca="1" si="142"/>
        <v>RFR EUR</v>
      </c>
      <c r="F1853" t="str">
        <f t="shared" ca="1" si="143"/>
        <v>RFR GBP</v>
      </c>
      <c r="J1853" s="1"/>
      <c r="N1853" s="1"/>
      <c r="R1853" s="1"/>
      <c r="V1853" s="1"/>
      <c r="AB1853" s="1"/>
      <c r="AF1853" s="1"/>
      <c r="AJ1853" s="1"/>
      <c r="AN1853" s="1"/>
      <c r="AS1853" s="1"/>
      <c r="AX1853" s="1"/>
    </row>
    <row r="1854" spans="1:50" x14ac:dyDescent="0.3">
      <c r="A1854" s="19">
        <f t="shared" si="144"/>
        <v>48509</v>
      </c>
      <c r="B1854">
        <f t="shared" ca="1" si="140"/>
        <v>-6.5472222222222225</v>
      </c>
      <c r="C1854" t="str">
        <f ca="1">IF(currency="USD",'Future et co'!D1854,IF(currency="EUR",'Future et co'!E1854,IF(currency="GBP",'Future et co'!F1854,FALSE)))</f>
        <v>RFR USD</v>
      </c>
      <c r="D1854" t="str">
        <f t="shared" ca="1" si="141"/>
        <v>RFR USD</v>
      </c>
      <c r="E1854" t="str">
        <f t="shared" ca="1" si="142"/>
        <v>RFR EUR</v>
      </c>
      <c r="F1854" t="str">
        <f t="shared" ca="1" si="143"/>
        <v>RFR GBP</v>
      </c>
      <c r="J1854" s="1"/>
      <c r="N1854" s="1"/>
      <c r="R1854" s="1"/>
      <c r="V1854" s="1"/>
      <c r="AB1854" s="1"/>
      <c r="AF1854" s="1"/>
      <c r="AJ1854" s="1"/>
      <c r="AN1854" s="1"/>
      <c r="AS1854" s="1"/>
      <c r="AX1854" s="1"/>
    </row>
    <row r="1855" spans="1:50" x14ac:dyDescent="0.3">
      <c r="A1855" s="19">
        <f t="shared" si="144"/>
        <v>48512</v>
      </c>
      <c r="B1855">
        <f t="shared" ca="1" si="140"/>
        <v>-6.5555555555555554</v>
      </c>
      <c r="C1855" t="str">
        <f ca="1">IF(currency="USD",'Future et co'!D1855,IF(currency="EUR",'Future et co'!E1855,IF(currency="GBP",'Future et co'!F1855,FALSE)))</f>
        <v>RFR USD</v>
      </c>
      <c r="D1855" t="str">
        <f t="shared" ca="1" si="141"/>
        <v>RFR USD</v>
      </c>
      <c r="E1855" t="str">
        <f t="shared" ca="1" si="142"/>
        <v>RFR EUR</v>
      </c>
      <c r="F1855" t="str">
        <f t="shared" ca="1" si="143"/>
        <v>RFR GBP</v>
      </c>
      <c r="J1855" s="1"/>
      <c r="N1855" s="1"/>
      <c r="R1855" s="1"/>
      <c r="V1855" s="1"/>
      <c r="AB1855" s="1"/>
      <c r="AF1855" s="1"/>
      <c r="AJ1855" s="1"/>
      <c r="AN1855" s="1"/>
      <c r="AS1855" s="1"/>
      <c r="AX1855" s="1"/>
    </row>
    <row r="1856" spans="1:50" x14ac:dyDescent="0.3">
      <c r="A1856" s="19">
        <f t="shared" si="144"/>
        <v>48513</v>
      </c>
      <c r="B1856">
        <f t="shared" ca="1" si="140"/>
        <v>-6.5583333333333336</v>
      </c>
      <c r="C1856" t="str">
        <f ca="1">IF(currency="USD",'Future et co'!D1856,IF(currency="EUR",'Future et co'!E1856,IF(currency="GBP",'Future et co'!F1856,FALSE)))</f>
        <v>RFR USD</v>
      </c>
      <c r="D1856" t="str">
        <f t="shared" ca="1" si="141"/>
        <v>RFR USD</v>
      </c>
      <c r="E1856" t="str">
        <f t="shared" ca="1" si="142"/>
        <v>RFR EUR</v>
      </c>
      <c r="F1856" t="str">
        <f t="shared" ca="1" si="143"/>
        <v>RFR GBP</v>
      </c>
      <c r="J1856" s="1"/>
      <c r="N1856" s="1"/>
      <c r="R1856" s="1"/>
      <c r="V1856" s="1"/>
      <c r="AB1856" s="1"/>
      <c r="AF1856" s="1"/>
      <c r="AJ1856" s="1"/>
      <c r="AN1856" s="1"/>
      <c r="AS1856" s="1"/>
      <c r="AX1856" s="1"/>
    </row>
    <row r="1857" spans="1:50" x14ac:dyDescent="0.3">
      <c r="A1857" s="19">
        <f t="shared" si="144"/>
        <v>48514</v>
      </c>
      <c r="B1857">
        <f t="shared" ca="1" si="140"/>
        <v>-6.5611111111111109</v>
      </c>
      <c r="C1857" t="str">
        <f ca="1">IF(currency="USD",'Future et co'!D1857,IF(currency="EUR",'Future et co'!E1857,IF(currency="GBP",'Future et co'!F1857,FALSE)))</f>
        <v>RFR USD</v>
      </c>
      <c r="D1857" t="str">
        <f t="shared" ca="1" si="141"/>
        <v>RFR USD</v>
      </c>
      <c r="E1857" t="str">
        <f t="shared" ca="1" si="142"/>
        <v>RFR EUR</v>
      </c>
      <c r="F1857" t="str">
        <f t="shared" ca="1" si="143"/>
        <v>RFR GBP</v>
      </c>
      <c r="J1857" s="1"/>
      <c r="N1857" s="1"/>
      <c r="R1857" s="1"/>
      <c r="V1857" s="1"/>
      <c r="AB1857" s="1"/>
      <c r="AF1857" s="1"/>
      <c r="AJ1857" s="1"/>
      <c r="AN1857" s="1"/>
      <c r="AS1857" s="1"/>
      <c r="AX1857" s="1"/>
    </row>
    <row r="1858" spans="1:50" x14ac:dyDescent="0.3">
      <c r="A1858" s="19">
        <f t="shared" si="144"/>
        <v>48515</v>
      </c>
      <c r="B1858">
        <f t="shared" ca="1" si="140"/>
        <v>-6.5638888888888891</v>
      </c>
      <c r="C1858" t="str">
        <f ca="1">IF(currency="USD",'Future et co'!D1858,IF(currency="EUR",'Future et co'!E1858,IF(currency="GBP",'Future et co'!F1858,FALSE)))</f>
        <v>RFR USD</v>
      </c>
      <c r="D1858" t="str">
        <f t="shared" ca="1" si="141"/>
        <v>RFR USD</v>
      </c>
      <c r="E1858" t="str">
        <f t="shared" ca="1" si="142"/>
        <v>RFR EUR</v>
      </c>
      <c r="F1858" t="str">
        <f t="shared" ca="1" si="143"/>
        <v>RFR GBP</v>
      </c>
      <c r="J1858" s="1"/>
      <c r="N1858" s="1"/>
      <c r="R1858" s="1"/>
      <c r="V1858" s="1"/>
      <c r="AB1858" s="1"/>
      <c r="AF1858" s="1"/>
      <c r="AJ1858" s="1"/>
      <c r="AN1858" s="1"/>
      <c r="AS1858" s="1"/>
      <c r="AX1858" s="1"/>
    </row>
    <row r="1859" spans="1:50" x14ac:dyDescent="0.3">
      <c r="A1859" s="19">
        <f t="shared" si="144"/>
        <v>48516</v>
      </c>
      <c r="B1859">
        <f t="shared" ca="1" si="140"/>
        <v>-6.5666666666666664</v>
      </c>
      <c r="C1859" t="str">
        <f ca="1">IF(currency="USD",'Future et co'!D1859,IF(currency="EUR",'Future et co'!E1859,IF(currency="GBP",'Future et co'!F1859,FALSE)))</f>
        <v>RFR USD</v>
      </c>
      <c r="D1859" t="str">
        <f t="shared" ca="1" si="141"/>
        <v>RFR USD</v>
      </c>
      <c r="E1859" t="str">
        <f t="shared" ca="1" si="142"/>
        <v>RFR EUR</v>
      </c>
      <c r="F1859" t="str">
        <f t="shared" ca="1" si="143"/>
        <v>RFR GBP</v>
      </c>
      <c r="J1859" s="1"/>
      <c r="N1859" s="1"/>
      <c r="R1859" s="1"/>
      <c r="V1859" s="1"/>
      <c r="AB1859" s="1"/>
      <c r="AF1859" s="1"/>
      <c r="AJ1859" s="1"/>
      <c r="AN1859" s="1"/>
      <c r="AS1859" s="1"/>
      <c r="AX1859" s="1"/>
    </row>
    <row r="1860" spans="1:50" x14ac:dyDescent="0.3">
      <c r="A1860" s="19">
        <f t="shared" si="144"/>
        <v>48519</v>
      </c>
      <c r="B1860">
        <f t="shared" ca="1" si="140"/>
        <v>-6.5750000000000002</v>
      </c>
      <c r="C1860" t="str">
        <f ca="1">IF(currency="USD",'Future et co'!D1860,IF(currency="EUR",'Future et co'!E1860,IF(currency="GBP",'Future et co'!F1860,FALSE)))</f>
        <v>RFR USD</v>
      </c>
      <c r="D1860" t="str">
        <f t="shared" ca="1" si="141"/>
        <v>RFR USD</v>
      </c>
      <c r="E1860" t="str">
        <f t="shared" ca="1" si="142"/>
        <v>RFR EUR</v>
      </c>
      <c r="F1860" t="str">
        <f t="shared" ca="1" si="143"/>
        <v>RFR GBP</v>
      </c>
      <c r="J1860" s="1"/>
      <c r="N1860" s="1"/>
      <c r="R1860" s="1"/>
      <c r="V1860" s="1"/>
      <c r="AB1860" s="1"/>
      <c r="AF1860" s="1"/>
      <c r="AJ1860" s="1"/>
      <c r="AN1860" s="1"/>
      <c r="AS1860" s="1"/>
      <c r="AX1860" s="1"/>
    </row>
    <row r="1861" spans="1:50" x14ac:dyDescent="0.3">
      <c r="A1861" s="19">
        <f t="shared" si="144"/>
        <v>48520</v>
      </c>
      <c r="B1861">
        <f t="shared" ca="1" si="140"/>
        <v>-6.5777777777777775</v>
      </c>
      <c r="C1861" t="str">
        <f ca="1">IF(currency="USD",'Future et co'!D1861,IF(currency="EUR",'Future et co'!E1861,IF(currency="GBP",'Future et co'!F1861,FALSE)))</f>
        <v>RFR USD</v>
      </c>
      <c r="D1861" t="str">
        <f t="shared" ca="1" si="141"/>
        <v>RFR USD</v>
      </c>
      <c r="E1861" t="str">
        <f t="shared" ca="1" si="142"/>
        <v>RFR EUR</v>
      </c>
      <c r="F1861" t="str">
        <f t="shared" ca="1" si="143"/>
        <v>RFR GBP</v>
      </c>
      <c r="J1861" s="1"/>
      <c r="N1861" s="1"/>
      <c r="R1861" s="1"/>
      <c r="V1861" s="1"/>
      <c r="AB1861" s="1"/>
      <c r="AF1861" s="1"/>
      <c r="AJ1861" s="1"/>
      <c r="AN1861" s="1"/>
      <c r="AS1861" s="1"/>
      <c r="AX1861" s="1"/>
    </row>
    <row r="1862" spans="1:50" x14ac:dyDescent="0.3">
      <c r="A1862" s="19">
        <f t="shared" si="144"/>
        <v>48521</v>
      </c>
      <c r="B1862">
        <f t="shared" ca="1" si="140"/>
        <v>-6.5805555555555557</v>
      </c>
      <c r="C1862" t="str">
        <f ca="1">IF(currency="USD",'Future et co'!D1862,IF(currency="EUR",'Future et co'!E1862,IF(currency="GBP",'Future et co'!F1862,FALSE)))</f>
        <v>RFR USD</v>
      </c>
      <c r="D1862" t="str">
        <f t="shared" ca="1" si="141"/>
        <v>RFR USD</v>
      </c>
      <c r="E1862" t="str">
        <f t="shared" ca="1" si="142"/>
        <v>RFR EUR</v>
      </c>
      <c r="F1862" t="str">
        <f t="shared" ca="1" si="143"/>
        <v>RFR GBP</v>
      </c>
      <c r="J1862" s="1"/>
      <c r="N1862" s="1"/>
      <c r="R1862" s="1"/>
      <c r="V1862" s="1"/>
      <c r="AB1862" s="1"/>
      <c r="AF1862" s="1"/>
      <c r="AJ1862" s="1"/>
      <c r="AN1862" s="1"/>
      <c r="AS1862" s="1"/>
      <c r="AX1862" s="1"/>
    </row>
    <row r="1863" spans="1:50" x14ac:dyDescent="0.3">
      <c r="A1863" s="19">
        <f t="shared" si="144"/>
        <v>48522</v>
      </c>
      <c r="B1863">
        <f t="shared" ca="1" si="140"/>
        <v>-6.583333333333333</v>
      </c>
      <c r="C1863" t="str">
        <f ca="1">IF(currency="USD",'Future et co'!D1863,IF(currency="EUR",'Future et co'!E1863,IF(currency="GBP",'Future et co'!F1863,FALSE)))</f>
        <v>RFR USD</v>
      </c>
      <c r="D1863" t="str">
        <f t="shared" ca="1" si="141"/>
        <v>RFR USD</v>
      </c>
      <c r="E1863" t="str">
        <f t="shared" ca="1" si="142"/>
        <v>RFR EUR</v>
      </c>
      <c r="F1863" t="str">
        <f t="shared" ca="1" si="143"/>
        <v>RFR GBP</v>
      </c>
      <c r="J1863" s="1"/>
      <c r="N1863" s="1"/>
      <c r="R1863" s="1"/>
      <c r="V1863" s="1"/>
      <c r="AB1863" s="1"/>
      <c r="AF1863" s="1"/>
      <c r="AJ1863" s="1"/>
      <c r="AN1863" s="1"/>
      <c r="AS1863" s="1"/>
      <c r="AX1863" s="1"/>
    </row>
    <row r="1864" spans="1:50" x14ac:dyDescent="0.3">
      <c r="A1864" s="19">
        <f t="shared" si="144"/>
        <v>48523</v>
      </c>
      <c r="B1864">
        <f t="shared" ca="1" si="140"/>
        <v>-6.5861111111111112</v>
      </c>
      <c r="C1864" t="str">
        <f ca="1">IF(currency="USD",'Future et co'!D1864,IF(currency="EUR",'Future et co'!E1864,IF(currency="GBP",'Future et co'!F1864,FALSE)))</f>
        <v>RFR USD</v>
      </c>
      <c r="D1864" t="str">
        <f t="shared" ca="1" si="141"/>
        <v>RFR USD</v>
      </c>
      <c r="E1864" t="str">
        <f t="shared" ca="1" si="142"/>
        <v>RFR EUR</v>
      </c>
      <c r="F1864" t="str">
        <f t="shared" ca="1" si="143"/>
        <v>RFR GBP</v>
      </c>
      <c r="J1864" s="1"/>
      <c r="N1864" s="1"/>
      <c r="R1864" s="1"/>
      <c r="V1864" s="1"/>
      <c r="AB1864" s="1"/>
      <c r="AF1864" s="1"/>
      <c r="AJ1864" s="1"/>
      <c r="AN1864" s="1"/>
      <c r="AS1864" s="1"/>
      <c r="AX1864" s="1"/>
    </row>
    <row r="1865" spans="1:50" x14ac:dyDescent="0.3">
      <c r="A1865" s="19">
        <f t="shared" si="144"/>
        <v>48526</v>
      </c>
      <c r="B1865">
        <f t="shared" ca="1" si="140"/>
        <v>-6.5944444444444441</v>
      </c>
      <c r="C1865" t="str">
        <f ca="1">IF(currency="USD",'Future et co'!D1865,IF(currency="EUR",'Future et co'!E1865,IF(currency="GBP",'Future et co'!F1865,FALSE)))</f>
        <v>RFR USD</v>
      </c>
      <c r="D1865" t="str">
        <f t="shared" ca="1" si="141"/>
        <v>RFR USD</v>
      </c>
      <c r="E1865" t="str">
        <f t="shared" ca="1" si="142"/>
        <v>RFR EUR</v>
      </c>
      <c r="F1865" t="str">
        <f t="shared" ca="1" si="143"/>
        <v>RFR GBP</v>
      </c>
      <c r="J1865" s="1"/>
      <c r="N1865" s="1"/>
      <c r="R1865" s="1"/>
      <c r="V1865" s="1"/>
      <c r="AB1865" s="1"/>
      <c r="AF1865" s="1"/>
      <c r="AJ1865" s="1"/>
      <c r="AN1865" s="1"/>
      <c r="AS1865" s="1"/>
      <c r="AX1865" s="1"/>
    </row>
    <row r="1866" spans="1:50" x14ac:dyDescent="0.3">
      <c r="A1866" s="19">
        <f t="shared" si="144"/>
        <v>48527</v>
      </c>
      <c r="B1866">
        <f t="shared" ca="1" si="140"/>
        <v>-6.5972222222222223</v>
      </c>
      <c r="C1866" t="str">
        <f ca="1">IF(currency="USD",'Future et co'!D1866,IF(currency="EUR",'Future et co'!E1866,IF(currency="GBP",'Future et co'!F1866,FALSE)))</f>
        <v>RFR USD</v>
      </c>
      <c r="D1866" t="str">
        <f t="shared" ca="1" si="141"/>
        <v>RFR USD</v>
      </c>
      <c r="E1866" t="str">
        <f t="shared" ca="1" si="142"/>
        <v>RFR EUR</v>
      </c>
      <c r="F1866" t="str">
        <f t="shared" ca="1" si="143"/>
        <v>RFR GBP</v>
      </c>
      <c r="J1866" s="1"/>
      <c r="N1866" s="1"/>
      <c r="R1866" s="1"/>
      <c r="V1866" s="1"/>
      <c r="AB1866" s="1"/>
      <c r="AF1866" s="1"/>
      <c r="AJ1866" s="1"/>
      <c r="AN1866" s="1"/>
      <c r="AS1866" s="1"/>
      <c r="AX1866" s="1"/>
    </row>
    <row r="1867" spans="1:50" x14ac:dyDescent="0.3">
      <c r="A1867" s="19">
        <f t="shared" si="144"/>
        <v>48528</v>
      </c>
      <c r="B1867">
        <f t="shared" ref="B1867:B1930" ca="1" si="145">($B$7-A1867)/360</f>
        <v>-6.6</v>
      </c>
      <c r="C1867" t="str">
        <f ca="1">IF(currency="USD",'Future et co'!D1867,IF(currency="EUR",'Future et co'!E1867,IF(currency="GBP",'Future et co'!F1867,FALSE)))</f>
        <v>RFR USD</v>
      </c>
      <c r="D1867" t="str">
        <f t="shared" ref="D1867:D1930" ca="1" si="146">IFERROR(IF(B1867&lt;0.25,VLOOKUP(A1867,$J$11:$L$5325,3,FALSE),IF(AND(B1867&gt;=0.25,B1867&lt;0.5),VLOOKUP(A1867,$N$11:$P$5325,3,FALSE),IF(AND(B1867&gt;=0.5,B1867&lt;1),VLOOKUP(A1867,$R$11:$T$5325,3,FALSE),VLOOKUP(A1867,$V$11:$X$5010,3,FALSE)))),D1866)</f>
        <v>RFR USD</v>
      </c>
      <c r="E1867" t="str">
        <f t="shared" ref="E1867:E1930" ca="1" si="147">IFERROR(IF(B1867&lt;0.25,VLOOKUP(A1867,$AF$11:$AH$5325,3,FALSE),IF(AND(B1867&gt;=0.25,B1867&lt;0.5),VLOOKUP(A1867,$AJ$11:$AL$5325,3,FALSE),VLOOKUP(A1867,$AN$11:$AP$5325,3,FALSE))),E1866)</f>
        <v>RFR EUR</v>
      </c>
      <c r="F1867" t="str">
        <f t="shared" ref="F1867:F1930" ca="1" si="148">IFERROR(VLOOKUP(A1867,$AS$11:$AU$9999,3,FALSE),F1866)</f>
        <v>RFR GBP</v>
      </c>
      <c r="J1867" s="1"/>
      <c r="N1867" s="1"/>
      <c r="R1867" s="1"/>
      <c r="V1867" s="1"/>
      <c r="AB1867" s="1"/>
      <c r="AF1867" s="1"/>
      <c r="AJ1867" s="1"/>
      <c r="AN1867" s="1"/>
      <c r="AS1867" s="1"/>
      <c r="AX1867" s="1"/>
    </row>
    <row r="1868" spans="1:50" x14ac:dyDescent="0.3">
      <c r="A1868" s="19">
        <f t="shared" si="144"/>
        <v>48529</v>
      </c>
      <c r="B1868">
        <f t="shared" ca="1" si="145"/>
        <v>-6.6027777777777779</v>
      </c>
      <c r="C1868" t="str">
        <f ca="1">IF(currency="USD",'Future et co'!D1868,IF(currency="EUR",'Future et co'!E1868,IF(currency="GBP",'Future et co'!F1868,FALSE)))</f>
        <v>RFR USD</v>
      </c>
      <c r="D1868" t="str">
        <f t="shared" ca="1" si="146"/>
        <v>RFR USD</v>
      </c>
      <c r="E1868" t="str">
        <f t="shared" ca="1" si="147"/>
        <v>RFR EUR</v>
      </c>
      <c r="F1868" t="str">
        <f t="shared" ca="1" si="148"/>
        <v>RFR GBP</v>
      </c>
      <c r="J1868" s="1"/>
      <c r="N1868" s="1"/>
      <c r="R1868" s="1"/>
      <c r="V1868" s="1"/>
      <c r="AB1868" s="1"/>
      <c r="AF1868" s="1"/>
      <c r="AJ1868" s="1"/>
      <c r="AN1868" s="1"/>
      <c r="AS1868" s="1"/>
      <c r="AX1868" s="1"/>
    </row>
    <row r="1869" spans="1:50" x14ac:dyDescent="0.3">
      <c r="A1869" s="19">
        <f t="shared" ref="A1869:A1932" si="149">WORKDAY(A1868,1)</f>
        <v>48530</v>
      </c>
      <c r="B1869">
        <f t="shared" ca="1" si="145"/>
        <v>-6.6055555555555552</v>
      </c>
      <c r="C1869" t="str">
        <f ca="1">IF(currency="USD",'Future et co'!D1869,IF(currency="EUR",'Future et co'!E1869,IF(currency="GBP",'Future et co'!F1869,FALSE)))</f>
        <v>RFR USD</v>
      </c>
      <c r="D1869" t="str">
        <f t="shared" ca="1" si="146"/>
        <v>RFR USD</v>
      </c>
      <c r="E1869" t="str">
        <f t="shared" ca="1" si="147"/>
        <v>RFR EUR</v>
      </c>
      <c r="F1869" t="str">
        <f t="shared" ca="1" si="148"/>
        <v>RFR GBP</v>
      </c>
      <c r="J1869" s="1"/>
      <c r="N1869" s="1"/>
      <c r="R1869" s="1"/>
      <c r="V1869" s="1"/>
      <c r="AB1869" s="1"/>
      <c r="AF1869" s="1"/>
      <c r="AJ1869" s="1"/>
      <c r="AN1869" s="1"/>
      <c r="AS1869" s="1"/>
      <c r="AX1869" s="1"/>
    </row>
    <row r="1870" spans="1:50" x14ac:dyDescent="0.3">
      <c r="A1870" s="19">
        <f t="shared" si="149"/>
        <v>48533</v>
      </c>
      <c r="B1870">
        <f t="shared" ca="1" si="145"/>
        <v>-6.6138888888888889</v>
      </c>
      <c r="C1870" t="str">
        <f ca="1">IF(currency="USD",'Future et co'!D1870,IF(currency="EUR",'Future et co'!E1870,IF(currency="GBP",'Future et co'!F1870,FALSE)))</f>
        <v>RFR USD</v>
      </c>
      <c r="D1870" t="str">
        <f t="shared" ca="1" si="146"/>
        <v>RFR USD</v>
      </c>
      <c r="E1870" t="str">
        <f t="shared" ca="1" si="147"/>
        <v>RFR EUR</v>
      </c>
      <c r="F1870" t="str">
        <f t="shared" ca="1" si="148"/>
        <v>RFR GBP</v>
      </c>
      <c r="J1870" s="1"/>
      <c r="N1870" s="1"/>
      <c r="R1870" s="1"/>
      <c r="V1870" s="1"/>
      <c r="AB1870" s="1"/>
      <c r="AF1870" s="1"/>
      <c r="AJ1870" s="1"/>
      <c r="AN1870" s="1"/>
      <c r="AS1870" s="1"/>
      <c r="AX1870" s="1"/>
    </row>
    <row r="1871" spans="1:50" x14ac:dyDescent="0.3">
      <c r="A1871" s="19">
        <f t="shared" si="149"/>
        <v>48534</v>
      </c>
      <c r="B1871">
        <f t="shared" ca="1" si="145"/>
        <v>-6.6166666666666663</v>
      </c>
      <c r="C1871" t="str">
        <f ca="1">IF(currency="USD",'Future et co'!D1871,IF(currency="EUR",'Future et co'!E1871,IF(currency="GBP",'Future et co'!F1871,FALSE)))</f>
        <v>RFR USD</v>
      </c>
      <c r="D1871" t="str">
        <f t="shared" ca="1" si="146"/>
        <v>RFR USD</v>
      </c>
      <c r="E1871" t="str">
        <f t="shared" ca="1" si="147"/>
        <v>RFR EUR</v>
      </c>
      <c r="F1871" t="str">
        <f t="shared" ca="1" si="148"/>
        <v>RFR GBP</v>
      </c>
      <c r="J1871" s="1"/>
      <c r="N1871" s="1"/>
      <c r="R1871" s="1"/>
      <c r="V1871" s="1"/>
      <c r="AB1871" s="1"/>
      <c r="AF1871" s="1"/>
      <c r="AJ1871" s="1"/>
      <c r="AN1871" s="1"/>
      <c r="AS1871" s="1"/>
      <c r="AX1871" s="1"/>
    </row>
    <row r="1872" spans="1:50" x14ac:dyDescent="0.3">
      <c r="A1872" s="19">
        <f t="shared" si="149"/>
        <v>48535</v>
      </c>
      <c r="B1872">
        <f t="shared" ca="1" si="145"/>
        <v>-6.6194444444444445</v>
      </c>
      <c r="C1872" t="str">
        <f ca="1">IF(currency="USD",'Future et co'!D1872,IF(currency="EUR",'Future et co'!E1872,IF(currency="GBP",'Future et co'!F1872,FALSE)))</f>
        <v>RFR USD</v>
      </c>
      <c r="D1872" t="str">
        <f t="shared" ca="1" si="146"/>
        <v>RFR USD</v>
      </c>
      <c r="E1872" t="str">
        <f t="shared" ca="1" si="147"/>
        <v>RFR EUR</v>
      </c>
      <c r="F1872" t="str">
        <f t="shared" ca="1" si="148"/>
        <v>RFR GBP</v>
      </c>
      <c r="J1872" s="1"/>
      <c r="N1872" s="1"/>
      <c r="R1872" s="1"/>
      <c r="V1872" s="1"/>
      <c r="AB1872" s="1"/>
      <c r="AF1872" s="1"/>
      <c r="AJ1872" s="1"/>
      <c r="AN1872" s="1"/>
      <c r="AS1872" s="1"/>
      <c r="AX1872" s="1"/>
    </row>
    <row r="1873" spans="1:50" x14ac:dyDescent="0.3">
      <c r="A1873" s="19">
        <f t="shared" si="149"/>
        <v>48536</v>
      </c>
      <c r="B1873">
        <f t="shared" ca="1" si="145"/>
        <v>-6.6222222222222218</v>
      </c>
      <c r="C1873" t="str">
        <f ca="1">IF(currency="USD",'Future et co'!D1873,IF(currency="EUR",'Future et co'!E1873,IF(currency="GBP",'Future et co'!F1873,FALSE)))</f>
        <v>RFR USD</v>
      </c>
      <c r="D1873" t="str">
        <f t="shared" ca="1" si="146"/>
        <v>RFR USD</v>
      </c>
      <c r="E1873" t="str">
        <f t="shared" ca="1" si="147"/>
        <v>RFR EUR</v>
      </c>
      <c r="F1873" t="str">
        <f t="shared" ca="1" si="148"/>
        <v>RFR GBP</v>
      </c>
      <c r="J1873" s="1"/>
      <c r="N1873" s="1"/>
      <c r="R1873" s="1"/>
      <c r="V1873" s="1"/>
      <c r="AB1873" s="1"/>
      <c r="AF1873" s="1"/>
      <c r="AJ1873" s="1"/>
      <c r="AN1873" s="1"/>
      <c r="AS1873" s="1"/>
      <c r="AX1873" s="1"/>
    </row>
    <row r="1874" spans="1:50" x14ac:dyDescent="0.3">
      <c r="A1874" s="19">
        <f t="shared" si="149"/>
        <v>48537</v>
      </c>
      <c r="B1874">
        <f t="shared" ca="1" si="145"/>
        <v>-6.625</v>
      </c>
      <c r="C1874" t="str">
        <f ca="1">IF(currency="USD",'Future et co'!D1874,IF(currency="EUR",'Future et co'!E1874,IF(currency="GBP",'Future et co'!F1874,FALSE)))</f>
        <v>RFR USD</v>
      </c>
      <c r="D1874" t="str">
        <f t="shared" ca="1" si="146"/>
        <v>RFR USD</v>
      </c>
      <c r="E1874" t="str">
        <f t="shared" ca="1" si="147"/>
        <v>RFR EUR</v>
      </c>
      <c r="F1874" t="str">
        <f t="shared" ca="1" si="148"/>
        <v>RFR GBP</v>
      </c>
      <c r="J1874" s="1"/>
      <c r="N1874" s="1"/>
      <c r="R1874" s="1"/>
      <c r="V1874" s="1"/>
      <c r="AB1874" s="1"/>
      <c r="AF1874" s="1"/>
      <c r="AJ1874" s="1"/>
      <c r="AN1874" s="1"/>
      <c r="AS1874" s="1"/>
      <c r="AX1874" s="1"/>
    </row>
    <row r="1875" spans="1:50" x14ac:dyDescent="0.3">
      <c r="A1875" s="19">
        <f t="shared" si="149"/>
        <v>48540</v>
      </c>
      <c r="B1875">
        <f t="shared" ca="1" si="145"/>
        <v>-6.6333333333333337</v>
      </c>
      <c r="C1875" t="str">
        <f ca="1">IF(currency="USD",'Future et co'!D1875,IF(currency="EUR",'Future et co'!E1875,IF(currency="GBP",'Future et co'!F1875,FALSE)))</f>
        <v>RFR USD</v>
      </c>
      <c r="D1875" t="str">
        <f t="shared" ca="1" si="146"/>
        <v>RFR USD</v>
      </c>
      <c r="E1875" t="str">
        <f t="shared" ca="1" si="147"/>
        <v>RFR EUR</v>
      </c>
      <c r="F1875" t="str">
        <f t="shared" ca="1" si="148"/>
        <v>RFR GBP</v>
      </c>
      <c r="J1875" s="1"/>
      <c r="N1875" s="1"/>
      <c r="R1875" s="1"/>
      <c r="V1875" s="1"/>
      <c r="AB1875" s="1"/>
      <c r="AF1875" s="1"/>
      <c r="AJ1875" s="1"/>
      <c r="AN1875" s="1"/>
      <c r="AS1875" s="1"/>
      <c r="AX1875" s="1"/>
    </row>
    <row r="1876" spans="1:50" x14ac:dyDescent="0.3">
      <c r="A1876" s="19">
        <f t="shared" si="149"/>
        <v>48541</v>
      </c>
      <c r="B1876">
        <f t="shared" ca="1" si="145"/>
        <v>-6.6361111111111111</v>
      </c>
      <c r="C1876" t="str">
        <f ca="1">IF(currency="USD",'Future et co'!D1876,IF(currency="EUR",'Future et co'!E1876,IF(currency="GBP",'Future et co'!F1876,FALSE)))</f>
        <v>RFR USD</v>
      </c>
      <c r="D1876" t="str">
        <f t="shared" ca="1" si="146"/>
        <v>RFR USD</v>
      </c>
      <c r="E1876" t="str">
        <f t="shared" ca="1" si="147"/>
        <v>RFR EUR</v>
      </c>
      <c r="F1876" t="str">
        <f t="shared" ca="1" si="148"/>
        <v>RFR GBP</v>
      </c>
      <c r="J1876" s="1"/>
      <c r="N1876" s="1"/>
      <c r="R1876" s="1"/>
      <c r="V1876" s="1"/>
      <c r="AB1876" s="1"/>
      <c r="AF1876" s="1"/>
      <c r="AJ1876" s="1"/>
      <c r="AN1876" s="1"/>
      <c r="AS1876" s="1"/>
      <c r="AX1876" s="1"/>
    </row>
    <row r="1877" spans="1:50" x14ac:dyDescent="0.3">
      <c r="A1877" s="19">
        <f t="shared" si="149"/>
        <v>48542</v>
      </c>
      <c r="B1877">
        <f t="shared" ca="1" si="145"/>
        <v>-6.6388888888888893</v>
      </c>
      <c r="C1877" t="str">
        <f ca="1">IF(currency="USD",'Future et co'!D1877,IF(currency="EUR",'Future et co'!E1877,IF(currency="GBP",'Future et co'!F1877,FALSE)))</f>
        <v>RFR USD</v>
      </c>
      <c r="D1877" t="str">
        <f t="shared" ca="1" si="146"/>
        <v>RFR USD</v>
      </c>
      <c r="E1877" t="str">
        <f t="shared" ca="1" si="147"/>
        <v>RFR EUR</v>
      </c>
      <c r="F1877" t="str">
        <f t="shared" ca="1" si="148"/>
        <v>RFR GBP</v>
      </c>
      <c r="J1877" s="1"/>
      <c r="N1877" s="1"/>
      <c r="R1877" s="1"/>
      <c r="V1877" s="1"/>
      <c r="AB1877" s="1"/>
      <c r="AF1877" s="1"/>
      <c r="AJ1877" s="1"/>
      <c r="AN1877" s="1"/>
      <c r="AS1877" s="1"/>
      <c r="AX1877" s="1"/>
    </row>
    <row r="1878" spans="1:50" x14ac:dyDescent="0.3">
      <c r="A1878" s="19">
        <f t="shared" si="149"/>
        <v>48543</v>
      </c>
      <c r="B1878">
        <f t="shared" ca="1" si="145"/>
        <v>-6.6416666666666666</v>
      </c>
      <c r="C1878" t="str">
        <f ca="1">IF(currency="USD",'Future et co'!D1878,IF(currency="EUR",'Future et co'!E1878,IF(currency="GBP",'Future et co'!F1878,FALSE)))</f>
        <v>RFR USD</v>
      </c>
      <c r="D1878" t="str">
        <f t="shared" ca="1" si="146"/>
        <v>RFR USD</v>
      </c>
      <c r="E1878" t="str">
        <f t="shared" ca="1" si="147"/>
        <v>RFR EUR</v>
      </c>
      <c r="F1878" t="str">
        <f t="shared" ca="1" si="148"/>
        <v>RFR GBP</v>
      </c>
      <c r="J1878" s="1"/>
      <c r="N1878" s="1"/>
      <c r="R1878" s="1"/>
      <c r="V1878" s="1"/>
      <c r="AB1878" s="1"/>
      <c r="AF1878" s="1"/>
      <c r="AJ1878" s="1"/>
      <c r="AN1878" s="1"/>
      <c r="AS1878" s="1"/>
      <c r="AX1878" s="1"/>
    </row>
    <row r="1879" spans="1:50" x14ac:dyDescent="0.3">
      <c r="A1879" s="19">
        <f t="shared" si="149"/>
        <v>48544</v>
      </c>
      <c r="B1879">
        <f t="shared" ca="1" si="145"/>
        <v>-6.6444444444444448</v>
      </c>
      <c r="C1879" t="str">
        <f ca="1">IF(currency="USD",'Future et co'!D1879,IF(currency="EUR",'Future et co'!E1879,IF(currency="GBP",'Future et co'!F1879,FALSE)))</f>
        <v>RFR USD</v>
      </c>
      <c r="D1879" t="str">
        <f t="shared" ca="1" si="146"/>
        <v>RFR USD</v>
      </c>
      <c r="E1879" t="str">
        <f t="shared" ca="1" si="147"/>
        <v>RFR EUR</v>
      </c>
      <c r="F1879" t="str">
        <f t="shared" ca="1" si="148"/>
        <v>RFR GBP</v>
      </c>
      <c r="J1879" s="1"/>
      <c r="N1879" s="1"/>
      <c r="R1879" s="1"/>
      <c r="V1879" s="1"/>
      <c r="AB1879" s="1"/>
      <c r="AF1879" s="1"/>
      <c r="AJ1879" s="1"/>
      <c r="AN1879" s="1"/>
      <c r="AS1879" s="1"/>
      <c r="AX1879" s="1"/>
    </row>
    <row r="1880" spans="1:50" x14ac:dyDescent="0.3">
      <c r="A1880" s="19">
        <f t="shared" si="149"/>
        <v>48547</v>
      </c>
      <c r="B1880">
        <f t="shared" ca="1" si="145"/>
        <v>-6.6527777777777777</v>
      </c>
      <c r="C1880" t="str">
        <f ca="1">IF(currency="USD",'Future et co'!D1880,IF(currency="EUR",'Future et co'!E1880,IF(currency="GBP",'Future et co'!F1880,FALSE)))</f>
        <v>RFR USD</v>
      </c>
      <c r="D1880" t="str">
        <f t="shared" ca="1" si="146"/>
        <v>RFR USD</v>
      </c>
      <c r="E1880" t="str">
        <f t="shared" ca="1" si="147"/>
        <v>RFR EUR</v>
      </c>
      <c r="F1880" t="str">
        <f t="shared" ca="1" si="148"/>
        <v>RFR GBP</v>
      </c>
      <c r="J1880" s="1"/>
      <c r="N1880" s="1"/>
      <c r="R1880" s="1"/>
      <c r="V1880" s="1"/>
      <c r="AB1880" s="1"/>
      <c r="AF1880" s="1"/>
      <c r="AJ1880" s="1"/>
      <c r="AN1880" s="1"/>
      <c r="AS1880" s="1"/>
      <c r="AX1880" s="1"/>
    </row>
    <row r="1881" spans="1:50" x14ac:dyDescent="0.3">
      <c r="A1881" s="19">
        <f t="shared" si="149"/>
        <v>48548</v>
      </c>
      <c r="B1881">
        <f t="shared" ca="1" si="145"/>
        <v>-6.6555555555555559</v>
      </c>
      <c r="C1881" t="str">
        <f ca="1">IF(currency="USD",'Future et co'!D1881,IF(currency="EUR",'Future et co'!E1881,IF(currency="GBP",'Future et co'!F1881,FALSE)))</f>
        <v>RFR USD</v>
      </c>
      <c r="D1881" t="str">
        <f t="shared" ca="1" si="146"/>
        <v>RFR USD</v>
      </c>
      <c r="E1881" t="str">
        <f t="shared" ca="1" si="147"/>
        <v>RFR EUR</v>
      </c>
      <c r="F1881" t="str">
        <f t="shared" ca="1" si="148"/>
        <v>RFR GBP</v>
      </c>
      <c r="J1881" s="1"/>
      <c r="N1881" s="1"/>
      <c r="R1881" s="1"/>
      <c r="V1881" s="1"/>
      <c r="AB1881" s="1"/>
      <c r="AF1881" s="1"/>
      <c r="AJ1881" s="1"/>
      <c r="AN1881" s="1"/>
      <c r="AS1881" s="1"/>
      <c r="AX1881" s="1"/>
    </row>
    <row r="1882" spans="1:50" x14ac:dyDescent="0.3">
      <c r="A1882" s="19">
        <f t="shared" si="149"/>
        <v>48549</v>
      </c>
      <c r="B1882">
        <f t="shared" ca="1" si="145"/>
        <v>-6.6583333333333332</v>
      </c>
      <c r="C1882" t="str">
        <f ca="1">IF(currency="USD",'Future et co'!D1882,IF(currency="EUR",'Future et co'!E1882,IF(currency="GBP",'Future et co'!F1882,FALSE)))</f>
        <v>RFR USD</v>
      </c>
      <c r="D1882" t="str">
        <f t="shared" ca="1" si="146"/>
        <v>RFR USD</v>
      </c>
      <c r="E1882" t="str">
        <f t="shared" ca="1" si="147"/>
        <v>RFR EUR</v>
      </c>
      <c r="F1882" t="str">
        <f t="shared" ca="1" si="148"/>
        <v>RFR GBP</v>
      </c>
      <c r="J1882" s="1"/>
      <c r="N1882" s="1"/>
      <c r="R1882" s="1"/>
      <c r="V1882" s="1"/>
      <c r="AB1882" s="1"/>
      <c r="AF1882" s="1"/>
      <c r="AJ1882" s="1"/>
      <c r="AN1882" s="1"/>
      <c r="AS1882" s="1"/>
      <c r="AX1882" s="1"/>
    </row>
    <row r="1883" spans="1:50" x14ac:dyDescent="0.3">
      <c r="A1883" s="19">
        <f t="shared" si="149"/>
        <v>48550</v>
      </c>
      <c r="B1883">
        <f t="shared" ca="1" si="145"/>
        <v>-6.6611111111111114</v>
      </c>
      <c r="C1883" t="str">
        <f ca="1">IF(currency="USD",'Future et co'!D1883,IF(currency="EUR",'Future et co'!E1883,IF(currency="GBP",'Future et co'!F1883,FALSE)))</f>
        <v>RFR USD</v>
      </c>
      <c r="D1883" t="str">
        <f t="shared" ca="1" si="146"/>
        <v>RFR USD</v>
      </c>
      <c r="E1883" t="str">
        <f t="shared" ca="1" si="147"/>
        <v>RFR EUR</v>
      </c>
      <c r="F1883" t="str">
        <f t="shared" ca="1" si="148"/>
        <v>RFR GBP</v>
      </c>
      <c r="J1883" s="1"/>
      <c r="N1883" s="1"/>
      <c r="R1883" s="1"/>
      <c r="V1883" s="1"/>
      <c r="AB1883" s="1"/>
      <c r="AF1883" s="1"/>
      <c r="AJ1883" s="1"/>
      <c r="AN1883" s="1"/>
      <c r="AS1883" s="1"/>
      <c r="AX1883" s="1"/>
    </row>
    <row r="1884" spans="1:50" x14ac:dyDescent="0.3">
      <c r="A1884" s="19">
        <f t="shared" si="149"/>
        <v>48551</v>
      </c>
      <c r="B1884">
        <f t="shared" ca="1" si="145"/>
        <v>-6.6638888888888888</v>
      </c>
      <c r="C1884" t="str">
        <f ca="1">IF(currency="USD",'Future et co'!D1884,IF(currency="EUR",'Future et co'!E1884,IF(currency="GBP",'Future et co'!F1884,FALSE)))</f>
        <v>RFR USD</v>
      </c>
      <c r="D1884" t="str">
        <f t="shared" ca="1" si="146"/>
        <v>RFR USD</v>
      </c>
      <c r="E1884" t="str">
        <f t="shared" ca="1" si="147"/>
        <v>RFR EUR</v>
      </c>
      <c r="F1884" t="str">
        <f t="shared" ca="1" si="148"/>
        <v>RFR GBP</v>
      </c>
      <c r="J1884" s="1"/>
      <c r="N1884" s="1"/>
      <c r="R1884" s="1"/>
      <c r="V1884" s="1"/>
      <c r="AB1884" s="1"/>
      <c r="AF1884" s="1"/>
      <c r="AJ1884" s="1"/>
      <c r="AN1884" s="1"/>
      <c r="AS1884" s="1"/>
      <c r="AX1884" s="1"/>
    </row>
    <row r="1885" spans="1:50" x14ac:dyDescent="0.3">
      <c r="A1885" s="19">
        <f t="shared" si="149"/>
        <v>48554</v>
      </c>
      <c r="B1885">
        <f t="shared" ca="1" si="145"/>
        <v>-6.6722222222222225</v>
      </c>
      <c r="C1885" t="str">
        <f ca="1">IF(currency="USD",'Future et co'!D1885,IF(currency="EUR",'Future et co'!E1885,IF(currency="GBP",'Future et co'!F1885,FALSE)))</f>
        <v>RFR USD</v>
      </c>
      <c r="D1885" t="str">
        <f t="shared" ca="1" si="146"/>
        <v>RFR USD</v>
      </c>
      <c r="E1885" t="str">
        <f t="shared" ca="1" si="147"/>
        <v>RFR EUR</v>
      </c>
      <c r="F1885" t="str">
        <f t="shared" ca="1" si="148"/>
        <v>RFR GBP</v>
      </c>
      <c r="J1885" s="1"/>
      <c r="N1885" s="1"/>
      <c r="R1885" s="1"/>
      <c r="V1885" s="1"/>
      <c r="AB1885" s="1"/>
      <c r="AF1885" s="1"/>
      <c r="AJ1885" s="1"/>
      <c r="AN1885" s="1"/>
      <c r="AS1885" s="1"/>
      <c r="AX1885" s="1"/>
    </row>
    <row r="1886" spans="1:50" x14ac:dyDescent="0.3">
      <c r="A1886" s="19">
        <f t="shared" si="149"/>
        <v>48555</v>
      </c>
      <c r="B1886">
        <f t="shared" ca="1" si="145"/>
        <v>-6.6749999999999998</v>
      </c>
      <c r="C1886" t="str">
        <f ca="1">IF(currency="USD",'Future et co'!D1886,IF(currency="EUR",'Future et co'!E1886,IF(currency="GBP",'Future et co'!F1886,FALSE)))</f>
        <v>RFR USD</v>
      </c>
      <c r="D1886" t="str">
        <f t="shared" ca="1" si="146"/>
        <v>RFR USD</v>
      </c>
      <c r="E1886" t="str">
        <f t="shared" ca="1" si="147"/>
        <v>RFR EUR</v>
      </c>
      <c r="F1886" t="str">
        <f t="shared" ca="1" si="148"/>
        <v>RFR GBP</v>
      </c>
      <c r="J1886" s="1"/>
      <c r="N1886" s="1"/>
      <c r="R1886" s="1"/>
      <c r="V1886" s="1"/>
      <c r="AB1886" s="1"/>
      <c r="AF1886" s="1"/>
      <c r="AJ1886" s="1"/>
      <c r="AN1886" s="1"/>
      <c r="AS1886" s="1"/>
      <c r="AX1886" s="1"/>
    </row>
    <row r="1887" spans="1:50" x14ac:dyDescent="0.3">
      <c r="A1887" s="19">
        <f t="shared" si="149"/>
        <v>48556</v>
      </c>
      <c r="B1887">
        <f t="shared" ca="1" si="145"/>
        <v>-6.677777777777778</v>
      </c>
      <c r="C1887" t="str">
        <f ca="1">IF(currency="USD",'Future et co'!D1887,IF(currency="EUR",'Future et co'!E1887,IF(currency="GBP",'Future et co'!F1887,FALSE)))</f>
        <v>RFR USD</v>
      </c>
      <c r="D1887" t="str">
        <f t="shared" ca="1" si="146"/>
        <v>RFR USD</v>
      </c>
      <c r="E1887" t="str">
        <f t="shared" ca="1" si="147"/>
        <v>RFR EUR</v>
      </c>
      <c r="F1887" t="str">
        <f t="shared" ca="1" si="148"/>
        <v>RFR GBP</v>
      </c>
      <c r="J1887" s="1"/>
      <c r="N1887" s="1"/>
      <c r="R1887" s="1"/>
      <c r="V1887" s="1"/>
      <c r="AB1887" s="1"/>
      <c r="AF1887" s="1"/>
      <c r="AJ1887" s="1"/>
      <c r="AN1887" s="1"/>
      <c r="AS1887" s="1"/>
      <c r="AX1887" s="1"/>
    </row>
    <row r="1888" spans="1:50" x14ac:dyDescent="0.3">
      <c r="A1888" s="19">
        <f t="shared" si="149"/>
        <v>48557</v>
      </c>
      <c r="B1888">
        <f t="shared" ca="1" si="145"/>
        <v>-6.6805555555555554</v>
      </c>
      <c r="C1888" t="str">
        <f ca="1">IF(currency="USD",'Future et co'!D1888,IF(currency="EUR",'Future et co'!E1888,IF(currency="GBP",'Future et co'!F1888,FALSE)))</f>
        <v>RFR USD</v>
      </c>
      <c r="D1888" t="str">
        <f t="shared" ca="1" si="146"/>
        <v>RFR USD</v>
      </c>
      <c r="E1888" t="str">
        <f t="shared" ca="1" si="147"/>
        <v>RFR EUR</v>
      </c>
      <c r="F1888" t="str">
        <f t="shared" ca="1" si="148"/>
        <v>RFR GBP</v>
      </c>
      <c r="J1888" s="1"/>
      <c r="N1888" s="1"/>
      <c r="R1888" s="1"/>
      <c r="V1888" s="1"/>
      <c r="AB1888" s="1"/>
      <c r="AF1888" s="1"/>
      <c r="AJ1888" s="1"/>
      <c r="AN1888" s="1"/>
      <c r="AS1888" s="1"/>
      <c r="AX1888" s="1"/>
    </row>
    <row r="1889" spans="1:50" x14ac:dyDescent="0.3">
      <c r="A1889" s="19">
        <f t="shared" si="149"/>
        <v>48558</v>
      </c>
      <c r="B1889">
        <f t="shared" ca="1" si="145"/>
        <v>-6.6833333333333336</v>
      </c>
      <c r="C1889" t="str">
        <f ca="1">IF(currency="USD",'Future et co'!D1889,IF(currency="EUR",'Future et co'!E1889,IF(currency="GBP",'Future et co'!F1889,FALSE)))</f>
        <v>RFR USD</v>
      </c>
      <c r="D1889" t="str">
        <f t="shared" ca="1" si="146"/>
        <v>RFR USD</v>
      </c>
      <c r="E1889" t="str">
        <f t="shared" ca="1" si="147"/>
        <v>RFR EUR</v>
      </c>
      <c r="F1889" t="str">
        <f t="shared" ca="1" si="148"/>
        <v>RFR GBP</v>
      </c>
      <c r="J1889" s="1"/>
      <c r="N1889" s="1"/>
      <c r="R1889" s="1"/>
      <c r="V1889" s="1"/>
      <c r="AB1889" s="1"/>
      <c r="AF1889" s="1"/>
      <c r="AJ1889" s="1"/>
      <c r="AN1889" s="1"/>
      <c r="AS1889" s="1"/>
      <c r="AX1889" s="1"/>
    </row>
    <row r="1890" spans="1:50" x14ac:dyDescent="0.3">
      <c r="A1890" s="19">
        <f t="shared" si="149"/>
        <v>48561</v>
      </c>
      <c r="B1890">
        <f t="shared" ca="1" si="145"/>
        <v>-6.6916666666666664</v>
      </c>
      <c r="C1890" t="str">
        <f ca="1">IF(currency="USD",'Future et co'!D1890,IF(currency="EUR",'Future et co'!E1890,IF(currency="GBP",'Future et co'!F1890,FALSE)))</f>
        <v>RFR USD</v>
      </c>
      <c r="D1890" t="str">
        <f t="shared" ca="1" si="146"/>
        <v>RFR USD</v>
      </c>
      <c r="E1890" t="str">
        <f t="shared" ca="1" si="147"/>
        <v>RFR EUR</v>
      </c>
      <c r="F1890" t="str">
        <f t="shared" ca="1" si="148"/>
        <v>RFR GBP</v>
      </c>
      <c r="J1890" s="1"/>
      <c r="N1890" s="1"/>
      <c r="R1890" s="1"/>
      <c r="V1890" s="1"/>
      <c r="AB1890" s="1"/>
      <c r="AF1890" s="1"/>
      <c r="AJ1890" s="1"/>
      <c r="AN1890" s="1"/>
      <c r="AS1890" s="1"/>
      <c r="AX1890" s="1"/>
    </row>
    <row r="1891" spans="1:50" x14ac:dyDescent="0.3">
      <c r="A1891" s="19">
        <f t="shared" si="149"/>
        <v>48562</v>
      </c>
      <c r="B1891">
        <f t="shared" ca="1" si="145"/>
        <v>-6.6944444444444446</v>
      </c>
      <c r="C1891" t="str">
        <f ca="1">IF(currency="USD",'Future et co'!D1891,IF(currency="EUR",'Future et co'!E1891,IF(currency="GBP",'Future et co'!F1891,FALSE)))</f>
        <v>RFR USD</v>
      </c>
      <c r="D1891" t="str">
        <f t="shared" ca="1" si="146"/>
        <v>RFR USD</v>
      </c>
      <c r="E1891" t="str">
        <f t="shared" ca="1" si="147"/>
        <v>RFR EUR</v>
      </c>
      <c r="F1891" t="str">
        <f t="shared" ca="1" si="148"/>
        <v>RFR GBP</v>
      </c>
      <c r="J1891" s="1"/>
      <c r="N1891" s="1"/>
      <c r="R1891" s="1"/>
      <c r="V1891" s="1"/>
      <c r="AB1891" s="1"/>
      <c r="AF1891" s="1"/>
      <c r="AJ1891" s="1"/>
      <c r="AN1891" s="1"/>
      <c r="AS1891" s="1"/>
      <c r="AX1891" s="1"/>
    </row>
    <row r="1892" spans="1:50" x14ac:dyDescent="0.3">
      <c r="A1892" s="19">
        <f t="shared" si="149"/>
        <v>48563</v>
      </c>
      <c r="B1892">
        <f t="shared" ca="1" si="145"/>
        <v>-6.697222222222222</v>
      </c>
      <c r="C1892" t="str">
        <f ca="1">IF(currency="USD",'Future et co'!D1892,IF(currency="EUR",'Future et co'!E1892,IF(currency="GBP",'Future et co'!F1892,FALSE)))</f>
        <v>RFR USD</v>
      </c>
      <c r="D1892" t="str">
        <f t="shared" ca="1" si="146"/>
        <v>RFR USD</v>
      </c>
      <c r="E1892" t="str">
        <f t="shared" ca="1" si="147"/>
        <v>RFR EUR</v>
      </c>
      <c r="F1892" t="str">
        <f t="shared" ca="1" si="148"/>
        <v>RFR GBP</v>
      </c>
      <c r="J1892" s="1"/>
      <c r="N1892" s="1"/>
      <c r="R1892" s="1"/>
      <c r="V1892" s="1"/>
      <c r="AB1892" s="1"/>
      <c r="AF1892" s="1"/>
      <c r="AJ1892" s="1"/>
      <c r="AN1892" s="1"/>
      <c r="AS1892" s="1"/>
      <c r="AX1892" s="1"/>
    </row>
    <row r="1893" spans="1:50" x14ac:dyDescent="0.3">
      <c r="A1893" s="19">
        <f t="shared" si="149"/>
        <v>48564</v>
      </c>
      <c r="B1893">
        <f t="shared" ca="1" si="145"/>
        <v>-6.7</v>
      </c>
      <c r="C1893" t="str">
        <f ca="1">IF(currency="USD",'Future et co'!D1893,IF(currency="EUR",'Future et co'!E1893,IF(currency="GBP",'Future et co'!F1893,FALSE)))</f>
        <v>RFR USD</v>
      </c>
      <c r="D1893" t="str">
        <f t="shared" ca="1" si="146"/>
        <v>RFR USD</v>
      </c>
      <c r="E1893" t="str">
        <f t="shared" ca="1" si="147"/>
        <v>RFR EUR</v>
      </c>
      <c r="F1893" t="str">
        <f t="shared" ca="1" si="148"/>
        <v>RFR GBP</v>
      </c>
      <c r="J1893" s="1"/>
      <c r="N1893" s="1"/>
      <c r="R1893" s="1"/>
      <c r="V1893" s="1"/>
      <c r="AB1893" s="1"/>
      <c r="AF1893" s="1"/>
      <c r="AJ1893" s="1"/>
      <c r="AN1893" s="1"/>
      <c r="AS1893" s="1"/>
      <c r="AX1893" s="1"/>
    </row>
    <row r="1894" spans="1:50" x14ac:dyDescent="0.3">
      <c r="A1894" s="19">
        <f t="shared" si="149"/>
        <v>48565</v>
      </c>
      <c r="B1894">
        <f t="shared" ca="1" si="145"/>
        <v>-6.7027777777777775</v>
      </c>
      <c r="C1894" t="str">
        <f ca="1">IF(currency="USD",'Future et co'!D1894,IF(currency="EUR",'Future et co'!E1894,IF(currency="GBP",'Future et co'!F1894,FALSE)))</f>
        <v>RFR USD</v>
      </c>
      <c r="D1894" t="str">
        <f t="shared" ca="1" si="146"/>
        <v>RFR USD</v>
      </c>
      <c r="E1894" t="str">
        <f t="shared" ca="1" si="147"/>
        <v>RFR EUR</v>
      </c>
      <c r="F1894" t="str">
        <f t="shared" ca="1" si="148"/>
        <v>RFR GBP</v>
      </c>
      <c r="J1894" s="1"/>
      <c r="N1894" s="1"/>
      <c r="R1894" s="1"/>
      <c r="V1894" s="1"/>
      <c r="AB1894" s="1"/>
      <c r="AF1894" s="1"/>
      <c r="AJ1894" s="1"/>
      <c r="AN1894" s="1"/>
      <c r="AS1894" s="1"/>
      <c r="AX1894" s="1"/>
    </row>
    <row r="1895" spans="1:50" x14ac:dyDescent="0.3">
      <c r="A1895" s="19">
        <f t="shared" si="149"/>
        <v>48568</v>
      </c>
      <c r="B1895">
        <f t="shared" ca="1" si="145"/>
        <v>-6.7111111111111112</v>
      </c>
      <c r="C1895" t="str">
        <f ca="1">IF(currency="USD",'Future et co'!D1895,IF(currency="EUR",'Future et co'!E1895,IF(currency="GBP",'Future et co'!F1895,FALSE)))</f>
        <v>RFR USD</v>
      </c>
      <c r="D1895" t="str">
        <f t="shared" ca="1" si="146"/>
        <v>RFR USD</v>
      </c>
      <c r="E1895" t="str">
        <f t="shared" ca="1" si="147"/>
        <v>RFR EUR</v>
      </c>
      <c r="F1895" t="str">
        <f t="shared" ca="1" si="148"/>
        <v>RFR GBP</v>
      </c>
      <c r="J1895" s="1"/>
      <c r="N1895" s="1"/>
      <c r="R1895" s="1"/>
      <c r="V1895" s="1"/>
      <c r="AB1895" s="1"/>
      <c r="AF1895" s="1"/>
      <c r="AJ1895" s="1"/>
      <c r="AN1895" s="1"/>
      <c r="AS1895" s="1"/>
      <c r="AX1895" s="1"/>
    </row>
    <row r="1896" spans="1:50" x14ac:dyDescent="0.3">
      <c r="A1896" s="19">
        <f t="shared" si="149"/>
        <v>48569</v>
      </c>
      <c r="B1896">
        <f t="shared" ca="1" si="145"/>
        <v>-6.7138888888888886</v>
      </c>
      <c r="C1896" t="str">
        <f ca="1">IF(currency="USD",'Future et co'!D1896,IF(currency="EUR",'Future et co'!E1896,IF(currency="GBP",'Future et co'!F1896,FALSE)))</f>
        <v>RFR USD</v>
      </c>
      <c r="D1896" t="str">
        <f t="shared" ca="1" si="146"/>
        <v>RFR USD</v>
      </c>
      <c r="E1896" t="str">
        <f t="shared" ca="1" si="147"/>
        <v>RFR EUR</v>
      </c>
      <c r="F1896" t="str">
        <f t="shared" ca="1" si="148"/>
        <v>RFR GBP</v>
      </c>
      <c r="J1896" s="1"/>
      <c r="N1896" s="1"/>
      <c r="R1896" s="1"/>
      <c r="V1896" s="1"/>
      <c r="AB1896" s="1"/>
      <c r="AF1896" s="1"/>
      <c r="AJ1896" s="1"/>
      <c r="AN1896" s="1"/>
      <c r="AS1896" s="1"/>
      <c r="AX1896" s="1"/>
    </row>
    <row r="1897" spans="1:50" x14ac:dyDescent="0.3">
      <c r="A1897" s="19">
        <f t="shared" si="149"/>
        <v>48570</v>
      </c>
      <c r="B1897">
        <f t="shared" ca="1" si="145"/>
        <v>-6.7166666666666668</v>
      </c>
      <c r="C1897" t="str">
        <f ca="1">IF(currency="USD",'Future et co'!D1897,IF(currency="EUR",'Future et co'!E1897,IF(currency="GBP",'Future et co'!F1897,FALSE)))</f>
        <v>RFR USD</v>
      </c>
      <c r="D1897" t="str">
        <f t="shared" ca="1" si="146"/>
        <v>RFR USD</v>
      </c>
      <c r="E1897" t="str">
        <f t="shared" ca="1" si="147"/>
        <v>RFR EUR</v>
      </c>
      <c r="F1897" t="str">
        <f t="shared" ca="1" si="148"/>
        <v>RFR GBP</v>
      </c>
      <c r="J1897" s="1"/>
      <c r="N1897" s="1"/>
      <c r="R1897" s="1"/>
      <c r="V1897" s="1"/>
      <c r="AB1897" s="1"/>
      <c r="AF1897" s="1"/>
      <c r="AJ1897" s="1"/>
      <c r="AN1897" s="1"/>
      <c r="AS1897" s="1"/>
      <c r="AX1897" s="1"/>
    </row>
    <row r="1898" spans="1:50" x14ac:dyDescent="0.3">
      <c r="A1898" s="19">
        <f t="shared" si="149"/>
        <v>48571</v>
      </c>
      <c r="B1898">
        <f t="shared" ca="1" si="145"/>
        <v>-6.7194444444444441</v>
      </c>
      <c r="C1898" t="str">
        <f ca="1">IF(currency="USD",'Future et co'!D1898,IF(currency="EUR",'Future et co'!E1898,IF(currency="GBP",'Future et co'!F1898,FALSE)))</f>
        <v>RFR USD</v>
      </c>
      <c r="D1898" t="str">
        <f t="shared" ca="1" si="146"/>
        <v>RFR USD</v>
      </c>
      <c r="E1898" t="str">
        <f t="shared" ca="1" si="147"/>
        <v>RFR EUR</v>
      </c>
      <c r="F1898" t="str">
        <f t="shared" ca="1" si="148"/>
        <v>RFR GBP</v>
      </c>
      <c r="J1898" s="1"/>
      <c r="N1898" s="1"/>
      <c r="R1898" s="1"/>
      <c r="V1898" s="1"/>
      <c r="AB1898" s="1"/>
      <c r="AF1898" s="1"/>
      <c r="AJ1898" s="1"/>
      <c r="AN1898" s="1"/>
      <c r="AS1898" s="1"/>
      <c r="AX1898" s="1"/>
    </row>
    <row r="1899" spans="1:50" x14ac:dyDescent="0.3">
      <c r="A1899" s="19">
        <f t="shared" si="149"/>
        <v>48572</v>
      </c>
      <c r="B1899">
        <f t="shared" ca="1" si="145"/>
        <v>-6.7222222222222223</v>
      </c>
      <c r="C1899" t="str">
        <f ca="1">IF(currency="USD",'Future et co'!D1899,IF(currency="EUR",'Future et co'!E1899,IF(currency="GBP",'Future et co'!F1899,FALSE)))</f>
        <v>RFR USD</v>
      </c>
      <c r="D1899" t="str">
        <f t="shared" ca="1" si="146"/>
        <v>RFR USD</v>
      </c>
      <c r="E1899" t="str">
        <f t="shared" ca="1" si="147"/>
        <v>RFR EUR</v>
      </c>
      <c r="F1899" t="str">
        <f t="shared" ca="1" si="148"/>
        <v>RFR GBP</v>
      </c>
      <c r="J1899" s="1"/>
      <c r="N1899" s="1"/>
      <c r="R1899" s="1"/>
      <c r="V1899" s="1"/>
      <c r="AB1899" s="1"/>
      <c r="AF1899" s="1"/>
      <c r="AJ1899" s="1"/>
      <c r="AN1899" s="1"/>
      <c r="AS1899" s="1"/>
      <c r="AX1899" s="1"/>
    </row>
    <row r="1900" spans="1:50" x14ac:dyDescent="0.3">
      <c r="A1900" s="19">
        <f t="shared" si="149"/>
        <v>48575</v>
      </c>
      <c r="B1900">
        <f t="shared" ca="1" si="145"/>
        <v>-6.7305555555555552</v>
      </c>
      <c r="C1900" t="str">
        <f ca="1">IF(currency="USD",'Future et co'!D1900,IF(currency="EUR",'Future et co'!E1900,IF(currency="GBP",'Future et co'!F1900,FALSE)))</f>
        <v>RFR USD</v>
      </c>
      <c r="D1900" t="str">
        <f t="shared" ca="1" si="146"/>
        <v>RFR USD</v>
      </c>
      <c r="E1900" t="str">
        <f t="shared" ca="1" si="147"/>
        <v>RFR EUR</v>
      </c>
      <c r="F1900" t="str">
        <f t="shared" ca="1" si="148"/>
        <v>RFR GBP</v>
      </c>
      <c r="J1900" s="1"/>
      <c r="N1900" s="1"/>
      <c r="R1900" s="1"/>
      <c r="V1900" s="1"/>
      <c r="AB1900" s="1"/>
      <c r="AF1900" s="1"/>
      <c r="AJ1900" s="1"/>
      <c r="AN1900" s="1"/>
      <c r="AS1900" s="1"/>
      <c r="AX1900" s="1"/>
    </row>
    <row r="1901" spans="1:50" x14ac:dyDescent="0.3">
      <c r="A1901" s="19">
        <f t="shared" si="149"/>
        <v>48576</v>
      </c>
      <c r="B1901">
        <f t="shared" ca="1" si="145"/>
        <v>-6.7333333333333334</v>
      </c>
      <c r="C1901" t="str">
        <f ca="1">IF(currency="USD",'Future et co'!D1901,IF(currency="EUR",'Future et co'!E1901,IF(currency="GBP",'Future et co'!F1901,FALSE)))</f>
        <v>RFR USD</v>
      </c>
      <c r="D1901" t="str">
        <f t="shared" ca="1" si="146"/>
        <v>RFR USD</v>
      </c>
      <c r="E1901" t="str">
        <f t="shared" ca="1" si="147"/>
        <v>RFR EUR</v>
      </c>
      <c r="F1901" t="str">
        <f t="shared" ca="1" si="148"/>
        <v>RFR GBP</v>
      </c>
      <c r="J1901" s="1"/>
      <c r="N1901" s="1"/>
      <c r="R1901" s="1"/>
      <c r="V1901" s="1"/>
      <c r="AB1901" s="1"/>
      <c r="AF1901" s="1"/>
      <c r="AJ1901" s="1"/>
      <c r="AN1901" s="1"/>
      <c r="AS1901" s="1"/>
      <c r="AX1901" s="1"/>
    </row>
    <row r="1902" spans="1:50" x14ac:dyDescent="0.3">
      <c r="A1902" s="19">
        <f t="shared" si="149"/>
        <v>48577</v>
      </c>
      <c r="B1902">
        <f t="shared" ca="1" si="145"/>
        <v>-6.7361111111111107</v>
      </c>
      <c r="C1902" t="str">
        <f ca="1">IF(currency="USD",'Future et co'!D1902,IF(currency="EUR",'Future et co'!E1902,IF(currency="GBP",'Future et co'!F1902,FALSE)))</f>
        <v>RFR USD</v>
      </c>
      <c r="D1902" t="str">
        <f t="shared" ca="1" si="146"/>
        <v>RFR USD</v>
      </c>
      <c r="E1902" t="str">
        <f t="shared" ca="1" si="147"/>
        <v>RFR EUR</v>
      </c>
      <c r="F1902" t="str">
        <f t="shared" ca="1" si="148"/>
        <v>RFR GBP</v>
      </c>
      <c r="J1902" s="1"/>
      <c r="N1902" s="1"/>
      <c r="R1902" s="1"/>
      <c r="V1902" s="1"/>
      <c r="AB1902" s="1"/>
      <c r="AF1902" s="1"/>
      <c r="AJ1902" s="1"/>
      <c r="AN1902" s="1"/>
      <c r="AS1902" s="1"/>
      <c r="AX1902" s="1"/>
    </row>
    <row r="1903" spans="1:50" x14ac:dyDescent="0.3">
      <c r="A1903" s="19">
        <f t="shared" si="149"/>
        <v>48578</v>
      </c>
      <c r="B1903">
        <f t="shared" ca="1" si="145"/>
        <v>-6.7388888888888889</v>
      </c>
      <c r="C1903" t="str">
        <f ca="1">IF(currency="USD",'Future et co'!D1903,IF(currency="EUR",'Future et co'!E1903,IF(currency="GBP",'Future et co'!F1903,FALSE)))</f>
        <v>RFR USD</v>
      </c>
      <c r="D1903" t="str">
        <f t="shared" ca="1" si="146"/>
        <v>RFR USD</v>
      </c>
      <c r="E1903" t="str">
        <f t="shared" ca="1" si="147"/>
        <v>RFR EUR</v>
      </c>
      <c r="F1903" t="str">
        <f t="shared" ca="1" si="148"/>
        <v>RFR GBP</v>
      </c>
      <c r="J1903" s="1"/>
      <c r="N1903" s="1"/>
      <c r="R1903" s="1"/>
      <c r="V1903" s="1"/>
      <c r="AB1903" s="1"/>
      <c r="AF1903" s="1"/>
      <c r="AJ1903" s="1"/>
      <c r="AN1903" s="1"/>
      <c r="AS1903" s="1"/>
      <c r="AX1903" s="1"/>
    </row>
    <row r="1904" spans="1:50" x14ac:dyDescent="0.3">
      <c r="A1904" s="19">
        <f t="shared" si="149"/>
        <v>48579</v>
      </c>
      <c r="B1904">
        <f t="shared" ca="1" si="145"/>
        <v>-6.7416666666666663</v>
      </c>
      <c r="C1904" t="str">
        <f ca="1">IF(currency="USD",'Future et co'!D1904,IF(currency="EUR",'Future et co'!E1904,IF(currency="GBP",'Future et co'!F1904,FALSE)))</f>
        <v>RFR USD</v>
      </c>
      <c r="D1904" t="str">
        <f t="shared" ca="1" si="146"/>
        <v>RFR USD</v>
      </c>
      <c r="E1904" t="str">
        <f t="shared" ca="1" si="147"/>
        <v>RFR EUR</v>
      </c>
      <c r="F1904" t="str">
        <f t="shared" ca="1" si="148"/>
        <v>RFR GBP</v>
      </c>
      <c r="J1904" s="1"/>
      <c r="N1904" s="1"/>
      <c r="R1904" s="1"/>
      <c r="V1904" s="1"/>
      <c r="AB1904" s="1"/>
      <c r="AF1904" s="1"/>
      <c r="AJ1904" s="1"/>
      <c r="AN1904" s="1"/>
      <c r="AS1904" s="1"/>
      <c r="AX1904" s="1"/>
    </row>
    <row r="1905" spans="1:50" x14ac:dyDescent="0.3">
      <c r="A1905" s="19">
        <f t="shared" si="149"/>
        <v>48582</v>
      </c>
      <c r="B1905">
        <f t="shared" ca="1" si="145"/>
        <v>-6.75</v>
      </c>
      <c r="C1905" t="str">
        <f ca="1">IF(currency="USD",'Future et co'!D1905,IF(currency="EUR",'Future et co'!E1905,IF(currency="GBP",'Future et co'!F1905,FALSE)))</f>
        <v>RFR USD</v>
      </c>
      <c r="D1905" t="str">
        <f t="shared" ca="1" si="146"/>
        <v>RFR USD</v>
      </c>
      <c r="E1905" t="str">
        <f t="shared" ca="1" si="147"/>
        <v>RFR EUR</v>
      </c>
      <c r="F1905" t="str">
        <f t="shared" ca="1" si="148"/>
        <v>RFR GBP</v>
      </c>
      <c r="J1905" s="1"/>
      <c r="N1905" s="1"/>
      <c r="R1905" s="1"/>
      <c r="V1905" s="1"/>
      <c r="AB1905" s="1"/>
      <c r="AF1905" s="1"/>
      <c r="AJ1905" s="1"/>
      <c r="AN1905" s="1"/>
      <c r="AS1905" s="1"/>
      <c r="AX1905" s="1"/>
    </row>
    <row r="1906" spans="1:50" x14ac:dyDescent="0.3">
      <c r="A1906" s="19">
        <f t="shared" si="149"/>
        <v>48583</v>
      </c>
      <c r="B1906">
        <f t="shared" ca="1" si="145"/>
        <v>-6.7527777777777782</v>
      </c>
      <c r="C1906" t="str">
        <f ca="1">IF(currency="USD",'Future et co'!D1906,IF(currency="EUR",'Future et co'!E1906,IF(currency="GBP",'Future et co'!F1906,FALSE)))</f>
        <v>RFR USD</v>
      </c>
      <c r="D1906" t="str">
        <f t="shared" ca="1" si="146"/>
        <v>RFR USD</v>
      </c>
      <c r="E1906" t="str">
        <f t="shared" ca="1" si="147"/>
        <v>RFR EUR</v>
      </c>
      <c r="F1906" t="str">
        <f t="shared" ca="1" si="148"/>
        <v>RFR GBP</v>
      </c>
      <c r="J1906" s="1"/>
      <c r="N1906" s="1"/>
      <c r="R1906" s="1"/>
      <c r="V1906" s="1"/>
      <c r="AB1906" s="1"/>
      <c r="AF1906" s="1"/>
      <c r="AJ1906" s="1"/>
      <c r="AN1906" s="1"/>
      <c r="AS1906" s="1"/>
      <c r="AX1906" s="1"/>
    </row>
    <row r="1907" spans="1:50" x14ac:dyDescent="0.3">
      <c r="A1907" s="19">
        <f t="shared" si="149"/>
        <v>48584</v>
      </c>
      <c r="B1907">
        <f t="shared" ca="1" si="145"/>
        <v>-6.7555555555555555</v>
      </c>
      <c r="C1907" t="str">
        <f ca="1">IF(currency="USD",'Future et co'!D1907,IF(currency="EUR",'Future et co'!E1907,IF(currency="GBP",'Future et co'!F1907,FALSE)))</f>
        <v>RFR USD</v>
      </c>
      <c r="D1907" t="str">
        <f t="shared" ca="1" si="146"/>
        <v>RFR USD</v>
      </c>
      <c r="E1907" t="str">
        <f t="shared" ca="1" si="147"/>
        <v>RFR EUR</v>
      </c>
      <c r="F1907" t="str">
        <f t="shared" ca="1" si="148"/>
        <v>RFR GBP</v>
      </c>
      <c r="J1907" s="1"/>
      <c r="N1907" s="1"/>
      <c r="R1907" s="1"/>
      <c r="V1907" s="1"/>
      <c r="AB1907" s="1"/>
      <c r="AF1907" s="1"/>
      <c r="AJ1907" s="1"/>
      <c r="AN1907" s="1"/>
      <c r="AS1907" s="1"/>
      <c r="AX1907" s="1"/>
    </row>
    <row r="1908" spans="1:50" x14ac:dyDescent="0.3">
      <c r="A1908" s="19">
        <f t="shared" si="149"/>
        <v>48585</v>
      </c>
      <c r="B1908">
        <f t="shared" ca="1" si="145"/>
        <v>-6.7583333333333337</v>
      </c>
      <c r="C1908" t="str">
        <f ca="1">IF(currency="USD",'Future et co'!D1908,IF(currency="EUR",'Future et co'!E1908,IF(currency="GBP",'Future et co'!F1908,FALSE)))</f>
        <v>RFR USD</v>
      </c>
      <c r="D1908" t="str">
        <f t="shared" ca="1" si="146"/>
        <v>RFR USD</v>
      </c>
      <c r="E1908" t="str">
        <f t="shared" ca="1" si="147"/>
        <v>RFR EUR</v>
      </c>
      <c r="F1908" t="str">
        <f t="shared" ca="1" si="148"/>
        <v>RFR GBP</v>
      </c>
      <c r="J1908" s="1"/>
      <c r="N1908" s="1"/>
      <c r="R1908" s="1"/>
      <c r="V1908" s="1"/>
      <c r="AB1908" s="1"/>
      <c r="AF1908" s="1"/>
      <c r="AJ1908" s="1"/>
      <c r="AN1908" s="1"/>
      <c r="AS1908" s="1"/>
      <c r="AX1908" s="1"/>
    </row>
    <row r="1909" spans="1:50" x14ac:dyDescent="0.3">
      <c r="A1909" s="19">
        <f t="shared" si="149"/>
        <v>48586</v>
      </c>
      <c r="B1909">
        <f t="shared" ca="1" si="145"/>
        <v>-6.7611111111111111</v>
      </c>
      <c r="C1909" t="str">
        <f ca="1">IF(currency="USD",'Future et co'!D1909,IF(currency="EUR",'Future et co'!E1909,IF(currency="GBP",'Future et co'!F1909,FALSE)))</f>
        <v>RFR USD</v>
      </c>
      <c r="D1909" t="str">
        <f t="shared" ca="1" si="146"/>
        <v>RFR USD</v>
      </c>
      <c r="E1909" t="str">
        <f t="shared" ca="1" si="147"/>
        <v>RFR EUR</v>
      </c>
      <c r="F1909" t="str">
        <f t="shared" ca="1" si="148"/>
        <v>RFR GBP</v>
      </c>
      <c r="J1909" s="1"/>
      <c r="N1909" s="1"/>
      <c r="R1909" s="1"/>
      <c r="V1909" s="1"/>
      <c r="AB1909" s="1"/>
      <c r="AF1909" s="1"/>
      <c r="AJ1909" s="1"/>
      <c r="AN1909" s="1"/>
      <c r="AS1909" s="1"/>
      <c r="AX1909" s="1"/>
    </row>
    <row r="1910" spans="1:50" x14ac:dyDescent="0.3">
      <c r="A1910" s="19">
        <f t="shared" si="149"/>
        <v>48589</v>
      </c>
      <c r="B1910">
        <f t="shared" ca="1" si="145"/>
        <v>-6.7694444444444448</v>
      </c>
      <c r="C1910" t="str">
        <f ca="1">IF(currency="USD",'Future et co'!D1910,IF(currency="EUR",'Future et co'!E1910,IF(currency="GBP",'Future et co'!F1910,FALSE)))</f>
        <v>RFR USD</v>
      </c>
      <c r="D1910" t="str">
        <f t="shared" ca="1" si="146"/>
        <v>RFR USD</v>
      </c>
      <c r="E1910" t="str">
        <f t="shared" ca="1" si="147"/>
        <v>RFR EUR</v>
      </c>
      <c r="F1910" t="str">
        <f t="shared" ca="1" si="148"/>
        <v>RFR GBP</v>
      </c>
      <c r="J1910" s="1"/>
      <c r="N1910" s="1"/>
      <c r="R1910" s="1"/>
      <c r="V1910" s="1"/>
      <c r="AB1910" s="1"/>
      <c r="AF1910" s="1"/>
      <c r="AJ1910" s="1"/>
      <c r="AN1910" s="1"/>
      <c r="AS1910" s="1"/>
      <c r="AX1910" s="1"/>
    </row>
    <row r="1911" spans="1:50" x14ac:dyDescent="0.3">
      <c r="A1911" s="19">
        <f t="shared" si="149"/>
        <v>48590</v>
      </c>
      <c r="B1911">
        <f t="shared" ca="1" si="145"/>
        <v>-6.7722222222222221</v>
      </c>
      <c r="C1911" t="str">
        <f ca="1">IF(currency="USD",'Future et co'!D1911,IF(currency="EUR",'Future et co'!E1911,IF(currency="GBP",'Future et co'!F1911,FALSE)))</f>
        <v>RFR USD</v>
      </c>
      <c r="D1911" t="str">
        <f t="shared" ca="1" si="146"/>
        <v>RFR USD</v>
      </c>
      <c r="E1911" t="str">
        <f t="shared" ca="1" si="147"/>
        <v>RFR EUR</v>
      </c>
      <c r="F1911" t="str">
        <f t="shared" ca="1" si="148"/>
        <v>RFR GBP</v>
      </c>
      <c r="J1911" s="1"/>
      <c r="N1911" s="1"/>
      <c r="R1911" s="1"/>
      <c r="V1911" s="1"/>
      <c r="AB1911" s="1"/>
      <c r="AF1911" s="1"/>
      <c r="AJ1911" s="1"/>
      <c r="AN1911" s="1"/>
      <c r="AS1911" s="1"/>
      <c r="AX1911" s="1"/>
    </row>
    <row r="1912" spans="1:50" x14ac:dyDescent="0.3">
      <c r="A1912" s="19">
        <f t="shared" si="149"/>
        <v>48591</v>
      </c>
      <c r="B1912">
        <f t="shared" ca="1" si="145"/>
        <v>-6.7750000000000004</v>
      </c>
      <c r="C1912" t="str">
        <f ca="1">IF(currency="USD",'Future et co'!D1912,IF(currency="EUR",'Future et co'!E1912,IF(currency="GBP",'Future et co'!F1912,FALSE)))</f>
        <v>RFR USD</v>
      </c>
      <c r="D1912" t="str">
        <f t="shared" ca="1" si="146"/>
        <v>RFR USD</v>
      </c>
      <c r="E1912" t="str">
        <f t="shared" ca="1" si="147"/>
        <v>RFR EUR</v>
      </c>
      <c r="F1912" t="str">
        <f t="shared" ca="1" si="148"/>
        <v>RFR GBP</v>
      </c>
      <c r="J1912" s="1"/>
      <c r="N1912" s="1"/>
      <c r="R1912" s="1"/>
      <c r="V1912" s="1"/>
      <c r="AB1912" s="1"/>
      <c r="AF1912" s="1"/>
      <c r="AJ1912" s="1"/>
      <c r="AN1912" s="1"/>
      <c r="AS1912" s="1"/>
      <c r="AX1912" s="1"/>
    </row>
    <row r="1913" spans="1:50" x14ac:dyDescent="0.3">
      <c r="A1913" s="19">
        <f t="shared" si="149"/>
        <v>48592</v>
      </c>
      <c r="B1913">
        <f t="shared" ca="1" si="145"/>
        <v>-6.7777777777777777</v>
      </c>
      <c r="C1913" t="str">
        <f ca="1">IF(currency="USD",'Future et co'!D1913,IF(currency="EUR",'Future et co'!E1913,IF(currency="GBP",'Future et co'!F1913,FALSE)))</f>
        <v>RFR USD</v>
      </c>
      <c r="D1913" t="str">
        <f t="shared" ca="1" si="146"/>
        <v>RFR USD</v>
      </c>
      <c r="E1913" t="str">
        <f t="shared" ca="1" si="147"/>
        <v>RFR EUR</v>
      </c>
      <c r="F1913" t="str">
        <f t="shared" ca="1" si="148"/>
        <v>RFR GBP</v>
      </c>
      <c r="J1913" s="1"/>
      <c r="N1913" s="1"/>
      <c r="R1913" s="1"/>
      <c r="V1913" s="1"/>
      <c r="AB1913" s="1"/>
      <c r="AF1913" s="1"/>
      <c r="AJ1913" s="1"/>
      <c r="AN1913" s="1"/>
      <c r="AS1913" s="1"/>
      <c r="AX1913" s="1"/>
    </row>
    <row r="1914" spans="1:50" x14ac:dyDescent="0.3">
      <c r="A1914" s="19">
        <f t="shared" si="149"/>
        <v>48593</v>
      </c>
      <c r="B1914">
        <f t="shared" ca="1" si="145"/>
        <v>-6.7805555555555559</v>
      </c>
      <c r="C1914" t="str">
        <f ca="1">IF(currency="USD",'Future et co'!D1914,IF(currency="EUR",'Future et co'!E1914,IF(currency="GBP",'Future et co'!F1914,FALSE)))</f>
        <v>RFR USD</v>
      </c>
      <c r="D1914" t="str">
        <f t="shared" ca="1" si="146"/>
        <v>RFR USD</v>
      </c>
      <c r="E1914" t="str">
        <f t="shared" ca="1" si="147"/>
        <v>RFR EUR</v>
      </c>
      <c r="F1914" t="str">
        <f t="shared" ca="1" si="148"/>
        <v>RFR GBP</v>
      </c>
      <c r="J1914" s="1"/>
      <c r="N1914" s="1"/>
      <c r="R1914" s="1"/>
      <c r="V1914" s="1"/>
      <c r="AB1914" s="1"/>
      <c r="AF1914" s="1"/>
      <c r="AJ1914" s="1"/>
      <c r="AN1914" s="1"/>
      <c r="AS1914" s="1"/>
      <c r="AX1914" s="1"/>
    </row>
    <row r="1915" spans="1:50" x14ac:dyDescent="0.3">
      <c r="A1915" s="19">
        <f t="shared" si="149"/>
        <v>48596</v>
      </c>
      <c r="B1915">
        <f t="shared" ca="1" si="145"/>
        <v>-6.7888888888888888</v>
      </c>
      <c r="C1915" t="str">
        <f ca="1">IF(currency="USD",'Future et co'!D1915,IF(currency="EUR",'Future et co'!E1915,IF(currency="GBP",'Future et co'!F1915,FALSE)))</f>
        <v>RFR USD</v>
      </c>
      <c r="D1915" t="str">
        <f t="shared" ca="1" si="146"/>
        <v>RFR USD</v>
      </c>
      <c r="E1915" t="str">
        <f t="shared" ca="1" si="147"/>
        <v>RFR EUR</v>
      </c>
      <c r="F1915" t="str">
        <f t="shared" ca="1" si="148"/>
        <v>RFR GBP</v>
      </c>
      <c r="J1915" s="1"/>
      <c r="N1915" s="1"/>
      <c r="R1915" s="1"/>
      <c r="V1915" s="1"/>
      <c r="AB1915" s="1"/>
      <c r="AF1915" s="1"/>
      <c r="AJ1915" s="1"/>
      <c r="AN1915" s="1"/>
      <c r="AS1915" s="1"/>
      <c r="AX1915" s="1"/>
    </row>
    <row r="1916" spans="1:50" x14ac:dyDescent="0.3">
      <c r="A1916" s="19">
        <f t="shared" si="149"/>
        <v>48597</v>
      </c>
      <c r="B1916">
        <f t="shared" ca="1" si="145"/>
        <v>-6.791666666666667</v>
      </c>
      <c r="C1916" t="str">
        <f ca="1">IF(currency="USD",'Future et co'!D1916,IF(currency="EUR",'Future et co'!E1916,IF(currency="GBP",'Future et co'!F1916,FALSE)))</f>
        <v>RFR USD</v>
      </c>
      <c r="D1916" t="str">
        <f t="shared" ca="1" si="146"/>
        <v>RFR USD</v>
      </c>
      <c r="E1916" t="str">
        <f t="shared" ca="1" si="147"/>
        <v>RFR EUR</v>
      </c>
      <c r="F1916" t="str">
        <f t="shared" ca="1" si="148"/>
        <v>RFR GBP</v>
      </c>
      <c r="J1916" s="1"/>
      <c r="N1916" s="1"/>
      <c r="R1916" s="1"/>
      <c r="V1916" s="1"/>
      <c r="AB1916" s="1"/>
      <c r="AF1916" s="1"/>
      <c r="AJ1916" s="1"/>
      <c r="AN1916" s="1"/>
      <c r="AS1916" s="1"/>
      <c r="AX1916" s="1"/>
    </row>
    <row r="1917" spans="1:50" x14ac:dyDescent="0.3">
      <c r="A1917" s="19">
        <f t="shared" si="149"/>
        <v>48598</v>
      </c>
      <c r="B1917">
        <f t="shared" ca="1" si="145"/>
        <v>-6.7944444444444443</v>
      </c>
      <c r="C1917" t="str">
        <f ca="1">IF(currency="USD",'Future et co'!D1917,IF(currency="EUR",'Future et co'!E1917,IF(currency="GBP",'Future et co'!F1917,FALSE)))</f>
        <v>RFR USD</v>
      </c>
      <c r="D1917" t="str">
        <f t="shared" ca="1" si="146"/>
        <v>RFR USD</v>
      </c>
      <c r="E1917" t="str">
        <f t="shared" ca="1" si="147"/>
        <v>RFR EUR</v>
      </c>
      <c r="F1917" t="str">
        <f t="shared" ca="1" si="148"/>
        <v>RFR GBP</v>
      </c>
      <c r="J1917" s="1"/>
      <c r="N1917" s="1"/>
      <c r="R1917" s="1"/>
      <c r="V1917" s="1"/>
      <c r="AB1917" s="1"/>
      <c r="AF1917" s="1"/>
      <c r="AJ1917" s="1"/>
      <c r="AN1917" s="1"/>
      <c r="AS1917" s="1"/>
      <c r="AX1917" s="1"/>
    </row>
    <row r="1918" spans="1:50" x14ac:dyDescent="0.3">
      <c r="A1918" s="19">
        <f t="shared" si="149"/>
        <v>48599</v>
      </c>
      <c r="B1918">
        <f t="shared" ca="1" si="145"/>
        <v>-6.7972222222222225</v>
      </c>
      <c r="C1918" t="str">
        <f ca="1">IF(currency="USD",'Future et co'!D1918,IF(currency="EUR",'Future et co'!E1918,IF(currency="GBP",'Future et co'!F1918,FALSE)))</f>
        <v>RFR USD</v>
      </c>
      <c r="D1918" t="str">
        <f t="shared" ca="1" si="146"/>
        <v>RFR USD</v>
      </c>
      <c r="E1918" t="str">
        <f t="shared" ca="1" si="147"/>
        <v>RFR EUR</v>
      </c>
      <c r="F1918" t="str">
        <f t="shared" ca="1" si="148"/>
        <v>RFR GBP</v>
      </c>
      <c r="J1918" s="1"/>
      <c r="N1918" s="1"/>
      <c r="R1918" s="1"/>
      <c r="V1918" s="1"/>
      <c r="AB1918" s="1"/>
      <c r="AF1918" s="1"/>
      <c r="AJ1918" s="1"/>
      <c r="AN1918" s="1"/>
      <c r="AS1918" s="1"/>
      <c r="AX1918" s="1"/>
    </row>
    <row r="1919" spans="1:50" x14ac:dyDescent="0.3">
      <c r="A1919" s="19">
        <f t="shared" si="149"/>
        <v>48600</v>
      </c>
      <c r="B1919">
        <f t="shared" ca="1" si="145"/>
        <v>-6.8</v>
      </c>
      <c r="C1919" t="str">
        <f ca="1">IF(currency="USD",'Future et co'!D1919,IF(currency="EUR",'Future et co'!E1919,IF(currency="GBP",'Future et co'!F1919,FALSE)))</f>
        <v>RFR USD</v>
      </c>
      <c r="D1919" t="str">
        <f t="shared" ca="1" si="146"/>
        <v>RFR USD</v>
      </c>
      <c r="E1919" t="str">
        <f t="shared" ca="1" si="147"/>
        <v>RFR EUR</v>
      </c>
      <c r="F1919" t="str">
        <f t="shared" ca="1" si="148"/>
        <v>RFR GBP</v>
      </c>
      <c r="J1919" s="1"/>
      <c r="N1919" s="1"/>
      <c r="R1919" s="1"/>
      <c r="V1919" s="1"/>
      <c r="AB1919" s="1"/>
      <c r="AF1919" s="1"/>
      <c r="AJ1919" s="1"/>
      <c r="AN1919" s="1"/>
      <c r="AS1919" s="1"/>
      <c r="AX1919" s="1"/>
    </row>
    <row r="1920" spans="1:50" x14ac:dyDescent="0.3">
      <c r="A1920" s="19">
        <f t="shared" si="149"/>
        <v>48603</v>
      </c>
      <c r="B1920">
        <f t="shared" ca="1" si="145"/>
        <v>-6.8083333333333336</v>
      </c>
      <c r="C1920" t="str">
        <f ca="1">IF(currency="USD",'Future et co'!D1920,IF(currency="EUR",'Future et co'!E1920,IF(currency="GBP",'Future et co'!F1920,FALSE)))</f>
        <v>RFR USD</v>
      </c>
      <c r="D1920" t="str">
        <f t="shared" ca="1" si="146"/>
        <v>RFR USD</v>
      </c>
      <c r="E1920" t="str">
        <f t="shared" ca="1" si="147"/>
        <v>RFR EUR</v>
      </c>
      <c r="F1920" t="str">
        <f t="shared" ca="1" si="148"/>
        <v>RFR GBP</v>
      </c>
      <c r="J1920" s="1"/>
      <c r="N1920" s="1"/>
      <c r="R1920" s="1"/>
      <c r="V1920" s="1"/>
      <c r="AB1920" s="1"/>
      <c r="AF1920" s="1"/>
      <c r="AJ1920" s="1"/>
      <c r="AN1920" s="1"/>
      <c r="AS1920" s="1"/>
      <c r="AX1920" s="1"/>
    </row>
    <row r="1921" spans="1:50" x14ac:dyDescent="0.3">
      <c r="A1921" s="19">
        <f t="shared" si="149"/>
        <v>48604</v>
      </c>
      <c r="B1921">
        <f t="shared" ca="1" si="145"/>
        <v>-6.8111111111111109</v>
      </c>
      <c r="C1921" t="str">
        <f ca="1">IF(currency="USD",'Future et co'!D1921,IF(currency="EUR",'Future et co'!E1921,IF(currency="GBP",'Future et co'!F1921,FALSE)))</f>
        <v>RFR USD</v>
      </c>
      <c r="D1921" t="str">
        <f t="shared" ca="1" si="146"/>
        <v>RFR USD</v>
      </c>
      <c r="E1921" t="str">
        <f t="shared" ca="1" si="147"/>
        <v>RFR EUR</v>
      </c>
      <c r="F1921" t="str">
        <f t="shared" ca="1" si="148"/>
        <v>RFR GBP</v>
      </c>
      <c r="J1921" s="1"/>
      <c r="N1921" s="1"/>
      <c r="R1921" s="1"/>
      <c r="V1921" s="1"/>
      <c r="AB1921" s="1"/>
      <c r="AF1921" s="1"/>
      <c r="AJ1921" s="1"/>
      <c r="AN1921" s="1"/>
      <c r="AS1921" s="1"/>
      <c r="AX1921" s="1"/>
    </row>
    <row r="1922" spans="1:50" x14ac:dyDescent="0.3">
      <c r="A1922" s="19">
        <f t="shared" si="149"/>
        <v>48605</v>
      </c>
      <c r="B1922">
        <f t="shared" ca="1" si="145"/>
        <v>-6.8138888888888891</v>
      </c>
      <c r="C1922" t="str">
        <f ca="1">IF(currency="USD",'Future et co'!D1922,IF(currency="EUR",'Future et co'!E1922,IF(currency="GBP",'Future et co'!F1922,FALSE)))</f>
        <v>RFR USD</v>
      </c>
      <c r="D1922" t="str">
        <f t="shared" ca="1" si="146"/>
        <v>RFR USD</v>
      </c>
      <c r="E1922" t="str">
        <f t="shared" ca="1" si="147"/>
        <v>RFR EUR</v>
      </c>
      <c r="F1922" t="str">
        <f t="shared" ca="1" si="148"/>
        <v>RFR GBP</v>
      </c>
      <c r="J1922" s="1"/>
      <c r="N1922" s="1"/>
      <c r="R1922" s="1"/>
      <c r="V1922" s="1"/>
      <c r="AB1922" s="1"/>
      <c r="AF1922" s="1"/>
      <c r="AJ1922" s="1"/>
      <c r="AN1922" s="1"/>
      <c r="AS1922" s="1"/>
      <c r="AX1922" s="1"/>
    </row>
    <row r="1923" spans="1:50" x14ac:dyDescent="0.3">
      <c r="A1923" s="19">
        <f t="shared" si="149"/>
        <v>48606</v>
      </c>
      <c r="B1923">
        <f t="shared" ca="1" si="145"/>
        <v>-6.8166666666666664</v>
      </c>
      <c r="C1923" t="str">
        <f ca="1">IF(currency="USD",'Future et co'!D1923,IF(currency="EUR",'Future et co'!E1923,IF(currency="GBP",'Future et co'!F1923,FALSE)))</f>
        <v>RFR USD</v>
      </c>
      <c r="D1923" t="str">
        <f t="shared" ca="1" si="146"/>
        <v>RFR USD</v>
      </c>
      <c r="E1923" t="str">
        <f t="shared" ca="1" si="147"/>
        <v>RFR EUR</v>
      </c>
      <c r="F1923" t="str">
        <f t="shared" ca="1" si="148"/>
        <v>RFR GBP</v>
      </c>
      <c r="J1923" s="1"/>
      <c r="N1923" s="1"/>
      <c r="R1923" s="1"/>
      <c r="V1923" s="1"/>
      <c r="AB1923" s="1"/>
      <c r="AF1923" s="1"/>
      <c r="AJ1923" s="1"/>
      <c r="AN1923" s="1"/>
      <c r="AS1923" s="1"/>
      <c r="AX1923" s="1"/>
    </row>
    <row r="1924" spans="1:50" x14ac:dyDescent="0.3">
      <c r="A1924" s="19">
        <f t="shared" si="149"/>
        <v>48607</v>
      </c>
      <c r="B1924">
        <f t="shared" ca="1" si="145"/>
        <v>-6.8194444444444446</v>
      </c>
      <c r="C1924" t="str">
        <f ca="1">IF(currency="USD",'Future et co'!D1924,IF(currency="EUR",'Future et co'!E1924,IF(currency="GBP",'Future et co'!F1924,FALSE)))</f>
        <v>RFR USD</v>
      </c>
      <c r="D1924" t="str">
        <f t="shared" ca="1" si="146"/>
        <v>RFR USD</v>
      </c>
      <c r="E1924" t="str">
        <f t="shared" ca="1" si="147"/>
        <v>RFR EUR</v>
      </c>
      <c r="F1924" t="str">
        <f t="shared" ca="1" si="148"/>
        <v>RFR GBP</v>
      </c>
      <c r="J1924" s="1"/>
      <c r="N1924" s="1"/>
      <c r="R1924" s="1"/>
      <c r="V1924" s="1"/>
      <c r="AB1924" s="1"/>
      <c r="AF1924" s="1"/>
      <c r="AJ1924" s="1"/>
      <c r="AN1924" s="1"/>
      <c r="AS1924" s="1"/>
      <c r="AX1924" s="1"/>
    </row>
    <row r="1925" spans="1:50" x14ac:dyDescent="0.3">
      <c r="A1925" s="19">
        <f t="shared" si="149"/>
        <v>48610</v>
      </c>
      <c r="B1925">
        <f t="shared" ca="1" si="145"/>
        <v>-6.8277777777777775</v>
      </c>
      <c r="C1925" t="str">
        <f ca="1">IF(currency="USD",'Future et co'!D1925,IF(currency="EUR",'Future et co'!E1925,IF(currency="GBP",'Future et co'!F1925,FALSE)))</f>
        <v>RFR USD</v>
      </c>
      <c r="D1925" t="str">
        <f t="shared" ca="1" si="146"/>
        <v>RFR USD</v>
      </c>
      <c r="E1925" t="str">
        <f t="shared" ca="1" si="147"/>
        <v>RFR EUR</v>
      </c>
      <c r="F1925" t="str">
        <f t="shared" ca="1" si="148"/>
        <v>RFR GBP</v>
      </c>
      <c r="J1925" s="1"/>
      <c r="N1925" s="1"/>
      <c r="R1925" s="1"/>
      <c r="V1925" s="1"/>
      <c r="AB1925" s="1"/>
      <c r="AF1925" s="1"/>
      <c r="AJ1925" s="1"/>
      <c r="AN1925" s="1"/>
      <c r="AS1925" s="1"/>
      <c r="AX1925" s="1"/>
    </row>
    <row r="1926" spans="1:50" x14ac:dyDescent="0.3">
      <c r="A1926" s="19">
        <f t="shared" si="149"/>
        <v>48611</v>
      </c>
      <c r="B1926">
        <f t="shared" ca="1" si="145"/>
        <v>-6.8305555555555557</v>
      </c>
      <c r="C1926" t="str">
        <f ca="1">IF(currency="USD",'Future et co'!D1926,IF(currency="EUR",'Future et co'!E1926,IF(currency="GBP",'Future et co'!F1926,FALSE)))</f>
        <v>RFR USD</v>
      </c>
      <c r="D1926" t="str">
        <f t="shared" ca="1" si="146"/>
        <v>RFR USD</v>
      </c>
      <c r="E1926" t="str">
        <f t="shared" ca="1" si="147"/>
        <v>RFR EUR</v>
      </c>
      <c r="F1926" t="str">
        <f t="shared" ca="1" si="148"/>
        <v>RFR GBP</v>
      </c>
      <c r="J1926" s="1"/>
      <c r="N1926" s="1"/>
      <c r="R1926" s="1"/>
      <c r="V1926" s="1"/>
      <c r="AB1926" s="1"/>
      <c r="AF1926" s="1"/>
      <c r="AJ1926" s="1"/>
      <c r="AN1926" s="1"/>
      <c r="AS1926" s="1"/>
      <c r="AX1926" s="1"/>
    </row>
    <row r="1927" spans="1:50" x14ac:dyDescent="0.3">
      <c r="A1927" s="19">
        <f t="shared" si="149"/>
        <v>48612</v>
      </c>
      <c r="B1927">
        <f t="shared" ca="1" si="145"/>
        <v>-6.833333333333333</v>
      </c>
      <c r="C1927" t="str">
        <f ca="1">IF(currency="USD",'Future et co'!D1927,IF(currency="EUR",'Future et co'!E1927,IF(currency="GBP",'Future et co'!F1927,FALSE)))</f>
        <v>RFR USD</v>
      </c>
      <c r="D1927" t="str">
        <f t="shared" ca="1" si="146"/>
        <v>RFR USD</v>
      </c>
      <c r="E1927" t="str">
        <f t="shared" ca="1" si="147"/>
        <v>RFR EUR</v>
      </c>
      <c r="F1927" t="str">
        <f t="shared" ca="1" si="148"/>
        <v>RFR GBP</v>
      </c>
      <c r="J1927" s="1"/>
      <c r="N1927" s="1"/>
      <c r="R1927" s="1"/>
      <c r="V1927" s="1"/>
      <c r="AB1927" s="1"/>
      <c r="AF1927" s="1"/>
      <c r="AJ1927" s="1"/>
      <c r="AN1927" s="1"/>
      <c r="AS1927" s="1"/>
      <c r="AX1927" s="1"/>
    </row>
    <row r="1928" spans="1:50" x14ac:dyDescent="0.3">
      <c r="A1928" s="19">
        <f t="shared" si="149"/>
        <v>48613</v>
      </c>
      <c r="B1928">
        <f t="shared" ca="1" si="145"/>
        <v>-6.8361111111111112</v>
      </c>
      <c r="C1928" t="str">
        <f ca="1">IF(currency="USD",'Future et co'!D1928,IF(currency="EUR",'Future et co'!E1928,IF(currency="GBP",'Future et co'!F1928,FALSE)))</f>
        <v>RFR USD</v>
      </c>
      <c r="D1928" t="str">
        <f t="shared" ca="1" si="146"/>
        <v>RFR USD</v>
      </c>
      <c r="E1928" t="str">
        <f t="shared" ca="1" si="147"/>
        <v>RFR EUR</v>
      </c>
      <c r="F1928" t="str">
        <f t="shared" ca="1" si="148"/>
        <v>RFR GBP</v>
      </c>
      <c r="J1928" s="1"/>
      <c r="N1928" s="1"/>
      <c r="R1928" s="1"/>
      <c r="V1928" s="1"/>
      <c r="AB1928" s="1"/>
      <c r="AF1928" s="1"/>
      <c r="AJ1928" s="1"/>
      <c r="AN1928" s="1"/>
      <c r="AS1928" s="1"/>
      <c r="AX1928" s="1"/>
    </row>
    <row r="1929" spans="1:50" x14ac:dyDescent="0.3">
      <c r="A1929" s="19">
        <f t="shared" si="149"/>
        <v>48614</v>
      </c>
      <c r="B1929">
        <f t="shared" ca="1" si="145"/>
        <v>-6.8388888888888886</v>
      </c>
      <c r="C1929" t="str">
        <f ca="1">IF(currency="USD",'Future et co'!D1929,IF(currency="EUR",'Future et co'!E1929,IF(currency="GBP",'Future et co'!F1929,FALSE)))</f>
        <v>RFR USD</v>
      </c>
      <c r="D1929" t="str">
        <f t="shared" ca="1" si="146"/>
        <v>RFR USD</v>
      </c>
      <c r="E1929" t="str">
        <f t="shared" ca="1" si="147"/>
        <v>RFR EUR</v>
      </c>
      <c r="F1929" t="str">
        <f t="shared" ca="1" si="148"/>
        <v>RFR GBP</v>
      </c>
      <c r="J1929" s="1"/>
      <c r="N1929" s="1"/>
      <c r="R1929" s="1"/>
      <c r="V1929" s="1"/>
      <c r="AB1929" s="1"/>
      <c r="AF1929" s="1"/>
      <c r="AJ1929" s="1"/>
      <c r="AN1929" s="1"/>
      <c r="AS1929" s="1"/>
      <c r="AX1929" s="1"/>
    </row>
    <row r="1930" spans="1:50" x14ac:dyDescent="0.3">
      <c r="A1930" s="19">
        <f t="shared" si="149"/>
        <v>48617</v>
      </c>
      <c r="B1930">
        <f t="shared" ca="1" si="145"/>
        <v>-6.8472222222222223</v>
      </c>
      <c r="C1930" t="str">
        <f ca="1">IF(currency="USD",'Future et co'!D1930,IF(currency="EUR",'Future et co'!E1930,IF(currency="GBP",'Future et co'!F1930,FALSE)))</f>
        <v>RFR USD</v>
      </c>
      <c r="D1930" t="str">
        <f t="shared" ca="1" si="146"/>
        <v>RFR USD</v>
      </c>
      <c r="E1930" t="str">
        <f t="shared" ca="1" si="147"/>
        <v>RFR EUR</v>
      </c>
      <c r="F1930" t="str">
        <f t="shared" ca="1" si="148"/>
        <v>RFR GBP</v>
      </c>
      <c r="J1930" s="1"/>
      <c r="N1930" s="1"/>
      <c r="R1930" s="1"/>
      <c r="V1930" s="1"/>
      <c r="AB1930" s="1"/>
      <c r="AF1930" s="1"/>
      <c r="AJ1930" s="1"/>
      <c r="AN1930" s="1"/>
      <c r="AS1930" s="1"/>
      <c r="AX1930" s="1"/>
    </row>
    <row r="1931" spans="1:50" x14ac:dyDescent="0.3">
      <c r="A1931" s="19">
        <f t="shared" si="149"/>
        <v>48618</v>
      </c>
      <c r="B1931">
        <f t="shared" ref="B1931:B1994" ca="1" si="150">($B$7-A1931)/360</f>
        <v>-6.85</v>
      </c>
      <c r="C1931" t="str">
        <f ca="1">IF(currency="USD",'Future et co'!D1931,IF(currency="EUR",'Future et co'!E1931,IF(currency="GBP",'Future et co'!F1931,FALSE)))</f>
        <v>RFR USD</v>
      </c>
      <c r="D1931" t="str">
        <f t="shared" ref="D1931:D1994" ca="1" si="151">IFERROR(IF(B1931&lt;0.25,VLOOKUP(A1931,$J$11:$L$5325,3,FALSE),IF(AND(B1931&gt;=0.25,B1931&lt;0.5),VLOOKUP(A1931,$N$11:$P$5325,3,FALSE),IF(AND(B1931&gt;=0.5,B1931&lt;1),VLOOKUP(A1931,$R$11:$T$5325,3,FALSE),VLOOKUP(A1931,$V$11:$X$5010,3,FALSE)))),D1930)</f>
        <v>RFR USD</v>
      </c>
      <c r="E1931" t="str">
        <f t="shared" ref="E1931:E1994" ca="1" si="152">IFERROR(IF(B1931&lt;0.25,VLOOKUP(A1931,$AF$11:$AH$5325,3,FALSE),IF(AND(B1931&gt;=0.25,B1931&lt;0.5),VLOOKUP(A1931,$AJ$11:$AL$5325,3,FALSE),VLOOKUP(A1931,$AN$11:$AP$5325,3,FALSE))),E1930)</f>
        <v>RFR EUR</v>
      </c>
      <c r="F1931" t="str">
        <f t="shared" ref="F1931:F1994" ca="1" si="153">IFERROR(VLOOKUP(A1931,$AS$11:$AU$9999,3,FALSE),F1930)</f>
        <v>RFR GBP</v>
      </c>
      <c r="J1931" s="1"/>
      <c r="N1931" s="1"/>
      <c r="R1931" s="1"/>
      <c r="V1931" s="1"/>
      <c r="AB1931" s="1"/>
      <c r="AF1931" s="1"/>
      <c r="AJ1931" s="1"/>
      <c r="AN1931" s="1"/>
      <c r="AS1931" s="1"/>
      <c r="AX1931" s="1"/>
    </row>
    <row r="1932" spans="1:50" x14ac:dyDescent="0.3">
      <c r="A1932" s="19">
        <f t="shared" si="149"/>
        <v>48619</v>
      </c>
      <c r="B1932">
        <f t="shared" ca="1" si="150"/>
        <v>-6.8527777777777779</v>
      </c>
      <c r="C1932" t="str">
        <f ca="1">IF(currency="USD",'Future et co'!D1932,IF(currency="EUR",'Future et co'!E1932,IF(currency="GBP",'Future et co'!F1932,FALSE)))</f>
        <v>RFR USD</v>
      </c>
      <c r="D1932" t="str">
        <f t="shared" ca="1" si="151"/>
        <v>RFR USD</v>
      </c>
      <c r="E1932" t="str">
        <f t="shared" ca="1" si="152"/>
        <v>RFR EUR</v>
      </c>
      <c r="F1932" t="str">
        <f t="shared" ca="1" si="153"/>
        <v>RFR GBP</v>
      </c>
      <c r="J1932" s="1"/>
      <c r="N1932" s="1"/>
      <c r="R1932" s="1"/>
      <c r="V1932" s="1"/>
      <c r="AB1932" s="1"/>
      <c r="AF1932" s="1"/>
      <c r="AJ1932" s="1"/>
      <c r="AN1932" s="1"/>
      <c r="AS1932" s="1"/>
      <c r="AX1932" s="1"/>
    </row>
    <row r="1933" spans="1:50" x14ac:dyDescent="0.3">
      <c r="A1933" s="19">
        <f t="shared" ref="A1933:A1996" si="154">WORKDAY(A1932,1)</f>
        <v>48620</v>
      </c>
      <c r="B1933">
        <f t="shared" ca="1" si="150"/>
        <v>-6.8555555555555552</v>
      </c>
      <c r="C1933" t="str">
        <f ca="1">IF(currency="USD",'Future et co'!D1933,IF(currency="EUR",'Future et co'!E1933,IF(currency="GBP",'Future et co'!F1933,FALSE)))</f>
        <v>RFR USD</v>
      </c>
      <c r="D1933" t="str">
        <f t="shared" ca="1" si="151"/>
        <v>RFR USD</v>
      </c>
      <c r="E1933" t="str">
        <f t="shared" ca="1" si="152"/>
        <v>RFR EUR</v>
      </c>
      <c r="F1933" t="str">
        <f t="shared" ca="1" si="153"/>
        <v>RFR GBP</v>
      </c>
      <c r="J1933" s="1"/>
      <c r="N1933" s="1"/>
      <c r="R1933" s="1"/>
      <c r="V1933" s="1"/>
      <c r="AB1933" s="1"/>
      <c r="AF1933" s="1"/>
      <c r="AJ1933" s="1"/>
      <c r="AN1933" s="1"/>
      <c r="AS1933" s="1"/>
      <c r="AX1933" s="1"/>
    </row>
    <row r="1934" spans="1:50" x14ac:dyDescent="0.3">
      <c r="A1934" s="19">
        <f t="shared" si="154"/>
        <v>48621</v>
      </c>
      <c r="B1934">
        <f t="shared" ca="1" si="150"/>
        <v>-6.8583333333333334</v>
      </c>
      <c r="C1934" t="str">
        <f ca="1">IF(currency="USD",'Future et co'!D1934,IF(currency="EUR",'Future et co'!E1934,IF(currency="GBP",'Future et co'!F1934,FALSE)))</f>
        <v>RFR USD</v>
      </c>
      <c r="D1934" t="str">
        <f t="shared" ca="1" si="151"/>
        <v>RFR USD</v>
      </c>
      <c r="E1934" t="str">
        <f t="shared" ca="1" si="152"/>
        <v>RFR EUR</v>
      </c>
      <c r="F1934" t="str">
        <f t="shared" ca="1" si="153"/>
        <v>RFR GBP</v>
      </c>
      <c r="J1934" s="1"/>
      <c r="N1934" s="1"/>
      <c r="R1934" s="1"/>
      <c r="V1934" s="1"/>
      <c r="AB1934" s="1"/>
      <c r="AF1934" s="1"/>
      <c r="AJ1934" s="1"/>
      <c r="AN1934" s="1"/>
      <c r="AS1934" s="1"/>
      <c r="AX1934" s="1"/>
    </row>
    <row r="1935" spans="1:50" x14ac:dyDescent="0.3">
      <c r="A1935" s="19">
        <f t="shared" si="154"/>
        <v>48624</v>
      </c>
      <c r="B1935">
        <f t="shared" ca="1" si="150"/>
        <v>-6.8666666666666663</v>
      </c>
      <c r="C1935" t="str">
        <f ca="1">IF(currency="USD",'Future et co'!D1935,IF(currency="EUR",'Future et co'!E1935,IF(currency="GBP",'Future et co'!F1935,FALSE)))</f>
        <v>RFR USD</v>
      </c>
      <c r="D1935" t="str">
        <f t="shared" ca="1" si="151"/>
        <v>RFR USD</v>
      </c>
      <c r="E1935" t="str">
        <f t="shared" ca="1" si="152"/>
        <v>RFR EUR</v>
      </c>
      <c r="F1935" t="str">
        <f t="shared" ca="1" si="153"/>
        <v>RFR GBP</v>
      </c>
      <c r="J1935" s="1"/>
      <c r="N1935" s="1"/>
      <c r="R1935" s="1"/>
      <c r="V1935" s="1"/>
      <c r="AB1935" s="1"/>
      <c r="AF1935" s="1"/>
      <c r="AJ1935" s="1"/>
      <c r="AN1935" s="1"/>
      <c r="AS1935" s="1"/>
      <c r="AX1935" s="1"/>
    </row>
    <row r="1936" spans="1:50" x14ac:dyDescent="0.3">
      <c r="A1936" s="19">
        <f t="shared" si="154"/>
        <v>48625</v>
      </c>
      <c r="B1936">
        <f t="shared" ca="1" si="150"/>
        <v>-6.8694444444444445</v>
      </c>
      <c r="C1936" t="str">
        <f ca="1">IF(currency="USD",'Future et co'!D1936,IF(currency="EUR",'Future et co'!E1936,IF(currency="GBP",'Future et co'!F1936,FALSE)))</f>
        <v>RFR USD</v>
      </c>
      <c r="D1936" t="str">
        <f t="shared" ca="1" si="151"/>
        <v>RFR USD</v>
      </c>
      <c r="E1936" t="str">
        <f t="shared" ca="1" si="152"/>
        <v>RFR EUR</v>
      </c>
      <c r="F1936" t="str">
        <f t="shared" ca="1" si="153"/>
        <v>RFR GBP</v>
      </c>
      <c r="J1936" s="1"/>
      <c r="N1936" s="1"/>
      <c r="R1936" s="1"/>
      <c r="V1936" s="1"/>
      <c r="AB1936" s="1"/>
      <c r="AF1936" s="1"/>
      <c r="AJ1936" s="1"/>
      <c r="AN1936" s="1"/>
      <c r="AS1936" s="1"/>
      <c r="AX1936" s="1"/>
    </row>
    <row r="1937" spans="1:50" x14ac:dyDescent="0.3">
      <c r="A1937" s="19">
        <f t="shared" si="154"/>
        <v>48626</v>
      </c>
      <c r="B1937">
        <f t="shared" ca="1" si="150"/>
        <v>-6.8722222222222218</v>
      </c>
      <c r="C1937" t="str">
        <f ca="1">IF(currency="USD",'Future et co'!D1937,IF(currency="EUR",'Future et co'!E1937,IF(currency="GBP",'Future et co'!F1937,FALSE)))</f>
        <v>RFR USD</v>
      </c>
      <c r="D1937" t="str">
        <f t="shared" ca="1" si="151"/>
        <v>RFR USD</v>
      </c>
      <c r="E1937" t="str">
        <f t="shared" ca="1" si="152"/>
        <v>RFR EUR</v>
      </c>
      <c r="F1937" t="str">
        <f t="shared" ca="1" si="153"/>
        <v>RFR GBP</v>
      </c>
      <c r="J1937" s="1"/>
      <c r="N1937" s="1"/>
      <c r="R1937" s="1"/>
      <c r="V1937" s="1"/>
      <c r="AB1937" s="1"/>
      <c r="AF1937" s="1"/>
      <c r="AJ1937" s="1"/>
      <c r="AN1937" s="1"/>
      <c r="AS1937" s="1"/>
      <c r="AX1937" s="1"/>
    </row>
    <row r="1938" spans="1:50" x14ac:dyDescent="0.3">
      <c r="A1938" s="19">
        <f t="shared" si="154"/>
        <v>48627</v>
      </c>
      <c r="B1938">
        <f t="shared" ca="1" si="150"/>
        <v>-6.875</v>
      </c>
      <c r="C1938" t="str">
        <f ca="1">IF(currency="USD",'Future et co'!D1938,IF(currency="EUR",'Future et co'!E1938,IF(currency="GBP",'Future et co'!F1938,FALSE)))</f>
        <v>RFR USD</v>
      </c>
      <c r="D1938" t="str">
        <f t="shared" ca="1" si="151"/>
        <v>RFR USD</v>
      </c>
      <c r="E1938" t="str">
        <f t="shared" ca="1" si="152"/>
        <v>RFR EUR</v>
      </c>
      <c r="F1938" t="str">
        <f t="shared" ca="1" si="153"/>
        <v>RFR GBP</v>
      </c>
      <c r="J1938" s="1"/>
      <c r="N1938" s="1"/>
      <c r="R1938" s="1"/>
      <c r="V1938" s="1"/>
      <c r="AB1938" s="1"/>
      <c r="AF1938" s="1"/>
      <c r="AJ1938" s="1"/>
      <c r="AN1938" s="1"/>
      <c r="AS1938" s="1"/>
      <c r="AX1938" s="1"/>
    </row>
    <row r="1939" spans="1:50" x14ac:dyDescent="0.3">
      <c r="A1939" s="19">
        <f t="shared" si="154"/>
        <v>48628</v>
      </c>
      <c r="B1939">
        <f t="shared" ca="1" si="150"/>
        <v>-6.8777777777777782</v>
      </c>
      <c r="C1939" t="str">
        <f ca="1">IF(currency="USD",'Future et co'!D1939,IF(currency="EUR",'Future et co'!E1939,IF(currency="GBP",'Future et co'!F1939,FALSE)))</f>
        <v>RFR USD</v>
      </c>
      <c r="D1939" t="str">
        <f t="shared" ca="1" si="151"/>
        <v>RFR USD</v>
      </c>
      <c r="E1939" t="str">
        <f t="shared" ca="1" si="152"/>
        <v>RFR EUR</v>
      </c>
      <c r="F1939" t="str">
        <f t="shared" ca="1" si="153"/>
        <v>RFR GBP</v>
      </c>
      <c r="J1939" s="1"/>
      <c r="N1939" s="1"/>
      <c r="R1939" s="1"/>
      <c r="V1939" s="1"/>
      <c r="AB1939" s="1"/>
      <c r="AF1939" s="1"/>
      <c r="AJ1939" s="1"/>
      <c r="AN1939" s="1"/>
      <c r="AS1939" s="1"/>
      <c r="AX1939" s="1"/>
    </row>
    <row r="1940" spans="1:50" x14ac:dyDescent="0.3">
      <c r="A1940" s="19">
        <f t="shared" si="154"/>
        <v>48631</v>
      </c>
      <c r="B1940">
        <f t="shared" ca="1" si="150"/>
        <v>-6.8861111111111111</v>
      </c>
      <c r="C1940" t="str">
        <f ca="1">IF(currency="USD",'Future et co'!D1940,IF(currency="EUR",'Future et co'!E1940,IF(currency="GBP",'Future et co'!F1940,FALSE)))</f>
        <v>RFR USD</v>
      </c>
      <c r="D1940" t="str">
        <f t="shared" ca="1" si="151"/>
        <v>RFR USD</v>
      </c>
      <c r="E1940" t="str">
        <f t="shared" ca="1" si="152"/>
        <v>RFR EUR</v>
      </c>
      <c r="F1940" t="str">
        <f t="shared" ca="1" si="153"/>
        <v>RFR GBP</v>
      </c>
      <c r="J1940" s="1"/>
      <c r="N1940" s="1"/>
      <c r="R1940" s="1"/>
      <c r="V1940" s="1"/>
      <c r="AB1940" s="1"/>
      <c r="AF1940" s="1"/>
      <c r="AJ1940" s="1"/>
      <c r="AN1940" s="1"/>
      <c r="AS1940" s="1"/>
      <c r="AX1940" s="1"/>
    </row>
    <row r="1941" spans="1:50" x14ac:dyDescent="0.3">
      <c r="A1941" s="19">
        <f t="shared" si="154"/>
        <v>48632</v>
      </c>
      <c r="B1941">
        <f t="shared" ca="1" si="150"/>
        <v>-6.8888888888888893</v>
      </c>
      <c r="C1941" t="str">
        <f ca="1">IF(currency="USD",'Future et co'!D1941,IF(currency="EUR",'Future et co'!E1941,IF(currency="GBP",'Future et co'!F1941,FALSE)))</f>
        <v>RFR USD</v>
      </c>
      <c r="D1941" t="str">
        <f t="shared" ca="1" si="151"/>
        <v>RFR USD</v>
      </c>
      <c r="E1941" t="str">
        <f t="shared" ca="1" si="152"/>
        <v>RFR EUR</v>
      </c>
      <c r="F1941" t="str">
        <f t="shared" ca="1" si="153"/>
        <v>RFR GBP</v>
      </c>
      <c r="J1941" s="1"/>
      <c r="N1941" s="1"/>
      <c r="R1941" s="1"/>
      <c r="V1941" s="1"/>
      <c r="AB1941" s="1"/>
      <c r="AF1941" s="1"/>
      <c r="AJ1941" s="1"/>
      <c r="AN1941" s="1"/>
      <c r="AS1941" s="1"/>
      <c r="AX1941" s="1"/>
    </row>
    <row r="1942" spans="1:50" x14ac:dyDescent="0.3">
      <c r="A1942" s="19">
        <f t="shared" si="154"/>
        <v>48633</v>
      </c>
      <c r="B1942">
        <f t="shared" ca="1" si="150"/>
        <v>-6.8916666666666666</v>
      </c>
      <c r="C1942" t="str">
        <f ca="1">IF(currency="USD",'Future et co'!D1942,IF(currency="EUR",'Future et co'!E1942,IF(currency="GBP",'Future et co'!F1942,FALSE)))</f>
        <v>RFR USD</v>
      </c>
      <c r="D1942" t="str">
        <f t="shared" ca="1" si="151"/>
        <v>RFR USD</v>
      </c>
      <c r="E1942" t="str">
        <f t="shared" ca="1" si="152"/>
        <v>RFR EUR</v>
      </c>
      <c r="F1942" t="str">
        <f t="shared" ca="1" si="153"/>
        <v>RFR GBP</v>
      </c>
      <c r="J1942" s="1"/>
      <c r="N1942" s="1"/>
      <c r="R1942" s="1"/>
      <c r="V1942" s="1"/>
      <c r="AB1942" s="1"/>
      <c r="AF1942" s="1"/>
      <c r="AJ1942" s="1"/>
      <c r="AN1942" s="1"/>
      <c r="AS1942" s="1"/>
      <c r="AX1942" s="1"/>
    </row>
    <row r="1943" spans="1:50" x14ac:dyDescent="0.3">
      <c r="A1943" s="19">
        <f t="shared" si="154"/>
        <v>48634</v>
      </c>
      <c r="B1943">
        <f t="shared" ca="1" si="150"/>
        <v>-6.8944444444444448</v>
      </c>
      <c r="C1943" t="str">
        <f ca="1">IF(currency="USD",'Future et co'!D1943,IF(currency="EUR",'Future et co'!E1943,IF(currency="GBP",'Future et co'!F1943,FALSE)))</f>
        <v>RFR USD</v>
      </c>
      <c r="D1943" t="str">
        <f t="shared" ca="1" si="151"/>
        <v>RFR USD</v>
      </c>
      <c r="E1943" t="str">
        <f t="shared" ca="1" si="152"/>
        <v>RFR EUR</v>
      </c>
      <c r="F1943" t="str">
        <f t="shared" ca="1" si="153"/>
        <v>RFR GBP</v>
      </c>
      <c r="J1943" s="1"/>
      <c r="N1943" s="1"/>
      <c r="R1943" s="1"/>
      <c r="V1943" s="1"/>
      <c r="AB1943" s="1"/>
      <c r="AF1943" s="1"/>
      <c r="AJ1943" s="1"/>
      <c r="AN1943" s="1"/>
      <c r="AS1943" s="1"/>
      <c r="AX1943" s="1"/>
    </row>
    <row r="1944" spans="1:50" x14ac:dyDescent="0.3">
      <c r="A1944" s="19">
        <f t="shared" si="154"/>
        <v>48635</v>
      </c>
      <c r="B1944">
        <f t="shared" ca="1" si="150"/>
        <v>-6.8972222222222221</v>
      </c>
      <c r="C1944" t="str">
        <f ca="1">IF(currency="USD",'Future et co'!D1944,IF(currency="EUR",'Future et co'!E1944,IF(currency="GBP",'Future et co'!F1944,FALSE)))</f>
        <v>RFR USD</v>
      </c>
      <c r="D1944" t="str">
        <f t="shared" ca="1" si="151"/>
        <v>RFR USD</v>
      </c>
      <c r="E1944" t="str">
        <f t="shared" ca="1" si="152"/>
        <v>RFR EUR</v>
      </c>
      <c r="F1944" t="str">
        <f t="shared" ca="1" si="153"/>
        <v>RFR GBP</v>
      </c>
      <c r="J1944" s="1"/>
      <c r="N1944" s="1"/>
      <c r="R1944" s="1"/>
      <c r="V1944" s="1"/>
      <c r="AB1944" s="1"/>
      <c r="AF1944" s="1"/>
      <c r="AJ1944" s="1"/>
      <c r="AN1944" s="1"/>
      <c r="AS1944" s="1"/>
      <c r="AX1944" s="1"/>
    </row>
    <row r="1945" spans="1:50" x14ac:dyDescent="0.3">
      <c r="A1945" s="19">
        <f t="shared" si="154"/>
        <v>48638</v>
      </c>
      <c r="B1945">
        <f t="shared" ca="1" si="150"/>
        <v>-6.9055555555555559</v>
      </c>
      <c r="C1945" t="str">
        <f ca="1">IF(currency="USD",'Future et co'!D1945,IF(currency="EUR",'Future et co'!E1945,IF(currency="GBP",'Future et co'!F1945,FALSE)))</f>
        <v>RFR USD</v>
      </c>
      <c r="D1945" t="str">
        <f t="shared" ca="1" si="151"/>
        <v>RFR USD</v>
      </c>
      <c r="E1945" t="str">
        <f t="shared" ca="1" si="152"/>
        <v>RFR EUR</v>
      </c>
      <c r="F1945" t="str">
        <f t="shared" ca="1" si="153"/>
        <v>RFR GBP</v>
      </c>
      <c r="J1945" s="1"/>
      <c r="N1945" s="1"/>
      <c r="R1945" s="1"/>
      <c r="V1945" s="1"/>
      <c r="AB1945" s="1"/>
      <c r="AF1945" s="1"/>
      <c r="AJ1945" s="1"/>
      <c r="AN1945" s="1"/>
      <c r="AS1945" s="1"/>
      <c r="AX1945" s="1"/>
    </row>
    <row r="1946" spans="1:50" x14ac:dyDescent="0.3">
      <c r="A1946" s="19">
        <f t="shared" si="154"/>
        <v>48639</v>
      </c>
      <c r="B1946">
        <f t="shared" ca="1" si="150"/>
        <v>-6.9083333333333332</v>
      </c>
      <c r="C1946" t="str">
        <f ca="1">IF(currency="USD",'Future et co'!D1946,IF(currency="EUR",'Future et co'!E1946,IF(currency="GBP",'Future et co'!F1946,FALSE)))</f>
        <v>RFR USD</v>
      </c>
      <c r="D1946" t="str">
        <f t="shared" ca="1" si="151"/>
        <v>RFR USD</v>
      </c>
      <c r="E1946" t="str">
        <f t="shared" ca="1" si="152"/>
        <v>RFR EUR</v>
      </c>
      <c r="F1946" t="str">
        <f t="shared" ca="1" si="153"/>
        <v>RFR GBP</v>
      </c>
      <c r="J1946" s="1"/>
      <c r="N1946" s="1"/>
      <c r="R1946" s="1"/>
      <c r="V1946" s="1"/>
      <c r="AB1946" s="1"/>
      <c r="AF1946" s="1"/>
      <c r="AJ1946" s="1"/>
      <c r="AN1946" s="1"/>
      <c r="AS1946" s="1"/>
      <c r="AX1946" s="1"/>
    </row>
    <row r="1947" spans="1:50" x14ac:dyDescent="0.3">
      <c r="A1947" s="19">
        <f t="shared" si="154"/>
        <v>48640</v>
      </c>
      <c r="B1947">
        <f t="shared" ca="1" si="150"/>
        <v>-6.9111111111111114</v>
      </c>
      <c r="C1947" t="str">
        <f ca="1">IF(currency="USD",'Future et co'!D1947,IF(currency="EUR",'Future et co'!E1947,IF(currency="GBP",'Future et co'!F1947,FALSE)))</f>
        <v>RFR USD</v>
      </c>
      <c r="D1947" t="str">
        <f t="shared" ca="1" si="151"/>
        <v>RFR USD</v>
      </c>
      <c r="E1947" t="str">
        <f t="shared" ca="1" si="152"/>
        <v>RFR EUR</v>
      </c>
      <c r="F1947" t="str">
        <f t="shared" ca="1" si="153"/>
        <v>RFR GBP</v>
      </c>
      <c r="J1947" s="1"/>
      <c r="N1947" s="1"/>
      <c r="R1947" s="1"/>
      <c r="V1947" s="1"/>
      <c r="AB1947" s="1"/>
      <c r="AF1947" s="1"/>
      <c r="AJ1947" s="1"/>
      <c r="AN1947" s="1"/>
      <c r="AS1947" s="1"/>
      <c r="AX1947" s="1"/>
    </row>
    <row r="1948" spans="1:50" x14ac:dyDescent="0.3">
      <c r="A1948" s="19">
        <f t="shared" si="154"/>
        <v>48641</v>
      </c>
      <c r="B1948">
        <f t="shared" ca="1" si="150"/>
        <v>-6.9138888888888888</v>
      </c>
      <c r="C1948" t="str">
        <f ca="1">IF(currency="USD",'Future et co'!D1948,IF(currency="EUR",'Future et co'!E1948,IF(currency="GBP",'Future et co'!F1948,FALSE)))</f>
        <v>RFR USD</v>
      </c>
      <c r="D1948" t="str">
        <f t="shared" ca="1" si="151"/>
        <v>RFR USD</v>
      </c>
      <c r="E1948" t="str">
        <f t="shared" ca="1" si="152"/>
        <v>RFR EUR</v>
      </c>
      <c r="F1948" t="str">
        <f t="shared" ca="1" si="153"/>
        <v>RFR GBP</v>
      </c>
      <c r="J1948" s="1"/>
      <c r="N1948" s="1"/>
      <c r="R1948" s="1"/>
      <c r="V1948" s="1"/>
      <c r="AB1948" s="1"/>
      <c r="AF1948" s="1"/>
      <c r="AJ1948" s="1"/>
      <c r="AN1948" s="1"/>
      <c r="AS1948" s="1"/>
      <c r="AX1948" s="1"/>
    </row>
    <row r="1949" spans="1:50" x14ac:dyDescent="0.3">
      <c r="A1949" s="19">
        <f t="shared" si="154"/>
        <v>48642</v>
      </c>
      <c r="B1949">
        <f t="shared" ca="1" si="150"/>
        <v>-6.916666666666667</v>
      </c>
      <c r="C1949" t="str">
        <f ca="1">IF(currency="USD",'Future et co'!D1949,IF(currency="EUR",'Future et co'!E1949,IF(currency="GBP",'Future et co'!F1949,FALSE)))</f>
        <v>RFR USD</v>
      </c>
      <c r="D1949" t="str">
        <f t="shared" ca="1" si="151"/>
        <v>RFR USD</v>
      </c>
      <c r="E1949" t="str">
        <f t="shared" ca="1" si="152"/>
        <v>RFR EUR</v>
      </c>
      <c r="F1949" t="str">
        <f t="shared" ca="1" si="153"/>
        <v>RFR GBP</v>
      </c>
      <c r="J1949" s="1"/>
      <c r="N1949" s="1"/>
      <c r="R1949" s="1"/>
      <c r="V1949" s="1"/>
      <c r="AB1949" s="1"/>
      <c r="AF1949" s="1"/>
      <c r="AJ1949" s="1"/>
      <c r="AN1949" s="1"/>
      <c r="AS1949" s="1"/>
      <c r="AX1949" s="1"/>
    </row>
    <row r="1950" spans="1:50" x14ac:dyDescent="0.3">
      <c r="A1950" s="19">
        <f t="shared" si="154"/>
        <v>48645</v>
      </c>
      <c r="B1950">
        <f t="shared" ca="1" si="150"/>
        <v>-6.9249999999999998</v>
      </c>
      <c r="C1950" t="str">
        <f ca="1">IF(currency="USD",'Future et co'!D1950,IF(currency="EUR",'Future et co'!E1950,IF(currency="GBP",'Future et co'!F1950,FALSE)))</f>
        <v>RFR USD</v>
      </c>
      <c r="D1950" t="str">
        <f t="shared" ca="1" si="151"/>
        <v>RFR USD</v>
      </c>
      <c r="E1950" t="str">
        <f t="shared" ca="1" si="152"/>
        <v>RFR EUR</v>
      </c>
      <c r="F1950" t="str">
        <f t="shared" ca="1" si="153"/>
        <v>RFR GBP</v>
      </c>
      <c r="J1950" s="1"/>
      <c r="N1950" s="1"/>
      <c r="R1950" s="1"/>
      <c r="V1950" s="1"/>
      <c r="AB1950" s="1"/>
      <c r="AF1950" s="1"/>
      <c r="AJ1950" s="1"/>
      <c r="AN1950" s="1"/>
      <c r="AS1950" s="1"/>
      <c r="AX1950" s="1"/>
    </row>
    <row r="1951" spans="1:50" x14ac:dyDescent="0.3">
      <c r="A1951" s="19">
        <f t="shared" si="154"/>
        <v>48646</v>
      </c>
      <c r="B1951">
        <f t="shared" ca="1" si="150"/>
        <v>-6.927777777777778</v>
      </c>
      <c r="C1951" t="str">
        <f ca="1">IF(currency="USD",'Future et co'!D1951,IF(currency="EUR",'Future et co'!E1951,IF(currency="GBP",'Future et co'!F1951,FALSE)))</f>
        <v>RFR USD</v>
      </c>
      <c r="D1951" t="str">
        <f t="shared" ca="1" si="151"/>
        <v>RFR USD</v>
      </c>
      <c r="E1951" t="str">
        <f t="shared" ca="1" si="152"/>
        <v>RFR EUR</v>
      </c>
      <c r="F1951" t="str">
        <f t="shared" ca="1" si="153"/>
        <v>RFR GBP</v>
      </c>
      <c r="J1951" s="1"/>
      <c r="N1951" s="1"/>
      <c r="R1951" s="1"/>
      <c r="V1951" s="1"/>
      <c r="AB1951" s="1"/>
      <c r="AF1951" s="1"/>
      <c r="AJ1951" s="1"/>
      <c r="AN1951" s="1"/>
      <c r="AS1951" s="1"/>
      <c r="AX1951" s="1"/>
    </row>
    <row r="1952" spans="1:50" x14ac:dyDescent="0.3">
      <c r="A1952" s="19">
        <f t="shared" si="154"/>
        <v>48647</v>
      </c>
      <c r="B1952">
        <f t="shared" ca="1" si="150"/>
        <v>-6.9305555555555554</v>
      </c>
      <c r="C1952" t="str">
        <f ca="1">IF(currency="USD",'Future et co'!D1952,IF(currency="EUR",'Future et co'!E1952,IF(currency="GBP",'Future et co'!F1952,FALSE)))</f>
        <v>RFR USD</v>
      </c>
      <c r="D1952" t="str">
        <f t="shared" ca="1" si="151"/>
        <v>RFR USD</v>
      </c>
      <c r="E1952" t="str">
        <f t="shared" ca="1" si="152"/>
        <v>RFR EUR</v>
      </c>
      <c r="F1952" t="str">
        <f t="shared" ca="1" si="153"/>
        <v>RFR GBP</v>
      </c>
      <c r="J1952" s="1"/>
      <c r="N1952" s="1"/>
      <c r="R1952" s="1"/>
      <c r="V1952" s="1"/>
      <c r="AB1952" s="1"/>
      <c r="AF1952" s="1"/>
      <c r="AJ1952" s="1"/>
      <c r="AN1952" s="1"/>
      <c r="AS1952" s="1"/>
      <c r="AX1952" s="1"/>
    </row>
    <row r="1953" spans="1:50" x14ac:dyDescent="0.3">
      <c r="A1953" s="19">
        <f t="shared" si="154"/>
        <v>48648</v>
      </c>
      <c r="B1953">
        <f t="shared" ca="1" si="150"/>
        <v>-6.9333333333333336</v>
      </c>
      <c r="C1953" t="str">
        <f ca="1">IF(currency="USD",'Future et co'!D1953,IF(currency="EUR",'Future et co'!E1953,IF(currency="GBP",'Future et co'!F1953,FALSE)))</f>
        <v>RFR USD</v>
      </c>
      <c r="D1953" t="str">
        <f t="shared" ca="1" si="151"/>
        <v>RFR USD</v>
      </c>
      <c r="E1953" t="str">
        <f t="shared" ca="1" si="152"/>
        <v>RFR EUR</v>
      </c>
      <c r="F1953" t="str">
        <f t="shared" ca="1" si="153"/>
        <v>RFR GBP</v>
      </c>
      <c r="J1953" s="1"/>
      <c r="N1953" s="1"/>
      <c r="R1953" s="1"/>
      <c r="V1953" s="1"/>
      <c r="AB1953" s="1"/>
      <c r="AF1953" s="1"/>
      <c r="AJ1953" s="1"/>
      <c r="AN1953" s="1"/>
      <c r="AS1953" s="1"/>
      <c r="AX1953" s="1"/>
    </row>
    <row r="1954" spans="1:50" x14ac:dyDescent="0.3">
      <c r="A1954" s="19">
        <f t="shared" si="154"/>
        <v>48649</v>
      </c>
      <c r="B1954">
        <f t="shared" ca="1" si="150"/>
        <v>-6.9361111111111109</v>
      </c>
      <c r="C1954" t="str">
        <f ca="1">IF(currency="USD",'Future et co'!D1954,IF(currency="EUR",'Future et co'!E1954,IF(currency="GBP",'Future et co'!F1954,FALSE)))</f>
        <v>RFR USD</v>
      </c>
      <c r="D1954" t="str">
        <f t="shared" ca="1" si="151"/>
        <v>RFR USD</v>
      </c>
      <c r="E1954" t="str">
        <f t="shared" ca="1" si="152"/>
        <v>RFR EUR</v>
      </c>
      <c r="F1954" t="str">
        <f t="shared" ca="1" si="153"/>
        <v>RFR GBP</v>
      </c>
      <c r="J1954" s="1"/>
      <c r="N1954" s="1"/>
      <c r="R1954" s="1"/>
      <c r="V1954" s="1"/>
      <c r="AB1954" s="1"/>
      <c r="AF1954" s="1"/>
      <c r="AJ1954" s="1"/>
      <c r="AN1954" s="1"/>
      <c r="AS1954" s="1"/>
      <c r="AX1954" s="1"/>
    </row>
    <row r="1955" spans="1:50" x14ac:dyDescent="0.3">
      <c r="A1955" s="19">
        <f t="shared" si="154"/>
        <v>48652</v>
      </c>
      <c r="B1955">
        <f t="shared" ca="1" si="150"/>
        <v>-6.9444444444444446</v>
      </c>
      <c r="C1955" t="str">
        <f ca="1">IF(currency="USD",'Future et co'!D1955,IF(currency="EUR",'Future et co'!E1955,IF(currency="GBP",'Future et co'!F1955,FALSE)))</f>
        <v>RFR USD</v>
      </c>
      <c r="D1955" t="str">
        <f t="shared" ca="1" si="151"/>
        <v>RFR USD</v>
      </c>
      <c r="E1955" t="str">
        <f t="shared" ca="1" si="152"/>
        <v>RFR EUR</v>
      </c>
      <c r="F1955" t="str">
        <f t="shared" ca="1" si="153"/>
        <v>RFR GBP</v>
      </c>
      <c r="J1955" s="1"/>
      <c r="N1955" s="1"/>
      <c r="R1955" s="1"/>
      <c r="V1955" s="1"/>
      <c r="AB1955" s="1"/>
      <c r="AF1955" s="1"/>
      <c r="AJ1955" s="1"/>
      <c r="AN1955" s="1"/>
      <c r="AS1955" s="1"/>
      <c r="AX1955" s="1"/>
    </row>
    <row r="1956" spans="1:50" x14ac:dyDescent="0.3">
      <c r="A1956" s="19">
        <f t="shared" si="154"/>
        <v>48653</v>
      </c>
      <c r="B1956">
        <f t="shared" ca="1" si="150"/>
        <v>-6.947222222222222</v>
      </c>
      <c r="C1956" t="str">
        <f ca="1">IF(currency="USD",'Future et co'!D1956,IF(currency="EUR",'Future et co'!E1956,IF(currency="GBP",'Future et co'!F1956,FALSE)))</f>
        <v>RFR USD</v>
      </c>
      <c r="D1956" t="str">
        <f t="shared" ca="1" si="151"/>
        <v>RFR USD</v>
      </c>
      <c r="E1956" t="str">
        <f t="shared" ca="1" si="152"/>
        <v>RFR EUR</v>
      </c>
      <c r="F1956" t="str">
        <f t="shared" ca="1" si="153"/>
        <v>RFR GBP</v>
      </c>
      <c r="J1956" s="1"/>
      <c r="N1956" s="1"/>
      <c r="R1956" s="1"/>
      <c r="V1956" s="1"/>
      <c r="AB1956" s="1"/>
      <c r="AF1956" s="1"/>
      <c r="AJ1956" s="1"/>
      <c r="AN1956" s="1"/>
      <c r="AS1956" s="1"/>
      <c r="AX1956" s="1"/>
    </row>
    <row r="1957" spans="1:50" x14ac:dyDescent="0.3">
      <c r="A1957" s="19">
        <f t="shared" si="154"/>
        <v>48654</v>
      </c>
      <c r="B1957">
        <f t="shared" ca="1" si="150"/>
        <v>-6.95</v>
      </c>
      <c r="C1957" t="str">
        <f ca="1">IF(currency="USD",'Future et co'!D1957,IF(currency="EUR",'Future et co'!E1957,IF(currency="GBP",'Future et co'!F1957,FALSE)))</f>
        <v>RFR USD</v>
      </c>
      <c r="D1957" t="str">
        <f t="shared" ca="1" si="151"/>
        <v>RFR USD</v>
      </c>
      <c r="E1957" t="str">
        <f t="shared" ca="1" si="152"/>
        <v>RFR EUR</v>
      </c>
      <c r="F1957" t="str">
        <f t="shared" ca="1" si="153"/>
        <v>RFR GBP</v>
      </c>
      <c r="J1957" s="1"/>
      <c r="N1957" s="1"/>
      <c r="R1957" s="1"/>
      <c r="V1957" s="1"/>
      <c r="AB1957" s="1"/>
      <c r="AF1957" s="1"/>
      <c r="AJ1957" s="1"/>
      <c r="AN1957" s="1"/>
      <c r="AS1957" s="1"/>
      <c r="AX1957" s="1"/>
    </row>
    <row r="1958" spans="1:50" x14ac:dyDescent="0.3">
      <c r="A1958" s="19">
        <f t="shared" si="154"/>
        <v>48655</v>
      </c>
      <c r="B1958">
        <f t="shared" ca="1" si="150"/>
        <v>-6.9527777777777775</v>
      </c>
      <c r="C1958" t="str">
        <f ca="1">IF(currency="USD",'Future et co'!D1958,IF(currency="EUR",'Future et co'!E1958,IF(currency="GBP",'Future et co'!F1958,FALSE)))</f>
        <v>RFR USD</v>
      </c>
      <c r="D1958" t="str">
        <f t="shared" ca="1" si="151"/>
        <v>RFR USD</v>
      </c>
      <c r="E1958" t="str">
        <f t="shared" ca="1" si="152"/>
        <v>RFR EUR</v>
      </c>
      <c r="F1958" t="str">
        <f t="shared" ca="1" si="153"/>
        <v>RFR GBP</v>
      </c>
      <c r="J1958" s="1"/>
      <c r="N1958" s="1"/>
      <c r="R1958" s="1"/>
      <c r="V1958" s="1"/>
      <c r="AB1958" s="1"/>
      <c r="AF1958" s="1"/>
      <c r="AJ1958" s="1"/>
      <c r="AN1958" s="1"/>
      <c r="AS1958" s="1"/>
      <c r="AX1958" s="1"/>
    </row>
    <row r="1959" spans="1:50" x14ac:dyDescent="0.3">
      <c r="A1959" s="19">
        <f t="shared" si="154"/>
        <v>48656</v>
      </c>
      <c r="B1959">
        <f t="shared" ca="1" si="150"/>
        <v>-6.9555555555555557</v>
      </c>
      <c r="C1959" t="str">
        <f ca="1">IF(currency="USD",'Future et co'!D1959,IF(currency="EUR",'Future et co'!E1959,IF(currency="GBP",'Future et co'!F1959,FALSE)))</f>
        <v>RFR USD</v>
      </c>
      <c r="D1959" t="str">
        <f t="shared" ca="1" si="151"/>
        <v>RFR USD</v>
      </c>
      <c r="E1959" t="str">
        <f t="shared" ca="1" si="152"/>
        <v>RFR EUR</v>
      </c>
      <c r="F1959" t="str">
        <f t="shared" ca="1" si="153"/>
        <v>RFR GBP</v>
      </c>
      <c r="J1959" s="1"/>
      <c r="N1959" s="1"/>
      <c r="R1959" s="1"/>
      <c r="V1959" s="1"/>
      <c r="AB1959" s="1"/>
      <c r="AF1959" s="1"/>
      <c r="AJ1959" s="1"/>
      <c r="AN1959" s="1"/>
      <c r="AS1959" s="1"/>
      <c r="AX1959" s="1"/>
    </row>
    <row r="1960" spans="1:50" x14ac:dyDescent="0.3">
      <c r="A1960" s="19">
        <f t="shared" si="154"/>
        <v>48659</v>
      </c>
      <c r="B1960">
        <f t="shared" ca="1" si="150"/>
        <v>-6.9638888888888886</v>
      </c>
      <c r="C1960" t="str">
        <f ca="1">IF(currency="USD",'Future et co'!D1960,IF(currency="EUR",'Future et co'!E1960,IF(currency="GBP",'Future et co'!F1960,FALSE)))</f>
        <v>RFR USD</v>
      </c>
      <c r="D1960" t="str">
        <f t="shared" ca="1" si="151"/>
        <v>RFR USD</v>
      </c>
      <c r="E1960" t="str">
        <f t="shared" ca="1" si="152"/>
        <v>RFR EUR</v>
      </c>
      <c r="F1960" t="str">
        <f t="shared" ca="1" si="153"/>
        <v>RFR GBP</v>
      </c>
      <c r="J1960" s="1"/>
      <c r="N1960" s="1"/>
      <c r="R1960" s="1"/>
      <c r="V1960" s="1"/>
      <c r="AB1960" s="1"/>
      <c r="AF1960" s="1"/>
      <c r="AJ1960" s="1"/>
      <c r="AN1960" s="1"/>
      <c r="AS1960" s="1"/>
      <c r="AX1960" s="1"/>
    </row>
    <row r="1961" spans="1:50" x14ac:dyDescent="0.3">
      <c r="A1961" s="19">
        <f t="shared" si="154"/>
        <v>48660</v>
      </c>
      <c r="B1961">
        <f t="shared" ca="1" si="150"/>
        <v>-6.9666666666666668</v>
      </c>
      <c r="C1961" t="str">
        <f ca="1">IF(currency="USD",'Future et co'!D1961,IF(currency="EUR",'Future et co'!E1961,IF(currency="GBP",'Future et co'!F1961,FALSE)))</f>
        <v>RFR USD</v>
      </c>
      <c r="D1961" t="str">
        <f t="shared" ca="1" si="151"/>
        <v>RFR USD</v>
      </c>
      <c r="E1961" t="str">
        <f t="shared" ca="1" si="152"/>
        <v>RFR EUR</v>
      </c>
      <c r="F1961" t="str">
        <f t="shared" ca="1" si="153"/>
        <v>RFR GBP</v>
      </c>
      <c r="J1961" s="1"/>
      <c r="N1961" s="1"/>
      <c r="R1961" s="1"/>
      <c r="V1961" s="1"/>
      <c r="AB1961" s="1"/>
      <c r="AF1961" s="1"/>
      <c r="AJ1961" s="1"/>
      <c r="AN1961" s="1"/>
      <c r="AS1961" s="1"/>
      <c r="AX1961" s="1"/>
    </row>
    <row r="1962" spans="1:50" x14ac:dyDescent="0.3">
      <c r="A1962" s="19">
        <f t="shared" si="154"/>
        <v>48661</v>
      </c>
      <c r="B1962">
        <f t="shared" ca="1" si="150"/>
        <v>-6.9694444444444441</v>
      </c>
      <c r="C1962" t="str">
        <f ca="1">IF(currency="USD",'Future et co'!D1962,IF(currency="EUR",'Future et co'!E1962,IF(currency="GBP",'Future et co'!F1962,FALSE)))</f>
        <v>RFR USD</v>
      </c>
      <c r="D1962" t="str">
        <f t="shared" ca="1" si="151"/>
        <v>RFR USD</v>
      </c>
      <c r="E1962" t="str">
        <f t="shared" ca="1" si="152"/>
        <v>RFR EUR</v>
      </c>
      <c r="F1962" t="str">
        <f t="shared" ca="1" si="153"/>
        <v>RFR GBP</v>
      </c>
      <c r="J1962" s="1"/>
      <c r="N1962" s="1"/>
      <c r="R1962" s="1"/>
      <c r="V1962" s="1"/>
      <c r="AB1962" s="1"/>
      <c r="AF1962" s="1"/>
      <c r="AJ1962" s="1"/>
      <c r="AN1962" s="1"/>
      <c r="AS1962" s="1"/>
      <c r="AX1962" s="1"/>
    </row>
    <row r="1963" spans="1:50" x14ac:dyDescent="0.3">
      <c r="A1963" s="19">
        <f t="shared" si="154"/>
        <v>48662</v>
      </c>
      <c r="B1963">
        <f t="shared" ca="1" si="150"/>
        <v>-6.9722222222222223</v>
      </c>
      <c r="C1963" t="str">
        <f ca="1">IF(currency="USD",'Future et co'!D1963,IF(currency="EUR",'Future et co'!E1963,IF(currency="GBP",'Future et co'!F1963,FALSE)))</f>
        <v>RFR USD</v>
      </c>
      <c r="D1963" t="str">
        <f t="shared" ca="1" si="151"/>
        <v>RFR USD</v>
      </c>
      <c r="E1963" t="str">
        <f t="shared" ca="1" si="152"/>
        <v>RFR EUR</v>
      </c>
      <c r="F1963" t="str">
        <f t="shared" ca="1" si="153"/>
        <v>RFR GBP</v>
      </c>
      <c r="J1963" s="1"/>
      <c r="N1963" s="1"/>
      <c r="R1963" s="1"/>
      <c r="V1963" s="1"/>
      <c r="AB1963" s="1"/>
      <c r="AF1963" s="1"/>
      <c r="AJ1963" s="1"/>
      <c r="AN1963" s="1"/>
      <c r="AS1963" s="1"/>
      <c r="AX1963" s="1"/>
    </row>
    <row r="1964" spans="1:50" x14ac:dyDescent="0.3">
      <c r="A1964" s="19">
        <f t="shared" si="154"/>
        <v>48663</v>
      </c>
      <c r="B1964">
        <f t="shared" ca="1" si="150"/>
        <v>-6.9749999999999996</v>
      </c>
      <c r="C1964" t="str">
        <f ca="1">IF(currency="USD",'Future et co'!D1964,IF(currency="EUR",'Future et co'!E1964,IF(currency="GBP",'Future et co'!F1964,FALSE)))</f>
        <v>RFR USD</v>
      </c>
      <c r="D1964" t="str">
        <f t="shared" ca="1" si="151"/>
        <v>RFR USD</v>
      </c>
      <c r="E1964" t="str">
        <f t="shared" ca="1" si="152"/>
        <v>RFR EUR</v>
      </c>
      <c r="F1964" t="str">
        <f t="shared" ca="1" si="153"/>
        <v>RFR GBP</v>
      </c>
      <c r="J1964" s="1"/>
      <c r="N1964" s="1"/>
      <c r="R1964" s="1"/>
      <c r="V1964" s="1"/>
      <c r="AB1964" s="1"/>
      <c r="AF1964" s="1"/>
      <c r="AJ1964" s="1"/>
      <c r="AN1964" s="1"/>
      <c r="AS1964" s="1"/>
      <c r="AX1964" s="1"/>
    </row>
    <row r="1965" spans="1:50" x14ac:dyDescent="0.3">
      <c r="A1965" s="19">
        <f t="shared" si="154"/>
        <v>48666</v>
      </c>
      <c r="B1965">
        <f t="shared" ca="1" si="150"/>
        <v>-6.9833333333333334</v>
      </c>
      <c r="C1965" t="str">
        <f ca="1">IF(currency="USD",'Future et co'!D1965,IF(currency="EUR",'Future et co'!E1965,IF(currency="GBP",'Future et co'!F1965,FALSE)))</f>
        <v>RFR USD</v>
      </c>
      <c r="D1965" t="str">
        <f t="shared" ca="1" si="151"/>
        <v>RFR USD</v>
      </c>
      <c r="E1965" t="str">
        <f t="shared" ca="1" si="152"/>
        <v>RFR EUR</v>
      </c>
      <c r="F1965" t="str">
        <f t="shared" ca="1" si="153"/>
        <v>RFR GBP</v>
      </c>
      <c r="J1965" s="1"/>
      <c r="N1965" s="1"/>
      <c r="R1965" s="1"/>
      <c r="V1965" s="1"/>
      <c r="AB1965" s="1"/>
      <c r="AF1965" s="1"/>
      <c r="AJ1965" s="1"/>
      <c r="AN1965" s="1"/>
      <c r="AS1965" s="1"/>
      <c r="AX1965" s="1"/>
    </row>
    <row r="1966" spans="1:50" x14ac:dyDescent="0.3">
      <c r="A1966" s="19">
        <f t="shared" si="154"/>
        <v>48667</v>
      </c>
      <c r="B1966">
        <f t="shared" ca="1" si="150"/>
        <v>-6.9861111111111107</v>
      </c>
      <c r="C1966" t="str">
        <f ca="1">IF(currency="USD",'Future et co'!D1966,IF(currency="EUR",'Future et co'!E1966,IF(currency="GBP",'Future et co'!F1966,FALSE)))</f>
        <v>RFR USD</v>
      </c>
      <c r="D1966" t="str">
        <f t="shared" ca="1" si="151"/>
        <v>RFR USD</v>
      </c>
      <c r="E1966" t="str">
        <f t="shared" ca="1" si="152"/>
        <v>RFR EUR</v>
      </c>
      <c r="F1966" t="str">
        <f t="shared" ca="1" si="153"/>
        <v>RFR GBP</v>
      </c>
      <c r="J1966" s="1"/>
      <c r="N1966" s="1"/>
      <c r="R1966" s="1"/>
      <c r="V1966" s="1"/>
      <c r="AB1966" s="1"/>
      <c r="AF1966" s="1"/>
      <c r="AJ1966" s="1"/>
      <c r="AN1966" s="1"/>
      <c r="AS1966" s="1"/>
      <c r="AX1966" s="1"/>
    </row>
    <row r="1967" spans="1:50" x14ac:dyDescent="0.3">
      <c r="A1967" s="19">
        <f t="shared" si="154"/>
        <v>48668</v>
      </c>
      <c r="B1967">
        <f t="shared" ca="1" si="150"/>
        <v>-6.9888888888888889</v>
      </c>
      <c r="C1967" t="str">
        <f ca="1">IF(currency="USD",'Future et co'!D1967,IF(currency="EUR",'Future et co'!E1967,IF(currency="GBP",'Future et co'!F1967,FALSE)))</f>
        <v>RFR USD</v>
      </c>
      <c r="D1967" t="str">
        <f t="shared" ca="1" si="151"/>
        <v>RFR USD</v>
      </c>
      <c r="E1967" t="str">
        <f t="shared" ca="1" si="152"/>
        <v>RFR EUR</v>
      </c>
      <c r="F1967" t="str">
        <f t="shared" ca="1" si="153"/>
        <v>RFR GBP</v>
      </c>
      <c r="J1967" s="1"/>
      <c r="N1967" s="1"/>
      <c r="R1967" s="1"/>
      <c r="V1967" s="1"/>
      <c r="AB1967" s="1"/>
      <c r="AF1967" s="1"/>
      <c r="AJ1967" s="1"/>
      <c r="AN1967" s="1"/>
      <c r="AS1967" s="1"/>
      <c r="AX1967" s="1"/>
    </row>
    <row r="1968" spans="1:50" x14ac:dyDescent="0.3">
      <c r="A1968" s="19">
        <f t="shared" si="154"/>
        <v>48669</v>
      </c>
      <c r="B1968">
        <f t="shared" ca="1" si="150"/>
        <v>-6.9916666666666663</v>
      </c>
      <c r="C1968" t="str">
        <f ca="1">IF(currency="USD",'Future et co'!D1968,IF(currency="EUR",'Future et co'!E1968,IF(currency="GBP",'Future et co'!F1968,FALSE)))</f>
        <v>RFR USD</v>
      </c>
      <c r="D1968" t="str">
        <f t="shared" ca="1" si="151"/>
        <v>RFR USD</v>
      </c>
      <c r="E1968" t="str">
        <f t="shared" ca="1" si="152"/>
        <v>RFR EUR</v>
      </c>
      <c r="F1968" t="str">
        <f t="shared" ca="1" si="153"/>
        <v>RFR GBP</v>
      </c>
      <c r="J1968" s="1"/>
      <c r="N1968" s="1"/>
      <c r="R1968" s="1"/>
      <c r="V1968" s="1"/>
      <c r="AB1968" s="1"/>
      <c r="AF1968" s="1"/>
      <c r="AJ1968" s="1"/>
      <c r="AN1968" s="1"/>
      <c r="AS1968" s="1"/>
      <c r="AX1968" s="1"/>
    </row>
    <row r="1969" spans="1:50" x14ac:dyDescent="0.3">
      <c r="A1969" s="19">
        <f t="shared" si="154"/>
        <v>48670</v>
      </c>
      <c r="B1969">
        <f t="shared" ca="1" si="150"/>
        <v>-6.9944444444444445</v>
      </c>
      <c r="C1969" t="str">
        <f ca="1">IF(currency="USD",'Future et co'!D1969,IF(currency="EUR",'Future et co'!E1969,IF(currency="GBP",'Future et co'!F1969,FALSE)))</f>
        <v>RFR USD</v>
      </c>
      <c r="D1969" t="str">
        <f t="shared" ca="1" si="151"/>
        <v>RFR USD</v>
      </c>
      <c r="E1969" t="str">
        <f t="shared" ca="1" si="152"/>
        <v>RFR EUR</v>
      </c>
      <c r="F1969" t="str">
        <f t="shared" ca="1" si="153"/>
        <v>RFR GBP</v>
      </c>
      <c r="J1969" s="1"/>
      <c r="N1969" s="1"/>
      <c r="R1969" s="1"/>
      <c r="V1969" s="1"/>
      <c r="AB1969" s="1"/>
      <c r="AF1969" s="1"/>
      <c r="AJ1969" s="1"/>
      <c r="AN1969" s="1"/>
      <c r="AS1969" s="1"/>
      <c r="AX1969" s="1"/>
    </row>
    <row r="1970" spans="1:50" x14ac:dyDescent="0.3">
      <c r="A1970" s="19">
        <f t="shared" si="154"/>
        <v>48673</v>
      </c>
      <c r="B1970">
        <f t="shared" ca="1" si="150"/>
        <v>-7.0027777777777782</v>
      </c>
      <c r="C1970" t="str">
        <f ca="1">IF(currency="USD",'Future et co'!D1970,IF(currency="EUR",'Future et co'!E1970,IF(currency="GBP",'Future et co'!F1970,FALSE)))</f>
        <v>RFR USD</v>
      </c>
      <c r="D1970" t="str">
        <f t="shared" ca="1" si="151"/>
        <v>RFR USD</v>
      </c>
      <c r="E1970" t="str">
        <f t="shared" ca="1" si="152"/>
        <v>RFR EUR</v>
      </c>
      <c r="F1970" t="str">
        <f t="shared" ca="1" si="153"/>
        <v>RFR GBP</v>
      </c>
      <c r="J1970" s="1"/>
      <c r="N1970" s="1"/>
      <c r="R1970" s="1"/>
      <c r="V1970" s="1"/>
      <c r="AB1970" s="1"/>
      <c r="AF1970" s="1"/>
      <c r="AJ1970" s="1"/>
      <c r="AN1970" s="1"/>
      <c r="AS1970" s="1"/>
      <c r="AX1970" s="1"/>
    </row>
    <row r="1971" spans="1:50" x14ac:dyDescent="0.3">
      <c r="A1971" s="19">
        <f t="shared" si="154"/>
        <v>48674</v>
      </c>
      <c r="B1971">
        <f t="shared" ca="1" si="150"/>
        <v>-7.0055555555555555</v>
      </c>
      <c r="C1971" t="str">
        <f ca="1">IF(currency="USD",'Future et co'!D1971,IF(currency="EUR",'Future et co'!E1971,IF(currency="GBP",'Future et co'!F1971,FALSE)))</f>
        <v>RFR USD</v>
      </c>
      <c r="D1971" t="str">
        <f t="shared" ca="1" si="151"/>
        <v>RFR USD</v>
      </c>
      <c r="E1971" t="str">
        <f t="shared" ca="1" si="152"/>
        <v>RFR EUR</v>
      </c>
      <c r="F1971" t="str">
        <f t="shared" ca="1" si="153"/>
        <v>RFR GBP</v>
      </c>
      <c r="J1971" s="1"/>
      <c r="N1971" s="1"/>
      <c r="R1971" s="1"/>
      <c r="V1971" s="1"/>
      <c r="AB1971" s="1"/>
      <c r="AF1971" s="1"/>
      <c r="AJ1971" s="1"/>
      <c r="AN1971" s="1"/>
      <c r="AS1971" s="1"/>
      <c r="AX1971" s="1"/>
    </row>
    <row r="1972" spans="1:50" x14ac:dyDescent="0.3">
      <c r="A1972" s="19">
        <f t="shared" si="154"/>
        <v>48675</v>
      </c>
      <c r="B1972">
        <f t="shared" ca="1" si="150"/>
        <v>-7.0083333333333337</v>
      </c>
      <c r="C1972" t="str">
        <f ca="1">IF(currency="USD",'Future et co'!D1972,IF(currency="EUR",'Future et co'!E1972,IF(currency="GBP",'Future et co'!F1972,FALSE)))</f>
        <v>RFR USD</v>
      </c>
      <c r="D1972" t="str">
        <f t="shared" ca="1" si="151"/>
        <v>RFR USD</v>
      </c>
      <c r="E1972" t="str">
        <f t="shared" ca="1" si="152"/>
        <v>RFR EUR</v>
      </c>
      <c r="F1972" t="str">
        <f t="shared" ca="1" si="153"/>
        <v>RFR GBP</v>
      </c>
      <c r="J1972" s="1"/>
      <c r="N1972" s="1"/>
      <c r="R1972" s="1"/>
      <c r="V1972" s="1"/>
      <c r="AB1972" s="1"/>
      <c r="AF1972" s="1"/>
      <c r="AJ1972" s="1"/>
      <c r="AN1972" s="1"/>
      <c r="AS1972" s="1"/>
      <c r="AX1972" s="1"/>
    </row>
    <row r="1973" spans="1:50" x14ac:dyDescent="0.3">
      <c r="A1973" s="19">
        <f t="shared" si="154"/>
        <v>48676</v>
      </c>
      <c r="B1973">
        <f t="shared" ca="1" si="150"/>
        <v>-7.0111111111111111</v>
      </c>
      <c r="C1973" t="str">
        <f ca="1">IF(currency="USD",'Future et co'!D1973,IF(currency="EUR",'Future et co'!E1973,IF(currency="GBP",'Future et co'!F1973,FALSE)))</f>
        <v>RFR USD</v>
      </c>
      <c r="D1973" t="str">
        <f t="shared" ca="1" si="151"/>
        <v>RFR USD</v>
      </c>
      <c r="E1973" t="str">
        <f t="shared" ca="1" si="152"/>
        <v>RFR EUR</v>
      </c>
      <c r="F1973" t="str">
        <f t="shared" ca="1" si="153"/>
        <v>RFR GBP</v>
      </c>
      <c r="J1973" s="1"/>
      <c r="N1973" s="1"/>
      <c r="R1973" s="1"/>
      <c r="V1973" s="1"/>
      <c r="AB1973" s="1"/>
      <c r="AF1973" s="1"/>
      <c r="AJ1973" s="1"/>
      <c r="AN1973" s="1"/>
      <c r="AS1973" s="1"/>
      <c r="AX1973" s="1"/>
    </row>
    <row r="1974" spans="1:50" x14ac:dyDescent="0.3">
      <c r="A1974" s="19">
        <f t="shared" si="154"/>
        <v>48677</v>
      </c>
      <c r="B1974">
        <f t="shared" ca="1" si="150"/>
        <v>-7.0138888888888893</v>
      </c>
      <c r="C1974" t="str">
        <f ca="1">IF(currency="USD",'Future et co'!D1974,IF(currency="EUR",'Future et co'!E1974,IF(currency="GBP",'Future et co'!F1974,FALSE)))</f>
        <v>RFR USD</v>
      </c>
      <c r="D1974" t="str">
        <f t="shared" ca="1" si="151"/>
        <v>RFR USD</v>
      </c>
      <c r="E1974" t="str">
        <f t="shared" ca="1" si="152"/>
        <v>RFR EUR</v>
      </c>
      <c r="F1974" t="str">
        <f t="shared" ca="1" si="153"/>
        <v>RFR GBP</v>
      </c>
      <c r="J1974" s="1"/>
      <c r="N1974" s="1"/>
      <c r="R1974" s="1"/>
      <c r="V1974" s="1"/>
      <c r="AB1974" s="1"/>
      <c r="AF1974" s="1"/>
      <c r="AJ1974" s="1"/>
      <c r="AN1974" s="1"/>
      <c r="AS1974" s="1"/>
      <c r="AX1974" s="1"/>
    </row>
    <row r="1975" spans="1:50" x14ac:dyDescent="0.3">
      <c r="A1975" s="19">
        <f t="shared" si="154"/>
        <v>48680</v>
      </c>
      <c r="B1975">
        <f t="shared" ca="1" si="150"/>
        <v>-7.0222222222222221</v>
      </c>
      <c r="C1975" t="str">
        <f ca="1">IF(currency="USD",'Future et co'!D1975,IF(currency="EUR",'Future et co'!E1975,IF(currency="GBP",'Future et co'!F1975,FALSE)))</f>
        <v>RFR USD</v>
      </c>
      <c r="D1975" t="str">
        <f t="shared" ca="1" si="151"/>
        <v>RFR USD</v>
      </c>
      <c r="E1975" t="str">
        <f t="shared" ca="1" si="152"/>
        <v>RFR EUR</v>
      </c>
      <c r="F1975" t="str">
        <f t="shared" ca="1" si="153"/>
        <v>RFR GBP</v>
      </c>
      <c r="J1975" s="1"/>
      <c r="N1975" s="1"/>
      <c r="R1975" s="1"/>
      <c r="V1975" s="1"/>
      <c r="AB1975" s="1"/>
      <c r="AF1975" s="1"/>
      <c r="AJ1975" s="1"/>
      <c r="AN1975" s="1"/>
      <c r="AS1975" s="1"/>
      <c r="AX1975" s="1"/>
    </row>
    <row r="1976" spans="1:50" x14ac:dyDescent="0.3">
      <c r="A1976" s="19">
        <f t="shared" si="154"/>
        <v>48681</v>
      </c>
      <c r="B1976">
        <f t="shared" ca="1" si="150"/>
        <v>-7.0250000000000004</v>
      </c>
      <c r="C1976" t="str">
        <f ca="1">IF(currency="USD",'Future et co'!D1976,IF(currency="EUR",'Future et co'!E1976,IF(currency="GBP",'Future et co'!F1976,FALSE)))</f>
        <v>RFR USD</v>
      </c>
      <c r="D1976" t="str">
        <f t="shared" ca="1" si="151"/>
        <v>RFR USD</v>
      </c>
      <c r="E1976" t="str">
        <f t="shared" ca="1" si="152"/>
        <v>RFR EUR</v>
      </c>
      <c r="F1976" t="str">
        <f t="shared" ca="1" si="153"/>
        <v>RFR GBP</v>
      </c>
      <c r="J1976" s="1"/>
      <c r="N1976" s="1"/>
      <c r="R1976" s="1"/>
      <c r="V1976" s="1"/>
      <c r="AB1976" s="1"/>
      <c r="AF1976" s="1"/>
      <c r="AJ1976" s="1"/>
      <c r="AN1976" s="1"/>
      <c r="AS1976" s="1"/>
      <c r="AX1976" s="1"/>
    </row>
    <row r="1977" spans="1:50" x14ac:dyDescent="0.3">
      <c r="A1977" s="19">
        <f t="shared" si="154"/>
        <v>48682</v>
      </c>
      <c r="B1977">
        <f t="shared" ca="1" si="150"/>
        <v>-7.0277777777777777</v>
      </c>
      <c r="C1977" t="str">
        <f ca="1">IF(currency="USD",'Future et co'!D1977,IF(currency="EUR",'Future et co'!E1977,IF(currency="GBP",'Future et co'!F1977,FALSE)))</f>
        <v>RFR USD</v>
      </c>
      <c r="D1977" t="str">
        <f t="shared" ca="1" si="151"/>
        <v>RFR USD</v>
      </c>
      <c r="E1977" t="str">
        <f t="shared" ca="1" si="152"/>
        <v>RFR EUR</v>
      </c>
      <c r="F1977" t="str">
        <f t="shared" ca="1" si="153"/>
        <v>RFR GBP</v>
      </c>
      <c r="J1977" s="1"/>
      <c r="N1977" s="1"/>
      <c r="R1977" s="1"/>
      <c r="V1977" s="1"/>
      <c r="AB1977" s="1"/>
      <c r="AF1977" s="1"/>
      <c r="AJ1977" s="1"/>
      <c r="AN1977" s="1"/>
      <c r="AS1977" s="1"/>
      <c r="AX1977" s="1"/>
    </row>
    <row r="1978" spans="1:50" x14ac:dyDescent="0.3">
      <c r="A1978" s="19">
        <f t="shared" si="154"/>
        <v>48683</v>
      </c>
      <c r="B1978">
        <f t="shared" ca="1" si="150"/>
        <v>-7.0305555555555559</v>
      </c>
      <c r="C1978" t="str">
        <f ca="1">IF(currency="USD",'Future et co'!D1978,IF(currency="EUR",'Future et co'!E1978,IF(currency="GBP",'Future et co'!F1978,FALSE)))</f>
        <v>RFR USD</v>
      </c>
      <c r="D1978" t="str">
        <f t="shared" ca="1" si="151"/>
        <v>RFR USD</v>
      </c>
      <c r="E1978" t="str">
        <f t="shared" ca="1" si="152"/>
        <v>RFR EUR</v>
      </c>
      <c r="F1978" t="str">
        <f t="shared" ca="1" si="153"/>
        <v>RFR GBP</v>
      </c>
      <c r="J1978" s="1"/>
      <c r="N1978" s="1"/>
      <c r="R1978" s="1"/>
      <c r="V1978" s="1"/>
      <c r="AB1978" s="1"/>
      <c r="AF1978" s="1"/>
      <c r="AJ1978" s="1"/>
      <c r="AN1978" s="1"/>
      <c r="AS1978" s="1"/>
      <c r="AX1978" s="1"/>
    </row>
    <row r="1979" spans="1:50" x14ac:dyDescent="0.3">
      <c r="A1979" s="19">
        <f t="shared" si="154"/>
        <v>48684</v>
      </c>
      <c r="B1979">
        <f t="shared" ca="1" si="150"/>
        <v>-7.0333333333333332</v>
      </c>
      <c r="C1979" t="str">
        <f ca="1">IF(currency="USD",'Future et co'!D1979,IF(currency="EUR",'Future et co'!E1979,IF(currency="GBP",'Future et co'!F1979,FALSE)))</f>
        <v>RFR USD</v>
      </c>
      <c r="D1979" t="str">
        <f t="shared" ca="1" si="151"/>
        <v>RFR USD</v>
      </c>
      <c r="E1979" t="str">
        <f t="shared" ca="1" si="152"/>
        <v>RFR EUR</v>
      </c>
      <c r="F1979" t="str">
        <f t="shared" ca="1" si="153"/>
        <v>RFR GBP</v>
      </c>
      <c r="J1979" s="1"/>
      <c r="N1979" s="1"/>
      <c r="R1979" s="1"/>
      <c r="V1979" s="1"/>
      <c r="AB1979" s="1"/>
      <c r="AF1979" s="1"/>
      <c r="AJ1979" s="1"/>
      <c r="AN1979" s="1"/>
      <c r="AS1979" s="1"/>
      <c r="AX1979" s="1"/>
    </row>
    <row r="1980" spans="1:50" x14ac:dyDescent="0.3">
      <c r="A1980" s="19">
        <f t="shared" si="154"/>
        <v>48687</v>
      </c>
      <c r="B1980">
        <f t="shared" ca="1" si="150"/>
        <v>-7.041666666666667</v>
      </c>
      <c r="C1980" t="str">
        <f ca="1">IF(currency="USD",'Future et co'!D1980,IF(currency="EUR",'Future et co'!E1980,IF(currency="GBP",'Future et co'!F1980,FALSE)))</f>
        <v>RFR USD</v>
      </c>
      <c r="D1980" t="str">
        <f t="shared" ca="1" si="151"/>
        <v>RFR USD</v>
      </c>
      <c r="E1980" t="str">
        <f t="shared" ca="1" si="152"/>
        <v>RFR EUR</v>
      </c>
      <c r="F1980" t="str">
        <f t="shared" ca="1" si="153"/>
        <v>RFR GBP</v>
      </c>
      <c r="J1980" s="1"/>
      <c r="N1980" s="1"/>
      <c r="R1980" s="1"/>
      <c r="V1980" s="1"/>
      <c r="AB1980" s="1"/>
      <c r="AF1980" s="1"/>
      <c r="AJ1980" s="1"/>
      <c r="AN1980" s="1"/>
      <c r="AS1980" s="1"/>
      <c r="AX1980" s="1"/>
    </row>
    <row r="1981" spans="1:50" x14ac:dyDescent="0.3">
      <c r="A1981" s="19">
        <f t="shared" si="154"/>
        <v>48688</v>
      </c>
      <c r="B1981">
        <f t="shared" ca="1" si="150"/>
        <v>-7.0444444444444443</v>
      </c>
      <c r="C1981" t="str">
        <f ca="1">IF(currency="USD",'Future et co'!D1981,IF(currency="EUR",'Future et co'!E1981,IF(currency="GBP",'Future et co'!F1981,FALSE)))</f>
        <v>RFR USD</v>
      </c>
      <c r="D1981" t="str">
        <f t="shared" ca="1" si="151"/>
        <v>RFR USD</v>
      </c>
      <c r="E1981" t="str">
        <f t="shared" ca="1" si="152"/>
        <v>RFR EUR</v>
      </c>
      <c r="F1981" t="str">
        <f t="shared" ca="1" si="153"/>
        <v>RFR GBP</v>
      </c>
      <c r="J1981" s="1"/>
      <c r="N1981" s="1"/>
      <c r="R1981" s="1"/>
      <c r="V1981" s="1"/>
      <c r="AB1981" s="1"/>
      <c r="AF1981" s="1"/>
      <c r="AJ1981" s="1"/>
      <c r="AN1981" s="1"/>
      <c r="AS1981" s="1"/>
      <c r="AX1981" s="1"/>
    </row>
    <row r="1982" spans="1:50" x14ac:dyDescent="0.3">
      <c r="A1982" s="19">
        <f t="shared" si="154"/>
        <v>48689</v>
      </c>
      <c r="B1982">
        <f t="shared" ca="1" si="150"/>
        <v>-7.0472222222222225</v>
      </c>
      <c r="C1982" t="str">
        <f ca="1">IF(currency="USD",'Future et co'!D1982,IF(currency="EUR",'Future et co'!E1982,IF(currency="GBP",'Future et co'!F1982,FALSE)))</f>
        <v>RFR USD</v>
      </c>
      <c r="D1982" t="str">
        <f t="shared" ca="1" si="151"/>
        <v>RFR USD</v>
      </c>
      <c r="E1982" t="str">
        <f t="shared" ca="1" si="152"/>
        <v>RFR EUR</v>
      </c>
      <c r="F1982" t="str">
        <f t="shared" ca="1" si="153"/>
        <v>RFR GBP</v>
      </c>
      <c r="J1982" s="1"/>
      <c r="N1982" s="1"/>
      <c r="R1982" s="1"/>
      <c r="V1982" s="1"/>
      <c r="AB1982" s="1"/>
      <c r="AF1982" s="1"/>
      <c r="AJ1982" s="1"/>
      <c r="AN1982" s="1"/>
      <c r="AS1982" s="1"/>
      <c r="AX1982" s="1"/>
    </row>
    <row r="1983" spans="1:50" x14ac:dyDescent="0.3">
      <c r="A1983" s="19">
        <f t="shared" si="154"/>
        <v>48690</v>
      </c>
      <c r="B1983">
        <f t="shared" ca="1" si="150"/>
        <v>-7.05</v>
      </c>
      <c r="C1983" t="str">
        <f ca="1">IF(currency="USD",'Future et co'!D1983,IF(currency="EUR",'Future et co'!E1983,IF(currency="GBP",'Future et co'!F1983,FALSE)))</f>
        <v>RFR USD</v>
      </c>
      <c r="D1983" t="str">
        <f t="shared" ca="1" si="151"/>
        <v>RFR USD</v>
      </c>
      <c r="E1983" t="str">
        <f t="shared" ca="1" si="152"/>
        <v>RFR EUR</v>
      </c>
      <c r="F1983" t="str">
        <f t="shared" ca="1" si="153"/>
        <v>RFR GBP</v>
      </c>
      <c r="J1983" s="1"/>
      <c r="N1983" s="1"/>
      <c r="R1983" s="1"/>
      <c r="V1983" s="1"/>
      <c r="AB1983" s="1"/>
      <c r="AF1983" s="1"/>
      <c r="AJ1983" s="1"/>
      <c r="AN1983" s="1"/>
      <c r="AS1983" s="1"/>
      <c r="AX1983" s="1"/>
    </row>
    <row r="1984" spans="1:50" x14ac:dyDescent="0.3">
      <c r="A1984" s="19">
        <f t="shared" si="154"/>
        <v>48691</v>
      </c>
      <c r="B1984">
        <f t="shared" ca="1" si="150"/>
        <v>-7.052777777777778</v>
      </c>
      <c r="C1984" t="str">
        <f ca="1">IF(currency="USD",'Future et co'!D1984,IF(currency="EUR",'Future et co'!E1984,IF(currency="GBP",'Future et co'!F1984,FALSE)))</f>
        <v>RFR USD</v>
      </c>
      <c r="D1984" t="str">
        <f t="shared" ca="1" si="151"/>
        <v>RFR USD</v>
      </c>
      <c r="E1984" t="str">
        <f t="shared" ca="1" si="152"/>
        <v>RFR EUR</v>
      </c>
      <c r="F1984" t="str">
        <f t="shared" ca="1" si="153"/>
        <v>RFR GBP</v>
      </c>
      <c r="J1984" s="1"/>
      <c r="N1984" s="1"/>
      <c r="R1984" s="1"/>
      <c r="V1984" s="1"/>
      <c r="AB1984" s="1"/>
      <c r="AF1984" s="1"/>
      <c r="AJ1984" s="1"/>
      <c r="AN1984" s="1"/>
      <c r="AS1984" s="1"/>
      <c r="AX1984" s="1"/>
    </row>
    <row r="1985" spans="1:50" x14ac:dyDescent="0.3">
      <c r="A1985" s="19">
        <f t="shared" si="154"/>
        <v>48694</v>
      </c>
      <c r="B1985">
        <f t="shared" ca="1" si="150"/>
        <v>-7.0611111111111109</v>
      </c>
      <c r="C1985" t="str">
        <f ca="1">IF(currency="USD",'Future et co'!D1985,IF(currency="EUR",'Future et co'!E1985,IF(currency="GBP",'Future et co'!F1985,FALSE)))</f>
        <v>RFR USD</v>
      </c>
      <c r="D1985" t="str">
        <f t="shared" ca="1" si="151"/>
        <v>RFR USD</v>
      </c>
      <c r="E1985" t="str">
        <f t="shared" ca="1" si="152"/>
        <v>RFR EUR</v>
      </c>
      <c r="F1985" t="str">
        <f t="shared" ca="1" si="153"/>
        <v>RFR GBP</v>
      </c>
      <c r="J1985" s="1"/>
      <c r="N1985" s="1"/>
      <c r="R1985" s="1"/>
      <c r="V1985" s="1"/>
      <c r="AB1985" s="1"/>
      <c r="AF1985" s="1"/>
      <c r="AJ1985" s="1"/>
      <c r="AN1985" s="1"/>
      <c r="AS1985" s="1"/>
      <c r="AX1985" s="1"/>
    </row>
    <row r="1986" spans="1:50" x14ac:dyDescent="0.3">
      <c r="A1986" s="19">
        <f t="shared" si="154"/>
        <v>48695</v>
      </c>
      <c r="B1986">
        <f t="shared" ca="1" si="150"/>
        <v>-7.0638888888888891</v>
      </c>
      <c r="C1986" t="str">
        <f ca="1">IF(currency="USD",'Future et co'!D1986,IF(currency="EUR",'Future et co'!E1986,IF(currency="GBP",'Future et co'!F1986,FALSE)))</f>
        <v>RFR USD</v>
      </c>
      <c r="D1986" t="str">
        <f t="shared" ca="1" si="151"/>
        <v>RFR USD</v>
      </c>
      <c r="E1986" t="str">
        <f t="shared" ca="1" si="152"/>
        <v>RFR EUR</v>
      </c>
      <c r="F1986" t="str">
        <f t="shared" ca="1" si="153"/>
        <v>RFR GBP</v>
      </c>
      <c r="J1986" s="1"/>
      <c r="N1986" s="1"/>
      <c r="R1986" s="1"/>
      <c r="V1986" s="1"/>
      <c r="AB1986" s="1"/>
      <c r="AF1986" s="1"/>
      <c r="AJ1986" s="1"/>
      <c r="AN1986" s="1"/>
      <c r="AS1986" s="1"/>
      <c r="AX1986" s="1"/>
    </row>
    <row r="1987" spans="1:50" x14ac:dyDescent="0.3">
      <c r="A1987" s="19">
        <f t="shared" si="154"/>
        <v>48696</v>
      </c>
      <c r="B1987">
        <f t="shared" ca="1" si="150"/>
        <v>-7.0666666666666664</v>
      </c>
      <c r="C1987" t="str">
        <f ca="1">IF(currency="USD",'Future et co'!D1987,IF(currency="EUR",'Future et co'!E1987,IF(currency="GBP",'Future et co'!F1987,FALSE)))</f>
        <v>RFR USD</v>
      </c>
      <c r="D1987" t="str">
        <f t="shared" ca="1" si="151"/>
        <v>RFR USD</v>
      </c>
      <c r="E1987" t="str">
        <f t="shared" ca="1" si="152"/>
        <v>RFR EUR</v>
      </c>
      <c r="F1987" t="str">
        <f t="shared" ca="1" si="153"/>
        <v>RFR GBP</v>
      </c>
      <c r="J1987" s="1"/>
      <c r="N1987" s="1"/>
      <c r="R1987" s="1"/>
      <c r="V1987" s="1"/>
      <c r="AB1987" s="1"/>
      <c r="AF1987" s="1"/>
      <c r="AJ1987" s="1"/>
      <c r="AN1987" s="1"/>
      <c r="AS1987" s="1"/>
      <c r="AX1987" s="1"/>
    </row>
    <row r="1988" spans="1:50" x14ac:dyDescent="0.3">
      <c r="A1988" s="19">
        <f t="shared" si="154"/>
        <v>48697</v>
      </c>
      <c r="B1988">
        <f t="shared" ca="1" si="150"/>
        <v>-7.0694444444444446</v>
      </c>
      <c r="C1988" t="str">
        <f ca="1">IF(currency="USD",'Future et co'!D1988,IF(currency="EUR",'Future et co'!E1988,IF(currency="GBP",'Future et co'!F1988,FALSE)))</f>
        <v>RFR USD</v>
      </c>
      <c r="D1988" t="str">
        <f t="shared" ca="1" si="151"/>
        <v>RFR USD</v>
      </c>
      <c r="E1988" t="str">
        <f t="shared" ca="1" si="152"/>
        <v>RFR EUR</v>
      </c>
      <c r="F1988" t="str">
        <f t="shared" ca="1" si="153"/>
        <v>RFR GBP</v>
      </c>
      <c r="J1988" s="1"/>
      <c r="N1988" s="1"/>
      <c r="R1988" s="1"/>
      <c r="V1988" s="1"/>
      <c r="AB1988" s="1"/>
      <c r="AF1988" s="1"/>
      <c r="AJ1988" s="1"/>
      <c r="AN1988" s="1"/>
      <c r="AS1988" s="1"/>
      <c r="AX1988" s="1"/>
    </row>
    <row r="1989" spans="1:50" x14ac:dyDescent="0.3">
      <c r="A1989" s="19">
        <f t="shared" si="154"/>
        <v>48698</v>
      </c>
      <c r="B1989">
        <f t="shared" ca="1" si="150"/>
        <v>-7.072222222222222</v>
      </c>
      <c r="C1989" t="str">
        <f ca="1">IF(currency="USD",'Future et co'!D1989,IF(currency="EUR",'Future et co'!E1989,IF(currency="GBP",'Future et co'!F1989,FALSE)))</f>
        <v>RFR USD</v>
      </c>
      <c r="D1989" t="str">
        <f t="shared" ca="1" si="151"/>
        <v>RFR USD</v>
      </c>
      <c r="E1989" t="str">
        <f t="shared" ca="1" si="152"/>
        <v>RFR EUR</v>
      </c>
      <c r="F1989" t="str">
        <f t="shared" ca="1" si="153"/>
        <v>RFR GBP</v>
      </c>
      <c r="J1989" s="1"/>
      <c r="N1989" s="1"/>
      <c r="R1989" s="1"/>
      <c r="V1989" s="1"/>
      <c r="AB1989" s="1"/>
      <c r="AF1989" s="1"/>
      <c r="AJ1989" s="1"/>
      <c r="AN1989" s="1"/>
      <c r="AS1989" s="1"/>
      <c r="AX1989" s="1"/>
    </row>
    <row r="1990" spans="1:50" x14ac:dyDescent="0.3">
      <c r="A1990" s="19">
        <f t="shared" si="154"/>
        <v>48701</v>
      </c>
      <c r="B1990">
        <f t="shared" ca="1" si="150"/>
        <v>-7.0805555555555557</v>
      </c>
      <c r="C1990" t="str">
        <f ca="1">IF(currency="USD",'Future et co'!D1990,IF(currency="EUR",'Future et co'!E1990,IF(currency="GBP",'Future et co'!F1990,FALSE)))</f>
        <v>RFR USD</v>
      </c>
      <c r="D1990" t="str">
        <f t="shared" ca="1" si="151"/>
        <v>RFR USD</v>
      </c>
      <c r="E1990" t="str">
        <f t="shared" ca="1" si="152"/>
        <v>RFR EUR</v>
      </c>
      <c r="F1990" t="str">
        <f t="shared" ca="1" si="153"/>
        <v>RFR GBP</v>
      </c>
      <c r="J1990" s="1"/>
      <c r="N1990" s="1"/>
      <c r="R1990" s="1"/>
      <c r="V1990" s="1"/>
      <c r="AB1990" s="1"/>
      <c r="AF1990" s="1"/>
      <c r="AJ1990" s="1"/>
      <c r="AN1990" s="1"/>
      <c r="AS1990" s="1"/>
      <c r="AX1990" s="1"/>
    </row>
    <row r="1991" spans="1:50" x14ac:dyDescent="0.3">
      <c r="A1991" s="19">
        <f t="shared" si="154"/>
        <v>48702</v>
      </c>
      <c r="B1991">
        <f t="shared" ca="1" si="150"/>
        <v>-7.083333333333333</v>
      </c>
      <c r="C1991" t="str">
        <f ca="1">IF(currency="USD",'Future et co'!D1991,IF(currency="EUR",'Future et co'!E1991,IF(currency="GBP",'Future et co'!F1991,FALSE)))</f>
        <v>RFR USD</v>
      </c>
      <c r="D1991" t="str">
        <f t="shared" ca="1" si="151"/>
        <v>RFR USD</v>
      </c>
      <c r="E1991" t="str">
        <f t="shared" ca="1" si="152"/>
        <v>RFR EUR</v>
      </c>
      <c r="F1991" t="str">
        <f t="shared" ca="1" si="153"/>
        <v>RFR GBP</v>
      </c>
      <c r="J1991" s="1"/>
      <c r="N1991" s="1"/>
      <c r="R1991" s="1"/>
      <c r="V1991" s="1"/>
      <c r="AB1991" s="1"/>
      <c r="AF1991" s="1"/>
      <c r="AJ1991" s="1"/>
      <c r="AN1991" s="1"/>
      <c r="AS1991" s="1"/>
      <c r="AX1991" s="1"/>
    </row>
    <row r="1992" spans="1:50" x14ac:dyDescent="0.3">
      <c r="A1992" s="19">
        <f t="shared" si="154"/>
        <v>48703</v>
      </c>
      <c r="B1992">
        <f t="shared" ca="1" si="150"/>
        <v>-7.0861111111111112</v>
      </c>
      <c r="C1992" t="str">
        <f ca="1">IF(currency="USD",'Future et co'!D1992,IF(currency="EUR",'Future et co'!E1992,IF(currency="GBP",'Future et co'!F1992,FALSE)))</f>
        <v>RFR USD</v>
      </c>
      <c r="D1992" t="str">
        <f t="shared" ca="1" si="151"/>
        <v>RFR USD</v>
      </c>
      <c r="E1992" t="str">
        <f t="shared" ca="1" si="152"/>
        <v>RFR EUR</v>
      </c>
      <c r="F1992" t="str">
        <f t="shared" ca="1" si="153"/>
        <v>RFR GBP</v>
      </c>
      <c r="J1992" s="1"/>
      <c r="N1992" s="1"/>
      <c r="R1992" s="1"/>
      <c r="V1992" s="1"/>
      <c r="AB1992" s="1"/>
      <c r="AF1992" s="1"/>
      <c r="AJ1992" s="1"/>
      <c r="AN1992" s="1"/>
      <c r="AS1992" s="1"/>
      <c r="AX1992" s="1"/>
    </row>
    <row r="1993" spans="1:50" x14ac:dyDescent="0.3">
      <c r="A1993" s="19">
        <f t="shared" si="154"/>
        <v>48704</v>
      </c>
      <c r="B1993">
        <f t="shared" ca="1" si="150"/>
        <v>-7.0888888888888886</v>
      </c>
      <c r="C1993" t="str">
        <f ca="1">IF(currency="USD",'Future et co'!D1993,IF(currency="EUR",'Future et co'!E1993,IF(currency="GBP",'Future et co'!F1993,FALSE)))</f>
        <v>RFR USD</v>
      </c>
      <c r="D1993" t="str">
        <f t="shared" ca="1" si="151"/>
        <v>RFR USD</v>
      </c>
      <c r="E1993" t="str">
        <f t="shared" ca="1" si="152"/>
        <v>RFR EUR</v>
      </c>
      <c r="F1993" t="str">
        <f t="shared" ca="1" si="153"/>
        <v>RFR GBP</v>
      </c>
      <c r="J1993" s="1"/>
      <c r="N1993" s="1"/>
      <c r="R1993" s="1"/>
      <c r="V1993" s="1"/>
      <c r="AB1993" s="1"/>
      <c r="AF1993" s="1"/>
      <c r="AJ1993" s="1"/>
      <c r="AN1993" s="1"/>
      <c r="AS1993" s="1"/>
      <c r="AX1993" s="1"/>
    </row>
    <row r="1994" spans="1:50" x14ac:dyDescent="0.3">
      <c r="A1994" s="19">
        <f t="shared" si="154"/>
        <v>48705</v>
      </c>
      <c r="B1994">
        <f t="shared" ca="1" si="150"/>
        <v>-7.0916666666666668</v>
      </c>
      <c r="C1994" t="str">
        <f ca="1">IF(currency="USD",'Future et co'!D1994,IF(currency="EUR",'Future et co'!E1994,IF(currency="GBP",'Future et co'!F1994,FALSE)))</f>
        <v>RFR USD</v>
      </c>
      <c r="D1994" t="str">
        <f t="shared" ca="1" si="151"/>
        <v>RFR USD</v>
      </c>
      <c r="E1994" t="str">
        <f t="shared" ca="1" si="152"/>
        <v>RFR EUR</v>
      </c>
      <c r="F1994" t="str">
        <f t="shared" ca="1" si="153"/>
        <v>RFR GBP</v>
      </c>
      <c r="J1994" s="1"/>
      <c r="N1994" s="1"/>
      <c r="R1994" s="1"/>
      <c r="V1994" s="1"/>
      <c r="AB1994" s="1"/>
      <c r="AF1994" s="1"/>
      <c r="AJ1994" s="1"/>
      <c r="AN1994" s="1"/>
      <c r="AS1994" s="1"/>
      <c r="AX1994" s="1"/>
    </row>
    <row r="1995" spans="1:50" x14ac:dyDescent="0.3">
      <c r="A1995" s="19">
        <f t="shared" si="154"/>
        <v>48708</v>
      </c>
      <c r="B1995">
        <f t="shared" ref="B1995:B2058" ca="1" si="155">($B$7-A1995)/360</f>
        <v>-7.1</v>
      </c>
      <c r="C1995" t="str">
        <f ca="1">IF(currency="USD",'Future et co'!D1995,IF(currency="EUR",'Future et co'!E1995,IF(currency="GBP",'Future et co'!F1995,FALSE)))</f>
        <v>RFR USD</v>
      </c>
      <c r="D1995" t="str">
        <f t="shared" ref="D1995:D2058" ca="1" si="156">IFERROR(IF(B1995&lt;0.25,VLOOKUP(A1995,$J$11:$L$5325,3,FALSE),IF(AND(B1995&gt;=0.25,B1995&lt;0.5),VLOOKUP(A1995,$N$11:$P$5325,3,FALSE),IF(AND(B1995&gt;=0.5,B1995&lt;1),VLOOKUP(A1995,$R$11:$T$5325,3,FALSE),VLOOKUP(A1995,$V$11:$X$5010,3,FALSE)))),D1994)</f>
        <v>RFR USD</v>
      </c>
      <c r="E1995" t="str">
        <f t="shared" ref="E1995:E2058" ca="1" si="157">IFERROR(IF(B1995&lt;0.25,VLOOKUP(A1995,$AF$11:$AH$5325,3,FALSE),IF(AND(B1995&gt;=0.25,B1995&lt;0.5),VLOOKUP(A1995,$AJ$11:$AL$5325,3,FALSE),VLOOKUP(A1995,$AN$11:$AP$5325,3,FALSE))),E1994)</f>
        <v>RFR EUR</v>
      </c>
      <c r="F1995" t="str">
        <f t="shared" ref="F1995:F2058" ca="1" si="158">IFERROR(VLOOKUP(A1995,$AS$11:$AU$9999,3,FALSE),F1994)</f>
        <v>RFR GBP</v>
      </c>
      <c r="J1995" s="1"/>
      <c r="N1995" s="1"/>
      <c r="R1995" s="1"/>
      <c r="V1995" s="1"/>
      <c r="AB1995" s="1"/>
      <c r="AF1995" s="1"/>
      <c r="AJ1995" s="1"/>
      <c r="AN1995" s="1"/>
      <c r="AS1995" s="1"/>
      <c r="AX1995" s="1"/>
    </row>
    <row r="1996" spans="1:50" x14ac:dyDescent="0.3">
      <c r="A1996" s="19">
        <f t="shared" si="154"/>
        <v>48709</v>
      </c>
      <c r="B1996">
        <f t="shared" ca="1" si="155"/>
        <v>-7.1027777777777779</v>
      </c>
      <c r="C1996" t="str">
        <f ca="1">IF(currency="USD",'Future et co'!D1996,IF(currency="EUR",'Future et co'!E1996,IF(currency="GBP",'Future et co'!F1996,FALSE)))</f>
        <v>RFR USD</v>
      </c>
      <c r="D1996" t="str">
        <f t="shared" ca="1" si="156"/>
        <v>RFR USD</v>
      </c>
      <c r="E1996" t="str">
        <f t="shared" ca="1" si="157"/>
        <v>RFR EUR</v>
      </c>
      <c r="F1996" t="str">
        <f t="shared" ca="1" si="158"/>
        <v>RFR GBP</v>
      </c>
      <c r="J1996" s="1"/>
      <c r="N1996" s="1"/>
      <c r="R1996" s="1"/>
      <c r="V1996" s="1"/>
      <c r="AB1996" s="1"/>
      <c r="AF1996" s="1"/>
      <c r="AJ1996" s="1"/>
      <c r="AN1996" s="1"/>
      <c r="AS1996" s="1"/>
      <c r="AX1996" s="1"/>
    </row>
    <row r="1997" spans="1:50" x14ac:dyDescent="0.3">
      <c r="A1997" s="19">
        <f t="shared" ref="A1997:A2060" si="159">WORKDAY(A1996,1)</f>
        <v>48710</v>
      </c>
      <c r="B1997">
        <f t="shared" ca="1" si="155"/>
        <v>-7.1055555555555552</v>
      </c>
      <c r="C1997" t="str">
        <f ca="1">IF(currency="USD",'Future et co'!D1997,IF(currency="EUR",'Future et co'!E1997,IF(currency="GBP",'Future et co'!F1997,FALSE)))</f>
        <v>RFR USD</v>
      </c>
      <c r="D1997" t="str">
        <f t="shared" ca="1" si="156"/>
        <v>RFR USD</v>
      </c>
      <c r="E1997" t="str">
        <f t="shared" ca="1" si="157"/>
        <v>RFR EUR</v>
      </c>
      <c r="F1997" t="str">
        <f t="shared" ca="1" si="158"/>
        <v>RFR GBP</v>
      </c>
      <c r="J1997" s="1"/>
      <c r="N1997" s="1"/>
      <c r="R1997" s="1"/>
      <c r="V1997" s="1"/>
      <c r="AB1997" s="1"/>
      <c r="AF1997" s="1"/>
      <c r="AJ1997" s="1"/>
      <c r="AN1997" s="1"/>
      <c r="AS1997" s="1"/>
      <c r="AX1997" s="1"/>
    </row>
    <row r="1998" spans="1:50" x14ac:dyDescent="0.3">
      <c r="A1998" s="19">
        <f t="shared" si="159"/>
        <v>48711</v>
      </c>
      <c r="B1998">
        <f t="shared" ca="1" si="155"/>
        <v>-7.1083333333333334</v>
      </c>
      <c r="C1998" t="str">
        <f ca="1">IF(currency="USD",'Future et co'!D1998,IF(currency="EUR",'Future et co'!E1998,IF(currency="GBP",'Future et co'!F1998,FALSE)))</f>
        <v>RFR USD</v>
      </c>
      <c r="D1998" t="str">
        <f t="shared" ca="1" si="156"/>
        <v>RFR USD</v>
      </c>
      <c r="E1998" t="str">
        <f t="shared" ca="1" si="157"/>
        <v>RFR EUR</v>
      </c>
      <c r="F1998" t="str">
        <f t="shared" ca="1" si="158"/>
        <v>RFR GBP</v>
      </c>
      <c r="J1998" s="1"/>
      <c r="N1998" s="1"/>
      <c r="R1998" s="1"/>
      <c r="V1998" s="1"/>
      <c r="AB1998" s="1"/>
      <c r="AF1998" s="1"/>
      <c r="AJ1998" s="1"/>
      <c r="AN1998" s="1"/>
      <c r="AS1998" s="1"/>
      <c r="AX1998" s="1"/>
    </row>
    <row r="1999" spans="1:50" x14ac:dyDescent="0.3">
      <c r="A1999" s="19">
        <f t="shared" si="159"/>
        <v>48712</v>
      </c>
      <c r="B1999">
        <f t="shared" ca="1" si="155"/>
        <v>-7.1111111111111107</v>
      </c>
      <c r="C1999" t="str">
        <f ca="1">IF(currency="USD",'Future et co'!D1999,IF(currency="EUR",'Future et co'!E1999,IF(currency="GBP",'Future et co'!F1999,FALSE)))</f>
        <v>RFR USD</v>
      </c>
      <c r="D1999" t="str">
        <f t="shared" ca="1" si="156"/>
        <v>RFR USD</v>
      </c>
      <c r="E1999" t="str">
        <f t="shared" ca="1" si="157"/>
        <v>RFR EUR</v>
      </c>
      <c r="F1999" t="str">
        <f t="shared" ca="1" si="158"/>
        <v>RFR GBP</v>
      </c>
      <c r="J1999" s="1"/>
      <c r="N1999" s="1"/>
      <c r="R1999" s="1"/>
      <c r="V1999" s="1"/>
      <c r="AB1999" s="1"/>
      <c r="AF1999" s="1"/>
      <c r="AJ1999" s="1"/>
      <c r="AN1999" s="1"/>
      <c r="AS1999" s="1"/>
      <c r="AX1999" s="1"/>
    </row>
    <row r="2000" spans="1:50" x14ac:dyDescent="0.3">
      <c r="A2000" s="19">
        <f t="shared" si="159"/>
        <v>48715</v>
      </c>
      <c r="B2000">
        <f t="shared" ca="1" si="155"/>
        <v>-7.1194444444444445</v>
      </c>
      <c r="C2000" t="str">
        <f ca="1">IF(currency="USD",'Future et co'!D2000,IF(currency="EUR",'Future et co'!E2000,IF(currency="GBP",'Future et co'!F2000,FALSE)))</f>
        <v>RFR USD</v>
      </c>
      <c r="D2000" t="str">
        <f t="shared" ca="1" si="156"/>
        <v>RFR USD</v>
      </c>
      <c r="E2000" t="str">
        <f t="shared" ca="1" si="157"/>
        <v>RFR EUR</v>
      </c>
      <c r="F2000" t="str">
        <f t="shared" ca="1" si="158"/>
        <v>RFR GBP</v>
      </c>
      <c r="J2000" s="1"/>
      <c r="N2000" s="1"/>
      <c r="R2000" s="1"/>
      <c r="V2000" s="1"/>
      <c r="AB2000" s="1"/>
      <c r="AF2000" s="1"/>
      <c r="AJ2000" s="1"/>
      <c r="AN2000" s="1"/>
      <c r="AS2000" s="1"/>
      <c r="AX2000" s="1"/>
    </row>
    <row r="2001" spans="1:50" x14ac:dyDescent="0.3">
      <c r="A2001" s="19">
        <f t="shared" si="159"/>
        <v>48716</v>
      </c>
      <c r="B2001">
        <f t="shared" ca="1" si="155"/>
        <v>-7.1222222222222218</v>
      </c>
      <c r="C2001" t="str">
        <f ca="1">IF(currency="USD",'Future et co'!D2001,IF(currency="EUR",'Future et co'!E2001,IF(currency="GBP",'Future et co'!F2001,FALSE)))</f>
        <v>RFR USD</v>
      </c>
      <c r="D2001" t="str">
        <f t="shared" ca="1" si="156"/>
        <v>RFR USD</v>
      </c>
      <c r="E2001" t="str">
        <f t="shared" ca="1" si="157"/>
        <v>RFR EUR</v>
      </c>
      <c r="F2001" t="str">
        <f t="shared" ca="1" si="158"/>
        <v>RFR GBP</v>
      </c>
      <c r="J2001" s="1"/>
      <c r="N2001" s="1"/>
      <c r="R2001" s="1"/>
      <c r="V2001" s="1"/>
      <c r="AB2001" s="1"/>
      <c r="AF2001" s="1"/>
      <c r="AJ2001" s="1"/>
      <c r="AN2001" s="1"/>
      <c r="AS2001" s="1"/>
      <c r="AX2001" s="1"/>
    </row>
    <row r="2002" spans="1:50" x14ac:dyDescent="0.3">
      <c r="A2002" s="19">
        <f t="shared" si="159"/>
        <v>48717</v>
      </c>
      <c r="B2002">
        <f t="shared" ca="1" si="155"/>
        <v>-7.125</v>
      </c>
      <c r="C2002" t="str">
        <f ca="1">IF(currency="USD",'Future et co'!D2002,IF(currency="EUR",'Future et co'!E2002,IF(currency="GBP",'Future et co'!F2002,FALSE)))</f>
        <v>RFR USD</v>
      </c>
      <c r="D2002" t="str">
        <f t="shared" ca="1" si="156"/>
        <v>RFR USD</v>
      </c>
      <c r="E2002" t="str">
        <f t="shared" ca="1" si="157"/>
        <v>RFR EUR</v>
      </c>
      <c r="F2002" t="str">
        <f t="shared" ca="1" si="158"/>
        <v>RFR GBP</v>
      </c>
      <c r="J2002" s="1"/>
      <c r="N2002" s="1"/>
      <c r="R2002" s="1"/>
      <c r="V2002" s="1"/>
      <c r="AB2002" s="1"/>
      <c r="AF2002" s="1"/>
      <c r="AJ2002" s="1"/>
      <c r="AN2002" s="1"/>
      <c r="AS2002" s="1"/>
      <c r="AX2002" s="1"/>
    </row>
    <row r="2003" spans="1:50" x14ac:dyDescent="0.3">
      <c r="A2003" s="19">
        <f t="shared" si="159"/>
        <v>48718</v>
      </c>
      <c r="B2003">
        <f t="shared" ca="1" si="155"/>
        <v>-7.1277777777777782</v>
      </c>
      <c r="C2003" t="str">
        <f ca="1">IF(currency="USD",'Future et co'!D2003,IF(currency="EUR",'Future et co'!E2003,IF(currency="GBP",'Future et co'!F2003,FALSE)))</f>
        <v>RFR USD</v>
      </c>
      <c r="D2003" t="str">
        <f t="shared" ca="1" si="156"/>
        <v>RFR USD</v>
      </c>
      <c r="E2003" t="str">
        <f t="shared" ca="1" si="157"/>
        <v>RFR EUR</v>
      </c>
      <c r="F2003" t="str">
        <f t="shared" ca="1" si="158"/>
        <v>RFR GBP</v>
      </c>
      <c r="J2003" s="1"/>
      <c r="N2003" s="1"/>
      <c r="R2003" s="1"/>
      <c r="V2003" s="1"/>
      <c r="AB2003" s="1"/>
      <c r="AF2003" s="1"/>
      <c r="AJ2003" s="1"/>
      <c r="AN2003" s="1"/>
      <c r="AS2003" s="1"/>
      <c r="AX2003" s="1"/>
    </row>
    <row r="2004" spans="1:50" x14ac:dyDescent="0.3">
      <c r="A2004" s="19">
        <f t="shared" si="159"/>
        <v>48719</v>
      </c>
      <c r="B2004">
        <f t="shared" ca="1" si="155"/>
        <v>-7.1305555555555555</v>
      </c>
      <c r="C2004" t="str">
        <f ca="1">IF(currency="USD",'Future et co'!D2004,IF(currency="EUR",'Future et co'!E2004,IF(currency="GBP",'Future et co'!F2004,FALSE)))</f>
        <v>RFR USD</v>
      </c>
      <c r="D2004" t="str">
        <f t="shared" ca="1" si="156"/>
        <v>RFR USD</v>
      </c>
      <c r="E2004" t="str">
        <f t="shared" ca="1" si="157"/>
        <v>RFR EUR</v>
      </c>
      <c r="F2004" t="str">
        <f t="shared" ca="1" si="158"/>
        <v>RFR GBP</v>
      </c>
      <c r="J2004" s="1"/>
      <c r="N2004" s="1"/>
      <c r="R2004" s="1"/>
      <c r="V2004" s="1"/>
      <c r="AB2004" s="1"/>
      <c r="AF2004" s="1"/>
      <c r="AJ2004" s="1"/>
      <c r="AN2004" s="1"/>
      <c r="AS2004" s="1"/>
      <c r="AX2004" s="1"/>
    </row>
    <row r="2005" spans="1:50" x14ac:dyDescent="0.3">
      <c r="A2005" s="19">
        <f t="shared" si="159"/>
        <v>48722</v>
      </c>
      <c r="B2005">
        <f t="shared" ca="1" si="155"/>
        <v>-7.1388888888888893</v>
      </c>
      <c r="C2005" t="str">
        <f ca="1">IF(currency="USD",'Future et co'!D2005,IF(currency="EUR",'Future et co'!E2005,IF(currency="GBP",'Future et co'!F2005,FALSE)))</f>
        <v>RFR USD</v>
      </c>
      <c r="D2005" t="str">
        <f t="shared" ca="1" si="156"/>
        <v>RFR USD</v>
      </c>
      <c r="E2005" t="str">
        <f t="shared" ca="1" si="157"/>
        <v>RFR EUR</v>
      </c>
      <c r="F2005" t="str">
        <f t="shared" ca="1" si="158"/>
        <v>RFR GBP</v>
      </c>
      <c r="J2005" s="1"/>
      <c r="N2005" s="1"/>
      <c r="R2005" s="1"/>
      <c r="V2005" s="1"/>
      <c r="AB2005" s="1"/>
      <c r="AF2005" s="1"/>
      <c r="AJ2005" s="1"/>
      <c r="AN2005" s="1"/>
      <c r="AS2005" s="1"/>
      <c r="AX2005" s="1"/>
    </row>
    <row r="2006" spans="1:50" x14ac:dyDescent="0.3">
      <c r="A2006" s="19">
        <f t="shared" si="159"/>
        <v>48723</v>
      </c>
      <c r="B2006">
        <f t="shared" ca="1" si="155"/>
        <v>-7.1416666666666666</v>
      </c>
      <c r="C2006" t="str">
        <f ca="1">IF(currency="USD",'Future et co'!D2006,IF(currency="EUR",'Future et co'!E2006,IF(currency="GBP",'Future et co'!F2006,FALSE)))</f>
        <v>RFR USD</v>
      </c>
      <c r="D2006" t="str">
        <f t="shared" ca="1" si="156"/>
        <v>RFR USD</v>
      </c>
      <c r="E2006" t="str">
        <f t="shared" ca="1" si="157"/>
        <v>RFR EUR</v>
      </c>
      <c r="F2006" t="str">
        <f t="shared" ca="1" si="158"/>
        <v>RFR GBP</v>
      </c>
      <c r="J2006" s="1"/>
      <c r="N2006" s="1"/>
      <c r="R2006" s="1"/>
      <c r="V2006" s="1"/>
      <c r="AB2006" s="1"/>
      <c r="AF2006" s="1"/>
      <c r="AJ2006" s="1"/>
      <c r="AN2006" s="1"/>
      <c r="AS2006" s="1"/>
      <c r="AX2006" s="1"/>
    </row>
    <row r="2007" spans="1:50" x14ac:dyDescent="0.3">
      <c r="A2007" s="19">
        <f t="shared" si="159"/>
        <v>48724</v>
      </c>
      <c r="B2007">
        <f t="shared" ca="1" si="155"/>
        <v>-7.1444444444444448</v>
      </c>
      <c r="C2007" t="str">
        <f ca="1">IF(currency="USD",'Future et co'!D2007,IF(currency="EUR",'Future et co'!E2007,IF(currency="GBP",'Future et co'!F2007,FALSE)))</f>
        <v>RFR USD</v>
      </c>
      <c r="D2007" t="str">
        <f t="shared" ca="1" si="156"/>
        <v>RFR USD</v>
      </c>
      <c r="E2007" t="str">
        <f t="shared" ca="1" si="157"/>
        <v>RFR EUR</v>
      </c>
      <c r="F2007" t="str">
        <f t="shared" ca="1" si="158"/>
        <v>RFR GBP</v>
      </c>
      <c r="J2007" s="1"/>
      <c r="N2007" s="1"/>
      <c r="R2007" s="1"/>
      <c r="V2007" s="1"/>
      <c r="AB2007" s="1"/>
      <c r="AF2007" s="1"/>
      <c r="AJ2007" s="1"/>
      <c r="AN2007" s="1"/>
      <c r="AS2007" s="1"/>
      <c r="AX2007" s="1"/>
    </row>
    <row r="2008" spans="1:50" x14ac:dyDescent="0.3">
      <c r="A2008" s="19">
        <f t="shared" si="159"/>
        <v>48725</v>
      </c>
      <c r="B2008">
        <f t="shared" ca="1" si="155"/>
        <v>-7.1472222222222221</v>
      </c>
      <c r="C2008" t="str">
        <f ca="1">IF(currency="USD",'Future et co'!D2008,IF(currency="EUR",'Future et co'!E2008,IF(currency="GBP",'Future et co'!F2008,FALSE)))</f>
        <v>RFR USD</v>
      </c>
      <c r="D2008" t="str">
        <f t="shared" ca="1" si="156"/>
        <v>RFR USD</v>
      </c>
      <c r="E2008" t="str">
        <f t="shared" ca="1" si="157"/>
        <v>RFR EUR</v>
      </c>
      <c r="F2008" t="str">
        <f t="shared" ca="1" si="158"/>
        <v>RFR GBP</v>
      </c>
      <c r="J2008" s="1"/>
      <c r="N2008" s="1"/>
      <c r="R2008" s="1"/>
      <c r="V2008" s="1"/>
      <c r="AB2008" s="1"/>
      <c r="AF2008" s="1"/>
      <c r="AJ2008" s="1"/>
      <c r="AN2008" s="1"/>
      <c r="AS2008" s="1"/>
      <c r="AX2008" s="1"/>
    </row>
    <row r="2009" spans="1:50" x14ac:dyDescent="0.3">
      <c r="A2009" s="19">
        <f t="shared" si="159"/>
        <v>48726</v>
      </c>
      <c r="B2009">
        <f t="shared" ca="1" si="155"/>
        <v>-7.15</v>
      </c>
      <c r="C2009" t="str">
        <f ca="1">IF(currency="USD",'Future et co'!D2009,IF(currency="EUR",'Future et co'!E2009,IF(currency="GBP",'Future et co'!F2009,FALSE)))</f>
        <v>RFR USD</v>
      </c>
      <c r="D2009" t="str">
        <f t="shared" ca="1" si="156"/>
        <v>RFR USD</v>
      </c>
      <c r="E2009" t="str">
        <f t="shared" ca="1" si="157"/>
        <v>RFR EUR</v>
      </c>
      <c r="F2009" t="str">
        <f t="shared" ca="1" si="158"/>
        <v>RFR GBP</v>
      </c>
      <c r="J2009" s="1"/>
      <c r="N2009" s="1"/>
      <c r="R2009" s="1"/>
      <c r="V2009" s="1"/>
      <c r="AB2009" s="1"/>
      <c r="AF2009" s="1"/>
      <c r="AJ2009" s="1"/>
      <c r="AN2009" s="1"/>
      <c r="AS2009" s="1"/>
      <c r="AX2009" s="1"/>
    </row>
    <row r="2010" spans="1:50" x14ac:dyDescent="0.3">
      <c r="A2010" s="19">
        <f t="shared" si="159"/>
        <v>48729</v>
      </c>
      <c r="B2010">
        <f t="shared" ca="1" si="155"/>
        <v>-7.1583333333333332</v>
      </c>
      <c r="C2010" t="str">
        <f ca="1">IF(currency="USD",'Future et co'!D2010,IF(currency="EUR",'Future et co'!E2010,IF(currency="GBP",'Future et co'!F2010,FALSE)))</f>
        <v>RFR USD</v>
      </c>
      <c r="D2010" t="str">
        <f t="shared" ca="1" si="156"/>
        <v>RFR USD</v>
      </c>
      <c r="E2010" t="str">
        <f t="shared" ca="1" si="157"/>
        <v>RFR EUR</v>
      </c>
      <c r="F2010" t="str">
        <f t="shared" ca="1" si="158"/>
        <v>RFR GBP</v>
      </c>
      <c r="J2010" s="1"/>
      <c r="N2010" s="1"/>
      <c r="R2010" s="1"/>
      <c r="V2010" s="1"/>
      <c r="AB2010" s="1"/>
      <c r="AF2010" s="1"/>
      <c r="AJ2010" s="1"/>
      <c r="AN2010" s="1"/>
      <c r="AS2010" s="1"/>
      <c r="AX2010" s="1"/>
    </row>
    <row r="2011" spans="1:50" x14ac:dyDescent="0.3">
      <c r="A2011" s="19">
        <f t="shared" si="159"/>
        <v>48730</v>
      </c>
      <c r="B2011">
        <f t="shared" ca="1" si="155"/>
        <v>-7.1611111111111114</v>
      </c>
      <c r="C2011" t="str">
        <f ca="1">IF(currency="USD",'Future et co'!D2011,IF(currency="EUR",'Future et co'!E2011,IF(currency="GBP",'Future et co'!F2011,FALSE)))</f>
        <v>RFR USD</v>
      </c>
      <c r="D2011" t="str">
        <f t="shared" ca="1" si="156"/>
        <v>RFR USD</v>
      </c>
      <c r="E2011" t="str">
        <f t="shared" ca="1" si="157"/>
        <v>RFR EUR</v>
      </c>
      <c r="F2011" t="str">
        <f t="shared" ca="1" si="158"/>
        <v>RFR GBP</v>
      </c>
      <c r="J2011" s="1"/>
      <c r="N2011" s="1"/>
      <c r="R2011" s="1"/>
      <c r="V2011" s="1"/>
      <c r="AB2011" s="1"/>
      <c r="AF2011" s="1"/>
      <c r="AJ2011" s="1"/>
      <c r="AN2011" s="1"/>
      <c r="AS2011" s="1"/>
      <c r="AX2011" s="1"/>
    </row>
    <row r="2012" spans="1:50" x14ac:dyDescent="0.3">
      <c r="A2012" s="19">
        <f t="shared" si="159"/>
        <v>48731</v>
      </c>
      <c r="B2012">
        <f t="shared" ca="1" si="155"/>
        <v>-7.1638888888888888</v>
      </c>
      <c r="C2012" t="str">
        <f ca="1">IF(currency="USD",'Future et co'!D2012,IF(currency="EUR",'Future et co'!E2012,IF(currency="GBP",'Future et co'!F2012,FALSE)))</f>
        <v>RFR USD</v>
      </c>
      <c r="D2012" t="str">
        <f t="shared" ca="1" si="156"/>
        <v>RFR USD</v>
      </c>
      <c r="E2012" t="str">
        <f t="shared" ca="1" si="157"/>
        <v>RFR EUR</v>
      </c>
      <c r="F2012" t="str">
        <f t="shared" ca="1" si="158"/>
        <v>RFR GBP</v>
      </c>
      <c r="J2012" s="1"/>
      <c r="N2012" s="1"/>
      <c r="R2012" s="1"/>
      <c r="V2012" s="1"/>
      <c r="AB2012" s="1"/>
      <c r="AF2012" s="1"/>
      <c r="AJ2012" s="1"/>
      <c r="AN2012" s="1"/>
      <c r="AS2012" s="1"/>
      <c r="AX2012" s="1"/>
    </row>
    <row r="2013" spans="1:50" x14ac:dyDescent="0.3">
      <c r="A2013" s="19">
        <f t="shared" si="159"/>
        <v>48732</v>
      </c>
      <c r="B2013">
        <f t="shared" ca="1" si="155"/>
        <v>-7.166666666666667</v>
      </c>
      <c r="C2013" t="str">
        <f ca="1">IF(currency="USD",'Future et co'!D2013,IF(currency="EUR",'Future et co'!E2013,IF(currency="GBP",'Future et co'!F2013,FALSE)))</f>
        <v>RFR USD</v>
      </c>
      <c r="D2013" t="str">
        <f t="shared" ca="1" si="156"/>
        <v>RFR USD</v>
      </c>
      <c r="E2013" t="str">
        <f t="shared" ca="1" si="157"/>
        <v>RFR EUR</v>
      </c>
      <c r="F2013" t="str">
        <f t="shared" ca="1" si="158"/>
        <v>RFR GBP</v>
      </c>
      <c r="J2013" s="1"/>
      <c r="N2013" s="1"/>
      <c r="R2013" s="1"/>
      <c r="V2013" s="1"/>
      <c r="AB2013" s="1"/>
      <c r="AF2013" s="1"/>
      <c r="AJ2013" s="1"/>
      <c r="AN2013" s="1"/>
      <c r="AS2013" s="1"/>
      <c r="AX2013" s="1"/>
    </row>
    <row r="2014" spans="1:50" x14ac:dyDescent="0.3">
      <c r="A2014" s="19">
        <f t="shared" si="159"/>
        <v>48733</v>
      </c>
      <c r="B2014">
        <f t="shared" ca="1" si="155"/>
        <v>-7.1694444444444443</v>
      </c>
      <c r="C2014" t="str">
        <f ca="1">IF(currency="USD",'Future et co'!D2014,IF(currency="EUR",'Future et co'!E2014,IF(currency="GBP",'Future et co'!F2014,FALSE)))</f>
        <v>RFR USD</v>
      </c>
      <c r="D2014" t="str">
        <f t="shared" ca="1" si="156"/>
        <v>RFR USD</v>
      </c>
      <c r="E2014" t="str">
        <f t="shared" ca="1" si="157"/>
        <v>RFR EUR</v>
      </c>
      <c r="F2014" t="str">
        <f t="shared" ca="1" si="158"/>
        <v>RFR GBP</v>
      </c>
      <c r="J2014" s="1"/>
      <c r="N2014" s="1"/>
      <c r="R2014" s="1"/>
      <c r="V2014" s="1"/>
      <c r="AB2014" s="1"/>
      <c r="AF2014" s="1"/>
      <c r="AJ2014" s="1"/>
      <c r="AN2014" s="1"/>
      <c r="AS2014" s="1"/>
      <c r="AX2014" s="1"/>
    </row>
    <row r="2015" spans="1:50" x14ac:dyDescent="0.3">
      <c r="A2015" s="19">
        <f t="shared" si="159"/>
        <v>48736</v>
      </c>
      <c r="B2015">
        <f t="shared" ca="1" si="155"/>
        <v>-7.177777777777778</v>
      </c>
      <c r="C2015" t="str">
        <f ca="1">IF(currency="USD",'Future et co'!D2015,IF(currency="EUR",'Future et co'!E2015,IF(currency="GBP",'Future et co'!F2015,FALSE)))</f>
        <v>RFR USD</v>
      </c>
      <c r="D2015" t="str">
        <f t="shared" ca="1" si="156"/>
        <v>RFR USD</v>
      </c>
      <c r="E2015" t="str">
        <f t="shared" ca="1" si="157"/>
        <v>RFR EUR</v>
      </c>
      <c r="F2015" t="str">
        <f t="shared" ca="1" si="158"/>
        <v>RFR GBP</v>
      </c>
      <c r="J2015" s="1"/>
      <c r="N2015" s="1"/>
      <c r="R2015" s="1"/>
      <c r="V2015" s="1"/>
      <c r="AB2015" s="1"/>
      <c r="AF2015" s="1"/>
      <c r="AJ2015" s="1"/>
      <c r="AN2015" s="1"/>
      <c r="AS2015" s="1"/>
      <c r="AX2015" s="1"/>
    </row>
    <row r="2016" spans="1:50" x14ac:dyDescent="0.3">
      <c r="A2016" s="19">
        <f t="shared" si="159"/>
        <v>48737</v>
      </c>
      <c r="B2016">
        <f t="shared" ca="1" si="155"/>
        <v>-7.1805555555555554</v>
      </c>
      <c r="C2016" t="str">
        <f ca="1">IF(currency="USD",'Future et co'!D2016,IF(currency="EUR",'Future et co'!E2016,IF(currency="GBP",'Future et co'!F2016,FALSE)))</f>
        <v>RFR USD</v>
      </c>
      <c r="D2016" t="str">
        <f t="shared" ca="1" si="156"/>
        <v>RFR USD</v>
      </c>
      <c r="E2016" t="str">
        <f t="shared" ca="1" si="157"/>
        <v>RFR EUR</v>
      </c>
      <c r="F2016" t="str">
        <f t="shared" ca="1" si="158"/>
        <v>RFR GBP</v>
      </c>
      <c r="J2016" s="1"/>
      <c r="N2016" s="1"/>
      <c r="R2016" s="1"/>
      <c r="V2016" s="1"/>
      <c r="AB2016" s="1"/>
      <c r="AF2016" s="1"/>
      <c r="AJ2016" s="1"/>
      <c r="AN2016" s="1"/>
      <c r="AS2016" s="1"/>
      <c r="AX2016" s="1"/>
    </row>
    <row r="2017" spans="1:50" x14ac:dyDescent="0.3">
      <c r="A2017" s="19">
        <f t="shared" si="159"/>
        <v>48738</v>
      </c>
      <c r="B2017">
        <f t="shared" ca="1" si="155"/>
        <v>-7.1833333333333336</v>
      </c>
      <c r="C2017" t="str">
        <f ca="1">IF(currency="USD",'Future et co'!D2017,IF(currency="EUR",'Future et co'!E2017,IF(currency="GBP",'Future et co'!F2017,FALSE)))</f>
        <v>RFR USD</v>
      </c>
      <c r="D2017" t="str">
        <f t="shared" ca="1" si="156"/>
        <v>RFR USD</v>
      </c>
      <c r="E2017" t="str">
        <f t="shared" ca="1" si="157"/>
        <v>RFR EUR</v>
      </c>
      <c r="F2017" t="str">
        <f t="shared" ca="1" si="158"/>
        <v>RFR GBP</v>
      </c>
      <c r="J2017" s="1"/>
      <c r="N2017" s="1"/>
      <c r="R2017" s="1"/>
      <c r="V2017" s="1"/>
      <c r="AB2017" s="1"/>
      <c r="AF2017" s="1"/>
      <c r="AJ2017" s="1"/>
      <c r="AN2017" s="1"/>
      <c r="AS2017" s="1"/>
      <c r="AX2017" s="1"/>
    </row>
    <row r="2018" spans="1:50" x14ac:dyDescent="0.3">
      <c r="A2018" s="19">
        <f t="shared" si="159"/>
        <v>48739</v>
      </c>
      <c r="B2018">
        <f t="shared" ca="1" si="155"/>
        <v>-7.1861111111111109</v>
      </c>
      <c r="C2018" t="str">
        <f ca="1">IF(currency="USD",'Future et co'!D2018,IF(currency="EUR",'Future et co'!E2018,IF(currency="GBP",'Future et co'!F2018,FALSE)))</f>
        <v>RFR USD</v>
      </c>
      <c r="D2018" t="str">
        <f t="shared" ca="1" si="156"/>
        <v>RFR USD</v>
      </c>
      <c r="E2018" t="str">
        <f t="shared" ca="1" si="157"/>
        <v>RFR EUR</v>
      </c>
      <c r="F2018" t="str">
        <f t="shared" ca="1" si="158"/>
        <v>RFR GBP</v>
      </c>
      <c r="J2018" s="1"/>
      <c r="N2018" s="1"/>
      <c r="R2018" s="1"/>
      <c r="V2018" s="1"/>
      <c r="AB2018" s="1"/>
      <c r="AF2018" s="1"/>
      <c r="AJ2018" s="1"/>
      <c r="AN2018" s="1"/>
      <c r="AS2018" s="1"/>
      <c r="AX2018" s="1"/>
    </row>
    <row r="2019" spans="1:50" x14ac:dyDescent="0.3">
      <c r="A2019" s="19">
        <f t="shared" si="159"/>
        <v>48740</v>
      </c>
      <c r="B2019">
        <f t="shared" ca="1" si="155"/>
        <v>-7.1888888888888891</v>
      </c>
      <c r="C2019" t="str">
        <f ca="1">IF(currency="USD",'Future et co'!D2019,IF(currency="EUR",'Future et co'!E2019,IF(currency="GBP",'Future et co'!F2019,FALSE)))</f>
        <v>RFR USD</v>
      </c>
      <c r="D2019" t="str">
        <f t="shared" ca="1" si="156"/>
        <v>RFR USD</v>
      </c>
      <c r="E2019" t="str">
        <f t="shared" ca="1" si="157"/>
        <v>RFR EUR</v>
      </c>
      <c r="F2019" t="str">
        <f t="shared" ca="1" si="158"/>
        <v>RFR GBP</v>
      </c>
      <c r="J2019" s="1"/>
      <c r="N2019" s="1"/>
      <c r="R2019" s="1"/>
      <c r="V2019" s="1"/>
      <c r="AB2019" s="1"/>
      <c r="AF2019" s="1"/>
      <c r="AJ2019" s="1"/>
      <c r="AN2019" s="1"/>
      <c r="AS2019" s="1"/>
      <c r="AX2019" s="1"/>
    </row>
    <row r="2020" spans="1:50" x14ac:dyDescent="0.3">
      <c r="A2020" s="19">
        <f t="shared" si="159"/>
        <v>48743</v>
      </c>
      <c r="B2020">
        <f t="shared" ca="1" si="155"/>
        <v>-7.197222222222222</v>
      </c>
      <c r="C2020" t="str">
        <f ca="1">IF(currency="USD",'Future et co'!D2020,IF(currency="EUR",'Future et co'!E2020,IF(currency="GBP",'Future et co'!F2020,FALSE)))</f>
        <v>RFR USD</v>
      </c>
      <c r="D2020" t="str">
        <f t="shared" ca="1" si="156"/>
        <v>RFR USD</v>
      </c>
      <c r="E2020" t="str">
        <f t="shared" ca="1" si="157"/>
        <v>RFR EUR</v>
      </c>
      <c r="F2020" t="str">
        <f t="shared" ca="1" si="158"/>
        <v>RFR GBP</v>
      </c>
      <c r="J2020" s="1"/>
      <c r="N2020" s="1"/>
      <c r="R2020" s="1"/>
      <c r="V2020" s="1"/>
      <c r="AB2020" s="1"/>
      <c r="AF2020" s="1"/>
      <c r="AJ2020" s="1"/>
      <c r="AN2020" s="1"/>
      <c r="AS2020" s="1"/>
      <c r="AX2020" s="1"/>
    </row>
    <row r="2021" spans="1:50" x14ac:dyDescent="0.3">
      <c r="A2021" s="19">
        <f t="shared" si="159"/>
        <v>48744</v>
      </c>
      <c r="B2021">
        <f t="shared" ca="1" si="155"/>
        <v>-7.2</v>
      </c>
      <c r="C2021" t="str">
        <f ca="1">IF(currency="USD",'Future et co'!D2021,IF(currency="EUR",'Future et co'!E2021,IF(currency="GBP",'Future et co'!F2021,FALSE)))</f>
        <v>RFR USD</v>
      </c>
      <c r="D2021" t="str">
        <f t="shared" ca="1" si="156"/>
        <v>RFR USD</v>
      </c>
      <c r="E2021" t="str">
        <f t="shared" ca="1" si="157"/>
        <v>RFR EUR</v>
      </c>
      <c r="F2021" t="str">
        <f t="shared" ca="1" si="158"/>
        <v>RFR GBP</v>
      </c>
      <c r="J2021" s="1"/>
      <c r="N2021" s="1"/>
      <c r="R2021" s="1"/>
      <c r="V2021" s="1"/>
      <c r="AB2021" s="1"/>
      <c r="AF2021" s="1"/>
      <c r="AJ2021" s="1"/>
      <c r="AN2021" s="1"/>
      <c r="AS2021" s="1"/>
      <c r="AX2021" s="1"/>
    </row>
    <row r="2022" spans="1:50" x14ac:dyDescent="0.3">
      <c r="A2022" s="19">
        <f t="shared" si="159"/>
        <v>48745</v>
      </c>
      <c r="B2022">
        <f t="shared" ca="1" si="155"/>
        <v>-7.2027777777777775</v>
      </c>
      <c r="C2022" t="str">
        <f ca="1">IF(currency="USD",'Future et co'!D2022,IF(currency="EUR",'Future et co'!E2022,IF(currency="GBP",'Future et co'!F2022,FALSE)))</f>
        <v>RFR USD</v>
      </c>
      <c r="D2022" t="str">
        <f t="shared" ca="1" si="156"/>
        <v>RFR USD</v>
      </c>
      <c r="E2022" t="str">
        <f t="shared" ca="1" si="157"/>
        <v>RFR EUR</v>
      </c>
      <c r="F2022" t="str">
        <f t="shared" ca="1" si="158"/>
        <v>RFR GBP</v>
      </c>
      <c r="J2022" s="1"/>
      <c r="N2022" s="1"/>
      <c r="R2022" s="1"/>
      <c r="V2022" s="1"/>
      <c r="AB2022" s="1"/>
      <c r="AF2022" s="1"/>
      <c r="AJ2022" s="1"/>
      <c r="AN2022" s="1"/>
      <c r="AS2022" s="1"/>
      <c r="AX2022" s="1"/>
    </row>
    <row r="2023" spans="1:50" x14ac:dyDescent="0.3">
      <c r="A2023" s="19">
        <f t="shared" si="159"/>
        <v>48746</v>
      </c>
      <c r="B2023">
        <f t="shared" ca="1" si="155"/>
        <v>-7.2055555555555557</v>
      </c>
      <c r="C2023" t="str">
        <f ca="1">IF(currency="USD",'Future et co'!D2023,IF(currency="EUR",'Future et co'!E2023,IF(currency="GBP",'Future et co'!F2023,FALSE)))</f>
        <v>RFR USD</v>
      </c>
      <c r="D2023" t="str">
        <f t="shared" ca="1" si="156"/>
        <v>RFR USD</v>
      </c>
      <c r="E2023" t="str">
        <f t="shared" ca="1" si="157"/>
        <v>RFR EUR</v>
      </c>
      <c r="F2023" t="str">
        <f t="shared" ca="1" si="158"/>
        <v>RFR GBP</v>
      </c>
      <c r="J2023" s="1"/>
      <c r="N2023" s="1"/>
      <c r="R2023" s="1"/>
      <c r="V2023" s="1"/>
      <c r="AB2023" s="1"/>
      <c r="AF2023" s="1"/>
      <c r="AJ2023" s="1"/>
      <c r="AN2023" s="1"/>
      <c r="AS2023" s="1"/>
      <c r="AX2023" s="1"/>
    </row>
    <row r="2024" spans="1:50" x14ac:dyDescent="0.3">
      <c r="A2024" s="19">
        <f t="shared" si="159"/>
        <v>48747</v>
      </c>
      <c r="B2024">
        <f t="shared" ca="1" si="155"/>
        <v>-7.208333333333333</v>
      </c>
      <c r="C2024" t="str">
        <f ca="1">IF(currency="USD",'Future et co'!D2024,IF(currency="EUR",'Future et co'!E2024,IF(currency="GBP",'Future et co'!F2024,FALSE)))</f>
        <v>RFR USD</v>
      </c>
      <c r="D2024" t="str">
        <f t="shared" ca="1" si="156"/>
        <v>RFR USD</v>
      </c>
      <c r="E2024" t="str">
        <f t="shared" ca="1" si="157"/>
        <v>RFR EUR</v>
      </c>
      <c r="F2024" t="str">
        <f t="shared" ca="1" si="158"/>
        <v>RFR GBP</v>
      </c>
      <c r="J2024" s="1"/>
      <c r="N2024" s="1"/>
      <c r="R2024" s="1"/>
      <c r="V2024" s="1"/>
      <c r="AB2024" s="1"/>
      <c r="AF2024" s="1"/>
      <c r="AJ2024" s="1"/>
      <c r="AN2024" s="1"/>
      <c r="AS2024" s="1"/>
      <c r="AX2024" s="1"/>
    </row>
    <row r="2025" spans="1:50" x14ac:dyDescent="0.3">
      <c r="A2025" s="19">
        <f t="shared" si="159"/>
        <v>48750</v>
      </c>
      <c r="B2025">
        <f t="shared" ca="1" si="155"/>
        <v>-7.2166666666666668</v>
      </c>
      <c r="C2025" t="str">
        <f ca="1">IF(currency="USD",'Future et co'!D2025,IF(currency="EUR",'Future et co'!E2025,IF(currency="GBP",'Future et co'!F2025,FALSE)))</f>
        <v>RFR USD</v>
      </c>
      <c r="D2025" t="str">
        <f t="shared" ca="1" si="156"/>
        <v>RFR USD</v>
      </c>
      <c r="E2025" t="str">
        <f t="shared" ca="1" si="157"/>
        <v>RFR EUR</v>
      </c>
      <c r="F2025" t="str">
        <f t="shared" ca="1" si="158"/>
        <v>RFR GBP</v>
      </c>
      <c r="J2025" s="1"/>
      <c r="N2025" s="1"/>
      <c r="R2025" s="1"/>
      <c r="V2025" s="1"/>
      <c r="AB2025" s="1"/>
      <c r="AF2025" s="1"/>
      <c r="AJ2025" s="1"/>
      <c r="AN2025" s="1"/>
      <c r="AS2025" s="1"/>
      <c r="AX2025" s="1"/>
    </row>
    <row r="2026" spans="1:50" x14ac:dyDescent="0.3">
      <c r="A2026" s="19">
        <f t="shared" si="159"/>
        <v>48751</v>
      </c>
      <c r="B2026">
        <f t="shared" ca="1" si="155"/>
        <v>-7.2194444444444441</v>
      </c>
      <c r="C2026" t="str">
        <f ca="1">IF(currency="USD",'Future et co'!D2026,IF(currency="EUR",'Future et co'!E2026,IF(currency="GBP",'Future et co'!F2026,FALSE)))</f>
        <v>RFR USD</v>
      </c>
      <c r="D2026" t="str">
        <f t="shared" ca="1" si="156"/>
        <v>RFR USD</v>
      </c>
      <c r="E2026" t="str">
        <f t="shared" ca="1" si="157"/>
        <v>RFR EUR</v>
      </c>
      <c r="F2026" t="str">
        <f t="shared" ca="1" si="158"/>
        <v>RFR GBP</v>
      </c>
      <c r="J2026" s="1"/>
      <c r="N2026" s="1"/>
      <c r="R2026" s="1"/>
      <c r="V2026" s="1"/>
      <c r="AB2026" s="1"/>
      <c r="AF2026" s="1"/>
      <c r="AJ2026" s="1"/>
      <c r="AN2026" s="1"/>
      <c r="AS2026" s="1"/>
      <c r="AX2026" s="1"/>
    </row>
    <row r="2027" spans="1:50" x14ac:dyDescent="0.3">
      <c r="A2027" s="19">
        <f t="shared" si="159"/>
        <v>48752</v>
      </c>
      <c r="B2027">
        <f t="shared" ca="1" si="155"/>
        <v>-7.2222222222222223</v>
      </c>
      <c r="C2027" t="str">
        <f ca="1">IF(currency="USD",'Future et co'!D2027,IF(currency="EUR",'Future et co'!E2027,IF(currency="GBP",'Future et co'!F2027,FALSE)))</f>
        <v>RFR USD</v>
      </c>
      <c r="D2027" t="str">
        <f t="shared" ca="1" si="156"/>
        <v>RFR USD</v>
      </c>
      <c r="E2027" t="str">
        <f t="shared" ca="1" si="157"/>
        <v>RFR EUR</v>
      </c>
      <c r="F2027" t="str">
        <f t="shared" ca="1" si="158"/>
        <v>RFR GBP</v>
      </c>
      <c r="J2027" s="1"/>
      <c r="N2027" s="1"/>
      <c r="R2027" s="1"/>
      <c r="V2027" s="1"/>
      <c r="AB2027" s="1"/>
      <c r="AF2027" s="1"/>
      <c r="AJ2027" s="1"/>
      <c r="AN2027" s="1"/>
      <c r="AS2027" s="1"/>
      <c r="AX2027" s="1"/>
    </row>
    <row r="2028" spans="1:50" x14ac:dyDescent="0.3">
      <c r="A2028" s="19">
        <f t="shared" si="159"/>
        <v>48753</v>
      </c>
      <c r="B2028">
        <f t="shared" ca="1" si="155"/>
        <v>-7.2249999999999996</v>
      </c>
      <c r="C2028" t="str">
        <f ca="1">IF(currency="USD",'Future et co'!D2028,IF(currency="EUR",'Future et co'!E2028,IF(currency="GBP",'Future et co'!F2028,FALSE)))</f>
        <v>RFR USD</v>
      </c>
      <c r="D2028" t="str">
        <f t="shared" ca="1" si="156"/>
        <v>RFR USD</v>
      </c>
      <c r="E2028" t="str">
        <f t="shared" ca="1" si="157"/>
        <v>RFR EUR</v>
      </c>
      <c r="F2028" t="str">
        <f t="shared" ca="1" si="158"/>
        <v>RFR GBP</v>
      </c>
      <c r="J2028" s="1"/>
      <c r="N2028" s="1"/>
      <c r="R2028" s="1"/>
      <c r="V2028" s="1"/>
      <c r="AB2028" s="1"/>
      <c r="AF2028" s="1"/>
      <c r="AJ2028" s="1"/>
      <c r="AN2028" s="1"/>
      <c r="AS2028" s="1"/>
      <c r="AX2028" s="1"/>
    </row>
    <row r="2029" spans="1:50" x14ac:dyDescent="0.3">
      <c r="A2029" s="19">
        <f t="shared" si="159"/>
        <v>48754</v>
      </c>
      <c r="B2029">
        <f t="shared" ca="1" si="155"/>
        <v>-7.2277777777777779</v>
      </c>
      <c r="C2029" t="str">
        <f ca="1">IF(currency="USD",'Future et co'!D2029,IF(currency="EUR",'Future et co'!E2029,IF(currency="GBP",'Future et co'!F2029,FALSE)))</f>
        <v>RFR USD</v>
      </c>
      <c r="D2029" t="str">
        <f t="shared" ca="1" si="156"/>
        <v>RFR USD</v>
      </c>
      <c r="E2029" t="str">
        <f t="shared" ca="1" si="157"/>
        <v>RFR EUR</v>
      </c>
      <c r="F2029" t="str">
        <f t="shared" ca="1" si="158"/>
        <v>RFR GBP</v>
      </c>
      <c r="J2029" s="1"/>
      <c r="N2029" s="1"/>
      <c r="R2029" s="1"/>
      <c r="V2029" s="1"/>
      <c r="AB2029" s="1"/>
      <c r="AF2029" s="1"/>
      <c r="AJ2029" s="1"/>
      <c r="AN2029" s="1"/>
      <c r="AS2029" s="1"/>
      <c r="AX2029" s="1"/>
    </row>
    <row r="2030" spans="1:50" x14ac:dyDescent="0.3">
      <c r="A2030" s="19">
        <f t="shared" si="159"/>
        <v>48757</v>
      </c>
      <c r="B2030">
        <f t="shared" ca="1" si="155"/>
        <v>-7.2361111111111107</v>
      </c>
      <c r="C2030" t="str">
        <f ca="1">IF(currency="USD",'Future et co'!D2030,IF(currency="EUR",'Future et co'!E2030,IF(currency="GBP",'Future et co'!F2030,FALSE)))</f>
        <v>RFR USD</v>
      </c>
      <c r="D2030" t="str">
        <f t="shared" ca="1" si="156"/>
        <v>RFR USD</v>
      </c>
      <c r="E2030" t="str">
        <f t="shared" ca="1" si="157"/>
        <v>RFR EUR</v>
      </c>
      <c r="F2030" t="str">
        <f t="shared" ca="1" si="158"/>
        <v>RFR GBP</v>
      </c>
      <c r="J2030" s="1"/>
      <c r="N2030" s="1"/>
      <c r="R2030" s="1"/>
      <c r="V2030" s="1"/>
      <c r="AB2030" s="1"/>
      <c r="AF2030" s="1"/>
      <c r="AJ2030" s="1"/>
      <c r="AN2030" s="1"/>
      <c r="AS2030" s="1"/>
      <c r="AX2030" s="1"/>
    </row>
    <row r="2031" spans="1:50" x14ac:dyDescent="0.3">
      <c r="A2031" s="19">
        <f t="shared" si="159"/>
        <v>48758</v>
      </c>
      <c r="B2031">
        <f t="shared" ca="1" si="155"/>
        <v>-7.2388888888888889</v>
      </c>
      <c r="C2031" t="str">
        <f ca="1">IF(currency="USD",'Future et co'!D2031,IF(currency="EUR",'Future et co'!E2031,IF(currency="GBP",'Future et co'!F2031,FALSE)))</f>
        <v>RFR USD</v>
      </c>
      <c r="D2031" t="str">
        <f t="shared" ca="1" si="156"/>
        <v>RFR USD</v>
      </c>
      <c r="E2031" t="str">
        <f t="shared" ca="1" si="157"/>
        <v>RFR EUR</v>
      </c>
      <c r="F2031" t="str">
        <f t="shared" ca="1" si="158"/>
        <v>RFR GBP</v>
      </c>
      <c r="J2031" s="1"/>
      <c r="N2031" s="1"/>
      <c r="R2031" s="1"/>
      <c r="V2031" s="1"/>
      <c r="AB2031" s="1"/>
      <c r="AF2031" s="1"/>
      <c r="AJ2031" s="1"/>
      <c r="AN2031" s="1"/>
      <c r="AS2031" s="1"/>
      <c r="AX2031" s="1"/>
    </row>
    <row r="2032" spans="1:50" x14ac:dyDescent="0.3">
      <c r="A2032" s="19">
        <f t="shared" si="159"/>
        <v>48759</v>
      </c>
      <c r="B2032">
        <f t="shared" ca="1" si="155"/>
        <v>-7.2416666666666663</v>
      </c>
      <c r="C2032" t="str">
        <f ca="1">IF(currency="USD",'Future et co'!D2032,IF(currency="EUR",'Future et co'!E2032,IF(currency="GBP",'Future et co'!F2032,FALSE)))</f>
        <v>RFR USD</v>
      </c>
      <c r="D2032" t="str">
        <f t="shared" ca="1" si="156"/>
        <v>RFR USD</v>
      </c>
      <c r="E2032" t="str">
        <f t="shared" ca="1" si="157"/>
        <v>RFR EUR</v>
      </c>
      <c r="F2032" t="str">
        <f t="shared" ca="1" si="158"/>
        <v>RFR GBP</v>
      </c>
      <c r="J2032" s="1"/>
      <c r="N2032" s="1"/>
      <c r="R2032" s="1"/>
      <c r="V2032" s="1"/>
      <c r="AB2032" s="1"/>
      <c r="AF2032" s="1"/>
      <c r="AJ2032" s="1"/>
      <c r="AN2032" s="1"/>
      <c r="AS2032" s="1"/>
      <c r="AX2032" s="1"/>
    </row>
    <row r="2033" spans="1:50" x14ac:dyDescent="0.3">
      <c r="A2033" s="19">
        <f t="shared" si="159"/>
        <v>48760</v>
      </c>
      <c r="B2033">
        <f t="shared" ca="1" si="155"/>
        <v>-7.2444444444444445</v>
      </c>
      <c r="C2033" t="str">
        <f ca="1">IF(currency="USD",'Future et co'!D2033,IF(currency="EUR",'Future et co'!E2033,IF(currency="GBP",'Future et co'!F2033,FALSE)))</f>
        <v>RFR USD</v>
      </c>
      <c r="D2033" t="str">
        <f t="shared" ca="1" si="156"/>
        <v>RFR USD</v>
      </c>
      <c r="E2033" t="str">
        <f t="shared" ca="1" si="157"/>
        <v>RFR EUR</v>
      </c>
      <c r="F2033" t="str">
        <f t="shared" ca="1" si="158"/>
        <v>RFR GBP</v>
      </c>
      <c r="J2033" s="1"/>
      <c r="N2033" s="1"/>
      <c r="R2033" s="1"/>
      <c r="V2033" s="1"/>
      <c r="AB2033" s="1"/>
      <c r="AF2033" s="1"/>
      <c r="AJ2033" s="1"/>
      <c r="AN2033" s="1"/>
      <c r="AS2033" s="1"/>
      <c r="AX2033" s="1"/>
    </row>
    <row r="2034" spans="1:50" x14ac:dyDescent="0.3">
      <c r="A2034" s="19">
        <f t="shared" si="159"/>
        <v>48761</v>
      </c>
      <c r="B2034">
        <f t="shared" ca="1" si="155"/>
        <v>-7.2472222222222218</v>
      </c>
      <c r="C2034" t="str">
        <f ca="1">IF(currency="USD",'Future et co'!D2034,IF(currency="EUR",'Future et co'!E2034,IF(currency="GBP",'Future et co'!F2034,FALSE)))</f>
        <v>RFR USD</v>
      </c>
      <c r="D2034" t="str">
        <f t="shared" ca="1" si="156"/>
        <v>RFR USD</v>
      </c>
      <c r="E2034" t="str">
        <f t="shared" ca="1" si="157"/>
        <v>RFR EUR</v>
      </c>
      <c r="F2034" t="str">
        <f t="shared" ca="1" si="158"/>
        <v>RFR GBP</v>
      </c>
      <c r="J2034" s="1"/>
      <c r="N2034" s="1"/>
      <c r="R2034" s="1"/>
      <c r="V2034" s="1"/>
      <c r="AB2034" s="1"/>
      <c r="AF2034" s="1"/>
      <c r="AJ2034" s="1"/>
      <c r="AN2034" s="1"/>
      <c r="AS2034" s="1"/>
      <c r="AX2034" s="1"/>
    </row>
    <row r="2035" spans="1:50" x14ac:dyDescent="0.3">
      <c r="A2035" s="19">
        <f t="shared" si="159"/>
        <v>48764</v>
      </c>
      <c r="B2035">
        <f t="shared" ca="1" si="155"/>
        <v>-7.2555555555555555</v>
      </c>
      <c r="C2035" t="str">
        <f ca="1">IF(currency="USD",'Future et co'!D2035,IF(currency="EUR",'Future et co'!E2035,IF(currency="GBP",'Future et co'!F2035,FALSE)))</f>
        <v>RFR USD</v>
      </c>
      <c r="D2035" t="str">
        <f t="shared" ca="1" si="156"/>
        <v>RFR USD</v>
      </c>
      <c r="E2035" t="str">
        <f t="shared" ca="1" si="157"/>
        <v>RFR EUR</v>
      </c>
      <c r="F2035" t="str">
        <f t="shared" ca="1" si="158"/>
        <v>RFR GBP</v>
      </c>
      <c r="J2035" s="1"/>
      <c r="N2035" s="1"/>
      <c r="R2035" s="1"/>
      <c r="V2035" s="1"/>
      <c r="AB2035" s="1"/>
      <c r="AF2035" s="1"/>
      <c r="AJ2035" s="1"/>
      <c r="AN2035" s="1"/>
      <c r="AS2035" s="1"/>
      <c r="AX2035" s="1"/>
    </row>
    <row r="2036" spans="1:50" x14ac:dyDescent="0.3">
      <c r="A2036" s="19">
        <f t="shared" si="159"/>
        <v>48765</v>
      </c>
      <c r="B2036">
        <f t="shared" ca="1" si="155"/>
        <v>-7.2583333333333337</v>
      </c>
      <c r="C2036" t="str">
        <f ca="1">IF(currency="USD",'Future et co'!D2036,IF(currency="EUR",'Future et co'!E2036,IF(currency="GBP",'Future et co'!F2036,FALSE)))</f>
        <v>RFR USD</v>
      </c>
      <c r="D2036" t="str">
        <f t="shared" ca="1" si="156"/>
        <v>RFR USD</v>
      </c>
      <c r="E2036" t="str">
        <f t="shared" ca="1" si="157"/>
        <v>RFR EUR</v>
      </c>
      <c r="F2036" t="str">
        <f t="shared" ca="1" si="158"/>
        <v>RFR GBP</v>
      </c>
      <c r="J2036" s="1"/>
      <c r="N2036" s="1"/>
      <c r="R2036" s="1"/>
      <c r="V2036" s="1"/>
      <c r="AB2036" s="1"/>
      <c r="AF2036" s="1"/>
      <c r="AJ2036" s="1"/>
      <c r="AN2036" s="1"/>
      <c r="AS2036" s="1"/>
      <c r="AX2036" s="1"/>
    </row>
    <row r="2037" spans="1:50" x14ac:dyDescent="0.3">
      <c r="A2037" s="19">
        <f t="shared" si="159"/>
        <v>48766</v>
      </c>
      <c r="B2037">
        <f t="shared" ca="1" si="155"/>
        <v>-7.2611111111111111</v>
      </c>
      <c r="C2037" t="str">
        <f ca="1">IF(currency="USD",'Future et co'!D2037,IF(currency="EUR",'Future et co'!E2037,IF(currency="GBP",'Future et co'!F2037,FALSE)))</f>
        <v>RFR USD</v>
      </c>
      <c r="D2037" t="str">
        <f t="shared" ca="1" si="156"/>
        <v>RFR USD</v>
      </c>
      <c r="E2037" t="str">
        <f t="shared" ca="1" si="157"/>
        <v>RFR EUR</v>
      </c>
      <c r="F2037" t="str">
        <f t="shared" ca="1" si="158"/>
        <v>RFR GBP</v>
      </c>
      <c r="J2037" s="1"/>
      <c r="N2037" s="1"/>
      <c r="R2037" s="1"/>
      <c r="V2037" s="1"/>
      <c r="AB2037" s="1"/>
      <c r="AF2037" s="1"/>
      <c r="AJ2037" s="1"/>
      <c r="AN2037" s="1"/>
      <c r="AS2037" s="1"/>
      <c r="AX2037" s="1"/>
    </row>
    <row r="2038" spans="1:50" x14ac:dyDescent="0.3">
      <c r="A2038" s="19">
        <f t="shared" si="159"/>
        <v>48767</v>
      </c>
      <c r="B2038">
        <f t="shared" ca="1" si="155"/>
        <v>-7.2638888888888893</v>
      </c>
      <c r="C2038" t="str">
        <f ca="1">IF(currency="USD",'Future et co'!D2038,IF(currency="EUR",'Future et co'!E2038,IF(currency="GBP",'Future et co'!F2038,FALSE)))</f>
        <v>RFR USD</v>
      </c>
      <c r="D2038" t="str">
        <f t="shared" ca="1" si="156"/>
        <v>RFR USD</v>
      </c>
      <c r="E2038" t="str">
        <f t="shared" ca="1" si="157"/>
        <v>RFR EUR</v>
      </c>
      <c r="F2038" t="str">
        <f t="shared" ca="1" si="158"/>
        <v>RFR GBP</v>
      </c>
      <c r="J2038" s="1"/>
      <c r="N2038" s="1"/>
      <c r="R2038" s="1"/>
      <c r="V2038" s="1"/>
      <c r="AB2038" s="1"/>
      <c r="AF2038" s="1"/>
      <c r="AJ2038" s="1"/>
      <c r="AN2038" s="1"/>
      <c r="AS2038" s="1"/>
      <c r="AX2038" s="1"/>
    </row>
    <row r="2039" spans="1:50" x14ac:dyDescent="0.3">
      <c r="A2039" s="19">
        <f t="shared" si="159"/>
        <v>48768</v>
      </c>
      <c r="B2039">
        <f t="shared" ca="1" si="155"/>
        <v>-7.2666666666666666</v>
      </c>
      <c r="C2039" t="str">
        <f ca="1">IF(currency="USD",'Future et co'!D2039,IF(currency="EUR",'Future et co'!E2039,IF(currency="GBP",'Future et co'!F2039,FALSE)))</f>
        <v>RFR USD</v>
      </c>
      <c r="D2039" t="str">
        <f t="shared" ca="1" si="156"/>
        <v>RFR USD</v>
      </c>
      <c r="E2039" t="str">
        <f t="shared" ca="1" si="157"/>
        <v>RFR EUR</v>
      </c>
      <c r="F2039" t="str">
        <f t="shared" ca="1" si="158"/>
        <v>RFR GBP</v>
      </c>
      <c r="J2039" s="1"/>
      <c r="N2039" s="1"/>
      <c r="R2039" s="1"/>
      <c r="V2039" s="1"/>
      <c r="AB2039" s="1"/>
      <c r="AF2039" s="1"/>
      <c r="AJ2039" s="1"/>
      <c r="AN2039" s="1"/>
      <c r="AS2039" s="1"/>
      <c r="AX2039" s="1"/>
    </row>
    <row r="2040" spans="1:50" x14ac:dyDescent="0.3">
      <c r="A2040" s="19">
        <f t="shared" si="159"/>
        <v>48771</v>
      </c>
      <c r="B2040">
        <f t="shared" ca="1" si="155"/>
        <v>-7.2750000000000004</v>
      </c>
      <c r="C2040" t="str">
        <f ca="1">IF(currency="USD",'Future et co'!D2040,IF(currency="EUR",'Future et co'!E2040,IF(currency="GBP",'Future et co'!F2040,FALSE)))</f>
        <v>RFR USD</v>
      </c>
      <c r="D2040" t="str">
        <f t="shared" ca="1" si="156"/>
        <v>RFR USD</v>
      </c>
      <c r="E2040" t="str">
        <f t="shared" ca="1" si="157"/>
        <v>RFR EUR</v>
      </c>
      <c r="F2040" t="str">
        <f t="shared" ca="1" si="158"/>
        <v>RFR GBP</v>
      </c>
      <c r="J2040" s="1"/>
      <c r="N2040" s="1"/>
      <c r="R2040" s="1"/>
      <c r="V2040" s="1"/>
      <c r="AB2040" s="1"/>
      <c r="AF2040" s="1"/>
      <c r="AJ2040" s="1"/>
      <c r="AN2040" s="1"/>
      <c r="AS2040" s="1"/>
      <c r="AX2040" s="1"/>
    </row>
    <row r="2041" spans="1:50" x14ac:dyDescent="0.3">
      <c r="A2041" s="19">
        <f t="shared" si="159"/>
        <v>48772</v>
      </c>
      <c r="B2041">
        <f t="shared" ca="1" si="155"/>
        <v>-7.2777777777777777</v>
      </c>
      <c r="C2041" t="str">
        <f ca="1">IF(currency="USD",'Future et co'!D2041,IF(currency="EUR",'Future et co'!E2041,IF(currency="GBP",'Future et co'!F2041,FALSE)))</f>
        <v>RFR USD</v>
      </c>
      <c r="D2041" t="str">
        <f t="shared" ca="1" si="156"/>
        <v>RFR USD</v>
      </c>
      <c r="E2041" t="str">
        <f t="shared" ca="1" si="157"/>
        <v>RFR EUR</v>
      </c>
      <c r="F2041" t="str">
        <f t="shared" ca="1" si="158"/>
        <v>RFR GBP</v>
      </c>
      <c r="J2041" s="1"/>
      <c r="N2041" s="1"/>
      <c r="R2041" s="1"/>
      <c r="V2041" s="1"/>
      <c r="AB2041" s="1"/>
      <c r="AF2041" s="1"/>
      <c r="AJ2041" s="1"/>
      <c r="AN2041" s="1"/>
      <c r="AS2041" s="1"/>
      <c r="AX2041" s="1"/>
    </row>
    <row r="2042" spans="1:50" x14ac:dyDescent="0.3">
      <c r="A2042" s="19">
        <f t="shared" si="159"/>
        <v>48773</v>
      </c>
      <c r="B2042">
        <f t="shared" ca="1" si="155"/>
        <v>-7.2805555555555559</v>
      </c>
      <c r="C2042" t="str">
        <f ca="1">IF(currency="USD",'Future et co'!D2042,IF(currency="EUR",'Future et co'!E2042,IF(currency="GBP",'Future et co'!F2042,FALSE)))</f>
        <v>RFR USD</v>
      </c>
      <c r="D2042" t="str">
        <f t="shared" ca="1" si="156"/>
        <v>RFR USD</v>
      </c>
      <c r="E2042" t="str">
        <f t="shared" ca="1" si="157"/>
        <v>RFR EUR</v>
      </c>
      <c r="F2042" t="str">
        <f t="shared" ca="1" si="158"/>
        <v>RFR GBP</v>
      </c>
      <c r="J2042" s="1"/>
      <c r="N2042" s="1"/>
      <c r="R2042" s="1"/>
      <c r="V2042" s="1"/>
      <c r="AB2042" s="1"/>
      <c r="AF2042" s="1"/>
      <c r="AJ2042" s="1"/>
      <c r="AN2042" s="1"/>
      <c r="AS2042" s="1"/>
      <c r="AX2042" s="1"/>
    </row>
    <row r="2043" spans="1:50" x14ac:dyDescent="0.3">
      <c r="A2043" s="19">
        <f t="shared" si="159"/>
        <v>48774</v>
      </c>
      <c r="B2043">
        <f t="shared" ca="1" si="155"/>
        <v>-7.2833333333333332</v>
      </c>
      <c r="C2043" t="str">
        <f ca="1">IF(currency="USD",'Future et co'!D2043,IF(currency="EUR",'Future et co'!E2043,IF(currency="GBP",'Future et co'!F2043,FALSE)))</f>
        <v>RFR USD</v>
      </c>
      <c r="D2043" t="str">
        <f t="shared" ca="1" si="156"/>
        <v>RFR USD</v>
      </c>
      <c r="E2043" t="str">
        <f t="shared" ca="1" si="157"/>
        <v>RFR EUR</v>
      </c>
      <c r="F2043" t="str">
        <f t="shared" ca="1" si="158"/>
        <v>RFR GBP</v>
      </c>
      <c r="J2043" s="1"/>
      <c r="N2043" s="1"/>
      <c r="R2043" s="1"/>
      <c r="V2043" s="1"/>
      <c r="AB2043" s="1"/>
      <c r="AF2043" s="1"/>
      <c r="AJ2043" s="1"/>
      <c r="AN2043" s="1"/>
      <c r="AS2043" s="1"/>
      <c r="AX2043" s="1"/>
    </row>
    <row r="2044" spans="1:50" x14ac:dyDescent="0.3">
      <c r="A2044" s="19">
        <f t="shared" si="159"/>
        <v>48775</v>
      </c>
      <c r="B2044">
        <f t="shared" ca="1" si="155"/>
        <v>-7.2861111111111114</v>
      </c>
      <c r="C2044" t="str">
        <f ca="1">IF(currency="USD",'Future et co'!D2044,IF(currency="EUR",'Future et co'!E2044,IF(currency="GBP",'Future et co'!F2044,FALSE)))</f>
        <v>RFR USD</v>
      </c>
      <c r="D2044" t="str">
        <f t="shared" ca="1" si="156"/>
        <v>RFR USD</v>
      </c>
      <c r="E2044" t="str">
        <f t="shared" ca="1" si="157"/>
        <v>RFR EUR</v>
      </c>
      <c r="F2044" t="str">
        <f t="shared" ca="1" si="158"/>
        <v>RFR GBP</v>
      </c>
      <c r="J2044" s="1"/>
      <c r="N2044" s="1"/>
      <c r="R2044" s="1"/>
      <c r="V2044" s="1"/>
      <c r="AB2044" s="1"/>
      <c r="AF2044" s="1"/>
      <c r="AJ2044" s="1"/>
      <c r="AN2044" s="1"/>
      <c r="AS2044" s="1"/>
      <c r="AX2044" s="1"/>
    </row>
    <row r="2045" spans="1:50" x14ac:dyDescent="0.3">
      <c r="A2045" s="19">
        <f t="shared" si="159"/>
        <v>48778</v>
      </c>
      <c r="B2045">
        <f t="shared" ca="1" si="155"/>
        <v>-7.2944444444444443</v>
      </c>
      <c r="C2045" t="str">
        <f ca="1">IF(currency="USD",'Future et co'!D2045,IF(currency="EUR",'Future et co'!E2045,IF(currency="GBP",'Future et co'!F2045,FALSE)))</f>
        <v>RFR USD</v>
      </c>
      <c r="D2045" t="str">
        <f t="shared" ca="1" si="156"/>
        <v>RFR USD</v>
      </c>
      <c r="E2045" t="str">
        <f t="shared" ca="1" si="157"/>
        <v>RFR EUR</v>
      </c>
      <c r="F2045" t="str">
        <f t="shared" ca="1" si="158"/>
        <v>RFR GBP</v>
      </c>
      <c r="J2045" s="1"/>
      <c r="N2045" s="1"/>
      <c r="R2045" s="1"/>
      <c r="V2045" s="1"/>
      <c r="AB2045" s="1"/>
      <c r="AF2045" s="1"/>
      <c r="AJ2045" s="1"/>
      <c r="AN2045" s="1"/>
      <c r="AS2045" s="1"/>
      <c r="AX2045" s="1"/>
    </row>
    <row r="2046" spans="1:50" x14ac:dyDescent="0.3">
      <c r="A2046" s="19">
        <f t="shared" si="159"/>
        <v>48779</v>
      </c>
      <c r="B2046">
        <f t="shared" ca="1" si="155"/>
        <v>-7.2972222222222225</v>
      </c>
      <c r="C2046" t="str">
        <f ca="1">IF(currency="USD",'Future et co'!D2046,IF(currency="EUR",'Future et co'!E2046,IF(currency="GBP",'Future et co'!F2046,FALSE)))</f>
        <v>RFR USD</v>
      </c>
      <c r="D2046" t="str">
        <f t="shared" ca="1" si="156"/>
        <v>RFR USD</v>
      </c>
      <c r="E2046" t="str">
        <f t="shared" ca="1" si="157"/>
        <v>RFR EUR</v>
      </c>
      <c r="F2046" t="str">
        <f t="shared" ca="1" si="158"/>
        <v>RFR GBP</v>
      </c>
      <c r="J2046" s="1"/>
      <c r="N2046" s="1"/>
      <c r="R2046" s="1"/>
      <c r="V2046" s="1"/>
      <c r="AB2046" s="1"/>
      <c r="AF2046" s="1"/>
      <c r="AJ2046" s="1"/>
      <c r="AN2046" s="1"/>
      <c r="AS2046" s="1"/>
      <c r="AX2046" s="1"/>
    </row>
    <row r="2047" spans="1:50" x14ac:dyDescent="0.3">
      <c r="A2047" s="19">
        <f t="shared" si="159"/>
        <v>48780</v>
      </c>
      <c r="B2047">
        <f t="shared" ca="1" si="155"/>
        <v>-7.3</v>
      </c>
      <c r="C2047" t="str">
        <f ca="1">IF(currency="USD",'Future et co'!D2047,IF(currency="EUR",'Future et co'!E2047,IF(currency="GBP",'Future et co'!F2047,FALSE)))</f>
        <v>RFR USD</v>
      </c>
      <c r="D2047" t="str">
        <f t="shared" ca="1" si="156"/>
        <v>RFR USD</v>
      </c>
      <c r="E2047" t="str">
        <f t="shared" ca="1" si="157"/>
        <v>RFR EUR</v>
      </c>
      <c r="F2047" t="str">
        <f t="shared" ca="1" si="158"/>
        <v>RFR GBP</v>
      </c>
      <c r="J2047" s="1"/>
      <c r="N2047" s="1"/>
      <c r="R2047" s="1"/>
      <c r="V2047" s="1"/>
      <c r="AB2047" s="1"/>
      <c r="AF2047" s="1"/>
      <c r="AJ2047" s="1"/>
      <c r="AN2047" s="1"/>
      <c r="AS2047" s="1"/>
      <c r="AX2047" s="1"/>
    </row>
    <row r="2048" spans="1:50" x14ac:dyDescent="0.3">
      <c r="A2048" s="19">
        <f t="shared" si="159"/>
        <v>48781</v>
      </c>
      <c r="B2048">
        <f t="shared" ca="1" si="155"/>
        <v>-7.302777777777778</v>
      </c>
      <c r="C2048" t="str">
        <f ca="1">IF(currency="USD",'Future et co'!D2048,IF(currency="EUR",'Future et co'!E2048,IF(currency="GBP",'Future et co'!F2048,FALSE)))</f>
        <v>RFR USD</v>
      </c>
      <c r="D2048" t="str">
        <f t="shared" ca="1" si="156"/>
        <v>RFR USD</v>
      </c>
      <c r="E2048" t="str">
        <f t="shared" ca="1" si="157"/>
        <v>RFR EUR</v>
      </c>
      <c r="F2048" t="str">
        <f t="shared" ca="1" si="158"/>
        <v>RFR GBP</v>
      </c>
      <c r="J2048" s="1"/>
      <c r="N2048" s="1"/>
      <c r="R2048" s="1"/>
      <c r="V2048" s="1"/>
      <c r="AB2048" s="1"/>
      <c r="AF2048" s="1"/>
      <c r="AJ2048" s="1"/>
      <c r="AN2048" s="1"/>
      <c r="AS2048" s="1"/>
      <c r="AX2048" s="1"/>
    </row>
    <row r="2049" spans="1:50" x14ac:dyDescent="0.3">
      <c r="A2049" s="19">
        <f t="shared" si="159"/>
        <v>48782</v>
      </c>
      <c r="B2049">
        <f t="shared" ca="1" si="155"/>
        <v>-7.3055555555555554</v>
      </c>
      <c r="C2049" t="str">
        <f ca="1">IF(currency="USD",'Future et co'!D2049,IF(currency="EUR",'Future et co'!E2049,IF(currency="GBP",'Future et co'!F2049,FALSE)))</f>
        <v>RFR USD</v>
      </c>
      <c r="D2049" t="str">
        <f t="shared" ca="1" si="156"/>
        <v>RFR USD</v>
      </c>
      <c r="E2049" t="str">
        <f t="shared" ca="1" si="157"/>
        <v>RFR EUR</v>
      </c>
      <c r="F2049" t="str">
        <f t="shared" ca="1" si="158"/>
        <v>RFR GBP</v>
      </c>
      <c r="J2049" s="1"/>
      <c r="N2049" s="1"/>
      <c r="R2049" s="1"/>
      <c r="V2049" s="1"/>
      <c r="AB2049" s="1"/>
      <c r="AF2049" s="1"/>
      <c r="AJ2049" s="1"/>
      <c r="AN2049" s="1"/>
      <c r="AS2049" s="1"/>
      <c r="AX2049" s="1"/>
    </row>
    <row r="2050" spans="1:50" x14ac:dyDescent="0.3">
      <c r="A2050" s="19">
        <f t="shared" si="159"/>
        <v>48785</v>
      </c>
      <c r="B2050">
        <f t="shared" ca="1" si="155"/>
        <v>-7.3138888888888891</v>
      </c>
      <c r="C2050" t="str">
        <f ca="1">IF(currency="USD",'Future et co'!D2050,IF(currency="EUR",'Future et co'!E2050,IF(currency="GBP",'Future et co'!F2050,FALSE)))</f>
        <v>RFR USD</v>
      </c>
      <c r="D2050" t="str">
        <f t="shared" ca="1" si="156"/>
        <v>RFR USD</v>
      </c>
      <c r="E2050" t="str">
        <f t="shared" ca="1" si="157"/>
        <v>RFR EUR</v>
      </c>
      <c r="F2050" t="str">
        <f t="shared" ca="1" si="158"/>
        <v>RFR GBP</v>
      </c>
      <c r="J2050" s="1"/>
      <c r="N2050" s="1"/>
      <c r="R2050" s="1"/>
      <c r="V2050" s="1"/>
      <c r="AB2050" s="1"/>
      <c r="AF2050" s="1"/>
      <c r="AJ2050" s="1"/>
      <c r="AN2050" s="1"/>
      <c r="AS2050" s="1"/>
      <c r="AX2050" s="1"/>
    </row>
    <row r="2051" spans="1:50" x14ac:dyDescent="0.3">
      <c r="A2051" s="19">
        <f t="shared" si="159"/>
        <v>48786</v>
      </c>
      <c r="B2051">
        <f t="shared" ca="1" si="155"/>
        <v>-7.3166666666666664</v>
      </c>
      <c r="C2051" t="str">
        <f ca="1">IF(currency="USD",'Future et co'!D2051,IF(currency="EUR",'Future et co'!E2051,IF(currency="GBP",'Future et co'!F2051,FALSE)))</f>
        <v>RFR USD</v>
      </c>
      <c r="D2051" t="str">
        <f t="shared" ca="1" si="156"/>
        <v>RFR USD</v>
      </c>
      <c r="E2051" t="str">
        <f t="shared" ca="1" si="157"/>
        <v>RFR EUR</v>
      </c>
      <c r="F2051" t="str">
        <f t="shared" ca="1" si="158"/>
        <v>RFR GBP</v>
      </c>
      <c r="J2051" s="1"/>
      <c r="N2051" s="1"/>
      <c r="R2051" s="1"/>
      <c r="V2051" s="1"/>
      <c r="AB2051" s="1"/>
      <c r="AF2051" s="1"/>
      <c r="AJ2051" s="1"/>
      <c r="AN2051" s="1"/>
      <c r="AS2051" s="1"/>
      <c r="AX2051" s="1"/>
    </row>
    <row r="2052" spans="1:50" x14ac:dyDescent="0.3">
      <c r="A2052" s="19">
        <f t="shared" si="159"/>
        <v>48787</v>
      </c>
      <c r="B2052">
        <f t="shared" ca="1" si="155"/>
        <v>-7.3194444444444446</v>
      </c>
      <c r="C2052" t="str">
        <f ca="1">IF(currency="USD",'Future et co'!D2052,IF(currency="EUR",'Future et co'!E2052,IF(currency="GBP",'Future et co'!F2052,FALSE)))</f>
        <v>RFR USD</v>
      </c>
      <c r="D2052" t="str">
        <f t="shared" ca="1" si="156"/>
        <v>RFR USD</v>
      </c>
      <c r="E2052" t="str">
        <f t="shared" ca="1" si="157"/>
        <v>RFR EUR</v>
      </c>
      <c r="F2052" t="str">
        <f t="shared" ca="1" si="158"/>
        <v>RFR GBP</v>
      </c>
      <c r="J2052" s="1"/>
      <c r="N2052" s="1"/>
      <c r="R2052" s="1"/>
      <c r="V2052" s="1"/>
      <c r="AB2052" s="1"/>
      <c r="AF2052" s="1"/>
      <c r="AJ2052" s="1"/>
      <c r="AN2052" s="1"/>
      <c r="AS2052" s="1"/>
      <c r="AX2052" s="1"/>
    </row>
    <row r="2053" spans="1:50" x14ac:dyDescent="0.3">
      <c r="A2053" s="19">
        <f t="shared" si="159"/>
        <v>48788</v>
      </c>
      <c r="B2053">
        <f t="shared" ca="1" si="155"/>
        <v>-7.322222222222222</v>
      </c>
      <c r="C2053" t="str">
        <f ca="1">IF(currency="USD",'Future et co'!D2053,IF(currency="EUR",'Future et co'!E2053,IF(currency="GBP",'Future et co'!F2053,FALSE)))</f>
        <v>RFR USD</v>
      </c>
      <c r="D2053" t="str">
        <f t="shared" ca="1" si="156"/>
        <v>RFR USD</v>
      </c>
      <c r="E2053" t="str">
        <f t="shared" ca="1" si="157"/>
        <v>RFR EUR</v>
      </c>
      <c r="F2053" t="str">
        <f t="shared" ca="1" si="158"/>
        <v>RFR GBP</v>
      </c>
      <c r="J2053" s="1"/>
      <c r="N2053" s="1"/>
      <c r="R2053" s="1"/>
      <c r="V2053" s="1"/>
      <c r="AB2053" s="1"/>
      <c r="AF2053" s="1"/>
      <c r="AJ2053" s="1"/>
      <c r="AN2053" s="1"/>
      <c r="AS2053" s="1"/>
      <c r="AX2053" s="1"/>
    </row>
    <row r="2054" spans="1:50" x14ac:dyDescent="0.3">
      <c r="A2054" s="19">
        <f t="shared" si="159"/>
        <v>48789</v>
      </c>
      <c r="B2054">
        <f t="shared" ca="1" si="155"/>
        <v>-7.3250000000000002</v>
      </c>
      <c r="C2054" t="str">
        <f ca="1">IF(currency="USD",'Future et co'!D2054,IF(currency="EUR",'Future et co'!E2054,IF(currency="GBP",'Future et co'!F2054,FALSE)))</f>
        <v>RFR USD</v>
      </c>
      <c r="D2054" t="str">
        <f t="shared" ca="1" si="156"/>
        <v>RFR USD</v>
      </c>
      <c r="E2054" t="str">
        <f t="shared" ca="1" si="157"/>
        <v>RFR EUR</v>
      </c>
      <c r="F2054" t="str">
        <f t="shared" ca="1" si="158"/>
        <v>RFR GBP</v>
      </c>
      <c r="J2054" s="1"/>
      <c r="N2054" s="1"/>
      <c r="R2054" s="1"/>
      <c r="V2054" s="1"/>
      <c r="AB2054" s="1"/>
      <c r="AF2054" s="1"/>
      <c r="AJ2054" s="1"/>
      <c r="AN2054" s="1"/>
      <c r="AS2054" s="1"/>
      <c r="AX2054" s="1"/>
    </row>
    <row r="2055" spans="1:50" x14ac:dyDescent="0.3">
      <c r="A2055" s="19">
        <f t="shared" si="159"/>
        <v>48792</v>
      </c>
      <c r="B2055">
        <f t="shared" ca="1" si="155"/>
        <v>-7.333333333333333</v>
      </c>
      <c r="C2055" t="str">
        <f ca="1">IF(currency="USD",'Future et co'!D2055,IF(currency="EUR",'Future et co'!E2055,IF(currency="GBP",'Future et co'!F2055,FALSE)))</f>
        <v>RFR USD</v>
      </c>
      <c r="D2055" t="str">
        <f t="shared" ca="1" si="156"/>
        <v>RFR USD</v>
      </c>
      <c r="E2055" t="str">
        <f t="shared" ca="1" si="157"/>
        <v>RFR EUR</v>
      </c>
      <c r="F2055" t="str">
        <f t="shared" ca="1" si="158"/>
        <v>RFR GBP</v>
      </c>
      <c r="J2055" s="1"/>
      <c r="N2055" s="1"/>
      <c r="R2055" s="1"/>
      <c r="V2055" s="1"/>
      <c r="AB2055" s="1"/>
      <c r="AF2055" s="1"/>
      <c r="AJ2055" s="1"/>
      <c r="AN2055" s="1"/>
      <c r="AS2055" s="1"/>
      <c r="AX2055" s="1"/>
    </row>
    <row r="2056" spans="1:50" x14ac:dyDescent="0.3">
      <c r="A2056" s="19">
        <f t="shared" si="159"/>
        <v>48793</v>
      </c>
      <c r="B2056">
        <f t="shared" ca="1" si="155"/>
        <v>-7.3361111111111112</v>
      </c>
      <c r="C2056" t="str">
        <f ca="1">IF(currency="USD",'Future et co'!D2056,IF(currency="EUR",'Future et co'!E2056,IF(currency="GBP",'Future et co'!F2056,FALSE)))</f>
        <v>RFR USD</v>
      </c>
      <c r="D2056" t="str">
        <f t="shared" ca="1" si="156"/>
        <v>RFR USD</v>
      </c>
      <c r="E2056" t="str">
        <f t="shared" ca="1" si="157"/>
        <v>RFR EUR</v>
      </c>
      <c r="F2056" t="str">
        <f t="shared" ca="1" si="158"/>
        <v>RFR GBP</v>
      </c>
      <c r="J2056" s="1"/>
      <c r="N2056" s="1"/>
      <c r="R2056" s="1"/>
      <c r="V2056" s="1"/>
      <c r="AB2056" s="1"/>
      <c r="AF2056" s="1"/>
      <c r="AJ2056" s="1"/>
      <c r="AN2056" s="1"/>
      <c r="AS2056" s="1"/>
      <c r="AX2056" s="1"/>
    </row>
    <row r="2057" spans="1:50" x14ac:dyDescent="0.3">
      <c r="A2057" s="19">
        <f t="shared" si="159"/>
        <v>48794</v>
      </c>
      <c r="B2057">
        <f t="shared" ca="1" si="155"/>
        <v>-7.3388888888888886</v>
      </c>
      <c r="C2057" t="str">
        <f ca="1">IF(currency="USD",'Future et co'!D2057,IF(currency="EUR",'Future et co'!E2057,IF(currency="GBP",'Future et co'!F2057,FALSE)))</f>
        <v>RFR USD</v>
      </c>
      <c r="D2057" t="str">
        <f t="shared" ca="1" si="156"/>
        <v>RFR USD</v>
      </c>
      <c r="E2057" t="str">
        <f t="shared" ca="1" si="157"/>
        <v>RFR EUR</v>
      </c>
      <c r="F2057" t="str">
        <f t="shared" ca="1" si="158"/>
        <v>RFR GBP</v>
      </c>
      <c r="J2057" s="1"/>
      <c r="N2057" s="1"/>
      <c r="R2057" s="1"/>
      <c r="V2057" s="1"/>
      <c r="AB2057" s="1"/>
      <c r="AF2057" s="1"/>
      <c r="AJ2057" s="1"/>
      <c r="AN2057" s="1"/>
      <c r="AS2057" s="1"/>
      <c r="AX2057" s="1"/>
    </row>
    <row r="2058" spans="1:50" x14ac:dyDescent="0.3">
      <c r="A2058" s="19">
        <f t="shared" si="159"/>
        <v>48795</v>
      </c>
      <c r="B2058">
        <f t="shared" ca="1" si="155"/>
        <v>-7.3416666666666668</v>
      </c>
      <c r="C2058" t="str">
        <f ca="1">IF(currency="USD",'Future et co'!D2058,IF(currency="EUR",'Future et co'!E2058,IF(currency="GBP",'Future et co'!F2058,FALSE)))</f>
        <v>RFR USD</v>
      </c>
      <c r="D2058" t="str">
        <f t="shared" ca="1" si="156"/>
        <v>RFR USD</v>
      </c>
      <c r="E2058" t="str">
        <f t="shared" ca="1" si="157"/>
        <v>RFR EUR</v>
      </c>
      <c r="F2058" t="str">
        <f t="shared" ca="1" si="158"/>
        <v>RFR GBP</v>
      </c>
      <c r="J2058" s="1"/>
      <c r="N2058" s="1"/>
      <c r="R2058" s="1"/>
      <c r="V2058" s="1"/>
      <c r="AB2058" s="1"/>
      <c r="AF2058" s="1"/>
      <c r="AJ2058" s="1"/>
      <c r="AN2058" s="1"/>
      <c r="AS2058" s="1"/>
      <c r="AX2058" s="1"/>
    </row>
    <row r="2059" spans="1:50" x14ac:dyDescent="0.3">
      <c r="A2059" s="19">
        <f t="shared" si="159"/>
        <v>48796</v>
      </c>
      <c r="B2059">
        <f t="shared" ref="B2059:B2122" ca="1" si="160">($B$7-A2059)/360</f>
        <v>-7.3444444444444441</v>
      </c>
      <c r="C2059" t="str">
        <f ca="1">IF(currency="USD",'Future et co'!D2059,IF(currency="EUR",'Future et co'!E2059,IF(currency="GBP",'Future et co'!F2059,FALSE)))</f>
        <v>RFR USD</v>
      </c>
      <c r="D2059" t="str">
        <f t="shared" ref="D2059:D2122" ca="1" si="161">IFERROR(IF(B2059&lt;0.25,VLOOKUP(A2059,$J$11:$L$5325,3,FALSE),IF(AND(B2059&gt;=0.25,B2059&lt;0.5),VLOOKUP(A2059,$N$11:$P$5325,3,FALSE),IF(AND(B2059&gt;=0.5,B2059&lt;1),VLOOKUP(A2059,$R$11:$T$5325,3,FALSE),VLOOKUP(A2059,$V$11:$X$5010,3,FALSE)))),D2058)</f>
        <v>RFR USD</v>
      </c>
      <c r="E2059" t="str">
        <f t="shared" ref="E2059:E2122" ca="1" si="162">IFERROR(IF(B2059&lt;0.25,VLOOKUP(A2059,$AF$11:$AH$5325,3,FALSE),IF(AND(B2059&gt;=0.25,B2059&lt;0.5),VLOOKUP(A2059,$AJ$11:$AL$5325,3,FALSE),VLOOKUP(A2059,$AN$11:$AP$5325,3,FALSE))),E2058)</f>
        <v>RFR EUR</v>
      </c>
      <c r="F2059" t="str">
        <f t="shared" ref="F2059:F2122" ca="1" si="163">IFERROR(VLOOKUP(A2059,$AS$11:$AU$9999,3,FALSE),F2058)</f>
        <v>RFR GBP</v>
      </c>
      <c r="J2059" s="1"/>
      <c r="N2059" s="1"/>
      <c r="R2059" s="1"/>
      <c r="V2059" s="1"/>
      <c r="AB2059" s="1"/>
      <c r="AF2059" s="1"/>
      <c r="AJ2059" s="1"/>
      <c r="AN2059" s="1"/>
      <c r="AS2059" s="1"/>
      <c r="AX2059" s="1"/>
    </row>
    <row r="2060" spans="1:50" x14ac:dyDescent="0.3">
      <c r="A2060" s="19">
        <f t="shared" si="159"/>
        <v>48799</v>
      </c>
      <c r="B2060">
        <f t="shared" ca="1" si="160"/>
        <v>-7.3527777777777779</v>
      </c>
      <c r="C2060" t="str">
        <f ca="1">IF(currency="USD",'Future et co'!D2060,IF(currency="EUR",'Future et co'!E2060,IF(currency="GBP",'Future et co'!F2060,FALSE)))</f>
        <v>RFR USD</v>
      </c>
      <c r="D2060" t="str">
        <f t="shared" ca="1" si="161"/>
        <v>RFR USD</v>
      </c>
      <c r="E2060" t="str">
        <f t="shared" ca="1" si="162"/>
        <v>RFR EUR</v>
      </c>
      <c r="F2060" t="str">
        <f t="shared" ca="1" si="163"/>
        <v>RFR GBP</v>
      </c>
      <c r="J2060" s="1"/>
      <c r="N2060" s="1"/>
      <c r="R2060" s="1"/>
      <c r="V2060" s="1"/>
      <c r="AB2060" s="1"/>
      <c r="AF2060" s="1"/>
      <c r="AJ2060" s="1"/>
      <c r="AN2060" s="1"/>
      <c r="AS2060" s="1"/>
      <c r="AX2060" s="1"/>
    </row>
    <row r="2061" spans="1:50" x14ac:dyDescent="0.3">
      <c r="A2061" s="19">
        <f t="shared" ref="A2061:A2124" si="164">WORKDAY(A2060,1)</f>
        <v>48800</v>
      </c>
      <c r="B2061">
        <f t="shared" ca="1" si="160"/>
        <v>-7.3555555555555552</v>
      </c>
      <c r="C2061" t="str">
        <f ca="1">IF(currency="USD",'Future et co'!D2061,IF(currency="EUR",'Future et co'!E2061,IF(currency="GBP",'Future et co'!F2061,FALSE)))</f>
        <v>RFR USD</v>
      </c>
      <c r="D2061" t="str">
        <f t="shared" ca="1" si="161"/>
        <v>RFR USD</v>
      </c>
      <c r="E2061" t="str">
        <f t="shared" ca="1" si="162"/>
        <v>RFR EUR</v>
      </c>
      <c r="F2061" t="str">
        <f t="shared" ca="1" si="163"/>
        <v>RFR GBP</v>
      </c>
      <c r="J2061" s="1"/>
      <c r="N2061" s="1"/>
      <c r="R2061" s="1"/>
      <c r="V2061" s="1"/>
      <c r="AB2061" s="1"/>
      <c r="AF2061" s="1"/>
      <c r="AJ2061" s="1"/>
      <c r="AN2061" s="1"/>
      <c r="AS2061" s="1"/>
      <c r="AX2061" s="1"/>
    </row>
    <row r="2062" spans="1:50" x14ac:dyDescent="0.3">
      <c r="A2062" s="19">
        <f t="shared" si="164"/>
        <v>48801</v>
      </c>
      <c r="B2062">
        <f t="shared" ca="1" si="160"/>
        <v>-7.3583333333333334</v>
      </c>
      <c r="C2062" t="str">
        <f ca="1">IF(currency="USD",'Future et co'!D2062,IF(currency="EUR",'Future et co'!E2062,IF(currency="GBP",'Future et co'!F2062,FALSE)))</f>
        <v>RFR USD</v>
      </c>
      <c r="D2062" t="str">
        <f t="shared" ca="1" si="161"/>
        <v>RFR USD</v>
      </c>
      <c r="E2062" t="str">
        <f t="shared" ca="1" si="162"/>
        <v>RFR EUR</v>
      </c>
      <c r="F2062" t="str">
        <f t="shared" ca="1" si="163"/>
        <v>RFR GBP</v>
      </c>
      <c r="J2062" s="1"/>
      <c r="N2062" s="1"/>
      <c r="R2062" s="1"/>
      <c r="V2062" s="1"/>
      <c r="AB2062" s="1"/>
      <c r="AF2062" s="1"/>
      <c r="AJ2062" s="1"/>
      <c r="AN2062" s="1"/>
      <c r="AS2062" s="1"/>
      <c r="AX2062" s="1"/>
    </row>
    <row r="2063" spans="1:50" x14ac:dyDescent="0.3">
      <c r="A2063" s="19">
        <f t="shared" si="164"/>
        <v>48802</v>
      </c>
      <c r="B2063">
        <f t="shared" ca="1" si="160"/>
        <v>-7.3611111111111107</v>
      </c>
      <c r="C2063" t="str">
        <f ca="1">IF(currency="USD",'Future et co'!D2063,IF(currency="EUR",'Future et co'!E2063,IF(currency="GBP",'Future et co'!F2063,FALSE)))</f>
        <v>RFR USD</v>
      </c>
      <c r="D2063" t="str">
        <f t="shared" ca="1" si="161"/>
        <v>RFR USD</v>
      </c>
      <c r="E2063" t="str">
        <f t="shared" ca="1" si="162"/>
        <v>RFR EUR</v>
      </c>
      <c r="F2063" t="str">
        <f t="shared" ca="1" si="163"/>
        <v>RFR GBP</v>
      </c>
      <c r="J2063" s="1"/>
      <c r="N2063" s="1"/>
      <c r="R2063" s="1"/>
      <c r="V2063" s="1"/>
      <c r="AB2063" s="1"/>
      <c r="AF2063" s="1"/>
      <c r="AJ2063" s="1"/>
      <c r="AN2063" s="1"/>
      <c r="AS2063" s="1"/>
      <c r="AX2063" s="1"/>
    </row>
    <row r="2064" spans="1:50" x14ac:dyDescent="0.3">
      <c r="A2064" s="19">
        <f t="shared" si="164"/>
        <v>48803</v>
      </c>
      <c r="B2064">
        <f t="shared" ca="1" si="160"/>
        <v>-7.3638888888888889</v>
      </c>
      <c r="C2064" t="str">
        <f ca="1">IF(currency="USD",'Future et co'!D2064,IF(currency="EUR",'Future et co'!E2064,IF(currency="GBP",'Future et co'!F2064,FALSE)))</f>
        <v>RFR USD</v>
      </c>
      <c r="D2064" t="str">
        <f t="shared" ca="1" si="161"/>
        <v>RFR USD</v>
      </c>
      <c r="E2064" t="str">
        <f t="shared" ca="1" si="162"/>
        <v>RFR EUR</v>
      </c>
      <c r="F2064" t="str">
        <f t="shared" ca="1" si="163"/>
        <v>RFR GBP</v>
      </c>
      <c r="J2064" s="1"/>
      <c r="N2064" s="1"/>
      <c r="R2064" s="1"/>
      <c r="V2064" s="1"/>
      <c r="AB2064" s="1"/>
      <c r="AF2064" s="1"/>
      <c r="AJ2064" s="1"/>
      <c r="AN2064" s="1"/>
      <c r="AS2064" s="1"/>
      <c r="AX2064" s="1"/>
    </row>
    <row r="2065" spans="1:50" x14ac:dyDescent="0.3">
      <c r="A2065" s="19">
        <f t="shared" si="164"/>
        <v>48806</v>
      </c>
      <c r="B2065">
        <f t="shared" ca="1" si="160"/>
        <v>-7.3722222222222218</v>
      </c>
      <c r="C2065" t="str">
        <f ca="1">IF(currency="USD",'Future et co'!D2065,IF(currency="EUR",'Future et co'!E2065,IF(currency="GBP",'Future et co'!F2065,FALSE)))</f>
        <v>RFR USD</v>
      </c>
      <c r="D2065" t="str">
        <f t="shared" ca="1" si="161"/>
        <v>RFR USD</v>
      </c>
      <c r="E2065" t="str">
        <f t="shared" ca="1" si="162"/>
        <v>RFR EUR</v>
      </c>
      <c r="F2065" t="str">
        <f t="shared" ca="1" si="163"/>
        <v>RFR GBP</v>
      </c>
      <c r="J2065" s="1"/>
      <c r="N2065" s="1"/>
      <c r="R2065" s="1"/>
      <c r="V2065" s="1"/>
      <c r="AB2065" s="1"/>
      <c r="AF2065" s="1"/>
      <c r="AJ2065" s="1"/>
      <c r="AN2065" s="1"/>
      <c r="AS2065" s="1"/>
      <c r="AX2065" s="1"/>
    </row>
    <row r="2066" spans="1:50" x14ac:dyDescent="0.3">
      <c r="A2066" s="19">
        <f t="shared" si="164"/>
        <v>48807</v>
      </c>
      <c r="B2066">
        <f t="shared" ca="1" si="160"/>
        <v>-7.375</v>
      </c>
      <c r="C2066" t="str">
        <f ca="1">IF(currency="USD",'Future et co'!D2066,IF(currency="EUR",'Future et co'!E2066,IF(currency="GBP",'Future et co'!F2066,FALSE)))</f>
        <v>RFR USD</v>
      </c>
      <c r="D2066" t="str">
        <f t="shared" ca="1" si="161"/>
        <v>RFR USD</v>
      </c>
      <c r="E2066" t="str">
        <f t="shared" ca="1" si="162"/>
        <v>RFR EUR</v>
      </c>
      <c r="F2066" t="str">
        <f t="shared" ca="1" si="163"/>
        <v>RFR GBP</v>
      </c>
      <c r="J2066" s="1"/>
      <c r="N2066" s="1"/>
      <c r="R2066" s="1"/>
      <c r="V2066" s="1"/>
      <c r="AB2066" s="1"/>
      <c r="AF2066" s="1"/>
      <c r="AJ2066" s="1"/>
      <c r="AN2066" s="1"/>
      <c r="AS2066" s="1"/>
      <c r="AX2066" s="1"/>
    </row>
    <row r="2067" spans="1:50" x14ac:dyDescent="0.3">
      <c r="A2067" s="19">
        <f t="shared" si="164"/>
        <v>48808</v>
      </c>
      <c r="B2067">
        <f t="shared" ca="1" si="160"/>
        <v>-7.3777777777777782</v>
      </c>
      <c r="C2067" t="str">
        <f ca="1">IF(currency="USD",'Future et co'!D2067,IF(currency="EUR",'Future et co'!E2067,IF(currency="GBP",'Future et co'!F2067,FALSE)))</f>
        <v>RFR USD</v>
      </c>
      <c r="D2067" t="str">
        <f t="shared" ca="1" si="161"/>
        <v>RFR USD</v>
      </c>
      <c r="E2067" t="str">
        <f t="shared" ca="1" si="162"/>
        <v>RFR EUR</v>
      </c>
      <c r="F2067" t="str">
        <f t="shared" ca="1" si="163"/>
        <v>RFR GBP</v>
      </c>
      <c r="J2067" s="1"/>
      <c r="N2067" s="1"/>
      <c r="R2067" s="1"/>
      <c r="V2067" s="1"/>
      <c r="AB2067" s="1"/>
      <c r="AF2067" s="1"/>
      <c r="AJ2067" s="1"/>
      <c r="AN2067" s="1"/>
      <c r="AS2067" s="1"/>
      <c r="AX2067" s="1"/>
    </row>
    <row r="2068" spans="1:50" x14ac:dyDescent="0.3">
      <c r="A2068" s="19">
        <f t="shared" si="164"/>
        <v>48809</v>
      </c>
      <c r="B2068">
        <f t="shared" ca="1" si="160"/>
        <v>-7.3805555555555555</v>
      </c>
      <c r="C2068" t="str">
        <f ca="1">IF(currency="USD",'Future et co'!D2068,IF(currency="EUR",'Future et co'!E2068,IF(currency="GBP",'Future et co'!F2068,FALSE)))</f>
        <v>RFR USD</v>
      </c>
      <c r="D2068" t="str">
        <f t="shared" ca="1" si="161"/>
        <v>RFR USD</v>
      </c>
      <c r="E2068" t="str">
        <f t="shared" ca="1" si="162"/>
        <v>RFR EUR</v>
      </c>
      <c r="F2068" t="str">
        <f t="shared" ca="1" si="163"/>
        <v>RFR GBP</v>
      </c>
      <c r="J2068" s="1"/>
      <c r="N2068" s="1"/>
      <c r="R2068" s="1"/>
      <c r="V2068" s="1"/>
      <c r="AB2068" s="1"/>
      <c r="AF2068" s="1"/>
      <c r="AJ2068" s="1"/>
      <c r="AN2068" s="1"/>
      <c r="AS2068" s="1"/>
      <c r="AX2068" s="1"/>
    </row>
    <row r="2069" spans="1:50" x14ac:dyDescent="0.3">
      <c r="A2069" s="19">
        <f t="shared" si="164"/>
        <v>48810</v>
      </c>
      <c r="B2069">
        <f t="shared" ca="1" si="160"/>
        <v>-7.3833333333333337</v>
      </c>
      <c r="C2069" t="str">
        <f ca="1">IF(currency="USD",'Future et co'!D2069,IF(currency="EUR",'Future et co'!E2069,IF(currency="GBP",'Future et co'!F2069,FALSE)))</f>
        <v>RFR USD</v>
      </c>
      <c r="D2069" t="str">
        <f t="shared" ca="1" si="161"/>
        <v>RFR USD</v>
      </c>
      <c r="E2069" t="str">
        <f t="shared" ca="1" si="162"/>
        <v>RFR EUR</v>
      </c>
      <c r="F2069" t="str">
        <f t="shared" ca="1" si="163"/>
        <v>RFR GBP</v>
      </c>
      <c r="J2069" s="1"/>
      <c r="N2069" s="1"/>
      <c r="R2069" s="1"/>
      <c r="V2069" s="1"/>
      <c r="AB2069" s="1"/>
      <c r="AF2069" s="1"/>
      <c r="AJ2069" s="1"/>
      <c r="AN2069" s="1"/>
      <c r="AS2069" s="1"/>
      <c r="AX2069" s="1"/>
    </row>
    <row r="2070" spans="1:50" x14ac:dyDescent="0.3">
      <c r="A2070" s="19">
        <f t="shared" si="164"/>
        <v>48813</v>
      </c>
      <c r="B2070">
        <f t="shared" ca="1" si="160"/>
        <v>-7.3916666666666666</v>
      </c>
      <c r="C2070" t="str">
        <f ca="1">IF(currency="USD",'Future et co'!D2070,IF(currency="EUR",'Future et co'!E2070,IF(currency="GBP",'Future et co'!F2070,FALSE)))</f>
        <v>RFR USD</v>
      </c>
      <c r="D2070" t="str">
        <f t="shared" ca="1" si="161"/>
        <v>RFR USD</v>
      </c>
      <c r="E2070" t="str">
        <f t="shared" ca="1" si="162"/>
        <v>RFR EUR</v>
      </c>
      <c r="F2070" t="str">
        <f t="shared" ca="1" si="163"/>
        <v>RFR GBP</v>
      </c>
      <c r="J2070" s="1"/>
      <c r="N2070" s="1"/>
      <c r="R2070" s="1"/>
      <c r="V2070" s="1"/>
      <c r="AB2070" s="1"/>
      <c r="AF2070" s="1"/>
      <c r="AJ2070" s="1"/>
      <c r="AN2070" s="1"/>
      <c r="AS2070" s="1"/>
      <c r="AX2070" s="1"/>
    </row>
    <row r="2071" spans="1:50" x14ac:dyDescent="0.3">
      <c r="A2071" s="19">
        <f t="shared" si="164"/>
        <v>48814</v>
      </c>
      <c r="B2071">
        <f t="shared" ca="1" si="160"/>
        <v>-7.3944444444444448</v>
      </c>
      <c r="C2071" t="str">
        <f ca="1">IF(currency="USD",'Future et co'!D2071,IF(currency="EUR",'Future et co'!E2071,IF(currency="GBP",'Future et co'!F2071,FALSE)))</f>
        <v>RFR USD</v>
      </c>
      <c r="D2071" t="str">
        <f t="shared" ca="1" si="161"/>
        <v>RFR USD</v>
      </c>
      <c r="E2071" t="str">
        <f t="shared" ca="1" si="162"/>
        <v>RFR EUR</v>
      </c>
      <c r="F2071" t="str">
        <f t="shared" ca="1" si="163"/>
        <v>RFR GBP</v>
      </c>
      <c r="J2071" s="1"/>
      <c r="N2071" s="1"/>
      <c r="R2071" s="1"/>
      <c r="V2071" s="1"/>
      <c r="AB2071" s="1"/>
      <c r="AF2071" s="1"/>
      <c r="AJ2071" s="1"/>
      <c r="AN2071" s="1"/>
      <c r="AS2071" s="1"/>
      <c r="AX2071" s="1"/>
    </row>
    <row r="2072" spans="1:50" x14ac:dyDescent="0.3">
      <c r="A2072" s="19">
        <f t="shared" si="164"/>
        <v>48815</v>
      </c>
      <c r="B2072">
        <f t="shared" ca="1" si="160"/>
        <v>-7.3972222222222221</v>
      </c>
      <c r="C2072" t="str">
        <f ca="1">IF(currency="USD",'Future et co'!D2072,IF(currency="EUR",'Future et co'!E2072,IF(currency="GBP",'Future et co'!F2072,FALSE)))</f>
        <v>RFR USD</v>
      </c>
      <c r="D2072" t="str">
        <f t="shared" ca="1" si="161"/>
        <v>RFR USD</v>
      </c>
      <c r="E2072" t="str">
        <f t="shared" ca="1" si="162"/>
        <v>RFR EUR</v>
      </c>
      <c r="F2072" t="str">
        <f t="shared" ca="1" si="163"/>
        <v>RFR GBP</v>
      </c>
      <c r="J2072" s="1"/>
      <c r="N2072" s="1"/>
      <c r="R2072" s="1"/>
      <c r="V2072" s="1"/>
      <c r="AB2072" s="1"/>
      <c r="AF2072" s="1"/>
      <c r="AJ2072" s="1"/>
      <c r="AN2072" s="1"/>
      <c r="AS2072" s="1"/>
      <c r="AX2072" s="1"/>
    </row>
    <row r="2073" spans="1:50" x14ac:dyDescent="0.3">
      <c r="A2073" s="19">
        <f t="shared" si="164"/>
        <v>48816</v>
      </c>
      <c r="B2073">
        <f t="shared" ca="1" si="160"/>
        <v>-7.4</v>
      </c>
      <c r="C2073" t="str">
        <f ca="1">IF(currency="USD",'Future et co'!D2073,IF(currency="EUR",'Future et co'!E2073,IF(currency="GBP",'Future et co'!F2073,FALSE)))</f>
        <v>RFR USD</v>
      </c>
      <c r="D2073" t="str">
        <f t="shared" ca="1" si="161"/>
        <v>RFR USD</v>
      </c>
      <c r="E2073" t="str">
        <f t="shared" ca="1" si="162"/>
        <v>RFR EUR</v>
      </c>
      <c r="F2073" t="str">
        <f t="shared" ca="1" si="163"/>
        <v>RFR GBP</v>
      </c>
      <c r="J2073" s="1"/>
      <c r="N2073" s="1"/>
      <c r="R2073" s="1"/>
      <c r="V2073" s="1"/>
      <c r="AB2073" s="1"/>
      <c r="AF2073" s="1"/>
      <c r="AJ2073" s="1"/>
      <c r="AN2073" s="1"/>
      <c r="AS2073" s="1"/>
      <c r="AX2073" s="1"/>
    </row>
    <row r="2074" spans="1:50" x14ac:dyDescent="0.3">
      <c r="A2074" s="19">
        <f t="shared" si="164"/>
        <v>48817</v>
      </c>
      <c r="B2074">
        <f t="shared" ca="1" si="160"/>
        <v>-7.4027777777777777</v>
      </c>
      <c r="C2074" t="str">
        <f ca="1">IF(currency="USD",'Future et co'!D2074,IF(currency="EUR",'Future et co'!E2074,IF(currency="GBP",'Future et co'!F2074,FALSE)))</f>
        <v>RFR USD</v>
      </c>
      <c r="D2074" t="str">
        <f t="shared" ca="1" si="161"/>
        <v>RFR USD</v>
      </c>
      <c r="E2074" t="str">
        <f t="shared" ca="1" si="162"/>
        <v>RFR EUR</v>
      </c>
      <c r="F2074" t="str">
        <f t="shared" ca="1" si="163"/>
        <v>RFR GBP</v>
      </c>
      <c r="J2074" s="1"/>
      <c r="N2074" s="1"/>
      <c r="R2074" s="1"/>
      <c r="V2074" s="1"/>
      <c r="AB2074" s="1"/>
      <c r="AF2074" s="1"/>
      <c r="AJ2074" s="1"/>
      <c r="AN2074" s="1"/>
      <c r="AS2074" s="1"/>
      <c r="AX2074" s="1"/>
    </row>
    <row r="2075" spans="1:50" x14ac:dyDescent="0.3">
      <c r="A2075" s="19">
        <f t="shared" si="164"/>
        <v>48820</v>
      </c>
      <c r="B2075">
        <f t="shared" ca="1" si="160"/>
        <v>-7.4111111111111114</v>
      </c>
      <c r="C2075" t="str">
        <f ca="1">IF(currency="USD",'Future et co'!D2075,IF(currency="EUR",'Future et co'!E2075,IF(currency="GBP",'Future et co'!F2075,FALSE)))</f>
        <v>RFR USD</v>
      </c>
      <c r="D2075" t="str">
        <f t="shared" ca="1" si="161"/>
        <v>RFR USD</v>
      </c>
      <c r="E2075" t="str">
        <f t="shared" ca="1" si="162"/>
        <v>RFR EUR</v>
      </c>
      <c r="F2075" t="str">
        <f t="shared" ca="1" si="163"/>
        <v>RFR GBP</v>
      </c>
      <c r="J2075" s="1"/>
      <c r="N2075" s="1"/>
      <c r="R2075" s="1"/>
      <c r="V2075" s="1"/>
      <c r="AB2075" s="1"/>
      <c r="AF2075" s="1"/>
      <c r="AJ2075" s="1"/>
      <c r="AN2075" s="1"/>
      <c r="AS2075" s="1"/>
      <c r="AX2075" s="1"/>
    </row>
    <row r="2076" spans="1:50" x14ac:dyDescent="0.3">
      <c r="A2076" s="19">
        <f t="shared" si="164"/>
        <v>48821</v>
      </c>
      <c r="B2076">
        <f t="shared" ca="1" si="160"/>
        <v>-7.4138888888888888</v>
      </c>
      <c r="C2076" t="str">
        <f ca="1">IF(currency="USD",'Future et co'!D2076,IF(currency="EUR",'Future et co'!E2076,IF(currency="GBP",'Future et co'!F2076,FALSE)))</f>
        <v>RFR USD</v>
      </c>
      <c r="D2076" t="str">
        <f t="shared" ca="1" si="161"/>
        <v>RFR USD</v>
      </c>
      <c r="E2076" t="str">
        <f t="shared" ca="1" si="162"/>
        <v>RFR EUR</v>
      </c>
      <c r="F2076" t="str">
        <f t="shared" ca="1" si="163"/>
        <v>RFR GBP</v>
      </c>
      <c r="J2076" s="1"/>
      <c r="N2076" s="1"/>
      <c r="R2076" s="1"/>
      <c r="V2076" s="1"/>
      <c r="AB2076" s="1"/>
      <c r="AF2076" s="1"/>
      <c r="AJ2076" s="1"/>
      <c r="AN2076" s="1"/>
      <c r="AS2076" s="1"/>
      <c r="AX2076" s="1"/>
    </row>
    <row r="2077" spans="1:50" x14ac:dyDescent="0.3">
      <c r="A2077" s="19">
        <f t="shared" si="164"/>
        <v>48822</v>
      </c>
      <c r="B2077">
        <f t="shared" ca="1" si="160"/>
        <v>-7.416666666666667</v>
      </c>
      <c r="C2077" t="str">
        <f ca="1">IF(currency="USD",'Future et co'!D2077,IF(currency="EUR",'Future et co'!E2077,IF(currency="GBP",'Future et co'!F2077,FALSE)))</f>
        <v>RFR USD</v>
      </c>
      <c r="D2077" t="str">
        <f t="shared" ca="1" si="161"/>
        <v>RFR USD</v>
      </c>
      <c r="E2077" t="str">
        <f t="shared" ca="1" si="162"/>
        <v>RFR EUR</v>
      </c>
      <c r="F2077" t="str">
        <f t="shared" ca="1" si="163"/>
        <v>RFR GBP</v>
      </c>
      <c r="J2077" s="1"/>
      <c r="N2077" s="1"/>
      <c r="R2077" s="1"/>
      <c r="V2077" s="1"/>
      <c r="AB2077" s="1"/>
      <c r="AF2077" s="1"/>
      <c r="AJ2077" s="1"/>
      <c r="AN2077" s="1"/>
      <c r="AS2077" s="1"/>
      <c r="AX2077" s="1"/>
    </row>
    <row r="2078" spans="1:50" x14ac:dyDescent="0.3">
      <c r="A2078" s="19">
        <f t="shared" si="164"/>
        <v>48823</v>
      </c>
      <c r="B2078">
        <f t="shared" ca="1" si="160"/>
        <v>-7.4194444444444443</v>
      </c>
      <c r="C2078" t="str">
        <f ca="1">IF(currency="USD",'Future et co'!D2078,IF(currency="EUR",'Future et co'!E2078,IF(currency="GBP",'Future et co'!F2078,FALSE)))</f>
        <v>RFR USD</v>
      </c>
      <c r="D2078" t="str">
        <f t="shared" ca="1" si="161"/>
        <v>RFR USD</v>
      </c>
      <c r="E2078" t="str">
        <f t="shared" ca="1" si="162"/>
        <v>RFR EUR</v>
      </c>
      <c r="F2078" t="str">
        <f t="shared" ca="1" si="163"/>
        <v>RFR GBP</v>
      </c>
      <c r="J2078" s="1"/>
      <c r="N2078" s="1"/>
      <c r="R2078" s="1"/>
      <c r="V2078" s="1"/>
      <c r="AB2078" s="1"/>
      <c r="AF2078" s="1"/>
      <c r="AJ2078" s="1"/>
      <c r="AN2078" s="1"/>
      <c r="AS2078" s="1"/>
      <c r="AX2078" s="1"/>
    </row>
    <row r="2079" spans="1:50" x14ac:dyDescent="0.3">
      <c r="A2079" s="19">
        <f t="shared" si="164"/>
        <v>48824</v>
      </c>
      <c r="B2079">
        <f t="shared" ca="1" si="160"/>
        <v>-7.4222222222222225</v>
      </c>
      <c r="C2079" t="str">
        <f ca="1">IF(currency="USD",'Future et co'!D2079,IF(currency="EUR",'Future et co'!E2079,IF(currency="GBP",'Future et co'!F2079,FALSE)))</f>
        <v>RFR USD</v>
      </c>
      <c r="D2079" t="str">
        <f t="shared" ca="1" si="161"/>
        <v>RFR USD</v>
      </c>
      <c r="E2079" t="str">
        <f t="shared" ca="1" si="162"/>
        <v>RFR EUR</v>
      </c>
      <c r="F2079" t="str">
        <f t="shared" ca="1" si="163"/>
        <v>RFR GBP</v>
      </c>
      <c r="J2079" s="1"/>
      <c r="N2079" s="1"/>
      <c r="R2079" s="1"/>
      <c r="V2079" s="1"/>
      <c r="AB2079" s="1"/>
      <c r="AF2079" s="1"/>
      <c r="AJ2079" s="1"/>
      <c r="AN2079" s="1"/>
      <c r="AS2079" s="1"/>
      <c r="AX2079" s="1"/>
    </row>
    <row r="2080" spans="1:50" x14ac:dyDescent="0.3">
      <c r="A2080" s="19">
        <f t="shared" si="164"/>
        <v>48827</v>
      </c>
      <c r="B2080">
        <f t="shared" ca="1" si="160"/>
        <v>-7.4305555555555554</v>
      </c>
      <c r="C2080" t="str">
        <f ca="1">IF(currency="USD",'Future et co'!D2080,IF(currency="EUR",'Future et co'!E2080,IF(currency="GBP",'Future et co'!F2080,FALSE)))</f>
        <v>RFR USD</v>
      </c>
      <c r="D2080" t="str">
        <f t="shared" ca="1" si="161"/>
        <v>RFR USD</v>
      </c>
      <c r="E2080" t="str">
        <f t="shared" ca="1" si="162"/>
        <v>RFR EUR</v>
      </c>
      <c r="F2080" t="str">
        <f t="shared" ca="1" si="163"/>
        <v>RFR GBP</v>
      </c>
      <c r="J2080" s="1"/>
      <c r="N2080" s="1"/>
      <c r="R2080" s="1"/>
      <c r="V2080" s="1"/>
      <c r="AB2080" s="1"/>
      <c r="AF2080" s="1"/>
      <c r="AJ2080" s="1"/>
      <c r="AN2080" s="1"/>
      <c r="AS2080" s="1"/>
      <c r="AX2080" s="1"/>
    </row>
    <row r="2081" spans="1:50" x14ac:dyDescent="0.3">
      <c r="A2081" s="19">
        <f t="shared" si="164"/>
        <v>48828</v>
      </c>
      <c r="B2081">
        <f t="shared" ca="1" si="160"/>
        <v>-7.4333333333333336</v>
      </c>
      <c r="C2081" t="str">
        <f ca="1">IF(currency="USD",'Future et co'!D2081,IF(currency="EUR",'Future et co'!E2081,IF(currency="GBP",'Future et co'!F2081,FALSE)))</f>
        <v>RFR USD</v>
      </c>
      <c r="D2081" t="str">
        <f t="shared" ca="1" si="161"/>
        <v>RFR USD</v>
      </c>
      <c r="E2081" t="str">
        <f t="shared" ca="1" si="162"/>
        <v>RFR EUR</v>
      </c>
      <c r="F2081" t="str">
        <f t="shared" ca="1" si="163"/>
        <v>RFR GBP</v>
      </c>
      <c r="J2081" s="1"/>
      <c r="N2081" s="1"/>
      <c r="R2081" s="1"/>
      <c r="V2081" s="1"/>
      <c r="AB2081" s="1"/>
      <c r="AF2081" s="1"/>
      <c r="AJ2081" s="1"/>
      <c r="AN2081" s="1"/>
      <c r="AS2081" s="1"/>
      <c r="AX2081" s="1"/>
    </row>
    <row r="2082" spans="1:50" x14ac:dyDescent="0.3">
      <c r="A2082" s="19">
        <f t="shared" si="164"/>
        <v>48829</v>
      </c>
      <c r="B2082">
        <f t="shared" ca="1" si="160"/>
        <v>-7.4361111111111109</v>
      </c>
      <c r="C2082" t="str">
        <f ca="1">IF(currency="USD",'Future et co'!D2082,IF(currency="EUR",'Future et co'!E2082,IF(currency="GBP",'Future et co'!F2082,FALSE)))</f>
        <v>RFR USD</v>
      </c>
      <c r="D2082" t="str">
        <f t="shared" ca="1" si="161"/>
        <v>RFR USD</v>
      </c>
      <c r="E2082" t="str">
        <f t="shared" ca="1" si="162"/>
        <v>RFR EUR</v>
      </c>
      <c r="F2082" t="str">
        <f t="shared" ca="1" si="163"/>
        <v>RFR GBP</v>
      </c>
      <c r="J2082" s="1"/>
      <c r="N2082" s="1"/>
      <c r="R2082" s="1"/>
      <c r="V2082" s="1"/>
      <c r="AB2082" s="1"/>
      <c r="AF2082" s="1"/>
      <c r="AJ2082" s="1"/>
      <c r="AN2082" s="1"/>
      <c r="AS2082" s="1"/>
      <c r="AX2082" s="1"/>
    </row>
    <row r="2083" spans="1:50" x14ac:dyDescent="0.3">
      <c r="A2083" s="19">
        <f t="shared" si="164"/>
        <v>48830</v>
      </c>
      <c r="B2083">
        <f t="shared" ca="1" si="160"/>
        <v>-7.4388888888888891</v>
      </c>
      <c r="C2083" t="str">
        <f ca="1">IF(currency="USD",'Future et co'!D2083,IF(currency="EUR",'Future et co'!E2083,IF(currency="GBP",'Future et co'!F2083,FALSE)))</f>
        <v>RFR USD</v>
      </c>
      <c r="D2083" t="str">
        <f t="shared" ca="1" si="161"/>
        <v>RFR USD</v>
      </c>
      <c r="E2083" t="str">
        <f t="shared" ca="1" si="162"/>
        <v>RFR EUR</v>
      </c>
      <c r="F2083" t="str">
        <f t="shared" ca="1" si="163"/>
        <v>RFR GBP</v>
      </c>
      <c r="J2083" s="1"/>
      <c r="N2083" s="1"/>
      <c r="R2083" s="1"/>
      <c r="V2083" s="1"/>
      <c r="AB2083" s="1"/>
      <c r="AF2083" s="1"/>
      <c r="AJ2083" s="1"/>
      <c r="AN2083" s="1"/>
      <c r="AS2083" s="1"/>
      <c r="AX2083" s="1"/>
    </row>
    <row r="2084" spans="1:50" x14ac:dyDescent="0.3">
      <c r="A2084" s="19">
        <f t="shared" si="164"/>
        <v>48831</v>
      </c>
      <c r="B2084">
        <f t="shared" ca="1" si="160"/>
        <v>-7.4416666666666664</v>
      </c>
      <c r="C2084" t="str">
        <f ca="1">IF(currency="USD",'Future et co'!D2084,IF(currency="EUR",'Future et co'!E2084,IF(currency="GBP",'Future et co'!F2084,FALSE)))</f>
        <v>RFR USD</v>
      </c>
      <c r="D2084" t="str">
        <f t="shared" ca="1" si="161"/>
        <v>RFR USD</v>
      </c>
      <c r="E2084" t="str">
        <f t="shared" ca="1" si="162"/>
        <v>RFR EUR</v>
      </c>
      <c r="F2084" t="str">
        <f t="shared" ca="1" si="163"/>
        <v>RFR GBP</v>
      </c>
      <c r="J2084" s="1"/>
      <c r="N2084" s="1"/>
      <c r="R2084" s="1"/>
      <c r="V2084" s="1"/>
      <c r="AB2084" s="1"/>
      <c r="AF2084" s="1"/>
      <c r="AJ2084" s="1"/>
      <c r="AN2084" s="1"/>
      <c r="AS2084" s="1"/>
      <c r="AX2084" s="1"/>
    </row>
    <row r="2085" spans="1:50" x14ac:dyDescent="0.3">
      <c r="A2085" s="19">
        <f t="shared" si="164"/>
        <v>48834</v>
      </c>
      <c r="B2085">
        <f t="shared" ca="1" si="160"/>
        <v>-7.45</v>
      </c>
      <c r="C2085" t="str">
        <f ca="1">IF(currency="USD",'Future et co'!D2085,IF(currency="EUR",'Future et co'!E2085,IF(currency="GBP",'Future et co'!F2085,FALSE)))</f>
        <v>RFR USD</v>
      </c>
      <c r="D2085" t="str">
        <f t="shared" ca="1" si="161"/>
        <v>RFR USD</v>
      </c>
      <c r="E2085" t="str">
        <f t="shared" ca="1" si="162"/>
        <v>RFR EUR</v>
      </c>
      <c r="F2085" t="str">
        <f t="shared" ca="1" si="163"/>
        <v>RFR GBP</v>
      </c>
      <c r="J2085" s="1"/>
      <c r="N2085" s="1"/>
      <c r="R2085" s="1"/>
      <c r="V2085" s="1"/>
      <c r="AB2085" s="1"/>
      <c r="AF2085" s="1"/>
      <c r="AJ2085" s="1"/>
      <c r="AN2085" s="1"/>
      <c r="AS2085" s="1"/>
      <c r="AX2085" s="1"/>
    </row>
    <row r="2086" spans="1:50" x14ac:dyDescent="0.3">
      <c r="A2086" s="19">
        <f t="shared" si="164"/>
        <v>48835</v>
      </c>
      <c r="B2086">
        <f t="shared" ca="1" si="160"/>
        <v>-7.4527777777777775</v>
      </c>
      <c r="C2086" t="str">
        <f ca="1">IF(currency="USD",'Future et co'!D2086,IF(currency="EUR",'Future et co'!E2086,IF(currency="GBP",'Future et co'!F2086,FALSE)))</f>
        <v>RFR USD</v>
      </c>
      <c r="D2086" t="str">
        <f t="shared" ca="1" si="161"/>
        <v>RFR USD</v>
      </c>
      <c r="E2086" t="str">
        <f t="shared" ca="1" si="162"/>
        <v>RFR EUR</v>
      </c>
      <c r="F2086" t="str">
        <f t="shared" ca="1" si="163"/>
        <v>RFR GBP</v>
      </c>
      <c r="J2086" s="1"/>
      <c r="N2086" s="1"/>
      <c r="R2086" s="1"/>
      <c r="V2086" s="1"/>
      <c r="AB2086" s="1"/>
      <c r="AF2086" s="1"/>
      <c r="AJ2086" s="1"/>
      <c r="AN2086" s="1"/>
      <c r="AS2086" s="1"/>
      <c r="AX2086" s="1"/>
    </row>
    <row r="2087" spans="1:50" x14ac:dyDescent="0.3">
      <c r="A2087" s="19">
        <f t="shared" si="164"/>
        <v>48836</v>
      </c>
      <c r="B2087">
        <f t="shared" ca="1" si="160"/>
        <v>-7.4555555555555557</v>
      </c>
      <c r="C2087" t="str">
        <f ca="1">IF(currency="USD",'Future et co'!D2087,IF(currency="EUR",'Future et co'!E2087,IF(currency="GBP",'Future et co'!F2087,FALSE)))</f>
        <v>RFR USD</v>
      </c>
      <c r="D2087" t="str">
        <f t="shared" ca="1" si="161"/>
        <v>RFR USD</v>
      </c>
      <c r="E2087" t="str">
        <f t="shared" ca="1" si="162"/>
        <v>RFR EUR</v>
      </c>
      <c r="F2087" t="str">
        <f t="shared" ca="1" si="163"/>
        <v>RFR GBP</v>
      </c>
      <c r="J2087" s="1"/>
      <c r="N2087" s="1"/>
      <c r="R2087" s="1"/>
      <c r="V2087" s="1"/>
      <c r="AB2087" s="1"/>
      <c r="AF2087" s="1"/>
      <c r="AJ2087" s="1"/>
      <c r="AN2087" s="1"/>
      <c r="AS2087" s="1"/>
      <c r="AX2087" s="1"/>
    </row>
    <row r="2088" spans="1:50" x14ac:dyDescent="0.3">
      <c r="A2088" s="19">
        <f t="shared" si="164"/>
        <v>48837</v>
      </c>
      <c r="B2088">
        <f t="shared" ca="1" si="160"/>
        <v>-7.458333333333333</v>
      </c>
      <c r="C2088" t="str">
        <f ca="1">IF(currency="USD",'Future et co'!D2088,IF(currency="EUR",'Future et co'!E2088,IF(currency="GBP",'Future et co'!F2088,FALSE)))</f>
        <v>RFR USD</v>
      </c>
      <c r="D2088" t="str">
        <f t="shared" ca="1" si="161"/>
        <v>RFR USD</v>
      </c>
      <c r="E2088" t="str">
        <f t="shared" ca="1" si="162"/>
        <v>RFR EUR</v>
      </c>
      <c r="F2088" t="str">
        <f t="shared" ca="1" si="163"/>
        <v>RFR GBP</v>
      </c>
      <c r="J2088" s="1"/>
      <c r="N2088" s="1"/>
      <c r="R2088" s="1"/>
      <c r="V2088" s="1"/>
      <c r="AB2088" s="1"/>
      <c r="AF2088" s="1"/>
      <c r="AJ2088" s="1"/>
      <c r="AN2088" s="1"/>
      <c r="AS2088" s="1"/>
      <c r="AX2088" s="1"/>
    </row>
    <row r="2089" spans="1:50" x14ac:dyDescent="0.3">
      <c r="A2089" s="19">
        <f t="shared" si="164"/>
        <v>48838</v>
      </c>
      <c r="B2089">
        <f t="shared" ca="1" si="160"/>
        <v>-7.4611111111111112</v>
      </c>
      <c r="C2089" t="str">
        <f ca="1">IF(currency="USD",'Future et co'!D2089,IF(currency="EUR",'Future et co'!E2089,IF(currency="GBP",'Future et co'!F2089,FALSE)))</f>
        <v>RFR USD</v>
      </c>
      <c r="D2089" t="str">
        <f t="shared" ca="1" si="161"/>
        <v>RFR USD</v>
      </c>
      <c r="E2089" t="str">
        <f t="shared" ca="1" si="162"/>
        <v>RFR EUR</v>
      </c>
      <c r="F2089" t="str">
        <f t="shared" ca="1" si="163"/>
        <v>RFR GBP</v>
      </c>
      <c r="J2089" s="1"/>
      <c r="N2089" s="1"/>
      <c r="R2089" s="1"/>
      <c r="V2089" s="1"/>
      <c r="AB2089" s="1"/>
      <c r="AF2089" s="1"/>
      <c r="AJ2089" s="1"/>
      <c r="AN2089" s="1"/>
      <c r="AS2089" s="1"/>
      <c r="AX2089" s="1"/>
    </row>
    <row r="2090" spans="1:50" x14ac:dyDescent="0.3">
      <c r="A2090" s="19">
        <f t="shared" si="164"/>
        <v>48841</v>
      </c>
      <c r="B2090">
        <f t="shared" ca="1" si="160"/>
        <v>-7.4694444444444441</v>
      </c>
      <c r="C2090" t="str">
        <f ca="1">IF(currency="USD",'Future et co'!D2090,IF(currency="EUR",'Future et co'!E2090,IF(currency="GBP",'Future et co'!F2090,FALSE)))</f>
        <v>RFR USD</v>
      </c>
      <c r="D2090" t="str">
        <f t="shared" ca="1" si="161"/>
        <v>RFR USD</v>
      </c>
      <c r="E2090" t="str">
        <f t="shared" ca="1" si="162"/>
        <v>RFR EUR</v>
      </c>
      <c r="F2090" t="str">
        <f t="shared" ca="1" si="163"/>
        <v>RFR GBP</v>
      </c>
      <c r="J2090" s="1"/>
      <c r="N2090" s="1"/>
      <c r="R2090" s="1"/>
      <c r="V2090" s="1"/>
      <c r="AB2090" s="1"/>
      <c r="AF2090" s="1"/>
      <c r="AJ2090" s="1"/>
      <c r="AN2090" s="1"/>
      <c r="AS2090" s="1"/>
      <c r="AX2090" s="1"/>
    </row>
    <row r="2091" spans="1:50" x14ac:dyDescent="0.3">
      <c r="A2091" s="19">
        <f t="shared" si="164"/>
        <v>48842</v>
      </c>
      <c r="B2091">
        <f t="shared" ca="1" si="160"/>
        <v>-7.4722222222222223</v>
      </c>
      <c r="C2091" t="str">
        <f ca="1">IF(currency="USD",'Future et co'!D2091,IF(currency="EUR",'Future et co'!E2091,IF(currency="GBP",'Future et co'!F2091,FALSE)))</f>
        <v>RFR USD</v>
      </c>
      <c r="D2091" t="str">
        <f t="shared" ca="1" si="161"/>
        <v>RFR USD</v>
      </c>
      <c r="E2091" t="str">
        <f t="shared" ca="1" si="162"/>
        <v>RFR EUR</v>
      </c>
      <c r="F2091" t="str">
        <f t="shared" ca="1" si="163"/>
        <v>RFR GBP</v>
      </c>
      <c r="J2091" s="1"/>
      <c r="N2091" s="1"/>
      <c r="R2091" s="1"/>
      <c r="V2091" s="1"/>
      <c r="AB2091" s="1"/>
      <c r="AF2091" s="1"/>
      <c r="AJ2091" s="1"/>
      <c r="AN2091" s="1"/>
      <c r="AS2091" s="1"/>
      <c r="AX2091" s="1"/>
    </row>
    <row r="2092" spans="1:50" x14ac:dyDescent="0.3">
      <c r="A2092" s="19">
        <f t="shared" si="164"/>
        <v>48843</v>
      </c>
      <c r="B2092">
        <f t="shared" ca="1" si="160"/>
        <v>-7.4749999999999996</v>
      </c>
      <c r="C2092" t="str">
        <f ca="1">IF(currency="USD",'Future et co'!D2092,IF(currency="EUR",'Future et co'!E2092,IF(currency="GBP",'Future et co'!F2092,FALSE)))</f>
        <v>RFR USD</v>
      </c>
      <c r="D2092" t="str">
        <f t="shared" ca="1" si="161"/>
        <v>RFR USD</v>
      </c>
      <c r="E2092" t="str">
        <f t="shared" ca="1" si="162"/>
        <v>RFR EUR</v>
      </c>
      <c r="F2092" t="str">
        <f t="shared" ca="1" si="163"/>
        <v>RFR GBP</v>
      </c>
      <c r="J2092" s="1"/>
      <c r="N2092" s="1"/>
      <c r="R2092" s="1"/>
      <c r="V2092" s="1"/>
      <c r="AB2092" s="1"/>
      <c r="AF2092" s="1"/>
      <c r="AJ2092" s="1"/>
      <c r="AN2092" s="1"/>
      <c r="AS2092" s="1"/>
      <c r="AX2092" s="1"/>
    </row>
    <row r="2093" spans="1:50" x14ac:dyDescent="0.3">
      <c r="A2093" s="19">
        <f t="shared" si="164"/>
        <v>48844</v>
      </c>
      <c r="B2093">
        <f t="shared" ca="1" si="160"/>
        <v>-7.4777777777777779</v>
      </c>
      <c r="C2093" t="str">
        <f ca="1">IF(currency="USD",'Future et co'!D2093,IF(currency="EUR",'Future et co'!E2093,IF(currency="GBP",'Future et co'!F2093,FALSE)))</f>
        <v>RFR USD</v>
      </c>
      <c r="D2093" t="str">
        <f t="shared" ca="1" si="161"/>
        <v>RFR USD</v>
      </c>
      <c r="E2093" t="str">
        <f t="shared" ca="1" si="162"/>
        <v>RFR EUR</v>
      </c>
      <c r="F2093" t="str">
        <f t="shared" ca="1" si="163"/>
        <v>RFR GBP</v>
      </c>
      <c r="J2093" s="1"/>
      <c r="N2093" s="1"/>
      <c r="R2093" s="1"/>
      <c r="V2093" s="1"/>
      <c r="AB2093" s="1"/>
      <c r="AF2093" s="1"/>
      <c r="AJ2093" s="1"/>
      <c r="AN2093" s="1"/>
      <c r="AS2093" s="1"/>
      <c r="AX2093" s="1"/>
    </row>
    <row r="2094" spans="1:50" x14ac:dyDescent="0.3">
      <c r="A2094" s="19">
        <f t="shared" si="164"/>
        <v>48845</v>
      </c>
      <c r="B2094">
        <f t="shared" ca="1" si="160"/>
        <v>-7.4805555555555552</v>
      </c>
      <c r="C2094" t="str">
        <f ca="1">IF(currency="USD",'Future et co'!D2094,IF(currency="EUR",'Future et co'!E2094,IF(currency="GBP",'Future et co'!F2094,FALSE)))</f>
        <v>RFR USD</v>
      </c>
      <c r="D2094" t="str">
        <f t="shared" ca="1" si="161"/>
        <v>RFR USD</v>
      </c>
      <c r="E2094" t="str">
        <f t="shared" ca="1" si="162"/>
        <v>RFR EUR</v>
      </c>
      <c r="F2094" t="str">
        <f t="shared" ca="1" si="163"/>
        <v>RFR GBP</v>
      </c>
      <c r="J2094" s="1"/>
      <c r="N2094" s="1"/>
      <c r="R2094" s="1"/>
      <c r="V2094" s="1"/>
      <c r="AB2094" s="1"/>
      <c r="AF2094" s="1"/>
      <c r="AJ2094" s="1"/>
      <c r="AN2094" s="1"/>
      <c r="AS2094" s="1"/>
      <c r="AX2094" s="1"/>
    </row>
    <row r="2095" spans="1:50" x14ac:dyDescent="0.3">
      <c r="A2095" s="19">
        <f t="shared" si="164"/>
        <v>48848</v>
      </c>
      <c r="B2095">
        <f t="shared" ca="1" si="160"/>
        <v>-7.4888888888888889</v>
      </c>
      <c r="C2095" t="str">
        <f ca="1">IF(currency="USD",'Future et co'!D2095,IF(currency="EUR",'Future et co'!E2095,IF(currency="GBP",'Future et co'!F2095,FALSE)))</f>
        <v>RFR USD</v>
      </c>
      <c r="D2095" t="str">
        <f t="shared" ca="1" si="161"/>
        <v>RFR USD</v>
      </c>
      <c r="E2095" t="str">
        <f t="shared" ca="1" si="162"/>
        <v>RFR EUR</v>
      </c>
      <c r="F2095" t="str">
        <f t="shared" ca="1" si="163"/>
        <v>RFR GBP</v>
      </c>
      <c r="J2095" s="1"/>
      <c r="N2095" s="1"/>
      <c r="R2095" s="1"/>
      <c r="V2095" s="1"/>
      <c r="AB2095" s="1"/>
      <c r="AF2095" s="1"/>
      <c r="AJ2095" s="1"/>
      <c r="AN2095" s="1"/>
      <c r="AS2095" s="1"/>
      <c r="AX2095" s="1"/>
    </row>
    <row r="2096" spans="1:50" x14ac:dyDescent="0.3">
      <c r="A2096" s="19">
        <f t="shared" si="164"/>
        <v>48849</v>
      </c>
      <c r="B2096">
        <f t="shared" ca="1" si="160"/>
        <v>-7.4916666666666663</v>
      </c>
      <c r="C2096" t="str">
        <f ca="1">IF(currency="USD",'Future et co'!D2096,IF(currency="EUR",'Future et co'!E2096,IF(currency="GBP",'Future et co'!F2096,FALSE)))</f>
        <v>RFR USD</v>
      </c>
      <c r="D2096" t="str">
        <f t="shared" ca="1" si="161"/>
        <v>RFR USD</v>
      </c>
      <c r="E2096" t="str">
        <f t="shared" ca="1" si="162"/>
        <v>RFR EUR</v>
      </c>
      <c r="F2096" t="str">
        <f t="shared" ca="1" si="163"/>
        <v>RFR GBP</v>
      </c>
      <c r="J2096" s="1"/>
      <c r="N2096" s="1"/>
      <c r="R2096" s="1"/>
      <c r="V2096" s="1"/>
      <c r="AB2096" s="1"/>
      <c r="AF2096" s="1"/>
      <c r="AJ2096" s="1"/>
      <c r="AN2096" s="1"/>
      <c r="AS2096" s="1"/>
      <c r="AX2096" s="1"/>
    </row>
    <row r="2097" spans="1:50" x14ac:dyDescent="0.3">
      <c r="A2097" s="19">
        <f t="shared" si="164"/>
        <v>48850</v>
      </c>
      <c r="B2097">
        <f t="shared" ca="1" si="160"/>
        <v>-7.4944444444444445</v>
      </c>
      <c r="C2097" t="str">
        <f ca="1">IF(currency="USD",'Future et co'!D2097,IF(currency="EUR",'Future et co'!E2097,IF(currency="GBP",'Future et co'!F2097,FALSE)))</f>
        <v>RFR USD</v>
      </c>
      <c r="D2097" t="str">
        <f t="shared" ca="1" si="161"/>
        <v>RFR USD</v>
      </c>
      <c r="E2097" t="str">
        <f t="shared" ca="1" si="162"/>
        <v>RFR EUR</v>
      </c>
      <c r="F2097" t="str">
        <f t="shared" ca="1" si="163"/>
        <v>RFR GBP</v>
      </c>
      <c r="J2097" s="1"/>
      <c r="N2097" s="1"/>
      <c r="R2097" s="1"/>
      <c r="V2097" s="1"/>
      <c r="AB2097" s="1"/>
      <c r="AF2097" s="1"/>
      <c r="AJ2097" s="1"/>
      <c r="AN2097" s="1"/>
      <c r="AS2097" s="1"/>
      <c r="AX2097" s="1"/>
    </row>
    <row r="2098" spans="1:50" x14ac:dyDescent="0.3">
      <c r="A2098" s="19">
        <f t="shared" si="164"/>
        <v>48851</v>
      </c>
      <c r="B2098">
        <f t="shared" ca="1" si="160"/>
        <v>-7.4972222222222218</v>
      </c>
      <c r="C2098" t="str">
        <f ca="1">IF(currency="USD",'Future et co'!D2098,IF(currency="EUR",'Future et co'!E2098,IF(currency="GBP",'Future et co'!F2098,FALSE)))</f>
        <v>RFR USD</v>
      </c>
      <c r="D2098" t="str">
        <f t="shared" ca="1" si="161"/>
        <v>RFR USD</v>
      </c>
      <c r="E2098" t="str">
        <f t="shared" ca="1" si="162"/>
        <v>RFR EUR</v>
      </c>
      <c r="F2098" t="str">
        <f t="shared" ca="1" si="163"/>
        <v>RFR GBP</v>
      </c>
      <c r="J2098" s="1"/>
      <c r="N2098" s="1"/>
      <c r="R2098" s="1"/>
      <c r="V2098" s="1"/>
      <c r="AB2098" s="1"/>
      <c r="AF2098" s="1"/>
      <c r="AJ2098" s="1"/>
      <c r="AN2098" s="1"/>
      <c r="AS2098" s="1"/>
      <c r="AX2098" s="1"/>
    </row>
    <row r="2099" spans="1:50" x14ac:dyDescent="0.3">
      <c r="A2099" s="19">
        <f t="shared" si="164"/>
        <v>48852</v>
      </c>
      <c r="B2099">
        <f t="shared" ca="1" si="160"/>
        <v>-7.5</v>
      </c>
      <c r="C2099" t="str">
        <f ca="1">IF(currency="USD",'Future et co'!D2099,IF(currency="EUR",'Future et co'!E2099,IF(currency="GBP",'Future et co'!F2099,FALSE)))</f>
        <v>RFR USD</v>
      </c>
      <c r="D2099" t="str">
        <f t="shared" ca="1" si="161"/>
        <v>RFR USD</v>
      </c>
      <c r="E2099" t="str">
        <f t="shared" ca="1" si="162"/>
        <v>RFR EUR</v>
      </c>
      <c r="F2099" t="str">
        <f t="shared" ca="1" si="163"/>
        <v>RFR GBP</v>
      </c>
      <c r="J2099" s="1"/>
      <c r="N2099" s="1"/>
      <c r="R2099" s="1"/>
      <c r="V2099" s="1"/>
      <c r="AB2099" s="1"/>
      <c r="AF2099" s="1"/>
      <c r="AJ2099" s="1"/>
      <c r="AN2099" s="1"/>
      <c r="AS2099" s="1"/>
      <c r="AX2099" s="1"/>
    </row>
    <row r="2100" spans="1:50" x14ac:dyDescent="0.3">
      <c r="A2100" s="19">
        <f t="shared" si="164"/>
        <v>48855</v>
      </c>
      <c r="B2100">
        <f t="shared" ca="1" si="160"/>
        <v>-7.5083333333333337</v>
      </c>
      <c r="C2100" t="str">
        <f ca="1">IF(currency="USD",'Future et co'!D2100,IF(currency="EUR",'Future et co'!E2100,IF(currency="GBP",'Future et co'!F2100,FALSE)))</f>
        <v>RFR USD</v>
      </c>
      <c r="D2100" t="str">
        <f t="shared" ca="1" si="161"/>
        <v>RFR USD</v>
      </c>
      <c r="E2100" t="str">
        <f t="shared" ca="1" si="162"/>
        <v>RFR EUR</v>
      </c>
      <c r="F2100" t="str">
        <f t="shared" ca="1" si="163"/>
        <v>RFR GBP</v>
      </c>
      <c r="J2100" s="1"/>
      <c r="N2100" s="1"/>
      <c r="R2100" s="1"/>
      <c r="V2100" s="1"/>
      <c r="AB2100" s="1"/>
      <c r="AF2100" s="1"/>
      <c r="AJ2100" s="1"/>
      <c r="AN2100" s="1"/>
      <c r="AS2100" s="1"/>
      <c r="AX2100" s="1"/>
    </row>
    <row r="2101" spans="1:50" x14ac:dyDescent="0.3">
      <c r="A2101" s="19">
        <f t="shared" si="164"/>
        <v>48856</v>
      </c>
      <c r="B2101">
        <f t="shared" ca="1" si="160"/>
        <v>-7.5111111111111111</v>
      </c>
      <c r="C2101" t="str">
        <f ca="1">IF(currency="USD",'Future et co'!D2101,IF(currency="EUR",'Future et co'!E2101,IF(currency="GBP",'Future et co'!F2101,FALSE)))</f>
        <v>RFR USD</v>
      </c>
      <c r="D2101" t="str">
        <f t="shared" ca="1" si="161"/>
        <v>RFR USD</v>
      </c>
      <c r="E2101" t="str">
        <f t="shared" ca="1" si="162"/>
        <v>RFR EUR</v>
      </c>
      <c r="F2101" t="str">
        <f t="shared" ca="1" si="163"/>
        <v>RFR GBP</v>
      </c>
      <c r="J2101" s="1"/>
      <c r="N2101" s="1"/>
      <c r="R2101" s="1"/>
      <c r="V2101" s="1"/>
      <c r="AB2101" s="1"/>
      <c r="AF2101" s="1"/>
      <c r="AJ2101" s="1"/>
      <c r="AN2101" s="1"/>
      <c r="AS2101" s="1"/>
      <c r="AX2101" s="1"/>
    </row>
    <row r="2102" spans="1:50" x14ac:dyDescent="0.3">
      <c r="A2102" s="19">
        <f t="shared" si="164"/>
        <v>48857</v>
      </c>
      <c r="B2102">
        <f t="shared" ca="1" si="160"/>
        <v>-7.5138888888888893</v>
      </c>
      <c r="C2102" t="str">
        <f ca="1">IF(currency="USD",'Future et co'!D2102,IF(currency="EUR",'Future et co'!E2102,IF(currency="GBP",'Future et co'!F2102,FALSE)))</f>
        <v>RFR USD</v>
      </c>
      <c r="D2102" t="str">
        <f t="shared" ca="1" si="161"/>
        <v>RFR USD</v>
      </c>
      <c r="E2102" t="str">
        <f t="shared" ca="1" si="162"/>
        <v>RFR EUR</v>
      </c>
      <c r="F2102" t="str">
        <f t="shared" ca="1" si="163"/>
        <v>RFR GBP</v>
      </c>
      <c r="J2102" s="1"/>
      <c r="N2102" s="1"/>
      <c r="R2102" s="1"/>
      <c r="V2102" s="1"/>
      <c r="AB2102" s="1"/>
      <c r="AF2102" s="1"/>
      <c r="AJ2102" s="1"/>
      <c r="AN2102" s="1"/>
      <c r="AS2102" s="1"/>
      <c r="AX2102" s="1"/>
    </row>
    <row r="2103" spans="1:50" x14ac:dyDescent="0.3">
      <c r="A2103" s="19">
        <f t="shared" si="164"/>
        <v>48858</v>
      </c>
      <c r="B2103">
        <f t="shared" ca="1" si="160"/>
        <v>-7.5166666666666666</v>
      </c>
      <c r="C2103" t="str">
        <f ca="1">IF(currency="USD",'Future et co'!D2103,IF(currency="EUR",'Future et co'!E2103,IF(currency="GBP",'Future et co'!F2103,FALSE)))</f>
        <v>RFR USD</v>
      </c>
      <c r="D2103" t="str">
        <f t="shared" ca="1" si="161"/>
        <v>RFR USD</v>
      </c>
      <c r="E2103" t="str">
        <f t="shared" ca="1" si="162"/>
        <v>RFR EUR</v>
      </c>
      <c r="F2103" t="str">
        <f t="shared" ca="1" si="163"/>
        <v>RFR GBP</v>
      </c>
      <c r="J2103" s="1"/>
      <c r="N2103" s="1"/>
      <c r="R2103" s="1"/>
      <c r="V2103" s="1"/>
      <c r="AB2103" s="1"/>
      <c r="AF2103" s="1"/>
      <c r="AJ2103" s="1"/>
      <c r="AN2103" s="1"/>
      <c r="AS2103" s="1"/>
      <c r="AX2103" s="1"/>
    </row>
    <row r="2104" spans="1:50" x14ac:dyDescent="0.3">
      <c r="A2104" s="19">
        <f t="shared" si="164"/>
        <v>48859</v>
      </c>
      <c r="B2104">
        <f t="shared" ca="1" si="160"/>
        <v>-7.5194444444444448</v>
      </c>
      <c r="C2104" t="str">
        <f ca="1">IF(currency="USD",'Future et co'!D2104,IF(currency="EUR",'Future et co'!E2104,IF(currency="GBP",'Future et co'!F2104,FALSE)))</f>
        <v>RFR USD</v>
      </c>
      <c r="D2104" t="str">
        <f t="shared" ca="1" si="161"/>
        <v>RFR USD</v>
      </c>
      <c r="E2104" t="str">
        <f t="shared" ca="1" si="162"/>
        <v>RFR EUR</v>
      </c>
      <c r="F2104" t="str">
        <f t="shared" ca="1" si="163"/>
        <v>RFR GBP</v>
      </c>
      <c r="J2104" s="1"/>
      <c r="N2104" s="1"/>
      <c r="R2104" s="1"/>
      <c r="V2104" s="1"/>
      <c r="AB2104" s="1"/>
      <c r="AF2104" s="1"/>
      <c r="AJ2104" s="1"/>
      <c r="AN2104" s="1"/>
      <c r="AS2104" s="1"/>
      <c r="AX2104" s="1"/>
    </row>
    <row r="2105" spans="1:50" x14ac:dyDescent="0.3">
      <c r="A2105" s="19">
        <f t="shared" si="164"/>
        <v>48862</v>
      </c>
      <c r="B2105">
        <f t="shared" ca="1" si="160"/>
        <v>-7.5277777777777777</v>
      </c>
      <c r="C2105" t="str">
        <f ca="1">IF(currency="USD",'Future et co'!D2105,IF(currency="EUR",'Future et co'!E2105,IF(currency="GBP",'Future et co'!F2105,FALSE)))</f>
        <v>RFR USD</v>
      </c>
      <c r="D2105" t="str">
        <f t="shared" ca="1" si="161"/>
        <v>RFR USD</v>
      </c>
      <c r="E2105" t="str">
        <f t="shared" ca="1" si="162"/>
        <v>RFR EUR</v>
      </c>
      <c r="F2105" t="str">
        <f t="shared" ca="1" si="163"/>
        <v>RFR GBP</v>
      </c>
      <c r="J2105" s="1"/>
      <c r="N2105" s="1"/>
      <c r="R2105" s="1"/>
      <c r="V2105" s="1"/>
      <c r="AB2105" s="1"/>
      <c r="AF2105" s="1"/>
      <c r="AJ2105" s="1"/>
      <c r="AN2105" s="1"/>
      <c r="AS2105" s="1"/>
      <c r="AX2105" s="1"/>
    </row>
    <row r="2106" spans="1:50" x14ac:dyDescent="0.3">
      <c r="A2106" s="19">
        <f t="shared" si="164"/>
        <v>48863</v>
      </c>
      <c r="B2106">
        <f t="shared" ca="1" si="160"/>
        <v>-7.5305555555555559</v>
      </c>
      <c r="C2106" t="str">
        <f ca="1">IF(currency="USD",'Future et co'!D2106,IF(currency="EUR",'Future et co'!E2106,IF(currency="GBP",'Future et co'!F2106,FALSE)))</f>
        <v>RFR USD</v>
      </c>
      <c r="D2106" t="str">
        <f t="shared" ca="1" si="161"/>
        <v>RFR USD</v>
      </c>
      <c r="E2106" t="str">
        <f t="shared" ca="1" si="162"/>
        <v>RFR EUR</v>
      </c>
      <c r="F2106" t="str">
        <f t="shared" ca="1" si="163"/>
        <v>RFR GBP</v>
      </c>
      <c r="J2106" s="1"/>
      <c r="N2106" s="1"/>
      <c r="R2106" s="1"/>
      <c r="V2106" s="1"/>
      <c r="AB2106" s="1"/>
      <c r="AF2106" s="1"/>
      <c r="AJ2106" s="1"/>
      <c r="AN2106" s="1"/>
      <c r="AS2106" s="1"/>
      <c r="AX2106" s="1"/>
    </row>
    <row r="2107" spans="1:50" x14ac:dyDescent="0.3">
      <c r="A2107" s="19">
        <f t="shared" si="164"/>
        <v>48864</v>
      </c>
      <c r="B2107">
        <f t="shared" ca="1" si="160"/>
        <v>-7.5333333333333332</v>
      </c>
      <c r="C2107" t="str">
        <f ca="1">IF(currency="USD",'Future et co'!D2107,IF(currency="EUR",'Future et co'!E2107,IF(currency="GBP",'Future et co'!F2107,FALSE)))</f>
        <v>RFR USD</v>
      </c>
      <c r="D2107" t="str">
        <f t="shared" ca="1" si="161"/>
        <v>RFR USD</v>
      </c>
      <c r="E2107" t="str">
        <f t="shared" ca="1" si="162"/>
        <v>RFR EUR</v>
      </c>
      <c r="F2107" t="str">
        <f t="shared" ca="1" si="163"/>
        <v>RFR GBP</v>
      </c>
      <c r="J2107" s="1"/>
      <c r="N2107" s="1"/>
      <c r="R2107" s="1"/>
      <c r="V2107" s="1"/>
      <c r="AB2107" s="1"/>
      <c r="AF2107" s="1"/>
      <c r="AJ2107" s="1"/>
      <c r="AN2107" s="1"/>
      <c r="AS2107" s="1"/>
      <c r="AX2107" s="1"/>
    </row>
    <row r="2108" spans="1:50" x14ac:dyDescent="0.3">
      <c r="A2108" s="19">
        <f t="shared" si="164"/>
        <v>48865</v>
      </c>
      <c r="B2108">
        <f t="shared" ca="1" si="160"/>
        <v>-7.5361111111111114</v>
      </c>
      <c r="C2108" t="str">
        <f ca="1">IF(currency="USD",'Future et co'!D2108,IF(currency="EUR",'Future et co'!E2108,IF(currency="GBP",'Future et co'!F2108,FALSE)))</f>
        <v>RFR USD</v>
      </c>
      <c r="D2108" t="str">
        <f t="shared" ca="1" si="161"/>
        <v>RFR USD</v>
      </c>
      <c r="E2108" t="str">
        <f t="shared" ca="1" si="162"/>
        <v>RFR EUR</v>
      </c>
      <c r="F2108" t="str">
        <f t="shared" ca="1" si="163"/>
        <v>RFR GBP</v>
      </c>
      <c r="J2108" s="1"/>
      <c r="N2108" s="1"/>
      <c r="R2108" s="1"/>
      <c r="V2108" s="1"/>
      <c r="AB2108" s="1"/>
      <c r="AF2108" s="1"/>
      <c r="AJ2108" s="1"/>
      <c r="AN2108" s="1"/>
      <c r="AS2108" s="1"/>
      <c r="AX2108" s="1"/>
    </row>
    <row r="2109" spans="1:50" x14ac:dyDescent="0.3">
      <c r="A2109" s="19">
        <f t="shared" si="164"/>
        <v>48866</v>
      </c>
      <c r="B2109">
        <f t="shared" ca="1" si="160"/>
        <v>-7.5388888888888888</v>
      </c>
      <c r="C2109" t="str">
        <f ca="1">IF(currency="USD",'Future et co'!D2109,IF(currency="EUR",'Future et co'!E2109,IF(currency="GBP",'Future et co'!F2109,FALSE)))</f>
        <v>RFR USD</v>
      </c>
      <c r="D2109" t="str">
        <f t="shared" ca="1" si="161"/>
        <v>RFR USD</v>
      </c>
      <c r="E2109" t="str">
        <f t="shared" ca="1" si="162"/>
        <v>RFR EUR</v>
      </c>
      <c r="F2109" t="str">
        <f t="shared" ca="1" si="163"/>
        <v>RFR GBP</v>
      </c>
      <c r="J2109" s="1"/>
      <c r="N2109" s="1"/>
      <c r="R2109" s="1"/>
      <c r="V2109" s="1"/>
      <c r="AB2109" s="1"/>
      <c r="AF2109" s="1"/>
      <c r="AJ2109" s="1"/>
      <c r="AN2109" s="1"/>
      <c r="AS2109" s="1"/>
      <c r="AX2109" s="1"/>
    </row>
    <row r="2110" spans="1:50" x14ac:dyDescent="0.3">
      <c r="A2110" s="19">
        <f t="shared" si="164"/>
        <v>48869</v>
      </c>
      <c r="B2110">
        <f t="shared" ca="1" si="160"/>
        <v>-7.5472222222222225</v>
      </c>
      <c r="C2110" t="str">
        <f ca="1">IF(currency="USD",'Future et co'!D2110,IF(currency="EUR",'Future et co'!E2110,IF(currency="GBP",'Future et co'!F2110,FALSE)))</f>
        <v>RFR USD</v>
      </c>
      <c r="D2110" t="str">
        <f t="shared" ca="1" si="161"/>
        <v>RFR USD</v>
      </c>
      <c r="E2110" t="str">
        <f t="shared" ca="1" si="162"/>
        <v>RFR EUR</v>
      </c>
      <c r="F2110" t="str">
        <f t="shared" ca="1" si="163"/>
        <v>RFR GBP</v>
      </c>
      <c r="J2110" s="1"/>
      <c r="N2110" s="1"/>
      <c r="R2110" s="1"/>
      <c r="V2110" s="1"/>
      <c r="AB2110" s="1"/>
      <c r="AF2110" s="1"/>
      <c r="AJ2110" s="1"/>
      <c r="AN2110" s="1"/>
      <c r="AS2110" s="1"/>
      <c r="AX2110" s="1"/>
    </row>
    <row r="2111" spans="1:50" x14ac:dyDescent="0.3">
      <c r="A2111" s="19">
        <f t="shared" si="164"/>
        <v>48870</v>
      </c>
      <c r="B2111">
        <f t="shared" ca="1" si="160"/>
        <v>-7.55</v>
      </c>
      <c r="C2111" t="str">
        <f ca="1">IF(currency="USD",'Future et co'!D2111,IF(currency="EUR",'Future et co'!E2111,IF(currency="GBP",'Future et co'!F2111,FALSE)))</f>
        <v>RFR USD</v>
      </c>
      <c r="D2111" t="str">
        <f t="shared" ca="1" si="161"/>
        <v>RFR USD</v>
      </c>
      <c r="E2111" t="str">
        <f t="shared" ca="1" si="162"/>
        <v>RFR EUR</v>
      </c>
      <c r="F2111" t="str">
        <f t="shared" ca="1" si="163"/>
        <v>RFR GBP</v>
      </c>
      <c r="J2111" s="1"/>
      <c r="N2111" s="1"/>
      <c r="R2111" s="1"/>
      <c r="V2111" s="1"/>
      <c r="AB2111" s="1"/>
      <c r="AF2111" s="1"/>
      <c r="AJ2111" s="1"/>
      <c r="AN2111" s="1"/>
      <c r="AS2111" s="1"/>
      <c r="AX2111" s="1"/>
    </row>
    <row r="2112" spans="1:50" x14ac:dyDescent="0.3">
      <c r="A2112" s="19">
        <f t="shared" si="164"/>
        <v>48871</v>
      </c>
      <c r="B2112">
        <f t="shared" ca="1" si="160"/>
        <v>-7.552777777777778</v>
      </c>
      <c r="C2112" t="str">
        <f ca="1">IF(currency="USD",'Future et co'!D2112,IF(currency="EUR",'Future et co'!E2112,IF(currency="GBP",'Future et co'!F2112,FALSE)))</f>
        <v>RFR USD</v>
      </c>
      <c r="D2112" t="str">
        <f t="shared" ca="1" si="161"/>
        <v>RFR USD</v>
      </c>
      <c r="E2112" t="str">
        <f t="shared" ca="1" si="162"/>
        <v>RFR EUR</v>
      </c>
      <c r="F2112" t="str">
        <f t="shared" ca="1" si="163"/>
        <v>RFR GBP</v>
      </c>
      <c r="J2112" s="1"/>
      <c r="N2112" s="1"/>
      <c r="R2112" s="1"/>
      <c r="V2112" s="1"/>
      <c r="AB2112" s="1"/>
      <c r="AF2112" s="1"/>
      <c r="AJ2112" s="1"/>
      <c r="AN2112" s="1"/>
      <c r="AS2112" s="1"/>
      <c r="AX2112" s="1"/>
    </row>
    <row r="2113" spans="1:50" x14ac:dyDescent="0.3">
      <c r="A2113" s="19">
        <f t="shared" si="164"/>
        <v>48872</v>
      </c>
      <c r="B2113">
        <f t="shared" ca="1" si="160"/>
        <v>-7.5555555555555554</v>
      </c>
      <c r="C2113" t="str">
        <f ca="1">IF(currency="USD",'Future et co'!D2113,IF(currency="EUR",'Future et co'!E2113,IF(currency="GBP",'Future et co'!F2113,FALSE)))</f>
        <v>RFR USD</v>
      </c>
      <c r="D2113" t="str">
        <f t="shared" ca="1" si="161"/>
        <v>RFR USD</v>
      </c>
      <c r="E2113" t="str">
        <f t="shared" ca="1" si="162"/>
        <v>RFR EUR</v>
      </c>
      <c r="F2113" t="str">
        <f t="shared" ca="1" si="163"/>
        <v>RFR GBP</v>
      </c>
      <c r="J2113" s="1"/>
      <c r="N2113" s="1"/>
      <c r="R2113" s="1"/>
      <c r="V2113" s="1"/>
      <c r="AB2113" s="1"/>
      <c r="AF2113" s="1"/>
      <c r="AJ2113" s="1"/>
      <c r="AN2113" s="1"/>
      <c r="AS2113" s="1"/>
      <c r="AX2113" s="1"/>
    </row>
    <row r="2114" spans="1:50" x14ac:dyDescent="0.3">
      <c r="A2114" s="19">
        <f t="shared" si="164"/>
        <v>48873</v>
      </c>
      <c r="B2114">
        <f t="shared" ca="1" si="160"/>
        <v>-7.5583333333333336</v>
      </c>
      <c r="C2114" t="str">
        <f ca="1">IF(currency="USD",'Future et co'!D2114,IF(currency="EUR",'Future et co'!E2114,IF(currency="GBP",'Future et co'!F2114,FALSE)))</f>
        <v>RFR USD</v>
      </c>
      <c r="D2114" t="str">
        <f t="shared" ca="1" si="161"/>
        <v>RFR USD</v>
      </c>
      <c r="E2114" t="str">
        <f t="shared" ca="1" si="162"/>
        <v>RFR EUR</v>
      </c>
      <c r="F2114" t="str">
        <f t="shared" ca="1" si="163"/>
        <v>RFR GBP</v>
      </c>
      <c r="J2114" s="1"/>
      <c r="N2114" s="1"/>
      <c r="R2114" s="1"/>
      <c r="V2114" s="1"/>
      <c r="AB2114" s="1"/>
      <c r="AF2114" s="1"/>
      <c r="AJ2114" s="1"/>
      <c r="AN2114" s="1"/>
      <c r="AS2114" s="1"/>
      <c r="AX2114" s="1"/>
    </row>
    <row r="2115" spans="1:50" x14ac:dyDescent="0.3">
      <c r="A2115" s="19">
        <f t="shared" si="164"/>
        <v>48876</v>
      </c>
      <c r="B2115">
        <f t="shared" ca="1" si="160"/>
        <v>-7.5666666666666664</v>
      </c>
      <c r="C2115" t="str">
        <f ca="1">IF(currency="USD",'Future et co'!D2115,IF(currency="EUR",'Future et co'!E2115,IF(currency="GBP",'Future et co'!F2115,FALSE)))</f>
        <v>RFR USD</v>
      </c>
      <c r="D2115" t="str">
        <f t="shared" ca="1" si="161"/>
        <v>RFR USD</v>
      </c>
      <c r="E2115" t="str">
        <f t="shared" ca="1" si="162"/>
        <v>RFR EUR</v>
      </c>
      <c r="F2115" t="str">
        <f t="shared" ca="1" si="163"/>
        <v>RFR GBP</v>
      </c>
      <c r="J2115" s="1"/>
      <c r="N2115" s="1"/>
      <c r="R2115" s="1"/>
      <c r="V2115" s="1"/>
      <c r="AB2115" s="1"/>
      <c r="AF2115" s="1"/>
      <c r="AJ2115" s="1"/>
      <c r="AN2115" s="1"/>
      <c r="AS2115" s="1"/>
      <c r="AX2115" s="1"/>
    </row>
    <row r="2116" spans="1:50" x14ac:dyDescent="0.3">
      <c r="A2116" s="19">
        <f t="shared" si="164"/>
        <v>48877</v>
      </c>
      <c r="B2116">
        <f t="shared" ca="1" si="160"/>
        <v>-7.5694444444444446</v>
      </c>
      <c r="C2116" t="str">
        <f ca="1">IF(currency="USD",'Future et co'!D2116,IF(currency="EUR",'Future et co'!E2116,IF(currency="GBP",'Future et co'!F2116,FALSE)))</f>
        <v>RFR USD</v>
      </c>
      <c r="D2116" t="str">
        <f t="shared" ca="1" si="161"/>
        <v>RFR USD</v>
      </c>
      <c r="E2116" t="str">
        <f t="shared" ca="1" si="162"/>
        <v>RFR EUR</v>
      </c>
      <c r="F2116" t="str">
        <f t="shared" ca="1" si="163"/>
        <v>RFR GBP</v>
      </c>
      <c r="J2116" s="1"/>
      <c r="N2116" s="1"/>
      <c r="R2116" s="1"/>
      <c r="V2116" s="1"/>
      <c r="AB2116" s="1"/>
      <c r="AF2116" s="1"/>
      <c r="AJ2116" s="1"/>
      <c r="AN2116" s="1"/>
      <c r="AS2116" s="1"/>
      <c r="AX2116" s="1"/>
    </row>
    <row r="2117" spans="1:50" x14ac:dyDescent="0.3">
      <c r="A2117" s="19">
        <f t="shared" si="164"/>
        <v>48878</v>
      </c>
      <c r="B2117">
        <f t="shared" ca="1" si="160"/>
        <v>-7.572222222222222</v>
      </c>
      <c r="C2117" t="str">
        <f ca="1">IF(currency="USD",'Future et co'!D2117,IF(currency="EUR",'Future et co'!E2117,IF(currency="GBP",'Future et co'!F2117,FALSE)))</f>
        <v>RFR USD</v>
      </c>
      <c r="D2117" t="str">
        <f t="shared" ca="1" si="161"/>
        <v>RFR USD</v>
      </c>
      <c r="E2117" t="str">
        <f t="shared" ca="1" si="162"/>
        <v>RFR EUR</v>
      </c>
      <c r="F2117" t="str">
        <f t="shared" ca="1" si="163"/>
        <v>RFR GBP</v>
      </c>
      <c r="J2117" s="1"/>
      <c r="N2117" s="1"/>
      <c r="R2117" s="1"/>
      <c r="V2117" s="1"/>
      <c r="AB2117" s="1"/>
      <c r="AF2117" s="1"/>
      <c r="AJ2117" s="1"/>
      <c r="AN2117" s="1"/>
      <c r="AS2117" s="1"/>
      <c r="AX2117" s="1"/>
    </row>
    <row r="2118" spans="1:50" x14ac:dyDescent="0.3">
      <c r="A2118" s="19">
        <f t="shared" si="164"/>
        <v>48879</v>
      </c>
      <c r="B2118">
        <f t="shared" ca="1" si="160"/>
        <v>-7.5750000000000002</v>
      </c>
      <c r="C2118" t="str">
        <f ca="1">IF(currency="USD",'Future et co'!D2118,IF(currency="EUR",'Future et co'!E2118,IF(currency="GBP",'Future et co'!F2118,FALSE)))</f>
        <v>RFR USD</v>
      </c>
      <c r="D2118" t="str">
        <f t="shared" ca="1" si="161"/>
        <v>RFR USD</v>
      </c>
      <c r="E2118" t="str">
        <f t="shared" ca="1" si="162"/>
        <v>RFR EUR</v>
      </c>
      <c r="F2118" t="str">
        <f t="shared" ca="1" si="163"/>
        <v>RFR GBP</v>
      </c>
      <c r="J2118" s="1"/>
      <c r="N2118" s="1"/>
      <c r="R2118" s="1"/>
      <c r="V2118" s="1"/>
      <c r="AB2118" s="1"/>
      <c r="AF2118" s="1"/>
      <c r="AJ2118" s="1"/>
      <c r="AN2118" s="1"/>
      <c r="AS2118" s="1"/>
      <c r="AX2118" s="1"/>
    </row>
    <row r="2119" spans="1:50" x14ac:dyDescent="0.3">
      <c r="A2119" s="19">
        <f t="shared" si="164"/>
        <v>48880</v>
      </c>
      <c r="B2119">
        <f t="shared" ca="1" si="160"/>
        <v>-7.5777777777777775</v>
      </c>
      <c r="C2119" t="str">
        <f ca="1">IF(currency="USD",'Future et co'!D2119,IF(currency="EUR",'Future et co'!E2119,IF(currency="GBP",'Future et co'!F2119,FALSE)))</f>
        <v>RFR USD</v>
      </c>
      <c r="D2119" t="str">
        <f t="shared" ca="1" si="161"/>
        <v>RFR USD</v>
      </c>
      <c r="E2119" t="str">
        <f t="shared" ca="1" si="162"/>
        <v>RFR EUR</v>
      </c>
      <c r="F2119" t="str">
        <f t="shared" ca="1" si="163"/>
        <v>RFR GBP</v>
      </c>
      <c r="J2119" s="1"/>
      <c r="N2119" s="1"/>
      <c r="R2119" s="1"/>
      <c r="V2119" s="1"/>
      <c r="AB2119" s="1"/>
      <c r="AF2119" s="1"/>
      <c r="AJ2119" s="1"/>
      <c r="AN2119" s="1"/>
      <c r="AS2119" s="1"/>
      <c r="AX2119" s="1"/>
    </row>
    <row r="2120" spans="1:50" x14ac:dyDescent="0.3">
      <c r="A2120" s="19">
        <f t="shared" si="164"/>
        <v>48883</v>
      </c>
      <c r="B2120">
        <f t="shared" ca="1" si="160"/>
        <v>-7.5861111111111112</v>
      </c>
      <c r="C2120" t="str">
        <f ca="1">IF(currency="USD",'Future et co'!D2120,IF(currency="EUR",'Future et co'!E2120,IF(currency="GBP",'Future et co'!F2120,FALSE)))</f>
        <v>RFR USD</v>
      </c>
      <c r="D2120" t="str">
        <f t="shared" ca="1" si="161"/>
        <v>RFR USD</v>
      </c>
      <c r="E2120" t="str">
        <f t="shared" ca="1" si="162"/>
        <v>RFR EUR</v>
      </c>
      <c r="F2120" t="str">
        <f t="shared" ca="1" si="163"/>
        <v>RFR GBP</v>
      </c>
      <c r="J2120" s="1"/>
      <c r="N2120" s="1"/>
      <c r="R2120" s="1"/>
      <c r="V2120" s="1"/>
      <c r="AB2120" s="1"/>
      <c r="AF2120" s="1"/>
      <c r="AJ2120" s="1"/>
      <c r="AN2120" s="1"/>
      <c r="AS2120" s="1"/>
      <c r="AX2120" s="1"/>
    </row>
    <row r="2121" spans="1:50" x14ac:dyDescent="0.3">
      <c r="A2121" s="19">
        <f t="shared" si="164"/>
        <v>48884</v>
      </c>
      <c r="B2121">
        <f t="shared" ca="1" si="160"/>
        <v>-7.5888888888888886</v>
      </c>
      <c r="C2121" t="str">
        <f ca="1">IF(currency="USD",'Future et co'!D2121,IF(currency="EUR",'Future et co'!E2121,IF(currency="GBP",'Future et co'!F2121,FALSE)))</f>
        <v>RFR USD</v>
      </c>
      <c r="D2121" t="str">
        <f t="shared" ca="1" si="161"/>
        <v>RFR USD</v>
      </c>
      <c r="E2121" t="str">
        <f t="shared" ca="1" si="162"/>
        <v>RFR EUR</v>
      </c>
      <c r="F2121" t="str">
        <f t="shared" ca="1" si="163"/>
        <v>RFR GBP</v>
      </c>
      <c r="J2121" s="1"/>
      <c r="N2121" s="1"/>
      <c r="R2121" s="1"/>
      <c r="V2121" s="1"/>
      <c r="AB2121" s="1"/>
      <c r="AF2121" s="1"/>
      <c r="AJ2121" s="1"/>
      <c r="AN2121" s="1"/>
      <c r="AS2121" s="1"/>
      <c r="AX2121" s="1"/>
    </row>
    <row r="2122" spans="1:50" x14ac:dyDescent="0.3">
      <c r="A2122" s="19">
        <f t="shared" si="164"/>
        <v>48885</v>
      </c>
      <c r="B2122">
        <f t="shared" ca="1" si="160"/>
        <v>-7.5916666666666668</v>
      </c>
      <c r="C2122" t="str">
        <f ca="1">IF(currency="USD",'Future et co'!D2122,IF(currency="EUR",'Future et co'!E2122,IF(currency="GBP",'Future et co'!F2122,FALSE)))</f>
        <v>RFR USD</v>
      </c>
      <c r="D2122" t="str">
        <f t="shared" ca="1" si="161"/>
        <v>RFR USD</v>
      </c>
      <c r="E2122" t="str">
        <f t="shared" ca="1" si="162"/>
        <v>RFR EUR</v>
      </c>
      <c r="F2122" t="str">
        <f t="shared" ca="1" si="163"/>
        <v>RFR GBP</v>
      </c>
      <c r="J2122" s="1"/>
      <c r="N2122" s="1"/>
      <c r="R2122" s="1"/>
      <c r="V2122" s="1"/>
      <c r="AB2122" s="1"/>
      <c r="AF2122" s="1"/>
      <c r="AJ2122" s="1"/>
      <c r="AN2122" s="1"/>
      <c r="AS2122" s="1"/>
      <c r="AX2122" s="1"/>
    </row>
    <row r="2123" spans="1:50" x14ac:dyDescent="0.3">
      <c r="A2123" s="19">
        <f t="shared" si="164"/>
        <v>48886</v>
      </c>
      <c r="B2123">
        <f t="shared" ref="B2123:B2186" ca="1" si="165">($B$7-A2123)/360</f>
        <v>-7.5944444444444441</v>
      </c>
      <c r="C2123" t="str">
        <f ca="1">IF(currency="USD",'Future et co'!D2123,IF(currency="EUR",'Future et co'!E2123,IF(currency="GBP",'Future et co'!F2123,FALSE)))</f>
        <v>RFR USD</v>
      </c>
      <c r="D2123" t="str">
        <f t="shared" ref="D2123:D2186" ca="1" si="166">IFERROR(IF(B2123&lt;0.25,VLOOKUP(A2123,$J$11:$L$5325,3,FALSE),IF(AND(B2123&gt;=0.25,B2123&lt;0.5),VLOOKUP(A2123,$N$11:$P$5325,3,FALSE),IF(AND(B2123&gt;=0.5,B2123&lt;1),VLOOKUP(A2123,$R$11:$T$5325,3,FALSE),VLOOKUP(A2123,$V$11:$X$5010,3,FALSE)))),D2122)</f>
        <v>RFR USD</v>
      </c>
      <c r="E2123" t="str">
        <f t="shared" ref="E2123:E2186" ca="1" si="167">IFERROR(IF(B2123&lt;0.25,VLOOKUP(A2123,$AF$11:$AH$5325,3,FALSE),IF(AND(B2123&gt;=0.25,B2123&lt;0.5),VLOOKUP(A2123,$AJ$11:$AL$5325,3,FALSE),VLOOKUP(A2123,$AN$11:$AP$5325,3,FALSE))),E2122)</f>
        <v>RFR EUR</v>
      </c>
      <c r="F2123" t="str">
        <f t="shared" ref="F2123:F2186" ca="1" si="168">IFERROR(VLOOKUP(A2123,$AS$11:$AU$9999,3,FALSE),F2122)</f>
        <v>RFR GBP</v>
      </c>
      <c r="J2123" s="1"/>
      <c r="N2123" s="1"/>
      <c r="R2123" s="1"/>
      <c r="V2123" s="1"/>
      <c r="AB2123" s="1"/>
      <c r="AF2123" s="1"/>
      <c r="AJ2123" s="1"/>
      <c r="AN2123" s="1"/>
      <c r="AS2123" s="1"/>
      <c r="AX2123" s="1"/>
    </row>
    <row r="2124" spans="1:50" x14ac:dyDescent="0.3">
      <c r="A2124" s="19">
        <f t="shared" si="164"/>
        <v>48887</v>
      </c>
      <c r="B2124">
        <f t="shared" ca="1" si="165"/>
        <v>-7.5972222222222223</v>
      </c>
      <c r="C2124" t="str">
        <f ca="1">IF(currency="USD",'Future et co'!D2124,IF(currency="EUR",'Future et co'!E2124,IF(currency="GBP",'Future et co'!F2124,FALSE)))</f>
        <v>RFR USD</v>
      </c>
      <c r="D2124" t="str">
        <f t="shared" ca="1" si="166"/>
        <v>RFR USD</v>
      </c>
      <c r="E2124" t="str">
        <f t="shared" ca="1" si="167"/>
        <v>RFR EUR</v>
      </c>
      <c r="F2124" t="str">
        <f t="shared" ca="1" si="168"/>
        <v>RFR GBP</v>
      </c>
      <c r="J2124" s="1"/>
      <c r="N2124" s="1"/>
      <c r="R2124" s="1"/>
      <c r="V2124" s="1"/>
      <c r="AB2124" s="1"/>
      <c r="AF2124" s="1"/>
      <c r="AJ2124" s="1"/>
      <c r="AN2124" s="1"/>
      <c r="AS2124" s="1"/>
      <c r="AX2124" s="1"/>
    </row>
    <row r="2125" spans="1:50" x14ac:dyDescent="0.3">
      <c r="A2125" s="19">
        <f t="shared" ref="A2125:A2188" si="169">WORKDAY(A2124,1)</f>
        <v>48890</v>
      </c>
      <c r="B2125">
        <f t="shared" ca="1" si="165"/>
        <v>-7.6055555555555552</v>
      </c>
      <c r="C2125" t="str">
        <f ca="1">IF(currency="USD",'Future et co'!D2125,IF(currency="EUR",'Future et co'!E2125,IF(currency="GBP",'Future et co'!F2125,FALSE)))</f>
        <v>RFR USD</v>
      </c>
      <c r="D2125" t="str">
        <f t="shared" ca="1" si="166"/>
        <v>RFR USD</v>
      </c>
      <c r="E2125" t="str">
        <f t="shared" ca="1" si="167"/>
        <v>RFR EUR</v>
      </c>
      <c r="F2125" t="str">
        <f t="shared" ca="1" si="168"/>
        <v>RFR GBP</v>
      </c>
      <c r="J2125" s="1"/>
      <c r="N2125" s="1"/>
      <c r="R2125" s="1"/>
      <c r="V2125" s="1"/>
      <c r="AB2125" s="1"/>
      <c r="AF2125" s="1"/>
      <c r="AJ2125" s="1"/>
      <c r="AN2125" s="1"/>
      <c r="AS2125" s="1"/>
      <c r="AX2125" s="1"/>
    </row>
    <row r="2126" spans="1:50" x14ac:dyDescent="0.3">
      <c r="A2126" s="19">
        <f t="shared" si="169"/>
        <v>48891</v>
      </c>
      <c r="B2126">
        <f t="shared" ca="1" si="165"/>
        <v>-7.6083333333333334</v>
      </c>
      <c r="C2126" t="str">
        <f ca="1">IF(currency="USD",'Future et co'!D2126,IF(currency="EUR",'Future et co'!E2126,IF(currency="GBP",'Future et co'!F2126,FALSE)))</f>
        <v>RFR USD</v>
      </c>
      <c r="D2126" t="str">
        <f t="shared" ca="1" si="166"/>
        <v>RFR USD</v>
      </c>
      <c r="E2126" t="str">
        <f t="shared" ca="1" si="167"/>
        <v>RFR EUR</v>
      </c>
      <c r="F2126" t="str">
        <f t="shared" ca="1" si="168"/>
        <v>RFR GBP</v>
      </c>
      <c r="J2126" s="1"/>
      <c r="N2126" s="1"/>
      <c r="R2126" s="1"/>
      <c r="V2126" s="1"/>
      <c r="AB2126" s="1"/>
      <c r="AF2126" s="1"/>
      <c r="AJ2126" s="1"/>
      <c r="AN2126" s="1"/>
      <c r="AS2126" s="1"/>
      <c r="AX2126" s="1"/>
    </row>
    <row r="2127" spans="1:50" x14ac:dyDescent="0.3">
      <c r="A2127" s="19">
        <f t="shared" si="169"/>
        <v>48892</v>
      </c>
      <c r="B2127">
        <f t="shared" ca="1" si="165"/>
        <v>-7.6111111111111107</v>
      </c>
      <c r="C2127" t="str">
        <f ca="1">IF(currency="USD",'Future et co'!D2127,IF(currency="EUR",'Future et co'!E2127,IF(currency="GBP",'Future et co'!F2127,FALSE)))</f>
        <v>RFR USD</v>
      </c>
      <c r="D2127" t="str">
        <f t="shared" ca="1" si="166"/>
        <v>RFR USD</v>
      </c>
      <c r="E2127" t="str">
        <f t="shared" ca="1" si="167"/>
        <v>RFR EUR</v>
      </c>
      <c r="F2127" t="str">
        <f t="shared" ca="1" si="168"/>
        <v>RFR GBP</v>
      </c>
      <c r="J2127" s="1"/>
      <c r="N2127" s="1"/>
      <c r="R2127" s="1"/>
      <c r="V2127" s="1"/>
      <c r="AB2127" s="1"/>
      <c r="AF2127" s="1"/>
      <c r="AJ2127" s="1"/>
      <c r="AN2127" s="1"/>
      <c r="AS2127" s="1"/>
      <c r="AX2127" s="1"/>
    </row>
    <row r="2128" spans="1:50" x14ac:dyDescent="0.3">
      <c r="A2128" s="19">
        <f t="shared" si="169"/>
        <v>48893</v>
      </c>
      <c r="B2128">
        <f t="shared" ca="1" si="165"/>
        <v>-7.6138888888888889</v>
      </c>
      <c r="C2128" t="str">
        <f ca="1">IF(currency="USD",'Future et co'!D2128,IF(currency="EUR",'Future et co'!E2128,IF(currency="GBP",'Future et co'!F2128,FALSE)))</f>
        <v>RFR USD</v>
      </c>
      <c r="D2128" t="str">
        <f t="shared" ca="1" si="166"/>
        <v>RFR USD</v>
      </c>
      <c r="E2128" t="str">
        <f t="shared" ca="1" si="167"/>
        <v>RFR EUR</v>
      </c>
      <c r="F2128" t="str">
        <f t="shared" ca="1" si="168"/>
        <v>RFR GBP</v>
      </c>
      <c r="J2128" s="1"/>
      <c r="N2128" s="1"/>
      <c r="R2128" s="1"/>
      <c r="V2128" s="1"/>
      <c r="AB2128" s="1"/>
      <c r="AF2128" s="1"/>
      <c r="AJ2128" s="1"/>
      <c r="AN2128" s="1"/>
      <c r="AS2128" s="1"/>
      <c r="AX2128" s="1"/>
    </row>
    <row r="2129" spans="1:50" x14ac:dyDescent="0.3">
      <c r="A2129" s="19">
        <f t="shared" si="169"/>
        <v>48894</v>
      </c>
      <c r="B2129">
        <f t="shared" ca="1" si="165"/>
        <v>-7.6166666666666663</v>
      </c>
      <c r="C2129" t="str">
        <f ca="1">IF(currency="USD",'Future et co'!D2129,IF(currency="EUR",'Future et co'!E2129,IF(currency="GBP",'Future et co'!F2129,FALSE)))</f>
        <v>RFR USD</v>
      </c>
      <c r="D2129" t="str">
        <f t="shared" ca="1" si="166"/>
        <v>RFR USD</v>
      </c>
      <c r="E2129" t="str">
        <f t="shared" ca="1" si="167"/>
        <v>RFR EUR</v>
      </c>
      <c r="F2129" t="str">
        <f t="shared" ca="1" si="168"/>
        <v>RFR GBP</v>
      </c>
      <c r="J2129" s="1"/>
      <c r="N2129" s="1"/>
      <c r="R2129" s="1"/>
      <c r="V2129" s="1"/>
      <c r="AB2129" s="1"/>
      <c r="AF2129" s="1"/>
      <c r="AJ2129" s="1"/>
      <c r="AN2129" s="1"/>
      <c r="AS2129" s="1"/>
      <c r="AX2129" s="1"/>
    </row>
    <row r="2130" spans="1:50" x14ac:dyDescent="0.3">
      <c r="A2130" s="19">
        <f t="shared" si="169"/>
        <v>48897</v>
      </c>
      <c r="B2130">
        <f t="shared" ca="1" si="165"/>
        <v>-7.625</v>
      </c>
      <c r="C2130" t="str">
        <f ca="1">IF(currency="USD",'Future et co'!D2130,IF(currency="EUR",'Future et co'!E2130,IF(currency="GBP",'Future et co'!F2130,FALSE)))</f>
        <v>RFR USD</v>
      </c>
      <c r="D2130" t="str">
        <f t="shared" ca="1" si="166"/>
        <v>RFR USD</v>
      </c>
      <c r="E2130" t="str">
        <f t="shared" ca="1" si="167"/>
        <v>RFR EUR</v>
      </c>
      <c r="F2130" t="str">
        <f t="shared" ca="1" si="168"/>
        <v>RFR GBP</v>
      </c>
      <c r="J2130" s="1"/>
      <c r="N2130" s="1"/>
      <c r="R2130" s="1"/>
      <c r="V2130" s="1"/>
      <c r="AB2130" s="1"/>
      <c r="AF2130" s="1"/>
      <c r="AJ2130" s="1"/>
      <c r="AN2130" s="1"/>
      <c r="AS2130" s="1"/>
      <c r="AX2130" s="1"/>
    </row>
    <row r="2131" spans="1:50" x14ac:dyDescent="0.3">
      <c r="A2131" s="19">
        <f t="shared" si="169"/>
        <v>48898</v>
      </c>
      <c r="B2131">
        <f t="shared" ca="1" si="165"/>
        <v>-7.6277777777777782</v>
      </c>
      <c r="C2131" t="str">
        <f ca="1">IF(currency="USD",'Future et co'!D2131,IF(currency="EUR",'Future et co'!E2131,IF(currency="GBP",'Future et co'!F2131,FALSE)))</f>
        <v>RFR USD</v>
      </c>
      <c r="D2131" t="str">
        <f t="shared" ca="1" si="166"/>
        <v>RFR USD</v>
      </c>
      <c r="E2131" t="str">
        <f t="shared" ca="1" si="167"/>
        <v>RFR EUR</v>
      </c>
      <c r="F2131" t="str">
        <f t="shared" ca="1" si="168"/>
        <v>RFR GBP</v>
      </c>
      <c r="J2131" s="1"/>
      <c r="N2131" s="1"/>
      <c r="R2131" s="1"/>
      <c r="V2131" s="1"/>
      <c r="AB2131" s="1"/>
      <c r="AF2131" s="1"/>
      <c r="AJ2131" s="1"/>
      <c r="AN2131" s="1"/>
      <c r="AS2131" s="1"/>
      <c r="AX2131" s="1"/>
    </row>
    <row r="2132" spans="1:50" x14ac:dyDescent="0.3">
      <c r="A2132" s="19">
        <f t="shared" si="169"/>
        <v>48899</v>
      </c>
      <c r="B2132">
        <f t="shared" ca="1" si="165"/>
        <v>-7.6305555555555555</v>
      </c>
      <c r="C2132" t="str">
        <f ca="1">IF(currency="USD",'Future et co'!D2132,IF(currency="EUR",'Future et co'!E2132,IF(currency="GBP",'Future et co'!F2132,FALSE)))</f>
        <v>RFR USD</v>
      </c>
      <c r="D2132" t="str">
        <f t="shared" ca="1" si="166"/>
        <v>RFR USD</v>
      </c>
      <c r="E2132" t="str">
        <f t="shared" ca="1" si="167"/>
        <v>RFR EUR</v>
      </c>
      <c r="F2132" t="str">
        <f t="shared" ca="1" si="168"/>
        <v>RFR GBP</v>
      </c>
      <c r="J2132" s="1"/>
      <c r="N2132" s="1"/>
      <c r="R2132" s="1"/>
      <c r="V2132" s="1"/>
      <c r="AB2132" s="1"/>
      <c r="AF2132" s="1"/>
      <c r="AJ2132" s="1"/>
      <c r="AN2132" s="1"/>
      <c r="AS2132" s="1"/>
      <c r="AX2132" s="1"/>
    </row>
    <row r="2133" spans="1:50" x14ac:dyDescent="0.3">
      <c r="A2133" s="19">
        <f t="shared" si="169"/>
        <v>48900</v>
      </c>
      <c r="B2133">
        <f t="shared" ca="1" si="165"/>
        <v>-7.6333333333333337</v>
      </c>
      <c r="C2133" t="str">
        <f ca="1">IF(currency="USD",'Future et co'!D2133,IF(currency="EUR",'Future et co'!E2133,IF(currency="GBP",'Future et co'!F2133,FALSE)))</f>
        <v>RFR USD</v>
      </c>
      <c r="D2133" t="str">
        <f t="shared" ca="1" si="166"/>
        <v>RFR USD</v>
      </c>
      <c r="E2133" t="str">
        <f t="shared" ca="1" si="167"/>
        <v>RFR EUR</v>
      </c>
      <c r="F2133" t="str">
        <f t="shared" ca="1" si="168"/>
        <v>RFR GBP</v>
      </c>
      <c r="J2133" s="1"/>
      <c r="N2133" s="1"/>
      <c r="R2133" s="1"/>
      <c r="V2133" s="1"/>
      <c r="AB2133" s="1"/>
      <c r="AF2133" s="1"/>
      <c r="AJ2133" s="1"/>
      <c r="AN2133" s="1"/>
      <c r="AS2133" s="1"/>
      <c r="AX2133" s="1"/>
    </row>
    <row r="2134" spans="1:50" x14ac:dyDescent="0.3">
      <c r="A2134" s="19">
        <f t="shared" si="169"/>
        <v>48901</v>
      </c>
      <c r="B2134">
        <f t="shared" ca="1" si="165"/>
        <v>-7.6361111111111111</v>
      </c>
      <c r="C2134" t="str">
        <f ca="1">IF(currency="USD",'Future et co'!D2134,IF(currency="EUR",'Future et co'!E2134,IF(currency="GBP",'Future et co'!F2134,FALSE)))</f>
        <v>RFR USD</v>
      </c>
      <c r="D2134" t="str">
        <f t="shared" ca="1" si="166"/>
        <v>RFR USD</v>
      </c>
      <c r="E2134" t="str">
        <f t="shared" ca="1" si="167"/>
        <v>RFR EUR</v>
      </c>
      <c r="F2134" t="str">
        <f t="shared" ca="1" si="168"/>
        <v>RFR GBP</v>
      </c>
      <c r="J2134" s="1"/>
      <c r="N2134" s="1"/>
      <c r="R2134" s="1"/>
      <c r="V2134" s="1"/>
      <c r="AB2134" s="1"/>
      <c r="AF2134" s="1"/>
      <c r="AJ2134" s="1"/>
      <c r="AN2134" s="1"/>
      <c r="AS2134" s="1"/>
      <c r="AX2134" s="1"/>
    </row>
    <row r="2135" spans="1:50" x14ac:dyDescent="0.3">
      <c r="A2135" s="19">
        <f t="shared" si="169"/>
        <v>48904</v>
      </c>
      <c r="B2135">
        <f t="shared" ca="1" si="165"/>
        <v>-7.6444444444444448</v>
      </c>
      <c r="C2135" t="str">
        <f ca="1">IF(currency="USD",'Future et co'!D2135,IF(currency="EUR",'Future et co'!E2135,IF(currency="GBP",'Future et co'!F2135,FALSE)))</f>
        <v>RFR USD</v>
      </c>
      <c r="D2135" t="str">
        <f t="shared" ca="1" si="166"/>
        <v>RFR USD</v>
      </c>
      <c r="E2135" t="str">
        <f t="shared" ca="1" si="167"/>
        <v>RFR EUR</v>
      </c>
      <c r="F2135" t="str">
        <f t="shared" ca="1" si="168"/>
        <v>RFR GBP</v>
      </c>
      <c r="J2135" s="1"/>
      <c r="N2135" s="1"/>
      <c r="R2135" s="1"/>
      <c r="V2135" s="1"/>
      <c r="AB2135" s="1"/>
      <c r="AF2135" s="1"/>
      <c r="AJ2135" s="1"/>
      <c r="AN2135" s="1"/>
      <c r="AS2135" s="1"/>
      <c r="AX2135" s="1"/>
    </row>
    <row r="2136" spans="1:50" x14ac:dyDescent="0.3">
      <c r="A2136" s="19">
        <f t="shared" si="169"/>
        <v>48905</v>
      </c>
      <c r="B2136">
        <f t="shared" ca="1" si="165"/>
        <v>-7.6472222222222221</v>
      </c>
      <c r="C2136" t="str">
        <f ca="1">IF(currency="USD",'Future et co'!D2136,IF(currency="EUR",'Future et co'!E2136,IF(currency="GBP",'Future et co'!F2136,FALSE)))</f>
        <v>RFR USD</v>
      </c>
      <c r="D2136" t="str">
        <f t="shared" ca="1" si="166"/>
        <v>RFR USD</v>
      </c>
      <c r="E2136" t="str">
        <f t="shared" ca="1" si="167"/>
        <v>RFR EUR</v>
      </c>
      <c r="F2136" t="str">
        <f t="shared" ca="1" si="168"/>
        <v>RFR GBP</v>
      </c>
      <c r="J2136" s="1"/>
      <c r="N2136" s="1"/>
      <c r="R2136" s="1"/>
      <c r="V2136" s="1"/>
      <c r="AB2136" s="1"/>
      <c r="AF2136" s="1"/>
      <c r="AJ2136" s="1"/>
      <c r="AN2136" s="1"/>
      <c r="AS2136" s="1"/>
      <c r="AX2136" s="1"/>
    </row>
    <row r="2137" spans="1:50" x14ac:dyDescent="0.3">
      <c r="A2137" s="19">
        <f t="shared" si="169"/>
        <v>48906</v>
      </c>
      <c r="B2137">
        <f t="shared" ca="1" si="165"/>
        <v>-7.65</v>
      </c>
      <c r="C2137" t="str">
        <f ca="1">IF(currency="USD",'Future et co'!D2137,IF(currency="EUR",'Future et co'!E2137,IF(currency="GBP",'Future et co'!F2137,FALSE)))</f>
        <v>RFR USD</v>
      </c>
      <c r="D2137" t="str">
        <f t="shared" ca="1" si="166"/>
        <v>RFR USD</v>
      </c>
      <c r="E2137" t="str">
        <f t="shared" ca="1" si="167"/>
        <v>RFR EUR</v>
      </c>
      <c r="F2137" t="str">
        <f t="shared" ca="1" si="168"/>
        <v>RFR GBP</v>
      </c>
      <c r="J2137" s="1"/>
      <c r="N2137" s="1"/>
      <c r="R2137" s="1"/>
      <c r="V2137" s="1"/>
      <c r="AB2137" s="1"/>
      <c r="AF2137" s="1"/>
      <c r="AJ2137" s="1"/>
      <c r="AN2137" s="1"/>
      <c r="AS2137" s="1"/>
      <c r="AX2137" s="1"/>
    </row>
    <row r="2138" spans="1:50" x14ac:dyDescent="0.3">
      <c r="A2138" s="19">
        <f t="shared" si="169"/>
        <v>48907</v>
      </c>
      <c r="B2138">
        <f t="shared" ca="1" si="165"/>
        <v>-7.6527777777777777</v>
      </c>
      <c r="C2138" t="str">
        <f ca="1">IF(currency="USD",'Future et co'!D2138,IF(currency="EUR",'Future et co'!E2138,IF(currency="GBP",'Future et co'!F2138,FALSE)))</f>
        <v>RFR USD</v>
      </c>
      <c r="D2138" t="str">
        <f t="shared" ca="1" si="166"/>
        <v>RFR USD</v>
      </c>
      <c r="E2138" t="str">
        <f t="shared" ca="1" si="167"/>
        <v>RFR EUR</v>
      </c>
      <c r="F2138" t="str">
        <f t="shared" ca="1" si="168"/>
        <v>RFR GBP</v>
      </c>
      <c r="J2138" s="1"/>
      <c r="N2138" s="1"/>
      <c r="R2138" s="1"/>
      <c r="V2138" s="1"/>
      <c r="AB2138" s="1"/>
      <c r="AF2138" s="1"/>
      <c r="AJ2138" s="1"/>
      <c r="AN2138" s="1"/>
      <c r="AS2138" s="1"/>
      <c r="AX2138" s="1"/>
    </row>
    <row r="2139" spans="1:50" x14ac:dyDescent="0.3">
      <c r="A2139" s="19">
        <f t="shared" si="169"/>
        <v>48908</v>
      </c>
      <c r="B2139">
        <f t="shared" ca="1" si="165"/>
        <v>-7.6555555555555559</v>
      </c>
      <c r="C2139" t="str">
        <f ca="1">IF(currency="USD",'Future et co'!D2139,IF(currency="EUR",'Future et co'!E2139,IF(currency="GBP",'Future et co'!F2139,FALSE)))</f>
        <v>RFR USD</v>
      </c>
      <c r="D2139" t="str">
        <f t="shared" ca="1" si="166"/>
        <v>RFR USD</v>
      </c>
      <c r="E2139" t="str">
        <f t="shared" ca="1" si="167"/>
        <v>RFR EUR</v>
      </c>
      <c r="F2139" t="str">
        <f t="shared" ca="1" si="168"/>
        <v>RFR GBP</v>
      </c>
      <c r="J2139" s="1"/>
      <c r="N2139" s="1"/>
      <c r="R2139" s="1"/>
      <c r="V2139" s="1"/>
      <c r="AB2139" s="1"/>
      <c r="AF2139" s="1"/>
      <c r="AJ2139" s="1"/>
      <c r="AN2139" s="1"/>
      <c r="AS2139" s="1"/>
      <c r="AX2139" s="1"/>
    </row>
    <row r="2140" spans="1:50" x14ac:dyDescent="0.3">
      <c r="A2140" s="19">
        <f t="shared" si="169"/>
        <v>48911</v>
      </c>
      <c r="B2140">
        <f t="shared" ca="1" si="165"/>
        <v>-7.6638888888888888</v>
      </c>
      <c r="C2140" t="str">
        <f ca="1">IF(currency="USD",'Future et co'!D2140,IF(currency="EUR",'Future et co'!E2140,IF(currency="GBP",'Future et co'!F2140,FALSE)))</f>
        <v>RFR USD</v>
      </c>
      <c r="D2140" t="str">
        <f t="shared" ca="1" si="166"/>
        <v>RFR USD</v>
      </c>
      <c r="E2140" t="str">
        <f t="shared" ca="1" si="167"/>
        <v>RFR EUR</v>
      </c>
      <c r="F2140" t="str">
        <f t="shared" ca="1" si="168"/>
        <v>RFR GBP</v>
      </c>
      <c r="J2140" s="1"/>
      <c r="N2140" s="1"/>
      <c r="R2140" s="1"/>
      <c r="V2140" s="1"/>
      <c r="AB2140" s="1"/>
      <c r="AF2140" s="1"/>
      <c r="AJ2140" s="1"/>
      <c r="AN2140" s="1"/>
      <c r="AS2140" s="1"/>
      <c r="AX2140" s="1"/>
    </row>
    <row r="2141" spans="1:50" x14ac:dyDescent="0.3">
      <c r="A2141" s="19">
        <f t="shared" si="169"/>
        <v>48912</v>
      </c>
      <c r="B2141">
        <f t="shared" ca="1" si="165"/>
        <v>-7.666666666666667</v>
      </c>
      <c r="C2141" t="str">
        <f ca="1">IF(currency="USD",'Future et co'!D2141,IF(currency="EUR",'Future et co'!E2141,IF(currency="GBP",'Future et co'!F2141,FALSE)))</f>
        <v>RFR USD</v>
      </c>
      <c r="D2141" t="str">
        <f t="shared" ca="1" si="166"/>
        <v>RFR USD</v>
      </c>
      <c r="E2141" t="str">
        <f t="shared" ca="1" si="167"/>
        <v>RFR EUR</v>
      </c>
      <c r="F2141" t="str">
        <f t="shared" ca="1" si="168"/>
        <v>RFR GBP</v>
      </c>
      <c r="J2141" s="1"/>
      <c r="N2141" s="1"/>
      <c r="R2141" s="1"/>
      <c r="V2141" s="1"/>
      <c r="AB2141" s="1"/>
      <c r="AF2141" s="1"/>
      <c r="AJ2141" s="1"/>
      <c r="AN2141" s="1"/>
      <c r="AS2141" s="1"/>
      <c r="AX2141" s="1"/>
    </row>
    <row r="2142" spans="1:50" x14ac:dyDescent="0.3">
      <c r="A2142" s="19">
        <f t="shared" si="169"/>
        <v>48913</v>
      </c>
      <c r="B2142">
        <f t="shared" ca="1" si="165"/>
        <v>-7.6694444444444443</v>
      </c>
      <c r="C2142" t="str">
        <f ca="1">IF(currency="USD",'Future et co'!D2142,IF(currency="EUR",'Future et co'!E2142,IF(currency="GBP",'Future et co'!F2142,FALSE)))</f>
        <v>RFR USD</v>
      </c>
      <c r="D2142" t="str">
        <f t="shared" ca="1" si="166"/>
        <v>RFR USD</v>
      </c>
      <c r="E2142" t="str">
        <f t="shared" ca="1" si="167"/>
        <v>RFR EUR</v>
      </c>
      <c r="F2142" t="str">
        <f t="shared" ca="1" si="168"/>
        <v>RFR GBP</v>
      </c>
      <c r="J2142" s="1"/>
      <c r="N2142" s="1"/>
      <c r="R2142" s="1"/>
      <c r="V2142" s="1"/>
      <c r="AB2142" s="1"/>
      <c r="AF2142" s="1"/>
      <c r="AJ2142" s="1"/>
      <c r="AN2142" s="1"/>
      <c r="AS2142" s="1"/>
      <c r="AX2142" s="1"/>
    </row>
    <row r="2143" spans="1:50" x14ac:dyDescent="0.3">
      <c r="A2143" s="19">
        <f t="shared" si="169"/>
        <v>48914</v>
      </c>
      <c r="B2143">
        <f t="shared" ca="1" si="165"/>
        <v>-7.6722222222222225</v>
      </c>
      <c r="C2143" t="str">
        <f ca="1">IF(currency="USD",'Future et co'!D2143,IF(currency="EUR",'Future et co'!E2143,IF(currency="GBP",'Future et co'!F2143,FALSE)))</f>
        <v>RFR USD</v>
      </c>
      <c r="D2143" t="str">
        <f t="shared" ca="1" si="166"/>
        <v>RFR USD</v>
      </c>
      <c r="E2143" t="str">
        <f t="shared" ca="1" si="167"/>
        <v>RFR EUR</v>
      </c>
      <c r="F2143" t="str">
        <f t="shared" ca="1" si="168"/>
        <v>RFR GBP</v>
      </c>
      <c r="J2143" s="1"/>
      <c r="N2143" s="1"/>
      <c r="R2143" s="1"/>
      <c r="V2143" s="1"/>
      <c r="AB2143" s="1"/>
      <c r="AF2143" s="1"/>
      <c r="AJ2143" s="1"/>
      <c r="AN2143" s="1"/>
      <c r="AS2143" s="1"/>
      <c r="AX2143" s="1"/>
    </row>
    <row r="2144" spans="1:50" x14ac:dyDescent="0.3">
      <c r="A2144" s="19">
        <f t="shared" si="169"/>
        <v>48915</v>
      </c>
      <c r="B2144">
        <f t="shared" ca="1" si="165"/>
        <v>-7.6749999999999998</v>
      </c>
      <c r="C2144" t="str">
        <f ca="1">IF(currency="USD",'Future et co'!D2144,IF(currency="EUR",'Future et co'!E2144,IF(currency="GBP",'Future et co'!F2144,FALSE)))</f>
        <v>RFR USD</v>
      </c>
      <c r="D2144" t="str">
        <f t="shared" ca="1" si="166"/>
        <v>RFR USD</v>
      </c>
      <c r="E2144" t="str">
        <f t="shared" ca="1" si="167"/>
        <v>RFR EUR</v>
      </c>
      <c r="F2144" t="str">
        <f t="shared" ca="1" si="168"/>
        <v>RFR GBP</v>
      </c>
      <c r="J2144" s="1"/>
      <c r="N2144" s="1"/>
      <c r="R2144" s="1"/>
      <c r="V2144" s="1"/>
      <c r="AB2144" s="1"/>
      <c r="AF2144" s="1"/>
      <c r="AJ2144" s="1"/>
      <c r="AN2144" s="1"/>
      <c r="AS2144" s="1"/>
      <c r="AX2144" s="1"/>
    </row>
    <row r="2145" spans="1:50" x14ac:dyDescent="0.3">
      <c r="A2145" s="19">
        <f t="shared" si="169"/>
        <v>48918</v>
      </c>
      <c r="B2145">
        <f t="shared" ca="1" si="165"/>
        <v>-7.6833333333333336</v>
      </c>
      <c r="C2145" t="str">
        <f ca="1">IF(currency="USD",'Future et co'!D2145,IF(currency="EUR",'Future et co'!E2145,IF(currency="GBP",'Future et co'!F2145,FALSE)))</f>
        <v>RFR USD</v>
      </c>
      <c r="D2145" t="str">
        <f t="shared" ca="1" si="166"/>
        <v>RFR USD</v>
      </c>
      <c r="E2145" t="str">
        <f t="shared" ca="1" si="167"/>
        <v>RFR EUR</v>
      </c>
      <c r="F2145" t="str">
        <f t="shared" ca="1" si="168"/>
        <v>RFR GBP</v>
      </c>
      <c r="J2145" s="1"/>
      <c r="N2145" s="1"/>
      <c r="R2145" s="1"/>
      <c r="V2145" s="1"/>
      <c r="AB2145" s="1"/>
      <c r="AF2145" s="1"/>
      <c r="AJ2145" s="1"/>
      <c r="AN2145" s="1"/>
      <c r="AS2145" s="1"/>
      <c r="AX2145" s="1"/>
    </row>
    <row r="2146" spans="1:50" x14ac:dyDescent="0.3">
      <c r="A2146" s="19">
        <f t="shared" si="169"/>
        <v>48919</v>
      </c>
      <c r="B2146">
        <f t="shared" ca="1" si="165"/>
        <v>-7.6861111111111109</v>
      </c>
      <c r="C2146" t="str">
        <f ca="1">IF(currency="USD",'Future et co'!D2146,IF(currency="EUR",'Future et co'!E2146,IF(currency="GBP",'Future et co'!F2146,FALSE)))</f>
        <v>RFR USD</v>
      </c>
      <c r="D2146" t="str">
        <f t="shared" ca="1" si="166"/>
        <v>RFR USD</v>
      </c>
      <c r="E2146" t="str">
        <f t="shared" ca="1" si="167"/>
        <v>RFR EUR</v>
      </c>
      <c r="F2146" t="str">
        <f t="shared" ca="1" si="168"/>
        <v>RFR GBP</v>
      </c>
      <c r="J2146" s="1"/>
      <c r="N2146" s="1"/>
      <c r="R2146" s="1"/>
      <c r="V2146" s="1"/>
      <c r="AB2146" s="1"/>
      <c r="AF2146" s="1"/>
      <c r="AJ2146" s="1"/>
      <c r="AN2146" s="1"/>
      <c r="AS2146" s="1"/>
      <c r="AX2146" s="1"/>
    </row>
    <row r="2147" spans="1:50" x14ac:dyDescent="0.3">
      <c r="A2147" s="19">
        <f t="shared" si="169"/>
        <v>48920</v>
      </c>
      <c r="B2147">
        <f t="shared" ca="1" si="165"/>
        <v>-7.6888888888888891</v>
      </c>
      <c r="C2147" t="str">
        <f ca="1">IF(currency="USD",'Future et co'!D2147,IF(currency="EUR",'Future et co'!E2147,IF(currency="GBP",'Future et co'!F2147,FALSE)))</f>
        <v>RFR USD</v>
      </c>
      <c r="D2147" t="str">
        <f t="shared" ca="1" si="166"/>
        <v>RFR USD</v>
      </c>
      <c r="E2147" t="str">
        <f t="shared" ca="1" si="167"/>
        <v>RFR EUR</v>
      </c>
      <c r="F2147" t="str">
        <f t="shared" ca="1" si="168"/>
        <v>RFR GBP</v>
      </c>
      <c r="J2147" s="1"/>
      <c r="N2147" s="1"/>
      <c r="R2147" s="1"/>
      <c r="V2147" s="1"/>
      <c r="AB2147" s="1"/>
      <c r="AF2147" s="1"/>
      <c r="AJ2147" s="1"/>
      <c r="AN2147" s="1"/>
      <c r="AS2147" s="1"/>
      <c r="AX2147" s="1"/>
    </row>
    <row r="2148" spans="1:50" x14ac:dyDescent="0.3">
      <c r="A2148" s="19">
        <f t="shared" si="169"/>
        <v>48921</v>
      </c>
      <c r="B2148">
        <f t="shared" ca="1" si="165"/>
        <v>-7.6916666666666664</v>
      </c>
      <c r="C2148" t="str">
        <f ca="1">IF(currency="USD",'Future et co'!D2148,IF(currency="EUR",'Future et co'!E2148,IF(currency="GBP",'Future et co'!F2148,FALSE)))</f>
        <v>RFR USD</v>
      </c>
      <c r="D2148" t="str">
        <f t="shared" ca="1" si="166"/>
        <v>RFR USD</v>
      </c>
      <c r="E2148" t="str">
        <f t="shared" ca="1" si="167"/>
        <v>RFR EUR</v>
      </c>
      <c r="F2148" t="str">
        <f t="shared" ca="1" si="168"/>
        <v>RFR GBP</v>
      </c>
      <c r="J2148" s="1"/>
      <c r="N2148" s="1"/>
      <c r="R2148" s="1"/>
      <c r="V2148" s="1"/>
      <c r="AB2148" s="1"/>
      <c r="AF2148" s="1"/>
      <c r="AJ2148" s="1"/>
      <c r="AN2148" s="1"/>
      <c r="AS2148" s="1"/>
      <c r="AX2148" s="1"/>
    </row>
    <row r="2149" spans="1:50" x14ac:dyDescent="0.3">
      <c r="A2149" s="19">
        <f t="shared" si="169"/>
        <v>48922</v>
      </c>
      <c r="B2149">
        <f t="shared" ca="1" si="165"/>
        <v>-7.6944444444444446</v>
      </c>
      <c r="C2149" t="str">
        <f ca="1">IF(currency="USD",'Future et co'!D2149,IF(currency="EUR",'Future et co'!E2149,IF(currency="GBP",'Future et co'!F2149,FALSE)))</f>
        <v>RFR USD</v>
      </c>
      <c r="D2149" t="str">
        <f t="shared" ca="1" si="166"/>
        <v>RFR USD</v>
      </c>
      <c r="E2149" t="str">
        <f t="shared" ca="1" si="167"/>
        <v>RFR EUR</v>
      </c>
      <c r="F2149" t="str">
        <f t="shared" ca="1" si="168"/>
        <v>RFR GBP</v>
      </c>
      <c r="J2149" s="1"/>
      <c r="N2149" s="1"/>
      <c r="R2149" s="1"/>
      <c r="V2149" s="1"/>
      <c r="AB2149" s="1"/>
      <c r="AF2149" s="1"/>
      <c r="AJ2149" s="1"/>
      <c r="AN2149" s="1"/>
      <c r="AS2149" s="1"/>
      <c r="AX2149" s="1"/>
    </row>
    <row r="2150" spans="1:50" x14ac:dyDescent="0.3">
      <c r="A2150" s="19">
        <f t="shared" si="169"/>
        <v>48925</v>
      </c>
      <c r="B2150">
        <f t="shared" ca="1" si="165"/>
        <v>-7.7027777777777775</v>
      </c>
      <c r="C2150" t="str">
        <f ca="1">IF(currency="USD",'Future et co'!D2150,IF(currency="EUR",'Future et co'!E2150,IF(currency="GBP",'Future et co'!F2150,FALSE)))</f>
        <v>RFR USD</v>
      </c>
      <c r="D2150" t="str">
        <f t="shared" ca="1" si="166"/>
        <v>RFR USD</v>
      </c>
      <c r="E2150" t="str">
        <f t="shared" ca="1" si="167"/>
        <v>RFR EUR</v>
      </c>
      <c r="F2150" t="str">
        <f t="shared" ca="1" si="168"/>
        <v>RFR GBP</v>
      </c>
      <c r="J2150" s="1"/>
      <c r="N2150" s="1"/>
      <c r="R2150" s="1"/>
      <c r="V2150" s="1"/>
      <c r="AB2150" s="1"/>
      <c r="AF2150" s="1"/>
      <c r="AJ2150" s="1"/>
      <c r="AN2150" s="1"/>
      <c r="AS2150" s="1"/>
      <c r="AX2150" s="1"/>
    </row>
    <row r="2151" spans="1:50" x14ac:dyDescent="0.3">
      <c r="A2151" s="19">
        <f t="shared" si="169"/>
        <v>48926</v>
      </c>
      <c r="B2151">
        <f t="shared" ca="1" si="165"/>
        <v>-7.7055555555555557</v>
      </c>
      <c r="C2151" t="str">
        <f ca="1">IF(currency="USD",'Future et co'!D2151,IF(currency="EUR",'Future et co'!E2151,IF(currency="GBP",'Future et co'!F2151,FALSE)))</f>
        <v>RFR USD</v>
      </c>
      <c r="D2151" t="str">
        <f t="shared" ca="1" si="166"/>
        <v>RFR USD</v>
      </c>
      <c r="E2151" t="str">
        <f t="shared" ca="1" si="167"/>
        <v>RFR EUR</v>
      </c>
      <c r="F2151" t="str">
        <f t="shared" ca="1" si="168"/>
        <v>RFR GBP</v>
      </c>
      <c r="J2151" s="1"/>
      <c r="N2151" s="1"/>
      <c r="R2151" s="1"/>
      <c r="V2151" s="1"/>
      <c r="AB2151" s="1"/>
      <c r="AF2151" s="1"/>
      <c r="AJ2151" s="1"/>
      <c r="AN2151" s="1"/>
      <c r="AS2151" s="1"/>
      <c r="AX2151" s="1"/>
    </row>
    <row r="2152" spans="1:50" x14ac:dyDescent="0.3">
      <c r="A2152" s="19">
        <f t="shared" si="169"/>
        <v>48927</v>
      </c>
      <c r="B2152">
        <f t="shared" ca="1" si="165"/>
        <v>-7.708333333333333</v>
      </c>
      <c r="C2152" t="str">
        <f ca="1">IF(currency="USD",'Future et co'!D2152,IF(currency="EUR",'Future et co'!E2152,IF(currency="GBP",'Future et co'!F2152,FALSE)))</f>
        <v>RFR USD</v>
      </c>
      <c r="D2152" t="str">
        <f t="shared" ca="1" si="166"/>
        <v>RFR USD</v>
      </c>
      <c r="E2152" t="str">
        <f t="shared" ca="1" si="167"/>
        <v>RFR EUR</v>
      </c>
      <c r="F2152" t="str">
        <f t="shared" ca="1" si="168"/>
        <v>RFR GBP</v>
      </c>
      <c r="J2152" s="1"/>
      <c r="N2152" s="1"/>
      <c r="R2152" s="1"/>
      <c r="V2152" s="1"/>
      <c r="AB2152" s="1"/>
      <c r="AF2152" s="1"/>
      <c r="AJ2152" s="1"/>
      <c r="AN2152" s="1"/>
      <c r="AS2152" s="1"/>
      <c r="AX2152" s="1"/>
    </row>
    <row r="2153" spans="1:50" x14ac:dyDescent="0.3">
      <c r="A2153" s="19">
        <f t="shared" si="169"/>
        <v>48928</v>
      </c>
      <c r="B2153">
        <f t="shared" ca="1" si="165"/>
        <v>-7.7111111111111112</v>
      </c>
      <c r="C2153" t="str">
        <f ca="1">IF(currency="USD",'Future et co'!D2153,IF(currency="EUR",'Future et co'!E2153,IF(currency="GBP",'Future et co'!F2153,FALSE)))</f>
        <v>RFR USD</v>
      </c>
      <c r="D2153" t="str">
        <f t="shared" ca="1" si="166"/>
        <v>RFR USD</v>
      </c>
      <c r="E2153" t="str">
        <f t="shared" ca="1" si="167"/>
        <v>RFR EUR</v>
      </c>
      <c r="F2153" t="str">
        <f t="shared" ca="1" si="168"/>
        <v>RFR GBP</v>
      </c>
      <c r="J2153" s="1"/>
      <c r="N2153" s="1"/>
      <c r="R2153" s="1"/>
      <c r="V2153" s="1"/>
      <c r="AB2153" s="1"/>
      <c r="AF2153" s="1"/>
      <c r="AJ2153" s="1"/>
      <c r="AN2153" s="1"/>
      <c r="AS2153" s="1"/>
      <c r="AX2153" s="1"/>
    </row>
    <row r="2154" spans="1:50" x14ac:dyDescent="0.3">
      <c r="A2154" s="19">
        <f t="shared" si="169"/>
        <v>48929</v>
      </c>
      <c r="B2154">
        <f t="shared" ca="1" si="165"/>
        <v>-7.7138888888888886</v>
      </c>
      <c r="C2154" t="str">
        <f ca="1">IF(currency="USD",'Future et co'!D2154,IF(currency="EUR",'Future et co'!E2154,IF(currency="GBP",'Future et co'!F2154,FALSE)))</f>
        <v>RFR USD</v>
      </c>
      <c r="D2154" t="str">
        <f t="shared" ca="1" si="166"/>
        <v>RFR USD</v>
      </c>
      <c r="E2154" t="str">
        <f t="shared" ca="1" si="167"/>
        <v>RFR EUR</v>
      </c>
      <c r="F2154" t="str">
        <f t="shared" ca="1" si="168"/>
        <v>RFR GBP</v>
      </c>
      <c r="J2154" s="1"/>
      <c r="N2154" s="1"/>
      <c r="R2154" s="1"/>
      <c r="V2154" s="1"/>
      <c r="AB2154" s="1"/>
      <c r="AF2154" s="1"/>
      <c r="AJ2154" s="1"/>
      <c r="AN2154" s="1"/>
      <c r="AS2154" s="1"/>
      <c r="AX2154" s="1"/>
    </row>
    <row r="2155" spans="1:50" x14ac:dyDescent="0.3">
      <c r="A2155" s="19">
        <f t="shared" si="169"/>
        <v>48932</v>
      </c>
      <c r="B2155">
        <f t="shared" ca="1" si="165"/>
        <v>-7.7222222222222223</v>
      </c>
      <c r="C2155" t="str">
        <f ca="1">IF(currency="USD",'Future et co'!D2155,IF(currency="EUR",'Future et co'!E2155,IF(currency="GBP",'Future et co'!F2155,FALSE)))</f>
        <v>RFR USD</v>
      </c>
      <c r="D2155" t="str">
        <f t="shared" ca="1" si="166"/>
        <v>RFR USD</v>
      </c>
      <c r="E2155" t="str">
        <f t="shared" ca="1" si="167"/>
        <v>RFR EUR</v>
      </c>
      <c r="F2155" t="str">
        <f t="shared" ca="1" si="168"/>
        <v>RFR GBP</v>
      </c>
      <c r="J2155" s="1"/>
      <c r="N2155" s="1"/>
      <c r="R2155" s="1"/>
      <c r="V2155" s="1"/>
      <c r="AB2155" s="1"/>
      <c r="AF2155" s="1"/>
      <c r="AJ2155" s="1"/>
      <c r="AN2155" s="1"/>
      <c r="AS2155" s="1"/>
      <c r="AX2155" s="1"/>
    </row>
    <row r="2156" spans="1:50" x14ac:dyDescent="0.3">
      <c r="A2156" s="19">
        <f t="shared" si="169"/>
        <v>48933</v>
      </c>
      <c r="B2156">
        <f t="shared" ca="1" si="165"/>
        <v>-7.7249999999999996</v>
      </c>
      <c r="C2156" t="str">
        <f ca="1">IF(currency="USD",'Future et co'!D2156,IF(currency="EUR",'Future et co'!E2156,IF(currency="GBP",'Future et co'!F2156,FALSE)))</f>
        <v>RFR USD</v>
      </c>
      <c r="D2156" t="str">
        <f t="shared" ca="1" si="166"/>
        <v>RFR USD</v>
      </c>
      <c r="E2156" t="str">
        <f t="shared" ca="1" si="167"/>
        <v>RFR EUR</v>
      </c>
      <c r="F2156" t="str">
        <f t="shared" ca="1" si="168"/>
        <v>RFR GBP</v>
      </c>
      <c r="J2156" s="1"/>
      <c r="N2156" s="1"/>
      <c r="R2156" s="1"/>
      <c r="V2156" s="1"/>
      <c r="AB2156" s="1"/>
      <c r="AF2156" s="1"/>
      <c r="AJ2156" s="1"/>
      <c r="AN2156" s="1"/>
      <c r="AS2156" s="1"/>
      <c r="AX2156" s="1"/>
    </row>
    <row r="2157" spans="1:50" x14ac:dyDescent="0.3">
      <c r="A2157" s="19">
        <f t="shared" si="169"/>
        <v>48934</v>
      </c>
      <c r="B2157">
        <f t="shared" ca="1" si="165"/>
        <v>-7.7277777777777779</v>
      </c>
      <c r="C2157" t="str">
        <f ca="1">IF(currency="USD",'Future et co'!D2157,IF(currency="EUR",'Future et co'!E2157,IF(currency="GBP",'Future et co'!F2157,FALSE)))</f>
        <v>RFR USD</v>
      </c>
      <c r="D2157" t="str">
        <f t="shared" ca="1" si="166"/>
        <v>RFR USD</v>
      </c>
      <c r="E2157" t="str">
        <f t="shared" ca="1" si="167"/>
        <v>RFR EUR</v>
      </c>
      <c r="F2157" t="str">
        <f t="shared" ca="1" si="168"/>
        <v>RFR GBP</v>
      </c>
      <c r="J2157" s="1"/>
      <c r="N2157" s="1"/>
      <c r="R2157" s="1"/>
      <c r="V2157" s="1"/>
      <c r="AB2157" s="1"/>
      <c r="AF2157" s="1"/>
      <c r="AJ2157" s="1"/>
      <c r="AN2157" s="1"/>
      <c r="AS2157" s="1"/>
      <c r="AX2157" s="1"/>
    </row>
    <row r="2158" spans="1:50" x14ac:dyDescent="0.3">
      <c r="A2158" s="19">
        <f t="shared" si="169"/>
        <v>48935</v>
      </c>
      <c r="B2158">
        <f t="shared" ca="1" si="165"/>
        <v>-7.7305555555555552</v>
      </c>
      <c r="C2158" t="str">
        <f ca="1">IF(currency="USD",'Future et co'!D2158,IF(currency="EUR",'Future et co'!E2158,IF(currency="GBP",'Future et co'!F2158,FALSE)))</f>
        <v>RFR USD</v>
      </c>
      <c r="D2158" t="str">
        <f t="shared" ca="1" si="166"/>
        <v>RFR USD</v>
      </c>
      <c r="E2158" t="str">
        <f t="shared" ca="1" si="167"/>
        <v>RFR EUR</v>
      </c>
      <c r="F2158" t="str">
        <f t="shared" ca="1" si="168"/>
        <v>RFR GBP</v>
      </c>
      <c r="J2158" s="1"/>
      <c r="N2158" s="1"/>
      <c r="R2158" s="1"/>
      <c r="V2158" s="1"/>
      <c r="AB2158" s="1"/>
      <c r="AF2158" s="1"/>
      <c r="AJ2158" s="1"/>
      <c r="AN2158" s="1"/>
      <c r="AS2158" s="1"/>
      <c r="AX2158" s="1"/>
    </row>
    <row r="2159" spans="1:50" x14ac:dyDescent="0.3">
      <c r="A2159" s="19">
        <f t="shared" si="169"/>
        <v>48936</v>
      </c>
      <c r="B2159">
        <f t="shared" ca="1" si="165"/>
        <v>-7.7333333333333334</v>
      </c>
      <c r="C2159" t="str">
        <f ca="1">IF(currency="USD",'Future et co'!D2159,IF(currency="EUR",'Future et co'!E2159,IF(currency="GBP",'Future et co'!F2159,FALSE)))</f>
        <v>RFR USD</v>
      </c>
      <c r="D2159" t="str">
        <f t="shared" ca="1" si="166"/>
        <v>RFR USD</v>
      </c>
      <c r="E2159" t="str">
        <f t="shared" ca="1" si="167"/>
        <v>RFR EUR</v>
      </c>
      <c r="F2159" t="str">
        <f t="shared" ca="1" si="168"/>
        <v>RFR GBP</v>
      </c>
      <c r="J2159" s="1"/>
      <c r="N2159" s="1"/>
      <c r="R2159" s="1"/>
      <c r="V2159" s="1"/>
      <c r="AB2159" s="1"/>
      <c r="AF2159" s="1"/>
      <c r="AJ2159" s="1"/>
      <c r="AN2159" s="1"/>
      <c r="AS2159" s="1"/>
      <c r="AX2159" s="1"/>
    </row>
    <row r="2160" spans="1:50" x14ac:dyDescent="0.3">
      <c r="A2160" s="19">
        <f t="shared" si="169"/>
        <v>48939</v>
      </c>
      <c r="B2160">
        <f t="shared" ca="1" si="165"/>
        <v>-7.7416666666666663</v>
      </c>
      <c r="C2160" t="str">
        <f ca="1">IF(currency="USD",'Future et co'!D2160,IF(currency="EUR",'Future et co'!E2160,IF(currency="GBP",'Future et co'!F2160,FALSE)))</f>
        <v>RFR USD</v>
      </c>
      <c r="D2160" t="str">
        <f t="shared" ca="1" si="166"/>
        <v>RFR USD</v>
      </c>
      <c r="E2160" t="str">
        <f t="shared" ca="1" si="167"/>
        <v>RFR EUR</v>
      </c>
      <c r="F2160" t="str">
        <f t="shared" ca="1" si="168"/>
        <v>RFR GBP</v>
      </c>
      <c r="J2160" s="1"/>
      <c r="N2160" s="1"/>
      <c r="R2160" s="1"/>
      <c r="V2160" s="1"/>
      <c r="AB2160" s="1"/>
      <c r="AF2160" s="1"/>
      <c r="AJ2160" s="1"/>
      <c r="AN2160" s="1"/>
      <c r="AS2160" s="1"/>
      <c r="AX2160" s="1"/>
    </row>
    <row r="2161" spans="1:50" x14ac:dyDescent="0.3">
      <c r="A2161" s="19">
        <f t="shared" si="169"/>
        <v>48940</v>
      </c>
      <c r="B2161">
        <f t="shared" ca="1" si="165"/>
        <v>-7.7444444444444445</v>
      </c>
      <c r="C2161" t="str">
        <f ca="1">IF(currency="USD",'Future et co'!D2161,IF(currency="EUR",'Future et co'!E2161,IF(currency="GBP",'Future et co'!F2161,FALSE)))</f>
        <v>RFR USD</v>
      </c>
      <c r="D2161" t="str">
        <f t="shared" ca="1" si="166"/>
        <v>RFR USD</v>
      </c>
      <c r="E2161" t="str">
        <f t="shared" ca="1" si="167"/>
        <v>RFR EUR</v>
      </c>
      <c r="F2161" t="str">
        <f t="shared" ca="1" si="168"/>
        <v>RFR GBP</v>
      </c>
      <c r="J2161" s="1"/>
      <c r="N2161" s="1"/>
      <c r="R2161" s="1"/>
      <c r="V2161" s="1"/>
      <c r="AB2161" s="1"/>
      <c r="AF2161" s="1"/>
      <c r="AJ2161" s="1"/>
      <c r="AN2161" s="1"/>
      <c r="AS2161" s="1"/>
      <c r="AX2161" s="1"/>
    </row>
    <row r="2162" spans="1:50" x14ac:dyDescent="0.3">
      <c r="A2162" s="19">
        <f t="shared" si="169"/>
        <v>48941</v>
      </c>
      <c r="B2162">
        <f t="shared" ca="1" si="165"/>
        <v>-7.7472222222222218</v>
      </c>
      <c r="C2162" t="str">
        <f ca="1">IF(currency="USD",'Future et co'!D2162,IF(currency="EUR",'Future et co'!E2162,IF(currency="GBP",'Future et co'!F2162,FALSE)))</f>
        <v>RFR USD</v>
      </c>
      <c r="D2162" t="str">
        <f t="shared" ca="1" si="166"/>
        <v>RFR USD</v>
      </c>
      <c r="E2162" t="str">
        <f t="shared" ca="1" si="167"/>
        <v>RFR EUR</v>
      </c>
      <c r="F2162" t="str">
        <f t="shared" ca="1" si="168"/>
        <v>RFR GBP</v>
      </c>
      <c r="J2162" s="1"/>
      <c r="N2162" s="1"/>
      <c r="R2162" s="1"/>
      <c r="V2162" s="1"/>
      <c r="AB2162" s="1"/>
      <c r="AF2162" s="1"/>
      <c r="AJ2162" s="1"/>
      <c r="AN2162" s="1"/>
      <c r="AS2162" s="1"/>
      <c r="AX2162" s="1"/>
    </row>
    <row r="2163" spans="1:50" x14ac:dyDescent="0.3">
      <c r="A2163" s="19">
        <f t="shared" si="169"/>
        <v>48942</v>
      </c>
      <c r="B2163">
        <f t="shared" ca="1" si="165"/>
        <v>-7.75</v>
      </c>
      <c r="C2163" t="str">
        <f ca="1">IF(currency="USD",'Future et co'!D2163,IF(currency="EUR",'Future et co'!E2163,IF(currency="GBP",'Future et co'!F2163,FALSE)))</f>
        <v>RFR USD</v>
      </c>
      <c r="D2163" t="str">
        <f t="shared" ca="1" si="166"/>
        <v>RFR USD</v>
      </c>
      <c r="E2163" t="str">
        <f t="shared" ca="1" si="167"/>
        <v>RFR EUR</v>
      </c>
      <c r="F2163" t="str">
        <f t="shared" ca="1" si="168"/>
        <v>RFR GBP</v>
      </c>
      <c r="J2163" s="1"/>
      <c r="N2163" s="1"/>
      <c r="R2163" s="1"/>
      <c r="V2163" s="1"/>
      <c r="AB2163" s="1"/>
      <c r="AF2163" s="1"/>
      <c r="AJ2163" s="1"/>
      <c r="AN2163" s="1"/>
      <c r="AS2163" s="1"/>
      <c r="AX2163" s="1"/>
    </row>
    <row r="2164" spans="1:50" x14ac:dyDescent="0.3">
      <c r="A2164" s="19">
        <f t="shared" si="169"/>
        <v>48943</v>
      </c>
      <c r="B2164">
        <f t="shared" ca="1" si="165"/>
        <v>-7.7527777777777782</v>
      </c>
      <c r="C2164" t="str">
        <f ca="1">IF(currency="USD",'Future et co'!D2164,IF(currency="EUR",'Future et co'!E2164,IF(currency="GBP",'Future et co'!F2164,FALSE)))</f>
        <v>RFR USD</v>
      </c>
      <c r="D2164" t="str">
        <f t="shared" ca="1" si="166"/>
        <v>RFR USD</v>
      </c>
      <c r="E2164" t="str">
        <f t="shared" ca="1" si="167"/>
        <v>RFR EUR</v>
      </c>
      <c r="F2164" t="str">
        <f t="shared" ca="1" si="168"/>
        <v>RFR GBP</v>
      </c>
      <c r="J2164" s="1"/>
      <c r="N2164" s="1"/>
      <c r="R2164" s="1"/>
      <c r="V2164" s="1"/>
      <c r="AB2164" s="1"/>
      <c r="AF2164" s="1"/>
      <c r="AJ2164" s="1"/>
      <c r="AN2164" s="1"/>
      <c r="AS2164" s="1"/>
      <c r="AX2164" s="1"/>
    </row>
    <row r="2165" spans="1:50" x14ac:dyDescent="0.3">
      <c r="A2165" s="19">
        <f t="shared" si="169"/>
        <v>48946</v>
      </c>
      <c r="B2165">
        <f t="shared" ca="1" si="165"/>
        <v>-7.7611111111111111</v>
      </c>
      <c r="C2165" t="str">
        <f ca="1">IF(currency="USD",'Future et co'!D2165,IF(currency="EUR",'Future et co'!E2165,IF(currency="GBP",'Future et co'!F2165,FALSE)))</f>
        <v>RFR USD</v>
      </c>
      <c r="D2165" t="str">
        <f t="shared" ca="1" si="166"/>
        <v>RFR USD</v>
      </c>
      <c r="E2165" t="str">
        <f t="shared" ca="1" si="167"/>
        <v>RFR EUR</v>
      </c>
      <c r="F2165" t="str">
        <f t="shared" ca="1" si="168"/>
        <v>RFR GBP</v>
      </c>
      <c r="J2165" s="1"/>
      <c r="N2165" s="1"/>
      <c r="R2165" s="1"/>
      <c r="V2165" s="1"/>
      <c r="AB2165" s="1"/>
      <c r="AF2165" s="1"/>
      <c r="AJ2165" s="1"/>
      <c r="AN2165" s="1"/>
      <c r="AS2165" s="1"/>
      <c r="AX2165" s="1"/>
    </row>
    <row r="2166" spans="1:50" x14ac:dyDescent="0.3">
      <c r="A2166" s="19">
        <f t="shared" si="169"/>
        <v>48947</v>
      </c>
      <c r="B2166">
        <f t="shared" ca="1" si="165"/>
        <v>-7.7638888888888893</v>
      </c>
      <c r="C2166" t="str">
        <f ca="1">IF(currency="USD",'Future et co'!D2166,IF(currency="EUR",'Future et co'!E2166,IF(currency="GBP",'Future et co'!F2166,FALSE)))</f>
        <v>RFR USD</v>
      </c>
      <c r="D2166" t="str">
        <f t="shared" ca="1" si="166"/>
        <v>RFR USD</v>
      </c>
      <c r="E2166" t="str">
        <f t="shared" ca="1" si="167"/>
        <v>RFR EUR</v>
      </c>
      <c r="F2166" t="str">
        <f t="shared" ca="1" si="168"/>
        <v>RFR GBP</v>
      </c>
      <c r="J2166" s="1"/>
      <c r="N2166" s="1"/>
      <c r="R2166" s="1"/>
      <c r="V2166" s="1"/>
      <c r="AB2166" s="1"/>
      <c r="AF2166" s="1"/>
      <c r="AJ2166" s="1"/>
      <c r="AN2166" s="1"/>
      <c r="AS2166" s="1"/>
      <c r="AX2166" s="1"/>
    </row>
    <row r="2167" spans="1:50" x14ac:dyDescent="0.3">
      <c r="A2167" s="19">
        <f t="shared" si="169"/>
        <v>48948</v>
      </c>
      <c r="B2167">
        <f t="shared" ca="1" si="165"/>
        <v>-7.7666666666666666</v>
      </c>
      <c r="C2167" t="str">
        <f ca="1">IF(currency="USD",'Future et co'!D2167,IF(currency="EUR",'Future et co'!E2167,IF(currency="GBP",'Future et co'!F2167,FALSE)))</f>
        <v>RFR USD</v>
      </c>
      <c r="D2167" t="str">
        <f t="shared" ca="1" si="166"/>
        <v>RFR USD</v>
      </c>
      <c r="E2167" t="str">
        <f t="shared" ca="1" si="167"/>
        <v>RFR EUR</v>
      </c>
      <c r="F2167" t="str">
        <f t="shared" ca="1" si="168"/>
        <v>RFR GBP</v>
      </c>
      <c r="J2167" s="1"/>
      <c r="N2167" s="1"/>
      <c r="R2167" s="1"/>
      <c r="V2167" s="1"/>
      <c r="AB2167" s="1"/>
      <c r="AF2167" s="1"/>
      <c r="AJ2167" s="1"/>
      <c r="AN2167" s="1"/>
      <c r="AS2167" s="1"/>
      <c r="AX2167" s="1"/>
    </row>
    <row r="2168" spans="1:50" x14ac:dyDescent="0.3">
      <c r="A2168" s="19">
        <f t="shared" si="169"/>
        <v>48949</v>
      </c>
      <c r="B2168">
        <f t="shared" ca="1" si="165"/>
        <v>-7.7694444444444448</v>
      </c>
      <c r="C2168" t="str">
        <f ca="1">IF(currency="USD",'Future et co'!D2168,IF(currency="EUR",'Future et co'!E2168,IF(currency="GBP",'Future et co'!F2168,FALSE)))</f>
        <v>RFR USD</v>
      </c>
      <c r="D2168" t="str">
        <f t="shared" ca="1" si="166"/>
        <v>RFR USD</v>
      </c>
      <c r="E2168" t="str">
        <f t="shared" ca="1" si="167"/>
        <v>RFR EUR</v>
      </c>
      <c r="F2168" t="str">
        <f t="shared" ca="1" si="168"/>
        <v>RFR GBP</v>
      </c>
      <c r="J2168" s="1"/>
      <c r="N2168" s="1"/>
      <c r="R2168" s="1"/>
      <c r="V2168" s="1"/>
      <c r="AB2168" s="1"/>
      <c r="AF2168" s="1"/>
      <c r="AJ2168" s="1"/>
      <c r="AN2168" s="1"/>
      <c r="AS2168" s="1"/>
      <c r="AX2168" s="1"/>
    </row>
    <row r="2169" spans="1:50" x14ac:dyDescent="0.3">
      <c r="A2169" s="19">
        <f t="shared" si="169"/>
        <v>48950</v>
      </c>
      <c r="B2169">
        <f t="shared" ca="1" si="165"/>
        <v>-7.7722222222222221</v>
      </c>
      <c r="C2169" t="str">
        <f ca="1">IF(currency="USD",'Future et co'!D2169,IF(currency="EUR",'Future et co'!E2169,IF(currency="GBP",'Future et co'!F2169,FALSE)))</f>
        <v>RFR USD</v>
      </c>
      <c r="D2169" t="str">
        <f t="shared" ca="1" si="166"/>
        <v>RFR USD</v>
      </c>
      <c r="E2169" t="str">
        <f t="shared" ca="1" si="167"/>
        <v>RFR EUR</v>
      </c>
      <c r="F2169" t="str">
        <f t="shared" ca="1" si="168"/>
        <v>RFR GBP</v>
      </c>
      <c r="J2169" s="1"/>
      <c r="N2169" s="1"/>
      <c r="R2169" s="1"/>
      <c r="V2169" s="1"/>
      <c r="AB2169" s="1"/>
      <c r="AF2169" s="1"/>
      <c r="AJ2169" s="1"/>
      <c r="AN2169" s="1"/>
      <c r="AS2169" s="1"/>
      <c r="AX2169" s="1"/>
    </row>
    <row r="2170" spans="1:50" x14ac:dyDescent="0.3">
      <c r="A2170" s="19">
        <f t="shared" si="169"/>
        <v>48953</v>
      </c>
      <c r="B2170">
        <f t="shared" ca="1" si="165"/>
        <v>-7.7805555555555559</v>
      </c>
      <c r="C2170" t="str">
        <f ca="1">IF(currency="USD",'Future et co'!D2170,IF(currency="EUR",'Future et co'!E2170,IF(currency="GBP",'Future et co'!F2170,FALSE)))</f>
        <v>RFR USD</v>
      </c>
      <c r="D2170" t="str">
        <f t="shared" ca="1" si="166"/>
        <v>RFR USD</v>
      </c>
      <c r="E2170" t="str">
        <f t="shared" ca="1" si="167"/>
        <v>RFR EUR</v>
      </c>
      <c r="F2170" t="str">
        <f t="shared" ca="1" si="168"/>
        <v>RFR GBP</v>
      </c>
      <c r="J2170" s="1"/>
      <c r="N2170" s="1"/>
      <c r="R2170" s="1"/>
      <c r="V2170" s="1"/>
      <c r="AB2170" s="1"/>
      <c r="AF2170" s="1"/>
      <c r="AJ2170" s="1"/>
      <c r="AN2170" s="1"/>
      <c r="AS2170" s="1"/>
      <c r="AX2170" s="1"/>
    </row>
    <row r="2171" spans="1:50" x14ac:dyDescent="0.3">
      <c r="A2171" s="19">
        <f t="shared" si="169"/>
        <v>48954</v>
      </c>
      <c r="B2171">
        <f t="shared" ca="1" si="165"/>
        <v>-7.7833333333333332</v>
      </c>
      <c r="C2171" t="str">
        <f ca="1">IF(currency="USD",'Future et co'!D2171,IF(currency="EUR",'Future et co'!E2171,IF(currency="GBP",'Future et co'!F2171,FALSE)))</f>
        <v>RFR USD</v>
      </c>
      <c r="D2171" t="str">
        <f t="shared" ca="1" si="166"/>
        <v>RFR USD</v>
      </c>
      <c r="E2171" t="str">
        <f t="shared" ca="1" si="167"/>
        <v>RFR EUR</v>
      </c>
      <c r="F2171" t="str">
        <f t="shared" ca="1" si="168"/>
        <v>RFR GBP</v>
      </c>
      <c r="J2171" s="1"/>
      <c r="N2171" s="1"/>
      <c r="R2171" s="1"/>
      <c r="V2171" s="1"/>
      <c r="AB2171" s="1"/>
      <c r="AF2171" s="1"/>
      <c r="AJ2171" s="1"/>
      <c r="AN2171" s="1"/>
      <c r="AS2171" s="1"/>
      <c r="AX2171" s="1"/>
    </row>
    <row r="2172" spans="1:50" x14ac:dyDescent="0.3">
      <c r="A2172" s="19">
        <f t="shared" si="169"/>
        <v>48955</v>
      </c>
      <c r="B2172">
        <f t="shared" ca="1" si="165"/>
        <v>-7.7861111111111114</v>
      </c>
      <c r="C2172" t="str">
        <f ca="1">IF(currency="USD",'Future et co'!D2172,IF(currency="EUR",'Future et co'!E2172,IF(currency="GBP",'Future et co'!F2172,FALSE)))</f>
        <v>RFR USD</v>
      </c>
      <c r="D2172" t="str">
        <f t="shared" ca="1" si="166"/>
        <v>RFR USD</v>
      </c>
      <c r="E2172" t="str">
        <f t="shared" ca="1" si="167"/>
        <v>RFR EUR</v>
      </c>
      <c r="F2172" t="str">
        <f t="shared" ca="1" si="168"/>
        <v>RFR GBP</v>
      </c>
      <c r="J2172" s="1"/>
      <c r="N2172" s="1"/>
      <c r="R2172" s="1"/>
      <c r="V2172" s="1"/>
      <c r="AB2172" s="1"/>
      <c r="AF2172" s="1"/>
      <c r="AJ2172" s="1"/>
      <c r="AN2172" s="1"/>
      <c r="AS2172" s="1"/>
      <c r="AX2172" s="1"/>
    </row>
    <row r="2173" spans="1:50" x14ac:dyDescent="0.3">
      <c r="A2173" s="19">
        <f t="shared" si="169"/>
        <v>48956</v>
      </c>
      <c r="B2173">
        <f t="shared" ca="1" si="165"/>
        <v>-7.7888888888888888</v>
      </c>
      <c r="C2173" t="str">
        <f ca="1">IF(currency="USD",'Future et co'!D2173,IF(currency="EUR",'Future et co'!E2173,IF(currency="GBP",'Future et co'!F2173,FALSE)))</f>
        <v>RFR USD</v>
      </c>
      <c r="D2173" t="str">
        <f t="shared" ca="1" si="166"/>
        <v>RFR USD</v>
      </c>
      <c r="E2173" t="str">
        <f t="shared" ca="1" si="167"/>
        <v>RFR EUR</v>
      </c>
      <c r="F2173" t="str">
        <f t="shared" ca="1" si="168"/>
        <v>RFR GBP</v>
      </c>
      <c r="J2173" s="1"/>
      <c r="N2173" s="1"/>
      <c r="R2173" s="1"/>
      <c r="V2173" s="1"/>
      <c r="AB2173" s="1"/>
      <c r="AF2173" s="1"/>
      <c r="AJ2173" s="1"/>
      <c r="AN2173" s="1"/>
      <c r="AS2173" s="1"/>
      <c r="AX2173" s="1"/>
    </row>
    <row r="2174" spans="1:50" x14ac:dyDescent="0.3">
      <c r="A2174" s="19">
        <f t="shared" si="169"/>
        <v>48957</v>
      </c>
      <c r="B2174">
        <f t="shared" ca="1" si="165"/>
        <v>-7.791666666666667</v>
      </c>
      <c r="C2174" t="str">
        <f ca="1">IF(currency="USD",'Future et co'!D2174,IF(currency="EUR",'Future et co'!E2174,IF(currency="GBP",'Future et co'!F2174,FALSE)))</f>
        <v>RFR USD</v>
      </c>
      <c r="D2174" t="str">
        <f t="shared" ca="1" si="166"/>
        <v>RFR USD</v>
      </c>
      <c r="E2174" t="str">
        <f t="shared" ca="1" si="167"/>
        <v>RFR EUR</v>
      </c>
      <c r="F2174" t="str">
        <f t="shared" ca="1" si="168"/>
        <v>RFR GBP</v>
      </c>
      <c r="J2174" s="1"/>
      <c r="N2174" s="1"/>
      <c r="R2174" s="1"/>
      <c r="V2174" s="1"/>
      <c r="AB2174" s="1"/>
      <c r="AF2174" s="1"/>
      <c r="AJ2174" s="1"/>
      <c r="AN2174" s="1"/>
      <c r="AS2174" s="1"/>
      <c r="AX2174" s="1"/>
    </row>
    <row r="2175" spans="1:50" x14ac:dyDescent="0.3">
      <c r="A2175" s="19">
        <f t="shared" si="169"/>
        <v>48960</v>
      </c>
      <c r="B2175">
        <f t="shared" ca="1" si="165"/>
        <v>-7.8</v>
      </c>
      <c r="C2175" t="str">
        <f ca="1">IF(currency="USD",'Future et co'!D2175,IF(currency="EUR",'Future et co'!E2175,IF(currency="GBP",'Future et co'!F2175,FALSE)))</f>
        <v>RFR USD</v>
      </c>
      <c r="D2175" t="str">
        <f t="shared" ca="1" si="166"/>
        <v>RFR USD</v>
      </c>
      <c r="E2175" t="str">
        <f t="shared" ca="1" si="167"/>
        <v>RFR EUR</v>
      </c>
      <c r="F2175" t="str">
        <f t="shared" ca="1" si="168"/>
        <v>RFR GBP</v>
      </c>
      <c r="J2175" s="1"/>
      <c r="N2175" s="1"/>
      <c r="R2175" s="1"/>
      <c r="V2175" s="1"/>
      <c r="AB2175" s="1"/>
      <c r="AF2175" s="1"/>
      <c r="AJ2175" s="1"/>
      <c r="AN2175" s="1"/>
      <c r="AS2175" s="1"/>
      <c r="AX2175" s="1"/>
    </row>
    <row r="2176" spans="1:50" x14ac:dyDescent="0.3">
      <c r="A2176" s="19">
        <f t="shared" si="169"/>
        <v>48961</v>
      </c>
      <c r="B2176">
        <f t="shared" ca="1" si="165"/>
        <v>-7.802777777777778</v>
      </c>
      <c r="C2176" t="str">
        <f ca="1">IF(currency="USD",'Future et co'!D2176,IF(currency="EUR",'Future et co'!E2176,IF(currency="GBP",'Future et co'!F2176,FALSE)))</f>
        <v>RFR USD</v>
      </c>
      <c r="D2176" t="str">
        <f t="shared" ca="1" si="166"/>
        <v>RFR USD</v>
      </c>
      <c r="E2176" t="str">
        <f t="shared" ca="1" si="167"/>
        <v>RFR EUR</v>
      </c>
      <c r="F2176" t="str">
        <f t="shared" ca="1" si="168"/>
        <v>RFR GBP</v>
      </c>
      <c r="J2176" s="1"/>
      <c r="N2176" s="1"/>
      <c r="R2176" s="1"/>
      <c r="V2176" s="1"/>
      <c r="AB2176" s="1"/>
      <c r="AF2176" s="1"/>
      <c r="AJ2176" s="1"/>
      <c r="AN2176" s="1"/>
      <c r="AS2176" s="1"/>
      <c r="AX2176" s="1"/>
    </row>
    <row r="2177" spans="1:50" x14ac:dyDescent="0.3">
      <c r="A2177" s="19">
        <f t="shared" si="169"/>
        <v>48962</v>
      </c>
      <c r="B2177">
        <f t="shared" ca="1" si="165"/>
        <v>-7.8055555555555554</v>
      </c>
      <c r="C2177" t="str">
        <f ca="1">IF(currency="USD",'Future et co'!D2177,IF(currency="EUR",'Future et co'!E2177,IF(currency="GBP",'Future et co'!F2177,FALSE)))</f>
        <v>RFR USD</v>
      </c>
      <c r="D2177" t="str">
        <f t="shared" ca="1" si="166"/>
        <v>RFR USD</v>
      </c>
      <c r="E2177" t="str">
        <f t="shared" ca="1" si="167"/>
        <v>RFR EUR</v>
      </c>
      <c r="F2177" t="str">
        <f t="shared" ca="1" si="168"/>
        <v>RFR GBP</v>
      </c>
      <c r="J2177" s="1"/>
      <c r="N2177" s="1"/>
      <c r="R2177" s="1"/>
      <c r="V2177" s="1"/>
      <c r="AB2177" s="1"/>
      <c r="AF2177" s="1"/>
      <c r="AJ2177" s="1"/>
      <c r="AN2177" s="1"/>
      <c r="AS2177" s="1"/>
      <c r="AX2177" s="1"/>
    </row>
    <row r="2178" spans="1:50" x14ac:dyDescent="0.3">
      <c r="A2178" s="19">
        <f t="shared" si="169"/>
        <v>48963</v>
      </c>
      <c r="B2178">
        <f t="shared" ca="1" si="165"/>
        <v>-7.8083333333333336</v>
      </c>
      <c r="C2178" t="str">
        <f ca="1">IF(currency="USD",'Future et co'!D2178,IF(currency="EUR",'Future et co'!E2178,IF(currency="GBP",'Future et co'!F2178,FALSE)))</f>
        <v>RFR USD</v>
      </c>
      <c r="D2178" t="str">
        <f t="shared" ca="1" si="166"/>
        <v>RFR USD</v>
      </c>
      <c r="E2178" t="str">
        <f t="shared" ca="1" si="167"/>
        <v>RFR EUR</v>
      </c>
      <c r="F2178" t="str">
        <f t="shared" ca="1" si="168"/>
        <v>RFR GBP</v>
      </c>
      <c r="J2178" s="1"/>
      <c r="N2178" s="1"/>
      <c r="R2178" s="1"/>
      <c r="V2178" s="1"/>
      <c r="AB2178" s="1"/>
      <c r="AF2178" s="1"/>
      <c r="AJ2178" s="1"/>
      <c r="AN2178" s="1"/>
      <c r="AS2178" s="1"/>
      <c r="AX2178" s="1"/>
    </row>
    <row r="2179" spans="1:50" x14ac:dyDescent="0.3">
      <c r="A2179" s="19">
        <f t="shared" si="169"/>
        <v>48964</v>
      </c>
      <c r="B2179">
        <f t="shared" ca="1" si="165"/>
        <v>-7.8111111111111109</v>
      </c>
      <c r="C2179" t="str">
        <f ca="1">IF(currency="USD",'Future et co'!D2179,IF(currency="EUR",'Future et co'!E2179,IF(currency="GBP",'Future et co'!F2179,FALSE)))</f>
        <v>RFR USD</v>
      </c>
      <c r="D2179" t="str">
        <f t="shared" ca="1" si="166"/>
        <v>RFR USD</v>
      </c>
      <c r="E2179" t="str">
        <f t="shared" ca="1" si="167"/>
        <v>RFR EUR</v>
      </c>
      <c r="F2179" t="str">
        <f t="shared" ca="1" si="168"/>
        <v>RFR GBP</v>
      </c>
      <c r="J2179" s="1"/>
      <c r="N2179" s="1"/>
      <c r="R2179" s="1"/>
      <c r="V2179" s="1"/>
      <c r="AB2179" s="1"/>
      <c r="AF2179" s="1"/>
      <c r="AJ2179" s="1"/>
      <c r="AN2179" s="1"/>
      <c r="AS2179" s="1"/>
      <c r="AX2179" s="1"/>
    </row>
    <row r="2180" spans="1:50" x14ac:dyDescent="0.3">
      <c r="A2180" s="19">
        <f t="shared" si="169"/>
        <v>48967</v>
      </c>
      <c r="B2180">
        <f t="shared" ca="1" si="165"/>
        <v>-7.8194444444444446</v>
      </c>
      <c r="C2180" t="str">
        <f ca="1">IF(currency="USD",'Future et co'!D2180,IF(currency="EUR",'Future et co'!E2180,IF(currency="GBP",'Future et co'!F2180,FALSE)))</f>
        <v>RFR USD</v>
      </c>
      <c r="D2180" t="str">
        <f t="shared" ca="1" si="166"/>
        <v>RFR USD</v>
      </c>
      <c r="E2180" t="str">
        <f t="shared" ca="1" si="167"/>
        <v>RFR EUR</v>
      </c>
      <c r="F2180" t="str">
        <f t="shared" ca="1" si="168"/>
        <v>RFR GBP</v>
      </c>
      <c r="J2180" s="1"/>
      <c r="N2180" s="1"/>
      <c r="R2180" s="1"/>
      <c r="V2180" s="1"/>
      <c r="AB2180" s="1"/>
      <c r="AF2180" s="1"/>
      <c r="AJ2180" s="1"/>
      <c r="AN2180" s="1"/>
      <c r="AS2180" s="1"/>
      <c r="AX2180" s="1"/>
    </row>
    <row r="2181" spans="1:50" x14ac:dyDescent="0.3">
      <c r="A2181" s="19">
        <f t="shared" si="169"/>
        <v>48968</v>
      </c>
      <c r="B2181">
        <f t="shared" ca="1" si="165"/>
        <v>-7.822222222222222</v>
      </c>
      <c r="C2181" t="str">
        <f ca="1">IF(currency="USD",'Future et co'!D2181,IF(currency="EUR",'Future et co'!E2181,IF(currency="GBP",'Future et co'!F2181,FALSE)))</f>
        <v>RFR USD</v>
      </c>
      <c r="D2181" t="str">
        <f t="shared" ca="1" si="166"/>
        <v>RFR USD</v>
      </c>
      <c r="E2181" t="str">
        <f t="shared" ca="1" si="167"/>
        <v>RFR EUR</v>
      </c>
      <c r="F2181" t="str">
        <f t="shared" ca="1" si="168"/>
        <v>RFR GBP</v>
      </c>
      <c r="J2181" s="1"/>
      <c r="N2181" s="1"/>
      <c r="R2181" s="1"/>
      <c r="V2181" s="1"/>
      <c r="AB2181" s="1"/>
      <c r="AF2181" s="1"/>
      <c r="AJ2181" s="1"/>
      <c r="AN2181" s="1"/>
      <c r="AS2181" s="1"/>
      <c r="AX2181" s="1"/>
    </row>
    <row r="2182" spans="1:50" x14ac:dyDescent="0.3">
      <c r="A2182" s="19">
        <f t="shared" si="169"/>
        <v>48969</v>
      </c>
      <c r="B2182">
        <f t="shared" ca="1" si="165"/>
        <v>-7.8250000000000002</v>
      </c>
      <c r="C2182" t="str">
        <f ca="1">IF(currency="USD",'Future et co'!D2182,IF(currency="EUR",'Future et co'!E2182,IF(currency="GBP",'Future et co'!F2182,FALSE)))</f>
        <v>RFR USD</v>
      </c>
      <c r="D2182" t="str">
        <f t="shared" ca="1" si="166"/>
        <v>RFR USD</v>
      </c>
      <c r="E2182" t="str">
        <f t="shared" ca="1" si="167"/>
        <v>RFR EUR</v>
      </c>
      <c r="F2182" t="str">
        <f t="shared" ca="1" si="168"/>
        <v>RFR GBP</v>
      </c>
      <c r="J2182" s="1"/>
      <c r="N2182" s="1"/>
      <c r="R2182" s="1"/>
      <c r="V2182" s="1"/>
      <c r="AB2182" s="1"/>
      <c r="AF2182" s="1"/>
      <c r="AJ2182" s="1"/>
      <c r="AN2182" s="1"/>
      <c r="AS2182" s="1"/>
      <c r="AX2182" s="1"/>
    </row>
    <row r="2183" spans="1:50" x14ac:dyDescent="0.3">
      <c r="A2183" s="19">
        <f t="shared" si="169"/>
        <v>48970</v>
      </c>
      <c r="B2183">
        <f t="shared" ca="1" si="165"/>
        <v>-7.8277777777777775</v>
      </c>
      <c r="C2183" t="str">
        <f ca="1">IF(currency="USD",'Future et co'!D2183,IF(currency="EUR",'Future et co'!E2183,IF(currency="GBP",'Future et co'!F2183,FALSE)))</f>
        <v>RFR USD</v>
      </c>
      <c r="D2183" t="str">
        <f t="shared" ca="1" si="166"/>
        <v>RFR USD</v>
      </c>
      <c r="E2183" t="str">
        <f t="shared" ca="1" si="167"/>
        <v>RFR EUR</v>
      </c>
      <c r="F2183" t="str">
        <f t="shared" ca="1" si="168"/>
        <v>RFR GBP</v>
      </c>
      <c r="J2183" s="1"/>
      <c r="N2183" s="1"/>
      <c r="R2183" s="1"/>
      <c r="V2183" s="1"/>
      <c r="AB2183" s="1"/>
      <c r="AF2183" s="1"/>
      <c r="AJ2183" s="1"/>
      <c r="AN2183" s="1"/>
      <c r="AS2183" s="1"/>
      <c r="AX2183" s="1"/>
    </row>
    <row r="2184" spans="1:50" x14ac:dyDescent="0.3">
      <c r="A2184" s="19">
        <f t="shared" si="169"/>
        <v>48971</v>
      </c>
      <c r="B2184">
        <f t="shared" ca="1" si="165"/>
        <v>-7.8305555555555557</v>
      </c>
      <c r="C2184" t="str">
        <f ca="1">IF(currency="USD",'Future et co'!D2184,IF(currency="EUR",'Future et co'!E2184,IF(currency="GBP",'Future et co'!F2184,FALSE)))</f>
        <v>RFR USD</v>
      </c>
      <c r="D2184" t="str">
        <f t="shared" ca="1" si="166"/>
        <v>RFR USD</v>
      </c>
      <c r="E2184" t="str">
        <f t="shared" ca="1" si="167"/>
        <v>RFR EUR</v>
      </c>
      <c r="F2184" t="str">
        <f t="shared" ca="1" si="168"/>
        <v>RFR GBP</v>
      </c>
      <c r="J2184" s="1"/>
      <c r="N2184" s="1"/>
      <c r="R2184" s="1"/>
      <c r="V2184" s="1"/>
      <c r="AB2184" s="1"/>
      <c r="AF2184" s="1"/>
      <c r="AJ2184" s="1"/>
      <c r="AN2184" s="1"/>
      <c r="AS2184" s="1"/>
      <c r="AX2184" s="1"/>
    </row>
    <row r="2185" spans="1:50" x14ac:dyDescent="0.3">
      <c r="A2185" s="19">
        <f t="shared" si="169"/>
        <v>48974</v>
      </c>
      <c r="B2185">
        <f t="shared" ca="1" si="165"/>
        <v>-7.8388888888888886</v>
      </c>
      <c r="C2185" t="str">
        <f ca="1">IF(currency="USD",'Future et co'!D2185,IF(currency="EUR",'Future et co'!E2185,IF(currency="GBP",'Future et co'!F2185,FALSE)))</f>
        <v>RFR USD</v>
      </c>
      <c r="D2185" t="str">
        <f t="shared" ca="1" si="166"/>
        <v>RFR USD</v>
      </c>
      <c r="E2185" t="str">
        <f t="shared" ca="1" si="167"/>
        <v>RFR EUR</v>
      </c>
      <c r="F2185" t="str">
        <f t="shared" ca="1" si="168"/>
        <v>RFR GBP</v>
      </c>
      <c r="J2185" s="1"/>
      <c r="N2185" s="1"/>
      <c r="R2185" s="1"/>
      <c r="V2185" s="1"/>
      <c r="AB2185" s="1"/>
      <c r="AF2185" s="1"/>
      <c r="AJ2185" s="1"/>
      <c r="AN2185" s="1"/>
      <c r="AS2185" s="1"/>
      <c r="AX2185" s="1"/>
    </row>
    <row r="2186" spans="1:50" x14ac:dyDescent="0.3">
      <c r="A2186" s="19">
        <f t="shared" si="169"/>
        <v>48975</v>
      </c>
      <c r="B2186">
        <f t="shared" ca="1" si="165"/>
        <v>-7.8416666666666668</v>
      </c>
      <c r="C2186" t="str">
        <f ca="1">IF(currency="USD",'Future et co'!D2186,IF(currency="EUR",'Future et co'!E2186,IF(currency="GBP",'Future et co'!F2186,FALSE)))</f>
        <v>RFR USD</v>
      </c>
      <c r="D2186" t="str">
        <f t="shared" ca="1" si="166"/>
        <v>RFR USD</v>
      </c>
      <c r="E2186" t="str">
        <f t="shared" ca="1" si="167"/>
        <v>RFR EUR</v>
      </c>
      <c r="F2186" t="str">
        <f t="shared" ca="1" si="168"/>
        <v>RFR GBP</v>
      </c>
      <c r="J2186" s="1"/>
      <c r="N2186" s="1"/>
      <c r="R2186" s="1"/>
      <c r="V2186" s="1"/>
      <c r="AB2186" s="1"/>
      <c r="AF2186" s="1"/>
      <c r="AJ2186" s="1"/>
      <c r="AN2186" s="1"/>
      <c r="AS2186" s="1"/>
      <c r="AX2186" s="1"/>
    </row>
    <row r="2187" spans="1:50" x14ac:dyDescent="0.3">
      <c r="A2187" s="19">
        <f t="shared" si="169"/>
        <v>48976</v>
      </c>
      <c r="B2187">
        <f t="shared" ref="B2187:B2250" ca="1" si="170">($B$7-A2187)/360</f>
        <v>-7.8444444444444441</v>
      </c>
      <c r="C2187" t="str">
        <f ca="1">IF(currency="USD",'Future et co'!D2187,IF(currency="EUR",'Future et co'!E2187,IF(currency="GBP",'Future et co'!F2187,FALSE)))</f>
        <v>RFR USD</v>
      </c>
      <c r="D2187" t="str">
        <f t="shared" ref="D2187:D2250" ca="1" si="171">IFERROR(IF(B2187&lt;0.25,VLOOKUP(A2187,$J$11:$L$5325,3,FALSE),IF(AND(B2187&gt;=0.25,B2187&lt;0.5),VLOOKUP(A2187,$N$11:$P$5325,3,FALSE),IF(AND(B2187&gt;=0.5,B2187&lt;1),VLOOKUP(A2187,$R$11:$T$5325,3,FALSE),VLOOKUP(A2187,$V$11:$X$5010,3,FALSE)))),D2186)</f>
        <v>RFR USD</v>
      </c>
      <c r="E2187" t="str">
        <f t="shared" ref="E2187:E2250" ca="1" si="172">IFERROR(IF(B2187&lt;0.25,VLOOKUP(A2187,$AF$11:$AH$5325,3,FALSE),IF(AND(B2187&gt;=0.25,B2187&lt;0.5),VLOOKUP(A2187,$AJ$11:$AL$5325,3,FALSE),VLOOKUP(A2187,$AN$11:$AP$5325,3,FALSE))),E2186)</f>
        <v>RFR EUR</v>
      </c>
      <c r="F2187" t="str">
        <f t="shared" ref="F2187:F2250" ca="1" si="173">IFERROR(VLOOKUP(A2187,$AS$11:$AU$9999,3,FALSE),F2186)</f>
        <v>RFR GBP</v>
      </c>
      <c r="J2187" s="1"/>
      <c r="N2187" s="1"/>
      <c r="R2187" s="1"/>
      <c r="V2187" s="1"/>
      <c r="AB2187" s="1"/>
      <c r="AF2187" s="1"/>
      <c r="AJ2187" s="1"/>
      <c r="AN2187" s="1"/>
      <c r="AS2187" s="1"/>
      <c r="AX2187" s="1"/>
    </row>
    <row r="2188" spans="1:50" x14ac:dyDescent="0.3">
      <c r="A2188" s="19">
        <f t="shared" si="169"/>
        <v>48977</v>
      </c>
      <c r="B2188">
        <f t="shared" ca="1" si="170"/>
        <v>-7.8472222222222223</v>
      </c>
      <c r="C2188" t="str">
        <f ca="1">IF(currency="USD",'Future et co'!D2188,IF(currency="EUR",'Future et co'!E2188,IF(currency="GBP",'Future et co'!F2188,FALSE)))</f>
        <v>RFR USD</v>
      </c>
      <c r="D2188" t="str">
        <f t="shared" ca="1" si="171"/>
        <v>RFR USD</v>
      </c>
      <c r="E2188" t="str">
        <f t="shared" ca="1" si="172"/>
        <v>RFR EUR</v>
      </c>
      <c r="F2188" t="str">
        <f t="shared" ca="1" si="173"/>
        <v>RFR GBP</v>
      </c>
      <c r="J2188" s="1"/>
      <c r="N2188" s="1"/>
      <c r="R2188" s="1"/>
      <c r="V2188" s="1"/>
      <c r="AB2188" s="1"/>
      <c r="AF2188" s="1"/>
      <c r="AJ2188" s="1"/>
      <c r="AN2188" s="1"/>
      <c r="AS2188" s="1"/>
      <c r="AX2188" s="1"/>
    </row>
    <row r="2189" spans="1:50" x14ac:dyDescent="0.3">
      <c r="A2189" s="19">
        <f t="shared" ref="A2189:A2252" si="174">WORKDAY(A2188,1)</f>
        <v>48978</v>
      </c>
      <c r="B2189">
        <f t="shared" ca="1" si="170"/>
        <v>-7.85</v>
      </c>
      <c r="C2189" t="str">
        <f ca="1">IF(currency="USD",'Future et co'!D2189,IF(currency="EUR",'Future et co'!E2189,IF(currency="GBP",'Future et co'!F2189,FALSE)))</f>
        <v>RFR USD</v>
      </c>
      <c r="D2189" t="str">
        <f t="shared" ca="1" si="171"/>
        <v>RFR USD</v>
      </c>
      <c r="E2189" t="str">
        <f t="shared" ca="1" si="172"/>
        <v>RFR EUR</v>
      </c>
      <c r="F2189" t="str">
        <f t="shared" ca="1" si="173"/>
        <v>RFR GBP</v>
      </c>
      <c r="J2189" s="1"/>
      <c r="N2189" s="1"/>
      <c r="R2189" s="1"/>
      <c r="V2189" s="1"/>
      <c r="AB2189" s="1"/>
      <c r="AF2189" s="1"/>
      <c r="AJ2189" s="1"/>
      <c r="AN2189" s="1"/>
      <c r="AS2189" s="1"/>
      <c r="AX2189" s="1"/>
    </row>
    <row r="2190" spans="1:50" x14ac:dyDescent="0.3">
      <c r="A2190" s="19">
        <f t="shared" si="174"/>
        <v>48981</v>
      </c>
      <c r="B2190">
        <f t="shared" ca="1" si="170"/>
        <v>-7.8583333333333334</v>
      </c>
      <c r="C2190" t="str">
        <f ca="1">IF(currency="USD",'Future et co'!D2190,IF(currency="EUR",'Future et co'!E2190,IF(currency="GBP",'Future et co'!F2190,FALSE)))</f>
        <v>RFR USD</v>
      </c>
      <c r="D2190" t="str">
        <f t="shared" ca="1" si="171"/>
        <v>RFR USD</v>
      </c>
      <c r="E2190" t="str">
        <f t="shared" ca="1" si="172"/>
        <v>RFR EUR</v>
      </c>
      <c r="F2190" t="str">
        <f t="shared" ca="1" si="173"/>
        <v>RFR GBP</v>
      </c>
      <c r="J2190" s="1"/>
      <c r="N2190" s="1"/>
      <c r="R2190" s="1"/>
      <c r="V2190" s="1"/>
      <c r="AB2190" s="1"/>
      <c r="AF2190" s="1"/>
      <c r="AJ2190" s="1"/>
      <c r="AN2190" s="1"/>
      <c r="AS2190" s="1"/>
      <c r="AX2190" s="1"/>
    </row>
    <row r="2191" spans="1:50" x14ac:dyDescent="0.3">
      <c r="A2191" s="19">
        <f t="shared" si="174"/>
        <v>48982</v>
      </c>
      <c r="B2191">
        <f t="shared" ca="1" si="170"/>
        <v>-7.8611111111111107</v>
      </c>
      <c r="C2191" t="str">
        <f ca="1">IF(currency="USD",'Future et co'!D2191,IF(currency="EUR",'Future et co'!E2191,IF(currency="GBP",'Future et co'!F2191,FALSE)))</f>
        <v>RFR USD</v>
      </c>
      <c r="D2191" t="str">
        <f t="shared" ca="1" si="171"/>
        <v>RFR USD</v>
      </c>
      <c r="E2191" t="str">
        <f t="shared" ca="1" si="172"/>
        <v>RFR EUR</v>
      </c>
      <c r="F2191" t="str">
        <f t="shared" ca="1" si="173"/>
        <v>RFR GBP</v>
      </c>
      <c r="J2191" s="1"/>
      <c r="N2191" s="1"/>
      <c r="R2191" s="1"/>
      <c r="V2191" s="1"/>
      <c r="AB2191" s="1"/>
      <c r="AF2191" s="1"/>
      <c r="AJ2191" s="1"/>
      <c r="AN2191" s="1"/>
      <c r="AS2191" s="1"/>
      <c r="AX2191" s="1"/>
    </row>
    <row r="2192" spans="1:50" x14ac:dyDescent="0.3">
      <c r="A2192" s="19">
        <f t="shared" si="174"/>
        <v>48983</v>
      </c>
      <c r="B2192">
        <f t="shared" ca="1" si="170"/>
        <v>-7.8638888888888889</v>
      </c>
      <c r="C2192" t="str">
        <f ca="1">IF(currency="USD",'Future et co'!D2192,IF(currency="EUR",'Future et co'!E2192,IF(currency="GBP",'Future et co'!F2192,FALSE)))</f>
        <v>RFR USD</v>
      </c>
      <c r="D2192" t="str">
        <f t="shared" ca="1" si="171"/>
        <v>RFR USD</v>
      </c>
      <c r="E2192" t="str">
        <f t="shared" ca="1" si="172"/>
        <v>RFR EUR</v>
      </c>
      <c r="F2192" t="str">
        <f t="shared" ca="1" si="173"/>
        <v>RFR GBP</v>
      </c>
      <c r="J2192" s="1"/>
      <c r="N2192" s="1"/>
      <c r="R2192" s="1"/>
      <c r="V2192" s="1"/>
      <c r="AB2192" s="1"/>
      <c r="AF2192" s="1"/>
      <c r="AJ2192" s="1"/>
      <c r="AN2192" s="1"/>
      <c r="AS2192" s="1"/>
      <c r="AX2192" s="1"/>
    </row>
    <row r="2193" spans="1:50" x14ac:dyDescent="0.3">
      <c r="A2193" s="19">
        <f t="shared" si="174"/>
        <v>48984</v>
      </c>
      <c r="B2193">
        <f t="shared" ca="1" si="170"/>
        <v>-7.8666666666666663</v>
      </c>
      <c r="C2193" t="str">
        <f ca="1">IF(currency="USD",'Future et co'!D2193,IF(currency="EUR",'Future et co'!E2193,IF(currency="GBP",'Future et co'!F2193,FALSE)))</f>
        <v>RFR USD</v>
      </c>
      <c r="D2193" t="str">
        <f t="shared" ca="1" si="171"/>
        <v>RFR USD</v>
      </c>
      <c r="E2193" t="str">
        <f t="shared" ca="1" si="172"/>
        <v>RFR EUR</v>
      </c>
      <c r="F2193" t="str">
        <f t="shared" ca="1" si="173"/>
        <v>RFR GBP</v>
      </c>
      <c r="J2193" s="1"/>
      <c r="N2193" s="1"/>
      <c r="R2193" s="1"/>
      <c r="V2193" s="1"/>
      <c r="AB2193" s="1"/>
      <c r="AF2193" s="1"/>
      <c r="AJ2193" s="1"/>
      <c r="AN2193" s="1"/>
      <c r="AS2193" s="1"/>
      <c r="AX2193" s="1"/>
    </row>
    <row r="2194" spans="1:50" x14ac:dyDescent="0.3">
      <c r="A2194" s="19">
        <f t="shared" si="174"/>
        <v>48985</v>
      </c>
      <c r="B2194">
        <f t="shared" ca="1" si="170"/>
        <v>-7.8694444444444445</v>
      </c>
      <c r="C2194" t="str">
        <f ca="1">IF(currency="USD",'Future et co'!D2194,IF(currency="EUR",'Future et co'!E2194,IF(currency="GBP",'Future et co'!F2194,FALSE)))</f>
        <v>RFR USD</v>
      </c>
      <c r="D2194" t="str">
        <f t="shared" ca="1" si="171"/>
        <v>RFR USD</v>
      </c>
      <c r="E2194" t="str">
        <f t="shared" ca="1" si="172"/>
        <v>RFR EUR</v>
      </c>
      <c r="F2194" t="str">
        <f t="shared" ca="1" si="173"/>
        <v>RFR GBP</v>
      </c>
      <c r="J2194" s="1"/>
      <c r="N2194" s="1"/>
      <c r="R2194" s="1"/>
      <c r="V2194" s="1"/>
      <c r="AB2194" s="1"/>
      <c r="AF2194" s="1"/>
      <c r="AJ2194" s="1"/>
      <c r="AN2194" s="1"/>
      <c r="AS2194" s="1"/>
      <c r="AX2194" s="1"/>
    </row>
    <row r="2195" spans="1:50" x14ac:dyDescent="0.3">
      <c r="A2195" s="19">
        <f t="shared" si="174"/>
        <v>48988</v>
      </c>
      <c r="B2195">
        <f t="shared" ca="1" si="170"/>
        <v>-7.8777777777777782</v>
      </c>
      <c r="C2195" t="str">
        <f ca="1">IF(currency="USD",'Future et co'!D2195,IF(currency="EUR",'Future et co'!E2195,IF(currency="GBP",'Future et co'!F2195,FALSE)))</f>
        <v>RFR USD</v>
      </c>
      <c r="D2195" t="str">
        <f t="shared" ca="1" si="171"/>
        <v>RFR USD</v>
      </c>
      <c r="E2195" t="str">
        <f t="shared" ca="1" si="172"/>
        <v>RFR EUR</v>
      </c>
      <c r="F2195" t="str">
        <f t="shared" ca="1" si="173"/>
        <v>RFR GBP</v>
      </c>
      <c r="J2195" s="1"/>
      <c r="N2195" s="1"/>
      <c r="R2195" s="1"/>
      <c r="V2195" s="1"/>
      <c r="AB2195" s="1"/>
      <c r="AF2195" s="1"/>
      <c r="AJ2195" s="1"/>
      <c r="AN2195" s="1"/>
      <c r="AS2195" s="1"/>
      <c r="AX2195" s="1"/>
    </row>
    <row r="2196" spans="1:50" x14ac:dyDescent="0.3">
      <c r="A2196" s="19">
        <f t="shared" si="174"/>
        <v>48989</v>
      </c>
      <c r="B2196">
        <f t="shared" ca="1" si="170"/>
        <v>-7.8805555555555555</v>
      </c>
      <c r="C2196" t="str">
        <f ca="1">IF(currency="USD",'Future et co'!D2196,IF(currency="EUR",'Future et co'!E2196,IF(currency="GBP",'Future et co'!F2196,FALSE)))</f>
        <v>RFR USD</v>
      </c>
      <c r="D2196" t="str">
        <f t="shared" ca="1" si="171"/>
        <v>RFR USD</v>
      </c>
      <c r="E2196" t="str">
        <f t="shared" ca="1" si="172"/>
        <v>RFR EUR</v>
      </c>
      <c r="F2196" t="str">
        <f t="shared" ca="1" si="173"/>
        <v>RFR GBP</v>
      </c>
      <c r="J2196" s="1"/>
      <c r="N2196" s="1"/>
      <c r="R2196" s="1"/>
      <c r="V2196" s="1"/>
      <c r="AB2196" s="1"/>
      <c r="AF2196" s="1"/>
      <c r="AJ2196" s="1"/>
      <c r="AN2196" s="1"/>
      <c r="AS2196" s="1"/>
      <c r="AX2196" s="1"/>
    </row>
    <row r="2197" spans="1:50" x14ac:dyDescent="0.3">
      <c r="A2197" s="19">
        <f t="shared" si="174"/>
        <v>48990</v>
      </c>
      <c r="B2197">
        <f t="shared" ca="1" si="170"/>
        <v>-7.8833333333333337</v>
      </c>
      <c r="C2197" t="str">
        <f ca="1">IF(currency="USD",'Future et co'!D2197,IF(currency="EUR",'Future et co'!E2197,IF(currency="GBP",'Future et co'!F2197,FALSE)))</f>
        <v>RFR USD</v>
      </c>
      <c r="D2197" t="str">
        <f t="shared" ca="1" si="171"/>
        <v>RFR USD</v>
      </c>
      <c r="E2197" t="str">
        <f t="shared" ca="1" si="172"/>
        <v>RFR EUR</v>
      </c>
      <c r="F2197" t="str">
        <f t="shared" ca="1" si="173"/>
        <v>RFR GBP</v>
      </c>
      <c r="J2197" s="1"/>
      <c r="N2197" s="1"/>
      <c r="R2197" s="1"/>
      <c r="V2197" s="1"/>
      <c r="AB2197" s="1"/>
      <c r="AF2197" s="1"/>
      <c r="AJ2197" s="1"/>
      <c r="AN2197" s="1"/>
      <c r="AS2197" s="1"/>
      <c r="AX2197" s="1"/>
    </row>
    <row r="2198" spans="1:50" x14ac:dyDescent="0.3">
      <c r="A2198" s="19">
        <f t="shared" si="174"/>
        <v>48991</v>
      </c>
      <c r="B2198">
        <f t="shared" ca="1" si="170"/>
        <v>-7.8861111111111111</v>
      </c>
      <c r="C2198" t="str">
        <f ca="1">IF(currency="USD",'Future et co'!D2198,IF(currency="EUR",'Future et co'!E2198,IF(currency="GBP",'Future et co'!F2198,FALSE)))</f>
        <v>RFR USD</v>
      </c>
      <c r="D2198" t="str">
        <f t="shared" ca="1" si="171"/>
        <v>RFR USD</v>
      </c>
      <c r="E2198" t="str">
        <f t="shared" ca="1" si="172"/>
        <v>RFR EUR</v>
      </c>
      <c r="F2198" t="str">
        <f t="shared" ca="1" si="173"/>
        <v>RFR GBP</v>
      </c>
      <c r="J2198" s="1"/>
      <c r="N2198" s="1"/>
      <c r="R2198" s="1"/>
      <c r="V2198" s="1"/>
      <c r="AB2198" s="1"/>
      <c r="AF2198" s="1"/>
      <c r="AJ2198" s="1"/>
      <c r="AN2198" s="1"/>
      <c r="AS2198" s="1"/>
      <c r="AX2198" s="1"/>
    </row>
    <row r="2199" spans="1:50" x14ac:dyDescent="0.3">
      <c r="A2199" s="19">
        <f t="shared" si="174"/>
        <v>48992</v>
      </c>
      <c r="B2199">
        <f t="shared" ca="1" si="170"/>
        <v>-7.8888888888888893</v>
      </c>
      <c r="C2199" t="str">
        <f ca="1">IF(currency="USD",'Future et co'!D2199,IF(currency="EUR",'Future et co'!E2199,IF(currency="GBP",'Future et co'!F2199,FALSE)))</f>
        <v>RFR USD</v>
      </c>
      <c r="D2199" t="str">
        <f t="shared" ca="1" si="171"/>
        <v>RFR USD</v>
      </c>
      <c r="E2199" t="str">
        <f t="shared" ca="1" si="172"/>
        <v>RFR EUR</v>
      </c>
      <c r="F2199" t="str">
        <f t="shared" ca="1" si="173"/>
        <v>RFR GBP</v>
      </c>
      <c r="J2199" s="1"/>
      <c r="N2199" s="1"/>
      <c r="R2199" s="1"/>
      <c r="V2199" s="1"/>
      <c r="AB2199" s="1"/>
      <c r="AF2199" s="1"/>
      <c r="AJ2199" s="1"/>
      <c r="AN2199" s="1"/>
      <c r="AS2199" s="1"/>
      <c r="AX2199" s="1"/>
    </row>
    <row r="2200" spans="1:50" x14ac:dyDescent="0.3">
      <c r="A2200" s="19">
        <f t="shared" si="174"/>
        <v>48995</v>
      </c>
      <c r="B2200">
        <f t="shared" ca="1" si="170"/>
        <v>-7.8972222222222221</v>
      </c>
      <c r="C2200" t="str">
        <f ca="1">IF(currency="USD",'Future et co'!D2200,IF(currency="EUR",'Future et co'!E2200,IF(currency="GBP",'Future et co'!F2200,FALSE)))</f>
        <v>RFR USD</v>
      </c>
      <c r="D2200" t="str">
        <f t="shared" ca="1" si="171"/>
        <v>RFR USD</v>
      </c>
      <c r="E2200" t="str">
        <f t="shared" ca="1" si="172"/>
        <v>RFR EUR</v>
      </c>
      <c r="F2200" t="str">
        <f t="shared" ca="1" si="173"/>
        <v>RFR GBP</v>
      </c>
      <c r="J2200" s="1"/>
      <c r="N2200" s="1"/>
      <c r="R2200" s="1"/>
      <c r="V2200" s="1"/>
      <c r="AB2200" s="1"/>
      <c r="AF2200" s="1"/>
      <c r="AJ2200" s="1"/>
      <c r="AN2200" s="1"/>
      <c r="AS2200" s="1"/>
      <c r="AX2200" s="1"/>
    </row>
    <row r="2201" spans="1:50" x14ac:dyDescent="0.3">
      <c r="A2201" s="19">
        <f t="shared" si="174"/>
        <v>48996</v>
      </c>
      <c r="B2201">
        <f t="shared" ca="1" si="170"/>
        <v>-7.9</v>
      </c>
      <c r="C2201" t="str">
        <f ca="1">IF(currency="USD",'Future et co'!D2201,IF(currency="EUR",'Future et co'!E2201,IF(currency="GBP",'Future et co'!F2201,FALSE)))</f>
        <v>RFR USD</v>
      </c>
      <c r="D2201" t="str">
        <f t="shared" ca="1" si="171"/>
        <v>RFR USD</v>
      </c>
      <c r="E2201" t="str">
        <f t="shared" ca="1" si="172"/>
        <v>RFR EUR</v>
      </c>
      <c r="F2201" t="str">
        <f t="shared" ca="1" si="173"/>
        <v>RFR GBP</v>
      </c>
      <c r="J2201" s="1"/>
      <c r="N2201" s="1"/>
      <c r="R2201" s="1"/>
      <c r="V2201" s="1"/>
      <c r="AB2201" s="1"/>
      <c r="AF2201" s="1"/>
      <c r="AJ2201" s="1"/>
      <c r="AN2201" s="1"/>
      <c r="AS2201" s="1"/>
      <c r="AX2201" s="1"/>
    </row>
    <row r="2202" spans="1:50" x14ac:dyDescent="0.3">
      <c r="A2202" s="19">
        <f t="shared" si="174"/>
        <v>48997</v>
      </c>
      <c r="B2202">
        <f t="shared" ca="1" si="170"/>
        <v>-7.9027777777777777</v>
      </c>
      <c r="C2202" t="str">
        <f ca="1">IF(currency="USD",'Future et co'!D2202,IF(currency="EUR",'Future et co'!E2202,IF(currency="GBP",'Future et co'!F2202,FALSE)))</f>
        <v>RFR USD</v>
      </c>
      <c r="D2202" t="str">
        <f t="shared" ca="1" si="171"/>
        <v>RFR USD</v>
      </c>
      <c r="E2202" t="str">
        <f t="shared" ca="1" si="172"/>
        <v>RFR EUR</v>
      </c>
      <c r="F2202" t="str">
        <f t="shared" ca="1" si="173"/>
        <v>RFR GBP</v>
      </c>
      <c r="J2202" s="1"/>
      <c r="N2202" s="1"/>
      <c r="R2202" s="1"/>
      <c r="V2202" s="1"/>
      <c r="AB2202" s="1"/>
      <c r="AF2202" s="1"/>
      <c r="AJ2202" s="1"/>
      <c r="AN2202" s="1"/>
      <c r="AS2202" s="1"/>
      <c r="AX2202" s="1"/>
    </row>
    <row r="2203" spans="1:50" x14ac:dyDescent="0.3">
      <c r="A2203" s="19">
        <f t="shared" si="174"/>
        <v>48998</v>
      </c>
      <c r="B2203">
        <f t="shared" ca="1" si="170"/>
        <v>-7.9055555555555559</v>
      </c>
      <c r="C2203" t="str">
        <f ca="1">IF(currency="USD",'Future et co'!D2203,IF(currency="EUR",'Future et co'!E2203,IF(currency="GBP",'Future et co'!F2203,FALSE)))</f>
        <v>RFR USD</v>
      </c>
      <c r="D2203" t="str">
        <f t="shared" ca="1" si="171"/>
        <v>RFR USD</v>
      </c>
      <c r="E2203" t="str">
        <f t="shared" ca="1" si="172"/>
        <v>RFR EUR</v>
      </c>
      <c r="F2203" t="str">
        <f t="shared" ca="1" si="173"/>
        <v>RFR GBP</v>
      </c>
      <c r="J2203" s="1"/>
      <c r="N2203" s="1"/>
      <c r="R2203" s="1"/>
      <c r="V2203" s="1"/>
      <c r="AB2203" s="1"/>
      <c r="AF2203" s="1"/>
      <c r="AJ2203" s="1"/>
      <c r="AN2203" s="1"/>
      <c r="AS2203" s="1"/>
      <c r="AX2203" s="1"/>
    </row>
    <row r="2204" spans="1:50" x14ac:dyDescent="0.3">
      <c r="A2204" s="19">
        <f t="shared" si="174"/>
        <v>48999</v>
      </c>
      <c r="B2204">
        <f t="shared" ca="1" si="170"/>
        <v>-7.9083333333333332</v>
      </c>
      <c r="C2204" t="str">
        <f ca="1">IF(currency="USD",'Future et co'!D2204,IF(currency="EUR",'Future et co'!E2204,IF(currency="GBP",'Future et co'!F2204,FALSE)))</f>
        <v>RFR USD</v>
      </c>
      <c r="D2204" t="str">
        <f t="shared" ca="1" si="171"/>
        <v>RFR USD</v>
      </c>
      <c r="E2204" t="str">
        <f t="shared" ca="1" si="172"/>
        <v>RFR EUR</v>
      </c>
      <c r="F2204" t="str">
        <f t="shared" ca="1" si="173"/>
        <v>RFR GBP</v>
      </c>
      <c r="J2204" s="1"/>
      <c r="N2204" s="1"/>
      <c r="R2204" s="1"/>
      <c r="V2204" s="1"/>
      <c r="AB2204" s="1"/>
      <c r="AF2204" s="1"/>
      <c r="AJ2204" s="1"/>
      <c r="AN2204" s="1"/>
      <c r="AS2204" s="1"/>
      <c r="AX2204" s="1"/>
    </row>
    <row r="2205" spans="1:50" x14ac:dyDescent="0.3">
      <c r="A2205" s="19">
        <f t="shared" si="174"/>
        <v>49002</v>
      </c>
      <c r="B2205">
        <f t="shared" ca="1" si="170"/>
        <v>-7.916666666666667</v>
      </c>
      <c r="C2205" t="str">
        <f ca="1">IF(currency="USD",'Future et co'!D2205,IF(currency="EUR",'Future et co'!E2205,IF(currency="GBP",'Future et co'!F2205,FALSE)))</f>
        <v>RFR USD</v>
      </c>
      <c r="D2205" t="str">
        <f t="shared" ca="1" si="171"/>
        <v>RFR USD</v>
      </c>
      <c r="E2205" t="str">
        <f t="shared" ca="1" si="172"/>
        <v>RFR EUR</v>
      </c>
      <c r="F2205" t="str">
        <f t="shared" ca="1" si="173"/>
        <v>RFR GBP</v>
      </c>
      <c r="J2205" s="1"/>
      <c r="N2205" s="1"/>
      <c r="R2205" s="1"/>
      <c r="V2205" s="1"/>
      <c r="AB2205" s="1"/>
      <c r="AF2205" s="1"/>
      <c r="AJ2205" s="1"/>
      <c r="AN2205" s="1"/>
      <c r="AS2205" s="1"/>
      <c r="AX2205" s="1"/>
    </row>
    <row r="2206" spans="1:50" x14ac:dyDescent="0.3">
      <c r="A2206" s="19">
        <f t="shared" si="174"/>
        <v>49003</v>
      </c>
      <c r="B2206">
        <f t="shared" ca="1" si="170"/>
        <v>-7.9194444444444443</v>
      </c>
      <c r="C2206" t="str">
        <f ca="1">IF(currency="USD",'Future et co'!D2206,IF(currency="EUR",'Future et co'!E2206,IF(currency="GBP",'Future et co'!F2206,FALSE)))</f>
        <v>RFR USD</v>
      </c>
      <c r="D2206" t="str">
        <f t="shared" ca="1" si="171"/>
        <v>RFR USD</v>
      </c>
      <c r="E2206" t="str">
        <f t="shared" ca="1" si="172"/>
        <v>RFR EUR</v>
      </c>
      <c r="F2206" t="str">
        <f t="shared" ca="1" si="173"/>
        <v>RFR GBP</v>
      </c>
      <c r="J2206" s="1"/>
      <c r="N2206" s="1"/>
      <c r="R2206" s="1"/>
      <c r="V2206" s="1"/>
      <c r="AB2206" s="1"/>
      <c r="AF2206" s="1"/>
      <c r="AJ2206" s="1"/>
      <c r="AN2206" s="1"/>
      <c r="AS2206" s="1"/>
      <c r="AX2206" s="1"/>
    </row>
    <row r="2207" spans="1:50" x14ac:dyDescent="0.3">
      <c r="A2207" s="19">
        <f t="shared" si="174"/>
        <v>49004</v>
      </c>
      <c r="B2207">
        <f t="shared" ca="1" si="170"/>
        <v>-7.9222222222222225</v>
      </c>
      <c r="C2207" t="str">
        <f ca="1">IF(currency="USD",'Future et co'!D2207,IF(currency="EUR",'Future et co'!E2207,IF(currency="GBP",'Future et co'!F2207,FALSE)))</f>
        <v>RFR USD</v>
      </c>
      <c r="D2207" t="str">
        <f t="shared" ca="1" si="171"/>
        <v>RFR USD</v>
      </c>
      <c r="E2207" t="str">
        <f t="shared" ca="1" si="172"/>
        <v>RFR EUR</v>
      </c>
      <c r="F2207" t="str">
        <f t="shared" ca="1" si="173"/>
        <v>RFR GBP</v>
      </c>
      <c r="J2207" s="1"/>
      <c r="N2207" s="1"/>
      <c r="R2207" s="1"/>
      <c r="V2207" s="1"/>
      <c r="AB2207" s="1"/>
      <c r="AF2207" s="1"/>
      <c r="AJ2207" s="1"/>
      <c r="AN2207" s="1"/>
      <c r="AS2207" s="1"/>
      <c r="AX2207" s="1"/>
    </row>
    <row r="2208" spans="1:50" x14ac:dyDescent="0.3">
      <c r="A2208" s="19">
        <f t="shared" si="174"/>
        <v>49005</v>
      </c>
      <c r="B2208">
        <f t="shared" ca="1" si="170"/>
        <v>-7.9249999999999998</v>
      </c>
      <c r="C2208" t="str">
        <f ca="1">IF(currency="USD",'Future et co'!D2208,IF(currency="EUR",'Future et co'!E2208,IF(currency="GBP",'Future et co'!F2208,FALSE)))</f>
        <v>RFR USD</v>
      </c>
      <c r="D2208" t="str">
        <f t="shared" ca="1" si="171"/>
        <v>RFR USD</v>
      </c>
      <c r="E2208" t="str">
        <f t="shared" ca="1" si="172"/>
        <v>RFR EUR</v>
      </c>
      <c r="F2208" t="str">
        <f t="shared" ca="1" si="173"/>
        <v>RFR GBP</v>
      </c>
      <c r="J2208" s="1"/>
      <c r="N2208" s="1"/>
      <c r="R2208" s="1"/>
      <c r="V2208" s="1"/>
      <c r="AB2208" s="1"/>
      <c r="AF2208" s="1"/>
      <c r="AJ2208" s="1"/>
      <c r="AN2208" s="1"/>
      <c r="AS2208" s="1"/>
      <c r="AX2208" s="1"/>
    </row>
    <row r="2209" spans="1:50" x14ac:dyDescent="0.3">
      <c r="A2209" s="19">
        <f t="shared" si="174"/>
        <v>49006</v>
      </c>
      <c r="B2209">
        <f t="shared" ca="1" si="170"/>
        <v>-7.927777777777778</v>
      </c>
      <c r="C2209" t="str">
        <f ca="1">IF(currency="USD",'Future et co'!D2209,IF(currency="EUR",'Future et co'!E2209,IF(currency="GBP",'Future et co'!F2209,FALSE)))</f>
        <v>RFR USD</v>
      </c>
      <c r="D2209" t="str">
        <f t="shared" ca="1" si="171"/>
        <v>RFR USD</v>
      </c>
      <c r="E2209" t="str">
        <f t="shared" ca="1" si="172"/>
        <v>RFR EUR</v>
      </c>
      <c r="F2209" t="str">
        <f t="shared" ca="1" si="173"/>
        <v>RFR GBP</v>
      </c>
      <c r="J2209" s="1"/>
      <c r="N2209" s="1"/>
      <c r="R2209" s="1"/>
      <c r="V2209" s="1"/>
      <c r="AB2209" s="1"/>
      <c r="AF2209" s="1"/>
      <c r="AJ2209" s="1"/>
      <c r="AN2209" s="1"/>
      <c r="AS2209" s="1"/>
      <c r="AX2209" s="1"/>
    </row>
    <row r="2210" spans="1:50" x14ac:dyDescent="0.3">
      <c r="A2210" s="19">
        <f t="shared" si="174"/>
        <v>49009</v>
      </c>
      <c r="B2210">
        <f t="shared" ca="1" si="170"/>
        <v>-7.9361111111111109</v>
      </c>
      <c r="C2210" t="str">
        <f ca="1">IF(currency="USD",'Future et co'!D2210,IF(currency="EUR",'Future et co'!E2210,IF(currency="GBP",'Future et co'!F2210,FALSE)))</f>
        <v>RFR USD</v>
      </c>
      <c r="D2210" t="str">
        <f t="shared" ca="1" si="171"/>
        <v>RFR USD</v>
      </c>
      <c r="E2210" t="str">
        <f t="shared" ca="1" si="172"/>
        <v>RFR EUR</v>
      </c>
      <c r="F2210" t="str">
        <f t="shared" ca="1" si="173"/>
        <v>RFR GBP</v>
      </c>
      <c r="J2210" s="1"/>
      <c r="N2210" s="1"/>
      <c r="R2210" s="1"/>
      <c r="V2210" s="1"/>
      <c r="AB2210" s="1"/>
      <c r="AF2210" s="1"/>
      <c r="AJ2210" s="1"/>
      <c r="AN2210" s="1"/>
      <c r="AS2210" s="1"/>
      <c r="AX2210" s="1"/>
    </row>
    <row r="2211" spans="1:50" x14ac:dyDescent="0.3">
      <c r="A2211" s="19">
        <f t="shared" si="174"/>
        <v>49010</v>
      </c>
      <c r="B2211">
        <f t="shared" ca="1" si="170"/>
        <v>-7.9388888888888891</v>
      </c>
      <c r="C2211" t="str">
        <f ca="1">IF(currency="USD",'Future et co'!D2211,IF(currency="EUR",'Future et co'!E2211,IF(currency="GBP",'Future et co'!F2211,FALSE)))</f>
        <v>RFR USD</v>
      </c>
      <c r="D2211" t="str">
        <f t="shared" ca="1" si="171"/>
        <v>RFR USD</v>
      </c>
      <c r="E2211" t="str">
        <f t="shared" ca="1" si="172"/>
        <v>RFR EUR</v>
      </c>
      <c r="F2211" t="str">
        <f t="shared" ca="1" si="173"/>
        <v>RFR GBP</v>
      </c>
      <c r="J2211" s="1"/>
      <c r="N2211" s="1"/>
      <c r="R2211" s="1"/>
      <c r="V2211" s="1"/>
      <c r="AB2211" s="1"/>
      <c r="AF2211" s="1"/>
      <c r="AJ2211" s="1"/>
      <c r="AN2211" s="1"/>
      <c r="AS2211" s="1"/>
      <c r="AX2211" s="1"/>
    </row>
    <row r="2212" spans="1:50" x14ac:dyDescent="0.3">
      <c r="A2212" s="19">
        <f t="shared" si="174"/>
        <v>49011</v>
      </c>
      <c r="B2212">
        <f t="shared" ca="1" si="170"/>
        <v>-7.9416666666666664</v>
      </c>
      <c r="C2212" t="str">
        <f ca="1">IF(currency="USD",'Future et co'!D2212,IF(currency="EUR",'Future et co'!E2212,IF(currency="GBP",'Future et co'!F2212,FALSE)))</f>
        <v>RFR USD</v>
      </c>
      <c r="D2212" t="str">
        <f t="shared" ca="1" si="171"/>
        <v>RFR USD</v>
      </c>
      <c r="E2212" t="str">
        <f t="shared" ca="1" si="172"/>
        <v>RFR EUR</v>
      </c>
      <c r="F2212" t="str">
        <f t="shared" ca="1" si="173"/>
        <v>RFR GBP</v>
      </c>
      <c r="J2212" s="1"/>
      <c r="N2212" s="1"/>
      <c r="R2212" s="1"/>
      <c r="V2212" s="1"/>
      <c r="AB2212" s="1"/>
      <c r="AF2212" s="1"/>
      <c r="AJ2212" s="1"/>
      <c r="AN2212" s="1"/>
      <c r="AS2212" s="1"/>
      <c r="AX2212" s="1"/>
    </row>
    <row r="2213" spans="1:50" x14ac:dyDescent="0.3">
      <c r="A2213" s="19">
        <f t="shared" si="174"/>
        <v>49012</v>
      </c>
      <c r="B2213">
        <f t="shared" ca="1" si="170"/>
        <v>-7.9444444444444446</v>
      </c>
      <c r="C2213" t="str">
        <f ca="1">IF(currency="USD",'Future et co'!D2213,IF(currency="EUR",'Future et co'!E2213,IF(currency="GBP",'Future et co'!F2213,FALSE)))</f>
        <v>RFR USD</v>
      </c>
      <c r="D2213" t="str">
        <f t="shared" ca="1" si="171"/>
        <v>RFR USD</v>
      </c>
      <c r="E2213" t="str">
        <f t="shared" ca="1" si="172"/>
        <v>RFR EUR</v>
      </c>
      <c r="F2213" t="str">
        <f t="shared" ca="1" si="173"/>
        <v>RFR GBP</v>
      </c>
      <c r="J2213" s="1"/>
      <c r="N2213" s="1"/>
      <c r="R2213" s="1"/>
      <c r="V2213" s="1"/>
      <c r="AB2213" s="1"/>
      <c r="AF2213" s="1"/>
      <c r="AJ2213" s="1"/>
      <c r="AN2213" s="1"/>
      <c r="AS2213" s="1"/>
      <c r="AX2213" s="1"/>
    </row>
    <row r="2214" spans="1:50" x14ac:dyDescent="0.3">
      <c r="A2214" s="19">
        <f t="shared" si="174"/>
        <v>49013</v>
      </c>
      <c r="B2214">
        <f t="shared" ca="1" si="170"/>
        <v>-7.947222222222222</v>
      </c>
      <c r="C2214" t="str">
        <f ca="1">IF(currency="USD",'Future et co'!D2214,IF(currency="EUR",'Future et co'!E2214,IF(currency="GBP",'Future et co'!F2214,FALSE)))</f>
        <v>RFR USD</v>
      </c>
      <c r="D2214" t="str">
        <f t="shared" ca="1" si="171"/>
        <v>RFR USD</v>
      </c>
      <c r="E2214" t="str">
        <f t="shared" ca="1" si="172"/>
        <v>RFR EUR</v>
      </c>
      <c r="F2214" t="str">
        <f t="shared" ca="1" si="173"/>
        <v>RFR GBP</v>
      </c>
      <c r="J2214" s="1"/>
      <c r="N2214" s="1"/>
      <c r="R2214" s="1"/>
      <c r="V2214" s="1"/>
      <c r="AB2214" s="1"/>
      <c r="AF2214" s="1"/>
      <c r="AJ2214" s="1"/>
      <c r="AN2214" s="1"/>
      <c r="AS2214" s="1"/>
      <c r="AX2214" s="1"/>
    </row>
    <row r="2215" spans="1:50" x14ac:dyDescent="0.3">
      <c r="A2215" s="19">
        <f t="shared" si="174"/>
        <v>49016</v>
      </c>
      <c r="B2215">
        <f t="shared" ca="1" si="170"/>
        <v>-7.9555555555555557</v>
      </c>
      <c r="C2215" t="str">
        <f ca="1">IF(currency="USD",'Future et co'!D2215,IF(currency="EUR",'Future et co'!E2215,IF(currency="GBP",'Future et co'!F2215,FALSE)))</f>
        <v>RFR USD</v>
      </c>
      <c r="D2215" t="str">
        <f t="shared" ca="1" si="171"/>
        <v>RFR USD</v>
      </c>
      <c r="E2215" t="str">
        <f t="shared" ca="1" si="172"/>
        <v>RFR EUR</v>
      </c>
      <c r="F2215" t="str">
        <f t="shared" ca="1" si="173"/>
        <v>RFR GBP</v>
      </c>
      <c r="J2215" s="1"/>
      <c r="N2215" s="1"/>
      <c r="R2215" s="1"/>
      <c r="V2215" s="1"/>
      <c r="AB2215" s="1"/>
      <c r="AF2215" s="1"/>
      <c r="AJ2215" s="1"/>
      <c r="AN2215" s="1"/>
      <c r="AS2215" s="1"/>
      <c r="AX2215" s="1"/>
    </row>
    <row r="2216" spans="1:50" x14ac:dyDescent="0.3">
      <c r="A2216" s="19">
        <f t="shared" si="174"/>
        <v>49017</v>
      </c>
      <c r="B2216">
        <f t="shared" ca="1" si="170"/>
        <v>-7.958333333333333</v>
      </c>
      <c r="C2216" t="str">
        <f ca="1">IF(currency="USD",'Future et co'!D2216,IF(currency="EUR",'Future et co'!E2216,IF(currency="GBP",'Future et co'!F2216,FALSE)))</f>
        <v>RFR USD</v>
      </c>
      <c r="D2216" t="str">
        <f t="shared" ca="1" si="171"/>
        <v>RFR USD</v>
      </c>
      <c r="E2216" t="str">
        <f t="shared" ca="1" si="172"/>
        <v>RFR EUR</v>
      </c>
      <c r="F2216" t="str">
        <f t="shared" ca="1" si="173"/>
        <v>RFR GBP</v>
      </c>
      <c r="J2216" s="1"/>
      <c r="N2216" s="1"/>
      <c r="R2216" s="1"/>
      <c r="V2216" s="1"/>
      <c r="AB2216" s="1"/>
      <c r="AF2216" s="1"/>
      <c r="AJ2216" s="1"/>
      <c r="AN2216" s="1"/>
      <c r="AS2216" s="1"/>
      <c r="AX2216" s="1"/>
    </row>
    <row r="2217" spans="1:50" x14ac:dyDescent="0.3">
      <c r="A2217" s="19">
        <f t="shared" si="174"/>
        <v>49018</v>
      </c>
      <c r="B2217">
        <f t="shared" ca="1" si="170"/>
        <v>-7.9611111111111112</v>
      </c>
      <c r="C2217" t="str">
        <f ca="1">IF(currency="USD",'Future et co'!D2217,IF(currency="EUR",'Future et co'!E2217,IF(currency="GBP",'Future et co'!F2217,FALSE)))</f>
        <v>RFR USD</v>
      </c>
      <c r="D2217" t="str">
        <f t="shared" ca="1" si="171"/>
        <v>RFR USD</v>
      </c>
      <c r="E2217" t="str">
        <f t="shared" ca="1" si="172"/>
        <v>RFR EUR</v>
      </c>
      <c r="F2217" t="str">
        <f t="shared" ca="1" si="173"/>
        <v>RFR GBP</v>
      </c>
      <c r="J2217" s="1"/>
      <c r="N2217" s="1"/>
      <c r="R2217" s="1"/>
      <c r="V2217" s="1"/>
      <c r="AB2217" s="1"/>
      <c r="AF2217" s="1"/>
      <c r="AJ2217" s="1"/>
      <c r="AN2217" s="1"/>
      <c r="AS2217" s="1"/>
      <c r="AX2217" s="1"/>
    </row>
    <row r="2218" spans="1:50" x14ac:dyDescent="0.3">
      <c r="A2218" s="19">
        <f t="shared" si="174"/>
        <v>49019</v>
      </c>
      <c r="B2218">
        <f t="shared" ca="1" si="170"/>
        <v>-7.9638888888888886</v>
      </c>
      <c r="C2218" t="str">
        <f ca="1">IF(currency="USD",'Future et co'!D2218,IF(currency="EUR",'Future et co'!E2218,IF(currency="GBP",'Future et co'!F2218,FALSE)))</f>
        <v>RFR USD</v>
      </c>
      <c r="D2218" t="str">
        <f t="shared" ca="1" si="171"/>
        <v>RFR USD</v>
      </c>
      <c r="E2218" t="str">
        <f t="shared" ca="1" si="172"/>
        <v>RFR EUR</v>
      </c>
      <c r="F2218" t="str">
        <f t="shared" ca="1" si="173"/>
        <v>RFR GBP</v>
      </c>
      <c r="J2218" s="1"/>
      <c r="N2218" s="1"/>
      <c r="R2218" s="1"/>
      <c r="V2218" s="1"/>
      <c r="AB2218" s="1"/>
      <c r="AF2218" s="1"/>
      <c r="AJ2218" s="1"/>
      <c r="AN2218" s="1"/>
      <c r="AS2218" s="1"/>
      <c r="AX2218" s="1"/>
    </row>
    <row r="2219" spans="1:50" x14ac:dyDescent="0.3">
      <c r="A2219" s="19">
        <f t="shared" si="174"/>
        <v>49020</v>
      </c>
      <c r="B2219">
        <f t="shared" ca="1" si="170"/>
        <v>-7.9666666666666668</v>
      </c>
      <c r="C2219" t="str">
        <f ca="1">IF(currency="USD",'Future et co'!D2219,IF(currency="EUR",'Future et co'!E2219,IF(currency="GBP",'Future et co'!F2219,FALSE)))</f>
        <v>RFR USD</v>
      </c>
      <c r="D2219" t="str">
        <f t="shared" ca="1" si="171"/>
        <v>RFR USD</v>
      </c>
      <c r="E2219" t="str">
        <f t="shared" ca="1" si="172"/>
        <v>RFR EUR</v>
      </c>
      <c r="F2219" t="str">
        <f t="shared" ca="1" si="173"/>
        <v>RFR GBP</v>
      </c>
      <c r="J2219" s="1"/>
      <c r="N2219" s="1"/>
      <c r="R2219" s="1"/>
      <c r="V2219" s="1"/>
      <c r="AB2219" s="1"/>
      <c r="AF2219" s="1"/>
      <c r="AJ2219" s="1"/>
      <c r="AN2219" s="1"/>
      <c r="AS2219" s="1"/>
      <c r="AX2219" s="1"/>
    </row>
    <row r="2220" spans="1:50" x14ac:dyDescent="0.3">
      <c r="A2220" s="19">
        <f t="shared" si="174"/>
        <v>49023</v>
      </c>
      <c r="B2220">
        <f t="shared" ca="1" si="170"/>
        <v>-7.9749999999999996</v>
      </c>
      <c r="C2220" t="str">
        <f ca="1">IF(currency="USD",'Future et co'!D2220,IF(currency="EUR",'Future et co'!E2220,IF(currency="GBP",'Future et co'!F2220,FALSE)))</f>
        <v>RFR USD</v>
      </c>
      <c r="D2220" t="str">
        <f t="shared" ca="1" si="171"/>
        <v>RFR USD</v>
      </c>
      <c r="E2220" t="str">
        <f t="shared" ca="1" si="172"/>
        <v>RFR EUR</v>
      </c>
      <c r="F2220" t="str">
        <f t="shared" ca="1" si="173"/>
        <v>RFR GBP</v>
      </c>
      <c r="J2220" s="1"/>
      <c r="N2220" s="1"/>
      <c r="R2220" s="1"/>
      <c r="V2220" s="1"/>
      <c r="AB2220" s="1"/>
      <c r="AF2220" s="1"/>
      <c r="AJ2220" s="1"/>
      <c r="AN2220" s="1"/>
      <c r="AS2220" s="1"/>
      <c r="AX2220" s="1"/>
    </row>
    <row r="2221" spans="1:50" x14ac:dyDescent="0.3">
      <c r="A2221" s="19">
        <f t="shared" si="174"/>
        <v>49024</v>
      </c>
      <c r="B2221">
        <f t="shared" ca="1" si="170"/>
        <v>-7.9777777777777779</v>
      </c>
      <c r="C2221" t="str">
        <f ca="1">IF(currency="USD",'Future et co'!D2221,IF(currency="EUR",'Future et co'!E2221,IF(currency="GBP",'Future et co'!F2221,FALSE)))</f>
        <v>RFR USD</v>
      </c>
      <c r="D2221" t="str">
        <f t="shared" ca="1" si="171"/>
        <v>RFR USD</v>
      </c>
      <c r="E2221" t="str">
        <f t="shared" ca="1" si="172"/>
        <v>RFR EUR</v>
      </c>
      <c r="F2221" t="str">
        <f t="shared" ca="1" si="173"/>
        <v>RFR GBP</v>
      </c>
      <c r="J2221" s="1"/>
      <c r="N2221" s="1"/>
      <c r="R2221" s="1"/>
      <c r="V2221" s="1"/>
      <c r="AB2221" s="1"/>
      <c r="AF2221" s="1"/>
      <c r="AJ2221" s="1"/>
      <c r="AN2221" s="1"/>
      <c r="AS2221" s="1"/>
      <c r="AX2221" s="1"/>
    </row>
    <row r="2222" spans="1:50" x14ac:dyDescent="0.3">
      <c r="A2222" s="19">
        <f t="shared" si="174"/>
        <v>49025</v>
      </c>
      <c r="B2222">
        <f t="shared" ca="1" si="170"/>
        <v>-7.9805555555555552</v>
      </c>
      <c r="C2222" t="str">
        <f ca="1">IF(currency="USD",'Future et co'!D2222,IF(currency="EUR",'Future et co'!E2222,IF(currency="GBP",'Future et co'!F2222,FALSE)))</f>
        <v>RFR USD</v>
      </c>
      <c r="D2222" t="str">
        <f t="shared" ca="1" si="171"/>
        <v>RFR USD</v>
      </c>
      <c r="E2222" t="str">
        <f t="shared" ca="1" si="172"/>
        <v>RFR EUR</v>
      </c>
      <c r="F2222" t="str">
        <f t="shared" ca="1" si="173"/>
        <v>RFR GBP</v>
      </c>
      <c r="J2222" s="1"/>
      <c r="N2222" s="1"/>
      <c r="R2222" s="1"/>
      <c r="V2222" s="1"/>
      <c r="AB2222" s="1"/>
      <c r="AF2222" s="1"/>
      <c r="AJ2222" s="1"/>
      <c r="AN2222" s="1"/>
      <c r="AS2222" s="1"/>
      <c r="AX2222" s="1"/>
    </row>
    <row r="2223" spans="1:50" x14ac:dyDescent="0.3">
      <c r="A2223" s="19">
        <f t="shared" si="174"/>
        <v>49026</v>
      </c>
      <c r="B2223">
        <f t="shared" ca="1" si="170"/>
        <v>-7.9833333333333334</v>
      </c>
      <c r="C2223" t="str">
        <f ca="1">IF(currency="USD",'Future et co'!D2223,IF(currency="EUR",'Future et co'!E2223,IF(currency="GBP",'Future et co'!F2223,FALSE)))</f>
        <v>RFR USD</v>
      </c>
      <c r="D2223" t="str">
        <f t="shared" ca="1" si="171"/>
        <v>RFR USD</v>
      </c>
      <c r="E2223" t="str">
        <f t="shared" ca="1" si="172"/>
        <v>RFR EUR</v>
      </c>
      <c r="F2223" t="str">
        <f t="shared" ca="1" si="173"/>
        <v>RFR GBP</v>
      </c>
      <c r="J2223" s="1"/>
      <c r="N2223" s="1"/>
      <c r="R2223" s="1"/>
      <c r="V2223" s="1"/>
      <c r="AB2223" s="1"/>
      <c r="AF2223" s="1"/>
      <c r="AJ2223" s="1"/>
      <c r="AN2223" s="1"/>
      <c r="AS2223" s="1"/>
      <c r="AX2223" s="1"/>
    </row>
    <row r="2224" spans="1:50" x14ac:dyDescent="0.3">
      <c r="A2224" s="19">
        <f t="shared" si="174"/>
        <v>49027</v>
      </c>
      <c r="B2224">
        <f t="shared" ca="1" si="170"/>
        <v>-7.9861111111111107</v>
      </c>
      <c r="C2224" t="str">
        <f ca="1">IF(currency="USD",'Future et co'!D2224,IF(currency="EUR",'Future et co'!E2224,IF(currency="GBP",'Future et co'!F2224,FALSE)))</f>
        <v>RFR USD</v>
      </c>
      <c r="D2224" t="str">
        <f t="shared" ca="1" si="171"/>
        <v>RFR USD</v>
      </c>
      <c r="E2224" t="str">
        <f t="shared" ca="1" si="172"/>
        <v>RFR EUR</v>
      </c>
      <c r="F2224" t="str">
        <f t="shared" ca="1" si="173"/>
        <v>RFR GBP</v>
      </c>
      <c r="J2224" s="1"/>
      <c r="N2224" s="1"/>
      <c r="R2224" s="1"/>
      <c r="V2224" s="1"/>
      <c r="AB2224" s="1"/>
      <c r="AF2224" s="1"/>
      <c r="AJ2224" s="1"/>
      <c r="AN2224" s="1"/>
      <c r="AS2224" s="1"/>
      <c r="AX2224" s="1"/>
    </row>
    <row r="2225" spans="1:50" x14ac:dyDescent="0.3">
      <c r="A2225" s="19">
        <f t="shared" si="174"/>
        <v>49030</v>
      </c>
      <c r="B2225">
        <f t="shared" ca="1" si="170"/>
        <v>-7.9944444444444445</v>
      </c>
      <c r="C2225" t="str">
        <f ca="1">IF(currency="USD",'Future et co'!D2225,IF(currency="EUR",'Future et co'!E2225,IF(currency="GBP",'Future et co'!F2225,FALSE)))</f>
        <v>RFR USD</v>
      </c>
      <c r="D2225" t="str">
        <f t="shared" ca="1" si="171"/>
        <v>RFR USD</v>
      </c>
      <c r="E2225" t="str">
        <f t="shared" ca="1" si="172"/>
        <v>RFR EUR</v>
      </c>
      <c r="F2225" t="str">
        <f t="shared" ca="1" si="173"/>
        <v>RFR GBP</v>
      </c>
      <c r="J2225" s="1"/>
      <c r="N2225" s="1"/>
      <c r="R2225" s="1"/>
      <c r="V2225" s="1"/>
      <c r="AB2225" s="1"/>
      <c r="AF2225" s="1"/>
      <c r="AJ2225" s="1"/>
      <c r="AN2225" s="1"/>
      <c r="AS2225" s="1"/>
      <c r="AX2225" s="1"/>
    </row>
    <row r="2226" spans="1:50" x14ac:dyDescent="0.3">
      <c r="A2226" s="19">
        <f t="shared" si="174"/>
        <v>49031</v>
      </c>
      <c r="B2226">
        <f t="shared" ca="1" si="170"/>
        <v>-7.9972222222222218</v>
      </c>
      <c r="C2226" t="str">
        <f ca="1">IF(currency="USD",'Future et co'!D2226,IF(currency="EUR",'Future et co'!E2226,IF(currency="GBP",'Future et co'!F2226,FALSE)))</f>
        <v>RFR USD</v>
      </c>
      <c r="D2226" t="str">
        <f t="shared" ca="1" si="171"/>
        <v>RFR USD</v>
      </c>
      <c r="E2226" t="str">
        <f t="shared" ca="1" si="172"/>
        <v>RFR EUR</v>
      </c>
      <c r="F2226" t="str">
        <f t="shared" ca="1" si="173"/>
        <v>RFR GBP</v>
      </c>
      <c r="J2226" s="1"/>
      <c r="N2226" s="1"/>
      <c r="R2226" s="1"/>
      <c r="V2226" s="1"/>
      <c r="AB2226" s="1"/>
      <c r="AF2226" s="1"/>
      <c r="AJ2226" s="1"/>
      <c r="AN2226" s="1"/>
      <c r="AS2226" s="1"/>
      <c r="AX2226" s="1"/>
    </row>
    <row r="2227" spans="1:50" x14ac:dyDescent="0.3">
      <c r="A2227" s="19">
        <f t="shared" si="174"/>
        <v>49032</v>
      </c>
      <c r="B2227">
        <f t="shared" ca="1" si="170"/>
        <v>-8</v>
      </c>
      <c r="C2227" t="str">
        <f ca="1">IF(currency="USD",'Future et co'!D2227,IF(currency="EUR",'Future et co'!E2227,IF(currency="GBP",'Future et co'!F2227,FALSE)))</f>
        <v>RFR USD</v>
      </c>
      <c r="D2227" t="str">
        <f t="shared" ca="1" si="171"/>
        <v>RFR USD</v>
      </c>
      <c r="E2227" t="str">
        <f t="shared" ca="1" si="172"/>
        <v>RFR EUR</v>
      </c>
      <c r="F2227" t="str">
        <f t="shared" ca="1" si="173"/>
        <v>RFR GBP</v>
      </c>
      <c r="J2227" s="1"/>
      <c r="N2227" s="1"/>
      <c r="R2227" s="1"/>
      <c r="V2227" s="1"/>
      <c r="AB2227" s="1"/>
      <c r="AF2227" s="1"/>
      <c r="AJ2227" s="1"/>
      <c r="AN2227" s="1"/>
      <c r="AS2227" s="1"/>
      <c r="AX2227" s="1"/>
    </row>
    <row r="2228" spans="1:50" x14ac:dyDescent="0.3">
      <c r="A2228" s="19">
        <f t="shared" si="174"/>
        <v>49033</v>
      </c>
      <c r="B2228">
        <f t="shared" ca="1" si="170"/>
        <v>-8.0027777777777782</v>
      </c>
      <c r="C2228" t="str">
        <f ca="1">IF(currency="USD",'Future et co'!D2228,IF(currency="EUR",'Future et co'!E2228,IF(currency="GBP",'Future et co'!F2228,FALSE)))</f>
        <v>RFR USD</v>
      </c>
      <c r="D2228" t="str">
        <f t="shared" ca="1" si="171"/>
        <v>RFR USD</v>
      </c>
      <c r="E2228" t="str">
        <f t="shared" ca="1" si="172"/>
        <v>RFR EUR</v>
      </c>
      <c r="F2228" t="str">
        <f t="shared" ca="1" si="173"/>
        <v>RFR GBP</v>
      </c>
      <c r="J2228" s="1"/>
      <c r="N2228" s="1"/>
      <c r="R2228" s="1"/>
      <c r="V2228" s="1"/>
      <c r="AB2228" s="1"/>
      <c r="AF2228" s="1"/>
      <c r="AJ2228" s="1"/>
      <c r="AN2228" s="1"/>
      <c r="AS2228" s="1"/>
      <c r="AX2228" s="1"/>
    </row>
    <row r="2229" spans="1:50" x14ac:dyDescent="0.3">
      <c r="A2229" s="19">
        <f t="shared" si="174"/>
        <v>49034</v>
      </c>
      <c r="B2229">
        <f t="shared" ca="1" si="170"/>
        <v>-8.0055555555555564</v>
      </c>
      <c r="C2229" t="str">
        <f ca="1">IF(currency="USD",'Future et co'!D2229,IF(currency="EUR",'Future et co'!E2229,IF(currency="GBP",'Future et co'!F2229,FALSE)))</f>
        <v>RFR USD</v>
      </c>
      <c r="D2229" t="str">
        <f t="shared" ca="1" si="171"/>
        <v>RFR USD</v>
      </c>
      <c r="E2229" t="str">
        <f t="shared" ca="1" si="172"/>
        <v>RFR EUR</v>
      </c>
      <c r="F2229" t="str">
        <f t="shared" ca="1" si="173"/>
        <v>RFR GBP</v>
      </c>
      <c r="J2229" s="1"/>
      <c r="N2229" s="1"/>
      <c r="R2229" s="1"/>
      <c r="V2229" s="1"/>
      <c r="AB2229" s="1"/>
      <c r="AF2229" s="1"/>
      <c r="AJ2229" s="1"/>
      <c r="AN2229" s="1"/>
      <c r="AS2229" s="1"/>
      <c r="AX2229" s="1"/>
    </row>
    <row r="2230" spans="1:50" x14ac:dyDescent="0.3">
      <c r="A2230" s="19">
        <f t="shared" si="174"/>
        <v>49037</v>
      </c>
      <c r="B2230">
        <f t="shared" ca="1" si="170"/>
        <v>-8.0138888888888893</v>
      </c>
      <c r="C2230" t="str">
        <f ca="1">IF(currency="USD",'Future et co'!D2230,IF(currency="EUR",'Future et co'!E2230,IF(currency="GBP",'Future et co'!F2230,FALSE)))</f>
        <v>RFR USD</v>
      </c>
      <c r="D2230" t="str">
        <f t="shared" ca="1" si="171"/>
        <v>RFR USD</v>
      </c>
      <c r="E2230" t="str">
        <f t="shared" ca="1" si="172"/>
        <v>RFR EUR</v>
      </c>
      <c r="F2230" t="str">
        <f t="shared" ca="1" si="173"/>
        <v>RFR GBP</v>
      </c>
      <c r="J2230" s="1"/>
      <c r="N2230" s="1"/>
      <c r="R2230" s="1"/>
      <c r="V2230" s="1"/>
      <c r="AB2230" s="1"/>
      <c r="AF2230" s="1"/>
      <c r="AJ2230" s="1"/>
      <c r="AN2230" s="1"/>
      <c r="AS2230" s="1"/>
      <c r="AX2230" s="1"/>
    </row>
    <row r="2231" spans="1:50" x14ac:dyDescent="0.3">
      <c r="A2231" s="19">
        <f t="shared" si="174"/>
        <v>49038</v>
      </c>
      <c r="B2231">
        <f t="shared" ca="1" si="170"/>
        <v>-8.0166666666666675</v>
      </c>
      <c r="C2231" t="str">
        <f ca="1">IF(currency="USD",'Future et co'!D2231,IF(currency="EUR",'Future et co'!E2231,IF(currency="GBP",'Future et co'!F2231,FALSE)))</f>
        <v>RFR USD</v>
      </c>
      <c r="D2231" t="str">
        <f t="shared" ca="1" si="171"/>
        <v>RFR USD</v>
      </c>
      <c r="E2231" t="str">
        <f t="shared" ca="1" si="172"/>
        <v>RFR EUR</v>
      </c>
      <c r="F2231" t="str">
        <f t="shared" ca="1" si="173"/>
        <v>RFR GBP</v>
      </c>
      <c r="J2231" s="1"/>
      <c r="N2231" s="1"/>
      <c r="R2231" s="1"/>
      <c r="V2231" s="1"/>
      <c r="AB2231" s="1"/>
      <c r="AF2231" s="1"/>
      <c r="AJ2231" s="1"/>
      <c r="AN2231" s="1"/>
      <c r="AS2231" s="1"/>
      <c r="AX2231" s="1"/>
    </row>
    <row r="2232" spans="1:50" x14ac:dyDescent="0.3">
      <c r="A2232" s="19">
        <f t="shared" si="174"/>
        <v>49039</v>
      </c>
      <c r="B2232">
        <f t="shared" ca="1" si="170"/>
        <v>-8.0194444444444439</v>
      </c>
      <c r="C2232" t="str">
        <f ca="1">IF(currency="USD",'Future et co'!D2232,IF(currency="EUR",'Future et co'!E2232,IF(currency="GBP",'Future et co'!F2232,FALSE)))</f>
        <v>RFR USD</v>
      </c>
      <c r="D2232" t="str">
        <f t="shared" ca="1" si="171"/>
        <v>RFR USD</v>
      </c>
      <c r="E2232" t="str">
        <f t="shared" ca="1" si="172"/>
        <v>RFR EUR</v>
      </c>
      <c r="F2232" t="str">
        <f t="shared" ca="1" si="173"/>
        <v>RFR GBP</v>
      </c>
      <c r="J2232" s="1"/>
      <c r="N2232" s="1"/>
      <c r="R2232" s="1"/>
      <c r="V2232" s="1"/>
      <c r="AB2232" s="1"/>
      <c r="AF2232" s="1"/>
      <c r="AJ2232" s="1"/>
      <c r="AN2232" s="1"/>
      <c r="AS2232" s="1"/>
      <c r="AX2232" s="1"/>
    </row>
    <row r="2233" spans="1:50" x14ac:dyDescent="0.3">
      <c r="A2233" s="19">
        <f t="shared" si="174"/>
        <v>49040</v>
      </c>
      <c r="B2233">
        <f t="shared" ca="1" si="170"/>
        <v>-8.0222222222222221</v>
      </c>
      <c r="C2233" t="str">
        <f ca="1">IF(currency="USD",'Future et co'!D2233,IF(currency="EUR",'Future et co'!E2233,IF(currency="GBP",'Future et co'!F2233,FALSE)))</f>
        <v>RFR USD</v>
      </c>
      <c r="D2233" t="str">
        <f t="shared" ca="1" si="171"/>
        <v>RFR USD</v>
      </c>
      <c r="E2233" t="str">
        <f t="shared" ca="1" si="172"/>
        <v>RFR EUR</v>
      </c>
      <c r="F2233" t="str">
        <f t="shared" ca="1" si="173"/>
        <v>RFR GBP</v>
      </c>
      <c r="J2233" s="1"/>
      <c r="N2233" s="1"/>
      <c r="R2233" s="1"/>
      <c r="V2233" s="1"/>
      <c r="AB2233" s="1"/>
      <c r="AF2233" s="1"/>
      <c r="AJ2233" s="1"/>
      <c r="AN2233" s="1"/>
      <c r="AS2233" s="1"/>
      <c r="AX2233" s="1"/>
    </row>
    <row r="2234" spans="1:50" x14ac:dyDescent="0.3">
      <c r="A2234" s="19">
        <f t="shared" si="174"/>
        <v>49041</v>
      </c>
      <c r="B2234">
        <f t="shared" ca="1" si="170"/>
        <v>-8.0250000000000004</v>
      </c>
      <c r="C2234" t="str">
        <f ca="1">IF(currency="USD",'Future et co'!D2234,IF(currency="EUR",'Future et co'!E2234,IF(currency="GBP",'Future et co'!F2234,FALSE)))</f>
        <v>RFR USD</v>
      </c>
      <c r="D2234" t="str">
        <f t="shared" ca="1" si="171"/>
        <v>RFR USD</v>
      </c>
      <c r="E2234" t="str">
        <f t="shared" ca="1" si="172"/>
        <v>RFR EUR</v>
      </c>
      <c r="F2234" t="str">
        <f t="shared" ca="1" si="173"/>
        <v>RFR GBP</v>
      </c>
      <c r="J2234" s="1"/>
      <c r="N2234" s="1"/>
      <c r="R2234" s="1"/>
      <c r="V2234" s="1"/>
      <c r="AB2234" s="1"/>
      <c r="AF2234" s="1"/>
      <c r="AJ2234" s="1"/>
      <c r="AN2234" s="1"/>
      <c r="AS2234" s="1"/>
      <c r="AX2234" s="1"/>
    </row>
    <row r="2235" spans="1:50" x14ac:dyDescent="0.3">
      <c r="A2235" s="19">
        <f t="shared" si="174"/>
        <v>49044</v>
      </c>
      <c r="B2235">
        <f t="shared" ca="1" si="170"/>
        <v>-8.0333333333333332</v>
      </c>
      <c r="C2235" t="str">
        <f ca="1">IF(currency="USD",'Future et co'!D2235,IF(currency="EUR",'Future et co'!E2235,IF(currency="GBP",'Future et co'!F2235,FALSE)))</f>
        <v>RFR USD</v>
      </c>
      <c r="D2235" t="str">
        <f t="shared" ca="1" si="171"/>
        <v>RFR USD</v>
      </c>
      <c r="E2235" t="str">
        <f t="shared" ca="1" si="172"/>
        <v>RFR EUR</v>
      </c>
      <c r="F2235" t="str">
        <f t="shared" ca="1" si="173"/>
        <v>RFR GBP</v>
      </c>
      <c r="J2235" s="1"/>
      <c r="N2235" s="1"/>
      <c r="R2235" s="1"/>
      <c r="V2235" s="1"/>
      <c r="AB2235" s="1"/>
      <c r="AF2235" s="1"/>
      <c r="AJ2235" s="1"/>
      <c r="AN2235" s="1"/>
      <c r="AS2235" s="1"/>
      <c r="AX2235" s="1"/>
    </row>
    <row r="2236" spans="1:50" x14ac:dyDescent="0.3">
      <c r="A2236" s="19">
        <f t="shared" si="174"/>
        <v>49045</v>
      </c>
      <c r="B2236">
        <f t="shared" ca="1" si="170"/>
        <v>-8.0361111111111114</v>
      </c>
      <c r="C2236" t="str">
        <f ca="1">IF(currency="USD",'Future et co'!D2236,IF(currency="EUR",'Future et co'!E2236,IF(currency="GBP",'Future et co'!F2236,FALSE)))</f>
        <v>RFR USD</v>
      </c>
      <c r="D2236" t="str">
        <f t="shared" ca="1" si="171"/>
        <v>RFR USD</v>
      </c>
      <c r="E2236" t="str">
        <f t="shared" ca="1" si="172"/>
        <v>RFR EUR</v>
      </c>
      <c r="F2236" t="str">
        <f t="shared" ca="1" si="173"/>
        <v>RFR GBP</v>
      </c>
      <c r="J2236" s="1"/>
      <c r="N2236" s="1"/>
      <c r="R2236" s="1"/>
      <c r="V2236" s="1"/>
      <c r="AB2236" s="1"/>
      <c r="AF2236" s="1"/>
      <c r="AJ2236" s="1"/>
      <c r="AN2236" s="1"/>
      <c r="AS2236" s="1"/>
      <c r="AX2236" s="1"/>
    </row>
    <row r="2237" spans="1:50" x14ac:dyDescent="0.3">
      <c r="A2237" s="19">
        <f t="shared" si="174"/>
        <v>49046</v>
      </c>
      <c r="B2237">
        <f t="shared" ca="1" si="170"/>
        <v>-8.0388888888888896</v>
      </c>
      <c r="C2237" t="str">
        <f ca="1">IF(currency="USD",'Future et co'!D2237,IF(currency="EUR",'Future et co'!E2237,IF(currency="GBP",'Future et co'!F2237,FALSE)))</f>
        <v>RFR USD</v>
      </c>
      <c r="D2237" t="str">
        <f t="shared" ca="1" si="171"/>
        <v>RFR USD</v>
      </c>
      <c r="E2237" t="str">
        <f t="shared" ca="1" si="172"/>
        <v>RFR EUR</v>
      </c>
      <c r="F2237" t="str">
        <f t="shared" ca="1" si="173"/>
        <v>RFR GBP</v>
      </c>
      <c r="J2237" s="1"/>
      <c r="N2237" s="1"/>
      <c r="R2237" s="1"/>
      <c r="V2237" s="1"/>
      <c r="AB2237" s="1"/>
      <c r="AF2237" s="1"/>
      <c r="AJ2237" s="1"/>
      <c r="AN2237" s="1"/>
      <c r="AS2237" s="1"/>
      <c r="AX2237" s="1"/>
    </row>
    <row r="2238" spans="1:50" x14ac:dyDescent="0.3">
      <c r="A2238" s="19">
        <f t="shared" si="174"/>
        <v>49047</v>
      </c>
      <c r="B2238">
        <f t="shared" ca="1" si="170"/>
        <v>-8.0416666666666661</v>
      </c>
      <c r="C2238" t="str">
        <f ca="1">IF(currency="USD",'Future et co'!D2238,IF(currency="EUR",'Future et co'!E2238,IF(currency="GBP",'Future et co'!F2238,FALSE)))</f>
        <v>RFR USD</v>
      </c>
      <c r="D2238" t="str">
        <f t="shared" ca="1" si="171"/>
        <v>RFR USD</v>
      </c>
      <c r="E2238" t="str">
        <f t="shared" ca="1" si="172"/>
        <v>RFR EUR</v>
      </c>
      <c r="F2238" t="str">
        <f t="shared" ca="1" si="173"/>
        <v>RFR GBP</v>
      </c>
      <c r="J2238" s="1"/>
      <c r="N2238" s="1"/>
      <c r="R2238" s="1"/>
      <c r="V2238" s="1"/>
      <c r="AB2238" s="1"/>
      <c r="AF2238" s="1"/>
      <c r="AJ2238" s="1"/>
      <c r="AN2238" s="1"/>
      <c r="AS2238" s="1"/>
      <c r="AX2238" s="1"/>
    </row>
    <row r="2239" spans="1:50" x14ac:dyDescent="0.3">
      <c r="A2239" s="19">
        <f t="shared" si="174"/>
        <v>49048</v>
      </c>
      <c r="B2239">
        <f t="shared" ca="1" si="170"/>
        <v>-8.0444444444444443</v>
      </c>
      <c r="C2239" t="str">
        <f ca="1">IF(currency="USD",'Future et co'!D2239,IF(currency="EUR",'Future et co'!E2239,IF(currency="GBP",'Future et co'!F2239,FALSE)))</f>
        <v>RFR USD</v>
      </c>
      <c r="D2239" t="str">
        <f t="shared" ca="1" si="171"/>
        <v>RFR USD</v>
      </c>
      <c r="E2239" t="str">
        <f t="shared" ca="1" si="172"/>
        <v>RFR EUR</v>
      </c>
      <c r="F2239" t="str">
        <f t="shared" ca="1" si="173"/>
        <v>RFR GBP</v>
      </c>
      <c r="J2239" s="1"/>
      <c r="N2239" s="1"/>
      <c r="R2239" s="1"/>
      <c r="V2239" s="1"/>
      <c r="AB2239" s="1"/>
      <c r="AF2239" s="1"/>
      <c r="AJ2239" s="1"/>
      <c r="AN2239" s="1"/>
      <c r="AS2239" s="1"/>
      <c r="AX2239" s="1"/>
    </row>
    <row r="2240" spans="1:50" x14ac:dyDescent="0.3">
      <c r="A2240" s="19">
        <f t="shared" si="174"/>
        <v>49051</v>
      </c>
      <c r="B2240">
        <f t="shared" ca="1" si="170"/>
        <v>-8.0527777777777771</v>
      </c>
      <c r="C2240" t="str">
        <f ca="1">IF(currency="USD",'Future et co'!D2240,IF(currency="EUR",'Future et co'!E2240,IF(currency="GBP",'Future et co'!F2240,FALSE)))</f>
        <v>RFR USD</v>
      </c>
      <c r="D2240" t="str">
        <f t="shared" ca="1" si="171"/>
        <v>RFR USD</v>
      </c>
      <c r="E2240" t="str">
        <f t="shared" ca="1" si="172"/>
        <v>RFR EUR</v>
      </c>
      <c r="F2240" t="str">
        <f t="shared" ca="1" si="173"/>
        <v>RFR GBP</v>
      </c>
      <c r="J2240" s="1"/>
      <c r="N2240" s="1"/>
      <c r="R2240" s="1"/>
      <c r="V2240" s="1"/>
      <c r="AB2240" s="1"/>
      <c r="AF2240" s="1"/>
      <c r="AJ2240" s="1"/>
      <c r="AN2240" s="1"/>
      <c r="AS2240" s="1"/>
      <c r="AX2240" s="1"/>
    </row>
    <row r="2241" spans="1:50" x14ac:dyDescent="0.3">
      <c r="A2241" s="19">
        <f t="shared" si="174"/>
        <v>49052</v>
      </c>
      <c r="B2241">
        <f t="shared" ca="1" si="170"/>
        <v>-8.0555555555555554</v>
      </c>
      <c r="C2241" t="str">
        <f ca="1">IF(currency="USD",'Future et co'!D2241,IF(currency="EUR",'Future et co'!E2241,IF(currency="GBP",'Future et co'!F2241,FALSE)))</f>
        <v>RFR USD</v>
      </c>
      <c r="D2241" t="str">
        <f t="shared" ca="1" si="171"/>
        <v>RFR USD</v>
      </c>
      <c r="E2241" t="str">
        <f t="shared" ca="1" si="172"/>
        <v>RFR EUR</v>
      </c>
      <c r="F2241" t="str">
        <f t="shared" ca="1" si="173"/>
        <v>RFR GBP</v>
      </c>
      <c r="J2241" s="1"/>
      <c r="N2241" s="1"/>
      <c r="R2241" s="1"/>
      <c r="V2241" s="1"/>
      <c r="AB2241" s="1"/>
      <c r="AF2241" s="1"/>
      <c r="AJ2241" s="1"/>
      <c r="AN2241" s="1"/>
      <c r="AS2241" s="1"/>
      <c r="AX2241" s="1"/>
    </row>
    <row r="2242" spans="1:50" x14ac:dyDescent="0.3">
      <c r="A2242" s="19">
        <f t="shared" si="174"/>
        <v>49053</v>
      </c>
      <c r="B2242">
        <f t="shared" ca="1" si="170"/>
        <v>-8.0583333333333336</v>
      </c>
      <c r="C2242" t="str">
        <f ca="1">IF(currency="USD",'Future et co'!D2242,IF(currency="EUR",'Future et co'!E2242,IF(currency="GBP",'Future et co'!F2242,FALSE)))</f>
        <v>RFR USD</v>
      </c>
      <c r="D2242" t="str">
        <f t="shared" ca="1" si="171"/>
        <v>RFR USD</v>
      </c>
      <c r="E2242" t="str">
        <f t="shared" ca="1" si="172"/>
        <v>RFR EUR</v>
      </c>
      <c r="F2242" t="str">
        <f t="shared" ca="1" si="173"/>
        <v>RFR GBP</v>
      </c>
      <c r="J2242" s="1"/>
      <c r="N2242" s="1"/>
      <c r="R2242" s="1"/>
      <c r="V2242" s="1"/>
      <c r="AB2242" s="1"/>
      <c r="AF2242" s="1"/>
      <c r="AJ2242" s="1"/>
      <c r="AN2242" s="1"/>
      <c r="AS2242" s="1"/>
      <c r="AX2242" s="1"/>
    </row>
    <row r="2243" spans="1:50" x14ac:dyDescent="0.3">
      <c r="A2243" s="19">
        <f t="shared" si="174"/>
        <v>49054</v>
      </c>
      <c r="B2243">
        <f t="shared" ca="1" si="170"/>
        <v>-8.0611111111111118</v>
      </c>
      <c r="C2243" t="str">
        <f ca="1">IF(currency="USD",'Future et co'!D2243,IF(currency="EUR",'Future et co'!E2243,IF(currency="GBP",'Future et co'!F2243,FALSE)))</f>
        <v>RFR USD</v>
      </c>
      <c r="D2243" t="str">
        <f t="shared" ca="1" si="171"/>
        <v>RFR USD</v>
      </c>
      <c r="E2243" t="str">
        <f t="shared" ca="1" si="172"/>
        <v>RFR EUR</v>
      </c>
      <c r="F2243" t="str">
        <f t="shared" ca="1" si="173"/>
        <v>RFR GBP</v>
      </c>
      <c r="J2243" s="1"/>
      <c r="N2243" s="1"/>
      <c r="R2243" s="1"/>
      <c r="V2243" s="1"/>
      <c r="AB2243" s="1"/>
      <c r="AF2243" s="1"/>
      <c r="AJ2243" s="1"/>
      <c r="AN2243" s="1"/>
      <c r="AS2243" s="1"/>
      <c r="AX2243" s="1"/>
    </row>
    <row r="2244" spans="1:50" x14ac:dyDescent="0.3">
      <c r="A2244" s="19">
        <f t="shared" si="174"/>
        <v>49055</v>
      </c>
      <c r="B2244">
        <f t="shared" ca="1" si="170"/>
        <v>-8.0638888888888882</v>
      </c>
      <c r="C2244" t="str">
        <f ca="1">IF(currency="USD",'Future et co'!D2244,IF(currency="EUR",'Future et co'!E2244,IF(currency="GBP",'Future et co'!F2244,FALSE)))</f>
        <v>RFR USD</v>
      </c>
      <c r="D2244" t="str">
        <f t="shared" ca="1" si="171"/>
        <v>RFR USD</v>
      </c>
      <c r="E2244" t="str">
        <f t="shared" ca="1" si="172"/>
        <v>RFR EUR</v>
      </c>
      <c r="F2244" t="str">
        <f t="shared" ca="1" si="173"/>
        <v>RFR GBP</v>
      </c>
      <c r="J2244" s="1"/>
      <c r="N2244" s="1"/>
      <c r="R2244" s="1"/>
      <c r="V2244" s="1"/>
      <c r="AB2244" s="1"/>
      <c r="AF2244" s="1"/>
      <c r="AJ2244" s="1"/>
      <c r="AN2244" s="1"/>
      <c r="AS2244" s="1"/>
      <c r="AX2244" s="1"/>
    </row>
    <row r="2245" spans="1:50" x14ac:dyDescent="0.3">
      <c r="A2245" s="19">
        <f t="shared" si="174"/>
        <v>49058</v>
      </c>
      <c r="B2245">
        <f t="shared" ca="1" si="170"/>
        <v>-8.0722222222222229</v>
      </c>
      <c r="C2245" t="str">
        <f ca="1">IF(currency="USD",'Future et co'!D2245,IF(currency="EUR",'Future et co'!E2245,IF(currency="GBP",'Future et co'!F2245,FALSE)))</f>
        <v>RFR USD</v>
      </c>
      <c r="D2245" t="str">
        <f t="shared" ca="1" si="171"/>
        <v>RFR USD</v>
      </c>
      <c r="E2245" t="str">
        <f t="shared" ca="1" si="172"/>
        <v>RFR EUR</v>
      </c>
      <c r="F2245" t="str">
        <f t="shared" ca="1" si="173"/>
        <v>RFR GBP</v>
      </c>
      <c r="J2245" s="1"/>
      <c r="N2245" s="1"/>
      <c r="R2245" s="1"/>
      <c r="V2245" s="1"/>
      <c r="AB2245" s="1"/>
      <c r="AF2245" s="1"/>
      <c r="AJ2245" s="1"/>
      <c r="AN2245" s="1"/>
      <c r="AS2245" s="1"/>
      <c r="AX2245" s="1"/>
    </row>
    <row r="2246" spans="1:50" x14ac:dyDescent="0.3">
      <c r="A2246" s="19">
        <f t="shared" si="174"/>
        <v>49059</v>
      </c>
      <c r="B2246">
        <f t="shared" ca="1" si="170"/>
        <v>-8.0749999999999993</v>
      </c>
      <c r="C2246" t="str">
        <f ca="1">IF(currency="USD",'Future et co'!D2246,IF(currency="EUR",'Future et co'!E2246,IF(currency="GBP",'Future et co'!F2246,FALSE)))</f>
        <v>RFR USD</v>
      </c>
      <c r="D2246" t="str">
        <f t="shared" ca="1" si="171"/>
        <v>RFR USD</v>
      </c>
      <c r="E2246" t="str">
        <f t="shared" ca="1" si="172"/>
        <v>RFR EUR</v>
      </c>
      <c r="F2246" t="str">
        <f t="shared" ca="1" si="173"/>
        <v>RFR GBP</v>
      </c>
      <c r="J2246" s="1"/>
      <c r="N2246" s="1"/>
      <c r="R2246" s="1"/>
      <c r="V2246" s="1"/>
      <c r="AB2246" s="1"/>
      <c r="AF2246" s="1"/>
      <c r="AJ2246" s="1"/>
      <c r="AN2246" s="1"/>
      <c r="AS2246" s="1"/>
      <c r="AX2246" s="1"/>
    </row>
    <row r="2247" spans="1:50" x14ac:dyDescent="0.3">
      <c r="A2247" s="19">
        <f t="shared" si="174"/>
        <v>49060</v>
      </c>
      <c r="B2247">
        <f t="shared" ca="1" si="170"/>
        <v>-8.0777777777777775</v>
      </c>
      <c r="C2247" t="str">
        <f ca="1">IF(currency="USD",'Future et co'!D2247,IF(currency="EUR",'Future et co'!E2247,IF(currency="GBP",'Future et co'!F2247,FALSE)))</f>
        <v>RFR USD</v>
      </c>
      <c r="D2247" t="str">
        <f t="shared" ca="1" si="171"/>
        <v>RFR USD</v>
      </c>
      <c r="E2247" t="str">
        <f t="shared" ca="1" si="172"/>
        <v>RFR EUR</v>
      </c>
      <c r="F2247" t="str">
        <f t="shared" ca="1" si="173"/>
        <v>RFR GBP</v>
      </c>
      <c r="J2247" s="1"/>
      <c r="N2247" s="1"/>
      <c r="R2247" s="1"/>
      <c r="V2247" s="1"/>
      <c r="AB2247" s="1"/>
      <c r="AF2247" s="1"/>
      <c r="AJ2247" s="1"/>
      <c r="AN2247" s="1"/>
      <c r="AS2247" s="1"/>
      <c r="AX2247" s="1"/>
    </row>
    <row r="2248" spans="1:50" x14ac:dyDescent="0.3">
      <c r="A2248" s="19">
        <f t="shared" si="174"/>
        <v>49061</v>
      </c>
      <c r="B2248">
        <f t="shared" ca="1" si="170"/>
        <v>-8.0805555555555557</v>
      </c>
      <c r="C2248" t="str">
        <f ca="1">IF(currency="USD",'Future et co'!D2248,IF(currency="EUR",'Future et co'!E2248,IF(currency="GBP",'Future et co'!F2248,FALSE)))</f>
        <v>RFR USD</v>
      </c>
      <c r="D2248" t="str">
        <f t="shared" ca="1" si="171"/>
        <v>RFR USD</v>
      </c>
      <c r="E2248" t="str">
        <f t="shared" ca="1" si="172"/>
        <v>RFR EUR</v>
      </c>
      <c r="F2248" t="str">
        <f t="shared" ca="1" si="173"/>
        <v>RFR GBP</v>
      </c>
      <c r="J2248" s="1"/>
      <c r="N2248" s="1"/>
      <c r="R2248" s="1"/>
      <c r="V2248" s="1"/>
      <c r="AB2248" s="1"/>
      <c r="AF2248" s="1"/>
      <c r="AJ2248" s="1"/>
      <c r="AN2248" s="1"/>
      <c r="AS2248" s="1"/>
      <c r="AX2248" s="1"/>
    </row>
    <row r="2249" spans="1:50" x14ac:dyDescent="0.3">
      <c r="A2249" s="19">
        <f t="shared" si="174"/>
        <v>49062</v>
      </c>
      <c r="B2249">
        <f t="shared" ca="1" si="170"/>
        <v>-8.0833333333333339</v>
      </c>
      <c r="C2249" t="str">
        <f ca="1">IF(currency="USD",'Future et co'!D2249,IF(currency="EUR",'Future et co'!E2249,IF(currency="GBP",'Future et co'!F2249,FALSE)))</f>
        <v>RFR USD</v>
      </c>
      <c r="D2249" t="str">
        <f t="shared" ca="1" si="171"/>
        <v>RFR USD</v>
      </c>
      <c r="E2249" t="str">
        <f t="shared" ca="1" si="172"/>
        <v>RFR EUR</v>
      </c>
      <c r="F2249" t="str">
        <f t="shared" ca="1" si="173"/>
        <v>RFR GBP</v>
      </c>
      <c r="J2249" s="1"/>
      <c r="N2249" s="1"/>
      <c r="R2249" s="1"/>
      <c r="V2249" s="1"/>
      <c r="AB2249" s="1"/>
      <c r="AF2249" s="1"/>
      <c r="AJ2249" s="1"/>
      <c r="AN2249" s="1"/>
      <c r="AS2249" s="1"/>
      <c r="AX2249" s="1"/>
    </row>
    <row r="2250" spans="1:50" x14ac:dyDescent="0.3">
      <c r="A2250" s="19">
        <f t="shared" si="174"/>
        <v>49065</v>
      </c>
      <c r="B2250">
        <f t="shared" ca="1" si="170"/>
        <v>-8.0916666666666668</v>
      </c>
      <c r="C2250" t="str">
        <f ca="1">IF(currency="USD",'Future et co'!D2250,IF(currency="EUR",'Future et co'!E2250,IF(currency="GBP",'Future et co'!F2250,FALSE)))</f>
        <v>RFR USD</v>
      </c>
      <c r="D2250" t="str">
        <f t="shared" ca="1" si="171"/>
        <v>RFR USD</v>
      </c>
      <c r="E2250" t="str">
        <f t="shared" ca="1" si="172"/>
        <v>RFR EUR</v>
      </c>
      <c r="F2250" t="str">
        <f t="shared" ca="1" si="173"/>
        <v>RFR GBP</v>
      </c>
      <c r="J2250" s="1"/>
      <c r="N2250" s="1"/>
      <c r="R2250" s="1"/>
      <c r="V2250" s="1"/>
      <c r="AB2250" s="1"/>
      <c r="AF2250" s="1"/>
      <c r="AJ2250" s="1"/>
      <c r="AN2250" s="1"/>
      <c r="AS2250" s="1"/>
      <c r="AX2250" s="1"/>
    </row>
    <row r="2251" spans="1:50" x14ac:dyDescent="0.3">
      <c r="A2251" s="19">
        <f t="shared" si="174"/>
        <v>49066</v>
      </c>
      <c r="B2251">
        <f t="shared" ref="B2251:B2314" ca="1" si="175">($B$7-A2251)/360</f>
        <v>-8.094444444444445</v>
      </c>
      <c r="C2251" t="str">
        <f ca="1">IF(currency="USD",'Future et co'!D2251,IF(currency="EUR",'Future et co'!E2251,IF(currency="GBP",'Future et co'!F2251,FALSE)))</f>
        <v>RFR USD</v>
      </c>
      <c r="D2251" t="str">
        <f t="shared" ref="D2251:D2314" ca="1" si="176">IFERROR(IF(B2251&lt;0.25,VLOOKUP(A2251,$J$11:$L$5325,3,FALSE),IF(AND(B2251&gt;=0.25,B2251&lt;0.5),VLOOKUP(A2251,$N$11:$P$5325,3,FALSE),IF(AND(B2251&gt;=0.5,B2251&lt;1),VLOOKUP(A2251,$R$11:$T$5325,3,FALSE),VLOOKUP(A2251,$V$11:$X$5010,3,FALSE)))),D2250)</f>
        <v>RFR USD</v>
      </c>
      <c r="E2251" t="str">
        <f t="shared" ref="E2251:E2314" ca="1" si="177">IFERROR(IF(B2251&lt;0.25,VLOOKUP(A2251,$AF$11:$AH$5325,3,FALSE),IF(AND(B2251&gt;=0.25,B2251&lt;0.5),VLOOKUP(A2251,$AJ$11:$AL$5325,3,FALSE),VLOOKUP(A2251,$AN$11:$AP$5325,3,FALSE))),E2250)</f>
        <v>RFR EUR</v>
      </c>
      <c r="F2251" t="str">
        <f t="shared" ref="F2251:F2314" ca="1" si="178">IFERROR(VLOOKUP(A2251,$AS$11:$AU$9999,3,FALSE),F2250)</f>
        <v>RFR GBP</v>
      </c>
      <c r="J2251" s="1"/>
      <c r="N2251" s="1"/>
      <c r="R2251" s="1"/>
      <c r="V2251" s="1"/>
      <c r="AB2251" s="1"/>
      <c r="AF2251" s="1"/>
      <c r="AJ2251" s="1"/>
      <c r="AN2251" s="1"/>
      <c r="AS2251" s="1"/>
      <c r="AX2251" s="1"/>
    </row>
    <row r="2252" spans="1:50" x14ac:dyDescent="0.3">
      <c r="A2252" s="19">
        <f t="shared" si="174"/>
        <v>49067</v>
      </c>
      <c r="B2252">
        <f t="shared" ca="1" si="175"/>
        <v>-8.0972222222222214</v>
      </c>
      <c r="C2252" t="str">
        <f ca="1">IF(currency="USD",'Future et co'!D2252,IF(currency="EUR",'Future et co'!E2252,IF(currency="GBP",'Future et co'!F2252,FALSE)))</f>
        <v>RFR USD</v>
      </c>
      <c r="D2252" t="str">
        <f t="shared" ca="1" si="176"/>
        <v>RFR USD</v>
      </c>
      <c r="E2252" t="str">
        <f t="shared" ca="1" si="177"/>
        <v>RFR EUR</v>
      </c>
      <c r="F2252" t="str">
        <f t="shared" ca="1" si="178"/>
        <v>RFR GBP</v>
      </c>
      <c r="J2252" s="1"/>
      <c r="N2252" s="1"/>
      <c r="R2252" s="1"/>
      <c r="V2252" s="1"/>
      <c r="AB2252" s="1"/>
      <c r="AF2252" s="1"/>
      <c r="AJ2252" s="1"/>
      <c r="AN2252" s="1"/>
      <c r="AS2252" s="1"/>
      <c r="AX2252" s="1"/>
    </row>
    <row r="2253" spans="1:50" x14ac:dyDescent="0.3">
      <c r="A2253" s="19">
        <f t="shared" ref="A2253:A2316" si="179">WORKDAY(A2252,1)</f>
        <v>49068</v>
      </c>
      <c r="B2253">
        <f t="shared" ca="1" si="175"/>
        <v>-8.1</v>
      </c>
      <c r="C2253" t="str">
        <f ca="1">IF(currency="USD",'Future et co'!D2253,IF(currency="EUR",'Future et co'!E2253,IF(currency="GBP",'Future et co'!F2253,FALSE)))</f>
        <v>RFR USD</v>
      </c>
      <c r="D2253" t="str">
        <f t="shared" ca="1" si="176"/>
        <v>RFR USD</v>
      </c>
      <c r="E2253" t="str">
        <f t="shared" ca="1" si="177"/>
        <v>RFR EUR</v>
      </c>
      <c r="F2253" t="str">
        <f t="shared" ca="1" si="178"/>
        <v>RFR GBP</v>
      </c>
      <c r="J2253" s="1"/>
      <c r="N2253" s="1"/>
      <c r="R2253" s="1"/>
      <c r="V2253" s="1"/>
      <c r="AB2253" s="1"/>
      <c r="AF2253" s="1"/>
      <c r="AJ2253" s="1"/>
      <c r="AN2253" s="1"/>
      <c r="AS2253" s="1"/>
      <c r="AX2253" s="1"/>
    </row>
    <row r="2254" spans="1:50" x14ac:dyDescent="0.3">
      <c r="A2254" s="19">
        <f t="shared" si="179"/>
        <v>49069</v>
      </c>
      <c r="B2254">
        <f t="shared" ca="1" si="175"/>
        <v>-8.1027777777777779</v>
      </c>
      <c r="C2254" t="str">
        <f ca="1">IF(currency="USD",'Future et co'!D2254,IF(currency="EUR",'Future et co'!E2254,IF(currency="GBP",'Future et co'!F2254,FALSE)))</f>
        <v>RFR USD</v>
      </c>
      <c r="D2254" t="str">
        <f t="shared" ca="1" si="176"/>
        <v>RFR USD</v>
      </c>
      <c r="E2254" t="str">
        <f t="shared" ca="1" si="177"/>
        <v>RFR EUR</v>
      </c>
      <c r="F2254" t="str">
        <f t="shared" ca="1" si="178"/>
        <v>RFR GBP</v>
      </c>
      <c r="J2254" s="1"/>
      <c r="N2254" s="1"/>
      <c r="R2254" s="1"/>
      <c r="V2254" s="1"/>
      <c r="AB2254" s="1"/>
      <c r="AF2254" s="1"/>
      <c r="AJ2254" s="1"/>
      <c r="AN2254" s="1"/>
      <c r="AS2254" s="1"/>
      <c r="AX2254" s="1"/>
    </row>
    <row r="2255" spans="1:50" x14ac:dyDescent="0.3">
      <c r="A2255" s="19">
        <f t="shared" si="179"/>
        <v>49072</v>
      </c>
      <c r="B2255">
        <f t="shared" ca="1" si="175"/>
        <v>-8.1111111111111107</v>
      </c>
      <c r="C2255" t="str">
        <f ca="1">IF(currency="USD",'Future et co'!D2255,IF(currency="EUR",'Future et co'!E2255,IF(currency="GBP",'Future et co'!F2255,FALSE)))</f>
        <v>RFR USD</v>
      </c>
      <c r="D2255" t="str">
        <f t="shared" ca="1" si="176"/>
        <v>RFR USD</v>
      </c>
      <c r="E2255" t="str">
        <f t="shared" ca="1" si="177"/>
        <v>RFR EUR</v>
      </c>
      <c r="F2255" t="str">
        <f t="shared" ca="1" si="178"/>
        <v>RFR GBP</v>
      </c>
      <c r="J2255" s="1"/>
      <c r="N2255" s="1"/>
      <c r="R2255" s="1"/>
      <c r="V2255" s="1"/>
      <c r="AB2255" s="1"/>
      <c r="AF2255" s="1"/>
      <c r="AJ2255" s="1"/>
      <c r="AN2255" s="1"/>
      <c r="AS2255" s="1"/>
      <c r="AX2255" s="1"/>
    </row>
    <row r="2256" spans="1:50" x14ac:dyDescent="0.3">
      <c r="A2256" s="19">
        <f t="shared" si="179"/>
        <v>49073</v>
      </c>
      <c r="B2256">
        <f t="shared" ca="1" si="175"/>
        <v>-8.1138888888888889</v>
      </c>
      <c r="C2256" t="str">
        <f ca="1">IF(currency="USD",'Future et co'!D2256,IF(currency="EUR",'Future et co'!E2256,IF(currency="GBP",'Future et co'!F2256,FALSE)))</f>
        <v>RFR USD</v>
      </c>
      <c r="D2256" t="str">
        <f t="shared" ca="1" si="176"/>
        <v>RFR USD</v>
      </c>
      <c r="E2256" t="str">
        <f t="shared" ca="1" si="177"/>
        <v>RFR EUR</v>
      </c>
      <c r="F2256" t="str">
        <f t="shared" ca="1" si="178"/>
        <v>RFR GBP</v>
      </c>
      <c r="J2256" s="1"/>
      <c r="N2256" s="1"/>
      <c r="R2256" s="1"/>
      <c r="V2256" s="1"/>
      <c r="AB2256" s="1"/>
      <c r="AF2256" s="1"/>
      <c r="AJ2256" s="1"/>
      <c r="AN2256" s="1"/>
      <c r="AS2256" s="1"/>
      <c r="AX2256" s="1"/>
    </row>
    <row r="2257" spans="1:50" x14ac:dyDescent="0.3">
      <c r="A2257" s="19">
        <f t="shared" si="179"/>
        <v>49074</v>
      </c>
      <c r="B2257">
        <f t="shared" ca="1" si="175"/>
        <v>-8.1166666666666671</v>
      </c>
      <c r="C2257" t="str">
        <f ca="1">IF(currency="USD",'Future et co'!D2257,IF(currency="EUR",'Future et co'!E2257,IF(currency="GBP",'Future et co'!F2257,FALSE)))</f>
        <v>RFR USD</v>
      </c>
      <c r="D2257" t="str">
        <f t="shared" ca="1" si="176"/>
        <v>RFR USD</v>
      </c>
      <c r="E2257" t="str">
        <f t="shared" ca="1" si="177"/>
        <v>RFR EUR</v>
      </c>
      <c r="F2257" t="str">
        <f t="shared" ca="1" si="178"/>
        <v>RFR GBP</v>
      </c>
      <c r="J2257" s="1"/>
      <c r="N2257" s="1"/>
      <c r="R2257" s="1"/>
      <c r="V2257" s="1"/>
      <c r="AB2257" s="1"/>
      <c r="AF2257" s="1"/>
      <c r="AJ2257" s="1"/>
      <c r="AN2257" s="1"/>
      <c r="AS2257" s="1"/>
      <c r="AX2257" s="1"/>
    </row>
    <row r="2258" spans="1:50" x14ac:dyDescent="0.3">
      <c r="A2258" s="19">
        <f t="shared" si="179"/>
        <v>49075</v>
      </c>
      <c r="B2258">
        <f t="shared" ca="1" si="175"/>
        <v>-8.1194444444444436</v>
      </c>
      <c r="C2258" t="str">
        <f ca="1">IF(currency="USD",'Future et co'!D2258,IF(currency="EUR",'Future et co'!E2258,IF(currency="GBP",'Future et co'!F2258,FALSE)))</f>
        <v>RFR USD</v>
      </c>
      <c r="D2258" t="str">
        <f t="shared" ca="1" si="176"/>
        <v>RFR USD</v>
      </c>
      <c r="E2258" t="str">
        <f t="shared" ca="1" si="177"/>
        <v>RFR EUR</v>
      </c>
      <c r="F2258" t="str">
        <f t="shared" ca="1" si="178"/>
        <v>RFR GBP</v>
      </c>
      <c r="J2258" s="1"/>
      <c r="N2258" s="1"/>
      <c r="R2258" s="1"/>
      <c r="V2258" s="1"/>
      <c r="AB2258" s="1"/>
      <c r="AF2258" s="1"/>
      <c r="AJ2258" s="1"/>
      <c r="AN2258" s="1"/>
      <c r="AS2258" s="1"/>
      <c r="AX2258" s="1"/>
    </row>
    <row r="2259" spans="1:50" x14ac:dyDescent="0.3">
      <c r="A2259" s="19">
        <f t="shared" si="179"/>
        <v>49076</v>
      </c>
      <c r="B2259">
        <f t="shared" ca="1" si="175"/>
        <v>-8.1222222222222218</v>
      </c>
      <c r="C2259" t="str">
        <f ca="1">IF(currency="USD",'Future et co'!D2259,IF(currency="EUR",'Future et co'!E2259,IF(currency="GBP",'Future et co'!F2259,FALSE)))</f>
        <v>RFR USD</v>
      </c>
      <c r="D2259" t="str">
        <f t="shared" ca="1" si="176"/>
        <v>RFR USD</v>
      </c>
      <c r="E2259" t="str">
        <f t="shared" ca="1" si="177"/>
        <v>RFR EUR</v>
      </c>
      <c r="F2259" t="str">
        <f t="shared" ca="1" si="178"/>
        <v>RFR GBP</v>
      </c>
      <c r="J2259" s="1"/>
      <c r="N2259" s="1"/>
      <c r="R2259" s="1"/>
      <c r="V2259" s="1"/>
      <c r="AB2259" s="1"/>
      <c r="AF2259" s="1"/>
      <c r="AJ2259" s="1"/>
      <c r="AN2259" s="1"/>
      <c r="AS2259" s="1"/>
      <c r="AX2259" s="1"/>
    </row>
    <row r="2260" spans="1:50" x14ac:dyDescent="0.3">
      <c r="A2260" s="19">
        <f t="shared" si="179"/>
        <v>49079</v>
      </c>
      <c r="B2260">
        <f t="shared" ca="1" si="175"/>
        <v>-8.1305555555555564</v>
      </c>
      <c r="C2260" t="str">
        <f ca="1">IF(currency="USD",'Future et co'!D2260,IF(currency="EUR",'Future et co'!E2260,IF(currency="GBP",'Future et co'!F2260,FALSE)))</f>
        <v>RFR USD</v>
      </c>
      <c r="D2260" t="str">
        <f t="shared" ca="1" si="176"/>
        <v>RFR USD</v>
      </c>
      <c r="E2260" t="str">
        <f t="shared" ca="1" si="177"/>
        <v>RFR EUR</v>
      </c>
      <c r="F2260" t="str">
        <f t="shared" ca="1" si="178"/>
        <v>RFR GBP</v>
      </c>
      <c r="J2260" s="1"/>
      <c r="N2260" s="1"/>
      <c r="R2260" s="1"/>
      <c r="V2260" s="1"/>
      <c r="AB2260" s="1"/>
      <c r="AF2260" s="1"/>
      <c r="AJ2260" s="1"/>
      <c r="AN2260" s="1"/>
      <c r="AS2260" s="1"/>
      <c r="AX2260" s="1"/>
    </row>
    <row r="2261" spans="1:50" x14ac:dyDescent="0.3">
      <c r="A2261" s="19">
        <f t="shared" si="179"/>
        <v>49080</v>
      </c>
      <c r="B2261">
        <f t="shared" ca="1" si="175"/>
        <v>-8.1333333333333329</v>
      </c>
      <c r="C2261" t="str">
        <f ca="1">IF(currency="USD",'Future et co'!D2261,IF(currency="EUR",'Future et co'!E2261,IF(currency="GBP",'Future et co'!F2261,FALSE)))</f>
        <v>RFR USD</v>
      </c>
      <c r="D2261" t="str">
        <f t="shared" ca="1" si="176"/>
        <v>RFR USD</v>
      </c>
      <c r="E2261" t="str">
        <f t="shared" ca="1" si="177"/>
        <v>RFR EUR</v>
      </c>
      <c r="F2261" t="str">
        <f t="shared" ca="1" si="178"/>
        <v>RFR GBP</v>
      </c>
      <c r="J2261" s="1"/>
      <c r="N2261" s="1"/>
      <c r="R2261" s="1"/>
      <c r="V2261" s="1"/>
      <c r="AB2261" s="1"/>
      <c r="AF2261" s="1"/>
      <c r="AJ2261" s="1"/>
      <c r="AN2261" s="1"/>
      <c r="AS2261" s="1"/>
      <c r="AX2261" s="1"/>
    </row>
    <row r="2262" spans="1:50" x14ac:dyDescent="0.3">
      <c r="A2262" s="19">
        <f t="shared" si="179"/>
        <v>49081</v>
      </c>
      <c r="B2262">
        <f t="shared" ca="1" si="175"/>
        <v>-8.1361111111111111</v>
      </c>
      <c r="C2262" t="str">
        <f ca="1">IF(currency="USD",'Future et co'!D2262,IF(currency="EUR",'Future et co'!E2262,IF(currency="GBP",'Future et co'!F2262,FALSE)))</f>
        <v>RFR USD</v>
      </c>
      <c r="D2262" t="str">
        <f t="shared" ca="1" si="176"/>
        <v>RFR USD</v>
      </c>
      <c r="E2262" t="str">
        <f t="shared" ca="1" si="177"/>
        <v>RFR EUR</v>
      </c>
      <c r="F2262" t="str">
        <f t="shared" ca="1" si="178"/>
        <v>RFR GBP</v>
      </c>
      <c r="J2262" s="1"/>
      <c r="N2262" s="1"/>
      <c r="R2262" s="1"/>
      <c r="V2262" s="1"/>
      <c r="AB2262" s="1"/>
      <c r="AF2262" s="1"/>
      <c r="AJ2262" s="1"/>
      <c r="AN2262" s="1"/>
      <c r="AS2262" s="1"/>
      <c r="AX2262" s="1"/>
    </row>
    <row r="2263" spans="1:50" x14ac:dyDescent="0.3">
      <c r="A2263" s="19">
        <f t="shared" si="179"/>
        <v>49082</v>
      </c>
      <c r="B2263">
        <f t="shared" ca="1" si="175"/>
        <v>-8.1388888888888893</v>
      </c>
      <c r="C2263" t="str">
        <f ca="1">IF(currency="USD",'Future et co'!D2263,IF(currency="EUR",'Future et co'!E2263,IF(currency="GBP",'Future et co'!F2263,FALSE)))</f>
        <v>RFR USD</v>
      </c>
      <c r="D2263" t="str">
        <f t="shared" ca="1" si="176"/>
        <v>RFR USD</v>
      </c>
      <c r="E2263" t="str">
        <f t="shared" ca="1" si="177"/>
        <v>RFR EUR</v>
      </c>
      <c r="F2263" t="str">
        <f t="shared" ca="1" si="178"/>
        <v>RFR GBP</v>
      </c>
      <c r="J2263" s="1"/>
      <c r="N2263" s="1"/>
      <c r="R2263" s="1"/>
      <c r="V2263" s="1"/>
      <c r="AB2263" s="1"/>
      <c r="AF2263" s="1"/>
      <c r="AJ2263" s="1"/>
      <c r="AN2263" s="1"/>
      <c r="AS2263" s="1"/>
      <c r="AX2263" s="1"/>
    </row>
    <row r="2264" spans="1:50" x14ac:dyDescent="0.3">
      <c r="A2264" s="19">
        <f t="shared" si="179"/>
        <v>49083</v>
      </c>
      <c r="B2264">
        <f t="shared" ca="1" si="175"/>
        <v>-8.1416666666666675</v>
      </c>
      <c r="C2264" t="str">
        <f ca="1">IF(currency="USD",'Future et co'!D2264,IF(currency="EUR",'Future et co'!E2264,IF(currency="GBP",'Future et co'!F2264,FALSE)))</f>
        <v>RFR USD</v>
      </c>
      <c r="D2264" t="str">
        <f t="shared" ca="1" si="176"/>
        <v>RFR USD</v>
      </c>
      <c r="E2264" t="str">
        <f t="shared" ca="1" si="177"/>
        <v>RFR EUR</v>
      </c>
      <c r="F2264" t="str">
        <f t="shared" ca="1" si="178"/>
        <v>RFR GBP</v>
      </c>
      <c r="J2264" s="1"/>
      <c r="N2264" s="1"/>
      <c r="R2264" s="1"/>
      <c r="V2264" s="1"/>
      <c r="AB2264" s="1"/>
      <c r="AF2264" s="1"/>
      <c r="AJ2264" s="1"/>
      <c r="AN2264" s="1"/>
      <c r="AS2264" s="1"/>
      <c r="AX2264" s="1"/>
    </row>
    <row r="2265" spans="1:50" x14ac:dyDescent="0.3">
      <c r="A2265" s="19">
        <f t="shared" si="179"/>
        <v>49086</v>
      </c>
      <c r="B2265">
        <f t="shared" ca="1" si="175"/>
        <v>-8.15</v>
      </c>
      <c r="C2265" t="str">
        <f ca="1">IF(currency="USD",'Future et co'!D2265,IF(currency="EUR",'Future et co'!E2265,IF(currency="GBP",'Future et co'!F2265,FALSE)))</f>
        <v>RFR USD</v>
      </c>
      <c r="D2265" t="str">
        <f t="shared" ca="1" si="176"/>
        <v>RFR USD</v>
      </c>
      <c r="E2265" t="str">
        <f t="shared" ca="1" si="177"/>
        <v>RFR EUR</v>
      </c>
      <c r="F2265" t="str">
        <f t="shared" ca="1" si="178"/>
        <v>RFR GBP</v>
      </c>
      <c r="J2265" s="1"/>
      <c r="N2265" s="1"/>
      <c r="R2265" s="1"/>
      <c r="V2265" s="1"/>
      <c r="AB2265" s="1"/>
      <c r="AF2265" s="1"/>
      <c r="AJ2265" s="1"/>
      <c r="AN2265" s="1"/>
      <c r="AS2265" s="1"/>
      <c r="AX2265" s="1"/>
    </row>
    <row r="2266" spans="1:50" x14ac:dyDescent="0.3">
      <c r="A2266" s="19">
        <f t="shared" si="179"/>
        <v>49087</v>
      </c>
      <c r="B2266">
        <f t="shared" ca="1" si="175"/>
        <v>-8.1527777777777786</v>
      </c>
      <c r="C2266" t="str">
        <f ca="1">IF(currency="USD",'Future et co'!D2266,IF(currency="EUR",'Future et co'!E2266,IF(currency="GBP",'Future et co'!F2266,FALSE)))</f>
        <v>RFR USD</v>
      </c>
      <c r="D2266" t="str">
        <f t="shared" ca="1" si="176"/>
        <v>RFR USD</v>
      </c>
      <c r="E2266" t="str">
        <f t="shared" ca="1" si="177"/>
        <v>RFR EUR</v>
      </c>
      <c r="F2266" t="str">
        <f t="shared" ca="1" si="178"/>
        <v>RFR GBP</v>
      </c>
      <c r="J2266" s="1"/>
      <c r="N2266" s="1"/>
      <c r="R2266" s="1"/>
      <c r="V2266" s="1"/>
      <c r="AB2266" s="1"/>
      <c r="AF2266" s="1"/>
      <c r="AJ2266" s="1"/>
      <c r="AN2266" s="1"/>
      <c r="AS2266" s="1"/>
      <c r="AX2266" s="1"/>
    </row>
    <row r="2267" spans="1:50" x14ac:dyDescent="0.3">
      <c r="A2267" s="19">
        <f t="shared" si="179"/>
        <v>49088</v>
      </c>
      <c r="B2267">
        <f t="shared" ca="1" si="175"/>
        <v>-8.155555555555555</v>
      </c>
      <c r="C2267" t="str">
        <f ca="1">IF(currency="USD",'Future et co'!D2267,IF(currency="EUR",'Future et co'!E2267,IF(currency="GBP",'Future et co'!F2267,FALSE)))</f>
        <v>RFR USD</v>
      </c>
      <c r="D2267" t="str">
        <f t="shared" ca="1" si="176"/>
        <v>RFR USD</v>
      </c>
      <c r="E2267" t="str">
        <f t="shared" ca="1" si="177"/>
        <v>RFR EUR</v>
      </c>
      <c r="F2267" t="str">
        <f t="shared" ca="1" si="178"/>
        <v>RFR GBP</v>
      </c>
      <c r="J2267" s="1"/>
      <c r="N2267" s="1"/>
      <c r="R2267" s="1"/>
      <c r="V2267" s="1"/>
      <c r="AB2267" s="1"/>
      <c r="AF2267" s="1"/>
      <c r="AJ2267" s="1"/>
      <c r="AN2267" s="1"/>
      <c r="AS2267" s="1"/>
      <c r="AX2267" s="1"/>
    </row>
    <row r="2268" spans="1:50" x14ac:dyDescent="0.3">
      <c r="A2268" s="19">
        <f t="shared" si="179"/>
        <v>49089</v>
      </c>
      <c r="B2268">
        <f t="shared" ca="1" si="175"/>
        <v>-8.1583333333333332</v>
      </c>
      <c r="C2268" t="str">
        <f ca="1">IF(currency="USD",'Future et co'!D2268,IF(currency="EUR",'Future et co'!E2268,IF(currency="GBP",'Future et co'!F2268,FALSE)))</f>
        <v>RFR USD</v>
      </c>
      <c r="D2268" t="str">
        <f t="shared" ca="1" si="176"/>
        <v>RFR USD</v>
      </c>
      <c r="E2268" t="str">
        <f t="shared" ca="1" si="177"/>
        <v>RFR EUR</v>
      </c>
      <c r="F2268" t="str">
        <f t="shared" ca="1" si="178"/>
        <v>RFR GBP</v>
      </c>
      <c r="J2268" s="1"/>
      <c r="N2268" s="1"/>
      <c r="R2268" s="1"/>
      <c r="V2268" s="1"/>
      <c r="AB2268" s="1"/>
      <c r="AF2268" s="1"/>
      <c r="AJ2268" s="1"/>
      <c r="AN2268" s="1"/>
      <c r="AS2268" s="1"/>
      <c r="AX2268" s="1"/>
    </row>
    <row r="2269" spans="1:50" x14ac:dyDescent="0.3">
      <c r="A2269" s="19">
        <f t="shared" si="179"/>
        <v>49090</v>
      </c>
      <c r="B2269">
        <f t="shared" ca="1" si="175"/>
        <v>-8.1611111111111114</v>
      </c>
      <c r="C2269" t="str">
        <f ca="1">IF(currency="USD",'Future et co'!D2269,IF(currency="EUR",'Future et co'!E2269,IF(currency="GBP",'Future et co'!F2269,FALSE)))</f>
        <v>RFR USD</v>
      </c>
      <c r="D2269" t="str">
        <f t="shared" ca="1" si="176"/>
        <v>RFR USD</v>
      </c>
      <c r="E2269" t="str">
        <f t="shared" ca="1" si="177"/>
        <v>RFR EUR</v>
      </c>
      <c r="F2269" t="str">
        <f t="shared" ca="1" si="178"/>
        <v>RFR GBP</v>
      </c>
      <c r="J2269" s="1"/>
      <c r="N2269" s="1"/>
      <c r="R2269" s="1"/>
      <c r="V2269" s="1"/>
      <c r="AB2269" s="1"/>
      <c r="AF2269" s="1"/>
      <c r="AJ2269" s="1"/>
      <c r="AN2269" s="1"/>
      <c r="AS2269" s="1"/>
      <c r="AX2269" s="1"/>
    </row>
    <row r="2270" spans="1:50" x14ac:dyDescent="0.3">
      <c r="A2270" s="19">
        <f t="shared" si="179"/>
        <v>49093</v>
      </c>
      <c r="B2270">
        <f t="shared" ca="1" si="175"/>
        <v>-8.1694444444444443</v>
      </c>
      <c r="C2270" t="str">
        <f ca="1">IF(currency="USD",'Future et co'!D2270,IF(currency="EUR",'Future et co'!E2270,IF(currency="GBP",'Future et co'!F2270,FALSE)))</f>
        <v>RFR USD</v>
      </c>
      <c r="D2270" t="str">
        <f t="shared" ca="1" si="176"/>
        <v>RFR USD</v>
      </c>
      <c r="E2270" t="str">
        <f t="shared" ca="1" si="177"/>
        <v>RFR EUR</v>
      </c>
      <c r="F2270" t="str">
        <f t="shared" ca="1" si="178"/>
        <v>RFR GBP</v>
      </c>
      <c r="J2270" s="1"/>
      <c r="N2270" s="1"/>
      <c r="R2270" s="1"/>
      <c r="V2270" s="1"/>
      <c r="AB2270" s="1"/>
      <c r="AF2270" s="1"/>
      <c r="AJ2270" s="1"/>
      <c r="AN2270" s="1"/>
      <c r="AS2270" s="1"/>
      <c r="AX2270" s="1"/>
    </row>
    <row r="2271" spans="1:50" x14ac:dyDescent="0.3">
      <c r="A2271" s="19">
        <f t="shared" si="179"/>
        <v>49094</v>
      </c>
      <c r="B2271">
        <f t="shared" ca="1" si="175"/>
        <v>-8.1722222222222225</v>
      </c>
      <c r="C2271" t="str">
        <f ca="1">IF(currency="USD",'Future et co'!D2271,IF(currency="EUR",'Future et co'!E2271,IF(currency="GBP",'Future et co'!F2271,FALSE)))</f>
        <v>RFR USD</v>
      </c>
      <c r="D2271" t="str">
        <f t="shared" ca="1" si="176"/>
        <v>RFR USD</v>
      </c>
      <c r="E2271" t="str">
        <f t="shared" ca="1" si="177"/>
        <v>RFR EUR</v>
      </c>
      <c r="F2271" t="str">
        <f t="shared" ca="1" si="178"/>
        <v>RFR GBP</v>
      </c>
      <c r="J2271" s="1"/>
      <c r="N2271" s="1"/>
      <c r="R2271" s="1"/>
      <c r="V2271" s="1"/>
      <c r="AB2271" s="1"/>
      <c r="AF2271" s="1"/>
      <c r="AJ2271" s="1"/>
      <c r="AN2271" s="1"/>
      <c r="AS2271" s="1"/>
      <c r="AX2271" s="1"/>
    </row>
    <row r="2272" spans="1:50" x14ac:dyDescent="0.3">
      <c r="A2272" s="19">
        <f t="shared" si="179"/>
        <v>49095</v>
      </c>
      <c r="B2272">
        <f t="shared" ca="1" si="175"/>
        <v>-8.1750000000000007</v>
      </c>
      <c r="C2272" t="str">
        <f ca="1">IF(currency="USD",'Future et co'!D2272,IF(currency="EUR",'Future et co'!E2272,IF(currency="GBP",'Future et co'!F2272,FALSE)))</f>
        <v>RFR USD</v>
      </c>
      <c r="D2272" t="str">
        <f t="shared" ca="1" si="176"/>
        <v>RFR USD</v>
      </c>
      <c r="E2272" t="str">
        <f t="shared" ca="1" si="177"/>
        <v>RFR EUR</v>
      </c>
      <c r="F2272" t="str">
        <f t="shared" ca="1" si="178"/>
        <v>RFR GBP</v>
      </c>
      <c r="J2272" s="1"/>
      <c r="N2272" s="1"/>
      <c r="R2272" s="1"/>
      <c r="V2272" s="1"/>
      <c r="AB2272" s="1"/>
      <c r="AF2272" s="1"/>
      <c r="AJ2272" s="1"/>
      <c r="AN2272" s="1"/>
      <c r="AS2272" s="1"/>
      <c r="AX2272" s="1"/>
    </row>
    <row r="2273" spans="1:50" x14ac:dyDescent="0.3">
      <c r="A2273" s="19">
        <f t="shared" si="179"/>
        <v>49096</v>
      </c>
      <c r="B2273">
        <f t="shared" ca="1" si="175"/>
        <v>-8.1777777777777771</v>
      </c>
      <c r="C2273" t="str">
        <f ca="1">IF(currency="USD",'Future et co'!D2273,IF(currency="EUR",'Future et co'!E2273,IF(currency="GBP",'Future et co'!F2273,FALSE)))</f>
        <v>RFR USD</v>
      </c>
      <c r="D2273" t="str">
        <f t="shared" ca="1" si="176"/>
        <v>RFR USD</v>
      </c>
      <c r="E2273" t="str">
        <f t="shared" ca="1" si="177"/>
        <v>RFR EUR</v>
      </c>
      <c r="F2273" t="str">
        <f t="shared" ca="1" si="178"/>
        <v>RFR GBP</v>
      </c>
      <c r="J2273" s="1"/>
      <c r="N2273" s="1"/>
      <c r="R2273" s="1"/>
      <c r="V2273" s="1"/>
      <c r="AB2273" s="1"/>
      <c r="AF2273" s="1"/>
      <c r="AJ2273" s="1"/>
      <c r="AN2273" s="1"/>
      <c r="AS2273" s="1"/>
      <c r="AX2273" s="1"/>
    </row>
    <row r="2274" spans="1:50" x14ac:dyDescent="0.3">
      <c r="A2274" s="19">
        <f t="shared" si="179"/>
        <v>49097</v>
      </c>
      <c r="B2274">
        <f t="shared" ca="1" si="175"/>
        <v>-8.1805555555555554</v>
      </c>
      <c r="C2274" t="str">
        <f ca="1">IF(currency="USD",'Future et co'!D2274,IF(currency="EUR",'Future et co'!E2274,IF(currency="GBP",'Future et co'!F2274,FALSE)))</f>
        <v>RFR USD</v>
      </c>
      <c r="D2274" t="str">
        <f t="shared" ca="1" si="176"/>
        <v>RFR USD</v>
      </c>
      <c r="E2274" t="str">
        <f t="shared" ca="1" si="177"/>
        <v>RFR EUR</v>
      </c>
      <c r="F2274" t="str">
        <f t="shared" ca="1" si="178"/>
        <v>RFR GBP</v>
      </c>
      <c r="J2274" s="1"/>
      <c r="N2274" s="1"/>
      <c r="R2274" s="1"/>
      <c r="V2274" s="1"/>
      <c r="AB2274" s="1"/>
      <c r="AF2274" s="1"/>
      <c r="AJ2274" s="1"/>
      <c r="AN2274" s="1"/>
      <c r="AS2274" s="1"/>
      <c r="AX2274" s="1"/>
    </row>
    <row r="2275" spans="1:50" x14ac:dyDescent="0.3">
      <c r="A2275" s="19">
        <f t="shared" si="179"/>
        <v>49100</v>
      </c>
      <c r="B2275">
        <f t="shared" ca="1" si="175"/>
        <v>-8.1888888888888882</v>
      </c>
      <c r="C2275" t="str">
        <f ca="1">IF(currency="USD",'Future et co'!D2275,IF(currency="EUR",'Future et co'!E2275,IF(currency="GBP",'Future et co'!F2275,FALSE)))</f>
        <v>RFR USD</v>
      </c>
      <c r="D2275" t="str">
        <f t="shared" ca="1" si="176"/>
        <v>RFR USD</v>
      </c>
      <c r="E2275" t="str">
        <f t="shared" ca="1" si="177"/>
        <v>RFR EUR</v>
      </c>
      <c r="F2275" t="str">
        <f t="shared" ca="1" si="178"/>
        <v>RFR GBP</v>
      </c>
      <c r="J2275" s="1"/>
      <c r="N2275" s="1"/>
      <c r="R2275" s="1"/>
      <c r="V2275" s="1"/>
      <c r="AB2275" s="1"/>
      <c r="AF2275" s="1"/>
      <c r="AJ2275" s="1"/>
      <c r="AN2275" s="1"/>
      <c r="AS2275" s="1"/>
      <c r="AX2275" s="1"/>
    </row>
    <row r="2276" spans="1:50" x14ac:dyDescent="0.3">
      <c r="A2276" s="19">
        <f t="shared" si="179"/>
        <v>49101</v>
      </c>
      <c r="B2276">
        <f t="shared" ca="1" si="175"/>
        <v>-8.1916666666666664</v>
      </c>
      <c r="C2276" t="str">
        <f ca="1">IF(currency="USD",'Future et co'!D2276,IF(currency="EUR",'Future et co'!E2276,IF(currency="GBP",'Future et co'!F2276,FALSE)))</f>
        <v>RFR USD</v>
      </c>
      <c r="D2276" t="str">
        <f t="shared" ca="1" si="176"/>
        <v>RFR USD</v>
      </c>
      <c r="E2276" t="str">
        <f t="shared" ca="1" si="177"/>
        <v>RFR EUR</v>
      </c>
      <c r="F2276" t="str">
        <f t="shared" ca="1" si="178"/>
        <v>RFR GBP</v>
      </c>
      <c r="J2276" s="1"/>
      <c r="N2276" s="1"/>
      <c r="R2276" s="1"/>
      <c r="V2276" s="1"/>
      <c r="AB2276" s="1"/>
      <c r="AF2276" s="1"/>
      <c r="AJ2276" s="1"/>
      <c r="AN2276" s="1"/>
      <c r="AS2276" s="1"/>
      <c r="AX2276" s="1"/>
    </row>
    <row r="2277" spans="1:50" x14ac:dyDescent="0.3">
      <c r="A2277" s="19">
        <f t="shared" si="179"/>
        <v>49102</v>
      </c>
      <c r="B2277">
        <f t="shared" ca="1" si="175"/>
        <v>-8.1944444444444446</v>
      </c>
      <c r="C2277" t="str">
        <f ca="1">IF(currency="USD",'Future et co'!D2277,IF(currency="EUR",'Future et co'!E2277,IF(currency="GBP",'Future et co'!F2277,FALSE)))</f>
        <v>RFR USD</v>
      </c>
      <c r="D2277" t="str">
        <f t="shared" ca="1" si="176"/>
        <v>RFR USD</v>
      </c>
      <c r="E2277" t="str">
        <f t="shared" ca="1" si="177"/>
        <v>RFR EUR</v>
      </c>
      <c r="F2277" t="str">
        <f t="shared" ca="1" si="178"/>
        <v>RFR GBP</v>
      </c>
      <c r="J2277" s="1"/>
      <c r="N2277" s="1"/>
      <c r="R2277" s="1"/>
      <c r="V2277" s="1"/>
      <c r="AB2277" s="1"/>
      <c r="AF2277" s="1"/>
      <c r="AJ2277" s="1"/>
      <c r="AN2277" s="1"/>
      <c r="AS2277" s="1"/>
      <c r="AX2277" s="1"/>
    </row>
    <row r="2278" spans="1:50" x14ac:dyDescent="0.3">
      <c r="A2278" s="19">
        <f t="shared" si="179"/>
        <v>49103</v>
      </c>
      <c r="B2278">
        <f t="shared" ca="1" si="175"/>
        <v>-8.1972222222222229</v>
      </c>
      <c r="C2278" t="str">
        <f ca="1">IF(currency="USD",'Future et co'!D2278,IF(currency="EUR",'Future et co'!E2278,IF(currency="GBP",'Future et co'!F2278,FALSE)))</f>
        <v>RFR USD</v>
      </c>
      <c r="D2278" t="str">
        <f t="shared" ca="1" si="176"/>
        <v>RFR USD</v>
      </c>
      <c r="E2278" t="str">
        <f t="shared" ca="1" si="177"/>
        <v>RFR EUR</v>
      </c>
      <c r="F2278" t="str">
        <f t="shared" ca="1" si="178"/>
        <v>RFR GBP</v>
      </c>
      <c r="J2278" s="1"/>
      <c r="N2278" s="1"/>
      <c r="R2278" s="1"/>
      <c r="V2278" s="1"/>
      <c r="AB2278" s="1"/>
      <c r="AF2278" s="1"/>
      <c r="AJ2278" s="1"/>
      <c r="AN2278" s="1"/>
      <c r="AS2278" s="1"/>
      <c r="AX2278" s="1"/>
    </row>
    <row r="2279" spans="1:50" x14ac:dyDescent="0.3">
      <c r="A2279" s="19">
        <f t="shared" si="179"/>
        <v>49104</v>
      </c>
      <c r="B2279">
        <f t="shared" ca="1" si="175"/>
        <v>-8.1999999999999993</v>
      </c>
      <c r="C2279" t="str">
        <f ca="1">IF(currency="USD",'Future et co'!D2279,IF(currency="EUR",'Future et co'!E2279,IF(currency="GBP",'Future et co'!F2279,FALSE)))</f>
        <v>RFR USD</v>
      </c>
      <c r="D2279" t="str">
        <f t="shared" ca="1" si="176"/>
        <v>RFR USD</v>
      </c>
      <c r="E2279" t="str">
        <f t="shared" ca="1" si="177"/>
        <v>RFR EUR</v>
      </c>
      <c r="F2279" t="str">
        <f t="shared" ca="1" si="178"/>
        <v>RFR GBP</v>
      </c>
      <c r="J2279" s="1"/>
      <c r="N2279" s="1"/>
      <c r="R2279" s="1"/>
      <c r="V2279" s="1"/>
      <c r="AB2279" s="1"/>
      <c r="AF2279" s="1"/>
      <c r="AJ2279" s="1"/>
      <c r="AN2279" s="1"/>
      <c r="AS2279" s="1"/>
      <c r="AX2279" s="1"/>
    </row>
    <row r="2280" spans="1:50" x14ac:dyDescent="0.3">
      <c r="A2280" s="19">
        <f t="shared" si="179"/>
        <v>49107</v>
      </c>
      <c r="B2280">
        <f t="shared" ca="1" si="175"/>
        <v>-8.2083333333333339</v>
      </c>
      <c r="C2280" t="str">
        <f ca="1">IF(currency="USD",'Future et co'!D2280,IF(currency="EUR",'Future et co'!E2280,IF(currency="GBP",'Future et co'!F2280,FALSE)))</f>
        <v>RFR USD</v>
      </c>
      <c r="D2280" t="str">
        <f t="shared" ca="1" si="176"/>
        <v>RFR USD</v>
      </c>
      <c r="E2280" t="str">
        <f t="shared" ca="1" si="177"/>
        <v>RFR EUR</v>
      </c>
      <c r="F2280" t="str">
        <f t="shared" ca="1" si="178"/>
        <v>RFR GBP</v>
      </c>
      <c r="J2280" s="1"/>
      <c r="N2280" s="1"/>
      <c r="R2280" s="1"/>
      <c r="V2280" s="1"/>
      <c r="AB2280" s="1"/>
      <c r="AF2280" s="1"/>
      <c r="AJ2280" s="1"/>
      <c r="AN2280" s="1"/>
      <c r="AS2280" s="1"/>
      <c r="AX2280" s="1"/>
    </row>
    <row r="2281" spans="1:50" x14ac:dyDescent="0.3">
      <c r="A2281" s="19">
        <f t="shared" si="179"/>
        <v>49108</v>
      </c>
      <c r="B2281">
        <f t="shared" ca="1" si="175"/>
        <v>-8.2111111111111104</v>
      </c>
      <c r="C2281" t="str">
        <f ca="1">IF(currency="USD",'Future et co'!D2281,IF(currency="EUR",'Future et co'!E2281,IF(currency="GBP",'Future et co'!F2281,FALSE)))</f>
        <v>RFR USD</v>
      </c>
      <c r="D2281" t="str">
        <f t="shared" ca="1" si="176"/>
        <v>RFR USD</v>
      </c>
      <c r="E2281" t="str">
        <f t="shared" ca="1" si="177"/>
        <v>RFR EUR</v>
      </c>
      <c r="F2281" t="str">
        <f t="shared" ca="1" si="178"/>
        <v>RFR GBP</v>
      </c>
      <c r="J2281" s="1"/>
      <c r="N2281" s="1"/>
      <c r="R2281" s="1"/>
      <c r="V2281" s="1"/>
      <c r="AB2281" s="1"/>
      <c r="AF2281" s="1"/>
      <c r="AJ2281" s="1"/>
      <c r="AN2281" s="1"/>
      <c r="AS2281" s="1"/>
      <c r="AX2281" s="1"/>
    </row>
    <row r="2282" spans="1:50" x14ac:dyDescent="0.3">
      <c r="A2282" s="19">
        <f t="shared" si="179"/>
        <v>49109</v>
      </c>
      <c r="B2282">
        <f t="shared" ca="1" si="175"/>
        <v>-8.2138888888888886</v>
      </c>
      <c r="C2282" t="str">
        <f ca="1">IF(currency="USD",'Future et co'!D2282,IF(currency="EUR",'Future et co'!E2282,IF(currency="GBP",'Future et co'!F2282,FALSE)))</f>
        <v>RFR USD</v>
      </c>
      <c r="D2282" t="str">
        <f t="shared" ca="1" si="176"/>
        <v>RFR USD</v>
      </c>
      <c r="E2282" t="str">
        <f t="shared" ca="1" si="177"/>
        <v>RFR EUR</v>
      </c>
      <c r="F2282" t="str">
        <f t="shared" ca="1" si="178"/>
        <v>RFR GBP</v>
      </c>
      <c r="J2282" s="1"/>
      <c r="N2282" s="1"/>
      <c r="R2282" s="1"/>
      <c r="V2282" s="1"/>
      <c r="AB2282" s="1"/>
      <c r="AF2282" s="1"/>
      <c r="AJ2282" s="1"/>
      <c r="AN2282" s="1"/>
      <c r="AS2282" s="1"/>
      <c r="AX2282" s="1"/>
    </row>
    <row r="2283" spans="1:50" x14ac:dyDescent="0.3">
      <c r="A2283" s="19">
        <f t="shared" si="179"/>
        <v>49110</v>
      </c>
      <c r="B2283">
        <f t="shared" ca="1" si="175"/>
        <v>-8.2166666666666668</v>
      </c>
      <c r="C2283" t="str">
        <f ca="1">IF(currency="USD",'Future et co'!D2283,IF(currency="EUR",'Future et co'!E2283,IF(currency="GBP",'Future et co'!F2283,FALSE)))</f>
        <v>RFR USD</v>
      </c>
      <c r="D2283" t="str">
        <f t="shared" ca="1" si="176"/>
        <v>RFR USD</v>
      </c>
      <c r="E2283" t="str">
        <f t="shared" ca="1" si="177"/>
        <v>RFR EUR</v>
      </c>
      <c r="F2283" t="str">
        <f t="shared" ca="1" si="178"/>
        <v>RFR GBP</v>
      </c>
      <c r="J2283" s="1"/>
      <c r="N2283" s="1"/>
      <c r="R2283" s="1"/>
      <c r="V2283" s="1"/>
      <c r="AB2283" s="1"/>
      <c r="AF2283" s="1"/>
      <c r="AJ2283" s="1"/>
      <c r="AN2283" s="1"/>
      <c r="AS2283" s="1"/>
      <c r="AX2283" s="1"/>
    </row>
    <row r="2284" spans="1:50" x14ac:dyDescent="0.3">
      <c r="A2284" s="19">
        <f t="shared" si="179"/>
        <v>49111</v>
      </c>
      <c r="B2284">
        <f t="shared" ca="1" si="175"/>
        <v>-8.219444444444445</v>
      </c>
      <c r="C2284" t="str">
        <f ca="1">IF(currency="USD",'Future et co'!D2284,IF(currency="EUR",'Future et co'!E2284,IF(currency="GBP",'Future et co'!F2284,FALSE)))</f>
        <v>RFR USD</v>
      </c>
      <c r="D2284" t="str">
        <f t="shared" ca="1" si="176"/>
        <v>RFR USD</v>
      </c>
      <c r="E2284" t="str">
        <f t="shared" ca="1" si="177"/>
        <v>RFR EUR</v>
      </c>
      <c r="F2284" t="str">
        <f t="shared" ca="1" si="178"/>
        <v>RFR GBP</v>
      </c>
      <c r="J2284" s="1"/>
      <c r="N2284" s="1"/>
      <c r="R2284" s="1"/>
      <c r="V2284" s="1"/>
      <c r="AB2284" s="1"/>
      <c r="AF2284" s="1"/>
      <c r="AJ2284" s="1"/>
      <c r="AN2284" s="1"/>
      <c r="AS2284" s="1"/>
      <c r="AX2284" s="1"/>
    </row>
    <row r="2285" spans="1:50" x14ac:dyDescent="0.3">
      <c r="A2285" s="19">
        <f t="shared" si="179"/>
        <v>49114</v>
      </c>
      <c r="B2285">
        <f t="shared" ca="1" si="175"/>
        <v>-8.2277777777777779</v>
      </c>
      <c r="C2285" t="str">
        <f ca="1">IF(currency="USD",'Future et co'!D2285,IF(currency="EUR",'Future et co'!E2285,IF(currency="GBP",'Future et co'!F2285,FALSE)))</f>
        <v>RFR USD</v>
      </c>
      <c r="D2285" t="str">
        <f t="shared" ca="1" si="176"/>
        <v>RFR USD</v>
      </c>
      <c r="E2285" t="str">
        <f t="shared" ca="1" si="177"/>
        <v>RFR EUR</v>
      </c>
      <c r="F2285" t="str">
        <f t="shared" ca="1" si="178"/>
        <v>RFR GBP</v>
      </c>
      <c r="J2285" s="1"/>
      <c r="N2285" s="1"/>
      <c r="R2285" s="1"/>
      <c r="V2285" s="1"/>
      <c r="AB2285" s="1"/>
      <c r="AF2285" s="1"/>
      <c r="AJ2285" s="1"/>
      <c r="AN2285" s="1"/>
      <c r="AS2285" s="1"/>
      <c r="AX2285" s="1"/>
    </row>
    <row r="2286" spans="1:50" x14ac:dyDescent="0.3">
      <c r="A2286" s="19">
        <f t="shared" si="179"/>
        <v>49115</v>
      </c>
      <c r="B2286">
        <f t="shared" ca="1" si="175"/>
        <v>-8.2305555555555561</v>
      </c>
      <c r="C2286" t="str">
        <f ca="1">IF(currency="USD",'Future et co'!D2286,IF(currency="EUR",'Future et co'!E2286,IF(currency="GBP",'Future et co'!F2286,FALSE)))</f>
        <v>RFR USD</v>
      </c>
      <c r="D2286" t="str">
        <f t="shared" ca="1" si="176"/>
        <v>RFR USD</v>
      </c>
      <c r="E2286" t="str">
        <f t="shared" ca="1" si="177"/>
        <v>RFR EUR</v>
      </c>
      <c r="F2286" t="str">
        <f t="shared" ca="1" si="178"/>
        <v>RFR GBP</v>
      </c>
      <c r="J2286" s="1"/>
      <c r="N2286" s="1"/>
      <c r="R2286" s="1"/>
      <c r="V2286" s="1"/>
      <c r="AB2286" s="1"/>
      <c r="AF2286" s="1"/>
      <c r="AJ2286" s="1"/>
      <c r="AN2286" s="1"/>
      <c r="AS2286" s="1"/>
      <c r="AX2286" s="1"/>
    </row>
    <row r="2287" spans="1:50" x14ac:dyDescent="0.3">
      <c r="A2287" s="19">
        <f t="shared" si="179"/>
        <v>49116</v>
      </c>
      <c r="B2287">
        <f t="shared" ca="1" si="175"/>
        <v>-8.2333333333333325</v>
      </c>
      <c r="C2287" t="str">
        <f ca="1">IF(currency="USD",'Future et co'!D2287,IF(currency="EUR",'Future et co'!E2287,IF(currency="GBP",'Future et co'!F2287,FALSE)))</f>
        <v>RFR USD</v>
      </c>
      <c r="D2287" t="str">
        <f t="shared" ca="1" si="176"/>
        <v>RFR USD</v>
      </c>
      <c r="E2287" t="str">
        <f t="shared" ca="1" si="177"/>
        <v>RFR EUR</v>
      </c>
      <c r="F2287" t="str">
        <f t="shared" ca="1" si="178"/>
        <v>RFR GBP</v>
      </c>
      <c r="J2287" s="1"/>
      <c r="N2287" s="1"/>
      <c r="R2287" s="1"/>
      <c r="V2287" s="1"/>
      <c r="AB2287" s="1"/>
      <c r="AF2287" s="1"/>
      <c r="AJ2287" s="1"/>
      <c r="AN2287" s="1"/>
      <c r="AS2287" s="1"/>
      <c r="AX2287" s="1"/>
    </row>
    <row r="2288" spans="1:50" x14ac:dyDescent="0.3">
      <c r="A2288" s="19">
        <f t="shared" si="179"/>
        <v>49117</v>
      </c>
      <c r="B2288">
        <f t="shared" ca="1" si="175"/>
        <v>-8.2361111111111107</v>
      </c>
      <c r="C2288" t="str">
        <f ca="1">IF(currency="USD",'Future et co'!D2288,IF(currency="EUR",'Future et co'!E2288,IF(currency="GBP",'Future et co'!F2288,FALSE)))</f>
        <v>RFR USD</v>
      </c>
      <c r="D2288" t="str">
        <f t="shared" ca="1" si="176"/>
        <v>RFR USD</v>
      </c>
      <c r="E2288" t="str">
        <f t="shared" ca="1" si="177"/>
        <v>RFR EUR</v>
      </c>
      <c r="F2288" t="str">
        <f t="shared" ca="1" si="178"/>
        <v>RFR GBP</v>
      </c>
      <c r="J2288" s="1"/>
      <c r="N2288" s="1"/>
      <c r="R2288" s="1"/>
      <c r="V2288" s="1"/>
      <c r="AB2288" s="1"/>
      <c r="AF2288" s="1"/>
      <c r="AJ2288" s="1"/>
      <c r="AN2288" s="1"/>
      <c r="AS2288" s="1"/>
      <c r="AX2288" s="1"/>
    </row>
    <row r="2289" spans="1:50" x14ac:dyDescent="0.3">
      <c r="A2289" s="19">
        <f t="shared" si="179"/>
        <v>49118</v>
      </c>
      <c r="B2289">
        <f t="shared" ca="1" si="175"/>
        <v>-8.2388888888888889</v>
      </c>
      <c r="C2289" t="str">
        <f ca="1">IF(currency="USD",'Future et co'!D2289,IF(currency="EUR",'Future et co'!E2289,IF(currency="GBP",'Future et co'!F2289,FALSE)))</f>
        <v>RFR USD</v>
      </c>
      <c r="D2289" t="str">
        <f t="shared" ca="1" si="176"/>
        <v>RFR USD</v>
      </c>
      <c r="E2289" t="str">
        <f t="shared" ca="1" si="177"/>
        <v>RFR EUR</v>
      </c>
      <c r="F2289" t="str">
        <f t="shared" ca="1" si="178"/>
        <v>RFR GBP</v>
      </c>
      <c r="J2289" s="1"/>
      <c r="N2289" s="1"/>
      <c r="R2289" s="1"/>
      <c r="V2289" s="1"/>
      <c r="AB2289" s="1"/>
      <c r="AF2289" s="1"/>
      <c r="AJ2289" s="1"/>
      <c r="AN2289" s="1"/>
      <c r="AS2289" s="1"/>
      <c r="AX2289" s="1"/>
    </row>
    <row r="2290" spans="1:50" x14ac:dyDescent="0.3">
      <c r="A2290" s="19">
        <f t="shared" si="179"/>
        <v>49121</v>
      </c>
      <c r="B2290">
        <f t="shared" ca="1" si="175"/>
        <v>-8.2472222222222218</v>
      </c>
      <c r="C2290" t="str">
        <f ca="1">IF(currency="USD",'Future et co'!D2290,IF(currency="EUR",'Future et co'!E2290,IF(currency="GBP",'Future et co'!F2290,FALSE)))</f>
        <v>RFR USD</v>
      </c>
      <c r="D2290" t="str">
        <f t="shared" ca="1" si="176"/>
        <v>RFR USD</v>
      </c>
      <c r="E2290" t="str">
        <f t="shared" ca="1" si="177"/>
        <v>RFR EUR</v>
      </c>
      <c r="F2290" t="str">
        <f t="shared" ca="1" si="178"/>
        <v>RFR GBP</v>
      </c>
      <c r="J2290" s="1"/>
      <c r="N2290" s="1"/>
      <c r="R2290" s="1"/>
      <c r="V2290" s="1"/>
      <c r="AB2290" s="1"/>
      <c r="AF2290" s="1"/>
      <c r="AJ2290" s="1"/>
      <c r="AN2290" s="1"/>
      <c r="AS2290" s="1"/>
      <c r="AX2290" s="1"/>
    </row>
    <row r="2291" spans="1:50" x14ac:dyDescent="0.3">
      <c r="A2291" s="19">
        <f t="shared" si="179"/>
        <v>49122</v>
      </c>
      <c r="B2291">
        <f t="shared" ca="1" si="175"/>
        <v>-8.25</v>
      </c>
      <c r="C2291" t="str">
        <f ca="1">IF(currency="USD",'Future et co'!D2291,IF(currency="EUR",'Future et co'!E2291,IF(currency="GBP",'Future et co'!F2291,FALSE)))</f>
        <v>RFR USD</v>
      </c>
      <c r="D2291" t="str">
        <f t="shared" ca="1" si="176"/>
        <v>RFR USD</v>
      </c>
      <c r="E2291" t="str">
        <f t="shared" ca="1" si="177"/>
        <v>RFR EUR</v>
      </c>
      <c r="F2291" t="str">
        <f t="shared" ca="1" si="178"/>
        <v>RFR GBP</v>
      </c>
      <c r="J2291" s="1"/>
      <c r="N2291" s="1"/>
      <c r="R2291" s="1"/>
      <c r="V2291" s="1"/>
      <c r="AB2291" s="1"/>
      <c r="AF2291" s="1"/>
      <c r="AJ2291" s="1"/>
      <c r="AN2291" s="1"/>
      <c r="AS2291" s="1"/>
      <c r="AX2291" s="1"/>
    </row>
    <row r="2292" spans="1:50" x14ac:dyDescent="0.3">
      <c r="A2292" s="19">
        <f t="shared" si="179"/>
        <v>49123</v>
      </c>
      <c r="B2292">
        <f t="shared" ca="1" si="175"/>
        <v>-8.2527777777777782</v>
      </c>
      <c r="C2292" t="str">
        <f ca="1">IF(currency="USD",'Future et co'!D2292,IF(currency="EUR",'Future et co'!E2292,IF(currency="GBP",'Future et co'!F2292,FALSE)))</f>
        <v>RFR USD</v>
      </c>
      <c r="D2292" t="str">
        <f t="shared" ca="1" si="176"/>
        <v>RFR USD</v>
      </c>
      <c r="E2292" t="str">
        <f t="shared" ca="1" si="177"/>
        <v>RFR EUR</v>
      </c>
      <c r="F2292" t="str">
        <f t="shared" ca="1" si="178"/>
        <v>RFR GBP</v>
      </c>
      <c r="J2292" s="1"/>
      <c r="N2292" s="1"/>
      <c r="R2292" s="1"/>
      <c r="V2292" s="1"/>
      <c r="AB2292" s="1"/>
      <c r="AF2292" s="1"/>
      <c r="AJ2292" s="1"/>
      <c r="AN2292" s="1"/>
      <c r="AS2292" s="1"/>
      <c r="AX2292" s="1"/>
    </row>
    <row r="2293" spans="1:50" x14ac:dyDescent="0.3">
      <c r="A2293" s="19">
        <f t="shared" si="179"/>
        <v>49124</v>
      </c>
      <c r="B2293">
        <f t="shared" ca="1" si="175"/>
        <v>-8.2555555555555564</v>
      </c>
      <c r="C2293" t="str">
        <f ca="1">IF(currency="USD",'Future et co'!D2293,IF(currency="EUR",'Future et co'!E2293,IF(currency="GBP",'Future et co'!F2293,FALSE)))</f>
        <v>RFR USD</v>
      </c>
      <c r="D2293" t="str">
        <f t="shared" ca="1" si="176"/>
        <v>RFR USD</v>
      </c>
      <c r="E2293" t="str">
        <f t="shared" ca="1" si="177"/>
        <v>RFR EUR</v>
      </c>
      <c r="F2293" t="str">
        <f t="shared" ca="1" si="178"/>
        <v>RFR GBP</v>
      </c>
      <c r="J2293" s="1"/>
      <c r="N2293" s="1"/>
      <c r="R2293" s="1"/>
      <c r="V2293" s="1"/>
      <c r="AB2293" s="1"/>
      <c r="AF2293" s="1"/>
      <c r="AJ2293" s="1"/>
      <c r="AN2293" s="1"/>
      <c r="AS2293" s="1"/>
      <c r="AX2293" s="1"/>
    </row>
    <row r="2294" spans="1:50" x14ac:dyDescent="0.3">
      <c r="A2294" s="19">
        <f t="shared" si="179"/>
        <v>49125</v>
      </c>
      <c r="B2294">
        <f t="shared" ca="1" si="175"/>
        <v>-8.2583333333333329</v>
      </c>
      <c r="C2294" t="str">
        <f ca="1">IF(currency="USD",'Future et co'!D2294,IF(currency="EUR",'Future et co'!E2294,IF(currency="GBP",'Future et co'!F2294,FALSE)))</f>
        <v>RFR USD</v>
      </c>
      <c r="D2294" t="str">
        <f t="shared" ca="1" si="176"/>
        <v>RFR USD</v>
      </c>
      <c r="E2294" t="str">
        <f t="shared" ca="1" si="177"/>
        <v>RFR EUR</v>
      </c>
      <c r="F2294" t="str">
        <f t="shared" ca="1" si="178"/>
        <v>RFR GBP</v>
      </c>
      <c r="J2294" s="1"/>
      <c r="N2294" s="1"/>
      <c r="R2294" s="1"/>
      <c r="V2294" s="1"/>
      <c r="AB2294" s="1"/>
      <c r="AF2294" s="1"/>
      <c r="AJ2294" s="1"/>
      <c r="AN2294" s="1"/>
      <c r="AS2294" s="1"/>
      <c r="AX2294" s="1"/>
    </row>
    <row r="2295" spans="1:50" x14ac:dyDescent="0.3">
      <c r="A2295" s="19">
        <f t="shared" si="179"/>
        <v>49128</v>
      </c>
      <c r="B2295">
        <f t="shared" ca="1" si="175"/>
        <v>-8.2666666666666675</v>
      </c>
      <c r="C2295" t="str">
        <f ca="1">IF(currency="USD",'Future et co'!D2295,IF(currency="EUR",'Future et co'!E2295,IF(currency="GBP",'Future et co'!F2295,FALSE)))</f>
        <v>RFR USD</v>
      </c>
      <c r="D2295" t="str">
        <f t="shared" ca="1" si="176"/>
        <v>RFR USD</v>
      </c>
      <c r="E2295" t="str">
        <f t="shared" ca="1" si="177"/>
        <v>RFR EUR</v>
      </c>
      <c r="F2295" t="str">
        <f t="shared" ca="1" si="178"/>
        <v>RFR GBP</v>
      </c>
      <c r="J2295" s="1"/>
      <c r="N2295" s="1"/>
      <c r="R2295" s="1"/>
      <c r="V2295" s="1"/>
      <c r="AB2295" s="1"/>
      <c r="AF2295" s="1"/>
      <c r="AJ2295" s="1"/>
      <c r="AN2295" s="1"/>
      <c r="AS2295" s="1"/>
      <c r="AX2295" s="1"/>
    </row>
    <row r="2296" spans="1:50" x14ac:dyDescent="0.3">
      <c r="A2296" s="19">
        <f t="shared" si="179"/>
        <v>49129</v>
      </c>
      <c r="B2296">
        <f t="shared" ca="1" si="175"/>
        <v>-8.2694444444444439</v>
      </c>
      <c r="C2296" t="str">
        <f ca="1">IF(currency="USD",'Future et co'!D2296,IF(currency="EUR",'Future et co'!E2296,IF(currency="GBP",'Future et co'!F2296,FALSE)))</f>
        <v>RFR USD</v>
      </c>
      <c r="D2296" t="str">
        <f t="shared" ca="1" si="176"/>
        <v>RFR USD</v>
      </c>
      <c r="E2296" t="str">
        <f t="shared" ca="1" si="177"/>
        <v>RFR EUR</v>
      </c>
      <c r="F2296" t="str">
        <f t="shared" ca="1" si="178"/>
        <v>RFR GBP</v>
      </c>
      <c r="J2296" s="1"/>
      <c r="N2296" s="1"/>
      <c r="R2296" s="1"/>
      <c r="V2296" s="1"/>
      <c r="AB2296" s="1"/>
      <c r="AF2296" s="1"/>
      <c r="AJ2296" s="1"/>
      <c r="AN2296" s="1"/>
      <c r="AS2296" s="1"/>
      <c r="AX2296" s="1"/>
    </row>
    <row r="2297" spans="1:50" x14ac:dyDescent="0.3">
      <c r="A2297" s="19">
        <f t="shared" si="179"/>
        <v>49130</v>
      </c>
      <c r="B2297">
        <f t="shared" ca="1" si="175"/>
        <v>-8.2722222222222221</v>
      </c>
      <c r="C2297" t="str">
        <f ca="1">IF(currency="USD",'Future et co'!D2297,IF(currency="EUR",'Future et co'!E2297,IF(currency="GBP",'Future et co'!F2297,FALSE)))</f>
        <v>RFR USD</v>
      </c>
      <c r="D2297" t="str">
        <f t="shared" ca="1" si="176"/>
        <v>RFR USD</v>
      </c>
      <c r="E2297" t="str">
        <f t="shared" ca="1" si="177"/>
        <v>RFR EUR</v>
      </c>
      <c r="F2297" t="str">
        <f t="shared" ca="1" si="178"/>
        <v>RFR GBP</v>
      </c>
      <c r="J2297" s="1"/>
      <c r="N2297" s="1"/>
      <c r="R2297" s="1"/>
      <c r="V2297" s="1"/>
      <c r="AB2297" s="1"/>
      <c r="AF2297" s="1"/>
      <c r="AJ2297" s="1"/>
      <c r="AN2297" s="1"/>
      <c r="AS2297" s="1"/>
      <c r="AX2297" s="1"/>
    </row>
    <row r="2298" spans="1:50" x14ac:dyDescent="0.3">
      <c r="A2298" s="19">
        <f t="shared" si="179"/>
        <v>49131</v>
      </c>
      <c r="B2298">
        <f t="shared" ca="1" si="175"/>
        <v>-8.2750000000000004</v>
      </c>
      <c r="C2298" t="str">
        <f ca="1">IF(currency="USD",'Future et co'!D2298,IF(currency="EUR",'Future et co'!E2298,IF(currency="GBP",'Future et co'!F2298,FALSE)))</f>
        <v>RFR USD</v>
      </c>
      <c r="D2298" t="str">
        <f t="shared" ca="1" si="176"/>
        <v>RFR USD</v>
      </c>
      <c r="E2298" t="str">
        <f t="shared" ca="1" si="177"/>
        <v>RFR EUR</v>
      </c>
      <c r="F2298" t="str">
        <f t="shared" ca="1" si="178"/>
        <v>RFR GBP</v>
      </c>
      <c r="J2298" s="1"/>
      <c r="N2298" s="1"/>
      <c r="R2298" s="1"/>
      <c r="V2298" s="1"/>
      <c r="AB2298" s="1"/>
      <c r="AF2298" s="1"/>
      <c r="AJ2298" s="1"/>
      <c r="AN2298" s="1"/>
      <c r="AS2298" s="1"/>
      <c r="AX2298" s="1"/>
    </row>
    <row r="2299" spans="1:50" x14ac:dyDescent="0.3">
      <c r="A2299" s="19">
        <f t="shared" si="179"/>
        <v>49132</v>
      </c>
      <c r="B2299">
        <f t="shared" ca="1" si="175"/>
        <v>-8.2777777777777786</v>
      </c>
      <c r="C2299" t="str">
        <f ca="1">IF(currency="USD",'Future et co'!D2299,IF(currency="EUR",'Future et co'!E2299,IF(currency="GBP",'Future et co'!F2299,FALSE)))</f>
        <v>RFR USD</v>
      </c>
      <c r="D2299" t="str">
        <f t="shared" ca="1" si="176"/>
        <v>RFR USD</v>
      </c>
      <c r="E2299" t="str">
        <f t="shared" ca="1" si="177"/>
        <v>RFR EUR</v>
      </c>
      <c r="F2299" t="str">
        <f t="shared" ca="1" si="178"/>
        <v>RFR GBP</v>
      </c>
      <c r="J2299" s="1"/>
      <c r="N2299" s="1"/>
      <c r="R2299" s="1"/>
      <c r="V2299" s="1"/>
      <c r="AB2299" s="1"/>
      <c r="AF2299" s="1"/>
      <c r="AJ2299" s="1"/>
      <c r="AN2299" s="1"/>
      <c r="AS2299" s="1"/>
      <c r="AX2299" s="1"/>
    </row>
    <row r="2300" spans="1:50" x14ac:dyDescent="0.3">
      <c r="A2300" s="19">
        <f t="shared" si="179"/>
        <v>49135</v>
      </c>
      <c r="B2300">
        <f t="shared" ca="1" si="175"/>
        <v>-8.2861111111111114</v>
      </c>
      <c r="C2300" t="str">
        <f ca="1">IF(currency="USD",'Future et co'!D2300,IF(currency="EUR",'Future et co'!E2300,IF(currency="GBP",'Future et co'!F2300,FALSE)))</f>
        <v>RFR USD</v>
      </c>
      <c r="D2300" t="str">
        <f t="shared" ca="1" si="176"/>
        <v>RFR USD</v>
      </c>
      <c r="E2300" t="str">
        <f t="shared" ca="1" si="177"/>
        <v>RFR EUR</v>
      </c>
      <c r="F2300" t="str">
        <f t="shared" ca="1" si="178"/>
        <v>RFR GBP</v>
      </c>
      <c r="J2300" s="1"/>
      <c r="N2300" s="1"/>
      <c r="R2300" s="1"/>
      <c r="V2300" s="1"/>
      <c r="AB2300" s="1"/>
      <c r="AF2300" s="1"/>
      <c r="AJ2300" s="1"/>
      <c r="AN2300" s="1"/>
      <c r="AS2300" s="1"/>
      <c r="AX2300" s="1"/>
    </row>
    <row r="2301" spans="1:50" x14ac:dyDescent="0.3">
      <c r="A2301" s="19">
        <f t="shared" si="179"/>
        <v>49136</v>
      </c>
      <c r="B2301">
        <f t="shared" ca="1" si="175"/>
        <v>-8.2888888888888896</v>
      </c>
      <c r="C2301" t="str">
        <f ca="1">IF(currency="USD",'Future et co'!D2301,IF(currency="EUR",'Future et co'!E2301,IF(currency="GBP",'Future et co'!F2301,FALSE)))</f>
        <v>RFR USD</v>
      </c>
      <c r="D2301" t="str">
        <f t="shared" ca="1" si="176"/>
        <v>RFR USD</v>
      </c>
      <c r="E2301" t="str">
        <f t="shared" ca="1" si="177"/>
        <v>RFR EUR</v>
      </c>
      <c r="F2301" t="str">
        <f t="shared" ca="1" si="178"/>
        <v>RFR GBP</v>
      </c>
      <c r="J2301" s="1"/>
      <c r="N2301" s="1"/>
      <c r="R2301" s="1"/>
      <c r="V2301" s="1"/>
      <c r="AB2301" s="1"/>
      <c r="AF2301" s="1"/>
      <c r="AJ2301" s="1"/>
      <c r="AN2301" s="1"/>
      <c r="AS2301" s="1"/>
      <c r="AX2301" s="1"/>
    </row>
    <row r="2302" spans="1:50" x14ac:dyDescent="0.3">
      <c r="A2302" s="19">
        <f t="shared" si="179"/>
        <v>49137</v>
      </c>
      <c r="B2302">
        <f t="shared" ca="1" si="175"/>
        <v>-8.2916666666666661</v>
      </c>
      <c r="C2302" t="str">
        <f ca="1">IF(currency="USD",'Future et co'!D2302,IF(currency="EUR",'Future et co'!E2302,IF(currency="GBP",'Future et co'!F2302,FALSE)))</f>
        <v>RFR USD</v>
      </c>
      <c r="D2302" t="str">
        <f t="shared" ca="1" si="176"/>
        <v>RFR USD</v>
      </c>
      <c r="E2302" t="str">
        <f t="shared" ca="1" si="177"/>
        <v>RFR EUR</v>
      </c>
      <c r="F2302" t="str">
        <f t="shared" ca="1" si="178"/>
        <v>RFR GBP</v>
      </c>
      <c r="J2302" s="1"/>
      <c r="N2302" s="1"/>
      <c r="R2302" s="1"/>
      <c r="V2302" s="1"/>
      <c r="AB2302" s="1"/>
      <c r="AF2302" s="1"/>
      <c r="AJ2302" s="1"/>
      <c r="AN2302" s="1"/>
      <c r="AS2302" s="1"/>
      <c r="AX2302" s="1"/>
    </row>
    <row r="2303" spans="1:50" x14ac:dyDescent="0.3">
      <c r="A2303" s="19">
        <f t="shared" si="179"/>
        <v>49138</v>
      </c>
      <c r="B2303">
        <f t="shared" ca="1" si="175"/>
        <v>-8.2944444444444443</v>
      </c>
      <c r="C2303" t="str">
        <f ca="1">IF(currency="USD",'Future et co'!D2303,IF(currency="EUR",'Future et co'!E2303,IF(currency="GBP",'Future et co'!F2303,FALSE)))</f>
        <v>RFR USD</v>
      </c>
      <c r="D2303" t="str">
        <f t="shared" ca="1" si="176"/>
        <v>RFR USD</v>
      </c>
      <c r="E2303" t="str">
        <f t="shared" ca="1" si="177"/>
        <v>RFR EUR</v>
      </c>
      <c r="F2303" t="str">
        <f t="shared" ca="1" si="178"/>
        <v>RFR GBP</v>
      </c>
      <c r="J2303" s="1"/>
      <c r="N2303" s="1"/>
      <c r="R2303" s="1"/>
      <c r="V2303" s="1"/>
      <c r="AB2303" s="1"/>
      <c r="AF2303" s="1"/>
      <c r="AJ2303" s="1"/>
      <c r="AN2303" s="1"/>
      <c r="AS2303" s="1"/>
      <c r="AX2303" s="1"/>
    </row>
    <row r="2304" spans="1:50" x14ac:dyDescent="0.3">
      <c r="A2304" s="19">
        <f t="shared" si="179"/>
        <v>49139</v>
      </c>
      <c r="B2304">
        <f t="shared" ca="1" si="175"/>
        <v>-8.2972222222222225</v>
      </c>
      <c r="C2304" t="str">
        <f ca="1">IF(currency="USD",'Future et co'!D2304,IF(currency="EUR",'Future et co'!E2304,IF(currency="GBP",'Future et co'!F2304,FALSE)))</f>
        <v>RFR USD</v>
      </c>
      <c r="D2304" t="str">
        <f t="shared" ca="1" si="176"/>
        <v>RFR USD</v>
      </c>
      <c r="E2304" t="str">
        <f t="shared" ca="1" si="177"/>
        <v>RFR EUR</v>
      </c>
      <c r="F2304" t="str">
        <f t="shared" ca="1" si="178"/>
        <v>RFR GBP</v>
      </c>
      <c r="J2304" s="1"/>
      <c r="N2304" s="1"/>
      <c r="R2304" s="1"/>
      <c r="V2304" s="1"/>
      <c r="AB2304" s="1"/>
      <c r="AF2304" s="1"/>
      <c r="AJ2304" s="1"/>
      <c r="AN2304" s="1"/>
      <c r="AS2304" s="1"/>
      <c r="AX2304" s="1"/>
    </row>
    <row r="2305" spans="1:50" x14ac:dyDescent="0.3">
      <c r="A2305" s="19">
        <f t="shared" si="179"/>
        <v>49142</v>
      </c>
      <c r="B2305">
        <f t="shared" ca="1" si="175"/>
        <v>-8.3055555555555554</v>
      </c>
      <c r="C2305" t="str">
        <f ca="1">IF(currency="USD",'Future et co'!D2305,IF(currency="EUR",'Future et co'!E2305,IF(currency="GBP",'Future et co'!F2305,FALSE)))</f>
        <v>RFR USD</v>
      </c>
      <c r="D2305" t="str">
        <f t="shared" ca="1" si="176"/>
        <v>RFR USD</v>
      </c>
      <c r="E2305" t="str">
        <f t="shared" ca="1" si="177"/>
        <v>RFR EUR</v>
      </c>
      <c r="F2305" t="str">
        <f t="shared" ca="1" si="178"/>
        <v>RFR GBP</v>
      </c>
      <c r="J2305" s="1"/>
      <c r="N2305" s="1"/>
      <c r="R2305" s="1"/>
      <c r="V2305" s="1"/>
      <c r="AB2305" s="1"/>
      <c r="AF2305" s="1"/>
      <c r="AJ2305" s="1"/>
      <c r="AN2305" s="1"/>
      <c r="AS2305" s="1"/>
      <c r="AX2305" s="1"/>
    </row>
    <row r="2306" spans="1:50" x14ac:dyDescent="0.3">
      <c r="A2306" s="19">
        <f t="shared" si="179"/>
        <v>49143</v>
      </c>
      <c r="B2306">
        <f t="shared" ca="1" si="175"/>
        <v>-8.3083333333333336</v>
      </c>
      <c r="C2306" t="str">
        <f ca="1">IF(currency="USD",'Future et co'!D2306,IF(currency="EUR",'Future et co'!E2306,IF(currency="GBP",'Future et co'!F2306,FALSE)))</f>
        <v>RFR USD</v>
      </c>
      <c r="D2306" t="str">
        <f t="shared" ca="1" si="176"/>
        <v>RFR USD</v>
      </c>
      <c r="E2306" t="str">
        <f t="shared" ca="1" si="177"/>
        <v>RFR EUR</v>
      </c>
      <c r="F2306" t="str">
        <f t="shared" ca="1" si="178"/>
        <v>RFR GBP</v>
      </c>
      <c r="J2306" s="1"/>
      <c r="N2306" s="1"/>
      <c r="R2306" s="1"/>
      <c r="V2306" s="1"/>
      <c r="AB2306" s="1"/>
      <c r="AF2306" s="1"/>
      <c r="AJ2306" s="1"/>
      <c r="AN2306" s="1"/>
      <c r="AS2306" s="1"/>
      <c r="AX2306" s="1"/>
    </row>
    <row r="2307" spans="1:50" x14ac:dyDescent="0.3">
      <c r="A2307" s="19">
        <f t="shared" si="179"/>
        <v>49144</v>
      </c>
      <c r="B2307">
        <f t="shared" ca="1" si="175"/>
        <v>-8.3111111111111118</v>
      </c>
      <c r="C2307" t="str">
        <f ca="1">IF(currency="USD",'Future et co'!D2307,IF(currency="EUR",'Future et co'!E2307,IF(currency="GBP",'Future et co'!F2307,FALSE)))</f>
        <v>RFR USD</v>
      </c>
      <c r="D2307" t="str">
        <f t="shared" ca="1" si="176"/>
        <v>RFR USD</v>
      </c>
      <c r="E2307" t="str">
        <f t="shared" ca="1" si="177"/>
        <v>RFR EUR</v>
      </c>
      <c r="F2307" t="str">
        <f t="shared" ca="1" si="178"/>
        <v>RFR GBP</v>
      </c>
      <c r="J2307" s="1"/>
      <c r="N2307" s="1"/>
      <c r="R2307" s="1"/>
      <c r="V2307" s="1"/>
      <c r="AB2307" s="1"/>
      <c r="AF2307" s="1"/>
      <c r="AJ2307" s="1"/>
      <c r="AN2307" s="1"/>
      <c r="AS2307" s="1"/>
      <c r="AX2307" s="1"/>
    </row>
    <row r="2308" spans="1:50" x14ac:dyDescent="0.3">
      <c r="A2308" s="19">
        <f t="shared" si="179"/>
        <v>49145</v>
      </c>
      <c r="B2308">
        <f t="shared" ca="1" si="175"/>
        <v>-8.3138888888888882</v>
      </c>
      <c r="C2308" t="str">
        <f ca="1">IF(currency="USD",'Future et co'!D2308,IF(currency="EUR",'Future et co'!E2308,IF(currency="GBP",'Future et co'!F2308,FALSE)))</f>
        <v>RFR USD</v>
      </c>
      <c r="D2308" t="str">
        <f t="shared" ca="1" si="176"/>
        <v>RFR USD</v>
      </c>
      <c r="E2308" t="str">
        <f t="shared" ca="1" si="177"/>
        <v>RFR EUR</v>
      </c>
      <c r="F2308" t="str">
        <f t="shared" ca="1" si="178"/>
        <v>RFR GBP</v>
      </c>
      <c r="J2308" s="1"/>
      <c r="N2308" s="1"/>
      <c r="R2308" s="1"/>
      <c r="V2308" s="1"/>
      <c r="AB2308" s="1"/>
      <c r="AF2308" s="1"/>
      <c r="AJ2308" s="1"/>
      <c r="AN2308" s="1"/>
      <c r="AS2308" s="1"/>
      <c r="AX2308" s="1"/>
    </row>
    <row r="2309" spans="1:50" x14ac:dyDescent="0.3">
      <c r="A2309" s="19">
        <f t="shared" si="179"/>
        <v>49146</v>
      </c>
      <c r="B2309">
        <f t="shared" ca="1" si="175"/>
        <v>-8.3166666666666664</v>
      </c>
      <c r="C2309" t="str">
        <f ca="1">IF(currency="USD",'Future et co'!D2309,IF(currency="EUR",'Future et co'!E2309,IF(currency="GBP",'Future et co'!F2309,FALSE)))</f>
        <v>RFR USD</v>
      </c>
      <c r="D2309" t="str">
        <f t="shared" ca="1" si="176"/>
        <v>RFR USD</v>
      </c>
      <c r="E2309" t="str">
        <f t="shared" ca="1" si="177"/>
        <v>RFR EUR</v>
      </c>
      <c r="F2309" t="str">
        <f t="shared" ca="1" si="178"/>
        <v>RFR GBP</v>
      </c>
      <c r="J2309" s="1"/>
      <c r="N2309" s="1"/>
      <c r="R2309" s="1"/>
      <c r="V2309" s="1"/>
      <c r="AB2309" s="1"/>
      <c r="AF2309" s="1"/>
      <c r="AJ2309" s="1"/>
      <c r="AN2309" s="1"/>
      <c r="AS2309" s="1"/>
      <c r="AX2309" s="1"/>
    </row>
    <row r="2310" spans="1:50" x14ac:dyDescent="0.3">
      <c r="A2310" s="19">
        <f t="shared" si="179"/>
        <v>49149</v>
      </c>
      <c r="B2310">
        <f t="shared" ca="1" si="175"/>
        <v>-8.3249999999999993</v>
      </c>
      <c r="C2310" t="str">
        <f ca="1">IF(currency="USD",'Future et co'!D2310,IF(currency="EUR",'Future et co'!E2310,IF(currency="GBP",'Future et co'!F2310,FALSE)))</f>
        <v>RFR USD</v>
      </c>
      <c r="D2310" t="str">
        <f t="shared" ca="1" si="176"/>
        <v>RFR USD</v>
      </c>
      <c r="E2310" t="str">
        <f t="shared" ca="1" si="177"/>
        <v>RFR EUR</v>
      </c>
      <c r="F2310" t="str">
        <f t="shared" ca="1" si="178"/>
        <v>RFR GBP</v>
      </c>
      <c r="J2310" s="1"/>
      <c r="N2310" s="1"/>
      <c r="R2310" s="1"/>
      <c r="V2310" s="1"/>
      <c r="AB2310" s="1"/>
      <c r="AF2310" s="1"/>
      <c r="AJ2310" s="1"/>
      <c r="AN2310" s="1"/>
      <c r="AS2310" s="1"/>
      <c r="AX2310" s="1"/>
    </row>
    <row r="2311" spans="1:50" x14ac:dyDescent="0.3">
      <c r="A2311" s="19">
        <f t="shared" si="179"/>
        <v>49150</v>
      </c>
      <c r="B2311">
        <f t="shared" ca="1" si="175"/>
        <v>-8.3277777777777775</v>
      </c>
      <c r="C2311" t="str">
        <f ca="1">IF(currency="USD",'Future et co'!D2311,IF(currency="EUR",'Future et co'!E2311,IF(currency="GBP",'Future et co'!F2311,FALSE)))</f>
        <v>RFR USD</v>
      </c>
      <c r="D2311" t="str">
        <f t="shared" ca="1" si="176"/>
        <v>RFR USD</v>
      </c>
      <c r="E2311" t="str">
        <f t="shared" ca="1" si="177"/>
        <v>RFR EUR</v>
      </c>
      <c r="F2311" t="str">
        <f t="shared" ca="1" si="178"/>
        <v>RFR GBP</v>
      </c>
      <c r="J2311" s="1"/>
      <c r="N2311" s="1"/>
      <c r="R2311" s="1"/>
      <c r="V2311" s="1"/>
      <c r="AB2311" s="1"/>
      <c r="AF2311" s="1"/>
      <c r="AJ2311" s="1"/>
      <c r="AN2311" s="1"/>
      <c r="AS2311" s="1"/>
      <c r="AX2311" s="1"/>
    </row>
    <row r="2312" spans="1:50" x14ac:dyDescent="0.3">
      <c r="A2312" s="19">
        <f t="shared" si="179"/>
        <v>49151</v>
      </c>
      <c r="B2312">
        <f t="shared" ca="1" si="175"/>
        <v>-8.3305555555555557</v>
      </c>
      <c r="C2312" t="str">
        <f ca="1">IF(currency="USD",'Future et co'!D2312,IF(currency="EUR",'Future et co'!E2312,IF(currency="GBP",'Future et co'!F2312,FALSE)))</f>
        <v>RFR USD</v>
      </c>
      <c r="D2312" t="str">
        <f t="shared" ca="1" si="176"/>
        <v>RFR USD</v>
      </c>
      <c r="E2312" t="str">
        <f t="shared" ca="1" si="177"/>
        <v>RFR EUR</v>
      </c>
      <c r="F2312" t="str">
        <f t="shared" ca="1" si="178"/>
        <v>RFR GBP</v>
      </c>
      <c r="J2312" s="1"/>
      <c r="N2312" s="1"/>
      <c r="R2312" s="1"/>
      <c r="V2312" s="1"/>
      <c r="AB2312" s="1"/>
      <c r="AF2312" s="1"/>
      <c r="AJ2312" s="1"/>
      <c r="AN2312" s="1"/>
      <c r="AS2312" s="1"/>
      <c r="AX2312" s="1"/>
    </row>
    <row r="2313" spans="1:50" x14ac:dyDescent="0.3">
      <c r="A2313" s="19">
        <f t="shared" si="179"/>
        <v>49152</v>
      </c>
      <c r="B2313">
        <f t="shared" ca="1" si="175"/>
        <v>-8.3333333333333339</v>
      </c>
      <c r="C2313" t="str">
        <f ca="1">IF(currency="USD",'Future et co'!D2313,IF(currency="EUR",'Future et co'!E2313,IF(currency="GBP",'Future et co'!F2313,FALSE)))</f>
        <v>RFR USD</v>
      </c>
      <c r="D2313" t="str">
        <f t="shared" ca="1" si="176"/>
        <v>RFR USD</v>
      </c>
      <c r="E2313" t="str">
        <f t="shared" ca="1" si="177"/>
        <v>RFR EUR</v>
      </c>
      <c r="F2313" t="str">
        <f t="shared" ca="1" si="178"/>
        <v>RFR GBP</v>
      </c>
      <c r="J2313" s="1"/>
      <c r="N2313" s="1"/>
      <c r="R2313" s="1"/>
      <c r="V2313" s="1"/>
      <c r="AB2313" s="1"/>
      <c r="AF2313" s="1"/>
      <c r="AJ2313" s="1"/>
      <c r="AN2313" s="1"/>
      <c r="AS2313" s="1"/>
      <c r="AX2313" s="1"/>
    </row>
    <row r="2314" spans="1:50" x14ac:dyDescent="0.3">
      <c r="A2314" s="19">
        <f t="shared" si="179"/>
        <v>49153</v>
      </c>
      <c r="B2314">
        <f t="shared" ca="1" si="175"/>
        <v>-8.3361111111111104</v>
      </c>
      <c r="C2314" t="str">
        <f ca="1">IF(currency="USD",'Future et co'!D2314,IF(currency="EUR",'Future et co'!E2314,IF(currency="GBP",'Future et co'!F2314,FALSE)))</f>
        <v>RFR USD</v>
      </c>
      <c r="D2314" t="str">
        <f t="shared" ca="1" si="176"/>
        <v>RFR USD</v>
      </c>
      <c r="E2314" t="str">
        <f t="shared" ca="1" si="177"/>
        <v>RFR EUR</v>
      </c>
      <c r="F2314" t="str">
        <f t="shared" ca="1" si="178"/>
        <v>RFR GBP</v>
      </c>
      <c r="J2314" s="1"/>
      <c r="N2314" s="1"/>
      <c r="R2314" s="1"/>
      <c r="V2314" s="1"/>
      <c r="AB2314" s="1"/>
      <c r="AF2314" s="1"/>
      <c r="AJ2314" s="1"/>
      <c r="AN2314" s="1"/>
      <c r="AS2314" s="1"/>
      <c r="AX2314" s="1"/>
    </row>
    <row r="2315" spans="1:50" x14ac:dyDescent="0.3">
      <c r="A2315" s="19">
        <f t="shared" si="179"/>
        <v>49156</v>
      </c>
      <c r="B2315">
        <f t="shared" ref="B2315:B2378" ca="1" si="180">($B$7-A2315)/360</f>
        <v>-8.344444444444445</v>
      </c>
      <c r="C2315" t="str">
        <f ca="1">IF(currency="USD",'Future et co'!D2315,IF(currency="EUR",'Future et co'!E2315,IF(currency="GBP",'Future et co'!F2315,FALSE)))</f>
        <v>RFR USD</v>
      </c>
      <c r="D2315" t="str">
        <f t="shared" ref="D2315:D2378" ca="1" si="181">IFERROR(IF(B2315&lt;0.25,VLOOKUP(A2315,$J$11:$L$5325,3,FALSE),IF(AND(B2315&gt;=0.25,B2315&lt;0.5),VLOOKUP(A2315,$N$11:$P$5325,3,FALSE),IF(AND(B2315&gt;=0.5,B2315&lt;1),VLOOKUP(A2315,$R$11:$T$5325,3,FALSE),VLOOKUP(A2315,$V$11:$X$5010,3,FALSE)))),D2314)</f>
        <v>RFR USD</v>
      </c>
      <c r="E2315" t="str">
        <f t="shared" ref="E2315:E2378" ca="1" si="182">IFERROR(IF(B2315&lt;0.25,VLOOKUP(A2315,$AF$11:$AH$5325,3,FALSE),IF(AND(B2315&gt;=0.25,B2315&lt;0.5),VLOOKUP(A2315,$AJ$11:$AL$5325,3,FALSE),VLOOKUP(A2315,$AN$11:$AP$5325,3,FALSE))),E2314)</f>
        <v>RFR EUR</v>
      </c>
      <c r="F2315" t="str">
        <f t="shared" ref="F2315:F2378" ca="1" si="183">IFERROR(VLOOKUP(A2315,$AS$11:$AU$9999,3,FALSE),F2314)</f>
        <v>RFR GBP</v>
      </c>
      <c r="J2315" s="1"/>
      <c r="N2315" s="1"/>
      <c r="R2315" s="1"/>
      <c r="V2315" s="1"/>
      <c r="AB2315" s="1"/>
      <c r="AF2315" s="1"/>
      <c r="AJ2315" s="1"/>
      <c r="AN2315" s="1"/>
      <c r="AS2315" s="1"/>
      <c r="AX2315" s="1"/>
    </row>
    <row r="2316" spans="1:50" x14ac:dyDescent="0.3">
      <c r="A2316" s="19">
        <f t="shared" si="179"/>
        <v>49157</v>
      </c>
      <c r="B2316">
        <f t="shared" ca="1" si="180"/>
        <v>-8.3472222222222214</v>
      </c>
      <c r="C2316" t="str">
        <f ca="1">IF(currency="USD",'Future et co'!D2316,IF(currency="EUR",'Future et co'!E2316,IF(currency="GBP",'Future et co'!F2316,FALSE)))</f>
        <v>RFR USD</v>
      </c>
      <c r="D2316" t="str">
        <f t="shared" ca="1" si="181"/>
        <v>RFR USD</v>
      </c>
      <c r="E2316" t="str">
        <f t="shared" ca="1" si="182"/>
        <v>RFR EUR</v>
      </c>
      <c r="F2316" t="str">
        <f t="shared" ca="1" si="183"/>
        <v>RFR GBP</v>
      </c>
      <c r="J2316" s="1"/>
      <c r="N2316" s="1"/>
      <c r="R2316" s="1"/>
      <c r="V2316" s="1"/>
      <c r="AB2316" s="1"/>
      <c r="AF2316" s="1"/>
      <c r="AJ2316" s="1"/>
      <c r="AN2316" s="1"/>
      <c r="AS2316" s="1"/>
      <c r="AX2316" s="1"/>
    </row>
    <row r="2317" spans="1:50" x14ac:dyDescent="0.3">
      <c r="A2317" s="19">
        <f t="shared" ref="A2317:A2380" si="184">WORKDAY(A2316,1)</f>
        <v>49158</v>
      </c>
      <c r="B2317">
        <f t="shared" ca="1" si="180"/>
        <v>-8.35</v>
      </c>
      <c r="C2317" t="str">
        <f ca="1">IF(currency="USD",'Future et co'!D2317,IF(currency="EUR",'Future et co'!E2317,IF(currency="GBP",'Future et co'!F2317,FALSE)))</f>
        <v>RFR USD</v>
      </c>
      <c r="D2317" t="str">
        <f t="shared" ca="1" si="181"/>
        <v>RFR USD</v>
      </c>
      <c r="E2317" t="str">
        <f t="shared" ca="1" si="182"/>
        <v>RFR EUR</v>
      </c>
      <c r="F2317" t="str">
        <f t="shared" ca="1" si="183"/>
        <v>RFR GBP</v>
      </c>
      <c r="J2317" s="1"/>
      <c r="N2317" s="1"/>
      <c r="R2317" s="1"/>
      <c r="V2317" s="1"/>
      <c r="AB2317" s="1"/>
      <c r="AF2317" s="1"/>
      <c r="AJ2317" s="1"/>
      <c r="AN2317" s="1"/>
      <c r="AS2317" s="1"/>
      <c r="AX2317" s="1"/>
    </row>
    <row r="2318" spans="1:50" x14ac:dyDescent="0.3">
      <c r="A2318" s="19">
        <f t="shared" si="184"/>
        <v>49159</v>
      </c>
      <c r="B2318">
        <f t="shared" ca="1" si="180"/>
        <v>-8.3527777777777779</v>
      </c>
      <c r="C2318" t="str">
        <f ca="1">IF(currency="USD",'Future et co'!D2318,IF(currency="EUR",'Future et co'!E2318,IF(currency="GBP",'Future et co'!F2318,FALSE)))</f>
        <v>RFR USD</v>
      </c>
      <c r="D2318" t="str">
        <f t="shared" ca="1" si="181"/>
        <v>RFR USD</v>
      </c>
      <c r="E2318" t="str">
        <f t="shared" ca="1" si="182"/>
        <v>RFR EUR</v>
      </c>
      <c r="F2318" t="str">
        <f t="shared" ca="1" si="183"/>
        <v>RFR GBP</v>
      </c>
      <c r="J2318" s="1"/>
      <c r="N2318" s="1"/>
      <c r="R2318" s="1"/>
      <c r="V2318" s="1"/>
      <c r="AB2318" s="1"/>
      <c r="AF2318" s="1"/>
      <c r="AJ2318" s="1"/>
      <c r="AN2318" s="1"/>
      <c r="AS2318" s="1"/>
      <c r="AX2318" s="1"/>
    </row>
    <row r="2319" spans="1:50" x14ac:dyDescent="0.3">
      <c r="A2319" s="19">
        <f t="shared" si="184"/>
        <v>49160</v>
      </c>
      <c r="B2319">
        <f t="shared" ca="1" si="180"/>
        <v>-8.3555555555555561</v>
      </c>
      <c r="C2319" t="str">
        <f ca="1">IF(currency="USD",'Future et co'!D2319,IF(currency="EUR",'Future et co'!E2319,IF(currency="GBP",'Future et co'!F2319,FALSE)))</f>
        <v>RFR USD</v>
      </c>
      <c r="D2319" t="str">
        <f t="shared" ca="1" si="181"/>
        <v>RFR USD</v>
      </c>
      <c r="E2319" t="str">
        <f t="shared" ca="1" si="182"/>
        <v>RFR EUR</v>
      </c>
      <c r="F2319" t="str">
        <f t="shared" ca="1" si="183"/>
        <v>RFR GBP</v>
      </c>
      <c r="J2319" s="1"/>
      <c r="N2319" s="1"/>
      <c r="R2319" s="1"/>
      <c r="V2319" s="1"/>
      <c r="AB2319" s="1"/>
      <c r="AF2319" s="1"/>
      <c r="AJ2319" s="1"/>
      <c r="AN2319" s="1"/>
      <c r="AS2319" s="1"/>
      <c r="AX2319" s="1"/>
    </row>
    <row r="2320" spans="1:50" x14ac:dyDescent="0.3">
      <c r="A2320" s="19">
        <f t="shared" si="184"/>
        <v>49163</v>
      </c>
      <c r="B2320">
        <f t="shared" ca="1" si="180"/>
        <v>-8.3638888888888889</v>
      </c>
      <c r="C2320" t="str">
        <f ca="1">IF(currency="USD",'Future et co'!D2320,IF(currency="EUR",'Future et co'!E2320,IF(currency="GBP",'Future et co'!F2320,FALSE)))</f>
        <v>RFR USD</v>
      </c>
      <c r="D2320" t="str">
        <f t="shared" ca="1" si="181"/>
        <v>RFR USD</v>
      </c>
      <c r="E2320" t="str">
        <f t="shared" ca="1" si="182"/>
        <v>RFR EUR</v>
      </c>
      <c r="F2320" t="str">
        <f t="shared" ca="1" si="183"/>
        <v>RFR GBP</v>
      </c>
      <c r="J2320" s="1"/>
      <c r="N2320" s="1"/>
      <c r="R2320" s="1"/>
      <c r="V2320" s="1"/>
      <c r="AB2320" s="1"/>
      <c r="AF2320" s="1"/>
      <c r="AJ2320" s="1"/>
      <c r="AN2320" s="1"/>
      <c r="AS2320" s="1"/>
      <c r="AX2320" s="1"/>
    </row>
    <row r="2321" spans="1:50" x14ac:dyDescent="0.3">
      <c r="A2321" s="19">
        <f t="shared" si="184"/>
        <v>49164</v>
      </c>
      <c r="B2321">
        <f t="shared" ca="1" si="180"/>
        <v>-8.3666666666666671</v>
      </c>
      <c r="C2321" t="str">
        <f ca="1">IF(currency="USD",'Future et co'!D2321,IF(currency="EUR",'Future et co'!E2321,IF(currency="GBP",'Future et co'!F2321,FALSE)))</f>
        <v>RFR USD</v>
      </c>
      <c r="D2321" t="str">
        <f t="shared" ca="1" si="181"/>
        <v>RFR USD</v>
      </c>
      <c r="E2321" t="str">
        <f t="shared" ca="1" si="182"/>
        <v>RFR EUR</v>
      </c>
      <c r="F2321" t="str">
        <f t="shared" ca="1" si="183"/>
        <v>RFR GBP</v>
      </c>
      <c r="J2321" s="1"/>
      <c r="N2321" s="1"/>
      <c r="R2321" s="1"/>
      <c r="V2321" s="1"/>
      <c r="AB2321" s="1"/>
      <c r="AF2321" s="1"/>
      <c r="AJ2321" s="1"/>
      <c r="AN2321" s="1"/>
      <c r="AS2321" s="1"/>
      <c r="AX2321" s="1"/>
    </row>
    <row r="2322" spans="1:50" x14ac:dyDescent="0.3">
      <c r="A2322" s="19">
        <f t="shared" si="184"/>
        <v>49165</v>
      </c>
      <c r="B2322">
        <f t="shared" ca="1" si="180"/>
        <v>-8.3694444444444436</v>
      </c>
      <c r="C2322" t="str">
        <f ca="1">IF(currency="USD",'Future et co'!D2322,IF(currency="EUR",'Future et co'!E2322,IF(currency="GBP",'Future et co'!F2322,FALSE)))</f>
        <v>RFR USD</v>
      </c>
      <c r="D2322" t="str">
        <f t="shared" ca="1" si="181"/>
        <v>RFR USD</v>
      </c>
      <c r="E2322" t="str">
        <f t="shared" ca="1" si="182"/>
        <v>RFR EUR</v>
      </c>
      <c r="F2322" t="str">
        <f t="shared" ca="1" si="183"/>
        <v>RFR GBP</v>
      </c>
      <c r="J2322" s="1"/>
      <c r="N2322" s="1"/>
      <c r="R2322" s="1"/>
      <c r="V2322" s="1"/>
      <c r="AB2322" s="1"/>
      <c r="AF2322" s="1"/>
      <c r="AJ2322" s="1"/>
      <c r="AN2322" s="1"/>
      <c r="AS2322" s="1"/>
      <c r="AX2322" s="1"/>
    </row>
    <row r="2323" spans="1:50" x14ac:dyDescent="0.3">
      <c r="A2323" s="19">
        <f t="shared" si="184"/>
        <v>49166</v>
      </c>
      <c r="B2323">
        <f t="shared" ca="1" si="180"/>
        <v>-8.3722222222222218</v>
      </c>
      <c r="C2323" t="str">
        <f ca="1">IF(currency="USD",'Future et co'!D2323,IF(currency="EUR",'Future et co'!E2323,IF(currency="GBP",'Future et co'!F2323,FALSE)))</f>
        <v>RFR USD</v>
      </c>
      <c r="D2323" t="str">
        <f t="shared" ca="1" si="181"/>
        <v>RFR USD</v>
      </c>
      <c r="E2323" t="str">
        <f t="shared" ca="1" si="182"/>
        <v>RFR EUR</v>
      </c>
      <c r="F2323" t="str">
        <f t="shared" ca="1" si="183"/>
        <v>RFR GBP</v>
      </c>
      <c r="J2323" s="1"/>
      <c r="N2323" s="1"/>
      <c r="R2323" s="1"/>
      <c r="V2323" s="1"/>
      <c r="AB2323" s="1"/>
      <c r="AF2323" s="1"/>
      <c r="AJ2323" s="1"/>
      <c r="AN2323" s="1"/>
      <c r="AS2323" s="1"/>
      <c r="AX2323" s="1"/>
    </row>
    <row r="2324" spans="1:50" x14ac:dyDescent="0.3">
      <c r="A2324" s="19">
        <f t="shared" si="184"/>
        <v>49167</v>
      </c>
      <c r="B2324">
        <f t="shared" ca="1" si="180"/>
        <v>-8.375</v>
      </c>
      <c r="C2324" t="str">
        <f ca="1">IF(currency="USD",'Future et co'!D2324,IF(currency="EUR",'Future et co'!E2324,IF(currency="GBP",'Future et co'!F2324,FALSE)))</f>
        <v>RFR USD</v>
      </c>
      <c r="D2324" t="str">
        <f t="shared" ca="1" si="181"/>
        <v>RFR USD</v>
      </c>
      <c r="E2324" t="str">
        <f t="shared" ca="1" si="182"/>
        <v>RFR EUR</v>
      </c>
      <c r="F2324" t="str">
        <f t="shared" ca="1" si="183"/>
        <v>RFR GBP</v>
      </c>
      <c r="J2324" s="1"/>
      <c r="N2324" s="1"/>
      <c r="R2324" s="1"/>
      <c r="V2324" s="1"/>
      <c r="AB2324" s="1"/>
      <c r="AF2324" s="1"/>
      <c r="AJ2324" s="1"/>
      <c r="AN2324" s="1"/>
      <c r="AS2324" s="1"/>
      <c r="AX2324" s="1"/>
    </row>
    <row r="2325" spans="1:50" x14ac:dyDescent="0.3">
      <c r="A2325" s="19">
        <f t="shared" si="184"/>
        <v>49170</v>
      </c>
      <c r="B2325">
        <f t="shared" ca="1" si="180"/>
        <v>-8.3833333333333329</v>
      </c>
      <c r="C2325" t="str">
        <f ca="1">IF(currency="USD",'Future et co'!D2325,IF(currency="EUR",'Future et co'!E2325,IF(currency="GBP",'Future et co'!F2325,FALSE)))</f>
        <v>RFR USD</v>
      </c>
      <c r="D2325" t="str">
        <f t="shared" ca="1" si="181"/>
        <v>RFR USD</v>
      </c>
      <c r="E2325" t="str">
        <f t="shared" ca="1" si="182"/>
        <v>RFR EUR</v>
      </c>
      <c r="F2325" t="str">
        <f t="shared" ca="1" si="183"/>
        <v>RFR GBP</v>
      </c>
      <c r="J2325" s="1"/>
      <c r="N2325" s="1"/>
      <c r="R2325" s="1"/>
      <c r="V2325" s="1"/>
      <c r="AB2325" s="1"/>
      <c r="AF2325" s="1"/>
      <c r="AJ2325" s="1"/>
      <c r="AN2325" s="1"/>
      <c r="AS2325" s="1"/>
      <c r="AX2325" s="1"/>
    </row>
    <row r="2326" spans="1:50" x14ac:dyDescent="0.3">
      <c r="A2326" s="19">
        <f t="shared" si="184"/>
        <v>49171</v>
      </c>
      <c r="B2326">
        <f t="shared" ca="1" si="180"/>
        <v>-8.3861111111111111</v>
      </c>
      <c r="C2326" t="str">
        <f ca="1">IF(currency="USD",'Future et co'!D2326,IF(currency="EUR",'Future et co'!E2326,IF(currency="GBP",'Future et co'!F2326,FALSE)))</f>
        <v>RFR USD</v>
      </c>
      <c r="D2326" t="str">
        <f t="shared" ca="1" si="181"/>
        <v>RFR USD</v>
      </c>
      <c r="E2326" t="str">
        <f t="shared" ca="1" si="182"/>
        <v>RFR EUR</v>
      </c>
      <c r="F2326" t="str">
        <f t="shared" ca="1" si="183"/>
        <v>RFR GBP</v>
      </c>
      <c r="J2326" s="1"/>
      <c r="N2326" s="1"/>
      <c r="R2326" s="1"/>
      <c r="V2326" s="1"/>
      <c r="AB2326" s="1"/>
      <c r="AF2326" s="1"/>
      <c r="AJ2326" s="1"/>
      <c r="AN2326" s="1"/>
      <c r="AS2326" s="1"/>
      <c r="AX2326" s="1"/>
    </row>
    <row r="2327" spans="1:50" x14ac:dyDescent="0.3">
      <c r="A2327" s="19">
        <f t="shared" si="184"/>
        <v>49172</v>
      </c>
      <c r="B2327">
        <f t="shared" ca="1" si="180"/>
        <v>-8.3888888888888893</v>
      </c>
      <c r="C2327" t="str">
        <f ca="1">IF(currency="USD",'Future et co'!D2327,IF(currency="EUR",'Future et co'!E2327,IF(currency="GBP",'Future et co'!F2327,FALSE)))</f>
        <v>RFR USD</v>
      </c>
      <c r="D2327" t="str">
        <f t="shared" ca="1" si="181"/>
        <v>RFR USD</v>
      </c>
      <c r="E2327" t="str">
        <f t="shared" ca="1" si="182"/>
        <v>RFR EUR</v>
      </c>
      <c r="F2327" t="str">
        <f t="shared" ca="1" si="183"/>
        <v>RFR GBP</v>
      </c>
      <c r="J2327" s="1"/>
      <c r="N2327" s="1"/>
      <c r="R2327" s="1"/>
      <c r="V2327" s="1"/>
      <c r="AB2327" s="1"/>
      <c r="AF2327" s="1"/>
      <c r="AJ2327" s="1"/>
      <c r="AN2327" s="1"/>
      <c r="AS2327" s="1"/>
      <c r="AX2327" s="1"/>
    </row>
    <row r="2328" spans="1:50" x14ac:dyDescent="0.3">
      <c r="A2328" s="19">
        <f t="shared" si="184"/>
        <v>49173</v>
      </c>
      <c r="B2328">
        <f t="shared" ca="1" si="180"/>
        <v>-8.3916666666666675</v>
      </c>
      <c r="C2328" t="str">
        <f ca="1">IF(currency="USD",'Future et co'!D2328,IF(currency="EUR",'Future et co'!E2328,IF(currency="GBP",'Future et co'!F2328,FALSE)))</f>
        <v>RFR USD</v>
      </c>
      <c r="D2328" t="str">
        <f t="shared" ca="1" si="181"/>
        <v>RFR USD</v>
      </c>
      <c r="E2328" t="str">
        <f t="shared" ca="1" si="182"/>
        <v>RFR EUR</v>
      </c>
      <c r="F2328" t="str">
        <f t="shared" ca="1" si="183"/>
        <v>RFR GBP</v>
      </c>
      <c r="J2328" s="1"/>
      <c r="N2328" s="1"/>
      <c r="R2328" s="1"/>
      <c r="V2328" s="1"/>
      <c r="AB2328" s="1"/>
      <c r="AF2328" s="1"/>
      <c r="AJ2328" s="1"/>
      <c r="AN2328" s="1"/>
      <c r="AS2328" s="1"/>
      <c r="AX2328" s="1"/>
    </row>
    <row r="2329" spans="1:50" x14ac:dyDescent="0.3">
      <c r="A2329" s="19">
        <f t="shared" si="184"/>
        <v>49174</v>
      </c>
      <c r="B2329">
        <f t="shared" ca="1" si="180"/>
        <v>-8.3944444444444439</v>
      </c>
      <c r="C2329" t="str">
        <f ca="1">IF(currency="USD",'Future et co'!D2329,IF(currency="EUR",'Future et co'!E2329,IF(currency="GBP",'Future et co'!F2329,FALSE)))</f>
        <v>RFR USD</v>
      </c>
      <c r="D2329" t="str">
        <f t="shared" ca="1" si="181"/>
        <v>RFR USD</v>
      </c>
      <c r="E2329" t="str">
        <f t="shared" ca="1" si="182"/>
        <v>RFR EUR</v>
      </c>
      <c r="F2329" t="str">
        <f t="shared" ca="1" si="183"/>
        <v>RFR GBP</v>
      </c>
      <c r="J2329" s="1"/>
      <c r="N2329" s="1"/>
      <c r="R2329" s="1"/>
      <c r="V2329" s="1"/>
      <c r="AB2329" s="1"/>
      <c r="AF2329" s="1"/>
      <c r="AJ2329" s="1"/>
      <c r="AN2329" s="1"/>
      <c r="AS2329" s="1"/>
      <c r="AX2329" s="1"/>
    </row>
    <row r="2330" spans="1:50" x14ac:dyDescent="0.3">
      <c r="A2330" s="19">
        <f t="shared" si="184"/>
        <v>49177</v>
      </c>
      <c r="B2330">
        <f t="shared" ca="1" si="180"/>
        <v>-8.4027777777777786</v>
      </c>
      <c r="C2330" t="str">
        <f ca="1">IF(currency="USD",'Future et co'!D2330,IF(currency="EUR",'Future et co'!E2330,IF(currency="GBP",'Future et co'!F2330,FALSE)))</f>
        <v>RFR USD</v>
      </c>
      <c r="D2330" t="str">
        <f t="shared" ca="1" si="181"/>
        <v>RFR USD</v>
      </c>
      <c r="E2330" t="str">
        <f t="shared" ca="1" si="182"/>
        <v>RFR EUR</v>
      </c>
      <c r="F2330" t="str">
        <f t="shared" ca="1" si="183"/>
        <v>RFR GBP</v>
      </c>
      <c r="J2330" s="1"/>
      <c r="N2330" s="1"/>
      <c r="R2330" s="1"/>
      <c r="V2330" s="1"/>
      <c r="AB2330" s="1"/>
      <c r="AF2330" s="1"/>
      <c r="AJ2330" s="1"/>
      <c r="AN2330" s="1"/>
      <c r="AS2330" s="1"/>
      <c r="AX2330" s="1"/>
    </row>
    <row r="2331" spans="1:50" x14ac:dyDescent="0.3">
      <c r="A2331" s="19">
        <f t="shared" si="184"/>
        <v>49178</v>
      </c>
      <c r="B2331">
        <f t="shared" ca="1" si="180"/>
        <v>-8.405555555555555</v>
      </c>
      <c r="C2331" t="str">
        <f ca="1">IF(currency="USD",'Future et co'!D2331,IF(currency="EUR",'Future et co'!E2331,IF(currency="GBP",'Future et co'!F2331,FALSE)))</f>
        <v>RFR USD</v>
      </c>
      <c r="D2331" t="str">
        <f t="shared" ca="1" si="181"/>
        <v>RFR USD</v>
      </c>
      <c r="E2331" t="str">
        <f t="shared" ca="1" si="182"/>
        <v>RFR EUR</v>
      </c>
      <c r="F2331" t="str">
        <f t="shared" ca="1" si="183"/>
        <v>RFR GBP</v>
      </c>
      <c r="J2331" s="1"/>
      <c r="N2331" s="1"/>
      <c r="R2331" s="1"/>
      <c r="V2331" s="1"/>
      <c r="AB2331" s="1"/>
      <c r="AF2331" s="1"/>
      <c r="AJ2331" s="1"/>
      <c r="AN2331" s="1"/>
      <c r="AS2331" s="1"/>
      <c r="AX2331" s="1"/>
    </row>
    <row r="2332" spans="1:50" x14ac:dyDescent="0.3">
      <c r="A2332" s="19">
        <f t="shared" si="184"/>
        <v>49179</v>
      </c>
      <c r="B2332">
        <f t="shared" ca="1" si="180"/>
        <v>-8.4083333333333332</v>
      </c>
      <c r="C2332" t="str">
        <f ca="1">IF(currency="USD",'Future et co'!D2332,IF(currency="EUR",'Future et co'!E2332,IF(currency="GBP",'Future et co'!F2332,FALSE)))</f>
        <v>RFR USD</v>
      </c>
      <c r="D2332" t="str">
        <f t="shared" ca="1" si="181"/>
        <v>RFR USD</v>
      </c>
      <c r="E2332" t="str">
        <f t="shared" ca="1" si="182"/>
        <v>RFR EUR</v>
      </c>
      <c r="F2332" t="str">
        <f t="shared" ca="1" si="183"/>
        <v>RFR GBP</v>
      </c>
      <c r="J2332" s="1"/>
      <c r="N2332" s="1"/>
      <c r="R2332" s="1"/>
      <c r="V2332" s="1"/>
      <c r="AB2332" s="1"/>
      <c r="AF2332" s="1"/>
      <c r="AJ2332" s="1"/>
      <c r="AN2332" s="1"/>
      <c r="AS2332" s="1"/>
      <c r="AX2332" s="1"/>
    </row>
    <row r="2333" spans="1:50" x14ac:dyDescent="0.3">
      <c r="A2333" s="19">
        <f t="shared" si="184"/>
        <v>49180</v>
      </c>
      <c r="B2333">
        <f t="shared" ca="1" si="180"/>
        <v>-8.4111111111111114</v>
      </c>
      <c r="C2333" t="str">
        <f ca="1">IF(currency="USD",'Future et co'!D2333,IF(currency="EUR",'Future et co'!E2333,IF(currency="GBP",'Future et co'!F2333,FALSE)))</f>
        <v>RFR USD</v>
      </c>
      <c r="D2333" t="str">
        <f t="shared" ca="1" si="181"/>
        <v>RFR USD</v>
      </c>
      <c r="E2333" t="str">
        <f t="shared" ca="1" si="182"/>
        <v>RFR EUR</v>
      </c>
      <c r="F2333" t="str">
        <f t="shared" ca="1" si="183"/>
        <v>RFR GBP</v>
      </c>
      <c r="J2333" s="1"/>
      <c r="N2333" s="1"/>
      <c r="R2333" s="1"/>
      <c r="V2333" s="1"/>
      <c r="AB2333" s="1"/>
      <c r="AF2333" s="1"/>
      <c r="AJ2333" s="1"/>
      <c r="AN2333" s="1"/>
      <c r="AS2333" s="1"/>
      <c r="AX2333" s="1"/>
    </row>
    <row r="2334" spans="1:50" x14ac:dyDescent="0.3">
      <c r="A2334" s="19">
        <f t="shared" si="184"/>
        <v>49181</v>
      </c>
      <c r="B2334">
        <f t="shared" ca="1" si="180"/>
        <v>-8.4138888888888896</v>
      </c>
      <c r="C2334" t="str">
        <f ca="1">IF(currency="USD",'Future et co'!D2334,IF(currency="EUR",'Future et co'!E2334,IF(currency="GBP",'Future et co'!F2334,FALSE)))</f>
        <v>RFR USD</v>
      </c>
      <c r="D2334" t="str">
        <f t="shared" ca="1" si="181"/>
        <v>RFR USD</v>
      </c>
      <c r="E2334" t="str">
        <f t="shared" ca="1" si="182"/>
        <v>RFR EUR</v>
      </c>
      <c r="F2334" t="str">
        <f t="shared" ca="1" si="183"/>
        <v>RFR GBP</v>
      </c>
      <c r="J2334" s="1"/>
      <c r="N2334" s="1"/>
      <c r="R2334" s="1"/>
      <c r="V2334" s="1"/>
      <c r="AB2334" s="1"/>
      <c r="AF2334" s="1"/>
      <c r="AJ2334" s="1"/>
      <c r="AN2334" s="1"/>
      <c r="AS2334" s="1"/>
      <c r="AX2334" s="1"/>
    </row>
    <row r="2335" spans="1:50" x14ac:dyDescent="0.3">
      <c r="A2335" s="19">
        <f t="shared" si="184"/>
        <v>49184</v>
      </c>
      <c r="B2335">
        <f t="shared" ca="1" si="180"/>
        <v>-8.4222222222222225</v>
      </c>
      <c r="C2335" t="str">
        <f ca="1">IF(currency="USD",'Future et co'!D2335,IF(currency="EUR",'Future et co'!E2335,IF(currency="GBP",'Future et co'!F2335,FALSE)))</f>
        <v>RFR USD</v>
      </c>
      <c r="D2335" t="str">
        <f t="shared" ca="1" si="181"/>
        <v>RFR USD</v>
      </c>
      <c r="E2335" t="str">
        <f t="shared" ca="1" si="182"/>
        <v>RFR EUR</v>
      </c>
      <c r="F2335" t="str">
        <f t="shared" ca="1" si="183"/>
        <v>RFR GBP</v>
      </c>
      <c r="J2335" s="1"/>
      <c r="N2335" s="1"/>
      <c r="R2335" s="1"/>
      <c r="V2335" s="1"/>
      <c r="AB2335" s="1"/>
      <c r="AF2335" s="1"/>
      <c r="AJ2335" s="1"/>
      <c r="AN2335" s="1"/>
      <c r="AS2335" s="1"/>
      <c r="AX2335" s="1"/>
    </row>
    <row r="2336" spans="1:50" x14ac:dyDescent="0.3">
      <c r="A2336" s="19">
        <f t="shared" si="184"/>
        <v>49185</v>
      </c>
      <c r="B2336">
        <f t="shared" ca="1" si="180"/>
        <v>-8.4250000000000007</v>
      </c>
      <c r="C2336" t="str">
        <f ca="1">IF(currency="USD",'Future et co'!D2336,IF(currency="EUR",'Future et co'!E2336,IF(currency="GBP",'Future et co'!F2336,FALSE)))</f>
        <v>RFR USD</v>
      </c>
      <c r="D2336" t="str">
        <f t="shared" ca="1" si="181"/>
        <v>RFR USD</v>
      </c>
      <c r="E2336" t="str">
        <f t="shared" ca="1" si="182"/>
        <v>RFR EUR</v>
      </c>
      <c r="F2336" t="str">
        <f t="shared" ca="1" si="183"/>
        <v>RFR GBP</v>
      </c>
      <c r="J2336" s="1"/>
      <c r="N2336" s="1"/>
      <c r="R2336" s="1"/>
      <c r="V2336" s="1"/>
      <c r="AB2336" s="1"/>
      <c r="AF2336" s="1"/>
      <c r="AJ2336" s="1"/>
      <c r="AN2336" s="1"/>
      <c r="AS2336" s="1"/>
      <c r="AX2336" s="1"/>
    </row>
    <row r="2337" spans="1:50" x14ac:dyDescent="0.3">
      <c r="A2337" s="19">
        <f t="shared" si="184"/>
        <v>49186</v>
      </c>
      <c r="B2337">
        <f t="shared" ca="1" si="180"/>
        <v>-8.4277777777777771</v>
      </c>
      <c r="C2337" t="str">
        <f ca="1">IF(currency="USD",'Future et co'!D2337,IF(currency="EUR",'Future et co'!E2337,IF(currency="GBP",'Future et co'!F2337,FALSE)))</f>
        <v>RFR USD</v>
      </c>
      <c r="D2337" t="str">
        <f t="shared" ca="1" si="181"/>
        <v>RFR USD</v>
      </c>
      <c r="E2337" t="str">
        <f t="shared" ca="1" si="182"/>
        <v>RFR EUR</v>
      </c>
      <c r="F2337" t="str">
        <f t="shared" ca="1" si="183"/>
        <v>RFR GBP</v>
      </c>
      <c r="J2337" s="1"/>
      <c r="N2337" s="1"/>
      <c r="R2337" s="1"/>
      <c r="V2337" s="1"/>
      <c r="AB2337" s="1"/>
      <c r="AF2337" s="1"/>
      <c r="AJ2337" s="1"/>
      <c r="AN2337" s="1"/>
      <c r="AS2337" s="1"/>
      <c r="AX2337" s="1"/>
    </row>
    <row r="2338" spans="1:50" x14ac:dyDescent="0.3">
      <c r="A2338" s="19">
        <f t="shared" si="184"/>
        <v>49187</v>
      </c>
      <c r="B2338">
        <f t="shared" ca="1" si="180"/>
        <v>-8.4305555555555554</v>
      </c>
      <c r="C2338" t="str">
        <f ca="1">IF(currency="USD",'Future et co'!D2338,IF(currency="EUR",'Future et co'!E2338,IF(currency="GBP",'Future et co'!F2338,FALSE)))</f>
        <v>RFR USD</v>
      </c>
      <c r="D2338" t="str">
        <f t="shared" ca="1" si="181"/>
        <v>RFR USD</v>
      </c>
      <c r="E2338" t="str">
        <f t="shared" ca="1" si="182"/>
        <v>RFR EUR</v>
      </c>
      <c r="F2338" t="str">
        <f t="shared" ca="1" si="183"/>
        <v>RFR GBP</v>
      </c>
      <c r="J2338" s="1"/>
      <c r="N2338" s="1"/>
      <c r="R2338" s="1"/>
      <c r="V2338" s="1"/>
      <c r="AB2338" s="1"/>
      <c r="AF2338" s="1"/>
      <c r="AJ2338" s="1"/>
      <c r="AN2338" s="1"/>
      <c r="AS2338" s="1"/>
      <c r="AX2338" s="1"/>
    </row>
    <row r="2339" spans="1:50" x14ac:dyDescent="0.3">
      <c r="A2339" s="19">
        <f t="shared" si="184"/>
        <v>49188</v>
      </c>
      <c r="B2339">
        <f t="shared" ca="1" si="180"/>
        <v>-8.4333333333333336</v>
      </c>
      <c r="C2339" t="str">
        <f ca="1">IF(currency="USD",'Future et co'!D2339,IF(currency="EUR",'Future et co'!E2339,IF(currency="GBP",'Future et co'!F2339,FALSE)))</f>
        <v>RFR USD</v>
      </c>
      <c r="D2339" t="str">
        <f t="shared" ca="1" si="181"/>
        <v>RFR USD</v>
      </c>
      <c r="E2339" t="str">
        <f t="shared" ca="1" si="182"/>
        <v>RFR EUR</v>
      </c>
      <c r="F2339" t="str">
        <f t="shared" ca="1" si="183"/>
        <v>RFR GBP</v>
      </c>
      <c r="J2339" s="1"/>
      <c r="N2339" s="1"/>
      <c r="R2339" s="1"/>
      <c r="V2339" s="1"/>
      <c r="AB2339" s="1"/>
      <c r="AF2339" s="1"/>
      <c r="AJ2339" s="1"/>
      <c r="AN2339" s="1"/>
      <c r="AS2339" s="1"/>
      <c r="AX2339" s="1"/>
    </row>
    <row r="2340" spans="1:50" x14ac:dyDescent="0.3">
      <c r="A2340" s="19">
        <f t="shared" si="184"/>
        <v>49191</v>
      </c>
      <c r="B2340">
        <f t="shared" ca="1" si="180"/>
        <v>-8.4416666666666664</v>
      </c>
      <c r="C2340" t="str">
        <f ca="1">IF(currency="USD",'Future et co'!D2340,IF(currency="EUR",'Future et co'!E2340,IF(currency="GBP",'Future et co'!F2340,FALSE)))</f>
        <v>RFR USD</v>
      </c>
      <c r="D2340" t="str">
        <f t="shared" ca="1" si="181"/>
        <v>RFR USD</v>
      </c>
      <c r="E2340" t="str">
        <f t="shared" ca="1" si="182"/>
        <v>RFR EUR</v>
      </c>
      <c r="F2340" t="str">
        <f t="shared" ca="1" si="183"/>
        <v>RFR GBP</v>
      </c>
      <c r="J2340" s="1"/>
      <c r="N2340" s="1"/>
      <c r="R2340" s="1"/>
      <c r="V2340" s="1"/>
      <c r="AB2340" s="1"/>
      <c r="AF2340" s="1"/>
      <c r="AJ2340" s="1"/>
      <c r="AN2340" s="1"/>
      <c r="AS2340" s="1"/>
      <c r="AX2340" s="1"/>
    </row>
    <row r="2341" spans="1:50" x14ac:dyDescent="0.3">
      <c r="A2341" s="19">
        <f t="shared" si="184"/>
        <v>49192</v>
      </c>
      <c r="B2341">
        <f t="shared" ca="1" si="180"/>
        <v>-8.4444444444444446</v>
      </c>
      <c r="C2341" t="str">
        <f ca="1">IF(currency="USD",'Future et co'!D2341,IF(currency="EUR",'Future et co'!E2341,IF(currency="GBP",'Future et co'!F2341,FALSE)))</f>
        <v>RFR USD</v>
      </c>
      <c r="D2341" t="str">
        <f t="shared" ca="1" si="181"/>
        <v>RFR USD</v>
      </c>
      <c r="E2341" t="str">
        <f t="shared" ca="1" si="182"/>
        <v>RFR EUR</v>
      </c>
      <c r="F2341" t="str">
        <f t="shared" ca="1" si="183"/>
        <v>RFR GBP</v>
      </c>
      <c r="J2341" s="1"/>
      <c r="N2341" s="1"/>
      <c r="R2341" s="1"/>
      <c r="V2341" s="1"/>
      <c r="AB2341" s="1"/>
      <c r="AF2341" s="1"/>
      <c r="AJ2341" s="1"/>
      <c r="AN2341" s="1"/>
      <c r="AS2341" s="1"/>
      <c r="AX2341" s="1"/>
    </row>
    <row r="2342" spans="1:50" x14ac:dyDescent="0.3">
      <c r="A2342" s="19">
        <f t="shared" si="184"/>
        <v>49193</v>
      </c>
      <c r="B2342">
        <f t="shared" ca="1" si="180"/>
        <v>-8.4472222222222229</v>
      </c>
      <c r="C2342" t="str">
        <f ca="1">IF(currency="USD",'Future et co'!D2342,IF(currency="EUR",'Future et co'!E2342,IF(currency="GBP",'Future et co'!F2342,FALSE)))</f>
        <v>RFR USD</v>
      </c>
      <c r="D2342" t="str">
        <f t="shared" ca="1" si="181"/>
        <v>RFR USD</v>
      </c>
      <c r="E2342" t="str">
        <f t="shared" ca="1" si="182"/>
        <v>RFR EUR</v>
      </c>
      <c r="F2342" t="str">
        <f t="shared" ca="1" si="183"/>
        <v>RFR GBP</v>
      </c>
      <c r="J2342" s="1"/>
      <c r="N2342" s="1"/>
      <c r="R2342" s="1"/>
      <c r="V2342" s="1"/>
      <c r="AB2342" s="1"/>
      <c r="AF2342" s="1"/>
      <c r="AJ2342" s="1"/>
      <c r="AN2342" s="1"/>
      <c r="AS2342" s="1"/>
      <c r="AX2342" s="1"/>
    </row>
    <row r="2343" spans="1:50" x14ac:dyDescent="0.3">
      <c r="A2343" s="19">
        <f t="shared" si="184"/>
        <v>49194</v>
      </c>
      <c r="B2343">
        <f t="shared" ca="1" si="180"/>
        <v>-8.4499999999999993</v>
      </c>
      <c r="C2343" t="str">
        <f ca="1">IF(currency="USD",'Future et co'!D2343,IF(currency="EUR",'Future et co'!E2343,IF(currency="GBP",'Future et co'!F2343,FALSE)))</f>
        <v>RFR USD</v>
      </c>
      <c r="D2343" t="str">
        <f t="shared" ca="1" si="181"/>
        <v>RFR USD</v>
      </c>
      <c r="E2343" t="str">
        <f t="shared" ca="1" si="182"/>
        <v>RFR EUR</v>
      </c>
      <c r="F2343" t="str">
        <f t="shared" ca="1" si="183"/>
        <v>RFR GBP</v>
      </c>
      <c r="J2343" s="1"/>
      <c r="N2343" s="1"/>
      <c r="R2343" s="1"/>
      <c r="V2343" s="1"/>
      <c r="AB2343" s="1"/>
      <c r="AF2343" s="1"/>
      <c r="AJ2343" s="1"/>
      <c r="AN2343" s="1"/>
      <c r="AS2343" s="1"/>
      <c r="AX2343" s="1"/>
    </row>
    <row r="2344" spans="1:50" x14ac:dyDescent="0.3">
      <c r="A2344" s="19">
        <f t="shared" si="184"/>
        <v>49195</v>
      </c>
      <c r="B2344">
        <f t="shared" ca="1" si="180"/>
        <v>-8.4527777777777775</v>
      </c>
      <c r="C2344" t="str">
        <f ca="1">IF(currency="USD",'Future et co'!D2344,IF(currency="EUR",'Future et co'!E2344,IF(currency="GBP",'Future et co'!F2344,FALSE)))</f>
        <v>RFR USD</v>
      </c>
      <c r="D2344" t="str">
        <f t="shared" ca="1" si="181"/>
        <v>RFR USD</v>
      </c>
      <c r="E2344" t="str">
        <f t="shared" ca="1" si="182"/>
        <v>RFR EUR</v>
      </c>
      <c r="F2344" t="str">
        <f t="shared" ca="1" si="183"/>
        <v>RFR GBP</v>
      </c>
      <c r="J2344" s="1"/>
      <c r="N2344" s="1"/>
      <c r="R2344" s="1"/>
      <c r="V2344" s="1"/>
      <c r="AB2344" s="1"/>
      <c r="AF2344" s="1"/>
      <c r="AJ2344" s="1"/>
      <c r="AN2344" s="1"/>
      <c r="AS2344" s="1"/>
      <c r="AX2344" s="1"/>
    </row>
    <row r="2345" spans="1:50" x14ac:dyDescent="0.3">
      <c r="A2345" s="19">
        <f t="shared" si="184"/>
        <v>49198</v>
      </c>
      <c r="B2345">
        <f t="shared" ca="1" si="180"/>
        <v>-8.4611111111111104</v>
      </c>
      <c r="C2345" t="str">
        <f ca="1">IF(currency="USD",'Future et co'!D2345,IF(currency="EUR",'Future et co'!E2345,IF(currency="GBP",'Future et co'!F2345,FALSE)))</f>
        <v>RFR USD</v>
      </c>
      <c r="D2345" t="str">
        <f t="shared" ca="1" si="181"/>
        <v>RFR USD</v>
      </c>
      <c r="E2345" t="str">
        <f t="shared" ca="1" si="182"/>
        <v>RFR EUR</v>
      </c>
      <c r="F2345" t="str">
        <f t="shared" ca="1" si="183"/>
        <v>RFR GBP</v>
      </c>
      <c r="J2345" s="1"/>
      <c r="N2345" s="1"/>
      <c r="R2345" s="1"/>
      <c r="V2345" s="1"/>
      <c r="AB2345" s="1"/>
      <c r="AF2345" s="1"/>
      <c r="AJ2345" s="1"/>
      <c r="AN2345" s="1"/>
      <c r="AS2345" s="1"/>
      <c r="AX2345" s="1"/>
    </row>
    <row r="2346" spans="1:50" x14ac:dyDescent="0.3">
      <c r="A2346" s="19">
        <f t="shared" si="184"/>
        <v>49199</v>
      </c>
      <c r="B2346">
        <f t="shared" ca="1" si="180"/>
        <v>-8.4638888888888886</v>
      </c>
      <c r="C2346" t="str">
        <f ca="1">IF(currency="USD",'Future et co'!D2346,IF(currency="EUR",'Future et co'!E2346,IF(currency="GBP",'Future et co'!F2346,FALSE)))</f>
        <v>RFR USD</v>
      </c>
      <c r="D2346" t="str">
        <f t="shared" ca="1" si="181"/>
        <v>RFR USD</v>
      </c>
      <c r="E2346" t="str">
        <f t="shared" ca="1" si="182"/>
        <v>RFR EUR</v>
      </c>
      <c r="F2346" t="str">
        <f t="shared" ca="1" si="183"/>
        <v>RFR GBP</v>
      </c>
      <c r="J2346" s="1"/>
      <c r="N2346" s="1"/>
      <c r="R2346" s="1"/>
      <c r="V2346" s="1"/>
      <c r="AB2346" s="1"/>
      <c r="AF2346" s="1"/>
      <c r="AJ2346" s="1"/>
      <c r="AN2346" s="1"/>
      <c r="AS2346" s="1"/>
      <c r="AX2346" s="1"/>
    </row>
    <row r="2347" spans="1:50" x14ac:dyDescent="0.3">
      <c r="A2347" s="19">
        <f t="shared" si="184"/>
        <v>49200</v>
      </c>
      <c r="B2347">
        <f t="shared" ca="1" si="180"/>
        <v>-8.4666666666666668</v>
      </c>
      <c r="C2347" t="str">
        <f ca="1">IF(currency="USD",'Future et co'!D2347,IF(currency="EUR",'Future et co'!E2347,IF(currency="GBP",'Future et co'!F2347,FALSE)))</f>
        <v>RFR USD</v>
      </c>
      <c r="D2347" t="str">
        <f t="shared" ca="1" si="181"/>
        <v>RFR USD</v>
      </c>
      <c r="E2347" t="str">
        <f t="shared" ca="1" si="182"/>
        <v>RFR EUR</v>
      </c>
      <c r="F2347" t="str">
        <f t="shared" ca="1" si="183"/>
        <v>RFR GBP</v>
      </c>
      <c r="J2347" s="1"/>
      <c r="N2347" s="1"/>
      <c r="R2347" s="1"/>
      <c r="V2347" s="1"/>
      <c r="AB2347" s="1"/>
      <c r="AF2347" s="1"/>
      <c r="AJ2347" s="1"/>
      <c r="AN2347" s="1"/>
      <c r="AS2347" s="1"/>
      <c r="AX2347" s="1"/>
    </row>
    <row r="2348" spans="1:50" x14ac:dyDescent="0.3">
      <c r="A2348" s="19">
        <f t="shared" si="184"/>
        <v>49201</v>
      </c>
      <c r="B2348">
        <f t="shared" ca="1" si="180"/>
        <v>-8.469444444444445</v>
      </c>
      <c r="C2348" t="str">
        <f ca="1">IF(currency="USD",'Future et co'!D2348,IF(currency="EUR",'Future et co'!E2348,IF(currency="GBP",'Future et co'!F2348,FALSE)))</f>
        <v>RFR USD</v>
      </c>
      <c r="D2348" t="str">
        <f t="shared" ca="1" si="181"/>
        <v>RFR USD</v>
      </c>
      <c r="E2348" t="str">
        <f t="shared" ca="1" si="182"/>
        <v>RFR EUR</v>
      </c>
      <c r="F2348" t="str">
        <f t="shared" ca="1" si="183"/>
        <v>RFR GBP</v>
      </c>
      <c r="J2348" s="1"/>
      <c r="N2348" s="1"/>
      <c r="R2348" s="1"/>
      <c r="V2348" s="1"/>
      <c r="AB2348" s="1"/>
      <c r="AF2348" s="1"/>
      <c r="AJ2348" s="1"/>
      <c r="AN2348" s="1"/>
      <c r="AS2348" s="1"/>
      <c r="AX2348" s="1"/>
    </row>
    <row r="2349" spans="1:50" x14ac:dyDescent="0.3">
      <c r="A2349" s="19">
        <f t="shared" si="184"/>
        <v>49202</v>
      </c>
      <c r="B2349">
        <f t="shared" ca="1" si="180"/>
        <v>-8.4722222222222214</v>
      </c>
      <c r="C2349" t="str">
        <f ca="1">IF(currency="USD",'Future et co'!D2349,IF(currency="EUR",'Future et co'!E2349,IF(currency="GBP",'Future et co'!F2349,FALSE)))</f>
        <v>RFR USD</v>
      </c>
      <c r="D2349" t="str">
        <f t="shared" ca="1" si="181"/>
        <v>RFR USD</v>
      </c>
      <c r="E2349" t="str">
        <f t="shared" ca="1" si="182"/>
        <v>RFR EUR</v>
      </c>
      <c r="F2349" t="str">
        <f t="shared" ca="1" si="183"/>
        <v>RFR GBP</v>
      </c>
      <c r="J2349" s="1"/>
      <c r="N2349" s="1"/>
      <c r="R2349" s="1"/>
      <c r="V2349" s="1"/>
      <c r="AB2349" s="1"/>
      <c r="AF2349" s="1"/>
      <c r="AJ2349" s="1"/>
      <c r="AN2349" s="1"/>
      <c r="AS2349" s="1"/>
      <c r="AX2349" s="1"/>
    </row>
    <row r="2350" spans="1:50" x14ac:dyDescent="0.3">
      <c r="A2350" s="19">
        <f t="shared" si="184"/>
        <v>49205</v>
      </c>
      <c r="B2350">
        <f t="shared" ca="1" si="180"/>
        <v>-8.4805555555555561</v>
      </c>
      <c r="C2350" t="str">
        <f ca="1">IF(currency="USD",'Future et co'!D2350,IF(currency="EUR",'Future et co'!E2350,IF(currency="GBP",'Future et co'!F2350,FALSE)))</f>
        <v>RFR USD</v>
      </c>
      <c r="D2350" t="str">
        <f t="shared" ca="1" si="181"/>
        <v>RFR USD</v>
      </c>
      <c r="E2350" t="str">
        <f t="shared" ca="1" si="182"/>
        <v>RFR EUR</v>
      </c>
      <c r="F2350" t="str">
        <f t="shared" ca="1" si="183"/>
        <v>RFR GBP</v>
      </c>
      <c r="J2350" s="1"/>
      <c r="N2350" s="1"/>
      <c r="R2350" s="1"/>
      <c r="V2350" s="1"/>
      <c r="AB2350" s="1"/>
      <c r="AF2350" s="1"/>
      <c r="AJ2350" s="1"/>
      <c r="AN2350" s="1"/>
      <c r="AS2350" s="1"/>
      <c r="AX2350" s="1"/>
    </row>
    <row r="2351" spans="1:50" x14ac:dyDescent="0.3">
      <c r="A2351" s="19">
        <f t="shared" si="184"/>
        <v>49206</v>
      </c>
      <c r="B2351">
        <f t="shared" ca="1" si="180"/>
        <v>-8.4833333333333325</v>
      </c>
      <c r="C2351" t="str">
        <f ca="1">IF(currency="USD",'Future et co'!D2351,IF(currency="EUR",'Future et co'!E2351,IF(currency="GBP",'Future et co'!F2351,FALSE)))</f>
        <v>RFR USD</v>
      </c>
      <c r="D2351" t="str">
        <f t="shared" ca="1" si="181"/>
        <v>RFR USD</v>
      </c>
      <c r="E2351" t="str">
        <f t="shared" ca="1" si="182"/>
        <v>RFR EUR</v>
      </c>
      <c r="F2351" t="str">
        <f t="shared" ca="1" si="183"/>
        <v>RFR GBP</v>
      </c>
      <c r="J2351" s="1"/>
      <c r="N2351" s="1"/>
      <c r="R2351" s="1"/>
      <c r="V2351" s="1"/>
      <c r="AB2351" s="1"/>
      <c r="AF2351" s="1"/>
      <c r="AJ2351" s="1"/>
      <c r="AN2351" s="1"/>
      <c r="AS2351" s="1"/>
      <c r="AX2351" s="1"/>
    </row>
    <row r="2352" spans="1:50" x14ac:dyDescent="0.3">
      <c r="A2352" s="19">
        <f t="shared" si="184"/>
        <v>49207</v>
      </c>
      <c r="B2352">
        <f t="shared" ca="1" si="180"/>
        <v>-8.4861111111111107</v>
      </c>
      <c r="C2352" t="str">
        <f ca="1">IF(currency="USD",'Future et co'!D2352,IF(currency="EUR",'Future et co'!E2352,IF(currency="GBP",'Future et co'!F2352,FALSE)))</f>
        <v>RFR USD</v>
      </c>
      <c r="D2352" t="str">
        <f t="shared" ca="1" si="181"/>
        <v>RFR USD</v>
      </c>
      <c r="E2352" t="str">
        <f t="shared" ca="1" si="182"/>
        <v>RFR EUR</v>
      </c>
      <c r="F2352" t="str">
        <f t="shared" ca="1" si="183"/>
        <v>RFR GBP</v>
      </c>
      <c r="J2352" s="1"/>
      <c r="N2352" s="1"/>
      <c r="R2352" s="1"/>
      <c r="V2352" s="1"/>
      <c r="AB2352" s="1"/>
      <c r="AF2352" s="1"/>
      <c r="AJ2352" s="1"/>
      <c r="AN2352" s="1"/>
      <c r="AS2352" s="1"/>
      <c r="AX2352" s="1"/>
    </row>
    <row r="2353" spans="1:50" x14ac:dyDescent="0.3">
      <c r="A2353" s="19">
        <f t="shared" si="184"/>
        <v>49208</v>
      </c>
      <c r="B2353">
        <f t="shared" ca="1" si="180"/>
        <v>-8.4888888888888889</v>
      </c>
      <c r="C2353" t="str">
        <f ca="1">IF(currency="USD",'Future et co'!D2353,IF(currency="EUR",'Future et co'!E2353,IF(currency="GBP",'Future et co'!F2353,FALSE)))</f>
        <v>RFR USD</v>
      </c>
      <c r="D2353" t="str">
        <f t="shared" ca="1" si="181"/>
        <v>RFR USD</v>
      </c>
      <c r="E2353" t="str">
        <f t="shared" ca="1" si="182"/>
        <v>RFR EUR</v>
      </c>
      <c r="F2353" t="str">
        <f t="shared" ca="1" si="183"/>
        <v>RFR GBP</v>
      </c>
      <c r="J2353" s="1"/>
      <c r="N2353" s="1"/>
      <c r="R2353" s="1"/>
      <c r="V2353" s="1"/>
      <c r="AB2353" s="1"/>
      <c r="AF2353" s="1"/>
      <c r="AJ2353" s="1"/>
      <c r="AN2353" s="1"/>
      <c r="AS2353" s="1"/>
      <c r="AX2353" s="1"/>
    </row>
    <row r="2354" spans="1:50" x14ac:dyDescent="0.3">
      <c r="A2354" s="19">
        <f t="shared" si="184"/>
        <v>49209</v>
      </c>
      <c r="B2354">
        <f t="shared" ca="1" si="180"/>
        <v>-8.4916666666666671</v>
      </c>
      <c r="C2354" t="str">
        <f ca="1">IF(currency="USD",'Future et co'!D2354,IF(currency="EUR",'Future et co'!E2354,IF(currency="GBP",'Future et co'!F2354,FALSE)))</f>
        <v>RFR USD</v>
      </c>
      <c r="D2354" t="str">
        <f t="shared" ca="1" si="181"/>
        <v>RFR USD</v>
      </c>
      <c r="E2354" t="str">
        <f t="shared" ca="1" si="182"/>
        <v>RFR EUR</v>
      </c>
      <c r="F2354" t="str">
        <f t="shared" ca="1" si="183"/>
        <v>RFR GBP</v>
      </c>
      <c r="J2354" s="1"/>
      <c r="N2354" s="1"/>
      <c r="R2354" s="1"/>
      <c r="V2354" s="1"/>
      <c r="AB2354" s="1"/>
      <c r="AF2354" s="1"/>
      <c r="AJ2354" s="1"/>
      <c r="AN2354" s="1"/>
      <c r="AS2354" s="1"/>
      <c r="AX2354" s="1"/>
    </row>
    <row r="2355" spans="1:50" x14ac:dyDescent="0.3">
      <c r="A2355" s="19">
        <f t="shared" si="184"/>
        <v>49212</v>
      </c>
      <c r="B2355">
        <f t="shared" ca="1" si="180"/>
        <v>-8.5</v>
      </c>
      <c r="C2355" t="str">
        <f ca="1">IF(currency="USD",'Future et co'!D2355,IF(currency="EUR",'Future et co'!E2355,IF(currency="GBP",'Future et co'!F2355,FALSE)))</f>
        <v>RFR USD</v>
      </c>
      <c r="D2355" t="str">
        <f t="shared" ca="1" si="181"/>
        <v>RFR USD</v>
      </c>
      <c r="E2355" t="str">
        <f t="shared" ca="1" si="182"/>
        <v>RFR EUR</v>
      </c>
      <c r="F2355" t="str">
        <f t="shared" ca="1" si="183"/>
        <v>RFR GBP</v>
      </c>
      <c r="J2355" s="1"/>
      <c r="N2355" s="1"/>
      <c r="R2355" s="1"/>
      <c r="V2355" s="1"/>
      <c r="AB2355" s="1"/>
      <c r="AF2355" s="1"/>
      <c r="AJ2355" s="1"/>
      <c r="AN2355" s="1"/>
      <c r="AS2355" s="1"/>
      <c r="AX2355" s="1"/>
    </row>
    <row r="2356" spans="1:50" x14ac:dyDescent="0.3">
      <c r="A2356" s="19">
        <f t="shared" si="184"/>
        <v>49213</v>
      </c>
      <c r="B2356">
        <f t="shared" ca="1" si="180"/>
        <v>-8.5027777777777782</v>
      </c>
      <c r="C2356" t="str">
        <f ca="1">IF(currency="USD",'Future et co'!D2356,IF(currency="EUR",'Future et co'!E2356,IF(currency="GBP",'Future et co'!F2356,FALSE)))</f>
        <v>RFR USD</v>
      </c>
      <c r="D2356" t="str">
        <f t="shared" ca="1" si="181"/>
        <v>RFR USD</v>
      </c>
      <c r="E2356" t="str">
        <f t="shared" ca="1" si="182"/>
        <v>RFR EUR</v>
      </c>
      <c r="F2356" t="str">
        <f t="shared" ca="1" si="183"/>
        <v>RFR GBP</v>
      </c>
      <c r="J2356" s="1"/>
      <c r="N2356" s="1"/>
      <c r="R2356" s="1"/>
      <c r="V2356" s="1"/>
      <c r="AB2356" s="1"/>
      <c r="AF2356" s="1"/>
      <c r="AJ2356" s="1"/>
      <c r="AN2356" s="1"/>
      <c r="AS2356" s="1"/>
      <c r="AX2356" s="1"/>
    </row>
    <row r="2357" spans="1:50" x14ac:dyDescent="0.3">
      <c r="A2357" s="19">
        <f t="shared" si="184"/>
        <v>49214</v>
      </c>
      <c r="B2357">
        <f t="shared" ca="1" si="180"/>
        <v>-8.5055555555555564</v>
      </c>
      <c r="C2357" t="str">
        <f ca="1">IF(currency="USD",'Future et co'!D2357,IF(currency="EUR",'Future et co'!E2357,IF(currency="GBP",'Future et co'!F2357,FALSE)))</f>
        <v>RFR USD</v>
      </c>
      <c r="D2357" t="str">
        <f t="shared" ca="1" si="181"/>
        <v>RFR USD</v>
      </c>
      <c r="E2357" t="str">
        <f t="shared" ca="1" si="182"/>
        <v>RFR EUR</v>
      </c>
      <c r="F2357" t="str">
        <f t="shared" ca="1" si="183"/>
        <v>RFR GBP</v>
      </c>
      <c r="J2357" s="1"/>
      <c r="N2357" s="1"/>
      <c r="R2357" s="1"/>
      <c r="V2357" s="1"/>
      <c r="AB2357" s="1"/>
      <c r="AF2357" s="1"/>
      <c r="AJ2357" s="1"/>
      <c r="AN2357" s="1"/>
      <c r="AS2357" s="1"/>
      <c r="AX2357" s="1"/>
    </row>
    <row r="2358" spans="1:50" x14ac:dyDescent="0.3">
      <c r="A2358" s="19">
        <f t="shared" si="184"/>
        <v>49215</v>
      </c>
      <c r="B2358">
        <f t="shared" ca="1" si="180"/>
        <v>-8.5083333333333329</v>
      </c>
      <c r="C2358" t="str">
        <f ca="1">IF(currency="USD",'Future et co'!D2358,IF(currency="EUR",'Future et co'!E2358,IF(currency="GBP",'Future et co'!F2358,FALSE)))</f>
        <v>RFR USD</v>
      </c>
      <c r="D2358" t="str">
        <f t="shared" ca="1" si="181"/>
        <v>RFR USD</v>
      </c>
      <c r="E2358" t="str">
        <f t="shared" ca="1" si="182"/>
        <v>RFR EUR</v>
      </c>
      <c r="F2358" t="str">
        <f t="shared" ca="1" si="183"/>
        <v>RFR GBP</v>
      </c>
      <c r="J2358" s="1"/>
      <c r="N2358" s="1"/>
      <c r="R2358" s="1"/>
      <c r="V2358" s="1"/>
      <c r="AB2358" s="1"/>
      <c r="AF2358" s="1"/>
      <c r="AJ2358" s="1"/>
      <c r="AN2358" s="1"/>
      <c r="AS2358" s="1"/>
      <c r="AX2358" s="1"/>
    </row>
    <row r="2359" spans="1:50" x14ac:dyDescent="0.3">
      <c r="A2359" s="19">
        <f t="shared" si="184"/>
        <v>49216</v>
      </c>
      <c r="B2359">
        <f t="shared" ca="1" si="180"/>
        <v>-8.5111111111111111</v>
      </c>
      <c r="C2359" t="str">
        <f ca="1">IF(currency="USD",'Future et co'!D2359,IF(currency="EUR",'Future et co'!E2359,IF(currency="GBP",'Future et co'!F2359,FALSE)))</f>
        <v>RFR USD</v>
      </c>
      <c r="D2359" t="str">
        <f t="shared" ca="1" si="181"/>
        <v>RFR USD</v>
      </c>
      <c r="E2359" t="str">
        <f t="shared" ca="1" si="182"/>
        <v>RFR EUR</v>
      </c>
      <c r="F2359" t="str">
        <f t="shared" ca="1" si="183"/>
        <v>RFR GBP</v>
      </c>
      <c r="J2359" s="1"/>
      <c r="N2359" s="1"/>
      <c r="R2359" s="1"/>
      <c r="V2359" s="1"/>
      <c r="AB2359" s="1"/>
      <c r="AF2359" s="1"/>
      <c r="AJ2359" s="1"/>
      <c r="AN2359" s="1"/>
      <c r="AS2359" s="1"/>
      <c r="AX2359" s="1"/>
    </row>
    <row r="2360" spans="1:50" x14ac:dyDescent="0.3">
      <c r="A2360" s="19">
        <f t="shared" si="184"/>
        <v>49219</v>
      </c>
      <c r="B2360">
        <f t="shared" ca="1" si="180"/>
        <v>-8.5194444444444439</v>
      </c>
      <c r="C2360" t="str">
        <f ca="1">IF(currency="USD",'Future et co'!D2360,IF(currency="EUR",'Future et co'!E2360,IF(currency="GBP",'Future et co'!F2360,FALSE)))</f>
        <v>RFR USD</v>
      </c>
      <c r="D2360" t="str">
        <f t="shared" ca="1" si="181"/>
        <v>RFR USD</v>
      </c>
      <c r="E2360" t="str">
        <f t="shared" ca="1" si="182"/>
        <v>RFR EUR</v>
      </c>
      <c r="F2360" t="str">
        <f t="shared" ca="1" si="183"/>
        <v>RFR GBP</v>
      </c>
      <c r="J2360" s="1"/>
      <c r="N2360" s="1"/>
      <c r="R2360" s="1"/>
      <c r="V2360" s="1"/>
      <c r="AB2360" s="1"/>
      <c r="AF2360" s="1"/>
      <c r="AJ2360" s="1"/>
      <c r="AN2360" s="1"/>
      <c r="AS2360" s="1"/>
      <c r="AX2360" s="1"/>
    </row>
    <row r="2361" spans="1:50" x14ac:dyDescent="0.3">
      <c r="A2361" s="19">
        <f t="shared" si="184"/>
        <v>49220</v>
      </c>
      <c r="B2361">
        <f t="shared" ca="1" si="180"/>
        <v>-8.5222222222222221</v>
      </c>
      <c r="C2361" t="str">
        <f ca="1">IF(currency="USD",'Future et co'!D2361,IF(currency="EUR",'Future et co'!E2361,IF(currency="GBP",'Future et co'!F2361,FALSE)))</f>
        <v>RFR USD</v>
      </c>
      <c r="D2361" t="str">
        <f t="shared" ca="1" si="181"/>
        <v>RFR USD</v>
      </c>
      <c r="E2361" t="str">
        <f t="shared" ca="1" si="182"/>
        <v>RFR EUR</v>
      </c>
      <c r="F2361" t="str">
        <f t="shared" ca="1" si="183"/>
        <v>RFR GBP</v>
      </c>
      <c r="J2361" s="1"/>
      <c r="N2361" s="1"/>
      <c r="R2361" s="1"/>
      <c r="V2361" s="1"/>
      <c r="AB2361" s="1"/>
      <c r="AF2361" s="1"/>
      <c r="AJ2361" s="1"/>
      <c r="AN2361" s="1"/>
      <c r="AS2361" s="1"/>
      <c r="AX2361" s="1"/>
    </row>
    <row r="2362" spans="1:50" x14ac:dyDescent="0.3">
      <c r="A2362" s="19">
        <f t="shared" si="184"/>
        <v>49221</v>
      </c>
      <c r="B2362">
        <f t="shared" ca="1" si="180"/>
        <v>-8.5250000000000004</v>
      </c>
      <c r="C2362" t="str">
        <f ca="1">IF(currency="USD",'Future et co'!D2362,IF(currency="EUR",'Future et co'!E2362,IF(currency="GBP",'Future et co'!F2362,FALSE)))</f>
        <v>RFR USD</v>
      </c>
      <c r="D2362" t="str">
        <f t="shared" ca="1" si="181"/>
        <v>RFR USD</v>
      </c>
      <c r="E2362" t="str">
        <f t="shared" ca="1" si="182"/>
        <v>RFR EUR</v>
      </c>
      <c r="F2362" t="str">
        <f t="shared" ca="1" si="183"/>
        <v>RFR GBP</v>
      </c>
      <c r="J2362" s="1"/>
      <c r="N2362" s="1"/>
      <c r="R2362" s="1"/>
      <c r="V2362" s="1"/>
      <c r="AB2362" s="1"/>
      <c r="AF2362" s="1"/>
      <c r="AJ2362" s="1"/>
      <c r="AN2362" s="1"/>
      <c r="AS2362" s="1"/>
      <c r="AX2362" s="1"/>
    </row>
    <row r="2363" spans="1:50" x14ac:dyDescent="0.3">
      <c r="A2363" s="19">
        <f t="shared" si="184"/>
        <v>49222</v>
      </c>
      <c r="B2363">
        <f t="shared" ca="1" si="180"/>
        <v>-8.5277777777777786</v>
      </c>
      <c r="C2363" t="str">
        <f ca="1">IF(currency="USD",'Future et co'!D2363,IF(currency="EUR",'Future et co'!E2363,IF(currency="GBP",'Future et co'!F2363,FALSE)))</f>
        <v>RFR USD</v>
      </c>
      <c r="D2363" t="str">
        <f t="shared" ca="1" si="181"/>
        <v>RFR USD</v>
      </c>
      <c r="E2363" t="str">
        <f t="shared" ca="1" si="182"/>
        <v>RFR EUR</v>
      </c>
      <c r="F2363" t="str">
        <f t="shared" ca="1" si="183"/>
        <v>RFR GBP</v>
      </c>
      <c r="J2363" s="1"/>
      <c r="N2363" s="1"/>
      <c r="R2363" s="1"/>
      <c r="V2363" s="1"/>
      <c r="AB2363" s="1"/>
      <c r="AF2363" s="1"/>
      <c r="AJ2363" s="1"/>
      <c r="AN2363" s="1"/>
      <c r="AS2363" s="1"/>
      <c r="AX2363" s="1"/>
    </row>
    <row r="2364" spans="1:50" x14ac:dyDescent="0.3">
      <c r="A2364" s="19">
        <f t="shared" si="184"/>
        <v>49223</v>
      </c>
      <c r="B2364">
        <f t="shared" ca="1" si="180"/>
        <v>-8.530555555555555</v>
      </c>
      <c r="C2364" t="str">
        <f ca="1">IF(currency="USD",'Future et co'!D2364,IF(currency="EUR",'Future et co'!E2364,IF(currency="GBP",'Future et co'!F2364,FALSE)))</f>
        <v>RFR USD</v>
      </c>
      <c r="D2364" t="str">
        <f t="shared" ca="1" si="181"/>
        <v>RFR USD</v>
      </c>
      <c r="E2364" t="str">
        <f t="shared" ca="1" si="182"/>
        <v>RFR EUR</v>
      </c>
      <c r="F2364" t="str">
        <f t="shared" ca="1" si="183"/>
        <v>RFR GBP</v>
      </c>
      <c r="J2364" s="1"/>
      <c r="N2364" s="1"/>
      <c r="R2364" s="1"/>
      <c r="V2364" s="1"/>
      <c r="AB2364" s="1"/>
      <c r="AF2364" s="1"/>
      <c r="AJ2364" s="1"/>
      <c r="AN2364" s="1"/>
      <c r="AS2364" s="1"/>
      <c r="AX2364" s="1"/>
    </row>
    <row r="2365" spans="1:50" x14ac:dyDescent="0.3">
      <c r="A2365" s="19">
        <f t="shared" si="184"/>
        <v>49226</v>
      </c>
      <c r="B2365">
        <f t="shared" ca="1" si="180"/>
        <v>-8.5388888888888896</v>
      </c>
      <c r="C2365" t="str">
        <f ca="1">IF(currency="USD",'Future et co'!D2365,IF(currency="EUR",'Future et co'!E2365,IF(currency="GBP",'Future et co'!F2365,FALSE)))</f>
        <v>RFR USD</v>
      </c>
      <c r="D2365" t="str">
        <f t="shared" ca="1" si="181"/>
        <v>RFR USD</v>
      </c>
      <c r="E2365" t="str">
        <f t="shared" ca="1" si="182"/>
        <v>RFR EUR</v>
      </c>
      <c r="F2365" t="str">
        <f t="shared" ca="1" si="183"/>
        <v>RFR GBP</v>
      </c>
      <c r="J2365" s="1"/>
      <c r="N2365" s="1"/>
      <c r="R2365" s="1"/>
      <c r="V2365" s="1"/>
      <c r="AB2365" s="1"/>
      <c r="AF2365" s="1"/>
      <c r="AJ2365" s="1"/>
      <c r="AN2365" s="1"/>
      <c r="AS2365" s="1"/>
      <c r="AX2365" s="1"/>
    </row>
    <row r="2366" spans="1:50" x14ac:dyDescent="0.3">
      <c r="A2366" s="19">
        <f t="shared" si="184"/>
        <v>49227</v>
      </c>
      <c r="B2366">
        <f t="shared" ca="1" si="180"/>
        <v>-8.5416666666666661</v>
      </c>
      <c r="C2366" t="str">
        <f ca="1">IF(currency="USD",'Future et co'!D2366,IF(currency="EUR",'Future et co'!E2366,IF(currency="GBP",'Future et co'!F2366,FALSE)))</f>
        <v>RFR USD</v>
      </c>
      <c r="D2366" t="str">
        <f t="shared" ca="1" si="181"/>
        <v>RFR USD</v>
      </c>
      <c r="E2366" t="str">
        <f t="shared" ca="1" si="182"/>
        <v>RFR EUR</v>
      </c>
      <c r="F2366" t="str">
        <f t="shared" ca="1" si="183"/>
        <v>RFR GBP</v>
      </c>
      <c r="J2366" s="1"/>
      <c r="N2366" s="1"/>
      <c r="R2366" s="1"/>
      <c r="V2366" s="1"/>
      <c r="AB2366" s="1"/>
      <c r="AF2366" s="1"/>
      <c r="AJ2366" s="1"/>
      <c r="AN2366" s="1"/>
      <c r="AS2366" s="1"/>
      <c r="AX2366" s="1"/>
    </row>
    <row r="2367" spans="1:50" x14ac:dyDescent="0.3">
      <c r="A2367" s="19">
        <f t="shared" si="184"/>
        <v>49228</v>
      </c>
      <c r="B2367">
        <f t="shared" ca="1" si="180"/>
        <v>-8.5444444444444443</v>
      </c>
      <c r="C2367" t="str">
        <f ca="1">IF(currency="USD",'Future et co'!D2367,IF(currency="EUR",'Future et co'!E2367,IF(currency="GBP",'Future et co'!F2367,FALSE)))</f>
        <v>RFR USD</v>
      </c>
      <c r="D2367" t="str">
        <f t="shared" ca="1" si="181"/>
        <v>RFR USD</v>
      </c>
      <c r="E2367" t="str">
        <f t="shared" ca="1" si="182"/>
        <v>RFR EUR</v>
      </c>
      <c r="F2367" t="str">
        <f t="shared" ca="1" si="183"/>
        <v>RFR GBP</v>
      </c>
      <c r="J2367" s="1"/>
      <c r="N2367" s="1"/>
      <c r="R2367" s="1"/>
      <c r="V2367" s="1"/>
      <c r="AB2367" s="1"/>
      <c r="AF2367" s="1"/>
      <c r="AJ2367" s="1"/>
      <c r="AN2367" s="1"/>
      <c r="AS2367" s="1"/>
      <c r="AX2367" s="1"/>
    </row>
    <row r="2368" spans="1:50" x14ac:dyDescent="0.3">
      <c r="A2368" s="19">
        <f t="shared" si="184"/>
        <v>49229</v>
      </c>
      <c r="B2368">
        <f t="shared" ca="1" si="180"/>
        <v>-8.5472222222222225</v>
      </c>
      <c r="C2368" t="str">
        <f ca="1">IF(currency="USD",'Future et co'!D2368,IF(currency="EUR",'Future et co'!E2368,IF(currency="GBP",'Future et co'!F2368,FALSE)))</f>
        <v>RFR USD</v>
      </c>
      <c r="D2368" t="str">
        <f t="shared" ca="1" si="181"/>
        <v>RFR USD</v>
      </c>
      <c r="E2368" t="str">
        <f t="shared" ca="1" si="182"/>
        <v>RFR EUR</v>
      </c>
      <c r="F2368" t="str">
        <f t="shared" ca="1" si="183"/>
        <v>RFR GBP</v>
      </c>
      <c r="J2368" s="1"/>
      <c r="N2368" s="1"/>
      <c r="R2368" s="1"/>
      <c r="V2368" s="1"/>
      <c r="AB2368" s="1"/>
      <c r="AF2368" s="1"/>
      <c r="AJ2368" s="1"/>
      <c r="AN2368" s="1"/>
      <c r="AS2368" s="1"/>
      <c r="AX2368" s="1"/>
    </row>
    <row r="2369" spans="1:50" x14ac:dyDescent="0.3">
      <c r="A2369" s="19">
        <f t="shared" si="184"/>
        <v>49230</v>
      </c>
      <c r="B2369">
        <f t="shared" ca="1" si="180"/>
        <v>-8.5500000000000007</v>
      </c>
      <c r="C2369" t="str">
        <f ca="1">IF(currency="USD",'Future et co'!D2369,IF(currency="EUR",'Future et co'!E2369,IF(currency="GBP",'Future et co'!F2369,FALSE)))</f>
        <v>RFR USD</v>
      </c>
      <c r="D2369" t="str">
        <f t="shared" ca="1" si="181"/>
        <v>RFR USD</v>
      </c>
      <c r="E2369" t="str">
        <f t="shared" ca="1" si="182"/>
        <v>RFR EUR</v>
      </c>
      <c r="F2369" t="str">
        <f t="shared" ca="1" si="183"/>
        <v>RFR GBP</v>
      </c>
      <c r="J2369" s="1"/>
      <c r="N2369" s="1"/>
      <c r="R2369" s="1"/>
      <c r="V2369" s="1"/>
      <c r="AB2369" s="1"/>
      <c r="AF2369" s="1"/>
      <c r="AJ2369" s="1"/>
      <c r="AN2369" s="1"/>
      <c r="AS2369" s="1"/>
      <c r="AX2369" s="1"/>
    </row>
    <row r="2370" spans="1:50" x14ac:dyDescent="0.3">
      <c r="A2370" s="19">
        <f t="shared" si="184"/>
        <v>49233</v>
      </c>
      <c r="B2370">
        <f t="shared" ca="1" si="180"/>
        <v>-8.5583333333333336</v>
      </c>
      <c r="C2370" t="str">
        <f ca="1">IF(currency="USD",'Future et co'!D2370,IF(currency="EUR",'Future et co'!E2370,IF(currency="GBP",'Future et co'!F2370,FALSE)))</f>
        <v>RFR USD</v>
      </c>
      <c r="D2370" t="str">
        <f t="shared" ca="1" si="181"/>
        <v>RFR USD</v>
      </c>
      <c r="E2370" t="str">
        <f t="shared" ca="1" si="182"/>
        <v>RFR EUR</v>
      </c>
      <c r="F2370" t="str">
        <f t="shared" ca="1" si="183"/>
        <v>RFR GBP</v>
      </c>
      <c r="J2370" s="1"/>
      <c r="N2370" s="1"/>
      <c r="R2370" s="1"/>
      <c r="V2370" s="1"/>
      <c r="AB2370" s="1"/>
      <c r="AF2370" s="1"/>
      <c r="AJ2370" s="1"/>
      <c r="AN2370" s="1"/>
      <c r="AS2370" s="1"/>
      <c r="AX2370" s="1"/>
    </row>
    <row r="2371" spans="1:50" x14ac:dyDescent="0.3">
      <c r="A2371" s="19">
        <f t="shared" si="184"/>
        <v>49234</v>
      </c>
      <c r="B2371">
        <f t="shared" ca="1" si="180"/>
        <v>-8.5611111111111118</v>
      </c>
      <c r="C2371" t="str">
        <f ca="1">IF(currency="USD",'Future et co'!D2371,IF(currency="EUR",'Future et co'!E2371,IF(currency="GBP",'Future et co'!F2371,FALSE)))</f>
        <v>RFR USD</v>
      </c>
      <c r="D2371" t="str">
        <f t="shared" ca="1" si="181"/>
        <v>RFR USD</v>
      </c>
      <c r="E2371" t="str">
        <f t="shared" ca="1" si="182"/>
        <v>RFR EUR</v>
      </c>
      <c r="F2371" t="str">
        <f t="shared" ca="1" si="183"/>
        <v>RFR GBP</v>
      </c>
      <c r="J2371" s="1"/>
      <c r="N2371" s="1"/>
      <c r="R2371" s="1"/>
      <c r="V2371" s="1"/>
      <c r="AB2371" s="1"/>
      <c r="AF2371" s="1"/>
      <c r="AJ2371" s="1"/>
      <c r="AN2371" s="1"/>
      <c r="AS2371" s="1"/>
      <c r="AX2371" s="1"/>
    </row>
    <row r="2372" spans="1:50" x14ac:dyDescent="0.3">
      <c r="A2372" s="19">
        <f t="shared" si="184"/>
        <v>49235</v>
      </c>
      <c r="B2372">
        <f t="shared" ca="1" si="180"/>
        <v>-8.5638888888888882</v>
      </c>
      <c r="C2372" t="str">
        <f ca="1">IF(currency="USD",'Future et co'!D2372,IF(currency="EUR",'Future et co'!E2372,IF(currency="GBP",'Future et co'!F2372,FALSE)))</f>
        <v>RFR USD</v>
      </c>
      <c r="D2372" t="str">
        <f t="shared" ca="1" si="181"/>
        <v>RFR USD</v>
      </c>
      <c r="E2372" t="str">
        <f t="shared" ca="1" si="182"/>
        <v>RFR EUR</v>
      </c>
      <c r="F2372" t="str">
        <f t="shared" ca="1" si="183"/>
        <v>RFR GBP</v>
      </c>
      <c r="J2372" s="1"/>
      <c r="N2372" s="1"/>
      <c r="R2372" s="1"/>
      <c r="V2372" s="1"/>
      <c r="AB2372" s="1"/>
      <c r="AF2372" s="1"/>
      <c r="AJ2372" s="1"/>
      <c r="AN2372" s="1"/>
      <c r="AS2372" s="1"/>
      <c r="AX2372" s="1"/>
    </row>
    <row r="2373" spans="1:50" x14ac:dyDescent="0.3">
      <c r="A2373" s="19">
        <f t="shared" si="184"/>
        <v>49236</v>
      </c>
      <c r="B2373">
        <f t="shared" ca="1" si="180"/>
        <v>-8.5666666666666664</v>
      </c>
      <c r="C2373" t="str">
        <f ca="1">IF(currency="USD",'Future et co'!D2373,IF(currency="EUR",'Future et co'!E2373,IF(currency="GBP",'Future et co'!F2373,FALSE)))</f>
        <v>RFR USD</v>
      </c>
      <c r="D2373" t="str">
        <f t="shared" ca="1" si="181"/>
        <v>RFR USD</v>
      </c>
      <c r="E2373" t="str">
        <f t="shared" ca="1" si="182"/>
        <v>RFR EUR</v>
      </c>
      <c r="F2373" t="str">
        <f t="shared" ca="1" si="183"/>
        <v>RFR GBP</v>
      </c>
      <c r="J2373" s="1"/>
      <c r="N2373" s="1"/>
      <c r="R2373" s="1"/>
      <c r="V2373" s="1"/>
      <c r="AB2373" s="1"/>
      <c r="AF2373" s="1"/>
      <c r="AJ2373" s="1"/>
      <c r="AN2373" s="1"/>
      <c r="AS2373" s="1"/>
      <c r="AX2373" s="1"/>
    </row>
    <row r="2374" spans="1:50" x14ac:dyDescent="0.3">
      <c r="A2374" s="19">
        <f t="shared" si="184"/>
        <v>49237</v>
      </c>
      <c r="B2374">
        <f t="shared" ca="1" si="180"/>
        <v>-8.5694444444444446</v>
      </c>
      <c r="C2374" t="str">
        <f ca="1">IF(currency="USD",'Future et co'!D2374,IF(currency="EUR",'Future et co'!E2374,IF(currency="GBP",'Future et co'!F2374,FALSE)))</f>
        <v>RFR USD</v>
      </c>
      <c r="D2374" t="str">
        <f t="shared" ca="1" si="181"/>
        <v>RFR USD</v>
      </c>
      <c r="E2374" t="str">
        <f t="shared" ca="1" si="182"/>
        <v>RFR EUR</v>
      </c>
      <c r="F2374" t="str">
        <f t="shared" ca="1" si="183"/>
        <v>RFR GBP</v>
      </c>
      <c r="J2374" s="1"/>
      <c r="N2374" s="1"/>
      <c r="R2374" s="1"/>
      <c r="V2374" s="1"/>
      <c r="AB2374" s="1"/>
      <c r="AF2374" s="1"/>
      <c r="AJ2374" s="1"/>
      <c r="AN2374" s="1"/>
      <c r="AS2374" s="1"/>
      <c r="AX2374" s="1"/>
    </row>
    <row r="2375" spans="1:50" x14ac:dyDescent="0.3">
      <c r="A2375" s="19">
        <f t="shared" si="184"/>
        <v>49240</v>
      </c>
      <c r="B2375">
        <f t="shared" ca="1" si="180"/>
        <v>-8.5777777777777775</v>
      </c>
      <c r="C2375" t="str">
        <f ca="1">IF(currency="USD",'Future et co'!D2375,IF(currency="EUR",'Future et co'!E2375,IF(currency="GBP",'Future et co'!F2375,FALSE)))</f>
        <v>RFR USD</v>
      </c>
      <c r="D2375" t="str">
        <f t="shared" ca="1" si="181"/>
        <v>RFR USD</v>
      </c>
      <c r="E2375" t="str">
        <f t="shared" ca="1" si="182"/>
        <v>RFR EUR</v>
      </c>
      <c r="F2375" t="str">
        <f t="shared" ca="1" si="183"/>
        <v>RFR GBP</v>
      </c>
      <c r="J2375" s="1"/>
      <c r="N2375" s="1"/>
      <c r="R2375" s="1"/>
      <c r="V2375" s="1"/>
      <c r="AB2375" s="1"/>
      <c r="AF2375" s="1"/>
      <c r="AJ2375" s="1"/>
      <c r="AN2375" s="1"/>
      <c r="AS2375" s="1"/>
      <c r="AX2375" s="1"/>
    </row>
    <row r="2376" spans="1:50" x14ac:dyDescent="0.3">
      <c r="A2376" s="19">
        <f t="shared" si="184"/>
        <v>49241</v>
      </c>
      <c r="B2376">
        <f t="shared" ca="1" si="180"/>
        <v>-8.5805555555555557</v>
      </c>
      <c r="C2376" t="str">
        <f ca="1">IF(currency="USD",'Future et co'!D2376,IF(currency="EUR",'Future et co'!E2376,IF(currency="GBP",'Future et co'!F2376,FALSE)))</f>
        <v>RFR USD</v>
      </c>
      <c r="D2376" t="str">
        <f t="shared" ca="1" si="181"/>
        <v>RFR USD</v>
      </c>
      <c r="E2376" t="str">
        <f t="shared" ca="1" si="182"/>
        <v>RFR EUR</v>
      </c>
      <c r="F2376" t="str">
        <f t="shared" ca="1" si="183"/>
        <v>RFR GBP</v>
      </c>
      <c r="J2376" s="1"/>
      <c r="N2376" s="1"/>
      <c r="R2376" s="1"/>
      <c r="V2376" s="1"/>
      <c r="AB2376" s="1"/>
      <c r="AF2376" s="1"/>
      <c r="AJ2376" s="1"/>
      <c r="AN2376" s="1"/>
      <c r="AS2376" s="1"/>
      <c r="AX2376" s="1"/>
    </row>
    <row r="2377" spans="1:50" x14ac:dyDescent="0.3">
      <c r="A2377" s="19">
        <f t="shared" si="184"/>
        <v>49242</v>
      </c>
      <c r="B2377">
        <f t="shared" ca="1" si="180"/>
        <v>-8.5833333333333339</v>
      </c>
      <c r="C2377" t="str">
        <f ca="1">IF(currency="USD",'Future et co'!D2377,IF(currency="EUR",'Future et co'!E2377,IF(currency="GBP",'Future et co'!F2377,FALSE)))</f>
        <v>RFR USD</v>
      </c>
      <c r="D2377" t="str">
        <f t="shared" ca="1" si="181"/>
        <v>RFR USD</v>
      </c>
      <c r="E2377" t="str">
        <f t="shared" ca="1" si="182"/>
        <v>RFR EUR</v>
      </c>
      <c r="F2377" t="str">
        <f t="shared" ca="1" si="183"/>
        <v>RFR GBP</v>
      </c>
      <c r="J2377" s="1"/>
      <c r="N2377" s="1"/>
      <c r="R2377" s="1"/>
      <c r="V2377" s="1"/>
      <c r="AB2377" s="1"/>
      <c r="AF2377" s="1"/>
      <c r="AJ2377" s="1"/>
      <c r="AN2377" s="1"/>
      <c r="AS2377" s="1"/>
      <c r="AX2377" s="1"/>
    </row>
    <row r="2378" spans="1:50" x14ac:dyDescent="0.3">
      <c r="A2378" s="19">
        <f t="shared" si="184"/>
        <v>49243</v>
      </c>
      <c r="B2378">
        <f t="shared" ca="1" si="180"/>
        <v>-8.5861111111111104</v>
      </c>
      <c r="C2378" t="str">
        <f ca="1">IF(currency="USD",'Future et co'!D2378,IF(currency="EUR",'Future et co'!E2378,IF(currency="GBP",'Future et co'!F2378,FALSE)))</f>
        <v>RFR USD</v>
      </c>
      <c r="D2378" t="str">
        <f t="shared" ca="1" si="181"/>
        <v>RFR USD</v>
      </c>
      <c r="E2378" t="str">
        <f t="shared" ca="1" si="182"/>
        <v>RFR EUR</v>
      </c>
      <c r="F2378" t="str">
        <f t="shared" ca="1" si="183"/>
        <v>RFR GBP</v>
      </c>
      <c r="J2378" s="1"/>
      <c r="N2378" s="1"/>
      <c r="R2378" s="1"/>
      <c r="V2378" s="1"/>
      <c r="AB2378" s="1"/>
      <c r="AF2378" s="1"/>
      <c r="AJ2378" s="1"/>
      <c r="AN2378" s="1"/>
      <c r="AS2378" s="1"/>
      <c r="AX2378" s="1"/>
    </row>
    <row r="2379" spans="1:50" x14ac:dyDescent="0.3">
      <c r="A2379" s="19">
        <f t="shared" si="184"/>
        <v>49244</v>
      </c>
      <c r="B2379">
        <f t="shared" ref="B2379:B2442" ca="1" si="185">($B$7-A2379)/360</f>
        <v>-8.5888888888888886</v>
      </c>
      <c r="C2379" t="str">
        <f ca="1">IF(currency="USD",'Future et co'!D2379,IF(currency="EUR",'Future et co'!E2379,IF(currency="GBP",'Future et co'!F2379,FALSE)))</f>
        <v>RFR USD</v>
      </c>
      <c r="D2379" t="str">
        <f t="shared" ref="D2379:D2442" ca="1" si="186">IFERROR(IF(B2379&lt;0.25,VLOOKUP(A2379,$J$11:$L$5325,3,FALSE),IF(AND(B2379&gt;=0.25,B2379&lt;0.5),VLOOKUP(A2379,$N$11:$P$5325,3,FALSE),IF(AND(B2379&gt;=0.5,B2379&lt;1),VLOOKUP(A2379,$R$11:$T$5325,3,FALSE),VLOOKUP(A2379,$V$11:$X$5010,3,FALSE)))),D2378)</f>
        <v>RFR USD</v>
      </c>
      <c r="E2379" t="str">
        <f t="shared" ref="E2379:E2442" ca="1" si="187">IFERROR(IF(B2379&lt;0.25,VLOOKUP(A2379,$AF$11:$AH$5325,3,FALSE),IF(AND(B2379&gt;=0.25,B2379&lt;0.5),VLOOKUP(A2379,$AJ$11:$AL$5325,3,FALSE),VLOOKUP(A2379,$AN$11:$AP$5325,3,FALSE))),E2378)</f>
        <v>RFR EUR</v>
      </c>
      <c r="F2379" t="str">
        <f t="shared" ref="F2379:F2442" ca="1" si="188">IFERROR(VLOOKUP(A2379,$AS$11:$AU$9999,3,FALSE),F2378)</f>
        <v>RFR GBP</v>
      </c>
      <c r="J2379" s="1"/>
      <c r="N2379" s="1"/>
      <c r="R2379" s="1"/>
      <c r="V2379" s="1"/>
      <c r="AB2379" s="1"/>
      <c r="AF2379" s="1"/>
      <c r="AJ2379" s="1"/>
      <c r="AN2379" s="1"/>
      <c r="AS2379" s="1"/>
      <c r="AX2379" s="1"/>
    </row>
    <row r="2380" spans="1:50" x14ac:dyDescent="0.3">
      <c r="A2380" s="19">
        <f t="shared" si="184"/>
        <v>49247</v>
      </c>
      <c r="B2380">
        <f t="shared" ca="1" si="185"/>
        <v>-8.5972222222222214</v>
      </c>
      <c r="C2380" t="str">
        <f ca="1">IF(currency="USD",'Future et co'!D2380,IF(currency="EUR",'Future et co'!E2380,IF(currency="GBP",'Future et co'!F2380,FALSE)))</f>
        <v>RFR USD</v>
      </c>
      <c r="D2380" t="str">
        <f t="shared" ca="1" si="186"/>
        <v>RFR USD</v>
      </c>
      <c r="E2380" t="str">
        <f t="shared" ca="1" si="187"/>
        <v>RFR EUR</v>
      </c>
      <c r="F2380" t="str">
        <f t="shared" ca="1" si="188"/>
        <v>RFR GBP</v>
      </c>
      <c r="J2380" s="1"/>
      <c r="N2380" s="1"/>
      <c r="R2380" s="1"/>
      <c r="V2380" s="1"/>
      <c r="AB2380" s="1"/>
      <c r="AF2380" s="1"/>
      <c r="AJ2380" s="1"/>
      <c r="AN2380" s="1"/>
      <c r="AS2380" s="1"/>
      <c r="AX2380" s="1"/>
    </row>
    <row r="2381" spans="1:50" x14ac:dyDescent="0.3">
      <c r="A2381" s="19">
        <f t="shared" ref="A2381:A2444" si="189">WORKDAY(A2380,1)</f>
        <v>49248</v>
      </c>
      <c r="B2381">
        <f t="shared" ca="1" si="185"/>
        <v>-8.6</v>
      </c>
      <c r="C2381" t="str">
        <f ca="1">IF(currency="USD",'Future et co'!D2381,IF(currency="EUR",'Future et co'!E2381,IF(currency="GBP",'Future et co'!F2381,FALSE)))</f>
        <v>RFR USD</v>
      </c>
      <c r="D2381" t="str">
        <f t="shared" ca="1" si="186"/>
        <v>RFR USD</v>
      </c>
      <c r="E2381" t="str">
        <f t="shared" ca="1" si="187"/>
        <v>RFR EUR</v>
      </c>
      <c r="F2381" t="str">
        <f t="shared" ca="1" si="188"/>
        <v>RFR GBP</v>
      </c>
      <c r="J2381" s="1"/>
      <c r="N2381" s="1"/>
      <c r="R2381" s="1"/>
      <c r="V2381" s="1"/>
      <c r="AB2381" s="1"/>
      <c r="AF2381" s="1"/>
      <c r="AJ2381" s="1"/>
      <c r="AN2381" s="1"/>
      <c r="AS2381" s="1"/>
      <c r="AX2381" s="1"/>
    </row>
    <row r="2382" spans="1:50" x14ac:dyDescent="0.3">
      <c r="A2382" s="19">
        <f t="shared" si="189"/>
        <v>49249</v>
      </c>
      <c r="B2382">
        <f t="shared" ca="1" si="185"/>
        <v>-8.6027777777777779</v>
      </c>
      <c r="C2382" t="str">
        <f ca="1">IF(currency="USD",'Future et co'!D2382,IF(currency="EUR",'Future et co'!E2382,IF(currency="GBP",'Future et co'!F2382,FALSE)))</f>
        <v>RFR USD</v>
      </c>
      <c r="D2382" t="str">
        <f t="shared" ca="1" si="186"/>
        <v>RFR USD</v>
      </c>
      <c r="E2382" t="str">
        <f t="shared" ca="1" si="187"/>
        <v>RFR EUR</v>
      </c>
      <c r="F2382" t="str">
        <f t="shared" ca="1" si="188"/>
        <v>RFR GBP</v>
      </c>
      <c r="J2382" s="1"/>
      <c r="N2382" s="1"/>
      <c r="R2382" s="1"/>
      <c r="V2382" s="1"/>
      <c r="AB2382" s="1"/>
      <c r="AF2382" s="1"/>
      <c r="AJ2382" s="1"/>
      <c r="AN2382" s="1"/>
      <c r="AS2382" s="1"/>
      <c r="AX2382" s="1"/>
    </row>
    <row r="2383" spans="1:50" x14ac:dyDescent="0.3">
      <c r="A2383" s="19">
        <f t="shared" si="189"/>
        <v>49250</v>
      </c>
      <c r="B2383">
        <f t="shared" ca="1" si="185"/>
        <v>-8.6055555555555561</v>
      </c>
      <c r="C2383" t="str">
        <f ca="1">IF(currency="USD",'Future et co'!D2383,IF(currency="EUR",'Future et co'!E2383,IF(currency="GBP",'Future et co'!F2383,FALSE)))</f>
        <v>RFR USD</v>
      </c>
      <c r="D2383" t="str">
        <f t="shared" ca="1" si="186"/>
        <v>RFR USD</v>
      </c>
      <c r="E2383" t="str">
        <f t="shared" ca="1" si="187"/>
        <v>RFR EUR</v>
      </c>
      <c r="F2383" t="str">
        <f t="shared" ca="1" si="188"/>
        <v>RFR GBP</v>
      </c>
      <c r="J2383" s="1"/>
      <c r="N2383" s="1"/>
      <c r="R2383" s="1"/>
      <c r="V2383" s="1"/>
      <c r="AB2383" s="1"/>
      <c r="AF2383" s="1"/>
      <c r="AJ2383" s="1"/>
      <c r="AN2383" s="1"/>
      <c r="AS2383" s="1"/>
      <c r="AX2383" s="1"/>
    </row>
    <row r="2384" spans="1:50" x14ac:dyDescent="0.3">
      <c r="A2384" s="19">
        <f t="shared" si="189"/>
        <v>49251</v>
      </c>
      <c r="B2384">
        <f t="shared" ca="1" si="185"/>
        <v>-8.6083333333333325</v>
      </c>
      <c r="C2384" t="str">
        <f ca="1">IF(currency="USD",'Future et co'!D2384,IF(currency="EUR",'Future et co'!E2384,IF(currency="GBP",'Future et co'!F2384,FALSE)))</f>
        <v>RFR USD</v>
      </c>
      <c r="D2384" t="str">
        <f t="shared" ca="1" si="186"/>
        <v>RFR USD</v>
      </c>
      <c r="E2384" t="str">
        <f t="shared" ca="1" si="187"/>
        <v>RFR EUR</v>
      </c>
      <c r="F2384" t="str">
        <f t="shared" ca="1" si="188"/>
        <v>RFR GBP</v>
      </c>
      <c r="J2384" s="1"/>
      <c r="N2384" s="1"/>
      <c r="R2384" s="1"/>
      <c r="V2384" s="1"/>
      <c r="AB2384" s="1"/>
      <c r="AF2384" s="1"/>
      <c r="AJ2384" s="1"/>
      <c r="AN2384" s="1"/>
      <c r="AS2384" s="1"/>
      <c r="AX2384" s="1"/>
    </row>
    <row r="2385" spans="1:50" x14ac:dyDescent="0.3">
      <c r="A2385" s="19">
        <f t="shared" si="189"/>
        <v>49254</v>
      </c>
      <c r="B2385">
        <f t="shared" ca="1" si="185"/>
        <v>-8.6166666666666671</v>
      </c>
      <c r="C2385" t="str">
        <f ca="1">IF(currency="USD",'Future et co'!D2385,IF(currency="EUR",'Future et co'!E2385,IF(currency="GBP",'Future et co'!F2385,FALSE)))</f>
        <v>RFR USD</v>
      </c>
      <c r="D2385" t="str">
        <f t="shared" ca="1" si="186"/>
        <v>RFR USD</v>
      </c>
      <c r="E2385" t="str">
        <f t="shared" ca="1" si="187"/>
        <v>RFR EUR</v>
      </c>
      <c r="F2385" t="str">
        <f t="shared" ca="1" si="188"/>
        <v>RFR GBP</v>
      </c>
      <c r="J2385" s="1"/>
      <c r="N2385" s="1"/>
      <c r="R2385" s="1"/>
      <c r="V2385" s="1"/>
      <c r="AB2385" s="1"/>
      <c r="AF2385" s="1"/>
      <c r="AJ2385" s="1"/>
      <c r="AN2385" s="1"/>
      <c r="AS2385" s="1"/>
      <c r="AX2385" s="1"/>
    </row>
    <row r="2386" spans="1:50" x14ac:dyDescent="0.3">
      <c r="A2386" s="19">
        <f t="shared" si="189"/>
        <v>49255</v>
      </c>
      <c r="B2386">
        <f t="shared" ca="1" si="185"/>
        <v>-8.6194444444444436</v>
      </c>
      <c r="C2386" t="str">
        <f ca="1">IF(currency="USD",'Future et co'!D2386,IF(currency="EUR",'Future et co'!E2386,IF(currency="GBP",'Future et co'!F2386,FALSE)))</f>
        <v>RFR USD</v>
      </c>
      <c r="D2386" t="str">
        <f t="shared" ca="1" si="186"/>
        <v>RFR USD</v>
      </c>
      <c r="E2386" t="str">
        <f t="shared" ca="1" si="187"/>
        <v>RFR EUR</v>
      </c>
      <c r="F2386" t="str">
        <f t="shared" ca="1" si="188"/>
        <v>RFR GBP</v>
      </c>
      <c r="J2386" s="1"/>
      <c r="N2386" s="1"/>
      <c r="R2386" s="1"/>
      <c r="V2386" s="1"/>
      <c r="AB2386" s="1"/>
      <c r="AF2386" s="1"/>
      <c r="AJ2386" s="1"/>
      <c r="AN2386" s="1"/>
      <c r="AS2386" s="1"/>
      <c r="AX2386" s="1"/>
    </row>
    <row r="2387" spans="1:50" x14ac:dyDescent="0.3">
      <c r="A2387" s="19">
        <f t="shared" si="189"/>
        <v>49256</v>
      </c>
      <c r="B2387">
        <f t="shared" ca="1" si="185"/>
        <v>-8.6222222222222218</v>
      </c>
      <c r="C2387" t="str">
        <f ca="1">IF(currency="USD",'Future et co'!D2387,IF(currency="EUR",'Future et co'!E2387,IF(currency="GBP",'Future et co'!F2387,FALSE)))</f>
        <v>RFR USD</v>
      </c>
      <c r="D2387" t="str">
        <f t="shared" ca="1" si="186"/>
        <v>RFR USD</v>
      </c>
      <c r="E2387" t="str">
        <f t="shared" ca="1" si="187"/>
        <v>RFR EUR</v>
      </c>
      <c r="F2387" t="str">
        <f t="shared" ca="1" si="188"/>
        <v>RFR GBP</v>
      </c>
      <c r="J2387" s="1"/>
      <c r="N2387" s="1"/>
      <c r="R2387" s="1"/>
      <c r="V2387" s="1"/>
      <c r="AB2387" s="1"/>
      <c r="AF2387" s="1"/>
      <c r="AJ2387" s="1"/>
      <c r="AN2387" s="1"/>
      <c r="AS2387" s="1"/>
      <c r="AX2387" s="1"/>
    </row>
    <row r="2388" spans="1:50" x14ac:dyDescent="0.3">
      <c r="A2388" s="19">
        <f t="shared" si="189"/>
        <v>49257</v>
      </c>
      <c r="B2388">
        <f t="shared" ca="1" si="185"/>
        <v>-8.625</v>
      </c>
      <c r="C2388" t="str">
        <f ca="1">IF(currency="USD",'Future et co'!D2388,IF(currency="EUR",'Future et co'!E2388,IF(currency="GBP",'Future et co'!F2388,FALSE)))</f>
        <v>RFR USD</v>
      </c>
      <c r="D2388" t="str">
        <f t="shared" ca="1" si="186"/>
        <v>RFR USD</v>
      </c>
      <c r="E2388" t="str">
        <f t="shared" ca="1" si="187"/>
        <v>RFR EUR</v>
      </c>
      <c r="F2388" t="str">
        <f t="shared" ca="1" si="188"/>
        <v>RFR GBP</v>
      </c>
      <c r="J2388" s="1"/>
      <c r="N2388" s="1"/>
      <c r="R2388" s="1"/>
      <c r="V2388" s="1"/>
      <c r="AB2388" s="1"/>
      <c r="AF2388" s="1"/>
      <c r="AJ2388" s="1"/>
      <c r="AN2388" s="1"/>
      <c r="AS2388" s="1"/>
      <c r="AX2388" s="1"/>
    </row>
    <row r="2389" spans="1:50" x14ac:dyDescent="0.3">
      <c r="A2389" s="19">
        <f t="shared" si="189"/>
        <v>49258</v>
      </c>
      <c r="B2389">
        <f t="shared" ca="1" si="185"/>
        <v>-8.6277777777777782</v>
      </c>
      <c r="C2389" t="str">
        <f ca="1">IF(currency="USD",'Future et co'!D2389,IF(currency="EUR",'Future et co'!E2389,IF(currency="GBP",'Future et co'!F2389,FALSE)))</f>
        <v>RFR USD</v>
      </c>
      <c r="D2389" t="str">
        <f t="shared" ca="1" si="186"/>
        <v>RFR USD</v>
      </c>
      <c r="E2389" t="str">
        <f t="shared" ca="1" si="187"/>
        <v>RFR EUR</v>
      </c>
      <c r="F2389" t="str">
        <f t="shared" ca="1" si="188"/>
        <v>RFR GBP</v>
      </c>
      <c r="J2389" s="1"/>
      <c r="N2389" s="1"/>
      <c r="R2389" s="1"/>
      <c r="V2389" s="1"/>
      <c r="AB2389" s="1"/>
      <c r="AF2389" s="1"/>
      <c r="AJ2389" s="1"/>
      <c r="AN2389" s="1"/>
      <c r="AS2389" s="1"/>
      <c r="AX2389" s="1"/>
    </row>
    <row r="2390" spans="1:50" x14ac:dyDescent="0.3">
      <c r="A2390" s="19">
        <f t="shared" si="189"/>
        <v>49261</v>
      </c>
      <c r="B2390">
        <f t="shared" ca="1" si="185"/>
        <v>-8.6361111111111111</v>
      </c>
      <c r="C2390" t="str">
        <f ca="1">IF(currency="USD",'Future et co'!D2390,IF(currency="EUR",'Future et co'!E2390,IF(currency="GBP",'Future et co'!F2390,FALSE)))</f>
        <v>RFR USD</v>
      </c>
      <c r="D2390" t="str">
        <f t="shared" ca="1" si="186"/>
        <v>RFR USD</v>
      </c>
      <c r="E2390" t="str">
        <f t="shared" ca="1" si="187"/>
        <v>RFR EUR</v>
      </c>
      <c r="F2390" t="str">
        <f t="shared" ca="1" si="188"/>
        <v>RFR GBP</v>
      </c>
      <c r="J2390" s="1"/>
      <c r="N2390" s="1"/>
      <c r="R2390" s="1"/>
      <c r="V2390" s="1"/>
      <c r="AB2390" s="1"/>
      <c r="AF2390" s="1"/>
      <c r="AJ2390" s="1"/>
      <c r="AN2390" s="1"/>
      <c r="AS2390" s="1"/>
      <c r="AX2390" s="1"/>
    </row>
    <row r="2391" spans="1:50" x14ac:dyDescent="0.3">
      <c r="A2391" s="19">
        <f t="shared" si="189"/>
        <v>49262</v>
      </c>
      <c r="B2391">
        <f t="shared" ca="1" si="185"/>
        <v>-8.6388888888888893</v>
      </c>
      <c r="C2391" t="str">
        <f ca="1">IF(currency="USD",'Future et co'!D2391,IF(currency="EUR",'Future et co'!E2391,IF(currency="GBP",'Future et co'!F2391,FALSE)))</f>
        <v>RFR USD</v>
      </c>
      <c r="D2391" t="str">
        <f t="shared" ca="1" si="186"/>
        <v>RFR USD</v>
      </c>
      <c r="E2391" t="str">
        <f t="shared" ca="1" si="187"/>
        <v>RFR EUR</v>
      </c>
      <c r="F2391" t="str">
        <f t="shared" ca="1" si="188"/>
        <v>RFR GBP</v>
      </c>
      <c r="J2391" s="1"/>
      <c r="N2391" s="1"/>
      <c r="R2391" s="1"/>
      <c r="V2391" s="1"/>
      <c r="AB2391" s="1"/>
      <c r="AF2391" s="1"/>
      <c r="AJ2391" s="1"/>
      <c r="AN2391" s="1"/>
      <c r="AS2391" s="1"/>
      <c r="AX2391" s="1"/>
    </row>
    <row r="2392" spans="1:50" x14ac:dyDescent="0.3">
      <c r="A2392" s="19">
        <f t="shared" si="189"/>
        <v>49263</v>
      </c>
      <c r="B2392">
        <f t="shared" ca="1" si="185"/>
        <v>-8.6416666666666675</v>
      </c>
      <c r="C2392" t="str">
        <f ca="1">IF(currency="USD",'Future et co'!D2392,IF(currency="EUR",'Future et co'!E2392,IF(currency="GBP",'Future et co'!F2392,FALSE)))</f>
        <v>RFR USD</v>
      </c>
      <c r="D2392" t="str">
        <f t="shared" ca="1" si="186"/>
        <v>RFR USD</v>
      </c>
      <c r="E2392" t="str">
        <f t="shared" ca="1" si="187"/>
        <v>RFR EUR</v>
      </c>
      <c r="F2392" t="str">
        <f t="shared" ca="1" si="188"/>
        <v>RFR GBP</v>
      </c>
      <c r="J2392" s="1"/>
      <c r="N2392" s="1"/>
      <c r="R2392" s="1"/>
      <c r="V2392" s="1"/>
      <c r="AB2392" s="1"/>
      <c r="AF2392" s="1"/>
      <c r="AJ2392" s="1"/>
      <c r="AN2392" s="1"/>
      <c r="AS2392" s="1"/>
      <c r="AX2392" s="1"/>
    </row>
    <row r="2393" spans="1:50" x14ac:dyDescent="0.3">
      <c r="A2393" s="19">
        <f t="shared" si="189"/>
        <v>49264</v>
      </c>
      <c r="B2393">
        <f t="shared" ca="1" si="185"/>
        <v>-8.6444444444444439</v>
      </c>
      <c r="C2393" t="str">
        <f ca="1">IF(currency="USD",'Future et co'!D2393,IF(currency="EUR",'Future et co'!E2393,IF(currency="GBP",'Future et co'!F2393,FALSE)))</f>
        <v>RFR USD</v>
      </c>
      <c r="D2393" t="str">
        <f t="shared" ca="1" si="186"/>
        <v>RFR USD</v>
      </c>
      <c r="E2393" t="str">
        <f t="shared" ca="1" si="187"/>
        <v>RFR EUR</v>
      </c>
      <c r="F2393" t="str">
        <f t="shared" ca="1" si="188"/>
        <v>RFR GBP</v>
      </c>
      <c r="J2393" s="1"/>
      <c r="N2393" s="1"/>
      <c r="R2393" s="1"/>
      <c r="V2393" s="1"/>
      <c r="AB2393" s="1"/>
      <c r="AF2393" s="1"/>
      <c r="AJ2393" s="1"/>
      <c r="AN2393" s="1"/>
      <c r="AS2393" s="1"/>
      <c r="AX2393" s="1"/>
    </row>
    <row r="2394" spans="1:50" x14ac:dyDescent="0.3">
      <c r="A2394" s="19">
        <f t="shared" si="189"/>
        <v>49265</v>
      </c>
      <c r="B2394">
        <f t="shared" ca="1" si="185"/>
        <v>-8.6472222222222221</v>
      </c>
      <c r="C2394" t="str">
        <f ca="1">IF(currency="USD",'Future et co'!D2394,IF(currency="EUR",'Future et co'!E2394,IF(currency="GBP",'Future et co'!F2394,FALSE)))</f>
        <v>RFR USD</v>
      </c>
      <c r="D2394" t="str">
        <f t="shared" ca="1" si="186"/>
        <v>RFR USD</v>
      </c>
      <c r="E2394" t="str">
        <f t="shared" ca="1" si="187"/>
        <v>RFR EUR</v>
      </c>
      <c r="F2394" t="str">
        <f t="shared" ca="1" si="188"/>
        <v>RFR GBP</v>
      </c>
      <c r="J2394" s="1"/>
      <c r="N2394" s="1"/>
      <c r="R2394" s="1"/>
      <c r="V2394" s="1"/>
      <c r="AB2394" s="1"/>
      <c r="AF2394" s="1"/>
      <c r="AJ2394" s="1"/>
      <c r="AN2394" s="1"/>
      <c r="AS2394" s="1"/>
      <c r="AX2394" s="1"/>
    </row>
    <row r="2395" spans="1:50" x14ac:dyDescent="0.3">
      <c r="A2395" s="19">
        <f t="shared" si="189"/>
        <v>49268</v>
      </c>
      <c r="B2395">
        <f t="shared" ca="1" si="185"/>
        <v>-8.655555555555555</v>
      </c>
      <c r="C2395" t="str">
        <f ca="1">IF(currency="USD",'Future et co'!D2395,IF(currency="EUR",'Future et co'!E2395,IF(currency="GBP",'Future et co'!F2395,FALSE)))</f>
        <v>RFR USD</v>
      </c>
      <c r="D2395" t="str">
        <f t="shared" ca="1" si="186"/>
        <v>RFR USD</v>
      </c>
      <c r="E2395" t="str">
        <f t="shared" ca="1" si="187"/>
        <v>RFR EUR</v>
      </c>
      <c r="F2395" t="str">
        <f t="shared" ca="1" si="188"/>
        <v>RFR GBP</v>
      </c>
      <c r="J2395" s="1"/>
      <c r="N2395" s="1"/>
      <c r="R2395" s="1"/>
      <c r="V2395" s="1"/>
      <c r="AB2395" s="1"/>
      <c r="AF2395" s="1"/>
      <c r="AJ2395" s="1"/>
      <c r="AN2395" s="1"/>
      <c r="AS2395" s="1"/>
      <c r="AX2395" s="1"/>
    </row>
    <row r="2396" spans="1:50" x14ac:dyDescent="0.3">
      <c r="A2396" s="19">
        <f t="shared" si="189"/>
        <v>49269</v>
      </c>
      <c r="B2396">
        <f t="shared" ca="1" si="185"/>
        <v>-8.6583333333333332</v>
      </c>
      <c r="C2396" t="str">
        <f ca="1">IF(currency="USD",'Future et co'!D2396,IF(currency="EUR",'Future et co'!E2396,IF(currency="GBP",'Future et co'!F2396,FALSE)))</f>
        <v>RFR USD</v>
      </c>
      <c r="D2396" t="str">
        <f t="shared" ca="1" si="186"/>
        <v>RFR USD</v>
      </c>
      <c r="E2396" t="str">
        <f t="shared" ca="1" si="187"/>
        <v>RFR EUR</v>
      </c>
      <c r="F2396" t="str">
        <f t="shared" ca="1" si="188"/>
        <v>RFR GBP</v>
      </c>
      <c r="J2396" s="1"/>
      <c r="N2396" s="1"/>
      <c r="R2396" s="1"/>
      <c r="V2396" s="1"/>
      <c r="AB2396" s="1"/>
      <c r="AF2396" s="1"/>
      <c r="AJ2396" s="1"/>
      <c r="AN2396" s="1"/>
      <c r="AS2396" s="1"/>
      <c r="AX2396" s="1"/>
    </row>
    <row r="2397" spans="1:50" x14ac:dyDescent="0.3">
      <c r="A2397" s="19">
        <f t="shared" si="189"/>
        <v>49270</v>
      </c>
      <c r="B2397">
        <f t="shared" ca="1" si="185"/>
        <v>-8.6611111111111114</v>
      </c>
      <c r="C2397" t="str">
        <f ca="1">IF(currency="USD",'Future et co'!D2397,IF(currency="EUR",'Future et co'!E2397,IF(currency="GBP",'Future et co'!F2397,FALSE)))</f>
        <v>RFR USD</v>
      </c>
      <c r="D2397" t="str">
        <f t="shared" ca="1" si="186"/>
        <v>RFR USD</v>
      </c>
      <c r="E2397" t="str">
        <f t="shared" ca="1" si="187"/>
        <v>RFR EUR</v>
      </c>
      <c r="F2397" t="str">
        <f t="shared" ca="1" si="188"/>
        <v>RFR GBP</v>
      </c>
      <c r="J2397" s="1"/>
      <c r="N2397" s="1"/>
      <c r="R2397" s="1"/>
      <c r="V2397" s="1"/>
      <c r="AB2397" s="1"/>
      <c r="AF2397" s="1"/>
      <c r="AJ2397" s="1"/>
      <c r="AN2397" s="1"/>
      <c r="AS2397" s="1"/>
      <c r="AX2397" s="1"/>
    </row>
    <row r="2398" spans="1:50" x14ac:dyDescent="0.3">
      <c r="A2398" s="19">
        <f t="shared" si="189"/>
        <v>49271</v>
      </c>
      <c r="B2398">
        <f t="shared" ca="1" si="185"/>
        <v>-8.6638888888888896</v>
      </c>
      <c r="C2398" t="str">
        <f ca="1">IF(currency="USD",'Future et co'!D2398,IF(currency="EUR",'Future et co'!E2398,IF(currency="GBP",'Future et co'!F2398,FALSE)))</f>
        <v>RFR USD</v>
      </c>
      <c r="D2398" t="str">
        <f t="shared" ca="1" si="186"/>
        <v>RFR USD</v>
      </c>
      <c r="E2398" t="str">
        <f t="shared" ca="1" si="187"/>
        <v>RFR EUR</v>
      </c>
      <c r="F2398" t="str">
        <f t="shared" ca="1" si="188"/>
        <v>RFR GBP</v>
      </c>
      <c r="J2398" s="1"/>
      <c r="N2398" s="1"/>
      <c r="R2398" s="1"/>
      <c r="V2398" s="1"/>
      <c r="AB2398" s="1"/>
      <c r="AF2398" s="1"/>
      <c r="AJ2398" s="1"/>
      <c r="AN2398" s="1"/>
      <c r="AS2398" s="1"/>
      <c r="AX2398" s="1"/>
    </row>
    <row r="2399" spans="1:50" x14ac:dyDescent="0.3">
      <c r="A2399" s="19">
        <f t="shared" si="189"/>
        <v>49272</v>
      </c>
      <c r="B2399">
        <f t="shared" ca="1" si="185"/>
        <v>-8.6666666666666661</v>
      </c>
      <c r="C2399" t="str">
        <f ca="1">IF(currency="USD",'Future et co'!D2399,IF(currency="EUR",'Future et co'!E2399,IF(currency="GBP",'Future et co'!F2399,FALSE)))</f>
        <v>RFR USD</v>
      </c>
      <c r="D2399" t="str">
        <f t="shared" ca="1" si="186"/>
        <v>RFR USD</v>
      </c>
      <c r="E2399" t="str">
        <f t="shared" ca="1" si="187"/>
        <v>RFR EUR</v>
      </c>
      <c r="F2399" t="str">
        <f t="shared" ca="1" si="188"/>
        <v>RFR GBP</v>
      </c>
      <c r="J2399" s="1"/>
      <c r="N2399" s="1"/>
      <c r="R2399" s="1"/>
      <c r="V2399" s="1"/>
      <c r="AB2399" s="1"/>
      <c r="AF2399" s="1"/>
      <c r="AJ2399" s="1"/>
      <c r="AN2399" s="1"/>
      <c r="AS2399" s="1"/>
      <c r="AX2399" s="1"/>
    </row>
    <row r="2400" spans="1:50" x14ac:dyDescent="0.3">
      <c r="A2400" s="19">
        <f t="shared" si="189"/>
        <v>49275</v>
      </c>
      <c r="B2400">
        <f t="shared" ca="1" si="185"/>
        <v>-8.6750000000000007</v>
      </c>
      <c r="C2400" t="str">
        <f ca="1">IF(currency="USD",'Future et co'!D2400,IF(currency="EUR",'Future et co'!E2400,IF(currency="GBP",'Future et co'!F2400,FALSE)))</f>
        <v>RFR USD</v>
      </c>
      <c r="D2400" t="str">
        <f t="shared" ca="1" si="186"/>
        <v>RFR USD</v>
      </c>
      <c r="E2400" t="str">
        <f t="shared" ca="1" si="187"/>
        <v>RFR EUR</v>
      </c>
      <c r="F2400" t="str">
        <f t="shared" ca="1" si="188"/>
        <v>RFR GBP</v>
      </c>
      <c r="J2400" s="1"/>
      <c r="N2400" s="1"/>
      <c r="R2400" s="1"/>
      <c r="V2400" s="1"/>
      <c r="AB2400" s="1"/>
      <c r="AF2400" s="1"/>
      <c r="AJ2400" s="1"/>
      <c r="AN2400" s="1"/>
      <c r="AS2400" s="1"/>
      <c r="AX2400" s="1"/>
    </row>
    <row r="2401" spans="1:50" x14ac:dyDescent="0.3">
      <c r="A2401" s="19">
        <f t="shared" si="189"/>
        <v>49276</v>
      </c>
      <c r="B2401">
        <f t="shared" ca="1" si="185"/>
        <v>-8.6777777777777771</v>
      </c>
      <c r="C2401" t="str">
        <f ca="1">IF(currency="USD",'Future et co'!D2401,IF(currency="EUR",'Future et co'!E2401,IF(currency="GBP",'Future et co'!F2401,FALSE)))</f>
        <v>RFR USD</v>
      </c>
      <c r="D2401" t="str">
        <f t="shared" ca="1" si="186"/>
        <v>RFR USD</v>
      </c>
      <c r="E2401" t="str">
        <f t="shared" ca="1" si="187"/>
        <v>RFR EUR</v>
      </c>
      <c r="F2401" t="str">
        <f t="shared" ca="1" si="188"/>
        <v>RFR GBP</v>
      </c>
      <c r="J2401" s="1"/>
      <c r="N2401" s="1"/>
      <c r="R2401" s="1"/>
      <c r="V2401" s="1"/>
      <c r="AB2401" s="1"/>
      <c r="AF2401" s="1"/>
      <c r="AJ2401" s="1"/>
      <c r="AN2401" s="1"/>
      <c r="AS2401" s="1"/>
      <c r="AX2401" s="1"/>
    </row>
    <row r="2402" spans="1:50" x14ac:dyDescent="0.3">
      <c r="A2402" s="19">
        <f t="shared" si="189"/>
        <v>49277</v>
      </c>
      <c r="B2402">
        <f t="shared" ca="1" si="185"/>
        <v>-8.6805555555555554</v>
      </c>
      <c r="C2402" t="str">
        <f ca="1">IF(currency="USD",'Future et co'!D2402,IF(currency="EUR",'Future et co'!E2402,IF(currency="GBP",'Future et co'!F2402,FALSE)))</f>
        <v>RFR USD</v>
      </c>
      <c r="D2402" t="str">
        <f t="shared" ca="1" si="186"/>
        <v>RFR USD</v>
      </c>
      <c r="E2402" t="str">
        <f t="shared" ca="1" si="187"/>
        <v>RFR EUR</v>
      </c>
      <c r="F2402" t="str">
        <f t="shared" ca="1" si="188"/>
        <v>RFR GBP</v>
      </c>
      <c r="J2402" s="1"/>
      <c r="N2402" s="1"/>
      <c r="R2402" s="1"/>
      <c r="V2402" s="1"/>
      <c r="AB2402" s="1"/>
      <c r="AF2402" s="1"/>
      <c r="AJ2402" s="1"/>
      <c r="AN2402" s="1"/>
      <c r="AS2402" s="1"/>
      <c r="AX2402" s="1"/>
    </row>
    <row r="2403" spans="1:50" x14ac:dyDescent="0.3">
      <c r="A2403" s="19">
        <f t="shared" si="189"/>
        <v>49278</v>
      </c>
      <c r="B2403">
        <f t="shared" ca="1" si="185"/>
        <v>-8.6833333333333336</v>
      </c>
      <c r="C2403" t="str">
        <f ca="1">IF(currency="USD",'Future et co'!D2403,IF(currency="EUR",'Future et co'!E2403,IF(currency="GBP",'Future et co'!F2403,FALSE)))</f>
        <v>RFR USD</v>
      </c>
      <c r="D2403" t="str">
        <f t="shared" ca="1" si="186"/>
        <v>RFR USD</v>
      </c>
      <c r="E2403" t="str">
        <f t="shared" ca="1" si="187"/>
        <v>RFR EUR</v>
      </c>
      <c r="F2403" t="str">
        <f t="shared" ca="1" si="188"/>
        <v>RFR GBP</v>
      </c>
      <c r="J2403" s="1"/>
      <c r="N2403" s="1"/>
      <c r="R2403" s="1"/>
      <c r="V2403" s="1"/>
      <c r="AB2403" s="1"/>
      <c r="AF2403" s="1"/>
      <c r="AJ2403" s="1"/>
      <c r="AN2403" s="1"/>
      <c r="AS2403" s="1"/>
      <c r="AX2403" s="1"/>
    </row>
    <row r="2404" spans="1:50" x14ac:dyDescent="0.3">
      <c r="A2404" s="19">
        <f t="shared" si="189"/>
        <v>49279</v>
      </c>
      <c r="B2404">
        <f t="shared" ca="1" si="185"/>
        <v>-8.6861111111111118</v>
      </c>
      <c r="C2404" t="str">
        <f ca="1">IF(currency="USD",'Future et co'!D2404,IF(currency="EUR",'Future et co'!E2404,IF(currency="GBP",'Future et co'!F2404,FALSE)))</f>
        <v>RFR USD</v>
      </c>
      <c r="D2404" t="str">
        <f t="shared" ca="1" si="186"/>
        <v>RFR USD</v>
      </c>
      <c r="E2404" t="str">
        <f t="shared" ca="1" si="187"/>
        <v>RFR EUR</v>
      </c>
      <c r="F2404" t="str">
        <f t="shared" ca="1" si="188"/>
        <v>RFR GBP</v>
      </c>
      <c r="J2404" s="1"/>
      <c r="N2404" s="1"/>
      <c r="R2404" s="1"/>
      <c r="V2404" s="1"/>
      <c r="AB2404" s="1"/>
      <c r="AF2404" s="1"/>
      <c r="AJ2404" s="1"/>
      <c r="AN2404" s="1"/>
      <c r="AS2404" s="1"/>
      <c r="AX2404" s="1"/>
    </row>
    <row r="2405" spans="1:50" x14ac:dyDescent="0.3">
      <c r="A2405" s="19">
        <f t="shared" si="189"/>
        <v>49282</v>
      </c>
      <c r="B2405">
        <f t="shared" ca="1" si="185"/>
        <v>-8.6944444444444446</v>
      </c>
      <c r="C2405" t="str">
        <f ca="1">IF(currency="USD",'Future et co'!D2405,IF(currency="EUR",'Future et co'!E2405,IF(currency="GBP",'Future et co'!F2405,FALSE)))</f>
        <v>RFR USD</v>
      </c>
      <c r="D2405" t="str">
        <f t="shared" ca="1" si="186"/>
        <v>RFR USD</v>
      </c>
      <c r="E2405" t="str">
        <f t="shared" ca="1" si="187"/>
        <v>RFR EUR</v>
      </c>
      <c r="F2405" t="str">
        <f t="shared" ca="1" si="188"/>
        <v>RFR GBP</v>
      </c>
      <c r="J2405" s="1"/>
      <c r="N2405" s="1"/>
      <c r="R2405" s="1"/>
      <c r="V2405" s="1"/>
      <c r="AB2405" s="1"/>
      <c r="AF2405" s="1"/>
      <c r="AJ2405" s="1"/>
      <c r="AN2405" s="1"/>
      <c r="AS2405" s="1"/>
      <c r="AX2405" s="1"/>
    </row>
    <row r="2406" spans="1:50" x14ac:dyDescent="0.3">
      <c r="A2406" s="19">
        <f t="shared" si="189"/>
        <v>49283</v>
      </c>
      <c r="B2406">
        <f t="shared" ca="1" si="185"/>
        <v>-8.6972222222222229</v>
      </c>
      <c r="C2406" t="str">
        <f ca="1">IF(currency="USD",'Future et co'!D2406,IF(currency="EUR",'Future et co'!E2406,IF(currency="GBP",'Future et co'!F2406,FALSE)))</f>
        <v>RFR USD</v>
      </c>
      <c r="D2406" t="str">
        <f t="shared" ca="1" si="186"/>
        <v>RFR USD</v>
      </c>
      <c r="E2406" t="str">
        <f t="shared" ca="1" si="187"/>
        <v>RFR EUR</v>
      </c>
      <c r="F2406" t="str">
        <f t="shared" ca="1" si="188"/>
        <v>RFR GBP</v>
      </c>
      <c r="J2406" s="1"/>
      <c r="N2406" s="1"/>
      <c r="R2406" s="1"/>
      <c r="V2406" s="1"/>
      <c r="AB2406" s="1"/>
      <c r="AF2406" s="1"/>
      <c r="AJ2406" s="1"/>
      <c r="AN2406" s="1"/>
      <c r="AS2406" s="1"/>
      <c r="AX2406" s="1"/>
    </row>
    <row r="2407" spans="1:50" x14ac:dyDescent="0.3">
      <c r="A2407" s="19">
        <f t="shared" si="189"/>
        <v>49284</v>
      </c>
      <c r="B2407">
        <f t="shared" ca="1" si="185"/>
        <v>-8.6999999999999993</v>
      </c>
      <c r="C2407" t="str">
        <f ca="1">IF(currency="USD",'Future et co'!D2407,IF(currency="EUR",'Future et co'!E2407,IF(currency="GBP",'Future et co'!F2407,FALSE)))</f>
        <v>RFR USD</v>
      </c>
      <c r="D2407" t="str">
        <f t="shared" ca="1" si="186"/>
        <v>RFR USD</v>
      </c>
      <c r="E2407" t="str">
        <f t="shared" ca="1" si="187"/>
        <v>RFR EUR</v>
      </c>
      <c r="F2407" t="str">
        <f t="shared" ca="1" si="188"/>
        <v>RFR GBP</v>
      </c>
      <c r="J2407" s="1"/>
      <c r="N2407" s="1"/>
      <c r="R2407" s="1"/>
      <c r="V2407" s="1"/>
      <c r="AB2407" s="1"/>
      <c r="AF2407" s="1"/>
      <c r="AJ2407" s="1"/>
      <c r="AN2407" s="1"/>
      <c r="AS2407" s="1"/>
      <c r="AX2407" s="1"/>
    </row>
    <row r="2408" spans="1:50" x14ac:dyDescent="0.3">
      <c r="A2408" s="19">
        <f t="shared" si="189"/>
        <v>49285</v>
      </c>
      <c r="B2408">
        <f t="shared" ca="1" si="185"/>
        <v>-8.7027777777777775</v>
      </c>
      <c r="C2408" t="str">
        <f ca="1">IF(currency="USD",'Future et co'!D2408,IF(currency="EUR",'Future et co'!E2408,IF(currency="GBP",'Future et co'!F2408,FALSE)))</f>
        <v>RFR USD</v>
      </c>
      <c r="D2408" t="str">
        <f t="shared" ca="1" si="186"/>
        <v>RFR USD</v>
      </c>
      <c r="E2408" t="str">
        <f t="shared" ca="1" si="187"/>
        <v>RFR EUR</v>
      </c>
      <c r="F2408" t="str">
        <f t="shared" ca="1" si="188"/>
        <v>RFR GBP</v>
      </c>
      <c r="J2408" s="1"/>
      <c r="N2408" s="1"/>
      <c r="R2408" s="1"/>
      <c r="V2408" s="1"/>
      <c r="AB2408" s="1"/>
      <c r="AF2408" s="1"/>
      <c r="AJ2408" s="1"/>
      <c r="AN2408" s="1"/>
      <c r="AS2408" s="1"/>
      <c r="AX2408" s="1"/>
    </row>
    <row r="2409" spans="1:50" x14ac:dyDescent="0.3">
      <c r="A2409" s="19">
        <f t="shared" si="189"/>
        <v>49286</v>
      </c>
      <c r="B2409">
        <f t="shared" ca="1" si="185"/>
        <v>-8.7055555555555557</v>
      </c>
      <c r="C2409" t="str">
        <f ca="1">IF(currency="USD",'Future et co'!D2409,IF(currency="EUR",'Future et co'!E2409,IF(currency="GBP",'Future et co'!F2409,FALSE)))</f>
        <v>RFR USD</v>
      </c>
      <c r="D2409" t="str">
        <f t="shared" ca="1" si="186"/>
        <v>RFR USD</v>
      </c>
      <c r="E2409" t="str">
        <f t="shared" ca="1" si="187"/>
        <v>RFR EUR</v>
      </c>
      <c r="F2409" t="str">
        <f t="shared" ca="1" si="188"/>
        <v>RFR GBP</v>
      </c>
      <c r="J2409" s="1"/>
      <c r="N2409" s="1"/>
      <c r="R2409" s="1"/>
      <c r="V2409" s="1"/>
      <c r="AB2409" s="1"/>
      <c r="AF2409" s="1"/>
      <c r="AJ2409" s="1"/>
      <c r="AN2409" s="1"/>
      <c r="AS2409" s="1"/>
      <c r="AX2409" s="1"/>
    </row>
    <row r="2410" spans="1:50" x14ac:dyDescent="0.3">
      <c r="A2410" s="19">
        <f t="shared" si="189"/>
        <v>49289</v>
      </c>
      <c r="B2410">
        <f t="shared" ca="1" si="185"/>
        <v>-8.7138888888888886</v>
      </c>
      <c r="C2410" t="str">
        <f ca="1">IF(currency="USD",'Future et co'!D2410,IF(currency="EUR",'Future et co'!E2410,IF(currency="GBP",'Future et co'!F2410,FALSE)))</f>
        <v>RFR USD</v>
      </c>
      <c r="D2410" t="str">
        <f t="shared" ca="1" si="186"/>
        <v>RFR USD</v>
      </c>
      <c r="E2410" t="str">
        <f t="shared" ca="1" si="187"/>
        <v>RFR EUR</v>
      </c>
      <c r="F2410" t="str">
        <f t="shared" ca="1" si="188"/>
        <v>RFR GBP</v>
      </c>
      <c r="J2410" s="1"/>
      <c r="N2410" s="1"/>
      <c r="R2410" s="1"/>
      <c r="V2410" s="1"/>
      <c r="AB2410" s="1"/>
      <c r="AF2410" s="1"/>
      <c r="AJ2410" s="1"/>
      <c r="AN2410" s="1"/>
      <c r="AS2410" s="1"/>
      <c r="AX2410" s="1"/>
    </row>
    <row r="2411" spans="1:50" x14ac:dyDescent="0.3">
      <c r="A2411" s="19">
        <f t="shared" si="189"/>
        <v>49290</v>
      </c>
      <c r="B2411">
        <f t="shared" ca="1" si="185"/>
        <v>-8.7166666666666668</v>
      </c>
      <c r="C2411" t="str">
        <f ca="1">IF(currency="USD",'Future et co'!D2411,IF(currency="EUR",'Future et co'!E2411,IF(currency="GBP",'Future et co'!F2411,FALSE)))</f>
        <v>RFR USD</v>
      </c>
      <c r="D2411" t="str">
        <f t="shared" ca="1" si="186"/>
        <v>RFR USD</v>
      </c>
      <c r="E2411" t="str">
        <f t="shared" ca="1" si="187"/>
        <v>RFR EUR</v>
      </c>
      <c r="F2411" t="str">
        <f t="shared" ca="1" si="188"/>
        <v>RFR GBP</v>
      </c>
      <c r="J2411" s="1"/>
      <c r="N2411" s="1"/>
      <c r="R2411" s="1"/>
      <c r="V2411" s="1"/>
      <c r="AB2411" s="1"/>
      <c r="AF2411" s="1"/>
      <c r="AJ2411" s="1"/>
      <c r="AN2411" s="1"/>
      <c r="AS2411" s="1"/>
      <c r="AX2411" s="1"/>
    </row>
    <row r="2412" spans="1:50" x14ac:dyDescent="0.3">
      <c r="A2412" s="19">
        <f t="shared" si="189"/>
        <v>49291</v>
      </c>
      <c r="B2412">
        <f t="shared" ca="1" si="185"/>
        <v>-8.719444444444445</v>
      </c>
      <c r="C2412" t="str">
        <f ca="1">IF(currency="USD",'Future et co'!D2412,IF(currency="EUR",'Future et co'!E2412,IF(currency="GBP",'Future et co'!F2412,FALSE)))</f>
        <v>RFR USD</v>
      </c>
      <c r="D2412" t="str">
        <f t="shared" ca="1" si="186"/>
        <v>RFR USD</v>
      </c>
      <c r="E2412" t="str">
        <f t="shared" ca="1" si="187"/>
        <v>RFR EUR</v>
      </c>
      <c r="F2412" t="str">
        <f t="shared" ca="1" si="188"/>
        <v>RFR GBP</v>
      </c>
      <c r="J2412" s="1"/>
      <c r="N2412" s="1"/>
      <c r="R2412" s="1"/>
      <c r="V2412" s="1"/>
      <c r="AB2412" s="1"/>
      <c r="AF2412" s="1"/>
      <c r="AJ2412" s="1"/>
      <c r="AN2412" s="1"/>
      <c r="AS2412" s="1"/>
      <c r="AX2412" s="1"/>
    </row>
    <row r="2413" spans="1:50" x14ac:dyDescent="0.3">
      <c r="A2413" s="19">
        <f t="shared" si="189"/>
        <v>49292</v>
      </c>
      <c r="B2413">
        <f t="shared" ca="1" si="185"/>
        <v>-8.7222222222222214</v>
      </c>
      <c r="C2413" t="str">
        <f ca="1">IF(currency="USD",'Future et co'!D2413,IF(currency="EUR",'Future et co'!E2413,IF(currency="GBP",'Future et co'!F2413,FALSE)))</f>
        <v>RFR USD</v>
      </c>
      <c r="D2413" t="str">
        <f t="shared" ca="1" si="186"/>
        <v>RFR USD</v>
      </c>
      <c r="E2413" t="str">
        <f t="shared" ca="1" si="187"/>
        <v>RFR EUR</v>
      </c>
      <c r="F2413" t="str">
        <f t="shared" ca="1" si="188"/>
        <v>RFR GBP</v>
      </c>
      <c r="J2413" s="1"/>
      <c r="N2413" s="1"/>
      <c r="R2413" s="1"/>
      <c r="V2413" s="1"/>
      <c r="AB2413" s="1"/>
      <c r="AF2413" s="1"/>
      <c r="AJ2413" s="1"/>
      <c r="AN2413" s="1"/>
      <c r="AS2413" s="1"/>
      <c r="AX2413" s="1"/>
    </row>
    <row r="2414" spans="1:50" x14ac:dyDescent="0.3">
      <c r="A2414" s="19">
        <f t="shared" si="189"/>
        <v>49293</v>
      </c>
      <c r="B2414">
        <f t="shared" ca="1" si="185"/>
        <v>-8.7249999999999996</v>
      </c>
      <c r="C2414" t="str">
        <f ca="1">IF(currency="USD",'Future et co'!D2414,IF(currency="EUR",'Future et co'!E2414,IF(currency="GBP",'Future et co'!F2414,FALSE)))</f>
        <v>RFR USD</v>
      </c>
      <c r="D2414" t="str">
        <f t="shared" ca="1" si="186"/>
        <v>RFR USD</v>
      </c>
      <c r="E2414" t="str">
        <f t="shared" ca="1" si="187"/>
        <v>RFR EUR</v>
      </c>
      <c r="F2414" t="str">
        <f t="shared" ca="1" si="188"/>
        <v>RFR GBP</v>
      </c>
      <c r="J2414" s="1"/>
      <c r="N2414" s="1"/>
      <c r="R2414" s="1"/>
      <c r="V2414" s="1"/>
      <c r="AB2414" s="1"/>
      <c r="AF2414" s="1"/>
      <c r="AJ2414" s="1"/>
      <c r="AN2414" s="1"/>
      <c r="AS2414" s="1"/>
      <c r="AX2414" s="1"/>
    </row>
    <row r="2415" spans="1:50" x14ac:dyDescent="0.3">
      <c r="A2415" s="19">
        <f t="shared" si="189"/>
        <v>49296</v>
      </c>
      <c r="B2415">
        <f t="shared" ca="1" si="185"/>
        <v>-8.7333333333333325</v>
      </c>
      <c r="C2415" t="str">
        <f ca="1">IF(currency="USD",'Future et co'!D2415,IF(currency="EUR",'Future et co'!E2415,IF(currency="GBP",'Future et co'!F2415,FALSE)))</f>
        <v>RFR USD</v>
      </c>
      <c r="D2415" t="str">
        <f t="shared" ca="1" si="186"/>
        <v>RFR USD</v>
      </c>
      <c r="E2415" t="str">
        <f t="shared" ca="1" si="187"/>
        <v>RFR EUR</v>
      </c>
      <c r="F2415" t="str">
        <f t="shared" ca="1" si="188"/>
        <v>RFR GBP</v>
      </c>
      <c r="J2415" s="1"/>
      <c r="N2415" s="1"/>
      <c r="R2415" s="1"/>
      <c r="V2415" s="1"/>
      <c r="AB2415" s="1"/>
      <c r="AF2415" s="1"/>
      <c r="AJ2415" s="1"/>
      <c r="AN2415" s="1"/>
      <c r="AS2415" s="1"/>
      <c r="AX2415" s="1"/>
    </row>
    <row r="2416" spans="1:50" x14ac:dyDescent="0.3">
      <c r="A2416" s="19">
        <f t="shared" si="189"/>
        <v>49297</v>
      </c>
      <c r="B2416">
        <f t="shared" ca="1" si="185"/>
        <v>-8.7361111111111107</v>
      </c>
      <c r="C2416" t="str">
        <f ca="1">IF(currency="USD",'Future et co'!D2416,IF(currency="EUR",'Future et co'!E2416,IF(currency="GBP",'Future et co'!F2416,FALSE)))</f>
        <v>RFR USD</v>
      </c>
      <c r="D2416" t="str">
        <f t="shared" ca="1" si="186"/>
        <v>RFR USD</v>
      </c>
      <c r="E2416" t="str">
        <f t="shared" ca="1" si="187"/>
        <v>RFR EUR</v>
      </c>
      <c r="F2416" t="str">
        <f t="shared" ca="1" si="188"/>
        <v>RFR GBP</v>
      </c>
      <c r="J2416" s="1"/>
      <c r="N2416" s="1"/>
      <c r="R2416" s="1"/>
      <c r="V2416" s="1"/>
      <c r="AB2416" s="1"/>
      <c r="AF2416" s="1"/>
      <c r="AJ2416" s="1"/>
      <c r="AN2416" s="1"/>
      <c r="AS2416" s="1"/>
      <c r="AX2416" s="1"/>
    </row>
    <row r="2417" spans="1:50" x14ac:dyDescent="0.3">
      <c r="A2417" s="19">
        <f t="shared" si="189"/>
        <v>49298</v>
      </c>
      <c r="B2417">
        <f t="shared" ca="1" si="185"/>
        <v>-8.7388888888888889</v>
      </c>
      <c r="C2417" t="str">
        <f ca="1">IF(currency="USD",'Future et co'!D2417,IF(currency="EUR",'Future et co'!E2417,IF(currency="GBP",'Future et co'!F2417,FALSE)))</f>
        <v>RFR USD</v>
      </c>
      <c r="D2417" t="str">
        <f t="shared" ca="1" si="186"/>
        <v>RFR USD</v>
      </c>
      <c r="E2417" t="str">
        <f t="shared" ca="1" si="187"/>
        <v>RFR EUR</v>
      </c>
      <c r="F2417" t="str">
        <f t="shared" ca="1" si="188"/>
        <v>RFR GBP</v>
      </c>
      <c r="J2417" s="1"/>
      <c r="N2417" s="1"/>
      <c r="R2417" s="1"/>
      <c r="V2417" s="1"/>
      <c r="AB2417" s="1"/>
      <c r="AF2417" s="1"/>
      <c r="AJ2417" s="1"/>
      <c r="AN2417" s="1"/>
      <c r="AS2417" s="1"/>
      <c r="AX2417" s="1"/>
    </row>
    <row r="2418" spans="1:50" x14ac:dyDescent="0.3">
      <c r="A2418" s="19">
        <f t="shared" si="189"/>
        <v>49299</v>
      </c>
      <c r="B2418">
        <f t="shared" ca="1" si="185"/>
        <v>-8.7416666666666671</v>
      </c>
      <c r="C2418" t="str">
        <f ca="1">IF(currency="USD",'Future et co'!D2418,IF(currency="EUR",'Future et co'!E2418,IF(currency="GBP",'Future et co'!F2418,FALSE)))</f>
        <v>RFR USD</v>
      </c>
      <c r="D2418" t="str">
        <f t="shared" ca="1" si="186"/>
        <v>RFR USD</v>
      </c>
      <c r="E2418" t="str">
        <f t="shared" ca="1" si="187"/>
        <v>RFR EUR</v>
      </c>
      <c r="F2418" t="str">
        <f t="shared" ca="1" si="188"/>
        <v>RFR GBP</v>
      </c>
      <c r="J2418" s="1"/>
      <c r="N2418" s="1"/>
      <c r="R2418" s="1"/>
      <c r="V2418" s="1"/>
      <c r="AB2418" s="1"/>
      <c r="AF2418" s="1"/>
      <c r="AJ2418" s="1"/>
      <c r="AN2418" s="1"/>
      <c r="AS2418" s="1"/>
      <c r="AX2418" s="1"/>
    </row>
    <row r="2419" spans="1:50" x14ac:dyDescent="0.3">
      <c r="A2419" s="19">
        <f t="shared" si="189"/>
        <v>49300</v>
      </c>
      <c r="B2419">
        <f t="shared" ca="1" si="185"/>
        <v>-8.7444444444444436</v>
      </c>
      <c r="C2419" t="str">
        <f ca="1">IF(currency="USD",'Future et co'!D2419,IF(currency="EUR",'Future et co'!E2419,IF(currency="GBP",'Future et co'!F2419,FALSE)))</f>
        <v>RFR USD</v>
      </c>
      <c r="D2419" t="str">
        <f t="shared" ca="1" si="186"/>
        <v>RFR USD</v>
      </c>
      <c r="E2419" t="str">
        <f t="shared" ca="1" si="187"/>
        <v>RFR EUR</v>
      </c>
      <c r="F2419" t="str">
        <f t="shared" ca="1" si="188"/>
        <v>RFR GBP</v>
      </c>
      <c r="J2419" s="1"/>
      <c r="N2419" s="1"/>
      <c r="R2419" s="1"/>
      <c r="V2419" s="1"/>
      <c r="AB2419" s="1"/>
      <c r="AF2419" s="1"/>
      <c r="AJ2419" s="1"/>
      <c r="AN2419" s="1"/>
      <c r="AS2419" s="1"/>
      <c r="AX2419" s="1"/>
    </row>
    <row r="2420" spans="1:50" x14ac:dyDescent="0.3">
      <c r="A2420" s="19">
        <f t="shared" si="189"/>
        <v>49303</v>
      </c>
      <c r="B2420">
        <f t="shared" ca="1" si="185"/>
        <v>-8.7527777777777782</v>
      </c>
      <c r="C2420" t="str">
        <f ca="1">IF(currency="USD",'Future et co'!D2420,IF(currency="EUR",'Future et co'!E2420,IF(currency="GBP",'Future et co'!F2420,FALSE)))</f>
        <v>RFR USD</v>
      </c>
      <c r="D2420" t="str">
        <f t="shared" ca="1" si="186"/>
        <v>RFR USD</v>
      </c>
      <c r="E2420" t="str">
        <f t="shared" ca="1" si="187"/>
        <v>RFR EUR</v>
      </c>
      <c r="F2420" t="str">
        <f t="shared" ca="1" si="188"/>
        <v>RFR GBP</v>
      </c>
      <c r="J2420" s="1"/>
      <c r="N2420" s="1"/>
      <c r="R2420" s="1"/>
      <c r="V2420" s="1"/>
      <c r="AB2420" s="1"/>
      <c r="AF2420" s="1"/>
      <c r="AJ2420" s="1"/>
      <c r="AN2420" s="1"/>
      <c r="AS2420" s="1"/>
      <c r="AX2420" s="1"/>
    </row>
    <row r="2421" spans="1:50" x14ac:dyDescent="0.3">
      <c r="A2421" s="19">
        <f t="shared" si="189"/>
        <v>49304</v>
      </c>
      <c r="B2421">
        <f t="shared" ca="1" si="185"/>
        <v>-8.7555555555555564</v>
      </c>
      <c r="C2421" t="str">
        <f ca="1">IF(currency="USD",'Future et co'!D2421,IF(currency="EUR",'Future et co'!E2421,IF(currency="GBP",'Future et co'!F2421,FALSE)))</f>
        <v>RFR USD</v>
      </c>
      <c r="D2421" t="str">
        <f t="shared" ca="1" si="186"/>
        <v>RFR USD</v>
      </c>
      <c r="E2421" t="str">
        <f t="shared" ca="1" si="187"/>
        <v>RFR EUR</v>
      </c>
      <c r="F2421" t="str">
        <f t="shared" ca="1" si="188"/>
        <v>RFR GBP</v>
      </c>
      <c r="J2421" s="1"/>
      <c r="N2421" s="1"/>
      <c r="R2421" s="1"/>
      <c r="V2421" s="1"/>
      <c r="AB2421" s="1"/>
      <c r="AF2421" s="1"/>
      <c r="AJ2421" s="1"/>
      <c r="AN2421" s="1"/>
      <c r="AS2421" s="1"/>
      <c r="AX2421" s="1"/>
    </row>
    <row r="2422" spans="1:50" x14ac:dyDescent="0.3">
      <c r="A2422" s="19">
        <f t="shared" si="189"/>
        <v>49305</v>
      </c>
      <c r="B2422">
        <f t="shared" ca="1" si="185"/>
        <v>-8.7583333333333329</v>
      </c>
      <c r="C2422" t="str">
        <f ca="1">IF(currency="USD",'Future et co'!D2422,IF(currency="EUR",'Future et co'!E2422,IF(currency="GBP",'Future et co'!F2422,FALSE)))</f>
        <v>RFR USD</v>
      </c>
      <c r="D2422" t="str">
        <f t="shared" ca="1" si="186"/>
        <v>RFR USD</v>
      </c>
      <c r="E2422" t="str">
        <f t="shared" ca="1" si="187"/>
        <v>RFR EUR</v>
      </c>
      <c r="F2422" t="str">
        <f t="shared" ca="1" si="188"/>
        <v>RFR GBP</v>
      </c>
      <c r="J2422" s="1"/>
      <c r="N2422" s="1"/>
      <c r="R2422" s="1"/>
      <c r="V2422" s="1"/>
      <c r="AB2422" s="1"/>
      <c r="AF2422" s="1"/>
      <c r="AJ2422" s="1"/>
      <c r="AN2422" s="1"/>
      <c r="AS2422" s="1"/>
      <c r="AX2422" s="1"/>
    </row>
    <row r="2423" spans="1:50" x14ac:dyDescent="0.3">
      <c r="A2423" s="19">
        <f t="shared" si="189"/>
        <v>49306</v>
      </c>
      <c r="B2423">
        <f t="shared" ca="1" si="185"/>
        <v>-8.7611111111111111</v>
      </c>
      <c r="C2423" t="str">
        <f ca="1">IF(currency="USD",'Future et co'!D2423,IF(currency="EUR",'Future et co'!E2423,IF(currency="GBP",'Future et co'!F2423,FALSE)))</f>
        <v>RFR USD</v>
      </c>
      <c r="D2423" t="str">
        <f t="shared" ca="1" si="186"/>
        <v>RFR USD</v>
      </c>
      <c r="E2423" t="str">
        <f t="shared" ca="1" si="187"/>
        <v>RFR EUR</v>
      </c>
      <c r="F2423" t="str">
        <f t="shared" ca="1" si="188"/>
        <v>RFR GBP</v>
      </c>
      <c r="J2423" s="1"/>
      <c r="N2423" s="1"/>
      <c r="R2423" s="1"/>
      <c r="V2423" s="1"/>
      <c r="AB2423" s="1"/>
      <c r="AF2423" s="1"/>
      <c r="AJ2423" s="1"/>
      <c r="AN2423" s="1"/>
      <c r="AS2423" s="1"/>
      <c r="AX2423" s="1"/>
    </row>
    <row r="2424" spans="1:50" x14ac:dyDescent="0.3">
      <c r="A2424" s="19">
        <f t="shared" si="189"/>
        <v>49307</v>
      </c>
      <c r="B2424">
        <f t="shared" ca="1" si="185"/>
        <v>-8.7638888888888893</v>
      </c>
      <c r="C2424" t="str">
        <f ca="1">IF(currency="USD",'Future et co'!D2424,IF(currency="EUR",'Future et co'!E2424,IF(currency="GBP",'Future et co'!F2424,FALSE)))</f>
        <v>RFR USD</v>
      </c>
      <c r="D2424" t="str">
        <f t="shared" ca="1" si="186"/>
        <v>RFR USD</v>
      </c>
      <c r="E2424" t="str">
        <f t="shared" ca="1" si="187"/>
        <v>RFR EUR</v>
      </c>
      <c r="F2424" t="str">
        <f t="shared" ca="1" si="188"/>
        <v>RFR GBP</v>
      </c>
      <c r="J2424" s="1"/>
      <c r="N2424" s="1"/>
      <c r="R2424" s="1"/>
      <c r="V2424" s="1"/>
      <c r="AB2424" s="1"/>
      <c r="AF2424" s="1"/>
      <c r="AJ2424" s="1"/>
      <c r="AN2424" s="1"/>
      <c r="AS2424" s="1"/>
      <c r="AX2424" s="1"/>
    </row>
    <row r="2425" spans="1:50" x14ac:dyDescent="0.3">
      <c r="A2425" s="19">
        <f t="shared" si="189"/>
        <v>49310</v>
      </c>
      <c r="B2425">
        <f t="shared" ca="1" si="185"/>
        <v>-8.7722222222222221</v>
      </c>
      <c r="C2425" t="str">
        <f ca="1">IF(currency="USD",'Future et co'!D2425,IF(currency="EUR",'Future et co'!E2425,IF(currency="GBP",'Future et co'!F2425,FALSE)))</f>
        <v>RFR USD</v>
      </c>
      <c r="D2425" t="str">
        <f t="shared" ca="1" si="186"/>
        <v>RFR USD</v>
      </c>
      <c r="E2425" t="str">
        <f t="shared" ca="1" si="187"/>
        <v>RFR EUR</v>
      </c>
      <c r="F2425" t="str">
        <f t="shared" ca="1" si="188"/>
        <v>RFR GBP</v>
      </c>
      <c r="J2425" s="1"/>
      <c r="N2425" s="1"/>
      <c r="R2425" s="1"/>
      <c r="V2425" s="1"/>
      <c r="AB2425" s="1"/>
      <c r="AF2425" s="1"/>
      <c r="AJ2425" s="1"/>
      <c r="AN2425" s="1"/>
      <c r="AS2425" s="1"/>
      <c r="AX2425" s="1"/>
    </row>
    <row r="2426" spans="1:50" x14ac:dyDescent="0.3">
      <c r="A2426" s="19">
        <f t="shared" si="189"/>
        <v>49311</v>
      </c>
      <c r="B2426">
        <f t="shared" ca="1" si="185"/>
        <v>-8.7750000000000004</v>
      </c>
      <c r="C2426" t="str">
        <f ca="1">IF(currency="USD",'Future et co'!D2426,IF(currency="EUR",'Future et co'!E2426,IF(currency="GBP",'Future et co'!F2426,FALSE)))</f>
        <v>RFR USD</v>
      </c>
      <c r="D2426" t="str">
        <f t="shared" ca="1" si="186"/>
        <v>RFR USD</v>
      </c>
      <c r="E2426" t="str">
        <f t="shared" ca="1" si="187"/>
        <v>RFR EUR</v>
      </c>
      <c r="F2426" t="str">
        <f t="shared" ca="1" si="188"/>
        <v>RFR GBP</v>
      </c>
      <c r="J2426" s="1"/>
      <c r="N2426" s="1"/>
      <c r="R2426" s="1"/>
      <c r="V2426" s="1"/>
      <c r="AB2426" s="1"/>
      <c r="AF2426" s="1"/>
      <c r="AJ2426" s="1"/>
      <c r="AN2426" s="1"/>
      <c r="AS2426" s="1"/>
      <c r="AX2426" s="1"/>
    </row>
    <row r="2427" spans="1:50" x14ac:dyDescent="0.3">
      <c r="A2427" s="19">
        <f t="shared" si="189"/>
        <v>49312</v>
      </c>
      <c r="B2427">
        <f t="shared" ca="1" si="185"/>
        <v>-8.7777777777777786</v>
      </c>
      <c r="C2427" t="str">
        <f ca="1">IF(currency="USD",'Future et co'!D2427,IF(currency="EUR",'Future et co'!E2427,IF(currency="GBP",'Future et co'!F2427,FALSE)))</f>
        <v>RFR USD</v>
      </c>
      <c r="D2427" t="str">
        <f t="shared" ca="1" si="186"/>
        <v>RFR USD</v>
      </c>
      <c r="E2427" t="str">
        <f t="shared" ca="1" si="187"/>
        <v>RFR EUR</v>
      </c>
      <c r="F2427" t="str">
        <f t="shared" ca="1" si="188"/>
        <v>RFR GBP</v>
      </c>
      <c r="J2427" s="1"/>
      <c r="N2427" s="1"/>
      <c r="R2427" s="1"/>
      <c r="V2427" s="1"/>
      <c r="AB2427" s="1"/>
      <c r="AF2427" s="1"/>
      <c r="AJ2427" s="1"/>
      <c r="AN2427" s="1"/>
      <c r="AS2427" s="1"/>
      <c r="AX2427" s="1"/>
    </row>
    <row r="2428" spans="1:50" x14ac:dyDescent="0.3">
      <c r="A2428" s="19">
        <f t="shared" si="189"/>
        <v>49313</v>
      </c>
      <c r="B2428">
        <f t="shared" ca="1" si="185"/>
        <v>-8.780555555555555</v>
      </c>
      <c r="C2428" t="str">
        <f ca="1">IF(currency="USD",'Future et co'!D2428,IF(currency="EUR",'Future et co'!E2428,IF(currency="GBP",'Future et co'!F2428,FALSE)))</f>
        <v>RFR USD</v>
      </c>
      <c r="D2428" t="str">
        <f t="shared" ca="1" si="186"/>
        <v>RFR USD</v>
      </c>
      <c r="E2428" t="str">
        <f t="shared" ca="1" si="187"/>
        <v>RFR EUR</v>
      </c>
      <c r="F2428" t="str">
        <f t="shared" ca="1" si="188"/>
        <v>RFR GBP</v>
      </c>
      <c r="J2428" s="1"/>
      <c r="N2428" s="1"/>
      <c r="R2428" s="1"/>
      <c r="V2428" s="1"/>
      <c r="AB2428" s="1"/>
      <c r="AF2428" s="1"/>
      <c r="AJ2428" s="1"/>
      <c r="AN2428" s="1"/>
      <c r="AS2428" s="1"/>
      <c r="AX2428" s="1"/>
    </row>
    <row r="2429" spans="1:50" x14ac:dyDescent="0.3">
      <c r="A2429" s="19">
        <f t="shared" si="189"/>
        <v>49314</v>
      </c>
      <c r="B2429">
        <f t="shared" ca="1" si="185"/>
        <v>-8.7833333333333332</v>
      </c>
      <c r="C2429" t="str">
        <f ca="1">IF(currency="USD",'Future et co'!D2429,IF(currency="EUR",'Future et co'!E2429,IF(currency="GBP",'Future et co'!F2429,FALSE)))</f>
        <v>RFR USD</v>
      </c>
      <c r="D2429" t="str">
        <f t="shared" ca="1" si="186"/>
        <v>RFR USD</v>
      </c>
      <c r="E2429" t="str">
        <f t="shared" ca="1" si="187"/>
        <v>RFR EUR</v>
      </c>
      <c r="F2429" t="str">
        <f t="shared" ca="1" si="188"/>
        <v>RFR GBP</v>
      </c>
      <c r="J2429" s="1"/>
      <c r="N2429" s="1"/>
      <c r="R2429" s="1"/>
      <c r="V2429" s="1"/>
      <c r="AB2429" s="1"/>
      <c r="AF2429" s="1"/>
      <c r="AJ2429" s="1"/>
      <c r="AN2429" s="1"/>
      <c r="AS2429" s="1"/>
      <c r="AX2429" s="1"/>
    </row>
    <row r="2430" spans="1:50" x14ac:dyDescent="0.3">
      <c r="A2430" s="19">
        <f t="shared" si="189"/>
        <v>49317</v>
      </c>
      <c r="B2430">
        <f t="shared" ca="1" si="185"/>
        <v>-8.7916666666666661</v>
      </c>
      <c r="C2430" t="str">
        <f ca="1">IF(currency="USD",'Future et co'!D2430,IF(currency="EUR",'Future et co'!E2430,IF(currency="GBP",'Future et co'!F2430,FALSE)))</f>
        <v>RFR USD</v>
      </c>
      <c r="D2430" t="str">
        <f t="shared" ca="1" si="186"/>
        <v>RFR USD</v>
      </c>
      <c r="E2430" t="str">
        <f t="shared" ca="1" si="187"/>
        <v>RFR EUR</v>
      </c>
      <c r="F2430" t="str">
        <f t="shared" ca="1" si="188"/>
        <v>RFR GBP</v>
      </c>
      <c r="J2430" s="1"/>
      <c r="N2430" s="1"/>
      <c r="R2430" s="1"/>
      <c r="V2430" s="1"/>
      <c r="AB2430" s="1"/>
      <c r="AF2430" s="1"/>
      <c r="AJ2430" s="1"/>
      <c r="AN2430" s="1"/>
      <c r="AS2430" s="1"/>
      <c r="AX2430" s="1"/>
    </row>
    <row r="2431" spans="1:50" x14ac:dyDescent="0.3">
      <c r="A2431" s="19">
        <f t="shared" si="189"/>
        <v>49318</v>
      </c>
      <c r="B2431">
        <f t="shared" ca="1" si="185"/>
        <v>-8.7944444444444443</v>
      </c>
      <c r="C2431" t="str">
        <f ca="1">IF(currency="USD",'Future et co'!D2431,IF(currency="EUR",'Future et co'!E2431,IF(currency="GBP",'Future et co'!F2431,FALSE)))</f>
        <v>RFR USD</v>
      </c>
      <c r="D2431" t="str">
        <f t="shared" ca="1" si="186"/>
        <v>RFR USD</v>
      </c>
      <c r="E2431" t="str">
        <f t="shared" ca="1" si="187"/>
        <v>RFR EUR</v>
      </c>
      <c r="F2431" t="str">
        <f t="shared" ca="1" si="188"/>
        <v>RFR GBP</v>
      </c>
      <c r="J2431" s="1"/>
      <c r="N2431" s="1"/>
      <c r="R2431" s="1"/>
      <c r="V2431" s="1"/>
      <c r="AB2431" s="1"/>
      <c r="AF2431" s="1"/>
      <c r="AJ2431" s="1"/>
      <c r="AN2431" s="1"/>
      <c r="AS2431" s="1"/>
      <c r="AX2431" s="1"/>
    </row>
    <row r="2432" spans="1:50" x14ac:dyDescent="0.3">
      <c r="A2432" s="19">
        <f t="shared" si="189"/>
        <v>49319</v>
      </c>
      <c r="B2432">
        <f t="shared" ca="1" si="185"/>
        <v>-8.7972222222222225</v>
      </c>
      <c r="C2432" t="str">
        <f ca="1">IF(currency="USD",'Future et co'!D2432,IF(currency="EUR",'Future et co'!E2432,IF(currency="GBP",'Future et co'!F2432,FALSE)))</f>
        <v>RFR USD</v>
      </c>
      <c r="D2432" t="str">
        <f t="shared" ca="1" si="186"/>
        <v>RFR USD</v>
      </c>
      <c r="E2432" t="str">
        <f t="shared" ca="1" si="187"/>
        <v>RFR EUR</v>
      </c>
      <c r="F2432" t="str">
        <f t="shared" ca="1" si="188"/>
        <v>RFR GBP</v>
      </c>
      <c r="J2432" s="1"/>
      <c r="N2432" s="1"/>
      <c r="R2432" s="1"/>
      <c r="V2432" s="1"/>
      <c r="AB2432" s="1"/>
      <c r="AF2432" s="1"/>
      <c r="AJ2432" s="1"/>
      <c r="AN2432" s="1"/>
      <c r="AS2432" s="1"/>
      <c r="AX2432" s="1"/>
    </row>
    <row r="2433" spans="1:50" x14ac:dyDescent="0.3">
      <c r="A2433" s="19">
        <f t="shared" si="189"/>
        <v>49320</v>
      </c>
      <c r="B2433">
        <f t="shared" ca="1" si="185"/>
        <v>-8.8000000000000007</v>
      </c>
      <c r="C2433" t="str">
        <f ca="1">IF(currency="USD",'Future et co'!D2433,IF(currency="EUR",'Future et co'!E2433,IF(currency="GBP",'Future et co'!F2433,FALSE)))</f>
        <v>RFR USD</v>
      </c>
      <c r="D2433" t="str">
        <f t="shared" ca="1" si="186"/>
        <v>RFR USD</v>
      </c>
      <c r="E2433" t="str">
        <f t="shared" ca="1" si="187"/>
        <v>RFR EUR</v>
      </c>
      <c r="F2433" t="str">
        <f t="shared" ca="1" si="188"/>
        <v>RFR GBP</v>
      </c>
      <c r="J2433" s="1"/>
      <c r="N2433" s="1"/>
      <c r="R2433" s="1"/>
      <c r="V2433" s="1"/>
      <c r="AB2433" s="1"/>
      <c r="AF2433" s="1"/>
      <c r="AJ2433" s="1"/>
      <c r="AN2433" s="1"/>
      <c r="AS2433" s="1"/>
      <c r="AX2433" s="1"/>
    </row>
    <row r="2434" spans="1:50" x14ac:dyDescent="0.3">
      <c r="A2434" s="19">
        <f t="shared" si="189"/>
        <v>49321</v>
      </c>
      <c r="B2434">
        <f t="shared" ca="1" si="185"/>
        <v>-8.8027777777777771</v>
      </c>
      <c r="C2434" t="str">
        <f ca="1">IF(currency="USD",'Future et co'!D2434,IF(currency="EUR",'Future et co'!E2434,IF(currency="GBP",'Future et co'!F2434,FALSE)))</f>
        <v>RFR USD</v>
      </c>
      <c r="D2434" t="str">
        <f t="shared" ca="1" si="186"/>
        <v>RFR USD</v>
      </c>
      <c r="E2434" t="str">
        <f t="shared" ca="1" si="187"/>
        <v>RFR EUR</v>
      </c>
      <c r="F2434" t="str">
        <f t="shared" ca="1" si="188"/>
        <v>RFR GBP</v>
      </c>
      <c r="J2434" s="1"/>
      <c r="N2434" s="1"/>
      <c r="R2434" s="1"/>
      <c r="V2434" s="1"/>
      <c r="AB2434" s="1"/>
      <c r="AF2434" s="1"/>
      <c r="AJ2434" s="1"/>
      <c r="AN2434" s="1"/>
      <c r="AS2434" s="1"/>
      <c r="AX2434" s="1"/>
    </row>
    <row r="2435" spans="1:50" x14ac:dyDescent="0.3">
      <c r="A2435" s="19">
        <f t="shared" si="189"/>
        <v>49324</v>
      </c>
      <c r="B2435">
        <f t="shared" ca="1" si="185"/>
        <v>-8.8111111111111118</v>
      </c>
      <c r="C2435" t="str">
        <f ca="1">IF(currency="USD",'Future et co'!D2435,IF(currency="EUR",'Future et co'!E2435,IF(currency="GBP",'Future et co'!F2435,FALSE)))</f>
        <v>RFR USD</v>
      </c>
      <c r="D2435" t="str">
        <f t="shared" ca="1" si="186"/>
        <v>RFR USD</v>
      </c>
      <c r="E2435" t="str">
        <f t="shared" ca="1" si="187"/>
        <v>RFR EUR</v>
      </c>
      <c r="F2435" t="str">
        <f t="shared" ca="1" si="188"/>
        <v>RFR GBP</v>
      </c>
      <c r="J2435" s="1"/>
      <c r="N2435" s="1"/>
      <c r="R2435" s="1"/>
      <c r="V2435" s="1"/>
      <c r="AB2435" s="1"/>
      <c r="AF2435" s="1"/>
      <c r="AJ2435" s="1"/>
      <c r="AN2435" s="1"/>
      <c r="AS2435" s="1"/>
      <c r="AX2435" s="1"/>
    </row>
    <row r="2436" spans="1:50" x14ac:dyDescent="0.3">
      <c r="A2436" s="19">
        <f t="shared" si="189"/>
        <v>49325</v>
      </c>
      <c r="B2436">
        <f t="shared" ca="1" si="185"/>
        <v>-8.8138888888888882</v>
      </c>
      <c r="C2436" t="str">
        <f ca="1">IF(currency="USD",'Future et co'!D2436,IF(currency="EUR",'Future et co'!E2436,IF(currency="GBP",'Future et co'!F2436,FALSE)))</f>
        <v>RFR USD</v>
      </c>
      <c r="D2436" t="str">
        <f t="shared" ca="1" si="186"/>
        <v>RFR USD</v>
      </c>
      <c r="E2436" t="str">
        <f t="shared" ca="1" si="187"/>
        <v>RFR EUR</v>
      </c>
      <c r="F2436" t="str">
        <f t="shared" ca="1" si="188"/>
        <v>RFR GBP</v>
      </c>
      <c r="J2436" s="1"/>
      <c r="N2436" s="1"/>
      <c r="R2436" s="1"/>
      <c r="V2436" s="1"/>
      <c r="AB2436" s="1"/>
      <c r="AF2436" s="1"/>
      <c r="AJ2436" s="1"/>
      <c r="AN2436" s="1"/>
      <c r="AS2436" s="1"/>
      <c r="AX2436" s="1"/>
    </row>
    <row r="2437" spans="1:50" x14ac:dyDescent="0.3">
      <c r="A2437" s="19">
        <f t="shared" si="189"/>
        <v>49326</v>
      </c>
      <c r="B2437">
        <f t="shared" ca="1" si="185"/>
        <v>-8.8166666666666664</v>
      </c>
      <c r="C2437" t="str">
        <f ca="1">IF(currency="USD",'Future et co'!D2437,IF(currency="EUR",'Future et co'!E2437,IF(currency="GBP",'Future et co'!F2437,FALSE)))</f>
        <v>RFR USD</v>
      </c>
      <c r="D2437" t="str">
        <f t="shared" ca="1" si="186"/>
        <v>RFR USD</v>
      </c>
      <c r="E2437" t="str">
        <f t="shared" ca="1" si="187"/>
        <v>RFR EUR</v>
      </c>
      <c r="F2437" t="str">
        <f t="shared" ca="1" si="188"/>
        <v>RFR GBP</v>
      </c>
      <c r="J2437" s="1"/>
      <c r="N2437" s="1"/>
      <c r="R2437" s="1"/>
      <c r="V2437" s="1"/>
      <c r="AB2437" s="1"/>
      <c r="AF2437" s="1"/>
      <c r="AJ2437" s="1"/>
      <c r="AN2437" s="1"/>
      <c r="AS2437" s="1"/>
      <c r="AX2437" s="1"/>
    </row>
    <row r="2438" spans="1:50" x14ac:dyDescent="0.3">
      <c r="A2438" s="19">
        <f t="shared" si="189"/>
        <v>49327</v>
      </c>
      <c r="B2438">
        <f t="shared" ca="1" si="185"/>
        <v>-8.8194444444444446</v>
      </c>
      <c r="C2438" t="str">
        <f ca="1">IF(currency="USD",'Future et co'!D2438,IF(currency="EUR",'Future et co'!E2438,IF(currency="GBP",'Future et co'!F2438,FALSE)))</f>
        <v>RFR USD</v>
      </c>
      <c r="D2438" t="str">
        <f t="shared" ca="1" si="186"/>
        <v>RFR USD</v>
      </c>
      <c r="E2438" t="str">
        <f t="shared" ca="1" si="187"/>
        <v>RFR EUR</v>
      </c>
      <c r="F2438" t="str">
        <f t="shared" ca="1" si="188"/>
        <v>RFR GBP</v>
      </c>
      <c r="J2438" s="1"/>
      <c r="N2438" s="1"/>
      <c r="R2438" s="1"/>
      <c r="V2438" s="1"/>
      <c r="AB2438" s="1"/>
      <c r="AF2438" s="1"/>
      <c r="AJ2438" s="1"/>
      <c r="AN2438" s="1"/>
      <c r="AS2438" s="1"/>
      <c r="AX2438" s="1"/>
    </row>
    <row r="2439" spans="1:50" x14ac:dyDescent="0.3">
      <c r="A2439" s="19">
        <f t="shared" si="189"/>
        <v>49328</v>
      </c>
      <c r="B2439">
        <f t="shared" ca="1" si="185"/>
        <v>-8.8222222222222229</v>
      </c>
      <c r="C2439" t="str">
        <f ca="1">IF(currency="USD",'Future et co'!D2439,IF(currency="EUR",'Future et co'!E2439,IF(currency="GBP",'Future et co'!F2439,FALSE)))</f>
        <v>RFR USD</v>
      </c>
      <c r="D2439" t="str">
        <f t="shared" ca="1" si="186"/>
        <v>RFR USD</v>
      </c>
      <c r="E2439" t="str">
        <f t="shared" ca="1" si="187"/>
        <v>RFR EUR</v>
      </c>
      <c r="F2439" t="str">
        <f t="shared" ca="1" si="188"/>
        <v>RFR GBP</v>
      </c>
      <c r="J2439" s="1"/>
      <c r="N2439" s="1"/>
      <c r="R2439" s="1"/>
      <c r="V2439" s="1"/>
      <c r="AB2439" s="1"/>
      <c r="AF2439" s="1"/>
      <c r="AJ2439" s="1"/>
      <c r="AN2439" s="1"/>
      <c r="AS2439" s="1"/>
      <c r="AX2439" s="1"/>
    </row>
    <row r="2440" spans="1:50" x14ac:dyDescent="0.3">
      <c r="A2440" s="19">
        <f t="shared" si="189"/>
        <v>49331</v>
      </c>
      <c r="B2440">
        <f t="shared" ca="1" si="185"/>
        <v>-8.8305555555555557</v>
      </c>
      <c r="C2440" t="str">
        <f ca="1">IF(currency="USD",'Future et co'!D2440,IF(currency="EUR",'Future et co'!E2440,IF(currency="GBP",'Future et co'!F2440,FALSE)))</f>
        <v>RFR USD</v>
      </c>
      <c r="D2440" t="str">
        <f t="shared" ca="1" si="186"/>
        <v>RFR USD</v>
      </c>
      <c r="E2440" t="str">
        <f t="shared" ca="1" si="187"/>
        <v>RFR EUR</v>
      </c>
      <c r="F2440" t="str">
        <f t="shared" ca="1" si="188"/>
        <v>RFR GBP</v>
      </c>
      <c r="J2440" s="1"/>
      <c r="N2440" s="1"/>
      <c r="R2440" s="1"/>
      <c r="V2440" s="1"/>
      <c r="AB2440" s="1"/>
      <c r="AF2440" s="1"/>
      <c r="AJ2440" s="1"/>
      <c r="AN2440" s="1"/>
      <c r="AS2440" s="1"/>
      <c r="AX2440" s="1"/>
    </row>
    <row r="2441" spans="1:50" x14ac:dyDescent="0.3">
      <c r="A2441" s="19">
        <f t="shared" si="189"/>
        <v>49332</v>
      </c>
      <c r="B2441">
        <f t="shared" ca="1" si="185"/>
        <v>-8.8333333333333339</v>
      </c>
      <c r="C2441" t="str">
        <f ca="1">IF(currency="USD",'Future et co'!D2441,IF(currency="EUR",'Future et co'!E2441,IF(currency="GBP",'Future et co'!F2441,FALSE)))</f>
        <v>RFR USD</v>
      </c>
      <c r="D2441" t="str">
        <f t="shared" ca="1" si="186"/>
        <v>RFR USD</v>
      </c>
      <c r="E2441" t="str">
        <f t="shared" ca="1" si="187"/>
        <v>RFR EUR</v>
      </c>
      <c r="F2441" t="str">
        <f t="shared" ca="1" si="188"/>
        <v>RFR GBP</v>
      </c>
      <c r="J2441" s="1"/>
      <c r="N2441" s="1"/>
      <c r="R2441" s="1"/>
      <c r="V2441" s="1"/>
      <c r="AB2441" s="1"/>
      <c r="AF2441" s="1"/>
      <c r="AJ2441" s="1"/>
      <c r="AN2441" s="1"/>
      <c r="AS2441" s="1"/>
      <c r="AX2441" s="1"/>
    </row>
    <row r="2442" spans="1:50" x14ac:dyDescent="0.3">
      <c r="A2442" s="19">
        <f t="shared" si="189"/>
        <v>49333</v>
      </c>
      <c r="B2442">
        <f t="shared" ca="1" si="185"/>
        <v>-8.8361111111111104</v>
      </c>
      <c r="C2442" t="str">
        <f ca="1">IF(currency="USD",'Future et co'!D2442,IF(currency="EUR",'Future et co'!E2442,IF(currency="GBP",'Future et co'!F2442,FALSE)))</f>
        <v>RFR USD</v>
      </c>
      <c r="D2442" t="str">
        <f t="shared" ca="1" si="186"/>
        <v>RFR USD</v>
      </c>
      <c r="E2442" t="str">
        <f t="shared" ca="1" si="187"/>
        <v>RFR EUR</v>
      </c>
      <c r="F2442" t="str">
        <f t="shared" ca="1" si="188"/>
        <v>RFR GBP</v>
      </c>
      <c r="J2442" s="1"/>
      <c r="N2442" s="1"/>
      <c r="R2442" s="1"/>
      <c r="V2442" s="1"/>
      <c r="AB2442" s="1"/>
      <c r="AF2442" s="1"/>
      <c r="AJ2442" s="1"/>
      <c r="AN2442" s="1"/>
      <c r="AS2442" s="1"/>
      <c r="AX2442" s="1"/>
    </row>
    <row r="2443" spans="1:50" x14ac:dyDescent="0.3">
      <c r="A2443" s="19">
        <f t="shared" si="189"/>
        <v>49334</v>
      </c>
      <c r="B2443">
        <f t="shared" ref="B2443:B2506" ca="1" si="190">($B$7-A2443)/360</f>
        <v>-8.8388888888888886</v>
      </c>
      <c r="C2443" t="str">
        <f ca="1">IF(currency="USD",'Future et co'!D2443,IF(currency="EUR",'Future et co'!E2443,IF(currency="GBP",'Future et co'!F2443,FALSE)))</f>
        <v>RFR USD</v>
      </c>
      <c r="D2443" t="str">
        <f t="shared" ref="D2443:D2506" ca="1" si="191">IFERROR(IF(B2443&lt;0.25,VLOOKUP(A2443,$J$11:$L$5325,3,FALSE),IF(AND(B2443&gt;=0.25,B2443&lt;0.5),VLOOKUP(A2443,$N$11:$P$5325,3,FALSE),IF(AND(B2443&gt;=0.5,B2443&lt;1),VLOOKUP(A2443,$R$11:$T$5325,3,FALSE),VLOOKUP(A2443,$V$11:$X$5010,3,FALSE)))),D2442)</f>
        <v>RFR USD</v>
      </c>
      <c r="E2443" t="str">
        <f t="shared" ref="E2443:E2506" ca="1" si="192">IFERROR(IF(B2443&lt;0.25,VLOOKUP(A2443,$AF$11:$AH$5325,3,FALSE),IF(AND(B2443&gt;=0.25,B2443&lt;0.5),VLOOKUP(A2443,$AJ$11:$AL$5325,3,FALSE),VLOOKUP(A2443,$AN$11:$AP$5325,3,FALSE))),E2442)</f>
        <v>RFR EUR</v>
      </c>
      <c r="F2443" t="str">
        <f t="shared" ref="F2443:F2506" ca="1" si="193">IFERROR(VLOOKUP(A2443,$AS$11:$AU$9999,3,FALSE),F2442)</f>
        <v>RFR GBP</v>
      </c>
      <c r="J2443" s="1"/>
      <c r="N2443" s="1"/>
      <c r="R2443" s="1"/>
      <c r="V2443" s="1"/>
      <c r="AB2443" s="1"/>
      <c r="AF2443" s="1"/>
      <c r="AJ2443" s="1"/>
      <c r="AN2443" s="1"/>
      <c r="AS2443" s="1"/>
      <c r="AX2443" s="1"/>
    </row>
    <row r="2444" spans="1:50" x14ac:dyDescent="0.3">
      <c r="A2444" s="19">
        <f t="shared" si="189"/>
        <v>49335</v>
      </c>
      <c r="B2444">
        <f t="shared" ca="1" si="190"/>
        <v>-8.8416666666666668</v>
      </c>
      <c r="C2444" t="str">
        <f ca="1">IF(currency="USD",'Future et co'!D2444,IF(currency="EUR",'Future et co'!E2444,IF(currency="GBP",'Future et co'!F2444,FALSE)))</f>
        <v>RFR USD</v>
      </c>
      <c r="D2444" t="str">
        <f t="shared" ca="1" si="191"/>
        <v>RFR USD</v>
      </c>
      <c r="E2444" t="str">
        <f t="shared" ca="1" si="192"/>
        <v>RFR EUR</v>
      </c>
      <c r="F2444" t="str">
        <f t="shared" ca="1" si="193"/>
        <v>RFR GBP</v>
      </c>
      <c r="J2444" s="1"/>
      <c r="N2444" s="1"/>
      <c r="R2444" s="1"/>
      <c r="V2444" s="1"/>
      <c r="AB2444" s="1"/>
      <c r="AF2444" s="1"/>
      <c r="AJ2444" s="1"/>
      <c r="AN2444" s="1"/>
      <c r="AS2444" s="1"/>
      <c r="AX2444" s="1"/>
    </row>
    <row r="2445" spans="1:50" x14ac:dyDescent="0.3">
      <c r="A2445" s="19">
        <f t="shared" ref="A2445:A2508" si="194">WORKDAY(A2444,1)</f>
        <v>49338</v>
      </c>
      <c r="B2445">
        <f t="shared" ca="1" si="190"/>
        <v>-8.85</v>
      </c>
      <c r="C2445" t="str">
        <f ca="1">IF(currency="USD",'Future et co'!D2445,IF(currency="EUR",'Future et co'!E2445,IF(currency="GBP",'Future et co'!F2445,FALSE)))</f>
        <v>RFR USD</v>
      </c>
      <c r="D2445" t="str">
        <f t="shared" ca="1" si="191"/>
        <v>RFR USD</v>
      </c>
      <c r="E2445" t="str">
        <f t="shared" ca="1" si="192"/>
        <v>RFR EUR</v>
      </c>
      <c r="F2445" t="str">
        <f t="shared" ca="1" si="193"/>
        <v>RFR GBP</v>
      </c>
      <c r="J2445" s="1"/>
      <c r="N2445" s="1"/>
      <c r="R2445" s="1"/>
      <c r="V2445" s="1"/>
      <c r="AB2445" s="1"/>
      <c r="AF2445" s="1"/>
      <c r="AJ2445" s="1"/>
      <c r="AN2445" s="1"/>
      <c r="AS2445" s="1"/>
      <c r="AX2445" s="1"/>
    </row>
    <row r="2446" spans="1:50" x14ac:dyDescent="0.3">
      <c r="A2446" s="19">
        <f t="shared" si="194"/>
        <v>49339</v>
      </c>
      <c r="B2446">
        <f t="shared" ca="1" si="190"/>
        <v>-8.8527777777777779</v>
      </c>
      <c r="C2446" t="str">
        <f ca="1">IF(currency="USD",'Future et co'!D2446,IF(currency="EUR",'Future et co'!E2446,IF(currency="GBP",'Future et co'!F2446,FALSE)))</f>
        <v>RFR USD</v>
      </c>
      <c r="D2446" t="str">
        <f t="shared" ca="1" si="191"/>
        <v>RFR USD</v>
      </c>
      <c r="E2446" t="str">
        <f t="shared" ca="1" si="192"/>
        <v>RFR EUR</v>
      </c>
      <c r="F2446" t="str">
        <f t="shared" ca="1" si="193"/>
        <v>RFR GBP</v>
      </c>
      <c r="J2446" s="1"/>
      <c r="N2446" s="1"/>
      <c r="R2446" s="1"/>
      <c r="V2446" s="1"/>
      <c r="AB2446" s="1"/>
      <c r="AF2446" s="1"/>
      <c r="AJ2446" s="1"/>
      <c r="AN2446" s="1"/>
      <c r="AS2446" s="1"/>
      <c r="AX2446" s="1"/>
    </row>
    <row r="2447" spans="1:50" x14ac:dyDescent="0.3">
      <c r="A2447" s="19">
        <f t="shared" si="194"/>
        <v>49340</v>
      </c>
      <c r="B2447">
        <f t="shared" ca="1" si="190"/>
        <v>-8.8555555555555561</v>
      </c>
      <c r="C2447" t="str">
        <f ca="1">IF(currency="USD",'Future et co'!D2447,IF(currency="EUR",'Future et co'!E2447,IF(currency="GBP",'Future et co'!F2447,FALSE)))</f>
        <v>RFR USD</v>
      </c>
      <c r="D2447" t="str">
        <f t="shared" ca="1" si="191"/>
        <v>RFR USD</v>
      </c>
      <c r="E2447" t="str">
        <f t="shared" ca="1" si="192"/>
        <v>RFR EUR</v>
      </c>
      <c r="F2447" t="str">
        <f t="shared" ca="1" si="193"/>
        <v>RFR GBP</v>
      </c>
      <c r="J2447" s="1"/>
      <c r="N2447" s="1"/>
      <c r="R2447" s="1"/>
      <c r="V2447" s="1"/>
      <c r="AB2447" s="1"/>
      <c r="AF2447" s="1"/>
      <c r="AJ2447" s="1"/>
      <c r="AN2447" s="1"/>
      <c r="AS2447" s="1"/>
      <c r="AX2447" s="1"/>
    </row>
    <row r="2448" spans="1:50" x14ac:dyDescent="0.3">
      <c r="A2448" s="19">
        <f t="shared" si="194"/>
        <v>49341</v>
      </c>
      <c r="B2448">
        <f t="shared" ca="1" si="190"/>
        <v>-8.8583333333333325</v>
      </c>
      <c r="C2448" t="str">
        <f ca="1">IF(currency="USD",'Future et co'!D2448,IF(currency="EUR",'Future et co'!E2448,IF(currency="GBP",'Future et co'!F2448,FALSE)))</f>
        <v>RFR USD</v>
      </c>
      <c r="D2448" t="str">
        <f t="shared" ca="1" si="191"/>
        <v>RFR USD</v>
      </c>
      <c r="E2448" t="str">
        <f t="shared" ca="1" si="192"/>
        <v>RFR EUR</v>
      </c>
      <c r="F2448" t="str">
        <f t="shared" ca="1" si="193"/>
        <v>RFR GBP</v>
      </c>
      <c r="J2448" s="1"/>
      <c r="N2448" s="1"/>
      <c r="R2448" s="1"/>
      <c r="V2448" s="1"/>
      <c r="AB2448" s="1"/>
      <c r="AF2448" s="1"/>
      <c r="AJ2448" s="1"/>
      <c r="AN2448" s="1"/>
      <c r="AS2448" s="1"/>
      <c r="AX2448" s="1"/>
    </row>
    <row r="2449" spans="1:50" x14ac:dyDescent="0.3">
      <c r="A2449" s="19">
        <f t="shared" si="194"/>
        <v>49342</v>
      </c>
      <c r="B2449">
        <f t="shared" ca="1" si="190"/>
        <v>-8.8611111111111107</v>
      </c>
      <c r="C2449" t="str">
        <f ca="1">IF(currency="USD",'Future et co'!D2449,IF(currency="EUR",'Future et co'!E2449,IF(currency="GBP",'Future et co'!F2449,FALSE)))</f>
        <v>RFR USD</v>
      </c>
      <c r="D2449" t="str">
        <f t="shared" ca="1" si="191"/>
        <v>RFR USD</v>
      </c>
      <c r="E2449" t="str">
        <f t="shared" ca="1" si="192"/>
        <v>RFR EUR</v>
      </c>
      <c r="F2449" t="str">
        <f t="shared" ca="1" si="193"/>
        <v>RFR GBP</v>
      </c>
      <c r="J2449" s="1"/>
      <c r="N2449" s="1"/>
      <c r="R2449" s="1"/>
      <c r="V2449" s="1"/>
      <c r="AB2449" s="1"/>
      <c r="AF2449" s="1"/>
      <c r="AJ2449" s="1"/>
      <c r="AN2449" s="1"/>
      <c r="AS2449" s="1"/>
      <c r="AX2449" s="1"/>
    </row>
    <row r="2450" spans="1:50" x14ac:dyDescent="0.3">
      <c r="A2450" s="19">
        <f t="shared" si="194"/>
        <v>49345</v>
      </c>
      <c r="B2450">
        <f t="shared" ca="1" si="190"/>
        <v>-8.8694444444444436</v>
      </c>
      <c r="C2450" t="str">
        <f ca="1">IF(currency="USD",'Future et co'!D2450,IF(currency="EUR",'Future et co'!E2450,IF(currency="GBP",'Future et co'!F2450,FALSE)))</f>
        <v>RFR USD</v>
      </c>
      <c r="D2450" t="str">
        <f t="shared" ca="1" si="191"/>
        <v>RFR USD</v>
      </c>
      <c r="E2450" t="str">
        <f t="shared" ca="1" si="192"/>
        <v>RFR EUR</v>
      </c>
      <c r="F2450" t="str">
        <f t="shared" ca="1" si="193"/>
        <v>RFR GBP</v>
      </c>
      <c r="J2450" s="1"/>
      <c r="N2450" s="1"/>
      <c r="R2450" s="1"/>
      <c r="V2450" s="1"/>
      <c r="AB2450" s="1"/>
      <c r="AF2450" s="1"/>
      <c r="AJ2450" s="1"/>
      <c r="AN2450" s="1"/>
      <c r="AS2450" s="1"/>
      <c r="AX2450" s="1"/>
    </row>
    <row r="2451" spans="1:50" x14ac:dyDescent="0.3">
      <c r="A2451" s="19">
        <f t="shared" si="194"/>
        <v>49346</v>
      </c>
      <c r="B2451">
        <f t="shared" ca="1" si="190"/>
        <v>-8.8722222222222218</v>
      </c>
      <c r="C2451" t="str">
        <f ca="1">IF(currency="USD",'Future et co'!D2451,IF(currency="EUR",'Future et co'!E2451,IF(currency="GBP",'Future et co'!F2451,FALSE)))</f>
        <v>RFR USD</v>
      </c>
      <c r="D2451" t="str">
        <f t="shared" ca="1" si="191"/>
        <v>RFR USD</v>
      </c>
      <c r="E2451" t="str">
        <f t="shared" ca="1" si="192"/>
        <v>RFR EUR</v>
      </c>
      <c r="F2451" t="str">
        <f t="shared" ca="1" si="193"/>
        <v>RFR GBP</v>
      </c>
      <c r="J2451" s="1"/>
      <c r="N2451" s="1"/>
      <c r="R2451" s="1"/>
      <c r="V2451" s="1"/>
      <c r="AB2451" s="1"/>
      <c r="AF2451" s="1"/>
      <c r="AJ2451" s="1"/>
      <c r="AN2451" s="1"/>
      <c r="AS2451" s="1"/>
      <c r="AX2451" s="1"/>
    </row>
    <row r="2452" spans="1:50" x14ac:dyDescent="0.3">
      <c r="A2452" s="19">
        <f t="shared" si="194"/>
        <v>49347</v>
      </c>
      <c r="B2452">
        <f t="shared" ca="1" si="190"/>
        <v>-8.875</v>
      </c>
      <c r="C2452" t="str">
        <f ca="1">IF(currency="USD",'Future et co'!D2452,IF(currency="EUR",'Future et co'!E2452,IF(currency="GBP",'Future et co'!F2452,FALSE)))</f>
        <v>RFR USD</v>
      </c>
      <c r="D2452" t="str">
        <f t="shared" ca="1" si="191"/>
        <v>RFR USD</v>
      </c>
      <c r="E2452" t="str">
        <f t="shared" ca="1" si="192"/>
        <v>RFR EUR</v>
      </c>
      <c r="F2452" t="str">
        <f t="shared" ca="1" si="193"/>
        <v>RFR GBP</v>
      </c>
      <c r="J2452" s="1"/>
      <c r="N2452" s="1"/>
      <c r="R2452" s="1"/>
      <c r="V2452" s="1"/>
      <c r="AB2452" s="1"/>
      <c r="AF2452" s="1"/>
      <c r="AJ2452" s="1"/>
      <c r="AN2452" s="1"/>
      <c r="AS2452" s="1"/>
      <c r="AX2452" s="1"/>
    </row>
    <row r="2453" spans="1:50" x14ac:dyDescent="0.3">
      <c r="A2453" s="19">
        <f t="shared" si="194"/>
        <v>49348</v>
      </c>
      <c r="B2453">
        <f t="shared" ca="1" si="190"/>
        <v>-8.8777777777777782</v>
      </c>
      <c r="C2453" t="str">
        <f ca="1">IF(currency="USD",'Future et co'!D2453,IF(currency="EUR",'Future et co'!E2453,IF(currency="GBP",'Future et co'!F2453,FALSE)))</f>
        <v>RFR USD</v>
      </c>
      <c r="D2453" t="str">
        <f t="shared" ca="1" si="191"/>
        <v>RFR USD</v>
      </c>
      <c r="E2453" t="str">
        <f t="shared" ca="1" si="192"/>
        <v>RFR EUR</v>
      </c>
      <c r="F2453" t="str">
        <f t="shared" ca="1" si="193"/>
        <v>RFR GBP</v>
      </c>
      <c r="J2453" s="1"/>
      <c r="N2453" s="1"/>
      <c r="R2453" s="1"/>
      <c r="V2453" s="1"/>
      <c r="AB2453" s="1"/>
      <c r="AF2453" s="1"/>
      <c r="AJ2453" s="1"/>
      <c r="AN2453" s="1"/>
      <c r="AS2453" s="1"/>
      <c r="AX2453" s="1"/>
    </row>
    <row r="2454" spans="1:50" x14ac:dyDescent="0.3">
      <c r="A2454" s="19">
        <f t="shared" si="194"/>
        <v>49349</v>
      </c>
      <c r="B2454">
        <f t="shared" ca="1" si="190"/>
        <v>-8.8805555555555564</v>
      </c>
      <c r="C2454" t="str">
        <f ca="1">IF(currency="USD",'Future et co'!D2454,IF(currency="EUR",'Future et co'!E2454,IF(currency="GBP",'Future et co'!F2454,FALSE)))</f>
        <v>RFR USD</v>
      </c>
      <c r="D2454" t="str">
        <f t="shared" ca="1" si="191"/>
        <v>RFR USD</v>
      </c>
      <c r="E2454" t="str">
        <f t="shared" ca="1" si="192"/>
        <v>RFR EUR</v>
      </c>
      <c r="F2454" t="str">
        <f t="shared" ca="1" si="193"/>
        <v>RFR GBP</v>
      </c>
      <c r="J2454" s="1"/>
      <c r="N2454" s="1"/>
      <c r="R2454" s="1"/>
      <c r="V2454" s="1"/>
      <c r="AB2454" s="1"/>
      <c r="AF2454" s="1"/>
      <c r="AJ2454" s="1"/>
      <c r="AN2454" s="1"/>
      <c r="AS2454" s="1"/>
      <c r="AX2454" s="1"/>
    </row>
    <row r="2455" spans="1:50" x14ac:dyDescent="0.3">
      <c r="A2455" s="19">
        <f t="shared" si="194"/>
        <v>49352</v>
      </c>
      <c r="B2455">
        <f t="shared" ca="1" si="190"/>
        <v>-8.8888888888888893</v>
      </c>
      <c r="C2455" t="str">
        <f ca="1">IF(currency="USD",'Future et co'!D2455,IF(currency="EUR",'Future et co'!E2455,IF(currency="GBP",'Future et co'!F2455,FALSE)))</f>
        <v>RFR USD</v>
      </c>
      <c r="D2455" t="str">
        <f t="shared" ca="1" si="191"/>
        <v>RFR USD</v>
      </c>
      <c r="E2455" t="str">
        <f t="shared" ca="1" si="192"/>
        <v>RFR EUR</v>
      </c>
      <c r="F2455" t="str">
        <f t="shared" ca="1" si="193"/>
        <v>RFR GBP</v>
      </c>
      <c r="J2455" s="1"/>
      <c r="N2455" s="1"/>
      <c r="R2455" s="1"/>
      <c r="V2455" s="1"/>
      <c r="AB2455" s="1"/>
      <c r="AF2455" s="1"/>
      <c r="AJ2455" s="1"/>
      <c r="AN2455" s="1"/>
      <c r="AS2455" s="1"/>
      <c r="AX2455" s="1"/>
    </row>
    <row r="2456" spans="1:50" x14ac:dyDescent="0.3">
      <c r="A2456" s="19">
        <f t="shared" si="194"/>
        <v>49353</v>
      </c>
      <c r="B2456">
        <f t="shared" ca="1" si="190"/>
        <v>-8.8916666666666675</v>
      </c>
      <c r="C2456" t="str">
        <f ca="1">IF(currency="USD",'Future et co'!D2456,IF(currency="EUR",'Future et co'!E2456,IF(currency="GBP",'Future et co'!F2456,FALSE)))</f>
        <v>RFR USD</v>
      </c>
      <c r="D2456" t="str">
        <f t="shared" ca="1" si="191"/>
        <v>RFR USD</v>
      </c>
      <c r="E2456" t="str">
        <f t="shared" ca="1" si="192"/>
        <v>RFR EUR</v>
      </c>
      <c r="F2456" t="str">
        <f t="shared" ca="1" si="193"/>
        <v>RFR GBP</v>
      </c>
      <c r="J2456" s="1"/>
      <c r="N2456" s="1"/>
      <c r="R2456" s="1"/>
      <c r="V2456" s="1"/>
      <c r="AB2456" s="1"/>
      <c r="AF2456" s="1"/>
      <c r="AJ2456" s="1"/>
      <c r="AN2456" s="1"/>
      <c r="AS2456" s="1"/>
      <c r="AX2456" s="1"/>
    </row>
    <row r="2457" spans="1:50" x14ac:dyDescent="0.3">
      <c r="A2457" s="19">
        <f t="shared" si="194"/>
        <v>49354</v>
      </c>
      <c r="B2457">
        <f t="shared" ca="1" si="190"/>
        <v>-8.8944444444444439</v>
      </c>
      <c r="C2457" t="str">
        <f ca="1">IF(currency="USD",'Future et co'!D2457,IF(currency="EUR",'Future et co'!E2457,IF(currency="GBP",'Future et co'!F2457,FALSE)))</f>
        <v>RFR USD</v>
      </c>
      <c r="D2457" t="str">
        <f t="shared" ca="1" si="191"/>
        <v>RFR USD</v>
      </c>
      <c r="E2457" t="str">
        <f t="shared" ca="1" si="192"/>
        <v>RFR EUR</v>
      </c>
      <c r="F2457" t="str">
        <f t="shared" ca="1" si="193"/>
        <v>RFR GBP</v>
      </c>
      <c r="J2457" s="1"/>
      <c r="N2457" s="1"/>
      <c r="R2457" s="1"/>
      <c r="V2457" s="1"/>
      <c r="AB2457" s="1"/>
      <c r="AF2457" s="1"/>
      <c r="AJ2457" s="1"/>
      <c r="AN2457" s="1"/>
      <c r="AS2457" s="1"/>
      <c r="AX2457" s="1"/>
    </row>
    <row r="2458" spans="1:50" x14ac:dyDescent="0.3">
      <c r="A2458" s="19">
        <f t="shared" si="194"/>
        <v>49355</v>
      </c>
      <c r="B2458">
        <f t="shared" ca="1" si="190"/>
        <v>-8.8972222222222221</v>
      </c>
      <c r="C2458" t="str">
        <f ca="1">IF(currency="USD",'Future et co'!D2458,IF(currency="EUR",'Future et co'!E2458,IF(currency="GBP",'Future et co'!F2458,FALSE)))</f>
        <v>RFR USD</v>
      </c>
      <c r="D2458" t="str">
        <f t="shared" ca="1" si="191"/>
        <v>RFR USD</v>
      </c>
      <c r="E2458" t="str">
        <f t="shared" ca="1" si="192"/>
        <v>RFR EUR</v>
      </c>
      <c r="F2458" t="str">
        <f t="shared" ca="1" si="193"/>
        <v>RFR GBP</v>
      </c>
      <c r="J2458" s="1"/>
      <c r="N2458" s="1"/>
      <c r="R2458" s="1"/>
      <c r="V2458" s="1"/>
      <c r="AB2458" s="1"/>
      <c r="AF2458" s="1"/>
      <c r="AJ2458" s="1"/>
      <c r="AN2458" s="1"/>
      <c r="AS2458" s="1"/>
      <c r="AX2458" s="1"/>
    </row>
    <row r="2459" spans="1:50" x14ac:dyDescent="0.3">
      <c r="A2459" s="19">
        <f t="shared" si="194"/>
        <v>49356</v>
      </c>
      <c r="B2459">
        <f t="shared" ca="1" si="190"/>
        <v>-8.9</v>
      </c>
      <c r="C2459" t="str">
        <f ca="1">IF(currency="USD",'Future et co'!D2459,IF(currency="EUR",'Future et co'!E2459,IF(currency="GBP",'Future et co'!F2459,FALSE)))</f>
        <v>RFR USD</v>
      </c>
      <c r="D2459" t="str">
        <f t="shared" ca="1" si="191"/>
        <v>RFR USD</v>
      </c>
      <c r="E2459" t="str">
        <f t="shared" ca="1" si="192"/>
        <v>RFR EUR</v>
      </c>
      <c r="F2459" t="str">
        <f t="shared" ca="1" si="193"/>
        <v>RFR GBP</v>
      </c>
      <c r="J2459" s="1"/>
      <c r="N2459" s="1"/>
      <c r="R2459" s="1"/>
      <c r="V2459" s="1"/>
      <c r="AB2459" s="1"/>
      <c r="AF2459" s="1"/>
      <c r="AJ2459" s="1"/>
      <c r="AN2459" s="1"/>
      <c r="AS2459" s="1"/>
      <c r="AX2459" s="1"/>
    </row>
    <row r="2460" spans="1:50" x14ac:dyDescent="0.3">
      <c r="A2460" s="19">
        <f t="shared" si="194"/>
        <v>49359</v>
      </c>
      <c r="B2460">
        <f t="shared" ca="1" si="190"/>
        <v>-8.9083333333333332</v>
      </c>
      <c r="C2460" t="str">
        <f ca="1">IF(currency="USD",'Future et co'!D2460,IF(currency="EUR",'Future et co'!E2460,IF(currency="GBP",'Future et co'!F2460,FALSE)))</f>
        <v>RFR USD</v>
      </c>
      <c r="D2460" t="str">
        <f t="shared" ca="1" si="191"/>
        <v>RFR USD</v>
      </c>
      <c r="E2460" t="str">
        <f t="shared" ca="1" si="192"/>
        <v>RFR EUR</v>
      </c>
      <c r="F2460" t="str">
        <f t="shared" ca="1" si="193"/>
        <v>RFR GBP</v>
      </c>
      <c r="J2460" s="1"/>
      <c r="N2460" s="1"/>
      <c r="R2460" s="1"/>
      <c r="V2460" s="1"/>
      <c r="AB2460" s="1"/>
      <c r="AF2460" s="1"/>
      <c r="AJ2460" s="1"/>
      <c r="AN2460" s="1"/>
      <c r="AS2460" s="1"/>
      <c r="AX2460" s="1"/>
    </row>
    <row r="2461" spans="1:50" x14ac:dyDescent="0.3">
      <c r="A2461" s="19">
        <f t="shared" si="194"/>
        <v>49360</v>
      </c>
      <c r="B2461">
        <f t="shared" ca="1" si="190"/>
        <v>-8.9111111111111114</v>
      </c>
      <c r="C2461" t="str">
        <f ca="1">IF(currency="USD",'Future et co'!D2461,IF(currency="EUR",'Future et co'!E2461,IF(currency="GBP",'Future et co'!F2461,FALSE)))</f>
        <v>RFR USD</v>
      </c>
      <c r="D2461" t="str">
        <f t="shared" ca="1" si="191"/>
        <v>RFR USD</v>
      </c>
      <c r="E2461" t="str">
        <f t="shared" ca="1" si="192"/>
        <v>RFR EUR</v>
      </c>
      <c r="F2461" t="str">
        <f t="shared" ca="1" si="193"/>
        <v>RFR GBP</v>
      </c>
      <c r="J2461" s="1"/>
      <c r="N2461" s="1"/>
      <c r="R2461" s="1"/>
      <c r="V2461" s="1"/>
      <c r="AB2461" s="1"/>
      <c r="AF2461" s="1"/>
      <c r="AJ2461" s="1"/>
      <c r="AN2461" s="1"/>
      <c r="AS2461" s="1"/>
      <c r="AX2461" s="1"/>
    </row>
    <row r="2462" spans="1:50" x14ac:dyDescent="0.3">
      <c r="A2462" s="19">
        <f t="shared" si="194"/>
        <v>49361</v>
      </c>
      <c r="B2462">
        <f t="shared" ca="1" si="190"/>
        <v>-8.9138888888888896</v>
      </c>
      <c r="C2462" t="str">
        <f ca="1">IF(currency="USD",'Future et co'!D2462,IF(currency="EUR",'Future et co'!E2462,IF(currency="GBP",'Future et co'!F2462,FALSE)))</f>
        <v>RFR USD</v>
      </c>
      <c r="D2462" t="str">
        <f t="shared" ca="1" si="191"/>
        <v>RFR USD</v>
      </c>
      <c r="E2462" t="str">
        <f t="shared" ca="1" si="192"/>
        <v>RFR EUR</v>
      </c>
      <c r="F2462" t="str">
        <f t="shared" ca="1" si="193"/>
        <v>RFR GBP</v>
      </c>
      <c r="J2462" s="1"/>
      <c r="N2462" s="1"/>
      <c r="R2462" s="1"/>
      <c r="V2462" s="1"/>
      <c r="AB2462" s="1"/>
      <c r="AF2462" s="1"/>
      <c r="AJ2462" s="1"/>
      <c r="AN2462" s="1"/>
      <c r="AS2462" s="1"/>
      <c r="AX2462" s="1"/>
    </row>
    <row r="2463" spans="1:50" x14ac:dyDescent="0.3">
      <c r="A2463" s="19">
        <f t="shared" si="194"/>
        <v>49362</v>
      </c>
      <c r="B2463">
        <f t="shared" ca="1" si="190"/>
        <v>-8.9166666666666661</v>
      </c>
      <c r="C2463" t="str">
        <f ca="1">IF(currency="USD",'Future et co'!D2463,IF(currency="EUR",'Future et co'!E2463,IF(currency="GBP",'Future et co'!F2463,FALSE)))</f>
        <v>RFR USD</v>
      </c>
      <c r="D2463" t="str">
        <f t="shared" ca="1" si="191"/>
        <v>RFR USD</v>
      </c>
      <c r="E2463" t="str">
        <f t="shared" ca="1" si="192"/>
        <v>RFR EUR</v>
      </c>
      <c r="F2463" t="str">
        <f t="shared" ca="1" si="193"/>
        <v>RFR GBP</v>
      </c>
      <c r="J2463" s="1"/>
      <c r="N2463" s="1"/>
      <c r="R2463" s="1"/>
      <c r="V2463" s="1"/>
      <c r="AB2463" s="1"/>
      <c r="AF2463" s="1"/>
      <c r="AJ2463" s="1"/>
      <c r="AN2463" s="1"/>
      <c r="AS2463" s="1"/>
      <c r="AX2463" s="1"/>
    </row>
    <row r="2464" spans="1:50" x14ac:dyDescent="0.3">
      <c r="A2464" s="19">
        <f t="shared" si="194"/>
        <v>49363</v>
      </c>
      <c r="B2464">
        <f t="shared" ca="1" si="190"/>
        <v>-8.9194444444444443</v>
      </c>
      <c r="C2464" t="str">
        <f ca="1">IF(currency="USD",'Future et co'!D2464,IF(currency="EUR",'Future et co'!E2464,IF(currency="GBP",'Future et co'!F2464,FALSE)))</f>
        <v>RFR USD</v>
      </c>
      <c r="D2464" t="str">
        <f t="shared" ca="1" si="191"/>
        <v>RFR USD</v>
      </c>
      <c r="E2464" t="str">
        <f t="shared" ca="1" si="192"/>
        <v>RFR EUR</v>
      </c>
      <c r="F2464" t="str">
        <f t="shared" ca="1" si="193"/>
        <v>RFR GBP</v>
      </c>
      <c r="J2464" s="1"/>
      <c r="N2464" s="1"/>
      <c r="R2464" s="1"/>
      <c r="V2464" s="1"/>
      <c r="AB2464" s="1"/>
      <c r="AF2464" s="1"/>
      <c r="AJ2464" s="1"/>
      <c r="AN2464" s="1"/>
      <c r="AS2464" s="1"/>
      <c r="AX2464" s="1"/>
    </row>
    <row r="2465" spans="1:50" x14ac:dyDescent="0.3">
      <c r="A2465" s="19">
        <f t="shared" si="194"/>
        <v>49366</v>
      </c>
      <c r="B2465">
        <f t="shared" ca="1" si="190"/>
        <v>-8.9277777777777771</v>
      </c>
      <c r="C2465" t="str">
        <f ca="1">IF(currency="USD",'Future et co'!D2465,IF(currency="EUR",'Future et co'!E2465,IF(currency="GBP",'Future et co'!F2465,FALSE)))</f>
        <v>RFR USD</v>
      </c>
      <c r="D2465" t="str">
        <f t="shared" ca="1" si="191"/>
        <v>RFR USD</v>
      </c>
      <c r="E2465" t="str">
        <f t="shared" ca="1" si="192"/>
        <v>RFR EUR</v>
      </c>
      <c r="F2465" t="str">
        <f t="shared" ca="1" si="193"/>
        <v>RFR GBP</v>
      </c>
      <c r="J2465" s="1"/>
      <c r="N2465" s="1"/>
      <c r="R2465" s="1"/>
      <c r="V2465" s="1"/>
      <c r="AB2465" s="1"/>
      <c r="AF2465" s="1"/>
      <c r="AJ2465" s="1"/>
      <c r="AN2465" s="1"/>
      <c r="AS2465" s="1"/>
      <c r="AX2465" s="1"/>
    </row>
    <row r="2466" spans="1:50" x14ac:dyDescent="0.3">
      <c r="A2466" s="19">
        <f t="shared" si="194"/>
        <v>49367</v>
      </c>
      <c r="B2466">
        <f t="shared" ca="1" si="190"/>
        <v>-8.9305555555555554</v>
      </c>
      <c r="C2466" t="str">
        <f ca="1">IF(currency="USD",'Future et co'!D2466,IF(currency="EUR",'Future et co'!E2466,IF(currency="GBP",'Future et co'!F2466,FALSE)))</f>
        <v>RFR USD</v>
      </c>
      <c r="D2466" t="str">
        <f t="shared" ca="1" si="191"/>
        <v>RFR USD</v>
      </c>
      <c r="E2466" t="str">
        <f t="shared" ca="1" si="192"/>
        <v>RFR EUR</v>
      </c>
      <c r="F2466" t="str">
        <f t="shared" ca="1" si="193"/>
        <v>RFR GBP</v>
      </c>
      <c r="J2466" s="1"/>
      <c r="N2466" s="1"/>
      <c r="R2466" s="1"/>
      <c r="V2466" s="1"/>
      <c r="AB2466" s="1"/>
      <c r="AF2466" s="1"/>
      <c r="AJ2466" s="1"/>
      <c r="AN2466" s="1"/>
      <c r="AS2466" s="1"/>
      <c r="AX2466" s="1"/>
    </row>
    <row r="2467" spans="1:50" x14ac:dyDescent="0.3">
      <c r="A2467" s="19">
        <f t="shared" si="194"/>
        <v>49368</v>
      </c>
      <c r="B2467">
        <f t="shared" ca="1" si="190"/>
        <v>-8.9333333333333336</v>
      </c>
      <c r="C2467" t="str">
        <f ca="1">IF(currency="USD",'Future et co'!D2467,IF(currency="EUR",'Future et co'!E2467,IF(currency="GBP",'Future et co'!F2467,FALSE)))</f>
        <v>RFR USD</v>
      </c>
      <c r="D2467" t="str">
        <f t="shared" ca="1" si="191"/>
        <v>RFR USD</v>
      </c>
      <c r="E2467" t="str">
        <f t="shared" ca="1" si="192"/>
        <v>RFR EUR</v>
      </c>
      <c r="F2467" t="str">
        <f t="shared" ca="1" si="193"/>
        <v>RFR GBP</v>
      </c>
      <c r="J2467" s="1"/>
      <c r="N2467" s="1"/>
      <c r="R2467" s="1"/>
      <c r="V2467" s="1"/>
      <c r="AB2467" s="1"/>
      <c r="AF2467" s="1"/>
      <c r="AJ2467" s="1"/>
      <c r="AN2467" s="1"/>
      <c r="AS2467" s="1"/>
      <c r="AX2467" s="1"/>
    </row>
    <row r="2468" spans="1:50" x14ac:dyDescent="0.3">
      <c r="A2468" s="19">
        <f t="shared" si="194"/>
        <v>49369</v>
      </c>
      <c r="B2468">
        <f t="shared" ca="1" si="190"/>
        <v>-8.9361111111111118</v>
      </c>
      <c r="C2468" t="str">
        <f ca="1">IF(currency="USD",'Future et co'!D2468,IF(currency="EUR",'Future et co'!E2468,IF(currency="GBP",'Future et co'!F2468,FALSE)))</f>
        <v>RFR USD</v>
      </c>
      <c r="D2468" t="str">
        <f t="shared" ca="1" si="191"/>
        <v>RFR USD</v>
      </c>
      <c r="E2468" t="str">
        <f t="shared" ca="1" si="192"/>
        <v>RFR EUR</v>
      </c>
      <c r="F2468" t="str">
        <f t="shared" ca="1" si="193"/>
        <v>RFR GBP</v>
      </c>
      <c r="J2468" s="1"/>
      <c r="N2468" s="1"/>
      <c r="R2468" s="1"/>
      <c r="V2468" s="1"/>
      <c r="AB2468" s="1"/>
      <c r="AF2468" s="1"/>
      <c r="AJ2468" s="1"/>
      <c r="AN2468" s="1"/>
      <c r="AS2468" s="1"/>
      <c r="AX2468" s="1"/>
    </row>
    <row r="2469" spans="1:50" x14ac:dyDescent="0.3">
      <c r="A2469" s="19">
        <f t="shared" si="194"/>
        <v>49370</v>
      </c>
      <c r="B2469">
        <f t="shared" ca="1" si="190"/>
        <v>-8.9388888888888882</v>
      </c>
      <c r="C2469" t="str">
        <f ca="1">IF(currency="USD",'Future et co'!D2469,IF(currency="EUR",'Future et co'!E2469,IF(currency="GBP",'Future et co'!F2469,FALSE)))</f>
        <v>RFR USD</v>
      </c>
      <c r="D2469" t="str">
        <f t="shared" ca="1" si="191"/>
        <v>RFR USD</v>
      </c>
      <c r="E2469" t="str">
        <f t="shared" ca="1" si="192"/>
        <v>RFR EUR</v>
      </c>
      <c r="F2469" t="str">
        <f t="shared" ca="1" si="193"/>
        <v>RFR GBP</v>
      </c>
      <c r="J2469" s="1"/>
      <c r="N2469" s="1"/>
      <c r="R2469" s="1"/>
      <c r="V2469" s="1"/>
      <c r="AB2469" s="1"/>
      <c r="AF2469" s="1"/>
      <c r="AJ2469" s="1"/>
      <c r="AN2469" s="1"/>
      <c r="AS2469" s="1"/>
      <c r="AX2469" s="1"/>
    </row>
    <row r="2470" spans="1:50" x14ac:dyDescent="0.3">
      <c r="A2470" s="19">
        <f t="shared" si="194"/>
        <v>49373</v>
      </c>
      <c r="B2470">
        <f t="shared" ca="1" si="190"/>
        <v>-8.9472222222222229</v>
      </c>
      <c r="C2470" t="str">
        <f ca="1">IF(currency="USD",'Future et co'!D2470,IF(currency="EUR",'Future et co'!E2470,IF(currency="GBP",'Future et co'!F2470,FALSE)))</f>
        <v>RFR USD</v>
      </c>
      <c r="D2470" t="str">
        <f t="shared" ca="1" si="191"/>
        <v>RFR USD</v>
      </c>
      <c r="E2470" t="str">
        <f t="shared" ca="1" si="192"/>
        <v>RFR EUR</v>
      </c>
      <c r="F2470" t="str">
        <f t="shared" ca="1" si="193"/>
        <v>RFR GBP</v>
      </c>
      <c r="J2470" s="1"/>
      <c r="N2470" s="1"/>
      <c r="R2470" s="1"/>
      <c r="V2470" s="1"/>
      <c r="AB2470" s="1"/>
      <c r="AF2470" s="1"/>
      <c r="AJ2470" s="1"/>
      <c r="AN2470" s="1"/>
      <c r="AS2470" s="1"/>
      <c r="AX2470" s="1"/>
    </row>
    <row r="2471" spans="1:50" x14ac:dyDescent="0.3">
      <c r="A2471" s="19">
        <f t="shared" si="194"/>
        <v>49374</v>
      </c>
      <c r="B2471">
        <f t="shared" ca="1" si="190"/>
        <v>-8.9499999999999993</v>
      </c>
      <c r="C2471" t="str">
        <f ca="1">IF(currency="USD",'Future et co'!D2471,IF(currency="EUR",'Future et co'!E2471,IF(currency="GBP",'Future et co'!F2471,FALSE)))</f>
        <v>RFR USD</v>
      </c>
      <c r="D2471" t="str">
        <f t="shared" ca="1" si="191"/>
        <v>RFR USD</v>
      </c>
      <c r="E2471" t="str">
        <f t="shared" ca="1" si="192"/>
        <v>RFR EUR</v>
      </c>
      <c r="F2471" t="str">
        <f t="shared" ca="1" si="193"/>
        <v>RFR GBP</v>
      </c>
      <c r="J2471" s="1"/>
      <c r="N2471" s="1"/>
      <c r="R2471" s="1"/>
      <c r="V2471" s="1"/>
      <c r="AB2471" s="1"/>
      <c r="AF2471" s="1"/>
      <c r="AJ2471" s="1"/>
      <c r="AN2471" s="1"/>
      <c r="AS2471" s="1"/>
      <c r="AX2471" s="1"/>
    </row>
    <row r="2472" spans="1:50" x14ac:dyDescent="0.3">
      <c r="A2472" s="19">
        <f t="shared" si="194"/>
        <v>49375</v>
      </c>
      <c r="B2472">
        <f t="shared" ca="1" si="190"/>
        <v>-8.9527777777777775</v>
      </c>
      <c r="C2472" t="str">
        <f ca="1">IF(currency="USD",'Future et co'!D2472,IF(currency="EUR",'Future et co'!E2472,IF(currency="GBP",'Future et co'!F2472,FALSE)))</f>
        <v>RFR USD</v>
      </c>
      <c r="D2472" t="str">
        <f t="shared" ca="1" si="191"/>
        <v>RFR USD</v>
      </c>
      <c r="E2472" t="str">
        <f t="shared" ca="1" si="192"/>
        <v>RFR EUR</v>
      </c>
      <c r="F2472" t="str">
        <f t="shared" ca="1" si="193"/>
        <v>RFR GBP</v>
      </c>
      <c r="J2472" s="1"/>
      <c r="N2472" s="1"/>
      <c r="R2472" s="1"/>
      <c r="V2472" s="1"/>
      <c r="AB2472" s="1"/>
      <c r="AF2472" s="1"/>
      <c r="AJ2472" s="1"/>
      <c r="AN2472" s="1"/>
      <c r="AS2472" s="1"/>
      <c r="AX2472" s="1"/>
    </row>
    <row r="2473" spans="1:50" x14ac:dyDescent="0.3">
      <c r="A2473" s="19">
        <f t="shared" si="194"/>
        <v>49376</v>
      </c>
      <c r="B2473">
        <f t="shared" ca="1" si="190"/>
        <v>-8.9555555555555557</v>
      </c>
      <c r="C2473" t="str">
        <f ca="1">IF(currency="USD",'Future et co'!D2473,IF(currency="EUR",'Future et co'!E2473,IF(currency="GBP",'Future et co'!F2473,FALSE)))</f>
        <v>RFR USD</v>
      </c>
      <c r="D2473" t="str">
        <f t="shared" ca="1" si="191"/>
        <v>RFR USD</v>
      </c>
      <c r="E2473" t="str">
        <f t="shared" ca="1" si="192"/>
        <v>RFR EUR</v>
      </c>
      <c r="F2473" t="str">
        <f t="shared" ca="1" si="193"/>
        <v>RFR GBP</v>
      </c>
      <c r="J2473" s="1"/>
      <c r="N2473" s="1"/>
      <c r="R2473" s="1"/>
      <c r="V2473" s="1"/>
      <c r="AB2473" s="1"/>
      <c r="AF2473" s="1"/>
      <c r="AJ2473" s="1"/>
      <c r="AN2473" s="1"/>
      <c r="AS2473" s="1"/>
      <c r="AX2473" s="1"/>
    </row>
    <row r="2474" spans="1:50" x14ac:dyDescent="0.3">
      <c r="A2474" s="19">
        <f t="shared" si="194"/>
        <v>49377</v>
      </c>
      <c r="B2474">
        <f t="shared" ca="1" si="190"/>
        <v>-8.9583333333333339</v>
      </c>
      <c r="C2474" t="str">
        <f ca="1">IF(currency="USD",'Future et co'!D2474,IF(currency="EUR",'Future et co'!E2474,IF(currency="GBP",'Future et co'!F2474,FALSE)))</f>
        <v>RFR USD</v>
      </c>
      <c r="D2474" t="str">
        <f t="shared" ca="1" si="191"/>
        <v>RFR USD</v>
      </c>
      <c r="E2474" t="str">
        <f t="shared" ca="1" si="192"/>
        <v>RFR EUR</v>
      </c>
      <c r="F2474" t="str">
        <f t="shared" ca="1" si="193"/>
        <v>RFR GBP</v>
      </c>
      <c r="J2474" s="1"/>
      <c r="N2474" s="1"/>
      <c r="R2474" s="1"/>
      <c r="V2474" s="1"/>
      <c r="AB2474" s="1"/>
      <c r="AF2474" s="1"/>
      <c r="AJ2474" s="1"/>
      <c r="AN2474" s="1"/>
      <c r="AS2474" s="1"/>
      <c r="AX2474" s="1"/>
    </row>
    <row r="2475" spans="1:50" x14ac:dyDescent="0.3">
      <c r="A2475" s="19">
        <f t="shared" si="194"/>
        <v>49380</v>
      </c>
      <c r="B2475">
        <f t="shared" ca="1" si="190"/>
        <v>-8.9666666666666668</v>
      </c>
      <c r="C2475" t="str">
        <f ca="1">IF(currency="USD",'Future et co'!D2475,IF(currency="EUR",'Future et co'!E2475,IF(currency="GBP",'Future et co'!F2475,FALSE)))</f>
        <v>RFR USD</v>
      </c>
      <c r="D2475" t="str">
        <f t="shared" ca="1" si="191"/>
        <v>RFR USD</v>
      </c>
      <c r="E2475" t="str">
        <f t="shared" ca="1" si="192"/>
        <v>RFR EUR</v>
      </c>
      <c r="F2475" t="str">
        <f t="shared" ca="1" si="193"/>
        <v>RFR GBP</v>
      </c>
      <c r="J2475" s="1"/>
      <c r="N2475" s="1"/>
      <c r="R2475" s="1"/>
      <c r="V2475" s="1"/>
      <c r="AB2475" s="1"/>
      <c r="AF2475" s="1"/>
      <c r="AJ2475" s="1"/>
      <c r="AN2475" s="1"/>
      <c r="AS2475" s="1"/>
      <c r="AX2475" s="1"/>
    </row>
    <row r="2476" spans="1:50" x14ac:dyDescent="0.3">
      <c r="A2476" s="19">
        <f t="shared" si="194"/>
        <v>49381</v>
      </c>
      <c r="B2476">
        <f t="shared" ca="1" si="190"/>
        <v>-8.969444444444445</v>
      </c>
      <c r="C2476" t="str">
        <f ca="1">IF(currency="USD",'Future et co'!D2476,IF(currency="EUR",'Future et co'!E2476,IF(currency="GBP",'Future et co'!F2476,FALSE)))</f>
        <v>RFR USD</v>
      </c>
      <c r="D2476" t="str">
        <f t="shared" ca="1" si="191"/>
        <v>RFR USD</v>
      </c>
      <c r="E2476" t="str">
        <f t="shared" ca="1" si="192"/>
        <v>RFR EUR</v>
      </c>
      <c r="F2476" t="str">
        <f t="shared" ca="1" si="193"/>
        <v>RFR GBP</v>
      </c>
      <c r="J2476" s="1"/>
      <c r="N2476" s="1"/>
      <c r="R2476" s="1"/>
      <c r="V2476" s="1"/>
      <c r="AB2476" s="1"/>
      <c r="AF2476" s="1"/>
      <c r="AJ2476" s="1"/>
      <c r="AN2476" s="1"/>
      <c r="AS2476" s="1"/>
      <c r="AX2476" s="1"/>
    </row>
    <row r="2477" spans="1:50" x14ac:dyDescent="0.3">
      <c r="A2477" s="19">
        <f t="shared" si="194"/>
        <v>49382</v>
      </c>
      <c r="B2477">
        <f t="shared" ca="1" si="190"/>
        <v>-8.9722222222222214</v>
      </c>
      <c r="C2477" t="str">
        <f ca="1">IF(currency="USD",'Future et co'!D2477,IF(currency="EUR",'Future et co'!E2477,IF(currency="GBP",'Future et co'!F2477,FALSE)))</f>
        <v>RFR USD</v>
      </c>
      <c r="D2477" t="str">
        <f t="shared" ca="1" si="191"/>
        <v>RFR USD</v>
      </c>
      <c r="E2477" t="str">
        <f t="shared" ca="1" si="192"/>
        <v>RFR EUR</v>
      </c>
      <c r="F2477" t="str">
        <f t="shared" ca="1" si="193"/>
        <v>RFR GBP</v>
      </c>
      <c r="J2477" s="1"/>
      <c r="N2477" s="1"/>
      <c r="R2477" s="1"/>
      <c r="V2477" s="1"/>
      <c r="AB2477" s="1"/>
      <c r="AF2477" s="1"/>
      <c r="AJ2477" s="1"/>
      <c r="AN2477" s="1"/>
      <c r="AS2477" s="1"/>
      <c r="AX2477" s="1"/>
    </row>
    <row r="2478" spans="1:50" x14ac:dyDescent="0.3">
      <c r="A2478" s="19">
        <f t="shared" si="194"/>
        <v>49383</v>
      </c>
      <c r="B2478">
        <f t="shared" ca="1" si="190"/>
        <v>-8.9749999999999996</v>
      </c>
      <c r="C2478" t="str">
        <f ca="1">IF(currency="USD",'Future et co'!D2478,IF(currency="EUR",'Future et co'!E2478,IF(currency="GBP",'Future et co'!F2478,FALSE)))</f>
        <v>RFR USD</v>
      </c>
      <c r="D2478" t="str">
        <f t="shared" ca="1" si="191"/>
        <v>RFR USD</v>
      </c>
      <c r="E2478" t="str">
        <f t="shared" ca="1" si="192"/>
        <v>RFR EUR</v>
      </c>
      <c r="F2478" t="str">
        <f t="shared" ca="1" si="193"/>
        <v>RFR GBP</v>
      </c>
      <c r="J2478" s="1"/>
      <c r="N2478" s="1"/>
      <c r="R2478" s="1"/>
      <c r="V2478" s="1"/>
      <c r="AB2478" s="1"/>
      <c r="AF2478" s="1"/>
      <c r="AJ2478" s="1"/>
      <c r="AN2478" s="1"/>
      <c r="AS2478" s="1"/>
      <c r="AX2478" s="1"/>
    </row>
    <row r="2479" spans="1:50" x14ac:dyDescent="0.3">
      <c r="A2479" s="19">
        <f t="shared" si="194"/>
        <v>49384</v>
      </c>
      <c r="B2479">
        <f t="shared" ca="1" si="190"/>
        <v>-8.9777777777777779</v>
      </c>
      <c r="C2479" t="str">
        <f ca="1">IF(currency="USD",'Future et co'!D2479,IF(currency="EUR",'Future et co'!E2479,IF(currency="GBP",'Future et co'!F2479,FALSE)))</f>
        <v>RFR USD</v>
      </c>
      <c r="D2479" t="str">
        <f t="shared" ca="1" si="191"/>
        <v>RFR USD</v>
      </c>
      <c r="E2479" t="str">
        <f t="shared" ca="1" si="192"/>
        <v>RFR EUR</v>
      </c>
      <c r="F2479" t="str">
        <f t="shared" ca="1" si="193"/>
        <v>RFR GBP</v>
      </c>
      <c r="J2479" s="1"/>
      <c r="N2479" s="1"/>
      <c r="R2479" s="1"/>
      <c r="V2479" s="1"/>
      <c r="AB2479" s="1"/>
      <c r="AF2479" s="1"/>
      <c r="AJ2479" s="1"/>
      <c r="AN2479" s="1"/>
      <c r="AS2479" s="1"/>
      <c r="AX2479" s="1"/>
    </row>
    <row r="2480" spans="1:50" x14ac:dyDescent="0.3">
      <c r="A2480" s="19">
        <f t="shared" si="194"/>
        <v>49387</v>
      </c>
      <c r="B2480">
        <f t="shared" ca="1" si="190"/>
        <v>-8.9861111111111107</v>
      </c>
      <c r="C2480" t="str">
        <f ca="1">IF(currency="USD",'Future et co'!D2480,IF(currency="EUR",'Future et co'!E2480,IF(currency="GBP",'Future et co'!F2480,FALSE)))</f>
        <v>RFR USD</v>
      </c>
      <c r="D2480" t="str">
        <f t="shared" ca="1" si="191"/>
        <v>RFR USD</v>
      </c>
      <c r="E2480" t="str">
        <f t="shared" ca="1" si="192"/>
        <v>RFR EUR</v>
      </c>
      <c r="F2480" t="str">
        <f t="shared" ca="1" si="193"/>
        <v>RFR GBP</v>
      </c>
      <c r="J2480" s="1"/>
      <c r="N2480" s="1"/>
      <c r="R2480" s="1"/>
      <c r="V2480" s="1"/>
      <c r="AB2480" s="1"/>
      <c r="AF2480" s="1"/>
      <c r="AJ2480" s="1"/>
      <c r="AN2480" s="1"/>
      <c r="AS2480" s="1"/>
      <c r="AX2480" s="1"/>
    </row>
    <row r="2481" spans="1:50" x14ac:dyDescent="0.3">
      <c r="A2481" s="19">
        <f t="shared" si="194"/>
        <v>49388</v>
      </c>
      <c r="B2481">
        <f t="shared" ca="1" si="190"/>
        <v>-8.9888888888888889</v>
      </c>
      <c r="C2481" t="str">
        <f ca="1">IF(currency="USD",'Future et co'!D2481,IF(currency="EUR",'Future et co'!E2481,IF(currency="GBP",'Future et co'!F2481,FALSE)))</f>
        <v>RFR USD</v>
      </c>
      <c r="D2481" t="str">
        <f t="shared" ca="1" si="191"/>
        <v>RFR USD</v>
      </c>
      <c r="E2481" t="str">
        <f t="shared" ca="1" si="192"/>
        <v>RFR EUR</v>
      </c>
      <c r="F2481" t="str">
        <f t="shared" ca="1" si="193"/>
        <v>RFR GBP</v>
      </c>
      <c r="J2481" s="1"/>
      <c r="N2481" s="1"/>
      <c r="R2481" s="1"/>
      <c r="V2481" s="1"/>
      <c r="AB2481" s="1"/>
      <c r="AF2481" s="1"/>
      <c r="AJ2481" s="1"/>
      <c r="AN2481" s="1"/>
      <c r="AS2481" s="1"/>
      <c r="AX2481" s="1"/>
    </row>
    <row r="2482" spans="1:50" x14ac:dyDescent="0.3">
      <c r="A2482" s="19">
        <f t="shared" si="194"/>
        <v>49389</v>
      </c>
      <c r="B2482">
        <f t="shared" ca="1" si="190"/>
        <v>-8.9916666666666671</v>
      </c>
      <c r="C2482" t="str">
        <f ca="1">IF(currency="USD",'Future et co'!D2482,IF(currency="EUR",'Future et co'!E2482,IF(currency="GBP",'Future et co'!F2482,FALSE)))</f>
        <v>RFR USD</v>
      </c>
      <c r="D2482" t="str">
        <f t="shared" ca="1" si="191"/>
        <v>RFR USD</v>
      </c>
      <c r="E2482" t="str">
        <f t="shared" ca="1" si="192"/>
        <v>RFR EUR</v>
      </c>
      <c r="F2482" t="str">
        <f t="shared" ca="1" si="193"/>
        <v>RFR GBP</v>
      </c>
      <c r="J2482" s="1"/>
      <c r="N2482" s="1"/>
      <c r="R2482" s="1"/>
      <c r="V2482" s="1"/>
      <c r="AB2482" s="1"/>
      <c r="AF2482" s="1"/>
      <c r="AJ2482" s="1"/>
      <c r="AN2482" s="1"/>
      <c r="AS2482" s="1"/>
      <c r="AX2482" s="1"/>
    </row>
    <row r="2483" spans="1:50" x14ac:dyDescent="0.3">
      <c r="A2483" s="19">
        <f t="shared" si="194"/>
        <v>49390</v>
      </c>
      <c r="B2483">
        <f t="shared" ca="1" si="190"/>
        <v>-8.9944444444444436</v>
      </c>
      <c r="C2483" t="str">
        <f ca="1">IF(currency="USD",'Future et co'!D2483,IF(currency="EUR",'Future et co'!E2483,IF(currency="GBP",'Future et co'!F2483,FALSE)))</f>
        <v>RFR USD</v>
      </c>
      <c r="D2483" t="str">
        <f t="shared" ca="1" si="191"/>
        <v>RFR USD</v>
      </c>
      <c r="E2483" t="str">
        <f t="shared" ca="1" si="192"/>
        <v>RFR EUR</v>
      </c>
      <c r="F2483" t="str">
        <f t="shared" ca="1" si="193"/>
        <v>RFR GBP</v>
      </c>
      <c r="J2483" s="1"/>
      <c r="N2483" s="1"/>
      <c r="R2483" s="1"/>
      <c r="V2483" s="1"/>
      <c r="AB2483" s="1"/>
      <c r="AF2483" s="1"/>
      <c r="AJ2483" s="1"/>
      <c r="AN2483" s="1"/>
      <c r="AS2483" s="1"/>
      <c r="AX2483" s="1"/>
    </row>
    <row r="2484" spans="1:50" x14ac:dyDescent="0.3">
      <c r="A2484" s="19">
        <f t="shared" si="194"/>
        <v>49391</v>
      </c>
      <c r="B2484">
        <f t="shared" ca="1" si="190"/>
        <v>-8.9972222222222218</v>
      </c>
      <c r="C2484" t="str">
        <f ca="1">IF(currency="USD",'Future et co'!D2484,IF(currency="EUR",'Future et co'!E2484,IF(currency="GBP",'Future et co'!F2484,FALSE)))</f>
        <v>RFR USD</v>
      </c>
      <c r="D2484" t="str">
        <f t="shared" ca="1" si="191"/>
        <v>RFR USD</v>
      </c>
      <c r="E2484" t="str">
        <f t="shared" ca="1" si="192"/>
        <v>RFR EUR</v>
      </c>
      <c r="F2484" t="str">
        <f t="shared" ca="1" si="193"/>
        <v>RFR GBP</v>
      </c>
      <c r="J2484" s="1"/>
      <c r="N2484" s="1"/>
      <c r="R2484" s="1"/>
      <c r="V2484" s="1"/>
      <c r="AB2484" s="1"/>
      <c r="AF2484" s="1"/>
      <c r="AJ2484" s="1"/>
      <c r="AN2484" s="1"/>
      <c r="AS2484" s="1"/>
      <c r="AX2484" s="1"/>
    </row>
    <row r="2485" spans="1:50" x14ac:dyDescent="0.3">
      <c r="A2485" s="19">
        <f t="shared" si="194"/>
        <v>49394</v>
      </c>
      <c r="B2485">
        <f t="shared" ca="1" si="190"/>
        <v>-9.0055555555555564</v>
      </c>
      <c r="C2485" t="str">
        <f ca="1">IF(currency="USD",'Future et co'!D2485,IF(currency="EUR",'Future et co'!E2485,IF(currency="GBP",'Future et co'!F2485,FALSE)))</f>
        <v>RFR USD</v>
      </c>
      <c r="D2485" t="str">
        <f t="shared" ca="1" si="191"/>
        <v>RFR USD</v>
      </c>
      <c r="E2485" t="str">
        <f t="shared" ca="1" si="192"/>
        <v>RFR EUR</v>
      </c>
      <c r="F2485" t="str">
        <f t="shared" ca="1" si="193"/>
        <v>RFR GBP</v>
      </c>
      <c r="J2485" s="1"/>
      <c r="N2485" s="1"/>
      <c r="R2485" s="1"/>
      <c r="V2485" s="1"/>
      <c r="AB2485" s="1"/>
      <c r="AF2485" s="1"/>
      <c r="AJ2485" s="1"/>
      <c r="AN2485" s="1"/>
      <c r="AS2485" s="1"/>
      <c r="AX2485" s="1"/>
    </row>
    <row r="2486" spans="1:50" x14ac:dyDescent="0.3">
      <c r="A2486" s="19">
        <f t="shared" si="194"/>
        <v>49395</v>
      </c>
      <c r="B2486">
        <f t="shared" ca="1" si="190"/>
        <v>-9.0083333333333329</v>
      </c>
      <c r="C2486" t="str">
        <f ca="1">IF(currency="USD",'Future et co'!D2486,IF(currency="EUR",'Future et co'!E2486,IF(currency="GBP",'Future et co'!F2486,FALSE)))</f>
        <v>RFR USD</v>
      </c>
      <c r="D2486" t="str">
        <f t="shared" ca="1" si="191"/>
        <v>RFR USD</v>
      </c>
      <c r="E2486" t="str">
        <f t="shared" ca="1" si="192"/>
        <v>RFR EUR</v>
      </c>
      <c r="F2486" t="str">
        <f t="shared" ca="1" si="193"/>
        <v>RFR GBP</v>
      </c>
      <c r="J2486" s="1"/>
      <c r="N2486" s="1"/>
      <c r="R2486" s="1"/>
      <c r="V2486" s="1"/>
      <c r="AB2486" s="1"/>
      <c r="AF2486" s="1"/>
      <c r="AJ2486" s="1"/>
      <c r="AN2486" s="1"/>
      <c r="AS2486" s="1"/>
      <c r="AX2486" s="1"/>
    </row>
    <row r="2487" spans="1:50" x14ac:dyDescent="0.3">
      <c r="A2487" s="19">
        <f t="shared" si="194"/>
        <v>49396</v>
      </c>
      <c r="B2487">
        <f t="shared" ca="1" si="190"/>
        <v>-9.0111111111111111</v>
      </c>
      <c r="C2487" t="str">
        <f ca="1">IF(currency="USD",'Future et co'!D2487,IF(currency="EUR",'Future et co'!E2487,IF(currency="GBP",'Future et co'!F2487,FALSE)))</f>
        <v>RFR USD</v>
      </c>
      <c r="D2487" t="str">
        <f t="shared" ca="1" si="191"/>
        <v>RFR USD</v>
      </c>
      <c r="E2487" t="str">
        <f t="shared" ca="1" si="192"/>
        <v>RFR EUR</v>
      </c>
      <c r="F2487" t="str">
        <f t="shared" ca="1" si="193"/>
        <v>RFR GBP</v>
      </c>
      <c r="J2487" s="1"/>
      <c r="N2487" s="1"/>
      <c r="R2487" s="1"/>
      <c r="V2487" s="1"/>
      <c r="AB2487" s="1"/>
      <c r="AF2487" s="1"/>
      <c r="AJ2487" s="1"/>
      <c r="AN2487" s="1"/>
      <c r="AS2487" s="1"/>
      <c r="AX2487" s="1"/>
    </row>
    <row r="2488" spans="1:50" x14ac:dyDescent="0.3">
      <c r="A2488" s="19">
        <f t="shared" si="194"/>
        <v>49397</v>
      </c>
      <c r="B2488">
        <f t="shared" ca="1" si="190"/>
        <v>-9.0138888888888893</v>
      </c>
      <c r="C2488" t="str">
        <f ca="1">IF(currency="USD",'Future et co'!D2488,IF(currency="EUR",'Future et co'!E2488,IF(currency="GBP",'Future et co'!F2488,FALSE)))</f>
        <v>RFR USD</v>
      </c>
      <c r="D2488" t="str">
        <f t="shared" ca="1" si="191"/>
        <v>RFR USD</v>
      </c>
      <c r="E2488" t="str">
        <f t="shared" ca="1" si="192"/>
        <v>RFR EUR</v>
      </c>
      <c r="F2488" t="str">
        <f t="shared" ca="1" si="193"/>
        <v>RFR GBP</v>
      </c>
      <c r="J2488" s="1"/>
      <c r="N2488" s="1"/>
      <c r="R2488" s="1"/>
      <c r="V2488" s="1"/>
      <c r="AB2488" s="1"/>
      <c r="AF2488" s="1"/>
      <c r="AJ2488" s="1"/>
      <c r="AN2488" s="1"/>
      <c r="AS2488" s="1"/>
      <c r="AX2488" s="1"/>
    </row>
    <row r="2489" spans="1:50" x14ac:dyDescent="0.3">
      <c r="A2489" s="19">
        <f t="shared" si="194"/>
        <v>49398</v>
      </c>
      <c r="B2489">
        <f t="shared" ca="1" si="190"/>
        <v>-9.0166666666666675</v>
      </c>
      <c r="C2489" t="str">
        <f ca="1">IF(currency="USD",'Future et co'!D2489,IF(currency="EUR",'Future et co'!E2489,IF(currency="GBP",'Future et co'!F2489,FALSE)))</f>
        <v>RFR USD</v>
      </c>
      <c r="D2489" t="str">
        <f t="shared" ca="1" si="191"/>
        <v>RFR USD</v>
      </c>
      <c r="E2489" t="str">
        <f t="shared" ca="1" si="192"/>
        <v>RFR EUR</v>
      </c>
      <c r="F2489" t="str">
        <f t="shared" ca="1" si="193"/>
        <v>RFR GBP</v>
      </c>
      <c r="J2489" s="1"/>
      <c r="N2489" s="1"/>
      <c r="R2489" s="1"/>
      <c r="V2489" s="1"/>
      <c r="AB2489" s="1"/>
      <c r="AF2489" s="1"/>
      <c r="AJ2489" s="1"/>
      <c r="AN2489" s="1"/>
      <c r="AS2489" s="1"/>
      <c r="AX2489" s="1"/>
    </row>
    <row r="2490" spans="1:50" x14ac:dyDescent="0.3">
      <c r="A2490" s="19">
        <f t="shared" si="194"/>
        <v>49401</v>
      </c>
      <c r="B2490">
        <f t="shared" ca="1" si="190"/>
        <v>-9.0250000000000004</v>
      </c>
      <c r="C2490" t="str">
        <f ca="1">IF(currency="USD",'Future et co'!D2490,IF(currency="EUR",'Future et co'!E2490,IF(currency="GBP",'Future et co'!F2490,FALSE)))</f>
        <v>RFR USD</v>
      </c>
      <c r="D2490" t="str">
        <f t="shared" ca="1" si="191"/>
        <v>RFR USD</v>
      </c>
      <c r="E2490" t="str">
        <f t="shared" ca="1" si="192"/>
        <v>RFR EUR</v>
      </c>
      <c r="F2490" t="str">
        <f t="shared" ca="1" si="193"/>
        <v>RFR GBP</v>
      </c>
      <c r="J2490" s="1"/>
      <c r="N2490" s="1"/>
      <c r="R2490" s="1"/>
      <c r="V2490" s="1"/>
      <c r="AB2490" s="1"/>
      <c r="AF2490" s="1"/>
      <c r="AJ2490" s="1"/>
      <c r="AN2490" s="1"/>
      <c r="AS2490" s="1"/>
      <c r="AX2490" s="1"/>
    </row>
    <row r="2491" spans="1:50" x14ac:dyDescent="0.3">
      <c r="A2491" s="19">
        <f t="shared" si="194"/>
        <v>49402</v>
      </c>
      <c r="B2491">
        <f t="shared" ca="1" si="190"/>
        <v>-9.0277777777777786</v>
      </c>
      <c r="C2491" t="str">
        <f ca="1">IF(currency="USD",'Future et co'!D2491,IF(currency="EUR",'Future et co'!E2491,IF(currency="GBP",'Future et co'!F2491,FALSE)))</f>
        <v>RFR USD</v>
      </c>
      <c r="D2491" t="str">
        <f t="shared" ca="1" si="191"/>
        <v>RFR USD</v>
      </c>
      <c r="E2491" t="str">
        <f t="shared" ca="1" si="192"/>
        <v>RFR EUR</v>
      </c>
      <c r="F2491" t="str">
        <f t="shared" ca="1" si="193"/>
        <v>RFR GBP</v>
      </c>
      <c r="J2491" s="1"/>
      <c r="N2491" s="1"/>
      <c r="R2491" s="1"/>
      <c r="V2491" s="1"/>
      <c r="AB2491" s="1"/>
      <c r="AF2491" s="1"/>
      <c r="AJ2491" s="1"/>
      <c r="AN2491" s="1"/>
      <c r="AS2491" s="1"/>
      <c r="AX2491" s="1"/>
    </row>
    <row r="2492" spans="1:50" x14ac:dyDescent="0.3">
      <c r="A2492" s="19">
        <f t="shared" si="194"/>
        <v>49403</v>
      </c>
      <c r="B2492">
        <f t="shared" ca="1" si="190"/>
        <v>-9.030555555555555</v>
      </c>
      <c r="C2492" t="str">
        <f ca="1">IF(currency="USD",'Future et co'!D2492,IF(currency="EUR",'Future et co'!E2492,IF(currency="GBP",'Future et co'!F2492,FALSE)))</f>
        <v>RFR USD</v>
      </c>
      <c r="D2492" t="str">
        <f t="shared" ca="1" si="191"/>
        <v>RFR USD</v>
      </c>
      <c r="E2492" t="str">
        <f t="shared" ca="1" si="192"/>
        <v>RFR EUR</v>
      </c>
      <c r="F2492" t="str">
        <f t="shared" ca="1" si="193"/>
        <v>RFR GBP</v>
      </c>
      <c r="J2492" s="1"/>
      <c r="N2492" s="1"/>
      <c r="R2492" s="1"/>
      <c r="V2492" s="1"/>
      <c r="AB2492" s="1"/>
      <c r="AF2492" s="1"/>
      <c r="AJ2492" s="1"/>
      <c r="AN2492" s="1"/>
      <c r="AS2492" s="1"/>
      <c r="AX2492" s="1"/>
    </row>
    <row r="2493" spans="1:50" x14ac:dyDescent="0.3">
      <c r="A2493" s="19">
        <f t="shared" si="194"/>
        <v>49404</v>
      </c>
      <c r="B2493">
        <f t="shared" ca="1" si="190"/>
        <v>-9.0333333333333332</v>
      </c>
      <c r="C2493" t="str">
        <f ca="1">IF(currency="USD",'Future et co'!D2493,IF(currency="EUR",'Future et co'!E2493,IF(currency="GBP",'Future et co'!F2493,FALSE)))</f>
        <v>RFR USD</v>
      </c>
      <c r="D2493" t="str">
        <f t="shared" ca="1" si="191"/>
        <v>RFR USD</v>
      </c>
      <c r="E2493" t="str">
        <f t="shared" ca="1" si="192"/>
        <v>RFR EUR</v>
      </c>
      <c r="F2493" t="str">
        <f t="shared" ca="1" si="193"/>
        <v>RFR GBP</v>
      </c>
      <c r="J2493" s="1"/>
      <c r="N2493" s="1"/>
      <c r="R2493" s="1"/>
      <c r="V2493" s="1"/>
      <c r="AB2493" s="1"/>
      <c r="AF2493" s="1"/>
      <c r="AJ2493" s="1"/>
      <c r="AN2493" s="1"/>
      <c r="AS2493" s="1"/>
      <c r="AX2493" s="1"/>
    </row>
    <row r="2494" spans="1:50" x14ac:dyDescent="0.3">
      <c r="A2494" s="19">
        <f t="shared" si="194"/>
        <v>49405</v>
      </c>
      <c r="B2494">
        <f t="shared" ca="1" si="190"/>
        <v>-9.0361111111111114</v>
      </c>
      <c r="C2494" t="str">
        <f ca="1">IF(currency="USD",'Future et co'!D2494,IF(currency="EUR",'Future et co'!E2494,IF(currency="GBP",'Future et co'!F2494,FALSE)))</f>
        <v>RFR USD</v>
      </c>
      <c r="D2494" t="str">
        <f t="shared" ca="1" si="191"/>
        <v>RFR USD</v>
      </c>
      <c r="E2494" t="str">
        <f t="shared" ca="1" si="192"/>
        <v>RFR EUR</v>
      </c>
      <c r="F2494" t="str">
        <f t="shared" ca="1" si="193"/>
        <v>RFR GBP</v>
      </c>
      <c r="J2494" s="1"/>
      <c r="N2494" s="1"/>
      <c r="R2494" s="1"/>
      <c r="V2494" s="1"/>
      <c r="AB2494" s="1"/>
      <c r="AF2494" s="1"/>
      <c r="AJ2494" s="1"/>
      <c r="AN2494" s="1"/>
      <c r="AS2494" s="1"/>
      <c r="AX2494" s="1"/>
    </row>
    <row r="2495" spans="1:50" x14ac:dyDescent="0.3">
      <c r="A2495" s="19">
        <f t="shared" si="194"/>
        <v>49408</v>
      </c>
      <c r="B2495">
        <f t="shared" ca="1" si="190"/>
        <v>-9.0444444444444443</v>
      </c>
      <c r="C2495" t="str">
        <f ca="1">IF(currency="USD",'Future et co'!D2495,IF(currency="EUR",'Future et co'!E2495,IF(currency="GBP",'Future et co'!F2495,FALSE)))</f>
        <v>RFR USD</v>
      </c>
      <c r="D2495" t="str">
        <f t="shared" ca="1" si="191"/>
        <v>RFR USD</v>
      </c>
      <c r="E2495" t="str">
        <f t="shared" ca="1" si="192"/>
        <v>RFR EUR</v>
      </c>
      <c r="F2495" t="str">
        <f t="shared" ca="1" si="193"/>
        <v>RFR GBP</v>
      </c>
      <c r="J2495" s="1"/>
      <c r="N2495" s="1"/>
      <c r="R2495" s="1"/>
      <c r="V2495" s="1"/>
      <c r="AB2495" s="1"/>
      <c r="AF2495" s="1"/>
      <c r="AJ2495" s="1"/>
      <c r="AN2495" s="1"/>
      <c r="AS2495" s="1"/>
      <c r="AX2495" s="1"/>
    </row>
    <row r="2496" spans="1:50" x14ac:dyDescent="0.3">
      <c r="A2496" s="19">
        <f t="shared" si="194"/>
        <v>49409</v>
      </c>
      <c r="B2496">
        <f t="shared" ca="1" si="190"/>
        <v>-9.0472222222222225</v>
      </c>
      <c r="C2496" t="str">
        <f ca="1">IF(currency="USD",'Future et co'!D2496,IF(currency="EUR",'Future et co'!E2496,IF(currency="GBP",'Future et co'!F2496,FALSE)))</f>
        <v>RFR USD</v>
      </c>
      <c r="D2496" t="str">
        <f t="shared" ca="1" si="191"/>
        <v>RFR USD</v>
      </c>
      <c r="E2496" t="str">
        <f t="shared" ca="1" si="192"/>
        <v>RFR EUR</v>
      </c>
      <c r="F2496" t="str">
        <f t="shared" ca="1" si="193"/>
        <v>RFR GBP</v>
      </c>
      <c r="J2496" s="1"/>
      <c r="N2496" s="1"/>
      <c r="R2496" s="1"/>
      <c r="V2496" s="1"/>
      <c r="AB2496" s="1"/>
      <c r="AF2496" s="1"/>
      <c r="AJ2496" s="1"/>
      <c r="AN2496" s="1"/>
      <c r="AS2496" s="1"/>
      <c r="AX2496" s="1"/>
    </row>
    <row r="2497" spans="1:50" x14ac:dyDescent="0.3">
      <c r="A2497" s="19">
        <f t="shared" si="194"/>
        <v>49410</v>
      </c>
      <c r="B2497">
        <f t="shared" ca="1" si="190"/>
        <v>-9.0500000000000007</v>
      </c>
      <c r="C2497" t="str">
        <f ca="1">IF(currency="USD",'Future et co'!D2497,IF(currency="EUR",'Future et co'!E2497,IF(currency="GBP",'Future et co'!F2497,FALSE)))</f>
        <v>RFR USD</v>
      </c>
      <c r="D2497" t="str">
        <f t="shared" ca="1" si="191"/>
        <v>RFR USD</v>
      </c>
      <c r="E2497" t="str">
        <f t="shared" ca="1" si="192"/>
        <v>RFR EUR</v>
      </c>
      <c r="F2497" t="str">
        <f t="shared" ca="1" si="193"/>
        <v>RFR GBP</v>
      </c>
      <c r="J2497" s="1"/>
      <c r="N2497" s="1"/>
      <c r="R2497" s="1"/>
      <c r="V2497" s="1"/>
      <c r="AB2497" s="1"/>
      <c r="AF2497" s="1"/>
      <c r="AJ2497" s="1"/>
      <c r="AN2497" s="1"/>
      <c r="AS2497" s="1"/>
      <c r="AX2497" s="1"/>
    </row>
    <row r="2498" spans="1:50" x14ac:dyDescent="0.3">
      <c r="A2498" s="19">
        <f t="shared" si="194"/>
        <v>49411</v>
      </c>
      <c r="B2498">
        <f t="shared" ca="1" si="190"/>
        <v>-9.0527777777777771</v>
      </c>
      <c r="C2498" t="str">
        <f ca="1">IF(currency="USD",'Future et co'!D2498,IF(currency="EUR",'Future et co'!E2498,IF(currency="GBP",'Future et co'!F2498,FALSE)))</f>
        <v>RFR USD</v>
      </c>
      <c r="D2498" t="str">
        <f t="shared" ca="1" si="191"/>
        <v>RFR USD</v>
      </c>
      <c r="E2498" t="str">
        <f t="shared" ca="1" si="192"/>
        <v>RFR EUR</v>
      </c>
      <c r="F2498" t="str">
        <f t="shared" ca="1" si="193"/>
        <v>RFR GBP</v>
      </c>
      <c r="J2498" s="1"/>
      <c r="N2498" s="1"/>
      <c r="R2498" s="1"/>
      <c r="V2498" s="1"/>
      <c r="AB2498" s="1"/>
      <c r="AF2498" s="1"/>
      <c r="AJ2498" s="1"/>
      <c r="AN2498" s="1"/>
      <c r="AS2498" s="1"/>
      <c r="AX2498" s="1"/>
    </row>
    <row r="2499" spans="1:50" x14ac:dyDescent="0.3">
      <c r="A2499" s="19">
        <f t="shared" si="194"/>
        <v>49412</v>
      </c>
      <c r="B2499">
        <f t="shared" ca="1" si="190"/>
        <v>-9.0555555555555554</v>
      </c>
      <c r="C2499" t="str">
        <f ca="1">IF(currency="USD",'Future et co'!D2499,IF(currency="EUR",'Future et co'!E2499,IF(currency="GBP",'Future et co'!F2499,FALSE)))</f>
        <v>RFR USD</v>
      </c>
      <c r="D2499" t="str">
        <f t="shared" ca="1" si="191"/>
        <v>RFR USD</v>
      </c>
      <c r="E2499" t="str">
        <f t="shared" ca="1" si="192"/>
        <v>RFR EUR</v>
      </c>
      <c r="F2499" t="str">
        <f t="shared" ca="1" si="193"/>
        <v>RFR GBP</v>
      </c>
      <c r="J2499" s="1"/>
      <c r="N2499" s="1"/>
      <c r="R2499" s="1"/>
      <c r="V2499" s="1"/>
      <c r="AB2499" s="1"/>
      <c r="AF2499" s="1"/>
      <c r="AJ2499" s="1"/>
      <c r="AN2499" s="1"/>
      <c r="AS2499" s="1"/>
      <c r="AX2499" s="1"/>
    </row>
    <row r="2500" spans="1:50" x14ac:dyDescent="0.3">
      <c r="A2500" s="19">
        <f t="shared" si="194"/>
        <v>49415</v>
      </c>
      <c r="B2500">
        <f t="shared" ca="1" si="190"/>
        <v>-9.0638888888888882</v>
      </c>
      <c r="C2500" t="str">
        <f ca="1">IF(currency="USD",'Future et co'!D2500,IF(currency="EUR",'Future et co'!E2500,IF(currency="GBP",'Future et co'!F2500,FALSE)))</f>
        <v>RFR USD</v>
      </c>
      <c r="D2500" t="str">
        <f t="shared" ca="1" si="191"/>
        <v>RFR USD</v>
      </c>
      <c r="E2500" t="str">
        <f t="shared" ca="1" si="192"/>
        <v>RFR EUR</v>
      </c>
      <c r="F2500" t="str">
        <f t="shared" ca="1" si="193"/>
        <v>RFR GBP</v>
      </c>
      <c r="J2500" s="1"/>
      <c r="N2500" s="1"/>
      <c r="R2500" s="1"/>
      <c r="V2500" s="1"/>
      <c r="AB2500" s="1"/>
      <c r="AF2500" s="1"/>
      <c r="AJ2500" s="1"/>
      <c r="AN2500" s="1"/>
      <c r="AS2500" s="1"/>
      <c r="AX2500" s="1"/>
    </row>
    <row r="2501" spans="1:50" x14ac:dyDescent="0.3">
      <c r="A2501" s="19">
        <f t="shared" si="194"/>
        <v>49416</v>
      </c>
      <c r="B2501">
        <f t="shared" ca="1" si="190"/>
        <v>-9.0666666666666664</v>
      </c>
      <c r="C2501" t="str">
        <f ca="1">IF(currency="USD",'Future et co'!D2501,IF(currency="EUR",'Future et co'!E2501,IF(currency="GBP",'Future et co'!F2501,FALSE)))</f>
        <v>RFR USD</v>
      </c>
      <c r="D2501" t="str">
        <f t="shared" ca="1" si="191"/>
        <v>RFR USD</v>
      </c>
      <c r="E2501" t="str">
        <f t="shared" ca="1" si="192"/>
        <v>RFR EUR</v>
      </c>
      <c r="F2501" t="str">
        <f t="shared" ca="1" si="193"/>
        <v>RFR GBP</v>
      </c>
      <c r="J2501" s="1"/>
      <c r="N2501" s="1"/>
      <c r="R2501" s="1"/>
      <c r="V2501" s="1"/>
      <c r="AB2501" s="1"/>
      <c r="AF2501" s="1"/>
      <c r="AJ2501" s="1"/>
      <c r="AN2501" s="1"/>
      <c r="AS2501" s="1"/>
      <c r="AX2501" s="1"/>
    </row>
    <row r="2502" spans="1:50" x14ac:dyDescent="0.3">
      <c r="A2502" s="19">
        <f t="shared" si="194"/>
        <v>49417</v>
      </c>
      <c r="B2502">
        <f t="shared" ca="1" si="190"/>
        <v>-9.0694444444444446</v>
      </c>
      <c r="C2502" t="str">
        <f ca="1">IF(currency="USD",'Future et co'!D2502,IF(currency="EUR",'Future et co'!E2502,IF(currency="GBP",'Future et co'!F2502,FALSE)))</f>
        <v>RFR USD</v>
      </c>
      <c r="D2502" t="str">
        <f t="shared" ca="1" si="191"/>
        <v>RFR USD</v>
      </c>
      <c r="E2502" t="str">
        <f t="shared" ca="1" si="192"/>
        <v>RFR EUR</v>
      </c>
      <c r="F2502" t="str">
        <f t="shared" ca="1" si="193"/>
        <v>RFR GBP</v>
      </c>
      <c r="J2502" s="1"/>
      <c r="N2502" s="1"/>
      <c r="R2502" s="1"/>
      <c r="V2502" s="1"/>
      <c r="AB2502" s="1"/>
      <c r="AF2502" s="1"/>
      <c r="AJ2502" s="1"/>
      <c r="AN2502" s="1"/>
      <c r="AS2502" s="1"/>
      <c r="AX2502" s="1"/>
    </row>
    <row r="2503" spans="1:50" x14ac:dyDescent="0.3">
      <c r="A2503" s="19">
        <f t="shared" si="194"/>
        <v>49418</v>
      </c>
      <c r="B2503">
        <f t="shared" ca="1" si="190"/>
        <v>-9.0722222222222229</v>
      </c>
      <c r="C2503" t="str">
        <f ca="1">IF(currency="USD",'Future et co'!D2503,IF(currency="EUR",'Future et co'!E2503,IF(currency="GBP",'Future et co'!F2503,FALSE)))</f>
        <v>RFR USD</v>
      </c>
      <c r="D2503" t="str">
        <f t="shared" ca="1" si="191"/>
        <v>RFR USD</v>
      </c>
      <c r="E2503" t="str">
        <f t="shared" ca="1" si="192"/>
        <v>RFR EUR</v>
      </c>
      <c r="F2503" t="str">
        <f t="shared" ca="1" si="193"/>
        <v>RFR GBP</v>
      </c>
      <c r="J2503" s="1"/>
      <c r="N2503" s="1"/>
      <c r="R2503" s="1"/>
      <c r="V2503" s="1"/>
      <c r="AB2503" s="1"/>
      <c r="AF2503" s="1"/>
      <c r="AJ2503" s="1"/>
      <c r="AN2503" s="1"/>
      <c r="AS2503" s="1"/>
      <c r="AX2503" s="1"/>
    </row>
    <row r="2504" spans="1:50" x14ac:dyDescent="0.3">
      <c r="A2504" s="19">
        <f t="shared" si="194"/>
        <v>49419</v>
      </c>
      <c r="B2504">
        <f t="shared" ca="1" si="190"/>
        <v>-9.0749999999999993</v>
      </c>
      <c r="C2504" t="str">
        <f ca="1">IF(currency="USD",'Future et co'!D2504,IF(currency="EUR",'Future et co'!E2504,IF(currency="GBP",'Future et co'!F2504,FALSE)))</f>
        <v>RFR USD</v>
      </c>
      <c r="D2504" t="str">
        <f t="shared" ca="1" si="191"/>
        <v>RFR USD</v>
      </c>
      <c r="E2504" t="str">
        <f t="shared" ca="1" si="192"/>
        <v>RFR EUR</v>
      </c>
      <c r="F2504" t="str">
        <f t="shared" ca="1" si="193"/>
        <v>RFR GBP</v>
      </c>
      <c r="J2504" s="1"/>
      <c r="N2504" s="1"/>
      <c r="R2504" s="1"/>
      <c r="V2504" s="1"/>
      <c r="AB2504" s="1"/>
      <c r="AF2504" s="1"/>
      <c r="AJ2504" s="1"/>
      <c r="AN2504" s="1"/>
      <c r="AS2504" s="1"/>
      <c r="AX2504" s="1"/>
    </row>
    <row r="2505" spans="1:50" x14ac:dyDescent="0.3">
      <c r="A2505" s="19">
        <f t="shared" si="194"/>
        <v>49422</v>
      </c>
      <c r="B2505">
        <f t="shared" ca="1" si="190"/>
        <v>-9.0833333333333339</v>
      </c>
      <c r="C2505" t="str">
        <f ca="1">IF(currency="USD",'Future et co'!D2505,IF(currency="EUR",'Future et co'!E2505,IF(currency="GBP",'Future et co'!F2505,FALSE)))</f>
        <v>RFR USD</v>
      </c>
      <c r="D2505" t="str">
        <f t="shared" ca="1" si="191"/>
        <v>RFR USD</v>
      </c>
      <c r="E2505" t="str">
        <f t="shared" ca="1" si="192"/>
        <v>RFR EUR</v>
      </c>
      <c r="F2505" t="str">
        <f t="shared" ca="1" si="193"/>
        <v>RFR GBP</v>
      </c>
      <c r="J2505" s="1"/>
      <c r="N2505" s="1"/>
      <c r="R2505" s="1"/>
      <c r="V2505" s="1"/>
      <c r="AB2505" s="1"/>
      <c r="AF2505" s="1"/>
      <c r="AJ2505" s="1"/>
      <c r="AN2505" s="1"/>
      <c r="AS2505" s="1"/>
      <c r="AX2505" s="1"/>
    </row>
    <row r="2506" spans="1:50" x14ac:dyDescent="0.3">
      <c r="A2506" s="19">
        <f t="shared" si="194"/>
        <v>49423</v>
      </c>
      <c r="B2506">
        <f t="shared" ca="1" si="190"/>
        <v>-9.0861111111111104</v>
      </c>
      <c r="C2506" t="str">
        <f ca="1">IF(currency="USD",'Future et co'!D2506,IF(currency="EUR",'Future et co'!E2506,IF(currency="GBP",'Future et co'!F2506,FALSE)))</f>
        <v>RFR USD</v>
      </c>
      <c r="D2506" t="str">
        <f t="shared" ca="1" si="191"/>
        <v>RFR USD</v>
      </c>
      <c r="E2506" t="str">
        <f t="shared" ca="1" si="192"/>
        <v>RFR EUR</v>
      </c>
      <c r="F2506" t="str">
        <f t="shared" ca="1" si="193"/>
        <v>RFR GBP</v>
      </c>
      <c r="J2506" s="1"/>
      <c r="N2506" s="1"/>
      <c r="R2506" s="1"/>
      <c r="V2506" s="1"/>
      <c r="AB2506" s="1"/>
      <c r="AF2506" s="1"/>
      <c r="AJ2506" s="1"/>
      <c r="AN2506" s="1"/>
      <c r="AS2506" s="1"/>
      <c r="AX2506" s="1"/>
    </row>
    <row r="2507" spans="1:50" x14ac:dyDescent="0.3">
      <c r="A2507" s="19">
        <f t="shared" si="194"/>
        <v>49424</v>
      </c>
      <c r="B2507">
        <f t="shared" ref="B2507:B2570" ca="1" si="195">($B$7-A2507)/360</f>
        <v>-9.0888888888888886</v>
      </c>
      <c r="C2507" t="str">
        <f ca="1">IF(currency="USD",'Future et co'!D2507,IF(currency="EUR",'Future et co'!E2507,IF(currency="GBP",'Future et co'!F2507,FALSE)))</f>
        <v>RFR USD</v>
      </c>
      <c r="D2507" t="str">
        <f t="shared" ref="D2507:D2570" ca="1" si="196">IFERROR(IF(B2507&lt;0.25,VLOOKUP(A2507,$J$11:$L$5325,3,FALSE),IF(AND(B2507&gt;=0.25,B2507&lt;0.5),VLOOKUP(A2507,$N$11:$P$5325,3,FALSE),IF(AND(B2507&gt;=0.5,B2507&lt;1),VLOOKUP(A2507,$R$11:$T$5325,3,FALSE),VLOOKUP(A2507,$V$11:$X$5010,3,FALSE)))),D2506)</f>
        <v>RFR USD</v>
      </c>
      <c r="E2507" t="str">
        <f t="shared" ref="E2507:E2570" ca="1" si="197">IFERROR(IF(B2507&lt;0.25,VLOOKUP(A2507,$AF$11:$AH$5325,3,FALSE),IF(AND(B2507&gt;=0.25,B2507&lt;0.5),VLOOKUP(A2507,$AJ$11:$AL$5325,3,FALSE),VLOOKUP(A2507,$AN$11:$AP$5325,3,FALSE))),E2506)</f>
        <v>RFR EUR</v>
      </c>
      <c r="F2507" t="str">
        <f t="shared" ref="F2507:F2570" ca="1" si="198">IFERROR(VLOOKUP(A2507,$AS$11:$AU$9999,3,FALSE),F2506)</f>
        <v>RFR GBP</v>
      </c>
      <c r="J2507" s="1"/>
      <c r="N2507" s="1"/>
      <c r="R2507" s="1"/>
      <c r="V2507" s="1"/>
      <c r="AB2507" s="1"/>
      <c r="AF2507" s="1"/>
      <c r="AJ2507" s="1"/>
      <c r="AN2507" s="1"/>
      <c r="AS2507" s="1"/>
      <c r="AX2507" s="1"/>
    </row>
    <row r="2508" spans="1:50" x14ac:dyDescent="0.3">
      <c r="A2508" s="19">
        <f t="shared" si="194"/>
        <v>49425</v>
      </c>
      <c r="B2508">
        <f t="shared" ca="1" si="195"/>
        <v>-9.0916666666666668</v>
      </c>
      <c r="C2508" t="str">
        <f ca="1">IF(currency="USD",'Future et co'!D2508,IF(currency="EUR",'Future et co'!E2508,IF(currency="GBP",'Future et co'!F2508,FALSE)))</f>
        <v>RFR USD</v>
      </c>
      <c r="D2508" t="str">
        <f t="shared" ca="1" si="196"/>
        <v>RFR USD</v>
      </c>
      <c r="E2508" t="str">
        <f t="shared" ca="1" si="197"/>
        <v>RFR EUR</v>
      </c>
      <c r="F2508" t="str">
        <f t="shared" ca="1" si="198"/>
        <v>RFR GBP</v>
      </c>
      <c r="J2508" s="1"/>
      <c r="N2508" s="1"/>
      <c r="R2508" s="1"/>
      <c r="V2508" s="1"/>
      <c r="AB2508" s="1"/>
      <c r="AF2508" s="1"/>
      <c r="AJ2508" s="1"/>
      <c r="AN2508" s="1"/>
      <c r="AS2508" s="1"/>
      <c r="AX2508" s="1"/>
    </row>
    <row r="2509" spans="1:50" x14ac:dyDescent="0.3">
      <c r="A2509" s="19">
        <f t="shared" ref="A2509:A2572" si="199">WORKDAY(A2508,1)</f>
        <v>49426</v>
      </c>
      <c r="B2509">
        <f t="shared" ca="1" si="195"/>
        <v>-9.094444444444445</v>
      </c>
      <c r="C2509" t="str">
        <f ca="1">IF(currency="USD",'Future et co'!D2509,IF(currency="EUR",'Future et co'!E2509,IF(currency="GBP",'Future et co'!F2509,FALSE)))</f>
        <v>RFR USD</v>
      </c>
      <c r="D2509" t="str">
        <f t="shared" ca="1" si="196"/>
        <v>RFR USD</v>
      </c>
      <c r="E2509" t="str">
        <f t="shared" ca="1" si="197"/>
        <v>RFR EUR</v>
      </c>
      <c r="F2509" t="str">
        <f t="shared" ca="1" si="198"/>
        <v>RFR GBP</v>
      </c>
      <c r="J2509" s="1"/>
      <c r="N2509" s="1"/>
      <c r="R2509" s="1"/>
      <c r="V2509" s="1"/>
      <c r="AB2509" s="1"/>
      <c r="AF2509" s="1"/>
      <c r="AJ2509" s="1"/>
      <c r="AN2509" s="1"/>
      <c r="AS2509" s="1"/>
      <c r="AX2509" s="1"/>
    </row>
    <row r="2510" spans="1:50" x14ac:dyDescent="0.3">
      <c r="A2510" s="19">
        <f t="shared" si="199"/>
        <v>49429</v>
      </c>
      <c r="B2510">
        <f t="shared" ca="1" si="195"/>
        <v>-9.1027777777777779</v>
      </c>
      <c r="C2510" t="str">
        <f ca="1">IF(currency="USD",'Future et co'!D2510,IF(currency="EUR",'Future et co'!E2510,IF(currency="GBP",'Future et co'!F2510,FALSE)))</f>
        <v>RFR USD</v>
      </c>
      <c r="D2510" t="str">
        <f t="shared" ca="1" si="196"/>
        <v>RFR USD</v>
      </c>
      <c r="E2510" t="str">
        <f t="shared" ca="1" si="197"/>
        <v>RFR EUR</v>
      </c>
      <c r="F2510" t="str">
        <f t="shared" ca="1" si="198"/>
        <v>RFR GBP</v>
      </c>
      <c r="J2510" s="1"/>
      <c r="N2510" s="1"/>
      <c r="R2510" s="1"/>
      <c r="V2510" s="1"/>
      <c r="AB2510" s="1"/>
      <c r="AF2510" s="1"/>
      <c r="AJ2510" s="1"/>
      <c r="AN2510" s="1"/>
      <c r="AS2510" s="1"/>
      <c r="AX2510" s="1"/>
    </row>
    <row r="2511" spans="1:50" x14ac:dyDescent="0.3">
      <c r="A2511" s="19">
        <f t="shared" si="199"/>
        <v>49430</v>
      </c>
      <c r="B2511">
        <f t="shared" ca="1" si="195"/>
        <v>-9.1055555555555561</v>
      </c>
      <c r="C2511" t="str">
        <f ca="1">IF(currency="USD",'Future et co'!D2511,IF(currency="EUR",'Future et co'!E2511,IF(currency="GBP",'Future et co'!F2511,FALSE)))</f>
        <v>RFR USD</v>
      </c>
      <c r="D2511" t="str">
        <f t="shared" ca="1" si="196"/>
        <v>RFR USD</v>
      </c>
      <c r="E2511" t="str">
        <f t="shared" ca="1" si="197"/>
        <v>RFR EUR</v>
      </c>
      <c r="F2511" t="str">
        <f t="shared" ca="1" si="198"/>
        <v>RFR GBP</v>
      </c>
      <c r="J2511" s="1"/>
      <c r="N2511" s="1"/>
      <c r="R2511" s="1"/>
      <c r="V2511" s="1"/>
      <c r="AB2511" s="1"/>
      <c r="AF2511" s="1"/>
      <c r="AJ2511" s="1"/>
      <c r="AN2511" s="1"/>
      <c r="AS2511" s="1"/>
      <c r="AX2511" s="1"/>
    </row>
    <row r="2512" spans="1:50" x14ac:dyDescent="0.3">
      <c r="A2512" s="19">
        <f t="shared" si="199"/>
        <v>49431</v>
      </c>
      <c r="B2512">
        <f t="shared" ca="1" si="195"/>
        <v>-9.1083333333333325</v>
      </c>
      <c r="C2512" t="str">
        <f ca="1">IF(currency="USD",'Future et co'!D2512,IF(currency="EUR",'Future et co'!E2512,IF(currency="GBP",'Future et co'!F2512,FALSE)))</f>
        <v>RFR USD</v>
      </c>
      <c r="D2512" t="str">
        <f t="shared" ca="1" si="196"/>
        <v>RFR USD</v>
      </c>
      <c r="E2512" t="str">
        <f t="shared" ca="1" si="197"/>
        <v>RFR EUR</v>
      </c>
      <c r="F2512" t="str">
        <f t="shared" ca="1" si="198"/>
        <v>RFR GBP</v>
      </c>
      <c r="J2512" s="1"/>
      <c r="N2512" s="1"/>
      <c r="R2512" s="1"/>
      <c r="V2512" s="1"/>
      <c r="AB2512" s="1"/>
      <c r="AF2512" s="1"/>
      <c r="AJ2512" s="1"/>
      <c r="AN2512" s="1"/>
      <c r="AS2512" s="1"/>
      <c r="AX2512" s="1"/>
    </row>
    <row r="2513" spans="1:50" x14ac:dyDescent="0.3">
      <c r="A2513" s="19">
        <f t="shared" si="199"/>
        <v>49432</v>
      </c>
      <c r="B2513">
        <f t="shared" ca="1" si="195"/>
        <v>-9.1111111111111107</v>
      </c>
      <c r="C2513" t="str">
        <f ca="1">IF(currency="USD",'Future et co'!D2513,IF(currency="EUR",'Future et co'!E2513,IF(currency="GBP",'Future et co'!F2513,FALSE)))</f>
        <v>RFR USD</v>
      </c>
      <c r="D2513" t="str">
        <f t="shared" ca="1" si="196"/>
        <v>RFR USD</v>
      </c>
      <c r="E2513" t="str">
        <f t="shared" ca="1" si="197"/>
        <v>RFR EUR</v>
      </c>
      <c r="F2513" t="str">
        <f t="shared" ca="1" si="198"/>
        <v>RFR GBP</v>
      </c>
      <c r="J2513" s="1"/>
      <c r="N2513" s="1"/>
      <c r="R2513" s="1"/>
      <c r="V2513" s="1"/>
      <c r="AB2513" s="1"/>
      <c r="AF2513" s="1"/>
      <c r="AJ2513" s="1"/>
      <c r="AN2513" s="1"/>
      <c r="AS2513" s="1"/>
      <c r="AX2513" s="1"/>
    </row>
    <row r="2514" spans="1:50" x14ac:dyDescent="0.3">
      <c r="A2514" s="19">
        <f t="shared" si="199"/>
        <v>49433</v>
      </c>
      <c r="B2514">
        <f t="shared" ca="1" si="195"/>
        <v>-9.1138888888888889</v>
      </c>
      <c r="C2514" t="str">
        <f ca="1">IF(currency="USD",'Future et co'!D2514,IF(currency="EUR",'Future et co'!E2514,IF(currency="GBP",'Future et co'!F2514,FALSE)))</f>
        <v>RFR USD</v>
      </c>
      <c r="D2514" t="str">
        <f t="shared" ca="1" si="196"/>
        <v>RFR USD</v>
      </c>
      <c r="E2514" t="str">
        <f t="shared" ca="1" si="197"/>
        <v>RFR EUR</v>
      </c>
      <c r="F2514" t="str">
        <f t="shared" ca="1" si="198"/>
        <v>RFR GBP</v>
      </c>
      <c r="J2514" s="1"/>
      <c r="N2514" s="1"/>
      <c r="R2514" s="1"/>
      <c r="V2514" s="1"/>
      <c r="AB2514" s="1"/>
      <c r="AF2514" s="1"/>
      <c r="AJ2514" s="1"/>
      <c r="AN2514" s="1"/>
      <c r="AS2514" s="1"/>
      <c r="AX2514" s="1"/>
    </row>
    <row r="2515" spans="1:50" x14ac:dyDescent="0.3">
      <c r="A2515" s="19">
        <f t="shared" si="199"/>
        <v>49436</v>
      </c>
      <c r="B2515">
        <f t="shared" ca="1" si="195"/>
        <v>-9.1222222222222218</v>
      </c>
      <c r="C2515" t="str">
        <f ca="1">IF(currency="USD",'Future et co'!D2515,IF(currency="EUR",'Future et co'!E2515,IF(currency="GBP",'Future et co'!F2515,FALSE)))</f>
        <v>RFR USD</v>
      </c>
      <c r="D2515" t="str">
        <f t="shared" ca="1" si="196"/>
        <v>RFR USD</v>
      </c>
      <c r="E2515" t="str">
        <f t="shared" ca="1" si="197"/>
        <v>RFR EUR</v>
      </c>
      <c r="F2515" t="str">
        <f t="shared" ca="1" si="198"/>
        <v>RFR GBP</v>
      </c>
      <c r="J2515" s="1"/>
      <c r="N2515" s="1"/>
      <c r="R2515" s="1"/>
      <c r="V2515" s="1"/>
      <c r="AB2515" s="1"/>
      <c r="AF2515" s="1"/>
      <c r="AJ2515" s="1"/>
      <c r="AN2515" s="1"/>
      <c r="AS2515" s="1"/>
      <c r="AX2515" s="1"/>
    </row>
    <row r="2516" spans="1:50" x14ac:dyDescent="0.3">
      <c r="A2516" s="19">
        <f t="shared" si="199"/>
        <v>49437</v>
      </c>
      <c r="B2516">
        <f t="shared" ca="1" si="195"/>
        <v>-9.125</v>
      </c>
      <c r="C2516" t="str">
        <f ca="1">IF(currency="USD",'Future et co'!D2516,IF(currency="EUR",'Future et co'!E2516,IF(currency="GBP",'Future et co'!F2516,FALSE)))</f>
        <v>RFR USD</v>
      </c>
      <c r="D2516" t="str">
        <f t="shared" ca="1" si="196"/>
        <v>RFR USD</v>
      </c>
      <c r="E2516" t="str">
        <f t="shared" ca="1" si="197"/>
        <v>RFR EUR</v>
      </c>
      <c r="F2516" t="str">
        <f t="shared" ca="1" si="198"/>
        <v>RFR GBP</v>
      </c>
      <c r="J2516" s="1"/>
      <c r="N2516" s="1"/>
      <c r="R2516" s="1"/>
      <c r="V2516" s="1"/>
      <c r="AB2516" s="1"/>
      <c r="AF2516" s="1"/>
      <c r="AJ2516" s="1"/>
      <c r="AN2516" s="1"/>
      <c r="AS2516" s="1"/>
      <c r="AX2516" s="1"/>
    </row>
    <row r="2517" spans="1:50" x14ac:dyDescent="0.3">
      <c r="A2517" s="19">
        <f t="shared" si="199"/>
        <v>49438</v>
      </c>
      <c r="B2517">
        <f t="shared" ca="1" si="195"/>
        <v>-9.1277777777777782</v>
      </c>
      <c r="C2517" t="str">
        <f ca="1">IF(currency="USD",'Future et co'!D2517,IF(currency="EUR",'Future et co'!E2517,IF(currency="GBP",'Future et co'!F2517,FALSE)))</f>
        <v>RFR USD</v>
      </c>
      <c r="D2517" t="str">
        <f t="shared" ca="1" si="196"/>
        <v>RFR USD</v>
      </c>
      <c r="E2517" t="str">
        <f t="shared" ca="1" si="197"/>
        <v>RFR EUR</v>
      </c>
      <c r="F2517" t="str">
        <f t="shared" ca="1" si="198"/>
        <v>RFR GBP</v>
      </c>
      <c r="J2517" s="1"/>
      <c r="N2517" s="1"/>
      <c r="R2517" s="1"/>
      <c r="V2517" s="1"/>
      <c r="AB2517" s="1"/>
      <c r="AF2517" s="1"/>
      <c r="AJ2517" s="1"/>
      <c r="AN2517" s="1"/>
      <c r="AS2517" s="1"/>
      <c r="AX2517" s="1"/>
    </row>
    <row r="2518" spans="1:50" x14ac:dyDescent="0.3">
      <c r="A2518" s="19">
        <f t="shared" si="199"/>
        <v>49439</v>
      </c>
      <c r="B2518">
        <f t="shared" ca="1" si="195"/>
        <v>-9.1305555555555564</v>
      </c>
      <c r="C2518" t="str">
        <f ca="1">IF(currency="USD",'Future et co'!D2518,IF(currency="EUR",'Future et co'!E2518,IF(currency="GBP",'Future et co'!F2518,FALSE)))</f>
        <v>RFR USD</v>
      </c>
      <c r="D2518" t="str">
        <f t="shared" ca="1" si="196"/>
        <v>RFR USD</v>
      </c>
      <c r="E2518" t="str">
        <f t="shared" ca="1" si="197"/>
        <v>RFR EUR</v>
      </c>
      <c r="F2518" t="str">
        <f t="shared" ca="1" si="198"/>
        <v>RFR GBP</v>
      </c>
      <c r="J2518" s="1"/>
      <c r="N2518" s="1"/>
      <c r="R2518" s="1"/>
      <c r="V2518" s="1"/>
      <c r="AB2518" s="1"/>
      <c r="AF2518" s="1"/>
      <c r="AJ2518" s="1"/>
      <c r="AN2518" s="1"/>
      <c r="AS2518" s="1"/>
      <c r="AX2518" s="1"/>
    </row>
    <row r="2519" spans="1:50" x14ac:dyDescent="0.3">
      <c r="A2519" s="19">
        <f t="shared" si="199"/>
        <v>49440</v>
      </c>
      <c r="B2519">
        <f t="shared" ca="1" si="195"/>
        <v>-9.1333333333333329</v>
      </c>
      <c r="C2519" t="str">
        <f ca="1">IF(currency="USD",'Future et co'!D2519,IF(currency="EUR",'Future et co'!E2519,IF(currency="GBP",'Future et co'!F2519,FALSE)))</f>
        <v>RFR USD</v>
      </c>
      <c r="D2519" t="str">
        <f t="shared" ca="1" si="196"/>
        <v>RFR USD</v>
      </c>
      <c r="E2519" t="str">
        <f t="shared" ca="1" si="197"/>
        <v>RFR EUR</v>
      </c>
      <c r="F2519" t="str">
        <f t="shared" ca="1" si="198"/>
        <v>RFR GBP</v>
      </c>
      <c r="J2519" s="1"/>
      <c r="N2519" s="1"/>
      <c r="R2519" s="1"/>
      <c r="V2519" s="1"/>
      <c r="AB2519" s="1"/>
      <c r="AF2519" s="1"/>
      <c r="AJ2519" s="1"/>
      <c r="AN2519" s="1"/>
      <c r="AS2519" s="1"/>
      <c r="AX2519" s="1"/>
    </row>
    <row r="2520" spans="1:50" x14ac:dyDescent="0.3">
      <c r="A2520" s="19">
        <f t="shared" si="199"/>
        <v>49443</v>
      </c>
      <c r="B2520">
        <f t="shared" ca="1" si="195"/>
        <v>-9.1416666666666675</v>
      </c>
      <c r="C2520" t="str">
        <f ca="1">IF(currency="USD",'Future et co'!D2520,IF(currency="EUR",'Future et co'!E2520,IF(currency="GBP",'Future et co'!F2520,FALSE)))</f>
        <v>RFR USD</v>
      </c>
      <c r="D2520" t="str">
        <f t="shared" ca="1" si="196"/>
        <v>RFR USD</v>
      </c>
      <c r="E2520" t="str">
        <f t="shared" ca="1" si="197"/>
        <v>RFR EUR</v>
      </c>
      <c r="F2520" t="str">
        <f t="shared" ca="1" si="198"/>
        <v>RFR GBP</v>
      </c>
      <c r="J2520" s="1"/>
      <c r="N2520" s="1"/>
      <c r="R2520" s="1"/>
      <c r="V2520" s="1"/>
      <c r="AB2520" s="1"/>
      <c r="AF2520" s="1"/>
      <c r="AJ2520" s="1"/>
      <c r="AN2520" s="1"/>
      <c r="AS2520" s="1"/>
      <c r="AX2520" s="1"/>
    </row>
    <row r="2521" spans="1:50" x14ac:dyDescent="0.3">
      <c r="A2521" s="19">
        <f t="shared" si="199"/>
        <v>49444</v>
      </c>
      <c r="B2521">
        <f t="shared" ca="1" si="195"/>
        <v>-9.1444444444444439</v>
      </c>
      <c r="C2521" t="str">
        <f ca="1">IF(currency="USD",'Future et co'!D2521,IF(currency="EUR",'Future et co'!E2521,IF(currency="GBP",'Future et co'!F2521,FALSE)))</f>
        <v>RFR USD</v>
      </c>
      <c r="D2521" t="str">
        <f t="shared" ca="1" si="196"/>
        <v>RFR USD</v>
      </c>
      <c r="E2521" t="str">
        <f t="shared" ca="1" si="197"/>
        <v>RFR EUR</v>
      </c>
      <c r="F2521" t="str">
        <f t="shared" ca="1" si="198"/>
        <v>RFR GBP</v>
      </c>
      <c r="J2521" s="1"/>
      <c r="N2521" s="1"/>
      <c r="R2521" s="1"/>
      <c r="V2521" s="1"/>
      <c r="AB2521" s="1"/>
      <c r="AF2521" s="1"/>
      <c r="AJ2521" s="1"/>
      <c r="AN2521" s="1"/>
      <c r="AS2521" s="1"/>
      <c r="AX2521" s="1"/>
    </row>
    <row r="2522" spans="1:50" x14ac:dyDescent="0.3">
      <c r="A2522" s="19">
        <f t="shared" si="199"/>
        <v>49445</v>
      </c>
      <c r="B2522">
        <f t="shared" ca="1" si="195"/>
        <v>-9.1472222222222221</v>
      </c>
      <c r="C2522" t="str">
        <f ca="1">IF(currency="USD",'Future et co'!D2522,IF(currency="EUR",'Future et co'!E2522,IF(currency="GBP",'Future et co'!F2522,FALSE)))</f>
        <v>RFR USD</v>
      </c>
      <c r="D2522" t="str">
        <f t="shared" ca="1" si="196"/>
        <v>RFR USD</v>
      </c>
      <c r="E2522" t="str">
        <f t="shared" ca="1" si="197"/>
        <v>RFR EUR</v>
      </c>
      <c r="F2522" t="str">
        <f t="shared" ca="1" si="198"/>
        <v>RFR GBP</v>
      </c>
      <c r="J2522" s="1"/>
      <c r="N2522" s="1"/>
      <c r="R2522" s="1"/>
      <c r="V2522" s="1"/>
      <c r="AB2522" s="1"/>
      <c r="AF2522" s="1"/>
      <c r="AJ2522" s="1"/>
      <c r="AN2522" s="1"/>
      <c r="AS2522" s="1"/>
      <c r="AX2522" s="1"/>
    </row>
    <row r="2523" spans="1:50" x14ac:dyDescent="0.3">
      <c r="A2523" s="19">
        <f t="shared" si="199"/>
        <v>49446</v>
      </c>
      <c r="B2523">
        <f t="shared" ca="1" si="195"/>
        <v>-9.15</v>
      </c>
      <c r="C2523" t="str">
        <f ca="1">IF(currency="USD",'Future et co'!D2523,IF(currency="EUR",'Future et co'!E2523,IF(currency="GBP",'Future et co'!F2523,FALSE)))</f>
        <v>RFR USD</v>
      </c>
      <c r="D2523" t="str">
        <f t="shared" ca="1" si="196"/>
        <v>RFR USD</v>
      </c>
      <c r="E2523" t="str">
        <f t="shared" ca="1" si="197"/>
        <v>RFR EUR</v>
      </c>
      <c r="F2523" t="str">
        <f t="shared" ca="1" si="198"/>
        <v>RFR GBP</v>
      </c>
      <c r="J2523" s="1"/>
      <c r="N2523" s="1"/>
      <c r="R2523" s="1"/>
      <c r="V2523" s="1"/>
      <c r="AB2523" s="1"/>
      <c r="AF2523" s="1"/>
      <c r="AJ2523" s="1"/>
      <c r="AN2523" s="1"/>
      <c r="AS2523" s="1"/>
      <c r="AX2523" s="1"/>
    </row>
    <row r="2524" spans="1:50" x14ac:dyDescent="0.3">
      <c r="A2524" s="19">
        <f t="shared" si="199"/>
        <v>49447</v>
      </c>
      <c r="B2524">
        <f t="shared" ca="1" si="195"/>
        <v>-9.1527777777777786</v>
      </c>
      <c r="C2524" t="str">
        <f ca="1">IF(currency="USD",'Future et co'!D2524,IF(currency="EUR",'Future et co'!E2524,IF(currency="GBP",'Future et co'!F2524,FALSE)))</f>
        <v>RFR USD</v>
      </c>
      <c r="D2524" t="str">
        <f t="shared" ca="1" si="196"/>
        <v>RFR USD</v>
      </c>
      <c r="E2524" t="str">
        <f t="shared" ca="1" si="197"/>
        <v>RFR EUR</v>
      </c>
      <c r="F2524" t="str">
        <f t="shared" ca="1" si="198"/>
        <v>RFR GBP</v>
      </c>
      <c r="J2524" s="1"/>
      <c r="N2524" s="1"/>
      <c r="R2524" s="1"/>
      <c r="V2524" s="1"/>
      <c r="AB2524" s="1"/>
      <c r="AF2524" s="1"/>
      <c r="AJ2524" s="1"/>
      <c r="AN2524" s="1"/>
      <c r="AS2524" s="1"/>
      <c r="AX2524" s="1"/>
    </row>
    <row r="2525" spans="1:50" x14ac:dyDescent="0.3">
      <c r="A2525" s="19">
        <f t="shared" si="199"/>
        <v>49450</v>
      </c>
      <c r="B2525">
        <f t="shared" ca="1" si="195"/>
        <v>-9.1611111111111114</v>
      </c>
      <c r="C2525" t="str">
        <f ca="1">IF(currency="USD",'Future et co'!D2525,IF(currency="EUR",'Future et co'!E2525,IF(currency="GBP",'Future et co'!F2525,FALSE)))</f>
        <v>RFR USD</v>
      </c>
      <c r="D2525" t="str">
        <f t="shared" ca="1" si="196"/>
        <v>RFR USD</v>
      </c>
      <c r="E2525" t="str">
        <f t="shared" ca="1" si="197"/>
        <v>RFR EUR</v>
      </c>
      <c r="F2525" t="str">
        <f t="shared" ca="1" si="198"/>
        <v>RFR GBP</v>
      </c>
      <c r="J2525" s="1"/>
      <c r="N2525" s="1"/>
      <c r="R2525" s="1"/>
      <c r="V2525" s="1"/>
      <c r="AB2525" s="1"/>
      <c r="AF2525" s="1"/>
      <c r="AJ2525" s="1"/>
      <c r="AN2525" s="1"/>
      <c r="AS2525" s="1"/>
      <c r="AX2525" s="1"/>
    </row>
    <row r="2526" spans="1:50" x14ac:dyDescent="0.3">
      <c r="A2526" s="19">
        <f t="shared" si="199"/>
        <v>49451</v>
      </c>
      <c r="B2526">
        <f t="shared" ca="1" si="195"/>
        <v>-9.1638888888888896</v>
      </c>
      <c r="C2526" t="str">
        <f ca="1">IF(currency="USD",'Future et co'!D2526,IF(currency="EUR",'Future et co'!E2526,IF(currency="GBP",'Future et co'!F2526,FALSE)))</f>
        <v>RFR USD</v>
      </c>
      <c r="D2526" t="str">
        <f t="shared" ca="1" si="196"/>
        <v>RFR USD</v>
      </c>
      <c r="E2526" t="str">
        <f t="shared" ca="1" si="197"/>
        <v>RFR EUR</v>
      </c>
      <c r="F2526" t="str">
        <f t="shared" ca="1" si="198"/>
        <v>RFR GBP</v>
      </c>
      <c r="J2526" s="1"/>
      <c r="N2526" s="1"/>
      <c r="R2526" s="1"/>
      <c r="V2526" s="1"/>
      <c r="AB2526" s="1"/>
      <c r="AF2526" s="1"/>
      <c r="AJ2526" s="1"/>
      <c r="AN2526" s="1"/>
      <c r="AS2526" s="1"/>
      <c r="AX2526" s="1"/>
    </row>
    <row r="2527" spans="1:50" x14ac:dyDescent="0.3">
      <c r="A2527" s="19">
        <f t="shared" si="199"/>
        <v>49452</v>
      </c>
      <c r="B2527">
        <f t="shared" ca="1" si="195"/>
        <v>-9.1666666666666661</v>
      </c>
      <c r="C2527" t="str">
        <f ca="1">IF(currency="USD",'Future et co'!D2527,IF(currency="EUR",'Future et co'!E2527,IF(currency="GBP",'Future et co'!F2527,FALSE)))</f>
        <v>RFR USD</v>
      </c>
      <c r="D2527" t="str">
        <f t="shared" ca="1" si="196"/>
        <v>RFR USD</v>
      </c>
      <c r="E2527" t="str">
        <f t="shared" ca="1" si="197"/>
        <v>RFR EUR</v>
      </c>
      <c r="F2527" t="str">
        <f t="shared" ca="1" si="198"/>
        <v>RFR GBP</v>
      </c>
      <c r="J2527" s="1"/>
      <c r="N2527" s="1"/>
      <c r="R2527" s="1"/>
      <c r="V2527" s="1"/>
      <c r="AB2527" s="1"/>
      <c r="AF2527" s="1"/>
      <c r="AJ2527" s="1"/>
      <c r="AN2527" s="1"/>
      <c r="AS2527" s="1"/>
      <c r="AX2527" s="1"/>
    </row>
    <row r="2528" spans="1:50" x14ac:dyDescent="0.3">
      <c r="A2528" s="19">
        <f t="shared" si="199"/>
        <v>49453</v>
      </c>
      <c r="B2528">
        <f t="shared" ca="1" si="195"/>
        <v>-9.1694444444444443</v>
      </c>
      <c r="C2528" t="str">
        <f ca="1">IF(currency="USD",'Future et co'!D2528,IF(currency="EUR",'Future et co'!E2528,IF(currency="GBP",'Future et co'!F2528,FALSE)))</f>
        <v>RFR USD</v>
      </c>
      <c r="D2528" t="str">
        <f t="shared" ca="1" si="196"/>
        <v>RFR USD</v>
      </c>
      <c r="E2528" t="str">
        <f t="shared" ca="1" si="197"/>
        <v>RFR EUR</v>
      </c>
      <c r="F2528" t="str">
        <f t="shared" ca="1" si="198"/>
        <v>RFR GBP</v>
      </c>
      <c r="J2528" s="1"/>
      <c r="N2528" s="1"/>
      <c r="R2528" s="1"/>
      <c r="V2528" s="1"/>
      <c r="AB2528" s="1"/>
      <c r="AF2528" s="1"/>
      <c r="AJ2528" s="1"/>
      <c r="AN2528" s="1"/>
      <c r="AS2528" s="1"/>
      <c r="AX2528" s="1"/>
    </row>
    <row r="2529" spans="1:50" x14ac:dyDescent="0.3">
      <c r="A2529" s="19">
        <f t="shared" si="199"/>
        <v>49454</v>
      </c>
      <c r="B2529">
        <f t="shared" ca="1" si="195"/>
        <v>-9.1722222222222225</v>
      </c>
      <c r="C2529" t="str">
        <f ca="1">IF(currency="USD",'Future et co'!D2529,IF(currency="EUR",'Future et co'!E2529,IF(currency="GBP",'Future et co'!F2529,FALSE)))</f>
        <v>RFR USD</v>
      </c>
      <c r="D2529" t="str">
        <f t="shared" ca="1" si="196"/>
        <v>RFR USD</v>
      </c>
      <c r="E2529" t="str">
        <f t="shared" ca="1" si="197"/>
        <v>RFR EUR</v>
      </c>
      <c r="F2529" t="str">
        <f t="shared" ca="1" si="198"/>
        <v>RFR GBP</v>
      </c>
      <c r="J2529" s="1"/>
      <c r="N2529" s="1"/>
      <c r="R2529" s="1"/>
      <c r="V2529" s="1"/>
      <c r="AB2529" s="1"/>
      <c r="AF2529" s="1"/>
      <c r="AJ2529" s="1"/>
      <c r="AN2529" s="1"/>
      <c r="AS2529" s="1"/>
      <c r="AX2529" s="1"/>
    </row>
    <row r="2530" spans="1:50" x14ac:dyDescent="0.3">
      <c r="A2530" s="19">
        <f t="shared" si="199"/>
        <v>49457</v>
      </c>
      <c r="B2530">
        <f t="shared" ca="1" si="195"/>
        <v>-9.1805555555555554</v>
      </c>
      <c r="C2530" t="str">
        <f ca="1">IF(currency="USD",'Future et co'!D2530,IF(currency="EUR",'Future et co'!E2530,IF(currency="GBP",'Future et co'!F2530,FALSE)))</f>
        <v>RFR USD</v>
      </c>
      <c r="D2530" t="str">
        <f t="shared" ca="1" si="196"/>
        <v>RFR USD</v>
      </c>
      <c r="E2530" t="str">
        <f t="shared" ca="1" si="197"/>
        <v>RFR EUR</v>
      </c>
      <c r="F2530" t="str">
        <f t="shared" ca="1" si="198"/>
        <v>RFR GBP</v>
      </c>
      <c r="J2530" s="1"/>
      <c r="N2530" s="1"/>
      <c r="R2530" s="1"/>
      <c r="V2530" s="1"/>
      <c r="AB2530" s="1"/>
      <c r="AF2530" s="1"/>
      <c r="AJ2530" s="1"/>
      <c r="AN2530" s="1"/>
      <c r="AS2530" s="1"/>
      <c r="AX2530" s="1"/>
    </row>
    <row r="2531" spans="1:50" x14ac:dyDescent="0.3">
      <c r="A2531" s="19">
        <f t="shared" si="199"/>
        <v>49458</v>
      </c>
      <c r="B2531">
        <f t="shared" ca="1" si="195"/>
        <v>-9.1833333333333336</v>
      </c>
      <c r="C2531" t="str">
        <f ca="1">IF(currency="USD",'Future et co'!D2531,IF(currency="EUR",'Future et co'!E2531,IF(currency="GBP",'Future et co'!F2531,FALSE)))</f>
        <v>RFR USD</v>
      </c>
      <c r="D2531" t="str">
        <f t="shared" ca="1" si="196"/>
        <v>RFR USD</v>
      </c>
      <c r="E2531" t="str">
        <f t="shared" ca="1" si="197"/>
        <v>RFR EUR</v>
      </c>
      <c r="F2531" t="str">
        <f t="shared" ca="1" si="198"/>
        <v>RFR GBP</v>
      </c>
      <c r="J2531" s="1"/>
      <c r="N2531" s="1"/>
      <c r="R2531" s="1"/>
      <c r="V2531" s="1"/>
      <c r="AB2531" s="1"/>
      <c r="AF2531" s="1"/>
      <c r="AJ2531" s="1"/>
      <c r="AN2531" s="1"/>
      <c r="AS2531" s="1"/>
      <c r="AX2531" s="1"/>
    </row>
    <row r="2532" spans="1:50" x14ac:dyDescent="0.3">
      <c r="A2532" s="19">
        <f t="shared" si="199"/>
        <v>49459</v>
      </c>
      <c r="B2532">
        <f t="shared" ca="1" si="195"/>
        <v>-9.1861111111111118</v>
      </c>
      <c r="C2532" t="str">
        <f ca="1">IF(currency="USD",'Future et co'!D2532,IF(currency="EUR",'Future et co'!E2532,IF(currency="GBP",'Future et co'!F2532,FALSE)))</f>
        <v>RFR USD</v>
      </c>
      <c r="D2532" t="str">
        <f t="shared" ca="1" si="196"/>
        <v>RFR USD</v>
      </c>
      <c r="E2532" t="str">
        <f t="shared" ca="1" si="197"/>
        <v>RFR EUR</v>
      </c>
      <c r="F2532" t="str">
        <f t="shared" ca="1" si="198"/>
        <v>RFR GBP</v>
      </c>
      <c r="J2532" s="1"/>
      <c r="N2532" s="1"/>
      <c r="R2532" s="1"/>
      <c r="V2532" s="1"/>
      <c r="AB2532" s="1"/>
      <c r="AF2532" s="1"/>
      <c r="AJ2532" s="1"/>
      <c r="AN2532" s="1"/>
      <c r="AS2532" s="1"/>
      <c r="AX2532" s="1"/>
    </row>
    <row r="2533" spans="1:50" x14ac:dyDescent="0.3">
      <c r="A2533" s="19">
        <f t="shared" si="199"/>
        <v>49460</v>
      </c>
      <c r="B2533">
        <f t="shared" ca="1" si="195"/>
        <v>-9.1888888888888882</v>
      </c>
      <c r="C2533" t="str">
        <f ca="1">IF(currency="USD",'Future et co'!D2533,IF(currency="EUR",'Future et co'!E2533,IF(currency="GBP",'Future et co'!F2533,FALSE)))</f>
        <v>RFR USD</v>
      </c>
      <c r="D2533" t="str">
        <f t="shared" ca="1" si="196"/>
        <v>RFR USD</v>
      </c>
      <c r="E2533" t="str">
        <f t="shared" ca="1" si="197"/>
        <v>RFR EUR</v>
      </c>
      <c r="F2533" t="str">
        <f t="shared" ca="1" si="198"/>
        <v>RFR GBP</v>
      </c>
      <c r="J2533" s="1"/>
      <c r="N2533" s="1"/>
      <c r="R2533" s="1"/>
      <c r="V2533" s="1"/>
      <c r="AB2533" s="1"/>
      <c r="AF2533" s="1"/>
      <c r="AJ2533" s="1"/>
      <c r="AN2533" s="1"/>
      <c r="AS2533" s="1"/>
      <c r="AX2533" s="1"/>
    </row>
    <row r="2534" spans="1:50" x14ac:dyDescent="0.3">
      <c r="A2534" s="19">
        <f t="shared" si="199"/>
        <v>49461</v>
      </c>
      <c r="B2534">
        <f t="shared" ca="1" si="195"/>
        <v>-9.1916666666666664</v>
      </c>
      <c r="C2534" t="str">
        <f ca="1">IF(currency="USD",'Future et co'!D2534,IF(currency="EUR",'Future et co'!E2534,IF(currency="GBP",'Future et co'!F2534,FALSE)))</f>
        <v>RFR USD</v>
      </c>
      <c r="D2534" t="str">
        <f t="shared" ca="1" si="196"/>
        <v>RFR USD</v>
      </c>
      <c r="E2534" t="str">
        <f t="shared" ca="1" si="197"/>
        <v>RFR EUR</v>
      </c>
      <c r="F2534" t="str">
        <f t="shared" ca="1" si="198"/>
        <v>RFR GBP</v>
      </c>
      <c r="J2534" s="1"/>
      <c r="N2534" s="1"/>
      <c r="R2534" s="1"/>
      <c r="V2534" s="1"/>
      <c r="AB2534" s="1"/>
      <c r="AF2534" s="1"/>
      <c r="AJ2534" s="1"/>
      <c r="AN2534" s="1"/>
      <c r="AS2534" s="1"/>
      <c r="AX2534" s="1"/>
    </row>
    <row r="2535" spans="1:50" x14ac:dyDescent="0.3">
      <c r="A2535" s="19">
        <f t="shared" si="199"/>
        <v>49464</v>
      </c>
      <c r="B2535">
        <f t="shared" ca="1" si="195"/>
        <v>-9.1999999999999993</v>
      </c>
      <c r="C2535" t="str">
        <f ca="1">IF(currency="USD",'Future et co'!D2535,IF(currency="EUR",'Future et co'!E2535,IF(currency="GBP",'Future et co'!F2535,FALSE)))</f>
        <v>RFR USD</v>
      </c>
      <c r="D2535" t="str">
        <f t="shared" ca="1" si="196"/>
        <v>RFR USD</v>
      </c>
      <c r="E2535" t="str">
        <f t="shared" ca="1" si="197"/>
        <v>RFR EUR</v>
      </c>
      <c r="F2535" t="str">
        <f t="shared" ca="1" si="198"/>
        <v>RFR GBP</v>
      </c>
      <c r="J2535" s="1"/>
      <c r="N2535" s="1"/>
      <c r="R2535" s="1"/>
      <c r="V2535" s="1"/>
      <c r="AB2535" s="1"/>
      <c r="AF2535" s="1"/>
      <c r="AJ2535" s="1"/>
      <c r="AN2535" s="1"/>
      <c r="AS2535" s="1"/>
      <c r="AX2535" s="1"/>
    </row>
    <row r="2536" spans="1:50" x14ac:dyDescent="0.3">
      <c r="A2536" s="19">
        <f t="shared" si="199"/>
        <v>49465</v>
      </c>
      <c r="B2536">
        <f t="shared" ca="1" si="195"/>
        <v>-9.2027777777777775</v>
      </c>
      <c r="C2536" t="str">
        <f ca="1">IF(currency="USD",'Future et co'!D2536,IF(currency="EUR",'Future et co'!E2536,IF(currency="GBP",'Future et co'!F2536,FALSE)))</f>
        <v>RFR USD</v>
      </c>
      <c r="D2536" t="str">
        <f t="shared" ca="1" si="196"/>
        <v>RFR USD</v>
      </c>
      <c r="E2536" t="str">
        <f t="shared" ca="1" si="197"/>
        <v>RFR EUR</v>
      </c>
      <c r="F2536" t="str">
        <f t="shared" ca="1" si="198"/>
        <v>RFR GBP</v>
      </c>
      <c r="J2536" s="1"/>
      <c r="N2536" s="1"/>
      <c r="R2536" s="1"/>
      <c r="V2536" s="1"/>
      <c r="AB2536" s="1"/>
      <c r="AF2536" s="1"/>
      <c r="AJ2536" s="1"/>
      <c r="AN2536" s="1"/>
      <c r="AS2536" s="1"/>
      <c r="AX2536" s="1"/>
    </row>
    <row r="2537" spans="1:50" x14ac:dyDescent="0.3">
      <c r="A2537" s="19">
        <f t="shared" si="199"/>
        <v>49466</v>
      </c>
      <c r="B2537">
        <f t="shared" ca="1" si="195"/>
        <v>-9.2055555555555557</v>
      </c>
      <c r="C2537" t="str">
        <f ca="1">IF(currency="USD",'Future et co'!D2537,IF(currency="EUR",'Future et co'!E2537,IF(currency="GBP",'Future et co'!F2537,FALSE)))</f>
        <v>RFR USD</v>
      </c>
      <c r="D2537" t="str">
        <f t="shared" ca="1" si="196"/>
        <v>RFR USD</v>
      </c>
      <c r="E2537" t="str">
        <f t="shared" ca="1" si="197"/>
        <v>RFR EUR</v>
      </c>
      <c r="F2537" t="str">
        <f t="shared" ca="1" si="198"/>
        <v>RFR GBP</v>
      </c>
      <c r="J2537" s="1"/>
      <c r="N2537" s="1"/>
      <c r="R2537" s="1"/>
      <c r="V2537" s="1"/>
      <c r="AB2537" s="1"/>
      <c r="AF2537" s="1"/>
      <c r="AJ2537" s="1"/>
      <c r="AN2537" s="1"/>
      <c r="AS2537" s="1"/>
      <c r="AX2537" s="1"/>
    </row>
    <row r="2538" spans="1:50" x14ac:dyDescent="0.3">
      <c r="A2538" s="19">
        <f t="shared" si="199"/>
        <v>49467</v>
      </c>
      <c r="B2538">
        <f t="shared" ca="1" si="195"/>
        <v>-9.2083333333333339</v>
      </c>
      <c r="C2538" t="str">
        <f ca="1">IF(currency="USD",'Future et co'!D2538,IF(currency="EUR",'Future et co'!E2538,IF(currency="GBP",'Future et co'!F2538,FALSE)))</f>
        <v>RFR USD</v>
      </c>
      <c r="D2538" t="str">
        <f t="shared" ca="1" si="196"/>
        <v>RFR USD</v>
      </c>
      <c r="E2538" t="str">
        <f t="shared" ca="1" si="197"/>
        <v>RFR EUR</v>
      </c>
      <c r="F2538" t="str">
        <f t="shared" ca="1" si="198"/>
        <v>RFR GBP</v>
      </c>
      <c r="J2538" s="1"/>
      <c r="N2538" s="1"/>
      <c r="R2538" s="1"/>
      <c r="V2538" s="1"/>
      <c r="AB2538" s="1"/>
      <c r="AF2538" s="1"/>
      <c r="AJ2538" s="1"/>
      <c r="AN2538" s="1"/>
      <c r="AS2538" s="1"/>
      <c r="AX2538" s="1"/>
    </row>
    <row r="2539" spans="1:50" x14ac:dyDescent="0.3">
      <c r="A2539" s="19">
        <f t="shared" si="199"/>
        <v>49468</v>
      </c>
      <c r="B2539">
        <f t="shared" ca="1" si="195"/>
        <v>-9.2111111111111104</v>
      </c>
      <c r="C2539" t="str">
        <f ca="1">IF(currency="USD",'Future et co'!D2539,IF(currency="EUR",'Future et co'!E2539,IF(currency="GBP",'Future et co'!F2539,FALSE)))</f>
        <v>RFR USD</v>
      </c>
      <c r="D2539" t="str">
        <f t="shared" ca="1" si="196"/>
        <v>RFR USD</v>
      </c>
      <c r="E2539" t="str">
        <f t="shared" ca="1" si="197"/>
        <v>RFR EUR</v>
      </c>
      <c r="F2539" t="str">
        <f t="shared" ca="1" si="198"/>
        <v>RFR GBP</v>
      </c>
      <c r="J2539" s="1"/>
      <c r="N2539" s="1"/>
      <c r="R2539" s="1"/>
      <c r="V2539" s="1"/>
      <c r="AB2539" s="1"/>
      <c r="AF2539" s="1"/>
      <c r="AJ2539" s="1"/>
      <c r="AN2539" s="1"/>
      <c r="AS2539" s="1"/>
      <c r="AX2539" s="1"/>
    </row>
    <row r="2540" spans="1:50" x14ac:dyDescent="0.3">
      <c r="A2540" s="19">
        <f t="shared" si="199"/>
        <v>49471</v>
      </c>
      <c r="B2540">
        <f t="shared" ca="1" si="195"/>
        <v>-9.219444444444445</v>
      </c>
      <c r="C2540" t="str">
        <f ca="1">IF(currency="USD",'Future et co'!D2540,IF(currency="EUR",'Future et co'!E2540,IF(currency="GBP",'Future et co'!F2540,FALSE)))</f>
        <v>RFR USD</v>
      </c>
      <c r="D2540" t="str">
        <f t="shared" ca="1" si="196"/>
        <v>RFR USD</v>
      </c>
      <c r="E2540" t="str">
        <f t="shared" ca="1" si="197"/>
        <v>RFR EUR</v>
      </c>
      <c r="F2540" t="str">
        <f t="shared" ca="1" si="198"/>
        <v>RFR GBP</v>
      </c>
      <c r="J2540" s="1"/>
      <c r="N2540" s="1"/>
      <c r="R2540" s="1"/>
      <c r="V2540" s="1"/>
      <c r="AB2540" s="1"/>
      <c r="AF2540" s="1"/>
      <c r="AJ2540" s="1"/>
      <c r="AN2540" s="1"/>
      <c r="AS2540" s="1"/>
      <c r="AX2540" s="1"/>
    </row>
    <row r="2541" spans="1:50" x14ac:dyDescent="0.3">
      <c r="A2541" s="19">
        <f t="shared" si="199"/>
        <v>49472</v>
      </c>
      <c r="B2541">
        <f t="shared" ca="1" si="195"/>
        <v>-9.2222222222222214</v>
      </c>
      <c r="C2541" t="str">
        <f ca="1">IF(currency="USD",'Future et co'!D2541,IF(currency="EUR",'Future et co'!E2541,IF(currency="GBP",'Future et co'!F2541,FALSE)))</f>
        <v>RFR USD</v>
      </c>
      <c r="D2541" t="str">
        <f t="shared" ca="1" si="196"/>
        <v>RFR USD</v>
      </c>
      <c r="E2541" t="str">
        <f t="shared" ca="1" si="197"/>
        <v>RFR EUR</v>
      </c>
      <c r="F2541" t="str">
        <f t="shared" ca="1" si="198"/>
        <v>RFR GBP</v>
      </c>
      <c r="J2541" s="1"/>
      <c r="N2541" s="1"/>
      <c r="R2541" s="1"/>
      <c r="V2541" s="1"/>
      <c r="AB2541" s="1"/>
      <c r="AF2541" s="1"/>
      <c r="AJ2541" s="1"/>
      <c r="AN2541" s="1"/>
      <c r="AS2541" s="1"/>
      <c r="AX2541" s="1"/>
    </row>
    <row r="2542" spans="1:50" x14ac:dyDescent="0.3">
      <c r="A2542" s="19">
        <f t="shared" si="199"/>
        <v>49473</v>
      </c>
      <c r="B2542">
        <f t="shared" ca="1" si="195"/>
        <v>-9.2249999999999996</v>
      </c>
      <c r="C2542" t="str">
        <f ca="1">IF(currency="USD",'Future et co'!D2542,IF(currency="EUR",'Future et co'!E2542,IF(currency="GBP",'Future et co'!F2542,FALSE)))</f>
        <v>RFR USD</v>
      </c>
      <c r="D2542" t="str">
        <f t="shared" ca="1" si="196"/>
        <v>RFR USD</v>
      </c>
      <c r="E2542" t="str">
        <f t="shared" ca="1" si="197"/>
        <v>RFR EUR</v>
      </c>
      <c r="F2542" t="str">
        <f t="shared" ca="1" si="198"/>
        <v>RFR GBP</v>
      </c>
      <c r="J2542" s="1"/>
      <c r="N2542" s="1"/>
      <c r="R2542" s="1"/>
      <c r="V2542" s="1"/>
      <c r="AB2542" s="1"/>
      <c r="AF2542" s="1"/>
      <c r="AJ2542" s="1"/>
      <c r="AN2542" s="1"/>
      <c r="AS2542" s="1"/>
      <c r="AX2542" s="1"/>
    </row>
    <row r="2543" spans="1:50" x14ac:dyDescent="0.3">
      <c r="A2543" s="19">
        <f t="shared" si="199"/>
        <v>49474</v>
      </c>
      <c r="B2543">
        <f t="shared" ca="1" si="195"/>
        <v>-9.2277777777777779</v>
      </c>
      <c r="C2543" t="str">
        <f ca="1">IF(currency="USD",'Future et co'!D2543,IF(currency="EUR",'Future et co'!E2543,IF(currency="GBP",'Future et co'!F2543,FALSE)))</f>
        <v>RFR USD</v>
      </c>
      <c r="D2543" t="str">
        <f t="shared" ca="1" si="196"/>
        <v>RFR USD</v>
      </c>
      <c r="E2543" t="str">
        <f t="shared" ca="1" si="197"/>
        <v>RFR EUR</v>
      </c>
      <c r="F2543" t="str">
        <f t="shared" ca="1" si="198"/>
        <v>RFR GBP</v>
      </c>
      <c r="J2543" s="1"/>
      <c r="N2543" s="1"/>
      <c r="R2543" s="1"/>
      <c r="V2543" s="1"/>
      <c r="AB2543" s="1"/>
      <c r="AF2543" s="1"/>
      <c r="AJ2543" s="1"/>
      <c r="AN2543" s="1"/>
      <c r="AS2543" s="1"/>
      <c r="AX2543" s="1"/>
    </row>
    <row r="2544" spans="1:50" x14ac:dyDescent="0.3">
      <c r="A2544" s="19">
        <f t="shared" si="199"/>
        <v>49475</v>
      </c>
      <c r="B2544">
        <f t="shared" ca="1" si="195"/>
        <v>-9.2305555555555561</v>
      </c>
      <c r="C2544" t="str">
        <f ca="1">IF(currency="USD",'Future et co'!D2544,IF(currency="EUR",'Future et co'!E2544,IF(currency="GBP",'Future et co'!F2544,FALSE)))</f>
        <v>RFR USD</v>
      </c>
      <c r="D2544" t="str">
        <f t="shared" ca="1" si="196"/>
        <v>RFR USD</v>
      </c>
      <c r="E2544" t="str">
        <f t="shared" ca="1" si="197"/>
        <v>RFR EUR</v>
      </c>
      <c r="F2544" t="str">
        <f t="shared" ca="1" si="198"/>
        <v>RFR GBP</v>
      </c>
      <c r="J2544" s="1"/>
      <c r="N2544" s="1"/>
      <c r="R2544" s="1"/>
      <c r="V2544" s="1"/>
      <c r="AB2544" s="1"/>
      <c r="AF2544" s="1"/>
      <c r="AJ2544" s="1"/>
      <c r="AN2544" s="1"/>
      <c r="AS2544" s="1"/>
      <c r="AX2544" s="1"/>
    </row>
    <row r="2545" spans="1:50" x14ac:dyDescent="0.3">
      <c r="A2545" s="19">
        <f t="shared" si="199"/>
        <v>49478</v>
      </c>
      <c r="B2545">
        <f t="shared" ca="1" si="195"/>
        <v>-9.2388888888888889</v>
      </c>
      <c r="C2545" t="str">
        <f ca="1">IF(currency="USD",'Future et co'!D2545,IF(currency="EUR",'Future et co'!E2545,IF(currency="GBP",'Future et co'!F2545,FALSE)))</f>
        <v>RFR USD</v>
      </c>
      <c r="D2545" t="str">
        <f t="shared" ca="1" si="196"/>
        <v>RFR USD</v>
      </c>
      <c r="E2545" t="str">
        <f t="shared" ca="1" si="197"/>
        <v>RFR EUR</v>
      </c>
      <c r="F2545" t="str">
        <f t="shared" ca="1" si="198"/>
        <v>RFR GBP</v>
      </c>
      <c r="J2545" s="1"/>
      <c r="N2545" s="1"/>
      <c r="R2545" s="1"/>
      <c r="V2545" s="1"/>
      <c r="AB2545" s="1"/>
      <c r="AF2545" s="1"/>
      <c r="AJ2545" s="1"/>
      <c r="AN2545" s="1"/>
      <c r="AS2545" s="1"/>
      <c r="AX2545" s="1"/>
    </row>
    <row r="2546" spans="1:50" x14ac:dyDescent="0.3">
      <c r="A2546" s="19">
        <f t="shared" si="199"/>
        <v>49479</v>
      </c>
      <c r="B2546">
        <f t="shared" ca="1" si="195"/>
        <v>-9.2416666666666671</v>
      </c>
      <c r="C2546" t="str">
        <f ca="1">IF(currency="USD",'Future et co'!D2546,IF(currency="EUR",'Future et co'!E2546,IF(currency="GBP",'Future et co'!F2546,FALSE)))</f>
        <v>RFR USD</v>
      </c>
      <c r="D2546" t="str">
        <f t="shared" ca="1" si="196"/>
        <v>RFR USD</v>
      </c>
      <c r="E2546" t="str">
        <f t="shared" ca="1" si="197"/>
        <v>RFR EUR</v>
      </c>
      <c r="F2546" t="str">
        <f t="shared" ca="1" si="198"/>
        <v>RFR GBP</v>
      </c>
      <c r="J2546" s="1"/>
      <c r="N2546" s="1"/>
      <c r="R2546" s="1"/>
      <c r="V2546" s="1"/>
      <c r="AB2546" s="1"/>
      <c r="AF2546" s="1"/>
      <c r="AJ2546" s="1"/>
      <c r="AN2546" s="1"/>
      <c r="AS2546" s="1"/>
      <c r="AX2546" s="1"/>
    </row>
    <row r="2547" spans="1:50" x14ac:dyDescent="0.3">
      <c r="A2547" s="19">
        <f t="shared" si="199"/>
        <v>49480</v>
      </c>
      <c r="B2547">
        <f t="shared" ca="1" si="195"/>
        <v>-9.2444444444444436</v>
      </c>
      <c r="C2547" t="str">
        <f ca="1">IF(currency="USD",'Future et co'!D2547,IF(currency="EUR",'Future et co'!E2547,IF(currency="GBP",'Future et co'!F2547,FALSE)))</f>
        <v>RFR USD</v>
      </c>
      <c r="D2547" t="str">
        <f t="shared" ca="1" si="196"/>
        <v>RFR USD</v>
      </c>
      <c r="E2547" t="str">
        <f t="shared" ca="1" si="197"/>
        <v>RFR EUR</v>
      </c>
      <c r="F2547" t="str">
        <f t="shared" ca="1" si="198"/>
        <v>RFR GBP</v>
      </c>
      <c r="J2547" s="1"/>
      <c r="N2547" s="1"/>
      <c r="R2547" s="1"/>
      <c r="V2547" s="1"/>
      <c r="AB2547" s="1"/>
      <c r="AF2547" s="1"/>
      <c r="AJ2547" s="1"/>
      <c r="AN2547" s="1"/>
      <c r="AS2547" s="1"/>
      <c r="AX2547" s="1"/>
    </row>
    <row r="2548" spans="1:50" x14ac:dyDescent="0.3">
      <c r="A2548" s="19">
        <f t="shared" si="199"/>
        <v>49481</v>
      </c>
      <c r="B2548">
        <f t="shared" ca="1" si="195"/>
        <v>-9.2472222222222218</v>
      </c>
      <c r="C2548" t="str">
        <f ca="1">IF(currency="USD",'Future et co'!D2548,IF(currency="EUR",'Future et co'!E2548,IF(currency="GBP",'Future et co'!F2548,FALSE)))</f>
        <v>RFR USD</v>
      </c>
      <c r="D2548" t="str">
        <f t="shared" ca="1" si="196"/>
        <v>RFR USD</v>
      </c>
      <c r="E2548" t="str">
        <f t="shared" ca="1" si="197"/>
        <v>RFR EUR</v>
      </c>
      <c r="F2548" t="str">
        <f t="shared" ca="1" si="198"/>
        <v>RFR GBP</v>
      </c>
      <c r="J2548" s="1"/>
      <c r="N2548" s="1"/>
      <c r="R2548" s="1"/>
      <c r="V2548" s="1"/>
      <c r="AB2548" s="1"/>
      <c r="AF2548" s="1"/>
      <c r="AJ2548" s="1"/>
      <c r="AN2548" s="1"/>
      <c r="AS2548" s="1"/>
      <c r="AX2548" s="1"/>
    </row>
    <row r="2549" spans="1:50" x14ac:dyDescent="0.3">
      <c r="A2549" s="19">
        <f t="shared" si="199"/>
        <v>49482</v>
      </c>
      <c r="B2549">
        <f t="shared" ca="1" si="195"/>
        <v>-9.25</v>
      </c>
      <c r="C2549" t="str">
        <f ca="1">IF(currency="USD",'Future et co'!D2549,IF(currency="EUR",'Future et co'!E2549,IF(currency="GBP",'Future et co'!F2549,FALSE)))</f>
        <v>RFR USD</v>
      </c>
      <c r="D2549" t="str">
        <f t="shared" ca="1" si="196"/>
        <v>RFR USD</v>
      </c>
      <c r="E2549" t="str">
        <f t="shared" ca="1" si="197"/>
        <v>RFR EUR</v>
      </c>
      <c r="F2549" t="str">
        <f t="shared" ca="1" si="198"/>
        <v>RFR GBP</v>
      </c>
      <c r="J2549" s="1"/>
      <c r="N2549" s="1"/>
      <c r="R2549" s="1"/>
      <c r="V2549" s="1"/>
      <c r="AB2549" s="1"/>
      <c r="AF2549" s="1"/>
      <c r="AJ2549" s="1"/>
      <c r="AN2549" s="1"/>
      <c r="AS2549" s="1"/>
      <c r="AX2549" s="1"/>
    </row>
    <row r="2550" spans="1:50" x14ac:dyDescent="0.3">
      <c r="A2550" s="19">
        <f t="shared" si="199"/>
        <v>49485</v>
      </c>
      <c r="B2550">
        <f t="shared" ca="1" si="195"/>
        <v>-9.2583333333333329</v>
      </c>
      <c r="C2550" t="str">
        <f ca="1">IF(currency="USD",'Future et co'!D2550,IF(currency="EUR",'Future et co'!E2550,IF(currency="GBP",'Future et co'!F2550,FALSE)))</f>
        <v>RFR USD</v>
      </c>
      <c r="D2550" t="str">
        <f t="shared" ca="1" si="196"/>
        <v>RFR USD</v>
      </c>
      <c r="E2550" t="str">
        <f t="shared" ca="1" si="197"/>
        <v>RFR EUR</v>
      </c>
      <c r="F2550" t="str">
        <f t="shared" ca="1" si="198"/>
        <v>RFR GBP</v>
      </c>
      <c r="J2550" s="1"/>
      <c r="N2550" s="1"/>
      <c r="R2550" s="1"/>
      <c r="V2550" s="1"/>
      <c r="AB2550" s="1"/>
      <c r="AF2550" s="1"/>
      <c r="AJ2550" s="1"/>
      <c r="AN2550" s="1"/>
      <c r="AS2550" s="1"/>
      <c r="AX2550" s="1"/>
    </row>
    <row r="2551" spans="1:50" x14ac:dyDescent="0.3">
      <c r="A2551" s="19">
        <f t="shared" si="199"/>
        <v>49486</v>
      </c>
      <c r="B2551">
        <f t="shared" ca="1" si="195"/>
        <v>-9.2611111111111111</v>
      </c>
      <c r="C2551" t="str">
        <f ca="1">IF(currency="USD",'Future et co'!D2551,IF(currency="EUR",'Future et co'!E2551,IF(currency="GBP",'Future et co'!F2551,FALSE)))</f>
        <v>RFR USD</v>
      </c>
      <c r="D2551" t="str">
        <f t="shared" ca="1" si="196"/>
        <v>RFR USD</v>
      </c>
      <c r="E2551" t="str">
        <f t="shared" ca="1" si="197"/>
        <v>RFR EUR</v>
      </c>
      <c r="F2551" t="str">
        <f t="shared" ca="1" si="198"/>
        <v>RFR GBP</v>
      </c>
      <c r="J2551" s="1"/>
      <c r="N2551" s="1"/>
      <c r="R2551" s="1"/>
      <c r="V2551" s="1"/>
      <c r="AB2551" s="1"/>
      <c r="AF2551" s="1"/>
      <c r="AJ2551" s="1"/>
      <c r="AN2551" s="1"/>
      <c r="AS2551" s="1"/>
      <c r="AX2551" s="1"/>
    </row>
    <row r="2552" spans="1:50" x14ac:dyDescent="0.3">
      <c r="A2552" s="19">
        <f t="shared" si="199"/>
        <v>49487</v>
      </c>
      <c r="B2552">
        <f t="shared" ca="1" si="195"/>
        <v>-9.2638888888888893</v>
      </c>
      <c r="C2552" t="str">
        <f ca="1">IF(currency="USD",'Future et co'!D2552,IF(currency="EUR",'Future et co'!E2552,IF(currency="GBP",'Future et co'!F2552,FALSE)))</f>
        <v>RFR USD</v>
      </c>
      <c r="D2552" t="str">
        <f t="shared" ca="1" si="196"/>
        <v>RFR USD</v>
      </c>
      <c r="E2552" t="str">
        <f t="shared" ca="1" si="197"/>
        <v>RFR EUR</v>
      </c>
      <c r="F2552" t="str">
        <f t="shared" ca="1" si="198"/>
        <v>RFR GBP</v>
      </c>
      <c r="J2552" s="1"/>
      <c r="N2552" s="1"/>
      <c r="R2552" s="1"/>
      <c r="V2552" s="1"/>
      <c r="AB2552" s="1"/>
      <c r="AF2552" s="1"/>
      <c r="AJ2552" s="1"/>
      <c r="AN2552" s="1"/>
      <c r="AS2552" s="1"/>
      <c r="AX2552" s="1"/>
    </row>
    <row r="2553" spans="1:50" x14ac:dyDescent="0.3">
      <c r="A2553" s="19">
        <f t="shared" si="199"/>
        <v>49488</v>
      </c>
      <c r="B2553">
        <f t="shared" ca="1" si="195"/>
        <v>-9.2666666666666675</v>
      </c>
      <c r="C2553" t="str">
        <f ca="1">IF(currency="USD",'Future et co'!D2553,IF(currency="EUR",'Future et co'!E2553,IF(currency="GBP",'Future et co'!F2553,FALSE)))</f>
        <v>RFR USD</v>
      </c>
      <c r="D2553" t="str">
        <f t="shared" ca="1" si="196"/>
        <v>RFR USD</v>
      </c>
      <c r="E2553" t="str">
        <f t="shared" ca="1" si="197"/>
        <v>RFR EUR</v>
      </c>
      <c r="F2553" t="str">
        <f t="shared" ca="1" si="198"/>
        <v>RFR GBP</v>
      </c>
      <c r="J2553" s="1"/>
      <c r="N2553" s="1"/>
      <c r="R2553" s="1"/>
      <c r="V2553" s="1"/>
      <c r="AB2553" s="1"/>
      <c r="AF2553" s="1"/>
      <c r="AJ2553" s="1"/>
      <c r="AN2553" s="1"/>
      <c r="AS2553" s="1"/>
      <c r="AX2553" s="1"/>
    </row>
    <row r="2554" spans="1:50" x14ac:dyDescent="0.3">
      <c r="A2554" s="19">
        <f t="shared" si="199"/>
        <v>49489</v>
      </c>
      <c r="B2554">
        <f t="shared" ca="1" si="195"/>
        <v>-9.2694444444444439</v>
      </c>
      <c r="C2554" t="str">
        <f ca="1">IF(currency="USD",'Future et co'!D2554,IF(currency="EUR",'Future et co'!E2554,IF(currency="GBP",'Future et co'!F2554,FALSE)))</f>
        <v>RFR USD</v>
      </c>
      <c r="D2554" t="str">
        <f t="shared" ca="1" si="196"/>
        <v>RFR USD</v>
      </c>
      <c r="E2554" t="str">
        <f t="shared" ca="1" si="197"/>
        <v>RFR EUR</v>
      </c>
      <c r="F2554" t="str">
        <f t="shared" ca="1" si="198"/>
        <v>RFR GBP</v>
      </c>
      <c r="J2554" s="1"/>
      <c r="N2554" s="1"/>
      <c r="R2554" s="1"/>
      <c r="V2554" s="1"/>
      <c r="AB2554" s="1"/>
      <c r="AF2554" s="1"/>
      <c r="AJ2554" s="1"/>
      <c r="AN2554" s="1"/>
      <c r="AS2554" s="1"/>
      <c r="AX2554" s="1"/>
    </row>
    <row r="2555" spans="1:50" x14ac:dyDescent="0.3">
      <c r="A2555" s="19">
        <f t="shared" si="199"/>
        <v>49492</v>
      </c>
      <c r="B2555">
        <f t="shared" ca="1" si="195"/>
        <v>-9.2777777777777786</v>
      </c>
      <c r="C2555" t="str">
        <f ca="1">IF(currency="USD",'Future et co'!D2555,IF(currency="EUR",'Future et co'!E2555,IF(currency="GBP",'Future et co'!F2555,FALSE)))</f>
        <v>RFR USD</v>
      </c>
      <c r="D2555" t="str">
        <f t="shared" ca="1" si="196"/>
        <v>RFR USD</v>
      </c>
      <c r="E2555" t="str">
        <f t="shared" ca="1" si="197"/>
        <v>RFR EUR</v>
      </c>
      <c r="F2555" t="str">
        <f t="shared" ca="1" si="198"/>
        <v>RFR GBP</v>
      </c>
      <c r="J2555" s="1"/>
      <c r="N2555" s="1"/>
      <c r="R2555" s="1"/>
      <c r="V2555" s="1"/>
      <c r="AB2555" s="1"/>
      <c r="AF2555" s="1"/>
      <c r="AJ2555" s="1"/>
      <c r="AN2555" s="1"/>
      <c r="AS2555" s="1"/>
      <c r="AX2555" s="1"/>
    </row>
    <row r="2556" spans="1:50" x14ac:dyDescent="0.3">
      <c r="A2556" s="19">
        <f t="shared" si="199"/>
        <v>49493</v>
      </c>
      <c r="B2556">
        <f t="shared" ca="1" si="195"/>
        <v>-9.280555555555555</v>
      </c>
      <c r="C2556" t="str">
        <f ca="1">IF(currency="USD",'Future et co'!D2556,IF(currency="EUR",'Future et co'!E2556,IF(currency="GBP",'Future et co'!F2556,FALSE)))</f>
        <v>RFR USD</v>
      </c>
      <c r="D2556" t="str">
        <f t="shared" ca="1" si="196"/>
        <v>RFR USD</v>
      </c>
      <c r="E2556" t="str">
        <f t="shared" ca="1" si="197"/>
        <v>RFR EUR</v>
      </c>
      <c r="F2556" t="str">
        <f t="shared" ca="1" si="198"/>
        <v>RFR GBP</v>
      </c>
      <c r="J2556" s="1"/>
      <c r="N2556" s="1"/>
      <c r="R2556" s="1"/>
      <c r="V2556" s="1"/>
      <c r="AB2556" s="1"/>
      <c r="AF2556" s="1"/>
      <c r="AJ2556" s="1"/>
      <c r="AN2556" s="1"/>
      <c r="AS2556" s="1"/>
      <c r="AX2556" s="1"/>
    </row>
    <row r="2557" spans="1:50" x14ac:dyDescent="0.3">
      <c r="A2557" s="19">
        <f t="shared" si="199"/>
        <v>49494</v>
      </c>
      <c r="B2557">
        <f t="shared" ca="1" si="195"/>
        <v>-9.2833333333333332</v>
      </c>
      <c r="C2557" t="str">
        <f ca="1">IF(currency="USD",'Future et co'!D2557,IF(currency="EUR",'Future et co'!E2557,IF(currency="GBP",'Future et co'!F2557,FALSE)))</f>
        <v>RFR USD</v>
      </c>
      <c r="D2557" t="str">
        <f t="shared" ca="1" si="196"/>
        <v>RFR USD</v>
      </c>
      <c r="E2557" t="str">
        <f t="shared" ca="1" si="197"/>
        <v>RFR EUR</v>
      </c>
      <c r="F2557" t="str">
        <f t="shared" ca="1" si="198"/>
        <v>RFR GBP</v>
      </c>
      <c r="J2557" s="1"/>
      <c r="N2557" s="1"/>
      <c r="R2557" s="1"/>
      <c r="V2557" s="1"/>
      <c r="AB2557" s="1"/>
      <c r="AF2557" s="1"/>
      <c r="AJ2557" s="1"/>
      <c r="AN2557" s="1"/>
      <c r="AS2557" s="1"/>
      <c r="AX2557" s="1"/>
    </row>
    <row r="2558" spans="1:50" x14ac:dyDescent="0.3">
      <c r="A2558" s="19">
        <f t="shared" si="199"/>
        <v>49495</v>
      </c>
      <c r="B2558">
        <f t="shared" ca="1" si="195"/>
        <v>-9.2861111111111114</v>
      </c>
      <c r="C2558" t="str">
        <f ca="1">IF(currency="USD",'Future et co'!D2558,IF(currency="EUR",'Future et co'!E2558,IF(currency="GBP",'Future et co'!F2558,FALSE)))</f>
        <v>RFR USD</v>
      </c>
      <c r="D2558" t="str">
        <f t="shared" ca="1" si="196"/>
        <v>RFR USD</v>
      </c>
      <c r="E2558" t="str">
        <f t="shared" ca="1" si="197"/>
        <v>RFR EUR</v>
      </c>
      <c r="F2558" t="str">
        <f t="shared" ca="1" si="198"/>
        <v>RFR GBP</v>
      </c>
      <c r="J2558" s="1"/>
      <c r="N2558" s="1"/>
      <c r="R2558" s="1"/>
      <c r="V2558" s="1"/>
      <c r="AB2558" s="1"/>
      <c r="AF2558" s="1"/>
      <c r="AJ2558" s="1"/>
      <c r="AN2558" s="1"/>
      <c r="AS2558" s="1"/>
      <c r="AX2558" s="1"/>
    </row>
    <row r="2559" spans="1:50" x14ac:dyDescent="0.3">
      <c r="A2559" s="19">
        <f t="shared" si="199"/>
        <v>49496</v>
      </c>
      <c r="B2559">
        <f t="shared" ca="1" si="195"/>
        <v>-9.2888888888888896</v>
      </c>
      <c r="C2559" t="str">
        <f ca="1">IF(currency="USD",'Future et co'!D2559,IF(currency="EUR",'Future et co'!E2559,IF(currency="GBP",'Future et co'!F2559,FALSE)))</f>
        <v>RFR USD</v>
      </c>
      <c r="D2559" t="str">
        <f t="shared" ca="1" si="196"/>
        <v>RFR USD</v>
      </c>
      <c r="E2559" t="str">
        <f t="shared" ca="1" si="197"/>
        <v>RFR EUR</v>
      </c>
      <c r="F2559" t="str">
        <f t="shared" ca="1" si="198"/>
        <v>RFR GBP</v>
      </c>
      <c r="J2559" s="1"/>
      <c r="N2559" s="1"/>
      <c r="R2559" s="1"/>
      <c r="V2559" s="1"/>
      <c r="AB2559" s="1"/>
      <c r="AF2559" s="1"/>
      <c r="AJ2559" s="1"/>
      <c r="AN2559" s="1"/>
      <c r="AS2559" s="1"/>
      <c r="AX2559" s="1"/>
    </row>
    <row r="2560" spans="1:50" x14ac:dyDescent="0.3">
      <c r="A2560" s="19">
        <f t="shared" si="199"/>
        <v>49499</v>
      </c>
      <c r="B2560">
        <f t="shared" ca="1" si="195"/>
        <v>-9.2972222222222225</v>
      </c>
      <c r="C2560" t="str">
        <f ca="1">IF(currency="USD",'Future et co'!D2560,IF(currency="EUR",'Future et co'!E2560,IF(currency="GBP",'Future et co'!F2560,FALSE)))</f>
        <v>RFR USD</v>
      </c>
      <c r="D2560" t="str">
        <f t="shared" ca="1" si="196"/>
        <v>RFR USD</v>
      </c>
      <c r="E2560" t="str">
        <f t="shared" ca="1" si="197"/>
        <v>RFR EUR</v>
      </c>
      <c r="F2560" t="str">
        <f t="shared" ca="1" si="198"/>
        <v>RFR GBP</v>
      </c>
      <c r="J2560" s="1"/>
      <c r="N2560" s="1"/>
      <c r="R2560" s="1"/>
      <c r="V2560" s="1"/>
      <c r="AB2560" s="1"/>
      <c r="AF2560" s="1"/>
      <c r="AJ2560" s="1"/>
      <c r="AN2560" s="1"/>
      <c r="AS2560" s="1"/>
      <c r="AX2560" s="1"/>
    </row>
    <row r="2561" spans="1:50" x14ac:dyDescent="0.3">
      <c r="A2561" s="19">
        <f t="shared" si="199"/>
        <v>49500</v>
      </c>
      <c r="B2561">
        <f t="shared" ca="1" si="195"/>
        <v>-9.3000000000000007</v>
      </c>
      <c r="C2561" t="str">
        <f ca="1">IF(currency="USD",'Future et co'!D2561,IF(currency="EUR",'Future et co'!E2561,IF(currency="GBP",'Future et co'!F2561,FALSE)))</f>
        <v>RFR USD</v>
      </c>
      <c r="D2561" t="str">
        <f t="shared" ca="1" si="196"/>
        <v>RFR USD</v>
      </c>
      <c r="E2561" t="str">
        <f t="shared" ca="1" si="197"/>
        <v>RFR EUR</v>
      </c>
      <c r="F2561" t="str">
        <f t="shared" ca="1" si="198"/>
        <v>RFR GBP</v>
      </c>
      <c r="J2561" s="1"/>
      <c r="N2561" s="1"/>
      <c r="R2561" s="1"/>
      <c r="V2561" s="1"/>
      <c r="AB2561" s="1"/>
      <c r="AF2561" s="1"/>
      <c r="AJ2561" s="1"/>
      <c r="AN2561" s="1"/>
      <c r="AS2561" s="1"/>
      <c r="AX2561" s="1"/>
    </row>
    <row r="2562" spans="1:50" x14ac:dyDescent="0.3">
      <c r="A2562" s="19">
        <f t="shared" si="199"/>
        <v>49501</v>
      </c>
      <c r="B2562">
        <f t="shared" ca="1" si="195"/>
        <v>-9.3027777777777771</v>
      </c>
      <c r="C2562" t="str">
        <f ca="1">IF(currency="USD",'Future et co'!D2562,IF(currency="EUR",'Future et co'!E2562,IF(currency="GBP",'Future et co'!F2562,FALSE)))</f>
        <v>RFR USD</v>
      </c>
      <c r="D2562" t="str">
        <f t="shared" ca="1" si="196"/>
        <v>RFR USD</v>
      </c>
      <c r="E2562" t="str">
        <f t="shared" ca="1" si="197"/>
        <v>RFR EUR</v>
      </c>
      <c r="F2562" t="str">
        <f t="shared" ca="1" si="198"/>
        <v>RFR GBP</v>
      </c>
      <c r="J2562" s="1"/>
      <c r="N2562" s="1"/>
      <c r="R2562" s="1"/>
      <c r="V2562" s="1"/>
      <c r="AB2562" s="1"/>
      <c r="AF2562" s="1"/>
      <c r="AJ2562" s="1"/>
      <c r="AN2562" s="1"/>
      <c r="AS2562" s="1"/>
      <c r="AX2562" s="1"/>
    </row>
    <row r="2563" spans="1:50" x14ac:dyDescent="0.3">
      <c r="A2563" s="19">
        <f t="shared" si="199"/>
        <v>49502</v>
      </c>
      <c r="B2563">
        <f t="shared" ca="1" si="195"/>
        <v>-9.3055555555555554</v>
      </c>
      <c r="C2563" t="str">
        <f ca="1">IF(currency="USD",'Future et co'!D2563,IF(currency="EUR",'Future et co'!E2563,IF(currency="GBP",'Future et co'!F2563,FALSE)))</f>
        <v>RFR USD</v>
      </c>
      <c r="D2563" t="str">
        <f t="shared" ca="1" si="196"/>
        <v>RFR USD</v>
      </c>
      <c r="E2563" t="str">
        <f t="shared" ca="1" si="197"/>
        <v>RFR EUR</v>
      </c>
      <c r="F2563" t="str">
        <f t="shared" ca="1" si="198"/>
        <v>RFR GBP</v>
      </c>
      <c r="J2563" s="1"/>
      <c r="N2563" s="1"/>
      <c r="R2563" s="1"/>
      <c r="V2563" s="1"/>
      <c r="AB2563" s="1"/>
      <c r="AF2563" s="1"/>
      <c r="AJ2563" s="1"/>
      <c r="AN2563" s="1"/>
      <c r="AS2563" s="1"/>
      <c r="AX2563" s="1"/>
    </row>
    <row r="2564" spans="1:50" x14ac:dyDescent="0.3">
      <c r="A2564" s="19">
        <f t="shared" si="199"/>
        <v>49503</v>
      </c>
      <c r="B2564">
        <f t="shared" ca="1" si="195"/>
        <v>-9.3083333333333336</v>
      </c>
      <c r="C2564" t="str">
        <f ca="1">IF(currency="USD",'Future et co'!D2564,IF(currency="EUR",'Future et co'!E2564,IF(currency="GBP",'Future et co'!F2564,FALSE)))</f>
        <v>RFR USD</v>
      </c>
      <c r="D2564" t="str">
        <f t="shared" ca="1" si="196"/>
        <v>RFR USD</v>
      </c>
      <c r="E2564" t="str">
        <f t="shared" ca="1" si="197"/>
        <v>RFR EUR</v>
      </c>
      <c r="F2564" t="str">
        <f t="shared" ca="1" si="198"/>
        <v>RFR GBP</v>
      </c>
      <c r="J2564" s="1"/>
      <c r="N2564" s="1"/>
      <c r="R2564" s="1"/>
      <c r="V2564" s="1"/>
      <c r="AB2564" s="1"/>
      <c r="AF2564" s="1"/>
      <c r="AJ2564" s="1"/>
      <c r="AN2564" s="1"/>
      <c r="AS2564" s="1"/>
      <c r="AX2564" s="1"/>
    </row>
    <row r="2565" spans="1:50" x14ac:dyDescent="0.3">
      <c r="A2565" s="19">
        <f t="shared" si="199"/>
        <v>49506</v>
      </c>
      <c r="B2565">
        <f t="shared" ca="1" si="195"/>
        <v>-9.3166666666666664</v>
      </c>
      <c r="C2565" t="str">
        <f ca="1">IF(currency="USD",'Future et co'!D2565,IF(currency="EUR",'Future et co'!E2565,IF(currency="GBP",'Future et co'!F2565,FALSE)))</f>
        <v>RFR USD</v>
      </c>
      <c r="D2565" t="str">
        <f t="shared" ca="1" si="196"/>
        <v>RFR USD</v>
      </c>
      <c r="E2565" t="str">
        <f t="shared" ca="1" si="197"/>
        <v>RFR EUR</v>
      </c>
      <c r="F2565" t="str">
        <f t="shared" ca="1" si="198"/>
        <v>RFR GBP</v>
      </c>
      <c r="J2565" s="1"/>
      <c r="N2565" s="1"/>
      <c r="R2565" s="1"/>
      <c r="V2565" s="1"/>
      <c r="AB2565" s="1"/>
      <c r="AF2565" s="1"/>
      <c r="AJ2565" s="1"/>
      <c r="AN2565" s="1"/>
      <c r="AS2565" s="1"/>
      <c r="AX2565" s="1"/>
    </row>
    <row r="2566" spans="1:50" x14ac:dyDescent="0.3">
      <c r="A2566" s="19">
        <f t="shared" si="199"/>
        <v>49507</v>
      </c>
      <c r="B2566">
        <f t="shared" ca="1" si="195"/>
        <v>-9.3194444444444446</v>
      </c>
      <c r="C2566" t="str">
        <f ca="1">IF(currency="USD",'Future et co'!D2566,IF(currency="EUR",'Future et co'!E2566,IF(currency="GBP",'Future et co'!F2566,FALSE)))</f>
        <v>RFR USD</v>
      </c>
      <c r="D2566" t="str">
        <f t="shared" ca="1" si="196"/>
        <v>RFR USD</v>
      </c>
      <c r="E2566" t="str">
        <f t="shared" ca="1" si="197"/>
        <v>RFR EUR</v>
      </c>
      <c r="F2566" t="str">
        <f t="shared" ca="1" si="198"/>
        <v>RFR GBP</v>
      </c>
      <c r="J2566" s="1"/>
      <c r="N2566" s="1"/>
      <c r="R2566" s="1"/>
      <c r="V2566" s="1"/>
      <c r="AB2566" s="1"/>
      <c r="AF2566" s="1"/>
      <c r="AJ2566" s="1"/>
      <c r="AN2566" s="1"/>
      <c r="AS2566" s="1"/>
      <c r="AX2566" s="1"/>
    </row>
    <row r="2567" spans="1:50" x14ac:dyDescent="0.3">
      <c r="A2567" s="19">
        <f t="shared" si="199"/>
        <v>49508</v>
      </c>
      <c r="B2567">
        <f t="shared" ca="1" si="195"/>
        <v>-9.3222222222222229</v>
      </c>
      <c r="C2567" t="str">
        <f ca="1">IF(currency="USD",'Future et co'!D2567,IF(currency="EUR",'Future et co'!E2567,IF(currency="GBP",'Future et co'!F2567,FALSE)))</f>
        <v>RFR USD</v>
      </c>
      <c r="D2567" t="str">
        <f t="shared" ca="1" si="196"/>
        <v>RFR USD</v>
      </c>
      <c r="E2567" t="str">
        <f t="shared" ca="1" si="197"/>
        <v>RFR EUR</v>
      </c>
      <c r="F2567" t="str">
        <f t="shared" ca="1" si="198"/>
        <v>RFR GBP</v>
      </c>
      <c r="J2567" s="1"/>
      <c r="N2567" s="1"/>
      <c r="R2567" s="1"/>
      <c r="V2567" s="1"/>
      <c r="AB2567" s="1"/>
      <c r="AF2567" s="1"/>
      <c r="AJ2567" s="1"/>
      <c r="AN2567" s="1"/>
      <c r="AS2567" s="1"/>
      <c r="AX2567" s="1"/>
    </row>
    <row r="2568" spans="1:50" x14ac:dyDescent="0.3">
      <c r="A2568" s="19">
        <f t="shared" si="199"/>
        <v>49509</v>
      </c>
      <c r="B2568">
        <f t="shared" ca="1" si="195"/>
        <v>-9.3249999999999993</v>
      </c>
      <c r="C2568" t="str">
        <f ca="1">IF(currency="USD",'Future et co'!D2568,IF(currency="EUR",'Future et co'!E2568,IF(currency="GBP",'Future et co'!F2568,FALSE)))</f>
        <v>RFR USD</v>
      </c>
      <c r="D2568" t="str">
        <f t="shared" ca="1" si="196"/>
        <v>RFR USD</v>
      </c>
      <c r="E2568" t="str">
        <f t="shared" ca="1" si="197"/>
        <v>RFR EUR</v>
      </c>
      <c r="F2568" t="str">
        <f t="shared" ca="1" si="198"/>
        <v>RFR GBP</v>
      </c>
      <c r="J2568" s="1"/>
      <c r="N2568" s="1"/>
      <c r="R2568" s="1"/>
      <c r="V2568" s="1"/>
      <c r="AB2568" s="1"/>
      <c r="AF2568" s="1"/>
      <c r="AJ2568" s="1"/>
      <c r="AN2568" s="1"/>
      <c r="AS2568" s="1"/>
      <c r="AX2568" s="1"/>
    </row>
    <row r="2569" spans="1:50" x14ac:dyDescent="0.3">
      <c r="A2569" s="19">
        <f t="shared" si="199"/>
        <v>49510</v>
      </c>
      <c r="B2569">
        <f t="shared" ca="1" si="195"/>
        <v>-9.3277777777777775</v>
      </c>
      <c r="C2569" t="str">
        <f ca="1">IF(currency="USD",'Future et co'!D2569,IF(currency="EUR",'Future et co'!E2569,IF(currency="GBP",'Future et co'!F2569,FALSE)))</f>
        <v>RFR USD</v>
      </c>
      <c r="D2569" t="str">
        <f t="shared" ca="1" si="196"/>
        <v>RFR USD</v>
      </c>
      <c r="E2569" t="str">
        <f t="shared" ca="1" si="197"/>
        <v>RFR EUR</v>
      </c>
      <c r="F2569" t="str">
        <f t="shared" ca="1" si="198"/>
        <v>RFR GBP</v>
      </c>
      <c r="J2569" s="1"/>
      <c r="N2569" s="1"/>
      <c r="R2569" s="1"/>
      <c r="V2569" s="1"/>
      <c r="AB2569" s="1"/>
      <c r="AF2569" s="1"/>
      <c r="AJ2569" s="1"/>
      <c r="AN2569" s="1"/>
      <c r="AS2569" s="1"/>
      <c r="AX2569" s="1"/>
    </row>
    <row r="2570" spans="1:50" x14ac:dyDescent="0.3">
      <c r="A2570" s="19">
        <f t="shared" si="199"/>
        <v>49513</v>
      </c>
      <c r="B2570">
        <f t="shared" ca="1" si="195"/>
        <v>-9.3361111111111104</v>
      </c>
      <c r="C2570" t="str">
        <f ca="1">IF(currency="USD",'Future et co'!D2570,IF(currency="EUR",'Future et co'!E2570,IF(currency="GBP",'Future et co'!F2570,FALSE)))</f>
        <v>RFR USD</v>
      </c>
      <c r="D2570" t="str">
        <f t="shared" ca="1" si="196"/>
        <v>RFR USD</v>
      </c>
      <c r="E2570" t="str">
        <f t="shared" ca="1" si="197"/>
        <v>RFR EUR</v>
      </c>
      <c r="F2570" t="str">
        <f t="shared" ca="1" si="198"/>
        <v>RFR GBP</v>
      </c>
      <c r="J2570" s="1"/>
      <c r="N2570" s="1"/>
      <c r="R2570" s="1"/>
      <c r="V2570" s="1"/>
      <c r="AB2570" s="1"/>
      <c r="AF2570" s="1"/>
      <c r="AJ2570" s="1"/>
      <c r="AN2570" s="1"/>
      <c r="AS2570" s="1"/>
      <c r="AX2570" s="1"/>
    </row>
    <row r="2571" spans="1:50" x14ac:dyDescent="0.3">
      <c r="A2571" s="19">
        <f t="shared" si="199"/>
        <v>49514</v>
      </c>
      <c r="B2571">
        <f t="shared" ref="B2571:B2634" ca="1" si="200">($B$7-A2571)/360</f>
        <v>-9.3388888888888886</v>
      </c>
      <c r="C2571" t="str">
        <f ca="1">IF(currency="USD",'Future et co'!D2571,IF(currency="EUR",'Future et co'!E2571,IF(currency="GBP",'Future et co'!F2571,FALSE)))</f>
        <v>RFR USD</v>
      </c>
      <c r="D2571" t="str">
        <f t="shared" ref="D2571:D2634" ca="1" si="201">IFERROR(IF(B2571&lt;0.25,VLOOKUP(A2571,$J$11:$L$5325,3,FALSE),IF(AND(B2571&gt;=0.25,B2571&lt;0.5),VLOOKUP(A2571,$N$11:$P$5325,3,FALSE),IF(AND(B2571&gt;=0.5,B2571&lt;1),VLOOKUP(A2571,$R$11:$T$5325,3,FALSE),VLOOKUP(A2571,$V$11:$X$5010,3,FALSE)))),D2570)</f>
        <v>RFR USD</v>
      </c>
      <c r="E2571" t="str">
        <f t="shared" ref="E2571:E2634" ca="1" si="202">IFERROR(IF(B2571&lt;0.25,VLOOKUP(A2571,$AF$11:$AH$5325,3,FALSE),IF(AND(B2571&gt;=0.25,B2571&lt;0.5),VLOOKUP(A2571,$AJ$11:$AL$5325,3,FALSE),VLOOKUP(A2571,$AN$11:$AP$5325,3,FALSE))),E2570)</f>
        <v>RFR EUR</v>
      </c>
      <c r="F2571" t="str">
        <f t="shared" ref="F2571:F2634" ca="1" si="203">IFERROR(VLOOKUP(A2571,$AS$11:$AU$9999,3,FALSE),F2570)</f>
        <v>RFR GBP</v>
      </c>
      <c r="J2571" s="1"/>
      <c r="N2571" s="1"/>
      <c r="R2571" s="1"/>
      <c r="V2571" s="1"/>
      <c r="AB2571" s="1"/>
      <c r="AF2571" s="1"/>
      <c r="AJ2571" s="1"/>
      <c r="AN2571" s="1"/>
      <c r="AS2571" s="1"/>
      <c r="AX2571" s="1"/>
    </row>
    <row r="2572" spans="1:50" x14ac:dyDescent="0.3">
      <c r="A2572" s="19">
        <f t="shared" si="199"/>
        <v>49515</v>
      </c>
      <c r="B2572">
        <f t="shared" ca="1" si="200"/>
        <v>-9.3416666666666668</v>
      </c>
      <c r="C2572" t="str">
        <f ca="1">IF(currency="USD",'Future et co'!D2572,IF(currency="EUR",'Future et co'!E2572,IF(currency="GBP",'Future et co'!F2572,FALSE)))</f>
        <v>RFR USD</v>
      </c>
      <c r="D2572" t="str">
        <f t="shared" ca="1" si="201"/>
        <v>RFR USD</v>
      </c>
      <c r="E2572" t="str">
        <f t="shared" ca="1" si="202"/>
        <v>RFR EUR</v>
      </c>
      <c r="F2572" t="str">
        <f t="shared" ca="1" si="203"/>
        <v>RFR GBP</v>
      </c>
      <c r="J2572" s="1"/>
      <c r="N2572" s="1"/>
      <c r="R2572" s="1"/>
      <c r="V2572" s="1"/>
      <c r="AB2572" s="1"/>
      <c r="AF2572" s="1"/>
      <c r="AJ2572" s="1"/>
      <c r="AN2572" s="1"/>
      <c r="AS2572" s="1"/>
      <c r="AX2572" s="1"/>
    </row>
    <row r="2573" spans="1:50" x14ac:dyDescent="0.3">
      <c r="A2573" s="19">
        <f t="shared" ref="A2573:A2636" si="204">WORKDAY(A2572,1)</f>
        <v>49516</v>
      </c>
      <c r="B2573">
        <f t="shared" ca="1" si="200"/>
        <v>-9.344444444444445</v>
      </c>
      <c r="C2573" t="str">
        <f ca="1">IF(currency="USD",'Future et co'!D2573,IF(currency="EUR",'Future et co'!E2573,IF(currency="GBP",'Future et co'!F2573,FALSE)))</f>
        <v>RFR USD</v>
      </c>
      <c r="D2573" t="str">
        <f t="shared" ca="1" si="201"/>
        <v>RFR USD</v>
      </c>
      <c r="E2573" t="str">
        <f t="shared" ca="1" si="202"/>
        <v>RFR EUR</v>
      </c>
      <c r="F2573" t="str">
        <f t="shared" ca="1" si="203"/>
        <v>RFR GBP</v>
      </c>
      <c r="J2573" s="1"/>
      <c r="N2573" s="1"/>
      <c r="R2573" s="1"/>
      <c r="V2573" s="1"/>
      <c r="AB2573" s="1"/>
      <c r="AF2573" s="1"/>
      <c r="AJ2573" s="1"/>
      <c r="AN2573" s="1"/>
      <c r="AS2573" s="1"/>
      <c r="AX2573" s="1"/>
    </row>
    <row r="2574" spans="1:50" x14ac:dyDescent="0.3">
      <c r="A2574" s="19">
        <f t="shared" si="204"/>
        <v>49517</v>
      </c>
      <c r="B2574">
        <f t="shared" ca="1" si="200"/>
        <v>-9.3472222222222214</v>
      </c>
      <c r="C2574" t="str">
        <f ca="1">IF(currency="USD",'Future et co'!D2574,IF(currency="EUR",'Future et co'!E2574,IF(currency="GBP",'Future et co'!F2574,FALSE)))</f>
        <v>RFR USD</v>
      </c>
      <c r="D2574" t="str">
        <f t="shared" ca="1" si="201"/>
        <v>RFR USD</v>
      </c>
      <c r="E2574" t="str">
        <f t="shared" ca="1" si="202"/>
        <v>RFR EUR</v>
      </c>
      <c r="F2574" t="str">
        <f t="shared" ca="1" si="203"/>
        <v>RFR GBP</v>
      </c>
      <c r="J2574" s="1"/>
      <c r="N2574" s="1"/>
      <c r="R2574" s="1"/>
      <c r="V2574" s="1"/>
      <c r="AB2574" s="1"/>
      <c r="AF2574" s="1"/>
      <c r="AJ2574" s="1"/>
      <c r="AN2574" s="1"/>
      <c r="AS2574" s="1"/>
      <c r="AX2574" s="1"/>
    </row>
    <row r="2575" spans="1:50" x14ac:dyDescent="0.3">
      <c r="A2575" s="19">
        <f t="shared" si="204"/>
        <v>49520</v>
      </c>
      <c r="B2575">
        <f t="shared" ca="1" si="200"/>
        <v>-9.3555555555555561</v>
      </c>
      <c r="C2575" t="str">
        <f ca="1">IF(currency="USD",'Future et co'!D2575,IF(currency="EUR",'Future et co'!E2575,IF(currency="GBP",'Future et co'!F2575,FALSE)))</f>
        <v>RFR USD</v>
      </c>
      <c r="D2575" t="str">
        <f t="shared" ca="1" si="201"/>
        <v>RFR USD</v>
      </c>
      <c r="E2575" t="str">
        <f t="shared" ca="1" si="202"/>
        <v>RFR EUR</v>
      </c>
      <c r="F2575" t="str">
        <f t="shared" ca="1" si="203"/>
        <v>RFR GBP</v>
      </c>
      <c r="J2575" s="1"/>
      <c r="N2575" s="1"/>
      <c r="R2575" s="1"/>
      <c r="V2575" s="1"/>
      <c r="AB2575" s="1"/>
      <c r="AF2575" s="1"/>
      <c r="AJ2575" s="1"/>
      <c r="AN2575" s="1"/>
      <c r="AS2575" s="1"/>
      <c r="AX2575" s="1"/>
    </row>
    <row r="2576" spans="1:50" x14ac:dyDescent="0.3">
      <c r="A2576" s="19">
        <f t="shared" si="204"/>
        <v>49521</v>
      </c>
      <c r="B2576">
        <f t="shared" ca="1" si="200"/>
        <v>-9.3583333333333325</v>
      </c>
      <c r="C2576" t="str">
        <f ca="1">IF(currency="USD",'Future et co'!D2576,IF(currency="EUR",'Future et co'!E2576,IF(currency="GBP",'Future et co'!F2576,FALSE)))</f>
        <v>RFR USD</v>
      </c>
      <c r="D2576" t="str">
        <f t="shared" ca="1" si="201"/>
        <v>RFR USD</v>
      </c>
      <c r="E2576" t="str">
        <f t="shared" ca="1" si="202"/>
        <v>RFR EUR</v>
      </c>
      <c r="F2576" t="str">
        <f t="shared" ca="1" si="203"/>
        <v>RFR GBP</v>
      </c>
      <c r="J2576" s="1"/>
      <c r="N2576" s="1"/>
      <c r="R2576" s="1"/>
      <c r="V2576" s="1"/>
      <c r="AB2576" s="1"/>
      <c r="AF2576" s="1"/>
      <c r="AJ2576" s="1"/>
      <c r="AN2576" s="1"/>
      <c r="AS2576" s="1"/>
      <c r="AX2576" s="1"/>
    </row>
    <row r="2577" spans="1:50" x14ac:dyDescent="0.3">
      <c r="A2577" s="19">
        <f t="shared" si="204"/>
        <v>49522</v>
      </c>
      <c r="B2577">
        <f t="shared" ca="1" si="200"/>
        <v>-9.3611111111111107</v>
      </c>
      <c r="C2577" t="str">
        <f ca="1">IF(currency="USD",'Future et co'!D2577,IF(currency="EUR",'Future et co'!E2577,IF(currency="GBP",'Future et co'!F2577,FALSE)))</f>
        <v>RFR USD</v>
      </c>
      <c r="D2577" t="str">
        <f t="shared" ca="1" si="201"/>
        <v>RFR USD</v>
      </c>
      <c r="E2577" t="str">
        <f t="shared" ca="1" si="202"/>
        <v>RFR EUR</v>
      </c>
      <c r="F2577" t="str">
        <f t="shared" ca="1" si="203"/>
        <v>RFR GBP</v>
      </c>
      <c r="J2577" s="1"/>
      <c r="N2577" s="1"/>
      <c r="R2577" s="1"/>
      <c r="V2577" s="1"/>
      <c r="AB2577" s="1"/>
      <c r="AF2577" s="1"/>
      <c r="AJ2577" s="1"/>
      <c r="AN2577" s="1"/>
      <c r="AS2577" s="1"/>
      <c r="AX2577" s="1"/>
    </row>
    <row r="2578" spans="1:50" x14ac:dyDescent="0.3">
      <c r="A2578" s="19">
        <f t="shared" si="204"/>
        <v>49523</v>
      </c>
      <c r="B2578">
        <f t="shared" ca="1" si="200"/>
        <v>-9.3638888888888889</v>
      </c>
      <c r="C2578" t="str">
        <f ca="1">IF(currency="USD",'Future et co'!D2578,IF(currency="EUR",'Future et co'!E2578,IF(currency="GBP",'Future et co'!F2578,FALSE)))</f>
        <v>RFR USD</v>
      </c>
      <c r="D2578" t="str">
        <f t="shared" ca="1" si="201"/>
        <v>RFR USD</v>
      </c>
      <c r="E2578" t="str">
        <f t="shared" ca="1" si="202"/>
        <v>RFR EUR</v>
      </c>
      <c r="F2578" t="str">
        <f t="shared" ca="1" si="203"/>
        <v>RFR GBP</v>
      </c>
      <c r="J2578" s="1"/>
      <c r="N2578" s="1"/>
      <c r="R2578" s="1"/>
      <c r="V2578" s="1"/>
      <c r="AB2578" s="1"/>
      <c r="AF2578" s="1"/>
      <c r="AJ2578" s="1"/>
      <c r="AN2578" s="1"/>
      <c r="AS2578" s="1"/>
      <c r="AX2578" s="1"/>
    </row>
    <row r="2579" spans="1:50" x14ac:dyDescent="0.3">
      <c r="A2579" s="19">
        <f t="shared" si="204"/>
        <v>49524</v>
      </c>
      <c r="B2579">
        <f t="shared" ca="1" si="200"/>
        <v>-9.3666666666666671</v>
      </c>
      <c r="C2579" t="str">
        <f ca="1">IF(currency="USD",'Future et co'!D2579,IF(currency="EUR",'Future et co'!E2579,IF(currency="GBP",'Future et co'!F2579,FALSE)))</f>
        <v>RFR USD</v>
      </c>
      <c r="D2579" t="str">
        <f t="shared" ca="1" si="201"/>
        <v>RFR USD</v>
      </c>
      <c r="E2579" t="str">
        <f t="shared" ca="1" si="202"/>
        <v>RFR EUR</v>
      </c>
      <c r="F2579" t="str">
        <f t="shared" ca="1" si="203"/>
        <v>RFR GBP</v>
      </c>
      <c r="J2579" s="1"/>
      <c r="N2579" s="1"/>
      <c r="R2579" s="1"/>
      <c r="V2579" s="1"/>
      <c r="AB2579" s="1"/>
      <c r="AF2579" s="1"/>
      <c r="AJ2579" s="1"/>
      <c r="AN2579" s="1"/>
      <c r="AS2579" s="1"/>
      <c r="AX2579" s="1"/>
    </row>
    <row r="2580" spans="1:50" x14ac:dyDescent="0.3">
      <c r="A2580" s="19">
        <f t="shared" si="204"/>
        <v>49527</v>
      </c>
      <c r="B2580">
        <f t="shared" ca="1" si="200"/>
        <v>-9.375</v>
      </c>
      <c r="C2580" t="str">
        <f ca="1">IF(currency="USD",'Future et co'!D2580,IF(currency="EUR",'Future et co'!E2580,IF(currency="GBP",'Future et co'!F2580,FALSE)))</f>
        <v>RFR USD</v>
      </c>
      <c r="D2580" t="str">
        <f t="shared" ca="1" si="201"/>
        <v>RFR USD</v>
      </c>
      <c r="E2580" t="str">
        <f t="shared" ca="1" si="202"/>
        <v>RFR EUR</v>
      </c>
      <c r="F2580" t="str">
        <f t="shared" ca="1" si="203"/>
        <v>RFR GBP</v>
      </c>
      <c r="J2580" s="1"/>
      <c r="N2580" s="1"/>
      <c r="R2580" s="1"/>
      <c r="V2580" s="1"/>
      <c r="AB2580" s="1"/>
      <c r="AF2580" s="1"/>
      <c r="AJ2580" s="1"/>
      <c r="AN2580" s="1"/>
      <c r="AS2580" s="1"/>
      <c r="AX2580" s="1"/>
    </row>
    <row r="2581" spans="1:50" x14ac:dyDescent="0.3">
      <c r="A2581" s="19">
        <f t="shared" si="204"/>
        <v>49528</v>
      </c>
      <c r="B2581">
        <f t="shared" ca="1" si="200"/>
        <v>-9.3777777777777782</v>
      </c>
      <c r="C2581" t="str">
        <f ca="1">IF(currency="USD",'Future et co'!D2581,IF(currency="EUR",'Future et co'!E2581,IF(currency="GBP",'Future et co'!F2581,FALSE)))</f>
        <v>RFR USD</v>
      </c>
      <c r="D2581" t="str">
        <f t="shared" ca="1" si="201"/>
        <v>RFR USD</v>
      </c>
      <c r="E2581" t="str">
        <f t="shared" ca="1" si="202"/>
        <v>RFR EUR</v>
      </c>
      <c r="F2581" t="str">
        <f t="shared" ca="1" si="203"/>
        <v>RFR GBP</v>
      </c>
      <c r="J2581" s="1"/>
      <c r="N2581" s="1"/>
      <c r="R2581" s="1"/>
      <c r="V2581" s="1"/>
      <c r="AB2581" s="1"/>
      <c r="AF2581" s="1"/>
      <c r="AJ2581" s="1"/>
      <c r="AN2581" s="1"/>
      <c r="AS2581" s="1"/>
      <c r="AX2581" s="1"/>
    </row>
    <row r="2582" spans="1:50" x14ac:dyDescent="0.3">
      <c r="A2582" s="19">
        <f t="shared" si="204"/>
        <v>49529</v>
      </c>
      <c r="B2582">
        <f t="shared" ca="1" si="200"/>
        <v>-9.3805555555555564</v>
      </c>
      <c r="C2582" t="str">
        <f ca="1">IF(currency="USD",'Future et co'!D2582,IF(currency="EUR",'Future et co'!E2582,IF(currency="GBP",'Future et co'!F2582,FALSE)))</f>
        <v>RFR USD</v>
      </c>
      <c r="D2582" t="str">
        <f t="shared" ca="1" si="201"/>
        <v>RFR USD</v>
      </c>
      <c r="E2582" t="str">
        <f t="shared" ca="1" si="202"/>
        <v>RFR EUR</v>
      </c>
      <c r="F2582" t="str">
        <f t="shared" ca="1" si="203"/>
        <v>RFR GBP</v>
      </c>
      <c r="J2582" s="1"/>
      <c r="N2582" s="1"/>
      <c r="R2582" s="1"/>
      <c r="V2582" s="1"/>
      <c r="AB2582" s="1"/>
      <c r="AF2582" s="1"/>
      <c r="AJ2582" s="1"/>
      <c r="AN2582" s="1"/>
      <c r="AS2582" s="1"/>
      <c r="AX2582" s="1"/>
    </row>
    <row r="2583" spans="1:50" x14ac:dyDescent="0.3">
      <c r="A2583" s="19">
        <f t="shared" si="204"/>
        <v>49530</v>
      </c>
      <c r="B2583">
        <f t="shared" ca="1" si="200"/>
        <v>-9.3833333333333329</v>
      </c>
      <c r="C2583" t="str">
        <f ca="1">IF(currency="USD",'Future et co'!D2583,IF(currency="EUR",'Future et co'!E2583,IF(currency="GBP",'Future et co'!F2583,FALSE)))</f>
        <v>RFR USD</v>
      </c>
      <c r="D2583" t="str">
        <f t="shared" ca="1" si="201"/>
        <v>RFR USD</v>
      </c>
      <c r="E2583" t="str">
        <f t="shared" ca="1" si="202"/>
        <v>RFR EUR</v>
      </c>
      <c r="F2583" t="str">
        <f t="shared" ca="1" si="203"/>
        <v>RFR GBP</v>
      </c>
      <c r="J2583" s="1"/>
      <c r="N2583" s="1"/>
      <c r="R2583" s="1"/>
      <c r="V2583" s="1"/>
      <c r="AB2583" s="1"/>
      <c r="AF2583" s="1"/>
      <c r="AJ2583" s="1"/>
      <c r="AN2583" s="1"/>
      <c r="AS2583" s="1"/>
      <c r="AX2583" s="1"/>
    </row>
    <row r="2584" spans="1:50" x14ac:dyDescent="0.3">
      <c r="A2584" s="19">
        <f t="shared" si="204"/>
        <v>49531</v>
      </c>
      <c r="B2584">
        <f t="shared" ca="1" si="200"/>
        <v>-9.3861111111111111</v>
      </c>
      <c r="C2584" t="str">
        <f ca="1">IF(currency="USD",'Future et co'!D2584,IF(currency="EUR",'Future et co'!E2584,IF(currency="GBP",'Future et co'!F2584,FALSE)))</f>
        <v>RFR USD</v>
      </c>
      <c r="D2584" t="str">
        <f t="shared" ca="1" si="201"/>
        <v>RFR USD</v>
      </c>
      <c r="E2584" t="str">
        <f t="shared" ca="1" si="202"/>
        <v>RFR EUR</v>
      </c>
      <c r="F2584" t="str">
        <f t="shared" ca="1" si="203"/>
        <v>RFR GBP</v>
      </c>
      <c r="J2584" s="1"/>
      <c r="N2584" s="1"/>
      <c r="R2584" s="1"/>
      <c r="V2584" s="1"/>
      <c r="AB2584" s="1"/>
      <c r="AF2584" s="1"/>
      <c r="AJ2584" s="1"/>
      <c r="AN2584" s="1"/>
      <c r="AS2584" s="1"/>
      <c r="AX2584" s="1"/>
    </row>
    <row r="2585" spans="1:50" x14ac:dyDescent="0.3">
      <c r="A2585" s="19">
        <f t="shared" si="204"/>
        <v>49534</v>
      </c>
      <c r="B2585">
        <f t="shared" ca="1" si="200"/>
        <v>-9.3944444444444439</v>
      </c>
      <c r="C2585" t="str">
        <f ca="1">IF(currency="USD",'Future et co'!D2585,IF(currency="EUR",'Future et co'!E2585,IF(currency="GBP",'Future et co'!F2585,FALSE)))</f>
        <v>RFR USD</v>
      </c>
      <c r="D2585" t="str">
        <f t="shared" ca="1" si="201"/>
        <v>RFR USD</v>
      </c>
      <c r="E2585" t="str">
        <f t="shared" ca="1" si="202"/>
        <v>RFR EUR</v>
      </c>
      <c r="F2585" t="str">
        <f t="shared" ca="1" si="203"/>
        <v>RFR GBP</v>
      </c>
      <c r="J2585" s="1"/>
      <c r="N2585" s="1"/>
      <c r="R2585" s="1"/>
      <c r="V2585" s="1"/>
      <c r="AB2585" s="1"/>
      <c r="AF2585" s="1"/>
      <c r="AJ2585" s="1"/>
      <c r="AN2585" s="1"/>
      <c r="AS2585" s="1"/>
      <c r="AX2585" s="1"/>
    </row>
    <row r="2586" spans="1:50" x14ac:dyDescent="0.3">
      <c r="A2586" s="19">
        <f t="shared" si="204"/>
        <v>49535</v>
      </c>
      <c r="B2586">
        <f t="shared" ca="1" si="200"/>
        <v>-9.3972222222222221</v>
      </c>
      <c r="C2586" t="str">
        <f ca="1">IF(currency="USD",'Future et co'!D2586,IF(currency="EUR",'Future et co'!E2586,IF(currency="GBP",'Future et co'!F2586,FALSE)))</f>
        <v>RFR USD</v>
      </c>
      <c r="D2586" t="str">
        <f t="shared" ca="1" si="201"/>
        <v>RFR USD</v>
      </c>
      <c r="E2586" t="str">
        <f t="shared" ca="1" si="202"/>
        <v>RFR EUR</v>
      </c>
      <c r="F2586" t="str">
        <f t="shared" ca="1" si="203"/>
        <v>RFR GBP</v>
      </c>
      <c r="J2586" s="1"/>
      <c r="N2586" s="1"/>
      <c r="R2586" s="1"/>
      <c r="V2586" s="1"/>
      <c r="AB2586" s="1"/>
      <c r="AF2586" s="1"/>
      <c r="AJ2586" s="1"/>
      <c r="AN2586" s="1"/>
      <c r="AS2586" s="1"/>
      <c r="AX2586" s="1"/>
    </row>
    <row r="2587" spans="1:50" x14ac:dyDescent="0.3">
      <c r="A2587" s="19">
        <f t="shared" si="204"/>
        <v>49536</v>
      </c>
      <c r="B2587">
        <f t="shared" ca="1" si="200"/>
        <v>-9.4</v>
      </c>
      <c r="C2587" t="str">
        <f ca="1">IF(currency="USD",'Future et co'!D2587,IF(currency="EUR",'Future et co'!E2587,IF(currency="GBP",'Future et co'!F2587,FALSE)))</f>
        <v>RFR USD</v>
      </c>
      <c r="D2587" t="str">
        <f t="shared" ca="1" si="201"/>
        <v>RFR USD</v>
      </c>
      <c r="E2587" t="str">
        <f t="shared" ca="1" si="202"/>
        <v>RFR EUR</v>
      </c>
      <c r="F2587" t="str">
        <f t="shared" ca="1" si="203"/>
        <v>RFR GBP</v>
      </c>
      <c r="J2587" s="1"/>
      <c r="N2587" s="1"/>
      <c r="R2587" s="1"/>
      <c r="V2587" s="1"/>
      <c r="AB2587" s="1"/>
      <c r="AF2587" s="1"/>
      <c r="AJ2587" s="1"/>
      <c r="AN2587" s="1"/>
      <c r="AS2587" s="1"/>
      <c r="AX2587" s="1"/>
    </row>
    <row r="2588" spans="1:50" x14ac:dyDescent="0.3">
      <c r="A2588" s="19">
        <f t="shared" si="204"/>
        <v>49537</v>
      </c>
      <c r="B2588">
        <f t="shared" ca="1" si="200"/>
        <v>-9.4027777777777786</v>
      </c>
      <c r="C2588" t="str">
        <f ca="1">IF(currency="USD",'Future et co'!D2588,IF(currency="EUR",'Future et co'!E2588,IF(currency="GBP",'Future et co'!F2588,FALSE)))</f>
        <v>RFR USD</v>
      </c>
      <c r="D2588" t="str">
        <f t="shared" ca="1" si="201"/>
        <v>RFR USD</v>
      </c>
      <c r="E2588" t="str">
        <f t="shared" ca="1" si="202"/>
        <v>RFR EUR</v>
      </c>
      <c r="F2588" t="str">
        <f t="shared" ca="1" si="203"/>
        <v>RFR GBP</v>
      </c>
      <c r="J2588" s="1"/>
      <c r="N2588" s="1"/>
      <c r="R2588" s="1"/>
      <c r="V2588" s="1"/>
      <c r="AB2588" s="1"/>
      <c r="AF2588" s="1"/>
      <c r="AJ2588" s="1"/>
      <c r="AN2588" s="1"/>
      <c r="AS2588" s="1"/>
      <c r="AX2588" s="1"/>
    </row>
    <row r="2589" spans="1:50" x14ac:dyDescent="0.3">
      <c r="A2589" s="19">
        <f t="shared" si="204"/>
        <v>49538</v>
      </c>
      <c r="B2589">
        <f t="shared" ca="1" si="200"/>
        <v>-9.405555555555555</v>
      </c>
      <c r="C2589" t="str">
        <f ca="1">IF(currency="USD",'Future et co'!D2589,IF(currency="EUR",'Future et co'!E2589,IF(currency="GBP",'Future et co'!F2589,FALSE)))</f>
        <v>RFR USD</v>
      </c>
      <c r="D2589" t="str">
        <f t="shared" ca="1" si="201"/>
        <v>RFR USD</v>
      </c>
      <c r="E2589" t="str">
        <f t="shared" ca="1" si="202"/>
        <v>RFR EUR</v>
      </c>
      <c r="F2589" t="str">
        <f t="shared" ca="1" si="203"/>
        <v>RFR GBP</v>
      </c>
      <c r="J2589" s="1"/>
      <c r="N2589" s="1"/>
      <c r="R2589" s="1"/>
      <c r="V2589" s="1"/>
      <c r="AB2589" s="1"/>
      <c r="AF2589" s="1"/>
      <c r="AJ2589" s="1"/>
      <c r="AN2589" s="1"/>
      <c r="AS2589" s="1"/>
      <c r="AX2589" s="1"/>
    </row>
    <row r="2590" spans="1:50" x14ac:dyDescent="0.3">
      <c r="A2590" s="19">
        <f t="shared" si="204"/>
        <v>49541</v>
      </c>
      <c r="B2590">
        <f t="shared" ca="1" si="200"/>
        <v>-9.4138888888888896</v>
      </c>
      <c r="C2590" t="str">
        <f ca="1">IF(currency="USD",'Future et co'!D2590,IF(currency="EUR",'Future et co'!E2590,IF(currency="GBP",'Future et co'!F2590,FALSE)))</f>
        <v>RFR USD</v>
      </c>
      <c r="D2590" t="str">
        <f t="shared" ca="1" si="201"/>
        <v>RFR USD</v>
      </c>
      <c r="E2590" t="str">
        <f t="shared" ca="1" si="202"/>
        <v>RFR EUR</v>
      </c>
      <c r="F2590" t="str">
        <f t="shared" ca="1" si="203"/>
        <v>RFR GBP</v>
      </c>
      <c r="J2590" s="1"/>
      <c r="N2590" s="1"/>
      <c r="R2590" s="1"/>
      <c r="V2590" s="1"/>
      <c r="AB2590" s="1"/>
      <c r="AF2590" s="1"/>
      <c r="AJ2590" s="1"/>
      <c r="AN2590" s="1"/>
      <c r="AS2590" s="1"/>
      <c r="AX2590" s="1"/>
    </row>
    <row r="2591" spans="1:50" x14ac:dyDescent="0.3">
      <c r="A2591" s="19">
        <f t="shared" si="204"/>
        <v>49542</v>
      </c>
      <c r="B2591">
        <f t="shared" ca="1" si="200"/>
        <v>-9.4166666666666661</v>
      </c>
      <c r="C2591" t="str">
        <f ca="1">IF(currency="USD",'Future et co'!D2591,IF(currency="EUR",'Future et co'!E2591,IF(currency="GBP",'Future et co'!F2591,FALSE)))</f>
        <v>RFR USD</v>
      </c>
      <c r="D2591" t="str">
        <f t="shared" ca="1" si="201"/>
        <v>RFR USD</v>
      </c>
      <c r="E2591" t="str">
        <f t="shared" ca="1" si="202"/>
        <v>RFR EUR</v>
      </c>
      <c r="F2591" t="str">
        <f t="shared" ca="1" si="203"/>
        <v>RFR GBP</v>
      </c>
      <c r="J2591" s="1"/>
      <c r="N2591" s="1"/>
      <c r="R2591" s="1"/>
      <c r="V2591" s="1"/>
      <c r="AB2591" s="1"/>
      <c r="AF2591" s="1"/>
      <c r="AJ2591" s="1"/>
      <c r="AN2591" s="1"/>
      <c r="AS2591" s="1"/>
      <c r="AX2591" s="1"/>
    </row>
    <row r="2592" spans="1:50" x14ac:dyDescent="0.3">
      <c r="A2592" s="19">
        <f t="shared" si="204"/>
        <v>49543</v>
      </c>
      <c r="B2592">
        <f t="shared" ca="1" si="200"/>
        <v>-9.4194444444444443</v>
      </c>
      <c r="C2592" t="str">
        <f ca="1">IF(currency="USD",'Future et co'!D2592,IF(currency="EUR",'Future et co'!E2592,IF(currency="GBP",'Future et co'!F2592,FALSE)))</f>
        <v>RFR USD</v>
      </c>
      <c r="D2592" t="str">
        <f t="shared" ca="1" si="201"/>
        <v>RFR USD</v>
      </c>
      <c r="E2592" t="str">
        <f t="shared" ca="1" si="202"/>
        <v>RFR EUR</v>
      </c>
      <c r="F2592" t="str">
        <f t="shared" ca="1" si="203"/>
        <v>RFR GBP</v>
      </c>
      <c r="J2592" s="1"/>
      <c r="N2592" s="1"/>
      <c r="R2592" s="1"/>
      <c r="V2592" s="1"/>
      <c r="AB2592" s="1"/>
      <c r="AF2592" s="1"/>
      <c r="AJ2592" s="1"/>
      <c r="AN2592" s="1"/>
      <c r="AS2592" s="1"/>
      <c r="AX2592" s="1"/>
    </row>
    <row r="2593" spans="1:50" x14ac:dyDescent="0.3">
      <c r="A2593" s="19">
        <f t="shared" si="204"/>
        <v>49544</v>
      </c>
      <c r="B2593">
        <f t="shared" ca="1" si="200"/>
        <v>-9.4222222222222225</v>
      </c>
      <c r="C2593" t="str">
        <f ca="1">IF(currency="USD",'Future et co'!D2593,IF(currency="EUR",'Future et co'!E2593,IF(currency="GBP",'Future et co'!F2593,FALSE)))</f>
        <v>RFR USD</v>
      </c>
      <c r="D2593" t="str">
        <f t="shared" ca="1" si="201"/>
        <v>RFR USD</v>
      </c>
      <c r="E2593" t="str">
        <f t="shared" ca="1" si="202"/>
        <v>RFR EUR</v>
      </c>
      <c r="F2593" t="str">
        <f t="shared" ca="1" si="203"/>
        <v>RFR GBP</v>
      </c>
      <c r="J2593" s="1"/>
      <c r="N2593" s="1"/>
      <c r="R2593" s="1"/>
      <c r="V2593" s="1"/>
      <c r="AB2593" s="1"/>
      <c r="AF2593" s="1"/>
      <c r="AJ2593" s="1"/>
      <c r="AN2593" s="1"/>
      <c r="AS2593" s="1"/>
      <c r="AX2593" s="1"/>
    </row>
    <row r="2594" spans="1:50" x14ac:dyDescent="0.3">
      <c r="A2594" s="19">
        <f t="shared" si="204"/>
        <v>49545</v>
      </c>
      <c r="B2594">
        <f t="shared" ca="1" si="200"/>
        <v>-9.4250000000000007</v>
      </c>
      <c r="C2594" t="str">
        <f ca="1">IF(currency="USD",'Future et co'!D2594,IF(currency="EUR",'Future et co'!E2594,IF(currency="GBP",'Future et co'!F2594,FALSE)))</f>
        <v>RFR USD</v>
      </c>
      <c r="D2594" t="str">
        <f t="shared" ca="1" si="201"/>
        <v>RFR USD</v>
      </c>
      <c r="E2594" t="str">
        <f t="shared" ca="1" si="202"/>
        <v>RFR EUR</v>
      </c>
      <c r="F2594" t="str">
        <f t="shared" ca="1" si="203"/>
        <v>RFR GBP</v>
      </c>
      <c r="J2594" s="1"/>
      <c r="N2594" s="1"/>
      <c r="R2594" s="1"/>
      <c r="V2594" s="1"/>
      <c r="AB2594" s="1"/>
      <c r="AF2594" s="1"/>
      <c r="AJ2594" s="1"/>
      <c r="AN2594" s="1"/>
      <c r="AS2594" s="1"/>
      <c r="AX2594" s="1"/>
    </row>
    <row r="2595" spans="1:50" x14ac:dyDescent="0.3">
      <c r="A2595" s="19">
        <f t="shared" si="204"/>
        <v>49548</v>
      </c>
      <c r="B2595">
        <f t="shared" ca="1" si="200"/>
        <v>-9.4333333333333336</v>
      </c>
      <c r="C2595" t="str">
        <f ca="1">IF(currency="USD",'Future et co'!D2595,IF(currency="EUR",'Future et co'!E2595,IF(currency="GBP",'Future et co'!F2595,FALSE)))</f>
        <v>RFR USD</v>
      </c>
      <c r="D2595" t="str">
        <f t="shared" ca="1" si="201"/>
        <v>RFR USD</v>
      </c>
      <c r="E2595" t="str">
        <f t="shared" ca="1" si="202"/>
        <v>RFR EUR</v>
      </c>
      <c r="F2595" t="str">
        <f t="shared" ca="1" si="203"/>
        <v>RFR GBP</v>
      </c>
      <c r="J2595" s="1"/>
      <c r="N2595" s="1"/>
      <c r="R2595" s="1"/>
      <c r="V2595" s="1"/>
      <c r="AB2595" s="1"/>
      <c r="AF2595" s="1"/>
      <c r="AJ2595" s="1"/>
      <c r="AN2595" s="1"/>
      <c r="AS2595" s="1"/>
      <c r="AX2595" s="1"/>
    </row>
    <row r="2596" spans="1:50" x14ac:dyDescent="0.3">
      <c r="A2596" s="19">
        <f t="shared" si="204"/>
        <v>49549</v>
      </c>
      <c r="B2596">
        <f t="shared" ca="1" si="200"/>
        <v>-9.4361111111111118</v>
      </c>
      <c r="C2596" t="str">
        <f ca="1">IF(currency="USD",'Future et co'!D2596,IF(currency="EUR",'Future et co'!E2596,IF(currency="GBP",'Future et co'!F2596,FALSE)))</f>
        <v>RFR USD</v>
      </c>
      <c r="D2596" t="str">
        <f t="shared" ca="1" si="201"/>
        <v>RFR USD</v>
      </c>
      <c r="E2596" t="str">
        <f t="shared" ca="1" si="202"/>
        <v>RFR EUR</v>
      </c>
      <c r="F2596" t="str">
        <f t="shared" ca="1" si="203"/>
        <v>RFR GBP</v>
      </c>
      <c r="J2596" s="1"/>
      <c r="N2596" s="1"/>
      <c r="R2596" s="1"/>
      <c r="V2596" s="1"/>
      <c r="AB2596" s="1"/>
      <c r="AF2596" s="1"/>
      <c r="AJ2596" s="1"/>
      <c r="AN2596" s="1"/>
      <c r="AS2596" s="1"/>
      <c r="AX2596" s="1"/>
    </row>
    <row r="2597" spans="1:50" x14ac:dyDescent="0.3">
      <c r="A2597" s="19">
        <f t="shared" si="204"/>
        <v>49550</v>
      </c>
      <c r="B2597">
        <f t="shared" ca="1" si="200"/>
        <v>-9.4388888888888882</v>
      </c>
      <c r="C2597" t="str">
        <f ca="1">IF(currency="USD",'Future et co'!D2597,IF(currency="EUR",'Future et co'!E2597,IF(currency="GBP",'Future et co'!F2597,FALSE)))</f>
        <v>RFR USD</v>
      </c>
      <c r="D2597" t="str">
        <f t="shared" ca="1" si="201"/>
        <v>RFR USD</v>
      </c>
      <c r="E2597" t="str">
        <f t="shared" ca="1" si="202"/>
        <v>RFR EUR</v>
      </c>
      <c r="F2597" t="str">
        <f t="shared" ca="1" si="203"/>
        <v>RFR GBP</v>
      </c>
      <c r="J2597" s="1"/>
      <c r="N2597" s="1"/>
      <c r="R2597" s="1"/>
      <c r="V2597" s="1"/>
      <c r="AB2597" s="1"/>
      <c r="AF2597" s="1"/>
      <c r="AJ2597" s="1"/>
      <c r="AN2597" s="1"/>
      <c r="AS2597" s="1"/>
      <c r="AX2597" s="1"/>
    </row>
    <row r="2598" spans="1:50" x14ac:dyDescent="0.3">
      <c r="A2598" s="19">
        <f t="shared" si="204"/>
        <v>49551</v>
      </c>
      <c r="B2598">
        <f t="shared" ca="1" si="200"/>
        <v>-9.4416666666666664</v>
      </c>
      <c r="C2598" t="str">
        <f ca="1">IF(currency="USD",'Future et co'!D2598,IF(currency="EUR",'Future et co'!E2598,IF(currency="GBP",'Future et co'!F2598,FALSE)))</f>
        <v>RFR USD</v>
      </c>
      <c r="D2598" t="str">
        <f t="shared" ca="1" si="201"/>
        <v>RFR USD</v>
      </c>
      <c r="E2598" t="str">
        <f t="shared" ca="1" si="202"/>
        <v>RFR EUR</v>
      </c>
      <c r="F2598" t="str">
        <f t="shared" ca="1" si="203"/>
        <v>RFR GBP</v>
      </c>
      <c r="J2598" s="1"/>
      <c r="N2598" s="1"/>
      <c r="R2598" s="1"/>
      <c r="V2598" s="1"/>
      <c r="AB2598" s="1"/>
      <c r="AF2598" s="1"/>
      <c r="AJ2598" s="1"/>
      <c r="AN2598" s="1"/>
      <c r="AS2598" s="1"/>
      <c r="AX2598" s="1"/>
    </row>
    <row r="2599" spans="1:50" x14ac:dyDescent="0.3">
      <c r="A2599" s="19">
        <f t="shared" si="204"/>
        <v>49552</v>
      </c>
      <c r="B2599">
        <f t="shared" ca="1" si="200"/>
        <v>-9.4444444444444446</v>
      </c>
      <c r="C2599" t="str">
        <f ca="1">IF(currency="USD",'Future et co'!D2599,IF(currency="EUR",'Future et co'!E2599,IF(currency="GBP",'Future et co'!F2599,FALSE)))</f>
        <v>RFR USD</v>
      </c>
      <c r="D2599" t="str">
        <f t="shared" ca="1" si="201"/>
        <v>RFR USD</v>
      </c>
      <c r="E2599" t="str">
        <f t="shared" ca="1" si="202"/>
        <v>RFR EUR</v>
      </c>
      <c r="F2599" t="str">
        <f t="shared" ca="1" si="203"/>
        <v>RFR GBP</v>
      </c>
      <c r="J2599" s="1"/>
      <c r="N2599" s="1"/>
      <c r="R2599" s="1"/>
      <c r="V2599" s="1"/>
      <c r="AB2599" s="1"/>
      <c r="AF2599" s="1"/>
      <c r="AJ2599" s="1"/>
      <c r="AN2599" s="1"/>
      <c r="AS2599" s="1"/>
      <c r="AX2599" s="1"/>
    </row>
    <row r="2600" spans="1:50" x14ac:dyDescent="0.3">
      <c r="A2600" s="19">
        <f t="shared" si="204"/>
        <v>49555</v>
      </c>
      <c r="B2600">
        <f t="shared" ca="1" si="200"/>
        <v>-9.4527777777777775</v>
      </c>
      <c r="C2600" t="str">
        <f ca="1">IF(currency="USD",'Future et co'!D2600,IF(currency="EUR",'Future et co'!E2600,IF(currency="GBP",'Future et co'!F2600,FALSE)))</f>
        <v>RFR USD</v>
      </c>
      <c r="D2600" t="str">
        <f t="shared" ca="1" si="201"/>
        <v>RFR USD</v>
      </c>
      <c r="E2600" t="str">
        <f t="shared" ca="1" si="202"/>
        <v>RFR EUR</v>
      </c>
      <c r="F2600" t="str">
        <f t="shared" ca="1" si="203"/>
        <v>RFR GBP</v>
      </c>
      <c r="J2600" s="1"/>
      <c r="N2600" s="1"/>
      <c r="R2600" s="1"/>
      <c r="V2600" s="1"/>
      <c r="AB2600" s="1"/>
      <c r="AF2600" s="1"/>
      <c r="AJ2600" s="1"/>
      <c r="AN2600" s="1"/>
      <c r="AS2600" s="1"/>
      <c r="AX2600" s="1"/>
    </row>
    <row r="2601" spans="1:50" x14ac:dyDescent="0.3">
      <c r="A2601" s="19">
        <f t="shared" si="204"/>
        <v>49556</v>
      </c>
      <c r="B2601">
        <f t="shared" ca="1" si="200"/>
        <v>-9.4555555555555557</v>
      </c>
      <c r="C2601" t="str">
        <f ca="1">IF(currency="USD",'Future et co'!D2601,IF(currency="EUR",'Future et co'!E2601,IF(currency="GBP",'Future et co'!F2601,FALSE)))</f>
        <v>RFR USD</v>
      </c>
      <c r="D2601" t="str">
        <f t="shared" ca="1" si="201"/>
        <v>RFR USD</v>
      </c>
      <c r="E2601" t="str">
        <f t="shared" ca="1" si="202"/>
        <v>RFR EUR</v>
      </c>
      <c r="F2601" t="str">
        <f t="shared" ca="1" si="203"/>
        <v>RFR GBP</v>
      </c>
      <c r="J2601" s="1"/>
      <c r="N2601" s="1"/>
      <c r="R2601" s="1"/>
      <c r="V2601" s="1"/>
      <c r="AB2601" s="1"/>
      <c r="AF2601" s="1"/>
      <c r="AJ2601" s="1"/>
      <c r="AN2601" s="1"/>
      <c r="AS2601" s="1"/>
      <c r="AX2601" s="1"/>
    </row>
    <row r="2602" spans="1:50" x14ac:dyDescent="0.3">
      <c r="A2602" s="19">
        <f t="shared" si="204"/>
        <v>49557</v>
      </c>
      <c r="B2602">
        <f t="shared" ca="1" si="200"/>
        <v>-9.4583333333333339</v>
      </c>
      <c r="C2602" t="str">
        <f ca="1">IF(currency="USD",'Future et co'!D2602,IF(currency="EUR",'Future et co'!E2602,IF(currency="GBP",'Future et co'!F2602,FALSE)))</f>
        <v>RFR USD</v>
      </c>
      <c r="D2602" t="str">
        <f t="shared" ca="1" si="201"/>
        <v>RFR USD</v>
      </c>
      <c r="E2602" t="str">
        <f t="shared" ca="1" si="202"/>
        <v>RFR EUR</v>
      </c>
      <c r="F2602" t="str">
        <f t="shared" ca="1" si="203"/>
        <v>RFR GBP</v>
      </c>
      <c r="J2602" s="1"/>
      <c r="N2602" s="1"/>
      <c r="R2602" s="1"/>
      <c r="V2602" s="1"/>
      <c r="AB2602" s="1"/>
      <c r="AF2602" s="1"/>
      <c r="AJ2602" s="1"/>
      <c r="AN2602" s="1"/>
      <c r="AS2602" s="1"/>
      <c r="AX2602" s="1"/>
    </row>
    <row r="2603" spans="1:50" x14ac:dyDescent="0.3">
      <c r="A2603" s="19">
        <f t="shared" si="204"/>
        <v>49558</v>
      </c>
      <c r="B2603">
        <f t="shared" ca="1" si="200"/>
        <v>-9.4611111111111104</v>
      </c>
      <c r="C2603" t="str">
        <f ca="1">IF(currency="USD",'Future et co'!D2603,IF(currency="EUR",'Future et co'!E2603,IF(currency="GBP",'Future et co'!F2603,FALSE)))</f>
        <v>RFR USD</v>
      </c>
      <c r="D2603" t="str">
        <f t="shared" ca="1" si="201"/>
        <v>RFR USD</v>
      </c>
      <c r="E2603" t="str">
        <f t="shared" ca="1" si="202"/>
        <v>RFR EUR</v>
      </c>
      <c r="F2603" t="str">
        <f t="shared" ca="1" si="203"/>
        <v>RFR GBP</v>
      </c>
      <c r="J2603" s="1"/>
      <c r="N2603" s="1"/>
      <c r="R2603" s="1"/>
      <c r="V2603" s="1"/>
      <c r="AB2603" s="1"/>
      <c r="AF2603" s="1"/>
      <c r="AJ2603" s="1"/>
      <c r="AN2603" s="1"/>
      <c r="AS2603" s="1"/>
      <c r="AX2603" s="1"/>
    </row>
    <row r="2604" spans="1:50" x14ac:dyDescent="0.3">
      <c r="A2604" s="19">
        <f t="shared" si="204"/>
        <v>49559</v>
      </c>
      <c r="B2604">
        <f t="shared" ca="1" si="200"/>
        <v>-9.4638888888888886</v>
      </c>
      <c r="C2604" t="str">
        <f ca="1">IF(currency="USD",'Future et co'!D2604,IF(currency="EUR",'Future et co'!E2604,IF(currency="GBP",'Future et co'!F2604,FALSE)))</f>
        <v>RFR USD</v>
      </c>
      <c r="D2604" t="str">
        <f t="shared" ca="1" si="201"/>
        <v>RFR USD</v>
      </c>
      <c r="E2604" t="str">
        <f t="shared" ca="1" si="202"/>
        <v>RFR EUR</v>
      </c>
      <c r="F2604" t="str">
        <f t="shared" ca="1" si="203"/>
        <v>RFR GBP</v>
      </c>
      <c r="J2604" s="1"/>
      <c r="N2604" s="1"/>
      <c r="R2604" s="1"/>
      <c r="V2604" s="1"/>
      <c r="AB2604" s="1"/>
      <c r="AF2604" s="1"/>
      <c r="AJ2604" s="1"/>
      <c r="AN2604" s="1"/>
      <c r="AS2604" s="1"/>
      <c r="AX2604" s="1"/>
    </row>
    <row r="2605" spans="1:50" x14ac:dyDescent="0.3">
      <c r="A2605" s="19">
        <f t="shared" si="204"/>
        <v>49562</v>
      </c>
      <c r="B2605">
        <f t="shared" ca="1" si="200"/>
        <v>-9.4722222222222214</v>
      </c>
      <c r="C2605" t="str">
        <f ca="1">IF(currency="USD",'Future et co'!D2605,IF(currency="EUR",'Future et co'!E2605,IF(currency="GBP",'Future et co'!F2605,FALSE)))</f>
        <v>RFR USD</v>
      </c>
      <c r="D2605" t="str">
        <f t="shared" ca="1" si="201"/>
        <v>RFR USD</v>
      </c>
      <c r="E2605" t="str">
        <f t="shared" ca="1" si="202"/>
        <v>RFR EUR</v>
      </c>
      <c r="F2605" t="str">
        <f t="shared" ca="1" si="203"/>
        <v>RFR GBP</v>
      </c>
      <c r="J2605" s="1"/>
      <c r="N2605" s="1"/>
      <c r="R2605" s="1"/>
      <c r="V2605" s="1"/>
      <c r="AB2605" s="1"/>
      <c r="AF2605" s="1"/>
      <c r="AJ2605" s="1"/>
      <c r="AN2605" s="1"/>
      <c r="AS2605" s="1"/>
      <c r="AX2605" s="1"/>
    </row>
    <row r="2606" spans="1:50" x14ac:dyDescent="0.3">
      <c r="A2606" s="19">
        <f t="shared" si="204"/>
        <v>49563</v>
      </c>
      <c r="B2606">
        <f t="shared" ca="1" si="200"/>
        <v>-9.4749999999999996</v>
      </c>
      <c r="C2606" t="str">
        <f ca="1">IF(currency="USD",'Future et co'!D2606,IF(currency="EUR",'Future et co'!E2606,IF(currency="GBP",'Future et co'!F2606,FALSE)))</f>
        <v>RFR USD</v>
      </c>
      <c r="D2606" t="str">
        <f t="shared" ca="1" si="201"/>
        <v>RFR USD</v>
      </c>
      <c r="E2606" t="str">
        <f t="shared" ca="1" si="202"/>
        <v>RFR EUR</v>
      </c>
      <c r="F2606" t="str">
        <f t="shared" ca="1" si="203"/>
        <v>RFR GBP</v>
      </c>
      <c r="J2606" s="1"/>
      <c r="N2606" s="1"/>
      <c r="R2606" s="1"/>
      <c r="V2606" s="1"/>
      <c r="AB2606" s="1"/>
      <c r="AF2606" s="1"/>
      <c r="AJ2606" s="1"/>
      <c r="AN2606" s="1"/>
      <c r="AS2606" s="1"/>
      <c r="AX2606" s="1"/>
    </row>
    <row r="2607" spans="1:50" x14ac:dyDescent="0.3">
      <c r="A2607" s="19">
        <f t="shared" si="204"/>
        <v>49564</v>
      </c>
      <c r="B2607">
        <f t="shared" ca="1" si="200"/>
        <v>-9.4777777777777779</v>
      </c>
      <c r="C2607" t="str">
        <f ca="1">IF(currency="USD",'Future et co'!D2607,IF(currency="EUR",'Future et co'!E2607,IF(currency="GBP",'Future et co'!F2607,FALSE)))</f>
        <v>RFR USD</v>
      </c>
      <c r="D2607" t="str">
        <f t="shared" ca="1" si="201"/>
        <v>RFR USD</v>
      </c>
      <c r="E2607" t="str">
        <f t="shared" ca="1" si="202"/>
        <v>RFR EUR</v>
      </c>
      <c r="F2607" t="str">
        <f t="shared" ca="1" si="203"/>
        <v>RFR GBP</v>
      </c>
      <c r="J2607" s="1"/>
      <c r="N2607" s="1"/>
      <c r="R2607" s="1"/>
      <c r="V2607" s="1"/>
      <c r="AB2607" s="1"/>
      <c r="AF2607" s="1"/>
      <c r="AJ2607" s="1"/>
      <c r="AN2607" s="1"/>
      <c r="AS2607" s="1"/>
      <c r="AX2607" s="1"/>
    </row>
    <row r="2608" spans="1:50" x14ac:dyDescent="0.3">
      <c r="A2608" s="19">
        <f t="shared" si="204"/>
        <v>49565</v>
      </c>
      <c r="B2608">
        <f t="shared" ca="1" si="200"/>
        <v>-9.4805555555555561</v>
      </c>
      <c r="C2608" t="str">
        <f ca="1">IF(currency="USD",'Future et co'!D2608,IF(currency="EUR",'Future et co'!E2608,IF(currency="GBP",'Future et co'!F2608,FALSE)))</f>
        <v>RFR USD</v>
      </c>
      <c r="D2608" t="str">
        <f t="shared" ca="1" si="201"/>
        <v>RFR USD</v>
      </c>
      <c r="E2608" t="str">
        <f t="shared" ca="1" si="202"/>
        <v>RFR EUR</v>
      </c>
      <c r="F2608" t="str">
        <f t="shared" ca="1" si="203"/>
        <v>RFR GBP</v>
      </c>
      <c r="J2608" s="1"/>
      <c r="N2608" s="1"/>
      <c r="R2608" s="1"/>
      <c r="V2608" s="1"/>
      <c r="AB2608" s="1"/>
      <c r="AF2608" s="1"/>
      <c r="AJ2608" s="1"/>
      <c r="AN2608" s="1"/>
      <c r="AS2608" s="1"/>
      <c r="AX2608" s="1"/>
    </row>
    <row r="2609" spans="1:50" x14ac:dyDescent="0.3">
      <c r="A2609" s="19">
        <f t="shared" si="204"/>
        <v>49566</v>
      </c>
      <c r="B2609">
        <f t="shared" ca="1" si="200"/>
        <v>-9.4833333333333325</v>
      </c>
      <c r="C2609" t="str">
        <f ca="1">IF(currency="USD",'Future et co'!D2609,IF(currency="EUR",'Future et co'!E2609,IF(currency="GBP",'Future et co'!F2609,FALSE)))</f>
        <v>RFR USD</v>
      </c>
      <c r="D2609" t="str">
        <f t="shared" ca="1" si="201"/>
        <v>RFR USD</v>
      </c>
      <c r="E2609" t="str">
        <f t="shared" ca="1" si="202"/>
        <v>RFR EUR</v>
      </c>
      <c r="F2609" t="str">
        <f t="shared" ca="1" si="203"/>
        <v>RFR GBP</v>
      </c>
      <c r="J2609" s="1"/>
      <c r="N2609" s="1"/>
      <c r="R2609" s="1"/>
      <c r="V2609" s="1"/>
      <c r="AB2609" s="1"/>
      <c r="AF2609" s="1"/>
      <c r="AJ2609" s="1"/>
      <c r="AN2609" s="1"/>
      <c r="AS2609" s="1"/>
      <c r="AX2609" s="1"/>
    </row>
    <row r="2610" spans="1:50" x14ac:dyDescent="0.3">
      <c r="A2610" s="19">
        <f t="shared" si="204"/>
        <v>49569</v>
      </c>
      <c r="B2610">
        <f t="shared" ca="1" si="200"/>
        <v>-9.4916666666666671</v>
      </c>
      <c r="C2610" t="str">
        <f ca="1">IF(currency="USD",'Future et co'!D2610,IF(currency="EUR",'Future et co'!E2610,IF(currency="GBP",'Future et co'!F2610,FALSE)))</f>
        <v>RFR USD</v>
      </c>
      <c r="D2610" t="str">
        <f t="shared" ca="1" si="201"/>
        <v>RFR USD</v>
      </c>
      <c r="E2610" t="str">
        <f t="shared" ca="1" si="202"/>
        <v>RFR EUR</v>
      </c>
      <c r="F2610" t="str">
        <f t="shared" ca="1" si="203"/>
        <v>RFR GBP</v>
      </c>
      <c r="J2610" s="1"/>
      <c r="N2610" s="1"/>
      <c r="R2610" s="1"/>
      <c r="V2610" s="1"/>
      <c r="AB2610" s="1"/>
      <c r="AF2610" s="1"/>
      <c r="AJ2610" s="1"/>
      <c r="AN2610" s="1"/>
      <c r="AS2610" s="1"/>
      <c r="AX2610" s="1"/>
    </row>
    <row r="2611" spans="1:50" x14ac:dyDescent="0.3">
      <c r="A2611" s="19">
        <f t="shared" si="204"/>
        <v>49570</v>
      </c>
      <c r="B2611">
        <f t="shared" ca="1" si="200"/>
        <v>-9.4944444444444436</v>
      </c>
      <c r="C2611" t="str">
        <f ca="1">IF(currency="USD",'Future et co'!D2611,IF(currency="EUR",'Future et co'!E2611,IF(currency="GBP",'Future et co'!F2611,FALSE)))</f>
        <v>RFR USD</v>
      </c>
      <c r="D2611" t="str">
        <f t="shared" ca="1" si="201"/>
        <v>RFR USD</v>
      </c>
      <c r="E2611" t="str">
        <f t="shared" ca="1" si="202"/>
        <v>RFR EUR</v>
      </c>
      <c r="F2611" t="str">
        <f t="shared" ca="1" si="203"/>
        <v>RFR GBP</v>
      </c>
      <c r="J2611" s="1"/>
      <c r="N2611" s="1"/>
      <c r="R2611" s="1"/>
      <c r="V2611" s="1"/>
      <c r="AB2611" s="1"/>
      <c r="AF2611" s="1"/>
      <c r="AJ2611" s="1"/>
      <c r="AN2611" s="1"/>
      <c r="AS2611" s="1"/>
      <c r="AX2611" s="1"/>
    </row>
    <row r="2612" spans="1:50" x14ac:dyDescent="0.3">
      <c r="A2612" s="19">
        <f t="shared" si="204"/>
        <v>49571</v>
      </c>
      <c r="B2612">
        <f t="shared" ca="1" si="200"/>
        <v>-9.4972222222222218</v>
      </c>
      <c r="C2612" t="str">
        <f ca="1">IF(currency="USD",'Future et co'!D2612,IF(currency="EUR",'Future et co'!E2612,IF(currency="GBP",'Future et co'!F2612,FALSE)))</f>
        <v>RFR USD</v>
      </c>
      <c r="D2612" t="str">
        <f t="shared" ca="1" si="201"/>
        <v>RFR USD</v>
      </c>
      <c r="E2612" t="str">
        <f t="shared" ca="1" si="202"/>
        <v>RFR EUR</v>
      </c>
      <c r="F2612" t="str">
        <f t="shared" ca="1" si="203"/>
        <v>RFR GBP</v>
      </c>
      <c r="J2612" s="1"/>
      <c r="N2612" s="1"/>
      <c r="R2612" s="1"/>
      <c r="V2612" s="1"/>
      <c r="AB2612" s="1"/>
      <c r="AF2612" s="1"/>
      <c r="AJ2612" s="1"/>
      <c r="AN2612" s="1"/>
      <c r="AS2612" s="1"/>
      <c r="AX2612" s="1"/>
    </row>
    <row r="2613" spans="1:50" x14ac:dyDescent="0.3">
      <c r="A2613" s="19">
        <f t="shared" si="204"/>
        <v>49572</v>
      </c>
      <c r="B2613">
        <f t="shared" ca="1" si="200"/>
        <v>-9.5</v>
      </c>
      <c r="C2613" t="str">
        <f ca="1">IF(currency="USD",'Future et co'!D2613,IF(currency="EUR",'Future et co'!E2613,IF(currency="GBP",'Future et co'!F2613,FALSE)))</f>
        <v>RFR USD</v>
      </c>
      <c r="D2613" t="str">
        <f t="shared" ca="1" si="201"/>
        <v>RFR USD</v>
      </c>
      <c r="E2613" t="str">
        <f t="shared" ca="1" si="202"/>
        <v>RFR EUR</v>
      </c>
      <c r="F2613" t="str">
        <f t="shared" ca="1" si="203"/>
        <v>RFR GBP</v>
      </c>
      <c r="J2613" s="1"/>
      <c r="N2613" s="1"/>
      <c r="R2613" s="1"/>
      <c r="V2613" s="1"/>
      <c r="AB2613" s="1"/>
      <c r="AF2613" s="1"/>
      <c r="AJ2613" s="1"/>
      <c r="AN2613" s="1"/>
      <c r="AS2613" s="1"/>
      <c r="AX2613" s="1"/>
    </row>
    <row r="2614" spans="1:50" x14ac:dyDescent="0.3">
      <c r="A2614" s="19">
        <f t="shared" si="204"/>
        <v>49573</v>
      </c>
      <c r="B2614">
        <f t="shared" ca="1" si="200"/>
        <v>-9.5027777777777782</v>
      </c>
      <c r="C2614" t="str">
        <f ca="1">IF(currency="USD",'Future et co'!D2614,IF(currency="EUR",'Future et co'!E2614,IF(currency="GBP",'Future et co'!F2614,FALSE)))</f>
        <v>RFR USD</v>
      </c>
      <c r="D2614" t="str">
        <f t="shared" ca="1" si="201"/>
        <v>RFR USD</v>
      </c>
      <c r="E2614" t="str">
        <f t="shared" ca="1" si="202"/>
        <v>RFR EUR</v>
      </c>
      <c r="F2614" t="str">
        <f t="shared" ca="1" si="203"/>
        <v>RFR GBP</v>
      </c>
      <c r="J2614" s="1"/>
      <c r="N2614" s="1"/>
      <c r="R2614" s="1"/>
      <c r="V2614" s="1"/>
      <c r="AB2614" s="1"/>
      <c r="AF2614" s="1"/>
      <c r="AJ2614" s="1"/>
      <c r="AN2614" s="1"/>
      <c r="AS2614" s="1"/>
      <c r="AX2614" s="1"/>
    </row>
    <row r="2615" spans="1:50" x14ac:dyDescent="0.3">
      <c r="A2615" s="19">
        <f t="shared" si="204"/>
        <v>49576</v>
      </c>
      <c r="B2615">
        <f t="shared" ca="1" si="200"/>
        <v>-9.5111111111111111</v>
      </c>
      <c r="C2615" t="str">
        <f ca="1">IF(currency="USD",'Future et co'!D2615,IF(currency="EUR",'Future et co'!E2615,IF(currency="GBP",'Future et co'!F2615,FALSE)))</f>
        <v>RFR USD</v>
      </c>
      <c r="D2615" t="str">
        <f t="shared" ca="1" si="201"/>
        <v>RFR USD</v>
      </c>
      <c r="E2615" t="str">
        <f t="shared" ca="1" si="202"/>
        <v>RFR EUR</v>
      </c>
      <c r="F2615" t="str">
        <f t="shared" ca="1" si="203"/>
        <v>RFR GBP</v>
      </c>
      <c r="J2615" s="1"/>
      <c r="N2615" s="1"/>
      <c r="R2615" s="1"/>
      <c r="V2615" s="1"/>
      <c r="AB2615" s="1"/>
      <c r="AF2615" s="1"/>
      <c r="AJ2615" s="1"/>
      <c r="AN2615" s="1"/>
      <c r="AS2615" s="1"/>
      <c r="AX2615" s="1"/>
    </row>
    <row r="2616" spans="1:50" x14ac:dyDescent="0.3">
      <c r="A2616" s="19">
        <f t="shared" si="204"/>
        <v>49577</v>
      </c>
      <c r="B2616">
        <f t="shared" ca="1" si="200"/>
        <v>-9.5138888888888893</v>
      </c>
      <c r="C2616" t="str">
        <f ca="1">IF(currency="USD",'Future et co'!D2616,IF(currency="EUR",'Future et co'!E2616,IF(currency="GBP",'Future et co'!F2616,FALSE)))</f>
        <v>RFR USD</v>
      </c>
      <c r="D2616" t="str">
        <f t="shared" ca="1" si="201"/>
        <v>RFR USD</v>
      </c>
      <c r="E2616" t="str">
        <f t="shared" ca="1" si="202"/>
        <v>RFR EUR</v>
      </c>
      <c r="F2616" t="str">
        <f t="shared" ca="1" si="203"/>
        <v>RFR GBP</v>
      </c>
      <c r="J2616" s="1"/>
      <c r="N2616" s="1"/>
      <c r="R2616" s="1"/>
      <c r="V2616" s="1"/>
      <c r="AB2616" s="1"/>
      <c r="AF2616" s="1"/>
      <c r="AJ2616" s="1"/>
      <c r="AN2616" s="1"/>
      <c r="AS2616" s="1"/>
      <c r="AX2616" s="1"/>
    </row>
    <row r="2617" spans="1:50" x14ac:dyDescent="0.3">
      <c r="A2617" s="19">
        <f t="shared" si="204"/>
        <v>49578</v>
      </c>
      <c r="B2617">
        <f t="shared" ca="1" si="200"/>
        <v>-9.5166666666666675</v>
      </c>
      <c r="C2617" t="str">
        <f ca="1">IF(currency="USD",'Future et co'!D2617,IF(currency="EUR",'Future et co'!E2617,IF(currency="GBP",'Future et co'!F2617,FALSE)))</f>
        <v>RFR USD</v>
      </c>
      <c r="D2617" t="str">
        <f t="shared" ca="1" si="201"/>
        <v>RFR USD</v>
      </c>
      <c r="E2617" t="str">
        <f t="shared" ca="1" si="202"/>
        <v>RFR EUR</v>
      </c>
      <c r="F2617" t="str">
        <f t="shared" ca="1" si="203"/>
        <v>RFR GBP</v>
      </c>
      <c r="J2617" s="1"/>
      <c r="N2617" s="1"/>
      <c r="R2617" s="1"/>
      <c r="V2617" s="1"/>
      <c r="AB2617" s="1"/>
      <c r="AF2617" s="1"/>
      <c r="AJ2617" s="1"/>
      <c r="AN2617" s="1"/>
      <c r="AS2617" s="1"/>
      <c r="AX2617" s="1"/>
    </row>
    <row r="2618" spans="1:50" x14ac:dyDescent="0.3">
      <c r="A2618" s="19">
        <f t="shared" si="204"/>
        <v>49579</v>
      </c>
      <c r="B2618">
        <f t="shared" ca="1" si="200"/>
        <v>-9.5194444444444439</v>
      </c>
      <c r="C2618" t="str">
        <f ca="1">IF(currency="USD",'Future et co'!D2618,IF(currency="EUR",'Future et co'!E2618,IF(currency="GBP",'Future et co'!F2618,FALSE)))</f>
        <v>RFR USD</v>
      </c>
      <c r="D2618" t="str">
        <f t="shared" ca="1" si="201"/>
        <v>RFR USD</v>
      </c>
      <c r="E2618" t="str">
        <f t="shared" ca="1" si="202"/>
        <v>RFR EUR</v>
      </c>
      <c r="F2618" t="str">
        <f t="shared" ca="1" si="203"/>
        <v>RFR GBP</v>
      </c>
      <c r="J2618" s="1"/>
      <c r="N2618" s="1"/>
      <c r="R2618" s="1"/>
      <c r="V2618" s="1"/>
      <c r="AB2618" s="1"/>
      <c r="AF2618" s="1"/>
      <c r="AJ2618" s="1"/>
      <c r="AN2618" s="1"/>
      <c r="AS2618" s="1"/>
      <c r="AX2618" s="1"/>
    </row>
    <row r="2619" spans="1:50" x14ac:dyDescent="0.3">
      <c r="A2619" s="19">
        <f t="shared" si="204"/>
        <v>49580</v>
      </c>
      <c r="B2619">
        <f t="shared" ca="1" si="200"/>
        <v>-9.5222222222222221</v>
      </c>
      <c r="C2619" t="str">
        <f ca="1">IF(currency="USD",'Future et co'!D2619,IF(currency="EUR",'Future et co'!E2619,IF(currency="GBP",'Future et co'!F2619,FALSE)))</f>
        <v>RFR USD</v>
      </c>
      <c r="D2619" t="str">
        <f t="shared" ca="1" si="201"/>
        <v>RFR USD</v>
      </c>
      <c r="E2619" t="str">
        <f t="shared" ca="1" si="202"/>
        <v>RFR EUR</v>
      </c>
      <c r="F2619" t="str">
        <f t="shared" ca="1" si="203"/>
        <v>RFR GBP</v>
      </c>
      <c r="J2619" s="1"/>
      <c r="N2619" s="1"/>
      <c r="R2619" s="1"/>
      <c r="V2619" s="1"/>
      <c r="AB2619" s="1"/>
      <c r="AF2619" s="1"/>
      <c r="AJ2619" s="1"/>
      <c r="AN2619" s="1"/>
      <c r="AS2619" s="1"/>
      <c r="AX2619" s="1"/>
    </row>
    <row r="2620" spans="1:50" x14ac:dyDescent="0.3">
      <c r="A2620" s="19">
        <f t="shared" si="204"/>
        <v>49583</v>
      </c>
      <c r="B2620">
        <f t="shared" ca="1" si="200"/>
        <v>-9.530555555555555</v>
      </c>
      <c r="C2620" t="str">
        <f ca="1">IF(currency="USD",'Future et co'!D2620,IF(currency="EUR",'Future et co'!E2620,IF(currency="GBP",'Future et co'!F2620,FALSE)))</f>
        <v>RFR USD</v>
      </c>
      <c r="D2620" t="str">
        <f t="shared" ca="1" si="201"/>
        <v>RFR USD</v>
      </c>
      <c r="E2620" t="str">
        <f t="shared" ca="1" si="202"/>
        <v>RFR EUR</v>
      </c>
      <c r="F2620" t="str">
        <f t="shared" ca="1" si="203"/>
        <v>RFR GBP</v>
      </c>
      <c r="J2620" s="1"/>
      <c r="N2620" s="1"/>
      <c r="R2620" s="1"/>
      <c r="V2620" s="1"/>
      <c r="AB2620" s="1"/>
      <c r="AF2620" s="1"/>
      <c r="AJ2620" s="1"/>
      <c r="AN2620" s="1"/>
      <c r="AS2620" s="1"/>
      <c r="AX2620" s="1"/>
    </row>
    <row r="2621" spans="1:50" x14ac:dyDescent="0.3">
      <c r="A2621" s="19">
        <f t="shared" si="204"/>
        <v>49584</v>
      </c>
      <c r="B2621">
        <f t="shared" ca="1" si="200"/>
        <v>-9.5333333333333332</v>
      </c>
      <c r="C2621" t="str">
        <f ca="1">IF(currency="USD",'Future et co'!D2621,IF(currency="EUR",'Future et co'!E2621,IF(currency="GBP",'Future et co'!F2621,FALSE)))</f>
        <v>RFR USD</v>
      </c>
      <c r="D2621" t="str">
        <f t="shared" ca="1" si="201"/>
        <v>RFR USD</v>
      </c>
      <c r="E2621" t="str">
        <f t="shared" ca="1" si="202"/>
        <v>RFR EUR</v>
      </c>
      <c r="F2621" t="str">
        <f t="shared" ca="1" si="203"/>
        <v>RFR GBP</v>
      </c>
      <c r="J2621" s="1"/>
      <c r="N2621" s="1"/>
      <c r="R2621" s="1"/>
      <c r="V2621" s="1"/>
      <c r="AB2621" s="1"/>
      <c r="AF2621" s="1"/>
      <c r="AJ2621" s="1"/>
      <c r="AN2621" s="1"/>
      <c r="AS2621" s="1"/>
      <c r="AX2621" s="1"/>
    </row>
    <row r="2622" spans="1:50" x14ac:dyDescent="0.3">
      <c r="A2622" s="19">
        <f t="shared" si="204"/>
        <v>49585</v>
      </c>
      <c r="B2622">
        <f t="shared" ca="1" si="200"/>
        <v>-9.5361111111111114</v>
      </c>
      <c r="C2622" t="str">
        <f ca="1">IF(currency="USD",'Future et co'!D2622,IF(currency="EUR",'Future et co'!E2622,IF(currency="GBP",'Future et co'!F2622,FALSE)))</f>
        <v>RFR USD</v>
      </c>
      <c r="D2622" t="str">
        <f t="shared" ca="1" si="201"/>
        <v>RFR USD</v>
      </c>
      <c r="E2622" t="str">
        <f t="shared" ca="1" si="202"/>
        <v>RFR EUR</v>
      </c>
      <c r="F2622" t="str">
        <f t="shared" ca="1" si="203"/>
        <v>RFR GBP</v>
      </c>
      <c r="J2622" s="1"/>
      <c r="N2622" s="1"/>
      <c r="R2622" s="1"/>
      <c r="V2622" s="1"/>
      <c r="AB2622" s="1"/>
      <c r="AF2622" s="1"/>
      <c r="AJ2622" s="1"/>
      <c r="AN2622" s="1"/>
      <c r="AS2622" s="1"/>
      <c r="AX2622" s="1"/>
    </row>
    <row r="2623" spans="1:50" x14ac:dyDescent="0.3">
      <c r="A2623" s="19">
        <f t="shared" si="204"/>
        <v>49586</v>
      </c>
      <c r="B2623">
        <f t="shared" ca="1" si="200"/>
        <v>-9.5388888888888896</v>
      </c>
      <c r="C2623" t="str">
        <f ca="1">IF(currency="USD",'Future et co'!D2623,IF(currency="EUR",'Future et co'!E2623,IF(currency="GBP",'Future et co'!F2623,FALSE)))</f>
        <v>RFR USD</v>
      </c>
      <c r="D2623" t="str">
        <f t="shared" ca="1" si="201"/>
        <v>RFR USD</v>
      </c>
      <c r="E2623" t="str">
        <f t="shared" ca="1" si="202"/>
        <v>RFR EUR</v>
      </c>
      <c r="F2623" t="str">
        <f t="shared" ca="1" si="203"/>
        <v>RFR GBP</v>
      </c>
      <c r="J2623" s="1"/>
      <c r="N2623" s="1"/>
      <c r="R2623" s="1"/>
      <c r="V2623" s="1"/>
      <c r="AB2623" s="1"/>
      <c r="AF2623" s="1"/>
      <c r="AJ2623" s="1"/>
      <c r="AN2623" s="1"/>
      <c r="AS2623" s="1"/>
      <c r="AX2623" s="1"/>
    </row>
    <row r="2624" spans="1:50" x14ac:dyDescent="0.3">
      <c r="A2624" s="19">
        <f t="shared" si="204"/>
        <v>49587</v>
      </c>
      <c r="B2624">
        <f t="shared" ca="1" si="200"/>
        <v>-9.5416666666666661</v>
      </c>
      <c r="C2624" t="str">
        <f ca="1">IF(currency="USD",'Future et co'!D2624,IF(currency="EUR",'Future et co'!E2624,IF(currency="GBP",'Future et co'!F2624,FALSE)))</f>
        <v>RFR USD</v>
      </c>
      <c r="D2624" t="str">
        <f t="shared" ca="1" si="201"/>
        <v>RFR USD</v>
      </c>
      <c r="E2624" t="str">
        <f t="shared" ca="1" si="202"/>
        <v>RFR EUR</v>
      </c>
      <c r="F2624" t="str">
        <f t="shared" ca="1" si="203"/>
        <v>RFR GBP</v>
      </c>
      <c r="J2624" s="1"/>
      <c r="N2624" s="1"/>
      <c r="R2624" s="1"/>
      <c r="V2624" s="1"/>
      <c r="AB2624" s="1"/>
      <c r="AF2624" s="1"/>
      <c r="AJ2624" s="1"/>
      <c r="AN2624" s="1"/>
      <c r="AS2624" s="1"/>
      <c r="AX2624" s="1"/>
    </row>
    <row r="2625" spans="1:50" x14ac:dyDescent="0.3">
      <c r="A2625" s="19">
        <f t="shared" si="204"/>
        <v>49590</v>
      </c>
      <c r="B2625">
        <f t="shared" ca="1" si="200"/>
        <v>-9.5500000000000007</v>
      </c>
      <c r="C2625" t="str">
        <f ca="1">IF(currency="USD",'Future et co'!D2625,IF(currency="EUR",'Future et co'!E2625,IF(currency="GBP",'Future et co'!F2625,FALSE)))</f>
        <v>RFR USD</v>
      </c>
      <c r="D2625" t="str">
        <f t="shared" ca="1" si="201"/>
        <v>RFR USD</v>
      </c>
      <c r="E2625" t="str">
        <f t="shared" ca="1" si="202"/>
        <v>RFR EUR</v>
      </c>
      <c r="F2625" t="str">
        <f t="shared" ca="1" si="203"/>
        <v>RFR GBP</v>
      </c>
      <c r="J2625" s="1"/>
      <c r="N2625" s="1"/>
      <c r="R2625" s="1"/>
      <c r="V2625" s="1"/>
      <c r="AB2625" s="1"/>
      <c r="AF2625" s="1"/>
      <c r="AJ2625" s="1"/>
      <c r="AN2625" s="1"/>
      <c r="AS2625" s="1"/>
      <c r="AX2625" s="1"/>
    </row>
    <row r="2626" spans="1:50" x14ac:dyDescent="0.3">
      <c r="A2626" s="19">
        <f t="shared" si="204"/>
        <v>49591</v>
      </c>
      <c r="B2626">
        <f t="shared" ca="1" si="200"/>
        <v>-9.5527777777777771</v>
      </c>
      <c r="C2626" t="str">
        <f ca="1">IF(currency="USD",'Future et co'!D2626,IF(currency="EUR",'Future et co'!E2626,IF(currency="GBP",'Future et co'!F2626,FALSE)))</f>
        <v>RFR USD</v>
      </c>
      <c r="D2626" t="str">
        <f t="shared" ca="1" si="201"/>
        <v>RFR USD</v>
      </c>
      <c r="E2626" t="str">
        <f t="shared" ca="1" si="202"/>
        <v>RFR EUR</v>
      </c>
      <c r="F2626" t="str">
        <f t="shared" ca="1" si="203"/>
        <v>RFR GBP</v>
      </c>
      <c r="J2626" s="1"/>
      <c r="N2626" s="1"/>
      <c r="R2626" s="1"/>
      <c r="V2626" s="1"/>
      <c r="AB2626" s="1"/>
      <c r="AF2626" s="1"/>
      <c r="AJ2626" s="1"/>
      <c r="AN2626" s="1"/>
      <c r="AS2626" s="1"/>
      <c r="AX2626" s="1"/>
    </row>
    <row r="2627" spans="1:50" x14ac:dyDescent="0.3">
      <c r="A2627" s="19">
        <f t="shared" si="204"/>
        <v>49592</v>
      </c>
      <c r="B2627">
        <f t="shared" ca="1" si="200"/>
        <v>-9.5555555555555554</v>
      </c>
      <c r="C2627" t="str">
        <f ca="1">IF(currency="USD",'Future et co'!D2627,IF(currency="EUR",'Future et co'!E2627,IF(currency="GBP",'Future et co'!F2627,FALSE)))</f>
        <v>RFR USD</v>
      </c>
      <c r="D2627" t="str">
        <f t="shared" ca="1" si="201"/>
        <v>RFR USD</v>
      </c>
      <c r="E2627" t="str">
        <f t="shared" ca="1" si="202"/>
        <v>RFR EUR</v>
      </c>
      <c r="F2627" t="str">
        <f t="shared" ca="1" si="203"/>
        <v>RFR GBP</v>
      </c>
      <c r="J2627" s="1"/>
      <c r="N2627" s="1"/>
      <c r="R2627" s="1"/>
      <c r="V2627" s="1"/>
      <c r="AB2627" s="1"/>
      <c r="AF2627" s="1"/>
      <c r="AJ2627" s="1"/>
      <c r="AN2627" s="1"/>
      <c r="AS2627" s="1"/>
      <c r="AX2627" s="1"/>
    </row>
    <row r="2628" spans="1:50" x14ac:dyDescent="0.3">
      <c r="A2628" s="19">
        <f t="shared" si="204"/>
        <v>49593</v>
      </c>
      <c r="B2628">
        <f t="shared" ca="1" si="200"/>
        <v>-9.5583333333333336</v>
      </c>
      <c r="C2628" t="str">
        <f ca="1">IF(currency="USD",'Future et co'!D2628,IF(currency="EUR",'Future et co'!E2628,IF(currency="GBP",'Future et co'!F2628,FALSE)))</f>
        <v>RFR USD</v>
      </c>
      <c r="D2628" t="str">
        <f t="shared" ca="1" si="201"/>
        <v>RFR USD</v>
      </c>
      <c r="E2628" t="str">
        <f t="shared" ca="1" si="202"/>
        <v>RFR EUR</v>
      </c>
      <c r="F2628" t="str">
        <f t="shared" ca="1" si="203"/>
        <v>RFR GBP</v>
      </c>
      <c r="J2628" s="1"/>
      <c r="N2628" s="1"/>
      <c r="R2628" s="1"/>
      <c r="V2628" s="1"/>
      <c r="AB2628" s="1"/>
      <c r="AF2628" s="1"/>
      <c r="AJ2628" s="1"/>
      <c r="AN2628" s="1"/>
      <c r="AS2628" s="1"/>
      <c r="AX2628" s="1"/>
    </row>
    <row r="2629" spans="1:50" x14ac:dyDescent="0.3">
      <c r="A2629" s="19">
        <f t="shared" si="204"/>
        <v>49594</v>
      </c>
      <c r="B2629">
        <f t="shared" ca="1" si="200"/>
        <v>-9.5611111111111118</v>
      </c>
      <c r="C2629" t="str">
        <f ca="1">IF(currency="USD",'Future et co'!D2629,IF(currency="EUR",'Future et co'!E2629,IF(currency="GBP",'Future et co'!F2629,FALSE)))</f>
        <v>RFR USD</v>
      </c>
      <c r="D2629" t="str">
        <f t="shared" ca="1" si="201"/>
        <v>RFR USD</v>
      </c>
      <c r="E2629" t="str">
        <f t="shared" ca="1" si="202"/>
        <v>RFR EUR</v>
      </c>
      <c r="F2629" t="str">
        <f t="shared" ca="1" si="203"/>
        <v>RFR GBP</v>
      </c>
      <c r="J2629" s="1"/>
      <c r="N2629" s="1"/>
      <c r="R2629" s="1"/>
      <c r="V2629" s="1"/>
      <c r="AB2629" s="1"/>
      <c r="AF2629" s="1"/>
      <c r="AJ2629" s="1"/>
      <c r="AN2629" s="1"/>
      <c r="AS2629" s="1"/>
      <c r="AX2629" s="1"/>
    </row>
    <row r="2630" spans="1:50" x14ac:dyDescent="0.3">
      <c r="A2630" s="19">
        <f t="shared" si="204"/>
        <v>49597</v>
      </c>
      <c r="B2630">
        <f t="shared" ca="1" si="200"/>
        <v>-9.5694444444444446</v>
      </c>
      <c r="C2630" t="str">
        <f ca="1">IF(currency="USD",'Future et co'!D2630,IF(currency="EUR",'Future et co'!E2630,IF(currency="GBP",'Future et co'!F2630,FALSE)))</f>
        <v>RFR USD</v>
      </c>
      <c r="D2630" t="str">
        <f t="shared" ca="1" si="201"/>
        <v>RFR USD</v>
      </c>
      <c r="E2630" t="str">
        <f t="shared" ca="1" si="202"/>
        <v>RFR EUR</v>
      </c>
      <c r="F2630" t="str">
        <f t="shared" ca="1" si="203"/>
        <v>RFR GBP</v>
      </c>
      <c r="J2630" s="1"/>
      <c r="N2630" s="1"/>
      <c r="R2630" s="1"/>
      <c r="V2630" s="1"/>
      <c r="AB2630" s="1"/>
      <c r="AF2630" s="1"/>
      <c r="AJ2630" s="1"/>
      <c r="AN2630" s="1"/>
      <c r="AS2630" s="1"/>
      <c r="AX2630" s="1"/>
    </row>
    <row r="2631" spans="1:50" x14ac:dyDescent="0.3">
      <c r="A2631" s="19">
        <f t="shared" si="204"/>
        <v>49598</v>
      </c>
      <c r="B2631">
        <f t="shared" ca="1" si="200"/>
        <v>-9.5722222222222229</v>
      </c>
      <c r="C2631" t="str">
        <f ca="1">IF(currency="USD",'Future et co'!D2631,IF(currency="EUR",'Future et co'!E2631,IF(currency="GBP",'Future et co'!F2631,FALSE)))</f>
        <v>RFR USD</v>
      </c>
      <c r="D2631" t="str">
        <f t="shared" ca="1" si="201"/>
        <v>RFR USD</v>
      </c>
      <c r="E2631" t="str">
        <f t="shared" ca="1" si="202"/>
        <v>RFR EUR</v>
      </c>
      <c r="F2631" t="str">
        <f t="shared" ca="1" si="203"/>
        <v>RFR GBP</v>
      </c>
      <c r="J2631" s="1"/>
      <c r="N2631" s="1"/>
      <c r="R2631" s="1"/>
      <c r="V2631" s="1"/>
      <c r="AB2631" s="1"/>
      <c r="AF2631" s="1"/>
      <c r="AJ2631" s="1"/>
      <c r="AN2631" s="1"/>
      <c r="AS2631" s="1"/>
      <c r="AX2631" s="1"/>
    </row>
    <row r="2632" spans="1:50" x14ac:dyDescent="0.3">
      <c r="A2632" s="19">
        <f t="shared" si="204"/>
        <v>49599</v>
      </c>
      <c r="B2632">
        <f t="shared" ca="1" si="200"/>
        <v>-9.5749999999999993</v>
      </c>
      <c r="C2632" t="str">
        <f ca="1">IF(currency="USD",'Future et co'!D2632,IF(currency="EUR",'Future et co'!E2632,IF(currency="GBP",'Future et co'!F2632,FALSE)))</f>
        <v>RFR USD</v>
      </c>
      <c r="D2632" t="str">
        <f t="shared" ca="1" si="201"/>
        <v>RFR USD</v>
      </c>
      <c r="E2632" t="str">
        <f t="shared" ca="1" si="202"/>
        <v>RFR EUR</v>
      </c>
      <c r="F2632" t="str">
        <f t="shared" ca="1" si="203"/>
        <v>RFR GBP</v>
      </c>
      <c r="J2632" s="1"/>
      <c r="N2632" s="1"/>
      <c r="R2632" s="1"/>
      <c r="V2632" s="1"/>
      <c r="AB2632" s="1"/>
      <c r="AF2632" s="1"/>
      <c r="AJ2632" s="1"/>
      <c r="AN2632" s="1"/>
      <c r="AS2632" s="1"/>
      <c r="AX2632" s="1"/>
    </row>
    <row r="2633" spans="1:50" x14ac:dyDescent="0.3">
      <c r="A2633" s="19">
        <f t="shared" si="204"/>
        <v>49600</v>
      </c>
      <c r="B2633">
        <f t="shared" ca="1" si="200"/>
        <v>-9.5777777777777775</v>
      </c>
      <c r="C2633" t="str">
        <f ca="1">IF(currency="USD",'Future et co'!D2633,IF(currency="EUR",'Future et co'!E2633,IF(currency="GBP",'Future et co'!F2633,FALSE)))</f>
        <v>RFR USD</v>
      </c>
      <c r="D2633" t="str">
        <f t="shared" ca="1" si="201"/>
        <v>RFR USD</v>
      </c>
      <c r="E2633" t="str">
        <f t="shared" ca="1" si="202"/>
        <v>RFR EUR</v>
      </c>
      <c r="F2633" t="str">
        <f t="shared" ca="1" si="203"/>
        <v>RFR GBP</v>
      </c>
      <c r="J2633" s="1"/>
      <c r="N2633" s="1"/>
      <c r="R2633" s="1"/>
      <c r="V2633" s="1"/>
      <c r="AB2633" s="1"/>
      <c r="AF2633" s="1"/>
      <c r="AJ2633" s="1"/>
      <c r="AN2633" s="1"/>
      <c r="AS2633" s="1"/>
      <c r="AX2633" s="1"/>
    </row>
    <row r="2634" spans="1:50" x14ac:dyDescent="0.3">
      <c r="A2634" s="19">
        <f t="shared" si="204"/>
        <v>49601</v>
      </c>
      <c r="B2634">
        <f t="shared" ca="1" si="200"/>
        <v>-9.5805555555555557</v>
      </c>
      <c r="C2634" t="str">
        <f ca="1">IF(currency="USD",'Future et co'!D2634,IF(currency="EUR",'Future et co'!E2634,IF(currency="GBP",'Future et co'!F2634,FALSE)))</f>
        <v>RFR USD</v>
      </c>
      <c r="D2634" t="str">
        <f t="shared" ca="1" si="201"/>
        <v>RFR USD</v>
      </c>
      <c r="E2634" t="str">
        <f t="shared" ca="1" si="202"/>
        <v>RFR EUR</v>
      </c>
      <c r="F2634" t="str">
        <f t="shared" ca="1" si="203"/>
        <v>RFR GBP</v>
      </c>
      <c r="J2634" s="1"/>
      <c r="N2634" s="1"/>
      <c r="R2634" s="1"/>
      <c r="V2634" s="1"/>
      <c r="AB2634" s="1"/>
      <c r="AF2634" s="1"/>
      <c r="AJ2634" s="1"/>
      <c r="AN2634" s="1"/>
      <c r="AS2634" s="1"/>
      <c r="AX2634" s="1"/>
    </row>
    <row r="2635" spans="1:50" x14ac:dyDescent="0.3">
      <c r="A2635" s="19">
        <f t="shared" si="204"/>
        <v>49604</v>
      </c>
      <c r="B2635">
        <f t="shared" ref="B2635:B2698" ca="1" si="205">($B$7-A2635)/360</f>
        <v>-9.5888888888888886</v>
      </c>
      <c r="C2635" t="str">
        <f ca="1">IF(currency="USD",'Future et co'!D2635,IF(currency="EUR",'Future et co'!E2635,IF(currency="GBP",'Future et co'!F2635,FALSE)))</f>
        <v>RFR USD</v>
      </c>
      <c r="D2635" t="str">
        <f t="shared" ref="D2635:D2698" ca="1" si="206">IFERROR(IF(B2635&lt;0.25,VLOOKUP(A2635,$J$11:$L$5325,3,FALSE),IF(AND(B2635&gt;=0.25,B2635&lt;0.5),VLOOKUP(A2635,$N$11:$P$5325,3,FALSE),IF(AND(B2635&gt;=0.5,B2635&lt;1),VLOOKUP(A2635,$R$11:$T$5325,3,FALSE),VLOOKUP(A2635,$V$11:$X$5010,3,FALSE)))),D2634)</f>
        <v>RFR USD</v>
      </c>
      <c r="E2635" t="str">
        <f t="shared" ref="E2635:E2698" ca="1" si="207">IFERROR(IF(B2635&lt;0.25,VLOOKUP(A2635,$AF$11:$AH$5325,3,FALSE),IF(AND(B2635&gt;=0.25,B2635&lt;0.5),VLOOKUP(A2635,$AJ$11:$AL$5325,3,FALSE),VLOOKUP(A2635,$AN$11:$AP$5325,3,FALSE))),E2634)</f>
        <v>RFR EUR</v>
      </c>
      <c r="F2635" t="str">
        <f t="shared" ref="F2635:F2698" ca="1" si="208">IFERROR(VLOOKUP(A2635,$AS$11:$AU$9999,3,FALSE),F2634)</f>
        <v>RFR GBP</v>
      </c>
      <c r="J2635" s="1"/>
      <c r="N2635" s="1"/>
      <c r="R2635" s="1"/>
      <c r="V2635" s="1"/>
      <c r="AB2635" s="1"/>
      <c r="AF2635" s="1"/>
      <c r="AJ2635" s="1"/>
      <c r="AN2635" s="1"/>
      <c r="AS2635" s="1"/>
      <c r="AX2635" s="1"/>
    </row>
    <row r="2636" spans="1:50" x14ac:dyDescent="0.3">
      <c r="A2636" s="19">
        <f t="shared" si="204"/>
        <v>49605</v>
      </c>
      <c r="B2636">
        <f t="shared" ca="1" si="205"/>
        <v>-9.5916666666666668</v>
      </c>
      <c r="C2636" t="str">
        <f ca="1">IF(currency="USD",'Future et co'!D2636,IF(currency="EUR",'Future et co'!E2636,IF(currency="GBP",'Future et co'!F2636,FALSE)))</f>
        <v>RFR USD</v>
      </c>
      <c r="D2636" t="str">
        <f t="shared" ca="1" si="206"/>
        <v>RFR USD</v>
      </c>
      <c r="E2636" t="str">
        <f t="shared" ca="1" si="207"/>
        <v>RFR EUR</v>
      </c>
      <c r="F2636" t="str">
        <f t="shared" ca="1" si="208"/>
        <v>RFR GBP</v>
      </c>
      <c r="J2636" s="1"/>
      <c r="N2636" s="1"/>
      <c r="R2636" s="1"/>
      <c r="V2636" s="1"/>
      <c r="AB2636" s="1"/>
      <c r="AF2636" s="1"/>
      <c r="AJ2636" s="1"/>
      <c r="AN2636" s="1"/>
      <c r="AS2636" s="1"/>
      <c r="AX2636" s="1"/>
    </row>
    <row r="2637" spans="1:50" x14ac:dyDescent="0.3">
      <c r="A2637" s="19">
        <f t="shared" ref="A2637:A2700" si="209">WORKDAY(A2636,1)</f>
        <v>49606</v>
      </c>
      <c r="B2637">
        <f t="shared" ca="1" si="205"/>
        <v>-9.594444444444445</v>
      </c>
      <c r="C2637" t="str">
        <f ca="1">IF(currency="USD",'Future et co'!D2637,IF(currency="EUR",'Future et co'!E2637,IF(currency="GBP",'Future et co'!F2637,FALSE)))</f>
        <v>RFR USD</v>
      </c>
      <c r="D2637" t="str">
        <f t="shared" ca="1" si="206"/>
        <v>RFR USD</v>
      </c>
      <c r="E2637" t="str">
        <f t="shared" ca="1" si="207"/>
        <v>RFR EUR</v>
      </c>
      <c r="F2637" t="str">
        <f t="shared" ca="1" si="208"/>
        <v>RFR GBP</v>
      </c>
      <c r="J2637" s="1"/>
      <c r="N2637" s="1"/>
      <c r="R2637" s="1"/>
      <c r="V2637" s="1"/>
      <c r="AB2637" s="1"/>
      <c r="AF2637" s="1"/>
      <c r="AJ2637" s="1"/>
      <c r="AN2637" s="1"/>
      <c r="AS2637" s="1"/>
      <c r="AX2637" s="1"/>
    </row>
    <row r="2638" spans="1:50" x14ac:dyDescent="0.3">
      <c r="A2638" s="19">
        <f t="shared" si="209"/>
        <v>49607</v>
      </c>
      <c r="B2638">
        <f t="shared" ca="1" si="205"/>
        <v>-9.5972222222222214</v>
      </c>
      <c r="C2638" t="str">
        <f ca="1">IF(currency="USD",'Future et co'!D2638,IF(currency="EUR",'Future et co'!E2638,IF(currency="GBP",'Future et co'!F2638,FALSE)))</f>
        <v>RFR USD</v>
      </c>
      <c r="D2638" t="str">
        <f t="shared" ca="1" si="206"/>
        <v>RFR USD</v>
      </c>
      <c r="E2638" t="str">
        <f t="shared" ca="1" si="207"/>
        <v>RFR EUR</v>
      </c>
      <c r="F2638" t="str">
        <f t="shared" ca="1" si="208"/>
        <v>RFR GBP</v>
      </c>
      <c r="J2638" s="1"/>
      <c r="N2638" s="1"/>
      <c r="R2638" s="1"/>
      <c r="V2638" s="1"/>
      <c r="AB2638" s="1"/>
      <c r="AF2638" s="1"/>
      <c r="AJ2638" s="1"/>
      <c r="AN2638" s="1"/>
      <c r="AS2638" s="1"/>
      <c r="AX2638" s="1"/>
    </row>
    <row r="2639" spans="1:50" x14ac:dyDescent="0.3">
      <c r="A2639" s="19">
        <f t="shared" si="209"/>
        <v>49608</v>
      </c>
      <c r="B2639">
        <f t="shared" ca="1" si="205"/>
        <v>-9.6</v>
      </c>
      <c r="C2639" t="str">
        <f ca="1">IF(currency="USD",'Future et co'!D2639,IF(currency="EUR",'Future et co'!E2639,IF(currency="GBP",'Future et co'!F2639,FALSE)))</f>
        <v>RFR USD</v>
      </c>
      <c r="D2639" t="str">
        <f t="shared" ca="1" si="206"/>
        <v>RFR USD</v>
      </c>
      <c r="E2639" t="str">
        <f t="shared" ca="1" si="207"/>
        <v>RFR EUR</v>
      </c>
      <c r="F2639" t="str">
        <f t="shared" ca="1" si="208"/>
        <v>RFR GBP</v>
      </c>
      <c r="J2639" s="1"/>
      <c r="N2639" s="1"/>
      <c r="R2639" s="1"/>
      <c r="V2639" s="1"/>
      <c r="AB2639" s="1"/>
      <c r="AF2639" s="1"/>
      <c r="AJ2639" s="1"/>
      <c r="AN2639" s="1"/>
      <c r="AS2639" s="1"/>
      <c r="AX2639" s="1"/>
    </row>
    <row r="2640" spans="1:50" x14ac:dyDescent="0.3">
      <c r="A2640" s="19">
        <f t="shared" si="209"/>
        <v>49611</v>
      </c>
      <c r="B2640">
        <f t="shared" ca="1" si="205"/>
        <v>-9.6083333333333325</v>
      </c>
      <c r="C2640" t="str">
        <f ca="1">IF(currency="USD",'Future et co'!D2640,IF(currency="EUR",'Future et co'!E2640,IF(currency="GBP",'Future et co'!F2640,FALSE)))</f>
        <v>RFR USD</v>
      </c>
      <c r="D2640" t="str">
        <f t="shared" ca="1" si="206"/>
        <v>RFR USD</v>
      </c>
      <c r="E2640" t="str">
        <f t="shared" ca="1" si="207"/>
        <v>RFR EUR</v>
      </c>
      <c r="F2640" t="str">
        <f t="shared" ca="1" si="208"/>
        <v>RFR GBP</v>
      </c>
      <c r="J2640" s="1"/>
      <c r="N2640" s="1"/>
      <c r="R2640" s="1"/>
      <c r="V2640" s="1"/>
      <c r="AB2640" s="1"/>
      <c r="AF2640" s="1"/>
      <c r="AJ2640" s="1"/>
      <c r="AN2640" s="1"/>
      <c r="AS2640" s="1"/>
      <c r="AX2640" s="1"/>
    </row>
    <row r="2641" spans="1:50" x14ac:dyDescent="0.3">
      <c r="A2641" s="19">
        <f t="shared" si="209"/>
        <v>49612</v>
      </c>
      <c r="B2641">
        <f t="shared" ca="1" si="205"/>
        <v>-9.6111111111111107</v>
      </c>
      <c r="C2641" t="str">
        <f ca="1">IF(currency="USD",'Future et co'!D2641,IF(currency="EUR",'Future et co'!E2641,IF(currency="GBP",'Future et co'!F2641,FALSE)))</f>
        <v>RFR USD</v>
      </c>
      <c r="D2641" t="str">
        <f t="shared" ca="1" si="206"/>
        <v>RFR USD</v>
      </c>
      <c r="E2641" t="str">
        <f t="shared" ca="1" si="207"/>
        <v>RFR EUR</v>
      </c>
      <c r="F2641" t="str">
        <f t="shared" ca="1" si="208"/>
        <v>RFR GBP</v>
      </c>
      <c r="J2641" s="1"/>
      <c r="N2641" s="1"/>
      <c r="R2641" s="1"/>
      <c r="V2641" s="1"/>
      <c r="AB2641" s="1"/>
      <c r="AF2641" s="1"/>
      <c r="AJ2641" s="1"/>
      <c r="AN2641" s="1"/>
      <c r="AS2641" s="1"/>
      <c r="AX2641" s="1"/>
    </row>
    <row r="2642" spans="1:50" x14ac:dyDescent="0.3">
      <c r="A2642" s="19">
        <f t="shared" si="209"/>
        <v>49613</v>
      </c>
      <c r="B2642">
        <f t="shared" ca="1" si="205"/>
        <v>-9.6138888888888889</v>
      </c>
      <c r="C2642" t="str">
        <f ca="1">IF(currency="USD",'Future et co'!D2642,IF(currency="EUR",'Future et co'!E2642,IF(currency="GBP",'Future et co'!F2642,FALSE)))</f>
        <v>RFR USD</v>
      </c>
      <c r="D2642" t="str">
        <f t="shared" ca="1" si="206"/>
        <v>RFR USD</v>
      </c>
      <c r="E2642" t="str">
        <f t="shared" ca="1" si="207"/>
        <v>RFR EUR</v>
      </c>
      <c r="F2642" t="str">
        <f t="shared" ca="1" si="208"/>
        <v>RFR GBP</v>
      </c>
      <c r="J2642" s="1"/>
      <c r="N2642" s="1"/>
      <c r="R2642" s="1"/>
      <c r="V2642" s="1"/>
      <c r="AB2642" s="1"/>
      <c r="AF2642" s="1"/>
      <c r="AJ2642" s="1"/>
      <c r="AN2642" s="1"/>
      <c r="AS2642" s="1"/>
      <c r="AX2642" s="1"/>
    </row>
    <row r="2643" spans="1:50" x14ac:dyDescent="0.3">
      <c r="A2643" s="19">
        <f t="shared" si="209"/>
        <v>49614</v>
      </c>
      <c r="B2643">
        <f t="shared" ca="1" si="205"/>
        <v>-9.6166666666666671</v>
      </c>
      <c r="C2643" t="str">
        <f ca="1">IF(currency="USD",'Future et co'!D2643,IF(currency="EUR",'Future et co'!E2643,IF(currency="GBP",'Future et co'!F2643,FALSE)))</f>
        <v>RFR USD</v>
      </c>
      <c r="D2643" t="str">
        <f t="shared" ca="1" si="206"/>
        <v>RFR USD</v>
      </c>
      <c r="E2643" t="str">
        <f t="shared" ca="1" si="207"/>
        <v>RFR EUR</v>
      </c>
      <c r="F2643" t="str">
        <f t="shared" ca="1" si="208"/>
        <v>RFR GBP</v>
      </c>
      <c r="J2643" s="1"/>
      <c r="N2643" s="1"/>
      <c r="R2643" s="1"/>
      <c r="V2643" s="1"/>
      <c r="AB2643" s="1"/>
      <c r="AF2643" s="1"/>
      <c r="AJ2643" s="1"/>
      <c r="AN2643" s="1"/>
      <c r="AS2643" s="1"/>
      <c r="AX2643" s="1"/>
    </row>
    <row r="2644" spans="1:50" x14ac:dyDescent="0.3">
      <c r="A2644" s="19">
        <f t="shared" si="209"/>
        <v>49615</v>
      </c>
      <c r="B2644">
        <f t="shared" ca="1" si="205"/>
        <v>-9.6194444444444436</v>
      </c>
      <c r="C2644" t="str">
        <f ca="1">IF(currency="USD",'Future et co'!D2644,IF(currency="EUR",'Future et co'!E2644,IF(currency="GBP",'Future et co'!F2644,FALSE)))</f>
        <v>RFR USD</v>
      </c>
      <c r="D2644" t="str">
        <f t="shared" ca="1" si="206"/>
        <v>RFR USD</v>
      </c>
      <c r="E2644" t="str">
        <f t="shared" ca="1" si="207"/>
        <v>RFR EUR</v>
      </c>
      <c r="F2644" t="str">
        <f t="shared" ca="1" si="208"/>
        <v>RFR GBP</v>
      </c>
      <c r="J2644" s="1"/>
      <c r="N2644" s="1"/>
      <c r="R2644" s="1"/>
      <c r="V2644" s="1"/>
      <c r="AB2644" s="1"/>
      <c r="AF2644" s="1"/>
      <c r="AJ2644" s="1"/>
      <c r="AN2644" s="1"/>
      <c r="AS2644" s="1"/>
      <c r="AX2644" s="1"/>
    </row>
    <row r="2645" spans="1:50" x14ac:dyDescent="0.3">
      <c r="A2645" s="19">
        <f t="shared" si="209"/>
        <v>49618</v>
      </c>
      <c r="B2645">
        <f t="shared" ca="1" si="205"/>
        <v>-9.6277777777777782</v>
      </c>
      <c r="C2645" t="str">
        <f ca="1">IF(currency="USD",'Future et co'!D2645,IF(currency="EUR",'Future et co'!E2645,IF(currency="GBP",'Future et co'!F2645,FALSE)))</f>
        <v>RFR USD</v>
      </c>
      <c r="D2645" t="str">
        <f t="shared" ca="1" si="206"/>
        <v>RFR USD</v>
      </c>
      <c r="E2645" t="str">
        <f t="shared" ca="1" si="207"/>
        <v>RFR EUR</v>
      </c>
      <c r="F2645" t="str">
        <f t="shared" ca="1" si="208"/>
        <v>RFR GBP</v>
      </c>
      <c r="J2645" s="1"/>
      <c r="N2645" s="1"/>
      <c r="R2645" s="1"/>
      <c r="V2645" s="1"/>
      <c r="AB2645" s="1"/>
      <c r="AF2645" s="1"/>
      <c r="AJ2645" s="1"/>
      <c r="AN2645" s="1"/>
      <c r="AS2645" s="1"/>
      <c r="AX2645" s="1"/>
    </row>
    <row r="2646" spans="1:50" x14ac:dyDescent="0.3">
      <c r="A2646" s="19">
        <f t="shared" si="209"/>
        <v>49619</v>
      </c>
      <c r="B2646">
        <f t="shared" ca="1" si="205"/>
        <v>-9.6305555555555564</v>
      </c>
      <c r="C2646" t="str">
        <f ca="1">IF(currency="USD",'Future et co'!D2646,IF(currency="EUR",'Future et co'!E2646,IF(currency="GBP",'Future et co'!F2646,FALSE)))</f>
        <v>RFR USD</v>
      </c>
      <c r="D2646" t="str">
        <f t="shared" ca="1" si="206"/>
        <v>RFR USD</v>
      </c>
      <c r="E2646" t="str">
        <f t="shared" ca="1" si="207"/>
        <v>RFR EUR</v>
      </c>
      <c r="F2646" t="str">
        <f t="shared" ca="1" si="208"/>
        <v>RFR GBP</v>
      </c>
      <c r="J2646" s="1"/>
      <c r="N2646" s="1"/>
      <c r="R2646" s="1"/>
      <c r="V2646" s="1"/>
      <c r="AB2646" s="1"/>
      <c r="AF2646" s="1"/>
      <c r="AJ2646" s="1"/>
      <c r="AN2646" s="1"/>
      <c r="AS2646" s="1"/>
      <c r="AX2646" s="1"/>
    </row>
    <row r="2647" spans="1:50" x14ac:dyDescent="0.3">
      <c r="A2647" s="19">
        <f t="shared" si="209"/>
        <v>49620</v>
      </c>
      <c r="B2647">
        <f t="shared" ca="1" si="205"/>
        <v>-9.6333333333333329</v>
      </c>
      <c r="C2647" t="str">
        <f ca="1">IF(currency="USD",'Future et co'!D2647,IF(currency="EUR",'Future et co'!E2647,IF(currency="GBP",'Future et co'!F2647,FALSE)))</f>
        <v>RFR USD</v>
      </c>
      <c r="D2647" t="str">
        <f t="shared" ca="1" si="206"/>
        <v>RFR USD</v>
      </c>
      <c r="E2647" t="str">
        <f t="shared" ca="1" si="207"/>
        <v>RFR EUR</v>
      </c>
      <c r="F2647" t="str">
        <f t="shared" ca="1" si="208"/>
        <v>RFR GBP</v>
      </c>
      <c r="J2647" s="1"/>
      <c r="N2647" s="1"/>
      <c r="R2647" s="1"/>
      <c r="V2647" s="1"/>
      <c r="AB2647" s="1"/>
      <c r="AF2647" s="1"/>
      <c r="AJ2647" s="1"/>
      <c r="AN2647" s="1"/>
      <c r="AS2647" s="1"/>
      <c r="AX2647" s="1"/>
    </row>
    <row r="2648" spans="1:50" x14ac:dyDescent="0.3">
      <c r="A2648" s="19">
        <f t="shared" si="209"/>
        <v>49621</v>
      </c>
      <c r="B2648">
        <f t="shared" ca="1" si="205"/>
        <v>-9.6361111111111111</v>
      </c>
      <c r="C2648" t="str">
        <f ca="1">IF(currency="USD",'Future et co'!D2648,IF(currency="EUR",'Future et co'!E2648,IF(currency="GBP",'Future et co'!F2648,FALSE)))</f>
        <v>RFR USD</v>
      </c>
      <c r="D2648" t="str">
        <f t="shared" ca="1" si="206"/>
        <v>RFR USD</v>
      </c>
      <c r="E2648" t="str">
        <f t="shared" ca="1" si="207"/>
        <v>RFR EUR</v>
      </c>
      <c r="F2648" t="str">
        <f t="shared" ca="1" si="208"/>
        <v>RFR GBP</v>
      </c>
      <c r="J2648" s="1"/>
      <c r="N2648" s="1"/>
      <c r="R2648" s="1"/>
      <c r="V2648" s="1"/>
      <c r="AB2648" s="1"/>
      <c r="AF2648" s="1"/>
      <c r="AJ2648" s="1"/>
      <c r="AN2648" s="1"/>
      <c r="AS2648" s="1"/>
      <c r="AX2648" s="1"/>
    </row>
    <row r="2649" spans="1:50" x14ac:dyDescent="0.3">
      <c r="A2649" s="19">
        <f t="shared" si="209"/>
        <v>49622</v>
      </c>
      <c r="B2649">
        <f t="shared" ca="1" si="205"/>
        <v>-9.6388888888888893</v>
      </c>
      <c r="C2649" t="str">
        <f ca="1">IF(currency="USD",'Future et co'!D2649,IF(currency="EUR",'Future et co'!E2649,IF(currency="GBP",'Future et co'!F2649,FALSE)))</f>
        <v>RFR USD</v>
      </c>
      <c r="D2649" t="str">
        <f t="shared" ca="1" si="206"/>
        <v>RFR USD</v>
      </c>
      <c r="E2649" t="str">
        <f t="shared" ca="1" si="207"/>
        <v>RFR EUR</v>
      </c>
      <c r="F2649" t="str">
        <f t="shared" ca="1" si="208"/>
        <v>RFR GBP</v>
      </c>
      <c r="J2649" s="1"/>
      <c r="N2649" s="1"/>
      <c r="R2649" s="1"/>
      <c r="V2649" s="1"/>
      <c r="AB2649" s="1"/>
      <c r="AF2649" s="1"/>
      <c r="AJ2649" s="1"/>
      <c r="AN2649" s="1"/>
      <c r="AS2649" s="1"/>
      <c r="AX2649" s="1"/>
    </row>
    <row r="2650" spans="1:50" x14ac:dyDescent="0.3">
      <c r="A2650" s="19">
        <f t="shared" si="209"/>
        <v>49625</v>
      </c>
      <c r="B2650">
        <f t="shared" ca="1" si="205"/>
        <v>-9.6472222222222221</v>
      </c>
      <c r="C2650" t="str">
        <f ca="1">IF(currency="USD",'Future et co'!D2650,IF(currency="EUR",'Future et co'!E2650,IF(currency="GBP",'Future et co'!F2650,FALSE)))</f>
        <v>RFR USD</v>
      </c>
      <c r="D2650" t="str">
        <f t="shared" ca="1" si="206"/>
        <v>RFR USD</v>
      </c>
      <c r="E2650" t="str">
        <f t="shared" ca="1" si="207"/>
        <v>RFR EUR</v>
      </c>
      <c r="F2650" t="str">
        <f t="shared" ca="1" si="208"/>
        <v>RFR GBP</v>
      </c>
      <c r="J2650" s="1"/>
      <c r="N2650" s="1"/>
      <c r="R2650" s="1"/>
      <c r="V2650" s="1"/>
      <c r="AB2650" s="1"/>
      <c r="AF2650" s="1"/>
      <c r="AJ2650" s="1"/>
      <c r="AN2650" s="1"/>
      <c r="AS2650" s="1"/>
      <c r="AX2650" s="1"/>
    </row>
    <row r="2651" spans="1:50" x14ac:dyDescent="0.3">
      <c r="A2651" s="19">
        <f t="shared" si="209"/>
        <v>49626</v>
      </c>
      <c r="B2651">
        <f t="shared" ca="1" si="205"/>
        <v>-9.65</v>
      </c>
      <c r="C2651" t="str">
        <f ca="1">IF(currency="USD",'Future et co'!D2651,IF(currency="EUR",'Future et co'!E2651,IF(currency="GBP",'Future et co'!F2651,FALSE)))</f>
        <v>RFR USD</v>
      </c>
      <c r="D2651" t="str">
        <f t="shared" ca="1" si="206"/>
        <v>RFR USD</v>
      </c>
      <c r="E2651" t="str">
        <f t="shared" ca="1" si="207"/>
        <v>RFR EUR</v>
      </c>
      <c r="F2651" t="str">
        <f t="shared" ca="1" si="208"/>
        <v>RFR GBP</v>
      </c>
      <c r="J2651" s="1"/>
      <c r="N2651" s="1"/>
      <c r="R2651" s="1"/>
      <c r="V2651" s="1"/>
      <c r="AB2651" s="1"/>
      <c r="AF2651" s="1"/>
      <c r="AJ2651" s="1"/>
      <c r="AN2651" s="1"/>
      <c r="AS2651" s="1"/>
      <c r="AX2651" s="1"/>
    </row>
    <row r="2652" spans="1:50" x14ac:dyDescent="0.3">
      <c r="A2652" s="19">
        <f t="shared" si="209"/>
        <v>49627</v>
      </c>
      <c r="B2652">
        <f t="shared" ca="1" si="205"/>
        <v>-9.6527777777777786</v>
      </c>
      <c r="C2652" t="str">
        <f ca="1">IF(currency="USD",'Future et co'!D2652,IF(currency="EUR",'Future et co'!E2652,IF(currency="GBP",'Future et co'!F2652,FALSE)))</f>
        <v>RFR USD</v>
      </c>
      <c r="D2652" t="str">
        <f t="shared" ca="1" si="206"/>
        <v>RFR USD</v>
      </c>
      <c r="E2652" t="str">
        <f t="shared" ca="1" si="207"/>
        <v>RFR EUR</v>
      </c>
      <c r="F2652" t="str">
        <f t="shared" ca="1" si="208"/>
        <v>RFR GBP</v>
      </c>
      <c r="J2652" s="1"/>
      <c r="N2652" s="1"/>
      <c r="R2652" s="1"/>
      <c r="V2652" s="1"/>
      <c r="AB2652" s="1"/>
      <c r="AF2652" s="1"/>
      <c r="AJ2652" s="1"/>
      <c r="AN2652" s="1"/>
      <c r="AS2652" s="1"/>
      <c r="AX2652" s="1"/>
    </row>
    <row r="2653" spans="1:50" x14ac:dyDescent="0.3">
      <c r="A2653" s="19">
        <f t="shared" si="209"/>
        <v>49628</v>
      </c>
      <c r="B2653">
        <f t="shared" ca="1" si="205"/>
        <v>-9.655555555555555</v>
      </c>
      <c r="C2653" t="str">
        <f ca="1">IF(currency="USD",'Future et co'!D2653,IF(currency="EUR",'Future et co'!E2653,IF(currency="GBP",'Future et co'!F2653,FALSE)))</f>
        <v>RFR USD</v>
      </c>
      <c r="D2653" t="str">
        <f t="shared" ca="1" si="206"/>
        <v>RFR USD</v>
      </c>
      <c r="E2653" t="str">
        <f t="shared" ca="1" si="207"/>
        <v>RFR EUR</v>
      </c>
      <c r="F2653" t="str">
        <f t="shared" ca="1" si="208"/>
        <v>RFR GBP</v>
      </c>
      <c r="J2653" s="1"/>
      <c r="N2653" s="1"/>
      <c r="R2653" s="1"/>
      <c r="V2653" s="1"/>
      <c r="AB2653" s="1"/>
      <c r="AF2653" s="1"/>
      <c r="AJ2653" s="1"/>
      <c r="AN2653" s="1"/>
      <c r="AS2653" s="1"/>
      <c r="AX2653" s="1"/>
    </row>
    <row r="2654" spans="1:50" x14ac:dyDescent="0.3">
      <c r="A2654" s="19">
        <f t="shared" si="209"/>
        <v>49629</v>
      </c>
      <c r="B2654">
        <f t="shared" ca="1" si="205"/>
        <v>-9.6583333333333332</v>
      </c>
      <c r="C2654" t="str">
        <f ca="1">IF(currency="USD",'Future et co'!D2654,IF(currency="EUR",'Future et co'!E2654,IF(currency="GBP",'Future et co'!F2654,FALSE)))</f>
        <v>RFR USD</v>
      </c>
      <c r="D2654" t="str">
        <f t="shared" ca="1" si="206"/>
        <v>RFR USD</v>
      </c>
      <c r="E2654" t="str">
        <f t="shared" ca="1" si="207"/>
        <v>RFR EUR</v>
      </c>
      <c r="F2654" t="str">
        <f t="shared" ca="1" si="208"/>
        <v>RFR GBP</v>
      </c>
      <c r="J2654" s="1"/>
      <c r="N2654" s="1"/>
      <c r="R2654" s="1"/>
      <c r="V2654" s="1"/>
      <c r="AB2654" s="1"/>
      <c r="AF2654" s="1"/>
      <c r="AJ2654" s="1"/>
      <c r="AN2654" s="1"/>
      <c r="AS2654" s="1"/>
      <c r="AX2654" s="1"/>
    </row>
    <row r="2655" spans="1:50" x14ac:dyDescent="0.3">
      <c r="A2655" s="19">
        <f t="shared" si="209"/>
        <v>49632</v>
      </c>
      <c r="B2655">
        <f t="shared" ca="1" si="205"/>
        <v>-9.6666666666666661</v>
      </c>
      <c r="C2655" t="str">
        <f ca="1">IF(currency="USD",'Future et co'!D2655,IF(currency="EUR",'Future et co'!E2655,IF(currency="GBP",'Future et co'!F2655,FALSE)))</f>
        <v>RFR USD</v>
      </c>
      <c r="D2655" t="str">
        <f t="shared" ca="1" si="206"/>
        <v>RFR USD</v>
      </c>
      <c r="E2655" t="str">
        <f t="shared" ca="1" si="207"/>
        <v>RFR EUR</v>
      </c>
      <c r="F2655" t="str">
        <f t="shared" ca="1" si="208"/>
        <v>RFR GBP</v>
      </c>
      <c r="J2655" s="1"/>
      <c r="N2655" s="1"/>
      <c r="R2655" s="1"/>
      <c r="V2655" s="1"/>
      <c r="AB2655" s="1"/>
      <c r="AF2655" s="1"/>
      <c r="AJ2655" s="1"/>
      <c r="AN2655" s="1"/>
      <c r="AS2655" s="1"/>
      <c r="AX2655" s="1"/>
    </row>
    <row r="2656" spans="1:50" x14ac:dyDescent="0.3">
      <c r="A2656" s="19">
        <f t="shared" si="209"/>
        <v>49633</v>
      </c>
      <c r="B2656">
        <f t="shared" ca="1" si="205"/>
        <v>-9.6694444444444443</v>
      </c>
      <c r="C2656" t="str">
        <f ca="1">IF(currency="USD",'Future et co'!D2656,IF(currency="EUR",'Future et co'!E2656,IF(currency="GBP",'Future et co'!F2656,FALSE)))</f>
        <v>RFR USD</v>
      </c>
      <c r="D2656" t="str">
        <f t="shared" ca="1" si="206"/>
        <v>RFR USD</v>
      </c>
      <c r="E2656" t="str">
        <f t="shared" ca="1" si="207"/>
        <v>RFR EUR</v>
      </c>
      <c r="F2656" t="str">
        <f t="shared" ca="1" si="208"/>
        <v>RFR GBP</v>
      </c>
      <c r="J2656" s="1"/>
      <c r="N2656" s="1"/>
      <c r="R2656" s="1"/>
      <c r="V2656" s="1"/>
      <c r="AB2656" s="1"/>
      <c r="AF2656" s="1"/>
      <c r="AJ2656" s="1"/>
      <c r="AN2656" s="1"/>
      <c r="AS2656" s="1"/>
      <c r="AX2656" s="1"/>
    </row>
    <row r="2657" spans="1:50" x14ac:dyDescent="0.3">
      <c r="A2657" s="19">
        <f t="shared" si="209"/>
        <v>49634</v>
      </c>
      <c r="B2657">
        <f t="shared" ca="1" si="205"/>
        <v>-9.6722222222222225</v>
      </c>
      <c r="C2657" t="str">
        <f ca="1">IF(currency="USD",'Future et co'!D2657,IF(currency="EUR",'Future et co'!E2657,IF(currency="GBP",'Future et co'!F2657,FALSE)))</f>
        <v>RFR USD</v>
      </c>
      <c r="D2657" t="str">
        <f t="shared" ca="1" si="206"/>
        <v>RFR USD</v>
      </c>
      <c r="E2657" t="str">
        <f t="shared" ca="1" si="207"/>
        <v>RFR EUR</v>
      </c>
      <c r="F2657" t="str">
        <f t="shared" ca="1" si="208"/>
        <v>RFR GBP</v>
      </c>
      <c r="J2657" s="1"/>
      <c r="N2657" s="1"/>
      <c r="R2657" s="1"/>
      <c r="V2657" s="1"/>
      <c r="AB2657" s="1"/>
      <c r="AF2657" s="1"/>
      <c r="AJ2657" s="1"/>
      <c r="AN2657" s="1"/>
      <c r="AS2657" s="1"/>
      <c r="AX2657" s="1"/>
    </row>
    <row r="2658" spans="1:50" x14ac:dyDescent="0.3">
      <c r="A2658" s="19">
        <f t="shared" si="209"/>
        <v>49635</v>
      </c>
      <c r="B2658">
        <f t="shared" ca="1" si="205"/>
        <v>-9.6750000000000007</v>
      </c>
      <c r="C2658" t="str">
        <f ca="1">IF(currency="USD",'Future et co'!D2658,IF(currency="EUR",'Future et co'!E2658,IF(currency="GBP",'Future et co'!F2658,FALSE)))</f>
        <v>RFR USD</v>
      </c>
      <c r="D2658" t="str">
        <f t="shared" ca="1" si="206"/>
        <v>RFR USD</v>
      </c>
      <c r="E2658" t="str">
        <f t="shared" ca="1" si="207"/>
        <v>RFR EUR</v>
      </c>
      <c r="F2658" t="str">
        <f t="shared" ca="1" si="208"/>
        <v>RFR GBP</v>
      </c>
      <c r="J2658" s="1"/>
      <c r="N2658" s="1"/>
      <c r="R2658" s="1"/>
      <c r="V2658" s="1"/>
      <c r="AB2658" s="1"/>
      <c r="AF2658" s="1"/>
      <c r="AJ2658" s="1"/>
      <c r="AN2658" s="1"/>
      <c r="AS2658" s="1"/>
      <c r="AX2658" s="1"/>
    </row>
    <row r="2659" spans="1:50" x14ac:dyDescent="0.3">
      <c r="A2659" s="19">
        <f t="shared" si="209"/>
        <v>49636</v>
      </c>
      <c r="B2659">
        <f t="shared" ca="1" si="205"/>
        <v>-9.6777777777777771</v>
      </c>
      <c r="C2659" t="str">
        <f ca="1">IF(currency="USD",'Future et co'!D2659,IF(currency="EUR",'Future et co'!E2659,IF(currency="GBP",'Future et co'!F2659,FALSE)))</f>
        <v>RFR USD</v>
      </c>
      <c r="D2659" t="str">
        <f t="shared" ca="1" si="206"/>
        <v>RFR USD</v>
      </c>
      <c r="E2659" t="str">
        <f t="shared" ca="1" si="207"/>
        <v>RFR EUR</v>
      </c>
      <c r="F2659" t="str">
        <f t="shared" ca="1" si="208"/>
        <v>RFR GBP</v>
      </c>
      <c r="J2659" s="1"/>
      <c r="N2659" s="1"/>
      <c r="R2659" s="1"/>
      <c r="V2659" s="1"/>
      <c r="AB2659" s="1"/>
      <c r="AF2659" s="1"/>
      <c r="AJ2659" s="1"/>
      <c r="AN2659" s="1"/>
      <c r="AS2659" s="1"/>
      <c r="AX2659" s="1"/>
    </row>
    <row r="2660" spans="1:50" x14ac:dyDescent="0.3">
      <c r="A2660" s="19">
        <f t="shared" si="209"/>
        <v>49639</v>
      </c>
      <c r="B2660">
        <f t="shared" ca="1" si="205"/>
        <v>-9.6861111111111118</v>
      </c>
      <c r="C2660" t="str">
        <f ca="1">IF(currency="USD",'Future et co'!D2660,IF(currency="EUR",'Future et co'!E2660,IF(currency="GBP",'Future et co'!F2660,FALSE)))</f>
        <v>RFR USD</v>
      </c>
      <c r="D2660" t="str">
        <f t="shared" ca="1" si="206"/>
        <v>RFR USD</v>
      </c>
      <c r="E2660" t="str">
        <f t="shared" ca="1" si="207"/>
        <v>RFR EUR</v>
      </c>
      <c r="F2660" t="str">
        <f t="shared" ca="1" si="208"/>
        <v>RFR GBP</v>
      </c>
      <c r="J2660" s="1"/>
      <c r="N2660" s="1"/>
      <c r="R2660" s="1"/>
      <c r="V2660" s="1"/>
      <c r="AB2660" s="1"/>
      <c r="AF2660" s="1"/>
      <c r="AJ2660" s="1"/>
      <c r="AN2660" s="1"/>
      <c r="AS2660" s="1"/>
      <c r="AX2660" s="1"/>
    </row>
    <row r="2661" spans="1:50" x14ac:dyDescent="0.3">
      <c r="A2661" s="19">
        <f t="shared" si="209"/>
        <v>49640</v>
      </c>
      <c r="B2661">
        <f t="shared" ca="1" si="205"/>
        <v>-9.6888888888888882</v>
      </c>
      <c r="C2661" t="str">
        <f ca="1">IF(currency="USD",'Future et co'!D2661,IF(currency="EUR",'Future et co'!E2661,IF(currency="GBP",'Future et co'!F2661,FALSE)))</f>
        <v>RFR USD</v>
      </c>
      <c r="D2661" t="str">
        <f t="shared" ca="1" si="206"/>
        <v>RFR USD</v>
      </c>
      <c r="E2661" t="str">
        <f t="shared" ca="1" si="207"/>
        <v>RFR EUR</v>
      </c>
      <c r="F2661" t="str">
        <f t="shared" ca="1" si="208"/>
        <v>RFR GBP</v>
      </c>
      <c r="J2661" s="1"/>
      <c r="N2661" s="1"/>
      <c r="R2661" s="1"/>
      <c r="V2661" s="1"/>
      <c r="AB2661" s="1"/>
      <c r="AF2661" s="1"/>
      <c r="AJ2661" s="1"/>
      <c r="AN2661" s="1"/>
      <c r="AS2661" s="1"/>
      <c r="AX2661" s="1"/>
    </row>
    <row r="2662" spans="1:50" x14ac:dyDescent="0.3">
      <c r="A2662" s="19">
        <f t="shared" si="209"/>
        <v>49641</v>
      </c>
      <c r="B2662">
        <f t="shared" ca="1" si="205"/>
        <v>-9.6916666666666664</v>
      </c>
      <c r="C2662" t="str">
        <f ca="1">IF(currency="USD",'Future et co'!D2662,IF(currency="EUR",'Future et co'!E2662,IF(currency="GBP",'Future et co'!F2662,FALSE)))</f>
        <v>RFR USD</v>
      </c>
      <c r="D2662" t="str">
        <f t="shared" ca="1" si="206"/>
        <v>RFR USD</v>
      </c>
      <c r="E2662" t="str">
        <f t="shared" ca="1" si="207"/>
        <v>RFR EUR</v>
      </c>
      <c r="F2662" t="str">
        <f t="shared" ca="1" si="208"/>
        <v>RFR GBP</v>
      </c>
      <c r="J2662" s="1"/>
      <c r="N2662" s="1"/>
      <c r="R2662" s="1"/>
      <c r="V2662" s="1"/>
      <c r="AB2662" s="1"/>
      <c r="AF2662" s="1"/>
      <c r="AJ2662" s="1"/>
      <c r="AN2662" s="1"/>
      <c r="AS2662" s="1"/>
      <c r="AX2662" s="1"/>
    </row>
    <row r="2663" spans="1:50" x14ac:dyDescent="0.3">
      <c r="A2663" s="19">
        <f t="shared" si="209"/>
        <v>49642</v>
      </c>
      <c r="B2663">
        <f t="shared" ca="1" si="205"/>
        <v>-9.6944444444444446</v>
      </c>
      <c r="C2663" t="str">
        <f ca="1">IF(currency="USD",'Future et co'!D2663,IF(currency="EUR",'Future et co'!E2663,IF(currency="GBP",'Future et co'!F2663,FALSE)))</f>
        <v>RFR USD</v>
      </c>
      <c r="D2663" t="str">
        <f t="shared" ca="1" si="206"/>
        <v>RFR USD</v>
      </c>
      <c r="E2663" t="str">
        <f t="shared" ca="1" si="207"/>
        <v>RFR EUR</v>
      </c>
      <c r="F2663" t="str">
        <f t="shared" ca="1" si="208"/>
        <v>RFR GBP</v>
      </c>
      <c r="J2663" s="1"/>
      <c r="N2663" s="1"/>
      <c r="R2663" s="1"/>
      <c r="V2663" s="1"/>
      <c r="AB2663" s="1"/>
      <c r="AF2663" s="1"/>
      <c r="AJ2663" s="1"/>
      <c r="AN2663" s="1"/>
      <c r="AS2663" s="1"/>
      <c r="AX2663" s="1"/>
    </row>
    <row r="2664" spans="1:50" x14ac:dyDescent="0.3">
      <c r="A2664" s="19">
        <f t="shared" si="209"/>
        <v>49643</v>
      </c>
      <c r="B2664">
        <f t="shared" ca="1" si="205"/>
        <v>-9.6972222222222229</v>
      </c>
      <c r="C2664" t="str">
        <f ca="1">IF(currency="USD",'Future et co'!D2664,IF(currency="EUR",'Future et co'!E2664,IF(currency="GBP",'Future et co'!F2664,FALSE)))</f>
        <v>RFR USD</v>
      </c>
      <c r="D2664" t="str">
        <f t="shared" ca="1" si="206"/>
        <v>RFR USD</v>
      </c>
      <c r="E2664" t="str">
        <f t="shared" ca="1" si="207"/>
        <v>RFR EUR</v>
      </c>
      <c r="F2664" t="str">
        <f t="shared" ca="1" si="208"/>
        <v>RFR GBP</v>
      </c>
      <c r="J2664" s="1"/>
      <c r="N2664" s="1"/>
      <c r="R2664" s="1"/>
      <c r="V2664" s="1"/>
      <c r="AB2664" s="1"/>
      <c r="AF2664" s="1"/>
      <c r="AJ2664" s="1"/>
      <c r="AN2664" s="1"/>
      <c r="AS2664" s="1"/>
      <c r="AX2664" s="1"/>
    </row>
    <row r="2665" spans="1:50" x14ac:dyDescent="0.3">
      <c r="A2665" s="19">
        <f t="shared" si="209"/>
        <v>49646</v>
      </c>
      <c r="B2665">
        <f t="shared" ca="1" si="205"/>
        <v>-9.7055555555555557</v>
      </c>
      <c r="C2665" t="str">
        <f ca="1">IF(currency="USD",'Future et co'!D2665,IF(currency="EUR",'Future et co'!E2665,IF(currency="GBP",'Future et co'!F2665,FALSE)))</f>
        <v>RFR USD</v>
      </c>
      <c r="D2665" t="str">
        <f t="shared" ca="1" si="206"/>
        <v>RFR USD</v>
      </c>
      <c r="E2665" t="str">
        <f t="shared" ca="1" si="207"/>
        <v>RFR EUR</v>
      </c>
      <c r="F2665" t="str">
        <f t="shared" ca="1" si="208"/>
        <v>RFR GBP</v>
      </c>
      <c r="J2665" s="1"/>
      <c r="N2665" s="1"/>
      <c r="R2665" s="1"/>
      <c r="V2665" s="1"/>
      <c r="AB2665" s="1"/>
      <c r="AF2665" s="1"/>
      <c r="AJ2665" s="1"/>
      <c r="AN2665" s="1"/>
      <c r="AS2665" s="1"/>
      <c r="AX2665" s="1"/>
    </row>
    <row r="2666" spans="1:50" x14ac:dyDescent="0.3">
      <c r="A2666" s="19">
        <f t="shared" si="209"/>
        <v>49647</v>
      </c>
      <c r="B2666">
        <f t="shared" ca="1" si="205"/>
        <v>-9.7083333333333339</v>
      </c>
      <c r="C2666" t="str">
        <f ca="1">IF(currency="USD",'Future et co'!D2666,IF(currency="EUR",'Future et co'!E2666,IF(currency="GBP",'Future et co'!F2666,FALSE)))</f>
        <v>RFR USD</v>
      </c>
      <c r="D2666" t="str">
        <f t="shared" ca="1" si="206"/>
        <v>RFR USD</v>
      </c>
      <c r="E2666" t="str">
        <f t="shared" ca="1" si="207"/>
        <v>RFR EUR</v>
      </c>
      <c r="F2666" t="str">
        <f t="shared" ca="1" si="208"/>
        <v>RFR GBP</v>
      </c>
      <c r="J2666" s="1"/>
      <c r="N2666" s="1"/>
      <c r="R2666" s="1"/>
      <c r="V2666" s="1"/>
      <c r="AB2666" s="1"/>
      <c r="AF2666" s="1"/>
      <c r="AJ2666" s="1"/>
      <c r="AN2666" s="1"/>
      <c r="AS2666" s="1"/>
      <c r="AX2666" s="1"/>
    </row>
    <row r="2667" spans="1:50" x14ac:dyDescent="0.3">
      <c r="A2667" s="19">
        <f t="shared" si="209"/>
        <v>49648</v>
      </c>
      <c r="B2667">
        <f t="shared" ca="1" si="205"/>
        <v>-9.7111111111111104</v>
      </c>
      <c r="C2667" t="str">
        <f ca="1">IF(currency="USD",'Future et co'!D2667,IF(currency="EUR",'Future et co'!E2667,IF(currency="GBP",'Future et co'!F2667,FALSE)))</f>
        <v>RFR USD</v>
      </c>
      <c r="D2667" t="str">
        <f t="shared" ca="1" si="206"/>
        <v>RFR USD</v>
      </c>
      <c r="E2667" t="str">
        <f t="shared" ca="1" si="207"/>
        <v>RFR EUR</v>
      </c>
      <c r="F2667" t="str">
        <f t="shared" ca="1" si="208"/>
        <v>RFR GBP</v>
      </c>
      <c r="J2667" s="1"/>
      <c r="N2667" s="1"/>
      <c r="R2667" s="1"/>
      <c r="V2667" s="1"/>
      <c r="AB2667" s="1"/>
      <c r="AF2667" s="1"/>
      <c r="AJ2667" s="1"/>
      <c r="AN2667" s="1"/>
      <c r="AS2667" s="1"/>
      <c r="AX2667" s="1"/>
    </row>
    <row r="2668" spans="1:50" x14ac:dyDescent="0.3">
      <c r="A2668" s="19">
        <f t="shared" si="209"/>
        <v>49649</v>
      </c>
      <c r="B2668">
        <f t="shared" ca="1" si="205"/>
        <v>-9.7138888888888886</v>
      </c>
      <c r="C2668" t="str">
        <f ca="1">IF(currency="USD",'Future et co'!D2668,IF(currency="EUR",'Future et co'!E2668,IF(currency="GBP",'Future et co'!F2668,FALSE)))</f>
        <v>RFR USD</v>
      </c>
      <c r="D2668" t="str">
        <f t="shared" ca="1" si="206"/>
        <v>RFR USD</v>
      </c>
      <c r="E2668" t="str">
        <f t="shared" ca="1" si="207"/>
        <v>RFR EUR</v>
      </c>
      <c r="F2668" t="str">
        <f t="shared" ca="1" si="208"/>
        <v>RFR GBP</v>
      </c>
      <c r="J2668" s="1"/>
      <c r="N2668" s="1"/>
      <c r="R2668" s="1"/>
      <c r="V2668" s="1"/>
      <c r="AB2668" s="1"/>
      <c r="AF2668" s="1"/>
      <c r="AJ2668" s="1"/>
      <c r="AN2668" s="1"/>
      <c r="AS2668" s="1"/>
      <c r="AX2668" s="1"/>
    </row>
    <row r="2669" spans="1:50" x14ac:dyDescent="0.3">
      <c r="A2669" s="19">
        <f t="shared" si="209"/>
        <v>49650</v>
      </c>
      <c r="B2669">
        <f t="shared" ca="1" si="205"/>
        <v>-9.7166666666666668</v>
      </c>
      <c r="C2669" t="str">
        <f ca="1">IF(currency="USD",'Future et co'!D2669,IF(currency="EUR",'Future et co'!E2669,IF(currency="GBP",'Future et co'!F2669,FALSE)))</f>
        <v>RFR USD</v>
      </c>
      <c r="D2669" t="str">
        <f t="shared" ca="1" si="206"/>
        <v>RFR USD</v>
      </c>
      <c r="E2669" t="str">
        <f t="shared" ca="1" si="207"/>
        <v>RFR EUR</v>
      </c>
      <c r="F2669" t="str">
        <f t="shared" ca="1" si="208"/>
        <v>RFR GBP</v>
      </c>
      <c r="J2669" s="1"/>
      <c r="N2669" s="1"/>
      <c r="R2669" s="1"/>
      <c r="V2669" s="1"/>
      <c r="AB2669" s="1"/>
      <c r="AF2669" s="1"/>
      <c r="AJ2669" s="1"/>
      <c r="AN2669" s="1"/>
      <c r="AS2669" s="1"/>
      <c r="AX2669" s="1"/>
    </row>
    <row r="2670" spans="1:50" x14ac:dyDescent="0.3">
      <c r="A2670" s="19">
        <f t="shared" si="209"/>
        <v>49653</v>
      </c>
      <c r="B2670">
        <f t="shared" ca="1" si="205"/>
        <v>-9.7249999999999996</v>
      </c>
      <c r="C2670" t="str">
        <f ca="1">IF(currency="USD",'Future et co'!D2670,IF(currency="EUR",'Future et co'!E2670,IF(currency="GBP",'Future et co'!F2670,FALSE)))</f>
        <v>RFR USD</v>
      </c>
      <c r="D2670" t="str">
        <f t="shared" ca="1" si="206"/>
        <v>RFR USD</v>
      </c>
      <c r="E2670" t="str">
        <f t="shared" ca="1" si="207"/>
        <v>RFR EUR</v>
      </c>
      <c r="F2670" t="str">
        <f t="shared" ca="1" si="208"/>
        <v>RFR GBP</v>
      </c>
      <c r="J2670" s="1"/>
      <c r="N2670" s="1"/>
      <c r="R2670" s="1"/>
      <c r="V2670" s="1"/>
      <c r="AB2670" s="1"/>
      <c r="AF2670" s="1"/>
      <c r="AJ2670" s="1"/>
      <c r="AN2670" s="1"/>
      <c r="AS2670" s="1"/>
      <c r="AX2670" s="1"/>
    </row>
    <row r="2671" spans="1:50" x14ac:dyDescent="0.3">
      <c r="A2671" s="19">
        <f t="shared" si="209"/>
        <v>49654</v>
      </c>
      <c r="B2671">
        <f t="shared" ca="1" si="205"/>
        <v>-9.7277777777777779</v>
      </c>
      <c r="C2671" t="str">
        <f ca="1">IF(currency="USD",'Future et co'!D2671,IF(currency="EUR",'Future et co'!E2671,IF(currency="GBP",'Future et co'!F2671,FALSE)))</f>
        <v>RFR USD</v>
      </c>
      <c r="D2671" t="str">
        <f t="shared" ca="1" si="206"/>
        <v>RFR USD</v>
      </c>
      <c r="E2671" t="str">
        <f t="shared" ca="1" si="207"/>
        <v>RFR EUR</v>
      </c>
      <c r="F2671" t="str">
        <f t="shared" ca="1" si="208"/>
        <v>RFR GBP</v>
      </c>
      <c r="J2671" s="1"/>
      <c r="N2671" s="1"/>
      <c r="R2671" s="1"/>
      <c r="V2671" s="1"/>
      <c r="AB2671" s="1"/>
      <c r="AF2671" s="1"/>
      <c r="AJ2671" s="1"/>
      <c r="AN2671" s="1"/>
      <c r="AS2671" s="1"/>
      <c r="AX2671" s="1"/>
    </row>
    <row r="2672" spans="1:50" x14ac:dyDescent="0.3">
      <c r="A2672" s="19">
        <f t="shared" si="209"/>
        <v>49655</v>
      </c>
      <c r="B2672">
        <f t="shared" ca="1" si="205"/>
        <v>-9.7305555555555561</v>
      </c>
      <c r="C2672" t="str">
        <f ca="1">IF(currency="USD",'Future et co'!D2672,IF(currency="EUR",'Future et co'!E2672,IF(currency="GBP",'Future et co'!F2672,FALSE)))</f>
        <v>RFR USD</v>
      </c>
      <c r="D2672" t="str">
        <f t="shared" ca="1" si="206"/>
        <v>RFR USD</v>
      </c>
      <c r="E2672" t="str">
        <f t="shared" ca="1" si="207"/>
        <v>RFR EUR</v>
      </c>
      <c r="F2672" t="str">
        <f t="shared" ca="1" si="208"/>
        <v>RFR GBP</v>
      </c>
      <c r="J2672" s="1"/>
      <c r="N2672" s="1"/>
      <c r="R2672" s="1"/>
      <c r="V2672" s="1"/>
      <c r="AB2672" s="1"/>
      <c r="AF2672" s="1"/>
      <c r="AJ2672" s="1"/>
      <c r="AN2672" s="1"/>
      <c r="AS2672" s="1"/>
      <c r="AX2672" s="1"/>
    </row>
    <row r="2673" spans="1:50" x14ac:dyDescent="0.3">
      <c r="A2673" s="19">
        <f t="shared" si="209"/>
        <v>49656</v>
      </c>
      <c r="B2673">
        <f t="shared" ca="1" si="205"/>
        <v>-9.7333333333333325</v>
      </c>
      <c r="C2673" t="str">
        <f ca="1">IF(currency="USD",'Future et co'!D2673,IF(currency="EUR",'Future et co'!E2673,IF(currency="GBP",'Future et co'!F2673,FALSE)))</f>
        <v>RFR USD</v>
      </c>
      <c r="D2673" t="str">
        <f t="shared" ca="1" si="206"/>
        <v>RFR USD</v>
      </c>
      <c r="E2673" t="str">
        <f t="shared" ca="1" si="207"/>
        <v>RFR EUR</v>
      </c>
      <c r="F2673" t="str">
        <f t="shared" ca="1" si="208"/>
        <v>RFR GBP</v>
      </c>
      <c r="J2673" s="1"/>
      <c r="N2673" s="1"/>
      <c r="R2673" s="1"/>
      <c r="V2673" s="1"/>
      <c r="AB2673" s="1"/>
      <c r="AF2673" s="1"/>
      <c r="AJ2673" s="1"/>
      <c r="AN2673" s="1"/>
      <c r="AS2673" s="1"/>
      <c r="AX2673" s="1"/>
    </row>
    <row r="2674" spans="1:50" x14ac:dyDescent="0.3">
      <c r="A2674" s="19">
        <f t="shared" si="209"/>
        <v>49657</v>
      </c>
      <c r="B2674">
        <f t="shared" ca="1" si="205"/>
        <v>-9.7361111111111107</v>
      </c>
      <c r="C2674" t="str">
        <f ca="1">IF(currency="USD",'Future et co'!D2674,IF(currency="EUR",'Future et co'!E2674,IF(currency="GBP",'Future et co'!F2674,FALSE)))</f>
        <v>RFR USD</v>
      </c>
      <c r="D2674" t="str">
        <f t="shared" ca="1" si="206"/>
        <v>RFR USD</v>
      </c>
      <c r="E2674" t="str">
        <f t="shared" ca="1" si="207"/>
        <v>RFR EUR</v>
      </c>
      <c r="F2674" t="str">
        <f t="shared" ca="1" si="208"/>
        <v>RFR GBP</v>
      </c>
      <c r="J2674" s="1"/>
      <c r="N2674" s="1"/>
      <c r="R2674" s="1"/>
      <c r="V2674" s="1"/>
      <c r="AB2674" s="1"/>
      <c r="AF2674" s="1"/>
      <c r="AJ2674" s="1"/>
      <c r="AN2674" s="1"/>
      <c r="AS2674" s="1"/>
      <c r="AX2674" s="1"/>
    </row>
    <row r="2675" spans="1:50" x14ac:dyDescent="0.3">
      <c r="A2675" s="19">
        <f t="shared" si="209"/>
        <v>49660</v>
      </c>
      <c r="B2675">
        <f t="shared" ca="1" si="205"/>
        <v>-9.7444444444444436</v>
      </c>
      <c r="C2675" t="str">
        <f ca="1">IF(currency="USD",'Future et co'!D2675,IF(currency="EUR",'Future et co'!E2675,IF(currency="GBP",'Future et co'!F2675,FALSE)))</f>
        <v>RFR USD</v>
      </c>
      <c r="D2675" t="str">
        <f t="shared" ca="1" si="206"/>
        <v>RFR USD</v>
      </c>
      <c r="E2675" t="str">
        <f t="shared" ca="1" si="207"/>
        <v>RFR EUR</v>
      </c>
      <c r="F2675" t="str">
        <f t="shared" ca="1" si="208"/>
        <v>RFR GBP</v>
      </c>
      <c r="J2675" s="1"/>
      <c r="N2675" s="1"/>
      <c r="R2675" s="1"/>
      <c r="V2675" s="1"/>
      <c r="AB2675" s="1"/>
      <c r="AF2675" s="1"/>
      <c r="AJ2675" s="1"/>
      <c r="AN2675" s="1"/>
      <c r="AS2675" s="1"/>
      <c r="AX2675" s="1"/>
    </row>
    <row r="2676" spans="1:50" x14ac:dyDescent="0.3">
      <c r="A2676" s="19">
        <f t="shared" si="209"/>
        <v>49661</v>
      </c>
      <c r="B2676">
        <f t="shared" ca="1" si="205"/>
        <v>-9.7472222222222218</v>
      </c>
      <c r="C2676" t="str">
        <f ca="1">IF(currency="USD",'Future et co'!D2676,IF(currency="EUR",'Future et co'!E2676,IF(currency="GBP",'Future et co'!F2676,FALSE)))</f>
        <v>RFR USD</v>
      </c>
      <c r="D2676" t="str">
        <f t="shared" ca="1" si="206"/>
        <v>RFR USD</v>
      </c>
      <c r="E2676" t="str">
        <f t="shared" ca="1" si="207"/>
        <v>RFR EUR</v>
      </c>
      <c r="F2676" t="str">
        <f t="shared" ca="1" si="208"/>
        <v>RFR GBP</v>
      </c>
      <c r="J2676" s="1"/>
      <c r="N2676" s="1"/>
      <c r="R2676" s="1"/>
      <c r="V2676" s="1"/>
      <c r="AB2676" s="1"/>
      <c r="AF2676" s="1"/>
      <c r="AJ2676" s="1"/>
      <c r="AN2676" s="1"/>
      <c r="AS2676" s="1"/>
      <c r="AX2676" s="1"/>
    </row>
    <row r="2677" spans="1:50" x14ac:dyDescent="0.3">
      <c r="A2677" s="19">
        <f t="shared" si="209"/>
        <v>49662</v>
      </c>
      <c r="B2677">
        <f t="shared" ca="1" si="205"/>
        <v>-9.75</v>
      </c>
      <c r="C2677" t="str">
        <f ca="1">IF(currency="USD",'Future et co'!D2677,IF(currency="EUR",'Future et co'!E2677,IF(currency="GBP",'Future et co'!F2677,FALSE)))</f>
        <v>RFR USD</v>
      </c>
      <c r="D2677" t="str">
        <f t="shared" ca="1" si="206"/>
        <v>RFR USD</v>
      </c>
      <c r="E2677" t="str">
        <f t="shared" ca="1" si="207"/>
        <v>RFR EUR</v>
      </c>
      <c r="F2677" t="str">
        <f t="shared" ca="1" si="208"/>
        <v>RFR GBP</v>
      </c>
      <c r="J2677" s="1"/>
      <c r="N2677" s="1"/>
      <c r="R2677" s="1"/>
      <c r="V2677" s="1"/>
      <c r="AB2677" s="1"/>
      <c r="AF2677" s="1"/>
      <c r="AJ2677" s="1"/>
      <c r="AN2677" s="1"/>
      <c r="AS2677" s="1"/>
      <c r="AX2677" s="1"/>
    </row>
    <row r="2678" spans="1:50" x14ac:dyDescent="0.3">
      <c r="A2678" s="19">
        <f t="shared" si="209"/>
        <v>49663</v>
      </c>
      <c r="B2678">
        <f t="shared" ca="1" si="205"/>
        <v>-9.7527777777777782</v>
      </c>
      <c r="C2678" t="str">
        <f ca="1">IF(currency="USD",'Future et co'!D2678,IF(currency="EUR",'Future et co'!E2678,IF(currency="GBP",'Future et co'!F2678,FALSE)))</f>
        <v>RFR USD</v>
      </c>
      <c r="D2678" t="str">
        <f t="shared" ca="1" si="206"/>
        <v>RFR USD</v>
      </c>
      <c r="E2678" t="str">
        <f t="shared" ca="1" si="207"/>
        <v>RFR EUR</v>
      </c>
      <c r="F2678" t="str">
        <f t="shared" ca="1" si="208"/>
        <v>RFR GBP</v>
      </c>
      <c r="J2678" s="1"/>
      <c r="N2678" s="1"/>
      <c r="R2678" s="1"/>
      <c r="V2678" s="1"/>
      <c r="AB2678" s="1"/>
      <c r="AF2678" s="1"/>
      <c r="AJ2678" s="1"/>
      <c r="AN2678" s="1"/>
      <c r="AS2678" s="1"/>
      <c r="AX2678" s="1"/>
    </row>
    <row r="2679" spans="1:50" x14ac:dyDescent="0.3">
      <c r="A2679" s="19">
        <f t="shared" si="209"/>
        <v>49664</v>
      </c>
      <c r="B2679">
        <f t="shared" ca="1" si="205"/>
        <v>-9.7555555555555564</v>
      </c>
      <c r="C2679" t="str">
        <f ca="1">IF(currency="USD",'Future et co'!D2679,IF(currency="EUR",'Future et co'!E2679,IF(currency="GBP",'Future et co'!F2679,FALSE)))</f>
        <v>RFR USD</v>
      </c>
      <c r="D2679" t="str">
        <f t="shared" ca="1" si="206"/>
        <v>RFR USD</v>
      </c>
      <c r="E2679" t="str">
        <f t="shared" ca="1" si="207"/>
        <v>RFR EUR</v>
      </c>
      <c r="F2679" t="str">
        <f t="shared" ca="1" si="208"/>
        <v>RFR GBP</v>
      </c>
      <c r="J2679" s="1"/>
      <c r="N2679" s="1"/>
      <c r="R2679" s="1"/>
      <c r="V2679" s="1"/>
      <c r="AB2679" s="1"/>
      <c r="AF2679" s="1"/>
      <c r="AJ2679" s="1"/>
      <c r="AN2679" s="1"/>
      <c r="AS2679" s="1"/>
      <c r="AX2679" s="1"/>
    </row>
    <row r="2680" spans="1:50" x14ac:dyDescent="0.3">
      <c r="A2680" s="19">
        <f t="shared" si="209"/>
        <v>49667</v>
      </c>
      <c r="B2680">
        <f t="shared" ca="1" si="205"/>
        <v>-9.7638888888888893</v>
      </c>
      <c r="C2680" t="str">
        <f ca="1">IF(currency="USD",'Future et co'!D2680,IF(currency="EUR",'Future et co'!E2680,IF(currency="GBP",'Future et co'!F2680,FALSE)))</f>
        <v>RFR USD</v>
      </c>
      <c r="D2680" t="str">
        <f t="shared" ca="1" si="206"/>
        <v>RFR USD</v>
      </c>
      <c r="E2680" t="str">
        <f t="shared" ca="1" si="207"/>
        <v>RFR EUR</v>
      </c>
      <c r="F2680" t="str">
        <f t="shared" ca="1" si="208"/>
        <v>RFR GBP</v>
      </c>
      <c r="J2680" s="1"/>
      <c r="N2680" s="1"/>
      <c r="R2680" s="1"/>
      <c r="V2680" s="1"/>
      <c r="AB2680" s="1"/>
      <c r="AF2680" s="1"/>
      <c r="AJ2680" s="1"/>
      <c r="AN2680" s="1"/>
      <c r="AS2680" s="1"/>
      <c r="AX2680" s="1"/>
    </row>
    <row r="2681" spans="1:50" x14ac:dyDescent="0.3">
      <c r="A2681" s="19">
        <f t="shared" si="209"/>
        <v>49668</v>
      </c>
      <c r="B2681">
        <f t="shared" ca="1" si="205"/>
        <v>-9.7666666666666675</v>
      </c>
      <c r="C2681" t="str">
        <f ca="1">IF(currency="USD",'Future et co'!D2681,IF(currency="EUR",'Future et co'!E2681,IF(currency="GBP",'Future et co'!F2681,FALSE)))</f>
        <v>RFR USD</v>
      </c>
      <c r="D2681" t="str">
        <f t="shared" ca="1" si="206"/>
        <v>RFR USD</v>
      </c>
      <c r="E2681" t="str">
        <f t="shared" ca="1" si="207"/>
        <v>RFR EUR</v>
      </c>
      <c r="F2681" t="str">
        <f t="shared" ca="1" si="208"/>
        <v>RFR GBP</v>
      </c>
      <c r="J2681" s="1"/>
      <c r="N2681" s="1"/>
      <c r="R2681" s="1"/>
      <c r="V2681" s="1"/>
      <c r="AB2681" s="1"/>
      <c r="AF2681" s="1"/>
      <c r="AJ2681" s="1"/>
      <c r="AN2681" s="1"/>
      <c r="AS2681" s="1"/>
      <c r="AX2681" s="1"/>
    </row>
    <row r="2682" spans="1:50" x14ac:dyDescent="0.3">
      <c r="A2682" s="19">
        <f t="shared" si="209"/>
        <v>49669</v>
      </c>
      <c r="B2682">
        <f t="shared" ca="1" si="205"/>
        <v>-9.7694444444444439</v>
      </c>
      <c r="C2682" t="str">
        <f ca="1">IF(currency="USD",'Future et co'!D2682,IF(currency="EUR",'Future et co'!E2682,IF(currency="GBP",'Future et co'!F2682,FALSE)))</f>
        <v>RFR USD</v>
      </c>
      <c r="D2682" t="str">
        <f t="shared" ca="1" si="206"/>
        <v>RFR USD</v>
      </c>
      <c r="E2682" t="str">
        <f t="shared" ca="1" si="207"/>
        <v>RFR EUR</v>
      </c>
      <c r="F2682" t="str">
        <f t="shared" ca="1" si="208"/>
        <v>RFR GBP</v>
      </c>
      <c r="J2682" s="1"/>
      <c r="N2682" s="1"/>
      <c r="R2682" s="1"/>
      <c r="V2682" s="1"/>
      <c r="AB2682" s="1"/>
      <c r="AF2682" s="1"/>
      <c r="AJ2682" s="1"/>
      <c r="AN2682" s="1"/>
      <c r="AS2682" s="1"/>
      <c r="AX2682" s="1"/>
    </row>
    <row r="2683" spans="1:50" x14ac:dyDescent="0.3">
      <c r="A2683" s="19">
        <f t="shared" si="209"/>
        <v>49670</v>
      </c>
      <c r="B2683">
        <f t="shared" ca="1" si="205"/>
        <v>-9.7722222222222221</v>
      </c>
      <c r="C2683" t="str">
        <f ca="1">IF(currency="USD",'Future et co'!D2683,IF(currency="EUR",'Future et co'!E2683,IF(currency="GBP",'Future et co'!F2683,FALSE)))</f>
        <v>RFR USD</v>
      </c>
      <c r="D2683" t="str">
        <f t="shared" ca="1" si="206"/>
        <v>RFR USD</v>
      </c>
      <c r="E2683" t="str">
        <f t="shared" ca="1" si="207"/>
        <v>RFR EUR</v>
      </c>
      <c r="F2683" t="str">
        <f t="shared" ca="1" si="208"/>
        <v>RFR GBP</v>
      </c>
      <c r="J2683" s="1"/>
      <c r="N2683" s="1"/>
      <c r="R2683" s="1"/>
      <c r="V2683" s="1"/>
      <c r="AB2683" s="1"/>
      <c r="AF2683" s="1"/>
      <c r="AJ2683" s="1"/>
      <c r="AN2683" s="1"/>
      <c r="AS2683" s="1"/>
      <c r="AX2683" s="1"/>
    </row>
    <row r="2684" spans="1:50" x14ac:dyDescent="0.3">
      <c r="A2684" s="19">
        <f t="shared" si="209"/>
        <v>49671</v>
      </c>
      <c r="B2684">
        <f t="shared" ca="1" si="205"/>
        <v>-9.7750000000000004</v>
      </c>
      <c r="C2684" t="str">
        <f ca="1">IF(currency="USD",'Future et co'!D2684,IF(currency="EUR",'Future et co'!E2684,IF(currency="GBP",'Future et co'!F2684,FALSE)))</f>
        <v>RFR USD</v>
      </c>
      <c r="D2684" t="str">
        <f t="shared" ca="1" si="206"/>
        <v>RFR USD</v>
      </c>
      <c r="E2684" t="str">
        <f t="shared" ca="1" si="207"/>
        <v>RFR EUR</v>
      </c>
      <c r="F2684" t="str">
        <f t="shared" ca="1" si="208"/>
        <v>RFR GBP</v>
      </c>
      <c r="J2684" s="1"/>
      <c r="N2684" s="1"/>
      <c r="R2684" s="1"/>
      <c r="V2684" s="1"/>
      <c r="AB2684" s="1"/>
      <c r="AF2684" s="1"/>
      <c r="AJ2684" s="1"/>
      <c r="AN2684" s="1"/>
      <c r="AS2684" s="1"/>
      <c r="AX2684" s="1"/>
    </row>
    <row r="2685" spans="1:50" x14ac:dyDescent="0.3">
      <c r="A2685" s="19">
        <f t="shared" si="209"/>
        <v>49674</v>
      </c>
      <c r="B2685">
        <f t="shared" ca="1" si="205"/>
        <v>-9.7833333333333332</v>
      </c>
      <c r="C2685" t="str">
        <f ca="1">IF(currency="USD",'Future et co'!D2685,IF(currency="EUR",'Future et co'!E2685,IF(currency="GBP",'Future et co'!F2685,FALSE)))</f>
        <v>RFR USD</v>
      </c>
      <c r="D2685" t="str">
        <f t="shared" ca="1" si="206"/>
        <v>RFR USD</v>
      </c>
      <c r="E2685" t="str">
        <f t="shared" ca="1" si="207"/>
        <v>RFR EUR</v>
      </c>
      <c r="F2685" t="str">
        <f t="shared" ca="1" si="208"/>
        <v>RFR GBP</v>
      </c>
      <c r="J2685" s="1"/>
      <c r="N2685" s="1"/>
      <c r="R2685" s="1"/>
      <c r="V2685" s="1"/>
      <c r="AB2685" s="1"/>
      <c r="AF2685" s="1"/>
      <c r="AJ2685" s="1"/>
      <c r="AN2685" s="1"/>
      <c r="AS2685" s="1"/>
      <c r="AX2685" s="1"/>
    </row>
    <row r="2686" spans="1:50" x14ac:dyDescent="0.3">
      <c r="A2686" s="19">
        <f t="shared" si="209"/>
        <v>49675</v>
      </c>
      <c r="B2686">
        <f t="shared" ca="1" si="205"/>
        <v>-9.7861111111111114</v>
      </c>
      <c r="C2686" t="str">
        <f ca="1">IF(currency="USD",'Future et co'!D2686,IF(currency="EUR",'Future et co'!E2686,IF(currency="GBP",'Future et co'!F2686,FALSE)))</f>
        <v>RFR USD</v>
      </c>
      <c r="D2686" t="str">
        <f t="shared" ca="1" si="206"/>
        <v>RFR USD</v>
      </c>
      <c r="E2686" t="str">
        <f t="shared" ca="1" si="207"/>
        <v>RFR EUR</v>
      </c>
      <c r="F2686" t="str">
        <f t="shared" ca="1" si="208"/>
        <v>RFR GBP</v>
      </c>
      <c r="J2686" s="1"/>
      <c r="N2686" s="1"/>
      <c r="R2686" s="1"/>
      <c r="V2686" s="1"/>
      <c r="AB2686" s="1"/>
      <c r="AF2686" s="1"/>
      <c r="AJ2686" s="1"/>
      <c r="AN2686" s="1"/>
      <c r="AS2686" s="1"/>
      <c r="AX2686" s="1"/>
    </row>
    <row r="2687" spans="1:50" x14ac:dyDescent="0.3">
      <c r="A2687" s="19">
        <f t="shared" si="209"/>
        <v>49676</v>
      </c>
      <c r="B2687">
        <f t="shared" ca="1" si="205"/>
        <v>-9.7888888888888896</v>
      </c>
      <c r="C2687" t="str">
        <f ca="1">IF(currency="USD",'Future et co'!D2687,IF(currency="EUR",'Future et co'!E2687,IF(currency="GBP",'Future et co'!F2687,FALSE)))</f>
        <v>RFR USD</v>
      </c>
      <c r="D2687" t="str">
        <f t="shared" ca="1" si="206"/>
        <v>RFR USD</v>
      </c>
      <c r="E2687" t="str">
        <f t="shared" ca="1" si="207"/>
        <v>RFR EUR</v>
      </c>
      <c r="F2687" t="str">
        <f t="shared" ca="1" si="208"/>
        <v>RFR GBP</v>
      </c>
      <c r="J2687" s="1"/>
      <c r="N2687" s="1"/>
      <c r="R2687" s="1"/>
      <c r="V2687" s="1"/>
      <c r="AB2687" s="1"/>
      <c r="AF2687" s="1"/>
      <c r="AJ2687" s="1"/>
      <c r="AN2687" s="1"/>
      <c r="AS2687" s="1"/>
      <c r="AX2687" s="1"/>
    </row>
    <row r="2688" spans="1:50" x14ac:dyDescent="0.3">
      <c r="A2688" s="19">
        <f t="shared" si="209"/>
        <v>49677</v>
      </c>
      <c r="B2688">
        <f t="shared" ca="1" si="205"/>
        <v>-9.7916666666666661</v>
      </c>
      <c r="C2688" t="str">
        <f ca="1">IF(currency="USD",'Future et co'!D2688,IF(currency="EUR",'Future et co'!E2688,IF(currency="GBP",'Future et co'!F2688,FALSE)))</f>
        <v>RFR USD</v>
      </c>
      <c r="D2688" t="str">
        <f t="shared" ca="1" si="206"/>
        <v>RFR USD</v>
      </c>
      <c r="E2688" t="str">
        <f t="shared" ca="1" si="207"/>
        <v>RFR EUR</v>
      </c>
      <c r="F2688" t="str">
        <f t="shared" ca="1" si="208"/>
        <v>RFR GBP</v>
      </c>
      <c r="J2688" s="1"/>
      <c r="N2688" s="1"/>
      <c r="R2688" s="1"/>
      <c r="V2688" s="1"/>
      <c r="AB2688" s="1"/>
      <c r="AF2688" s="1"/>
      <c r="AJ2688" s="1"/>
      <c r="AN2688" s="1"/>
      <c r="AS2688" s="1"/>
      <c r="AX2688" s="1"/>
    </row>
    <row r="2689" spans="1:50" x14ac:dyDescent="0.3">
      <c r="A2689" s="19">
        <f t="shared" si="209"/>
        <v>49678</v>
      </c>
      <c r="B2689">
        <f t="shared" ca="1" si="205"/>
        <v>-9.7944444444444443</v>
      </c>
      <c r="C2689" t="str">
        <f ca="1">IF(currency="USD",'Future et co'!D2689,IF(currency="EUR",'Future et co'!E2689,IF(currency="GBP",'Future et co'!F2689,FALSE)))</f>
        <v>RFR USD</v>
      </c>
      <c r="D2689" t="str">
        <f t="shared" ca="1" si="206"/>
        <v>RFR USD</v>
      </c>
      <c r="E2689" t="str">
        <f t="shared" ca="1" si="207"/>
        <v>RFR EUR</v>
      </c>
      <c r="F2689" t="str">
        <f t="shared" ca="1" si="208"/>
        <v>RFR GBP</v>
      </c>
      <c r="J2689" s="1"/>
      <c r="N2689" s="1"/>
      <c r="R2689" s="1"/>
      <c r="V2689" s="1"/>
      <c r="AB2689" s="1"/>
      <c r="AF2689" s="1"/>
      <c r="AJ2689" s="1"/>
      <c r="AN2689" s="1"/>
      <c r="AS2689" s="1"/>
      <c r="AX2689" s="1"/>
    </row>
    <row r="2690" spans="1:50" x14ac:dyDescent="0.3">
      <c r="A2690" s="19">
        <f t="shared" si="209"/>
        <v>49681</v>
      </c>
      <c r="B2690">
        <f t="shared" ca="1" si="205"/>
        <v>-9.8027777777777771</v>
      </c>
      <c r="C2690" t="str">
        <f ca="1">IF(currency="USD",'Future et co'!D2690,IF(currency="EUR",'Future et co'!E2690,IF(currency="GBP",'Future et co'!F2690,FALSE)))</f>
        <v>RFR USD</v>
      </c>
      <c r="D2690" t="str">
        <f t="shared" ca="1" si="206"/>
        <v>RFR USD</v>
      </c>
      <c r="E2690" t="str">
        <f t="shared" ca="1" si="207"/>
        <v>RFR EUR</v>
      </c>
      <c r="F2690" t="str">
        <f t="shared" ca="1" si="208"/>
        <v>RFR GBP</v>
      </c>
      <c r="J2690" s="1"/>
      <c r="N2690" s="1"/>
      <c r="R2690" s="1"/>
      <c r="V2690" s="1"/>
      <c r="AB2690" s="1"/>
      <c r="AF2690" s="1"/>
      <c r="AJ2690" s="1"/>
      <c r="AN2690" s="1"/>
      <c r="AS2690" s="1"/>
      <c r="AX2690" s="1"/>
    </row>
    <row r="2691" spans="1:50" x14ac:dyDescent="0.3">
      <c r="A2691" s="19">
        <f t="shared" si="209"/>
        <v>49682</v>
      </c>
      <c r="B2691">
        <f t="shared" ca="1" si="205"/>
        <v>-9.8055555555555554</v>
      </c>
      <c r="C2691" t="str">
        <f ca="1">IF(currency="USD",'Future et co'!D2691,IF(currency="EUR",'Future et co'!E2691,IF(currency="GBP",'Future et co'!F2691,FALSE)))</f>
        <v>RFR USD</v>
      </c>
      <c r="D2691" t="str">
        <f t="shared" ca="1" si="206"/>
        <v>RFR USD</v>
      </c>
      <c r="E2691" t="str">
        <f t="shared" ca="1" si="207"/>
        <v>RFR EUR</v>
      </c>
      <c r="F2691" t="str">
        <f t="shared" ca="1" si="208"/>
        <v>RFR GBP</v>
      </c>
      <c r="J2691" s="1"/>
      <c r="N2691" s="1"/>
      <c r="R2691" s="1"/>
      <c r="V2691" s="1"/>
      <c r="AB2691" s="1"/>
      <c r="AF2691" s="1"/>
      <c r="AJ2691" s="1"/>
      <c r="AN2691" s="1"/>
      <c r="AS2691" s="1"/>
      <c r="AX2691" s="1"/>
    </row>
    <row r="2692" spans="1:50" x14ac:dyDescent="0.3">
      <c r="A2692" s="19">
        <f t="shared" si="209"/>
        <v>49683</v>
      </c>
      <c r="B2692">
        <f t="shared" ca="1" si="205"/>
        <v>-9.8083333333333336</v>
      </c>
      <c r="C2692" t="str">
        <f ca="1">IF(currency="USD",'Future et co'!D2692,IF(currency="EUR",'Future et co'!E2692,IF(currency="GBP",'Future et co'!F2692,FALSE)))</f>
        <v>RFR USD</v>
      </c>
      <c r="D2692" t="str">
        <f t="shared" ca="1" si="206"/>
        <v>RFR USD</v>
      </c>
      <c r="E2692" t="str">
        <f t="shared" ca="1" si="207"/>
        <v>RFR EUR</v>
      </c>
      <c r="F2692" t="str">
        <f t="shared" ca="1" si="208"/>
        <v>RFR GBP</v>
      </c>
      <c r="J2692" s="1"/>
      <c r="N2692" s="1"/>
      <c r="R2692" s="1"/>
      <c r="V2692" s="1"/>
      <c r="AB2692" s="1"/>
      <c r="AF2692" s="1"/>
      <c r="AJ2692" s="1"/>
      <c r="AN2692" s="1"/>
      <c r="AS2692" s="1"/>
      <c r="AX2692" s="1"/>
    </row>
    <row r="2693" spans="1:50" x14ac:dyDescent="0.3">
      <c r="A2693" s="19">
        <f t="shared" si="209"/>
        <v>49684</v>
      </c>
      <c r="B2693">
        <f t="shared" ca="1" si="205"/>
        <v>-9.8111111111111118</v>
      </c>
      <c r="C2693" t="str">
        <f ca="1">IF(currency="USD",'Future et co'!D2693,IF(currency="EUR",'Future et co'!E2693,IF(currency="GBP",'Future et co'!F2693,FALSE)))</f>
        <v>RFR USD</v>
      </c>
      <c r="D2693" t="str">
        <f t="shared" ca="1" si="206"/>
        <v>RFR USD</v>
      </c>
      <c r="E2693" t="str">
        <f t="shared" ca="1" si="207"/>
        <v>RFR EUR</v>
      </c>
      <c r="F2693" t="str">
        <f t="shared" ca="1" si="208"/>
        <v>RFR GBP</v>
      </c>
      <c r="J2693" s="1"/>
      <c r="N2693" s="1"/>
      <c r="R2693" s="1"/>
      <c r="V2693" s="1"/>
      <c r="AB2693" s="1"/>
      <c r="AF2693" s="1"/>
      <c r="AJ2693" s="1"/>
      <c r="AN2693" s="1"/>
      <c r="AS2693" s="1"/>
      <c r="AX2693" s="1"/>
    </row>
    <row r="2694" spans="1:50" x14ac:dyDescent="0.3">
      <c r="A2694" s="19">
        <f t="shared" si="209"/>
        <v>49685</v>
      </c>
      <c r="B2694">
        <f t="shared" ca="1" si="205"/>
        <v>-9.8138888888888882</v>
      </c>
      <c r="C2694" t="str">
        <f ca="1">IF(currency="USD",'Future et co'!D2694,IF(currency="EUR",'Future et co'!E2694,IF(currency="GBP",'Future et co'!F2694,FALSE)))</f>
        <v>RFR USD</v>
      </c>
      <c r="D2694" t="str">
        <f t="shared" ca="1" si="206"/>
        <v>RFR USD</v>
      </c>
      <c r="E2694" t="str">
        <f t="shared" ca="1" si="207"/>
        <v>RFR EUR</v>
      </c>
      <c r="F2694" t="str">
        <f t="shared" ca="1" si="208"/>
        <v>RFR GBP</v>
      </c>
      <c r="J2694" s="1"/>
      <c r="N2694" s="1"/>
      <c r="R2694" s="1"/>
      <c r="V2694" s="1"/>
      <c r="AB2694" s="1"/>
      <c r="AF2694" s="1"/>
      <c r="AJ2694" s="1"/>
      <c r="AN2694" s="1"/>
      <c r="AS2694" s="1"/>
      <c r="AX2694" s="1"/>
    </row>
    <row r="2695" spans="1:50" x14ac:dyDescent="0.3">
      <c r="A2695" s="19">
        <f t="shared" si="209"/>
        <v>49688</v>
      </c>
      <c r="B2695">
        <f t="shared" ca="1" si="205"/>
        <v>-9.8222222222222229</v>
      </c>
      <c r="C2695" t="str">
        <f ca="1">IF(currency="USD",'Future et co'!D2695,IF(currency="EUR",'Future et co'!E2695,IF(currency="GBP",'Future et co'!F2695,FALSE)))</f>
        <v>RFR USD</v>
      </c>
      <c r="D2695" t="str">
        <f t="shared" ca="1" si="206"/>
        <v>RFR USD</v>
      </c>
      <c r="E2695" t="str">
        <f t="shared" ca="1" si="207"/>
        <v>RFR EUR</v>
      </c>
      <c r="F2695" t="str">
        <f t="shared" ca="1" si="208"/>
        <v>RFR GBP</v>
      </c>
      <c r="J2695" s="1"/>
      <c r="N2695" s="1"/>
      <c r="R2695" s="1"/>
      <c r="V2695" s="1"/>
      <c r="AB2695" s="1"/>
      <c r="AF2695" s="1"/>
      <c r="AJ2695" s="1"/>
      <c r="AN2695" s="1"/>
      <c r="AS2695" s="1"/>
      <c r="AX2695" s="1"/>
    </row>
    <row r="2696" spans="1:50" x14ac:dyDescent="0.3">
      <c r="A2696" s="19">
        <f t="shared" si="209"/>
        <v>49689</v>
      </c>
      <c r="B2696">
        <f t="shared" ca="1" si="205"/>
        <v>-9.8249999999999993</v>
      </c>
      <c r="C2696" t="str">
        <f ca="1">IF(currency="USD",'Future et co'!D2696,IF(currency="EUR",'Future et co'!E2696,IF(currency="GBP",'Future et co'!F2696,FALSE)))</f>
        <v>RFR USD</v>
      </c>
      <c r="D2696" t="str">
        <f t="shared" ca="1" si="206"/>
        <v>RFR USD</v>
      </c>
      <c r="E2696" t="str">
        <f t="shared" ca="1" si="207"/>
        <v>RFR EUR</v>
      </c>
      <c r="F2696" t="str">
        <f t="shared" ca="1" si="208"/>
        <v>RFR GBP</v>
      </c>
      <c r="J2696" s="1"/>
      <c r="N2696" s="1"/>
      <c r="R2696" s="1"/>
      <c r="V2696" s="1"/>
      <c r="AB2696" s="1"/>
      <c r="AF2696" s="1"/>
      <c r="AJ2696" s="1"/>
      <c r="AN2696" s="1"/>
      <c r="AS2696" s="1"/>
      <c r="AX2696" s="1"/>
    </row>
    <row r="2697" spans="1:50" x14ac:dyDescent="0.3">
      <c r="A2697" s="19">
        <f t="shared" si="209"/>
        <v>49690</v>
      </c>
      <c r="B2697">
        <f t="shared" ca="1" si="205"/>
        <v>-9.8277777777777775</v>
      </c>
      <c r="C2697" t="str">
        <f ca="1">IF(currency="USD",'Future et co'!D2697,IF(currency="EUR",'Future et co'!E2697,IF(currency="GBP",'Future et co'!F2697,FALSE)))</f>
        <v>RFR USD</v>
      </c>
      <c r="D2697" t="str">
        <f t="shared" ca="1" si="206"/>
        <v>RFR USD</v>
      </c>
      <c r="E2697" t="str">
        <f t="shared" ca="1" si="207"/>
        <v>RFR EUR</v>
      </c>
      <c r="F2697" t="str">
        <f t="shared" ca="1" si="208"/>
        <v>RFR GBP</v>
      </c>
      <c r="J2697" s="1"/>
      <c r="N2697" s="1"/>
      <c r="R2697" s="1"/>
      <c r="V2697" s="1"/>
      <c r="AB2697" s="1"/>
      <c r="AF2697" s="1"/>
      <c r="AJ2697" s="1"/>
      <c r="AN2697" s="1"/>
      <c r="AS2697" s="1"/>
      <c r="AX2697" s="1"/>
    </row>
    <row r="2698" spans="1:50" x14ac:dyDescent="0.3">
      <c r="A2698" s="19">
        <f t="shared" si="209"/>
        <v>49691</v>
      </c>
      <c r="B2698">
        <f t="shared" ca="1" si="205"/>
        <v>-9.8305555555555557</v>
      </c>
      <c r="C2698" t="str">
        <f ca="1">IF(currency="USD",'Future et co'!D2698,IF(currency="EUR",'Future et co'!E2698,IF(currency="GBP",'Future et co'!F2698,FALSE)))</f>
        <v>RFR USD</v>
      </c>
      <c r="D2698" t="str">
        <f t="shared" ca="1" si="206"/>
        <v>RFR USD</v>
      </c>
      <c r="E2698" t="str">
        <f t="shared" ca="1" si="207"/>
        <v>RFR EUR</v>
      </c>
      <c r="F2698" t="str">
        <f t="shared" ca="1" si="208"/>
        <v>RFR GBP</v>
      </c>
      <c r="J2698" s="1"/>
      <c r="N2698" s="1"/>
      <c r="R2698" s="1"/>
      <c r="V2698" s="1"/>
      <c r="AB2698" s="1"/>
      <c r="AF2698" s="1"/>
      <c r="AJ2698" s="1"/>
      <c r="AN2698" s="1"/>
      <c r="AS2698" s="1"/>
      <c r="AX2698" s="1"/>
    </row>
    <row r="2699" spans="1:50" x14ac:dyDescent="0.3">
      <c r="A2699" s="19">
        <f t="shared" si="209"/>
        <v>49692</v>
      </c>
      <c r="B2699">
        <f t="shared" ref="B2699:B2762" ca="1" si="210">($B$7-A2699)/360</f>
        <v>-9.8333333333333339</v>
      </c>
      <c r="C2699" t="str">
        <f ca="1">IF(currency="USD",'Future et co'!D2699,IF(currency="EUR",'Future et co'!E2699,IF(currency="GBP",'Future et co'!F2699,FALSE)))</f>
        <v>RFR USD</v>
      </c>
      <c r="D2699" t="str">
        <f t="shared" ref="D2699:D2762" ca="1" si="211">IFERROR(IF(B2699&lt;0.25,VLOOKUP(A2699,$J$11:$L$5325,3,FALSE),IF(AND(B2699&gt;=0.25,B2699&lt;0.5),VLOOKUP(A2699,$N$11:$P$5325,3,FALSE),IF(AND(B2699&gt;=0.5,B2699&lt;1),VLOOKUP(A2699,$R$11:$T$5325,3,FALSE),VLOOKUP(A2699,$V$11:$X$5010,3,FALSE)))),D2698)</f>
        <v>RFR USD</v>
      </c>
      <c r="E2699" t="str">
        <f t="shared" ref="E2699:E2762" ca="1" si="212">IFERROR(IF(B2699&lt;0.25,VLOOKUP(A2699,$AF$11:$AH$5325,3,FALSE),IF(AND(B2699&gt;=0.25,B2699&lt;0.5),VLOOKUP(A2699,$AJ$11:$AL$5325,3,FALSE),VLOOKUP(A2699,$AN$11:$AP$5325,3,FALSE))),E2698)</f>
        <v>RFR EUR</v>
      </c>
      <c r="F2699" t="str">
        <f t="shared" ref="F2699:F2762" ca="1" si="213">IFERROR(VLOOKUP(A2699,$AS$11:$AU$9999,3,FALSE),F2698)</f>
        <v>RFR GBP</v>
      </c>
      <c r="J2699" s="1"/>
      <c r="N2699" s="1"/>
      <c r="R2699" s="1"/>
      <c r="V2699" s="1"/>
      <c r="AB2699" s="1"/>
      <c r="AF2699" s="1"/>
      <c r="AJ2699" s="1"/>
      <c r="AN2699" s="1"/>
      <c r="AS2699" s="1"/>
      <c r="AX2699" s="1"/>
    </row>
    <row r="2700" spans="1:50" x14ac:dyDescent="0.3">
      <c r="A2700" s="19">
        <f t="shared" si="209"/>
        <v>49695</v>
      </c>
      <c r="B2700">
        <f t="shared" ca="1" si="210"/>
        <v>-9.8416666666666668</v>
      </c>
      <c r="C2700" t="str">
        <f ca="1">IF(currency="USD",'Future et co'!D2700,IF(currency="EUR",'Future et co'!E2700,IF(currency="GBP",'Future et co'!F2700,FALSE)))</f>
        <v>RFR USD</v>
      </c>
      <c r="D2700" t="str">
        <f t="shared" ca="1" si="211"/>
        <v>RFR USD</v>
      </c>
      <c r="E2700" t="str">
        <f t="shared" ca="1" si="212"/>
        <v>RFR EUR</v>
      </c>
      <c r="F2700" t="str">
        <f t="shared" ca="1" si="213"/>
        <v>RFR GBP</v>
      </c>
      <c r="J2700" s="1"/>
      <c r="N2700" s="1"/>
      <c r="R2700" s="1"/>
      <c r="V2700" s="1"/>
      <c r="AB2700" s="1"/>
      <c r="AF2700" s="1"/>
      <c r="AJ2700" s="1"/>
      <c r="AN2700" s="1"/>
      <c r="AS2700" s="1"/>
      <c r="AX2700" s="1"/>
    </row>
    <row r="2701" spans="1:50" x14ac:dyDescent="0.3">
      <c r="A2701" s="19">
        <f t="shared" ref="A2701:A2764" si="214">WORKDAY(A2700,1)</f>
        <v>49696</v>
      </c>
      <c r="B2701">
        <f t="shared" ca="1" si="210"/>
        <v>-9.844444444444445</v>
      </c>
      <c r="C2701" t="str">
        <f ca="1">IF(currency="USD",'Future et co'!D2701,IF(currency="EUR",'Future et co'!E2701,IF(currency="GBP",'Future et co'!F2701,FALSE)))</f>
        <v>RFR USD</v>
      </c>
      <c r="D2701" t="str">
        <f t="shared" ca="1" si="211"/>
        <v>RFR USD</v>
      </c>
      <c r="E2701" t="str">
        <f t="shared" ca="1" si="212"/>
        <v>RFR EUR</v>
      </c>
      <c r="F2701" t="str">
        <f t="shared" ca="1" si="213"/>
        <v>RFR GBP</v>
      </c>
      <c r="J2701" s="1"/>
      <c r="N2701" s="1"/>
      <c r="R2701" s="1"/>
      <c r="V2701" s="1"/>
      <c r="AB2701" s="1"/>
      <c r="AF2701" s="1"/>
      <c r="AJ2701" s="1"/>
      <c r="AN2701" s="1"/>
      <c r="AS2701" s="1"/>
      <c r="AX2701" s="1"/>
    </row>
    <row r="2702" spans="1:50" x14ac:dyDescent="0.3">
      <c r="A2702" s="19">
        <f t="shared" si="214"/>
        <v>49697</v>
      </c>
      <c r="B2702">
        <f t="shared" ca="1" si="210"/>
        <v>-9.8472222222222214</v>
      </c>
      <c r="C2702" t="str">
        <f ca="1">IF(currency="USD",'Future et co'!D2702,IF(currency="EUR",'Future et co'!E2702,IF(currency="GBP",'Future et co'!F2702,FALSE)))</f>
        <v>RFR USD</v>
      </c>
      <c r="D2702" t="str">
        <f t="shared" ca="1" si="211"/>
        <v>RFR USD</v>
      </c>
      <c r="E2702" t="str">
        <f t="shared" ca="1" si="212"/>
        <v>RFR EUR</v>
      </c>
      <c r="F2702" t="str">
        <f t="shared" ca="1" si="213"/>
        <v>RFR GBP</v>
      </c>
      <c r="J2702" s="1"/>
      <c r="N2702" s="1"/>
      <c r="R2702" s="1"/>
      <c r="V2702" s="1"/>
      <c r="AB2702" s="1"/>
      <c r="AF2702" s="1"/>
      <c r="AJ2702" s="1"/>
      <c r="AN2702" s="1"/>
      <c r="AS2702" s="1"/>
      <c r="AX2702" s="1"/>
    </row>
    <row r="2703" spans="1:50" x14ac:dyDescent="0.3">
      <c r="A2703" s="19">
        <f t="shared" si="214"/>
        <v>49698</v>
      </c>
      <c r="B2703">
        <f t="shared" ca="1" si="210"/>
        <v>-9.85</v>
      </c>
      <c r="C2703" t="str">
        <f ca="1">IF(currency="USD",'Future et co'!D2703,IF(currency="EUR",'Future et co'!E2703,IF(currency="GBP",'Future et co'!F2703,FALSE)))</f>
        <v>RFR USD</v>
      </c>
      <c r="D2703" t="str">
        <f t="shared" ca="1" si="211"/>
        <v>RFR USD</v>
      </c>
      <c r="E2703" t="str">
        <f t="shared" ca="1" si="212"/>
        <v>RFR EUR</v>
      </c>
      <c r="F2703" t="str">
        <f t="shared" ca="1" si="213"/>
        <v>RFR GBP</v>
      </c>
      <c r="J2703" s="1"/>
      <c r="N2703" s="1"/>
      <c r="R2703" s="1"/>
      <c r="V2703" s="1"/>
      <c r="AB2703" s="1"/>
      <c r="AF2703" s="1"/>
      <c r="AJ2703" s="1"/>
      <c r="AN2703" s="1"/>
      <c r="AS2703" s="1"/>
      <c r="AX2703" s="1"/>
    </row>
    <row r="2704" spans="1:50" x14ac:dyDescent="0.3">
      <c r="A2704" s="19">
        <f t="shared" si="214"/>
        <v>49699</v>
      </c>
      <c r="B2704">
        <f t="shared" ca="1" si="210"/>
        <v>-9.8527777777777779</v>
      </c>
      <c r="C2704" t="str">
        <f ca="1">IF(currency="USD",'Future et co'!D2704,IF(currency="EUR",'Future et co'!E2704,IF(currency="GBP",'Future et co'!F2704,FALSE)))</f>
        <v>RFR USD</v>
      </c>
      <c r="D2704" t="str">
        <f t="shared" ca="1" si="211"/>
        <v>RFR USD</v>
      </c>
      <c r="E2704" t="str">
        <f t="shared" ca="1" si="212"/>
        <v>RFR EUR</v>
      </c>
      <c r="F2704" t="str">
        <f t="shared" ca="1" si="213"/>
        <v>RFR GBP</v>
      </c>
      <c r="J2704" s="1"/>
      <c r="N2704" s="1"/>
      <c r="R2704" s="1"/>
      <c r="V2704" s="1"/>
      <c r="AB2704" s="1"/>
      <c r="AF2704" s="1"/>
      <c r="AJ2704" s="1"/>
      <c r="AN2704" s="1"/>
      <c r="AS2704" s="1"/>
      <c r="AX2704" s="1"/>
    </row>
    <row r="2705" spans="1:50" x14ac:dyDescent="0.3">
      <c r="A2705" s="19">
        <f t="shared" si="214"/>
        <v>49702</v>
      </c>
      <c r="B2705">
        <f t="shared" ca="1" si="210"/>
        <v>-9.8611111111111107</v>
      </c>
      <c r="C2705" t="str">
        <f ca="1">IF(currency="USD",'Future et co'!D2705,IF(currency="EUR",'Future et co'!E2705,IF(currency="GBP",'Future et co'!F2705,FALSE)))</f>
        <v>RFR USD</v>
      </c>
      <c r="D2705" t="str">
        <f t="shared" ca="1" si="211"/>
        <v>RFR USD</v>
      </c>
      <c r="E2705" t="str">
        <f t="shared" ca="1" si="212"/>
        <v>RFR EUR</v>
      </c>
      <c r="F2705" t="str">
        <f t="shared" ca="1" si="213"/>
        <v>RFR GBP</v>
      </c>
      <c r="J2705" s="1"/>
      <c r="N2705" s="1"/>
      <c r="R2705" s="1"/>
      <c r="V2705" s="1"/>
      <c r="AB2705" s="1"/>
      <c r="AF2705" s="1"/>
      <c r="AJ2705" s="1"/>
      <c r="AN2705" s="1"/>
      <c r="AS2705" s="1"/>
      <c r="AX2705" s="1"/>
    </row>
    <row r="2706" spans="1:50" x14ac:dyDescent="0.3">
      <c r="A2706" s="19">
        <f t="shared" si="214"/>
        <v>49703</v>
      </c>
      <c r="B2706">
        <f t="shared" ca="1" si="210"/>
        <v>-9.8638888888888889</v>
      </c>
      <c r="C2706" t="str">
        <f ca="1">IF(currency="USD",'Future et co'!D2706,IF(currency="EUR",'Future et co'!E2706,IF(currency="GBP",'Future et co'!F2706,FALSE)))</f>
        <v>RFR USD</v>
      </c>
      <c r="D2706" t="str">
        <f t="shared" ca="1" si="211"/>
        <v>RFR USD</v>
      </c>
      <c r="E2706" t="str">
        <f t="shared" ca="1" si="212"/>
        <v>RFR EUR</v>
      </c>
      <c r="F2706" t="str">
        <f t="shared" ca="1" si="213"/>
        <v>RFR GBP</v>
      </c>
      <c r="J2706" s="1"/>
      <c r="N2706" s="1"/>
      <c r="R2706" s="1"/>
      <c r="V2706" s="1"/>
      <c r="AB2706" s="1"/>
      <c r="AF2706" s="1"/>
      <c r="AJ2706" s="1"/>
      <c r="AN2706" s="1"/>
      <c r="AS2706" s="1"/>
      <c r="AX2706" s="1"/>
    </row>
    <row r="2707" spans="1:50" x14ac:dyDescent="0.3">
      <c r="A2707" s="19">
        <f t="shared" si="214"/>
        <v>49704</v>
      </c>
      <c r="B2707">
        <f t="shared" ca="1" si="210"/>
        <v>-9.8666666666666671</v>
      </c>
      <c r="C2707" t="str">
        <f ca="1">IF(currency="USD",'Future et co'!D2707,IF(currency="EUR",'Future et co'!E2707,IF(currency="GBP",'Future et co'!F2707,FALSE)))</f>
        <v>RFR USD</v>
      </c>
      <c r="D2707" t="str">
        <f t="shared" ca="1" si="211"/>
        <v>RFR USD</v>
      </c>
      <c r="E2707" t="str">
        <f t="shared" ca="1" si="212"/>
        <v>RFR EUR</v>
      </c>
      <c r="F2707" t="str">
        <f t="shared" ca="1" si="213"/>
        <v>RFR GBP</v>
      </c>
      <c r="J2707" s="1"/>
      <c r="N2707" s="1"/>
      <c r="R2707" s="1"/>
      <c r="V2707" s="1"/>
      <c r="AB2707" s="1"/>
      <c r="AF2707" s="1"/>
      <c r="AJ2707" s="1"/>
      <c r="AN2707" s="1"/>
      <c r="AS2707" s="1"/>
      <c r="AX2707" s="1"/>
    </row>
    <row r="2708" spans="1:50" x14ac:dyDescent="0.3">
      <c r="A2708" s="19">
        <f t="shared" si="214"/>
        <v>49705</v>
      </c>
      <c r="B2708">
        <f t="shared" ca="1" si="210"/>
        <v>-9.8694444444444436</v>
      </c>
      <c r="C2708" t="str">
        <f ca="1">IF(currency="USD",'Future et co'!D2708,IF(currency="EUR",'Future et co'!E2708,IF(currency="GBP",'Future et co'!F2708,FALSE)))</f>
        <v>RFR USD</v>
      </c>
      <c r="D2708" t="str">
        <f t="shared" ca="1" si="211"/>
        <v>RFR USD</v>
      </c>
      <c r="E2708" t="str">
        <f t="shared" ca="1" si="212"/>
        <v>RFR EUR</v>
      </c>
      <c r="F2708" t="str">
        <f t="shared" ca="1" si="213"/>
        <v>RFR GBP</v>
      </c>
      <c r="J2708" s="1"/>
      <c r="N2708" s="1"/>
      <c r="R2708" s="1"/>
      <c r="V2708" s="1"/>
      <c r="AB2708" s="1"/>
      <c r="AF2708" s="1"/>
      <c r="AJ2708" s="1"/>
      <c r="AN2708" s="1"/>
      <c r="AS2708" s="1"/>
      <c r="AX2708" s="1"/>
    </row>
    <row r="2709" spans="1:50" x14ac:dyDescent="0.3">
      <c r="A2709" s="19">
        <f t="shared" si="214"/>
        <v>49706</v>
      </c>
      <c r="B2709">
        <f t="shared" ca="1" si="210"/>
        <v>-9.8722222222222218</v>
      </c>
      <c r="C2709" t="str">
        <f ca="1">IF(currency="USD",'Future et co'!D2709,IF(currency="EUR",'Future et co'!E2709,IF(currency="GBP",'Future et co'!F2709,FALSE)))</f>
        <v>RFR USD</v>
      </c>
      <c r="D2709" t="str">
        <f t="shared" ca="1" si="211"/>
        <v>RFR USD</v>
      </c>
      <c r="E2709" t="str">
        <f t="shared" ca="1" si="212"/>
        <v>RFR EUR</v>
      </c>
      <c r="F2709" t="str">
        <f t="shared" ca="1" si="213"/>
        <v>RFR GBP</v>
      </c>
      <c r="J2709" s="1"/>
      <c r="N2709" s="1"/>
      <c r="R2709" s="1"/>
      <c r="V2709" s="1"/>
      <c r="AB2709" s="1"/>
      <c r="AF2709" s="1"/>
      <c r="AJ2709" s="1"/>
      <c r="AN2709" s="1"/>
      <c r="AS2709" s="1"/>
      <c r="AX2709" s="1"/>
    </row>
    <row r="2710" spans="1:50" x14ac:dyDescent="0.3">
      <c r="A2710" s="19">
        <f t="shared" si="214"/>
        <v>49709</v>
      </c>
      <c r="B2710">
        <f t="shared" ca="1" si="210"/>
        <v>-9.8805555555555564</v>
      </c>
      <c r="C2710" t="str">
        <f ca="1">IF(currency="USD",'Future et co'!D2710,IF(currency="EUR",'Future et co'!E2710,IF(currency="GBP",'Future et co'!F2710,FALSE)))</f>
        <v>RFR USD</v>
      </c>
      <c r="D2710" t="str">
        <f t="shared" ca="1" si="211"/>
        <v>RFR USD</v>
      </c>
      <c r="E2710" t="str">
        <f t="shared" ca="1" si="212"/>
        <v>RFR EUR</v>
      </c>
      <c r="F2710" t="str">
        <f t="shared" ca="1" si="213"/>
        <v>RFR GBP</v>
      </c>
      <c r="J2710" s="1"/>
      <c r="N2710" s="1"/>
      <c r="R2710" s="1"/>
      <c r="V2710" s="1"/>
      <c r="AB2710" s="1"/>
      <c r="AF2710" s="1"/>
      <c r="AJ2710" s="1"/>
      <c r="AN2710" s="1"/>
      <c r="AS2710" s="1"/>
      <c r="AX2710" s="1"/>
    </row>
    <row r="2711" spans="1:50" x14ac:dyDescent="0.3">
      <c r="A2711" s="19">
        <f t="shared" si="214"/>
        <v>49710</v>
      </c>
      <c r="B2711">
        <f t="shared" ca="1" si="210"/>
        <v>-9.8833333333333329</v>
      </c>
      <c r="C2711" t="str">
        <f ca="1">IF(currency="USD",'Future et co'!D2711,IF(currency="EUR",'Future et co'!E2711,IF(currency="GBP",'Future et co'!F2711,FALSE)))</f>
        <v>RFR USD</v>
      </c>
      <c r="D2711" t="str">
        <f t="shared" ca="1" si="211"/>
        <v>RFR USD</v>
      </c>
      <c r="E2711" t="str">
        <f t="shared" ca="1" si="212"/>
        <v>RFR EUR</v>
      </c>
      <c r="F2711" t="str">
        <f t="shared" ca="1" si="213"/>
        <v>RFR GBP</v>
      </c>
      <c r="J2711" s="1"/>
      <c r="N2711" s="1"/>
      <c r="R2711" s="1"/>
      <c r="V2711" s="1"/>
      <c r="AB2711" s="1"/>
      <c r="AF2711" s="1"/>
      <c r="AJ2711" s="1"/>
      <c r="AN2711" s="1"/>
      <c r="AS2711" s="1"/>
      <c r="AX2711" s="1"/>
    </row>
    <row r="2712" spans="1:50" x14ac:dyDescent="0.3">
      <c r="A2712" s="19">
        <f t="shared" si="214"/>
        <v>49711</v>
      </c>
      <c r="B2712">
        <f t="shared" ca="1" si="210"/>
        <v>-9.8861111111111111</v>
      </c>
      <c r="C2712" t="str">
        <f ca="1">IF(currency="USD",'Future et co'!D2712,IF(currency="EUR",'Future et co'!E2712,IF(currency="GBP",'Future et co'!F2712,FALSE)))</f>
        <v>RFR USD</v>
      </c>
      <c r="D2712" t="str">
        <f t="shared" ca="1" si="211"/>
        <v>RFR USD</v>
      </c>
      <c r="E2712" t="str">
        <f t="shared" ca="1" si="212"/>
        <v>RFR EUR</v>
      </c>
      <c r="F2712" t="str">
        <f t="shared" ca="1" si="213"/>
        <v>RFR GBP</v>
      </c>
      <c r="J2712" s="1"/>
      <c r="N2712" s="1"/>
      <c r="R2712" s="1"/>
      <c r="V2712" s="1"/>
      <c r="AB2712" s="1"/>
      <c r="AF2712" s="1"/>
      <c r="AJ2712" s="1"/>
      <c r="AN2712" s="1"/>
      <c r="AS2712" s="1"/>
      <c r="AX2712" s="1"/>
    </row>
    <row r="2713" spans="1:50" x14ac:dyDescent="0.3">
      <c r="A2713" s="19">
        <f t="shared" si="214"/>
        <v>49712</v>
      </c>
      <c r="B2713">
        <f t="shared" ca="1" si="210"/>
        <v>-9.8888888888888893</v>
      </c>
      <c r="C2713" t="str">
        <f ca="1">IF(currency="USD",'Future et co'!D2713,IF(currency="EUR",'Future et co'!E2713,IF(currency="GBP",'Future et co'!F2713,FALSE)))</f>
        <v>RFR USD</v>
      </c>
      <c r="D2713" t="str">
        <f t="shared" ca="1" si="211"/>
        <v>RFR USD</v>
      </c>
      <c r="E2713" t="str">
        <f t="shared" ca="1" si="212"/>
        <v>RFR EUR</v>
      </c>
      <c r="F2713" t="str">
        <f t="shared" ca="1" si="213"/>
        <v>RFR GBP</v>
      </c>
      <c r="J2713" s="1"/>
      <c r="N2713" s="1"/>
      <c r="R2713" s="1"/>
      <c r="V2713" s="1"/>
      <c r="AB2713" s="1"/>
      <c r="AF2713" s="1"/>
      <c r="AJ2713" s="1"/>
      <c r="AN2713" s="1"/>
      <c r="AS2713" s="1"/>
      <c r="AX2713" s="1"/>
    </row>
    <row r="2714" spans="1:50" x14ac:dyDescent="0.3">
      <c r="A2714" s="19">
        <f t="shared" si="214"/>
        <v>49713</v>
      </c>
      <c r="B2714">
        <f t="shared" ca="1" si="210"/>
        <v>-9.8916666666666675</v>
      </c>
      <c r="C2714" t="str">
        <f ca="1">IF(currency="USD",'Future et co'!D2714,IF(currency="EUR",'Future et co'!E2714,IF(currency="GBP",'Future et co'!F2714,FALSE)))</f>
        <v>RFR USD</v>
      </c>
      <c r="D2714" t="str">
        <f t="shared" ca="1" si="211"/>
        <v>RFR USD</v>
      </c>
      <c r="E2714" t="str">
        <f t="shared" ca="1" si="212"/>
        <v>RFR EUR</v>
      </c>
      <c r="F2714" t="str">
        <f t="shared" ca="1" si="213"/>
        <v>RFR GBP</v>
      </c>
      <c r="J2714" s="1"/>
      <c r="N2714" s="1"/>
      <c r="R2714" s="1"/>
      <c r="V2714" s="1"/>
      <c r="AB2714" s="1"/>
      <c r="AF2714" s="1"/>
      <c r="AJ2714" s="1"/>
      <c r="AN2714" s="1"/>
      <c r="AS2714" s="1"/>
      <c r="AX2714" s="1"/>
    </row>
    <row r="2715" spans="1:50" x14ac:dyDescent="0.3">
      <c r="A2715" s="19">
        <f t="shared" si="214"/>
        <v>49716</v>
      </c>
      <c r="B2715">
        <f t="shared" ca="1" si="210"/>
        <v>-9.9</v>
      </c>
      <c r="C2715" t="str">
        <f ca="1">IF(currency="USD",'Future et co'!D2715,IF(currency="EUR",'Future et co'!E2715,IF(currency="GBP",'Future et co'!F2715,FALSE)))</f>
        <v>RFR USD</v>
      </c>
      <c r="D2715" t="str">
        <f t="shared" ca="1" si="211"/>
        <v>RFR USD</v>
      </c>
      <c r="E2715" t="str">
        <f t="shared" ca="1" si="212"/>
        <v>RFR EUR</v>
      </c>
      <c r="F2715" t="str">
        <f t="shared" ca="1" si="213"/>
        <v>RFR GBP</v>
      </c>
      <c r="J2715" s="1"/>
      <c r="N2715" s="1"/>
      <c r="R2715" s="1"/>
      <c r="V2715" s="1"/>
      <c r="AB2715" s="1"/>
      <c r="AF2715" s="1"/>
      <c r="AJ2715" s="1"/>
      <c r="AN2715" s="1"/>
      <c r="AS2715" s="1"/>
      <c r="AX2715" s="1"/>
    </row>
    <row r="2716" spans="1:50" x14ac:dyDescent="0.3">
      <c r="A2716" s="19">
        <f t="shared" si="214"/>
        <v>49717</v>
      </c>
      <c r="B2716">
        <f t="shared" ca="1" si="210"/>
        <v>-9.9027777777777786</v>
      </c>
      <c r="C2716" t="str">
        <f ca="1">IF(currency="USD",'Future et co'!D2716,IF(currency="EUR",'Future et co'!E2716,IF(currency="GBP",'Future et co'!F2716,FALSE)))</f>
        <v>RFR USD</v>
      </c>
      <c r="D2716" t="str">
        <f t="shared" ca="1" si="211"/>
        <v>RFR USD</v>
      </c>
      <c r="E2716" t="str">
        <f t="shared" ca="1" si="212"/>
        <v>RFR EUR</v>
      </c>
      <c r="F2716" t="str">
        <f t="shared" ca="1" si="213"/>
        <v>RFR GBP</v>
      </c>
      <c r="J2716" s="1"/>
      <c r="N2716" s="1"/>
      <c r="R2716" s="1"/>
      <c r="V2716" s="1"/>
      <c r="AB2716" s="1"/>
      <c r="AF2716" s="1"/>
      <c r="AJ2716" s="1"/>
      <c r="AN2716" s="1"/>
      <c r="AS2716" s="1"/>
      <c r="AX2716" s="1"/>
    </row>
    <row r="2717" spans="1:50" x14ac:dyDescent="0.3">
      <c r="A2717" s="19">
        <f t="shared" si="214"/>
        <v>49718</v>
      </c>
      <c r="B2717">
        <f t="shared" ca="1" si="210"/>
        <v>-9.905555555555555</v>
      </c>
      <c r="C2717" t="str">
        <f ca="1">IF(currency="USD",'Future et co'!D2717,IF(currency="EUR",'Future et co'!E2717,IF(currency="GBP",'Future et co'!F2717,FALSE)))</f>
        <v>RFR USD</v>
      </c>
      <c r="D2717" t="str">
        <f t="shared" ca="1" si="211"/>
        <v>RFR USD</v>
      </c>
      <c r="E2717" t="str">
        <f t="shared" ca="1" si="212"/>
        <v>RFR EUR</v>
      </c>
      <c r="F2717" t="str">
        <f t="shared" ca="1" si="213"/>
        <v>RFR GBP</v>
      </c>
      <c r="J2717" s="1"/>
      <c r="N2717" s="1"/>
      <c r="R2717" s="1"/>
      <c r="V2717" s="1"/>
      <c r="AB2717" s="1"/>
      <c r="AF2717" s="1"/>
      <c r="AJ2717" s="1"/>
      <c r="AN2717" s="1"/>
      <c r="AS2717" s="1"/>
      <c r="AX2717" s="1"/>
    </row>
    <row r="2718" spans="1:50" x14ac:dyDescent="0.3">
      <c r="A2718" s="19">
        <f t="shared" si="214"/>
        <v>49719</v>
      </c>
      <c r="B2718">
        <f t="shared" ca="1" si="210"/>
        <v>-9.9083333333333332</v>
      </c>
      <c r="C2718" t="str">
        <f ca="1">IF(currency="USD",'Future et co'!D2718,IF(currency="EUR",'Future et co'!E2718,IF(currency="GBP",'Future et co'!F2718,FALSE)))</f>
        <v>RFR USD</v>
      </c>
      <c r="D2718" t="str">
        <f t="shared" ca="1" si="211"/>
        <v>RFR USD</v>
      </c>
      <c r="E2718" t="str">
        <f t="shared" ca="1" si="212"/>
        <v>RFR EUR</v>
      </c>
      <c r="F2718" t="str">
        <f t="shared" ca="1" si="213"/>
        <v>RFR GBP</v>
      </c>
      <c r="J2718" s="1"/>
      <c r="N2718" s="1"/>
      <c r="R2718" s="1"/>
      <c r="V2718" s="1"/>
      <c r="AB2718" s="1"/>
      <c r="AF2718" s="1"/>
      <c r="AJ2718" s="1"/>
      <c r="AN2718" s="1"/>
      <c r="AS2718" s="1"/>
      <c r="AX2718" s="1"/>
    </row>
    <row r="2719" spans="1:50" x14ac:dyDescent="0.3">
      <c r="A2719" s="19">
        <f t="shared" si="214"/>
        <v>49720</v>
      </c>
      <c r="B2719">
        <f t="shared" ca="1" si="210"/>
        <v>-9.9111111111111114</v>
      </c>
      <c r="C2719" t="str">
        <f ca="1">IF(currency="USD",'Future et co'!D2719,IF(currency="EUR",'Future et co'!E2719,IF(currency="GBP",'Future et co'!F2719,FALSE)))</f>
        <v>RFR USD</v>
      </c>
      <c r="D2719" t="str">
        <f t="shared" ca="1" si="211"/>
        <v>RFR USD</v>
      </c>
      <c r="E2719" t="str">
        <f t="shared" ca="1" si="212"/>
        <v>RFR EUR</v>
      </c>
      <c r="F2719" t="str">
        <f t="shared" ca="1" si="213"/>
        <v>RFR GBP</v>
      </c>
      <c r="J2719" s="1"/>
      <c r="N2719" s="1"/>
      <c r="R2719" s="1"/>
      <c r="V2719" s="1"/>
      <c r="AB2719" s="1"/>
      <c r="AF2719" s="1"/>
      <c r="AJ2719" s="1"/>
      <c r="AN2719" s="1"/>
      <c r="AS2719" s="1"/>
      <c r="AX2719" s="1"/>
    </row>
    <row r="2720" spans="1:50" x14ac:dyDescent="0.3">
      <c r="A2720" s="19">
        <f t="shared" si="214"/>
        <v>49723</v>
      </c>
      <c r="B2720">
        <f t="shared" ca="1" si="210"/>
        <v>-9.9194444444444443</v>
      </c>
      <c r="C2720" t="str">
        <f ca="1">IF(currency="USD",'Future et co'!D2720,IF(currency="EUR",'Future et co'!E2720,IF(currency="GBP",'Future et co'!F2720,FALSE)))</f>
        <v>RFR USD</v>
      </c>
      <c r="D2720" t="str">
        <f t="shared" ca="1" si="211"/>
        <v>RFR USD</v>
      </c>
      <c r="E2720" t="str">
        <f t="shared" ca="1" si="212"/>
        <v>RFR EUR</v>
      </c>
      <c r="F2720" t="str">
        <f t="shared" ca="1" si="213"/>
        <v>RFR GBP</v>
      </c>
      <c r="J2720" s="1"/>
      <c r="N2720" s="1"/>
      <c r="R2720" s="1"/>
      <c r="V2720" s="1"/>
      <c r="AB2720" s="1"/>
      <c r="AF2720" s="1"/>
      <c r="AJ2720" s="1"/>
      <c r="AN2720" s="1"/>
      <c r="AS2720" s="1"/>
      <c r="AX2720" s="1"/>
    </row>
    <row r="2721" spans="1:50" x14ac:dyDescent="0.3">
      <c r="A2721" s="19">
        <f t="shared" si="214"/>
        <v>49724</v>
      </c>
      <c r="B2721">
        <f t="shared" ca="1" si="210"/>
        <v>-9.9222222222222225</v>
      </c>
      <c r="C2721" t="str">
        <f ca="1">IF(currency="USD",'Future et co'!D2721,IF(currency="EUR",'Future et co'!E2721,IF(currency="GBP",'Future et co'!F2721,FALSE)))</f>
        <v>RFR USD</v>
      </c>
      <c r="D2721" t="str">
        <f t="shared" ca="1" si="211"/>
        <v>RFR USD</v>
      </c>
      <c r="E2721" t="str">
        <f t="shared" ca="1" si="212"/>
        <v>RFR EUR</v>
      </c>
      <c r="F2721" t="str">
        <f t="shared" ca="1" si="213"/>
        <v>RFR GBP</v>
      </c>
      <c r="J2721" s="1"/>
      <c r="N2721" s="1"/>
      <c r="R2721" s="1"/>
      <c r="V2721" s="1"/>
      <c r="AB2721" s="1"/>
      <c r="AF2721" s="1"/>
      <c r="AJ2721" s="1"/>
      <c r="AN2721" s="1"/>
      <c r="AS2721" s="1"/>
      <c r="AX2721" s="1"/>
    </row>
    <row r="2722" spans="1:50" x14ac:dyDescent="0.3">
      <c r="A2722" s="19">
        <f t="shared" si="214"/>
        <v>49725</v>
      </c>
      <c r="B2722">
        <f t="shared" ca="1" si="210"/>
        <v>-9.9250000000000007</v>
      </c>
      <c r="C2722" t="str">
        <f ca="1">IF(currency="USD",'Future et co'!D2722,IF(currency="EUR",'Future et co'!E2722,IF(currency="GBP",'Future et co'!F2722,FALSE)))</f>
        <v>RFR USD</v>
      </c>
      <c r="D2722" t="str">
        <f t="shared" ca="1" si="211"/>
        <v>RFR USD</v>
      </c>
      <c r="E2722" t="str">
        <f t="shared" ca="1" si="212"/>
        <v>RFR EUR</v>
      </c>
      <c r="F2722" t="str">
        <f t="shared" ca="1" si="213"/>
        <v>RFR GBP</v>
      </c>
      <c r="J2722" s="1"/>
      <c r="N2722" s="1"/>
      <c r="R2722" s="1"/>
      <c r="V2722" s="1"/>
      <c r="AB2722" s="1"/>
      <c r="AF2722" s="1"/>
      <c r="AJ2722" s="1"/>
      <c r="AN2722" s="1"/>
      <c r="AS2722" s="1"/>
      <c r="AX2722" s="1"/>
    </row>
    <row r="2723" spans="1:50" x14ac:dyDescent="0.3">
      <c r="A2723" s="19">
        <f t="shared" si="214"/>
        <v>49726</v>
      </c>
      <c r="B2723">
        <f t="shared" ca="1" si="210"/>
        <v>-9.9277777777777771</v>
      </c>
      <c r="C2723" t="str">
        <f ca="1">IF(currency="USD",'Future et co'!D2723,IF(currency="EUR",'Future et co'!E2723,IF(currency="GBP",'Future et co'!F2723,FALSE)))</f>
        <v>RFR USD</v>
      </c>
      <c r="D2723" t="str">
        <f t="shared" ca="1" si="211"/>
        <v>RFR USD</v>
      </c>
      <c r="E2723" t="str">
        <f t="shared" ca="1" si="212"/>
        <v>RFR EUR</v>
      </c>
      <c r="F2723" t="str">
        <f t="shared" ca="1" si="213"/>
        <v>RFR GBP</v>
      </c>
      <c r="J2723" s="1"/>
      <c r="N2723" s="1"/>
      <c r="R2723" s="1"/>
      <c r="V2723" s="1"/>
      <c r="AB2723" s="1"/>
      <c r="AF2723" s="1"/>
      <c r="AJ2723" s="1"/>
      <c r="AN2723" s="1"/>
      <c r="AS2723" s="1"/>
      <c r="AX2723" s="1"/>
    </row>
    <row r="2724" spans="1:50" x14ac:dyDescent="0.3">
      <c r="A2724" s="19">
        <f t="shared" si="214"/>
        <v>49727</v>
      </c>
      <c r="B2724">
        <f t="shared" ca="1" si="210"/>
        <v>-9.9305555555555554</v>
      </c>
      <c r="C2724" t="str">
        <f ca="1">IF(currency="USD",'Future et co'!D2724,IF(currency="EUR",'Future et co'!E2724,IF(currency="GBP",'Future et co'!F2724,FALSE)))</f>
        <v>RFR USD</v>
      </c>
      <c r="D2724" t="str">
        <f t="shared" ca="1" si="211"/>
        <v>RFR USD</v>
      </c>
      <c r="E2724" t="str">
        <f t="shared" ca="1" si="212"/>
        <v>RFR EUR</v>
      </c>
      <c r="F2724" t="str">
        <f t="shared" ca="1" si="213"/>
        <v>RFR GBP</v>
      </c>
      <c r="J2724" s="1"/>
      <c r="N2724" s="1"/>
      <c r="R2724" s="1"/>
      <c r="V2724" s="1"/>
      <c r="AB2724" s="1"/>
      <c r="AF2724" s="1"/>
      <c r="AJ2724" s="1"/>
      <c r="AN2724" s="1"/>
      <c r="AS2724" s="1"/>
      <c r="AX2724" s="1"/>
    </row>
    <row r="2725" spans="1:50" x14ac:dyDescent="0.3">
      <c r="A2725" s="19">
        <f t="shared" si="214"/>
        <v>49730</v>
      </c>
      <c r="B2725">
        <f t="shared" ca="1" si="210"/>
        <v>-9.9388888888888882</v>
      </c>
      <c r="C2725" t="str">
        <f ca="1">IF(currency="USD",'Future et co'!D2725,IF(currency="EUR",'Future et co'!E2725,IF(currency="GBP",'Future et co'!F2725,FALSE)))</f>
        <v>RFR USD</v>
      </c>
      <c r="D2725" t="str">
        <f t="shared" ca="1" si="211"/>
        <v>RFR USD</v>
      </c>
      <c r="E2725" t="str">
        <f t="shared" ca="1" si="212"/>
        <v>RFR EUR</v>
      </c>
      <c r="F2725" t="str">
        <f t="shared" ca="1" si="213"/>
        <v>RFR GBP</v>
      </c>
      <c r="J2725" s="1"/>
      <c r="N2725" s="1"/>
      <c r="R2725" s="1"/>
      <c r="V2725" s="1"/>
      <c r="AB2725" s="1"/>
      <c r="AF2725" s="1"/>
      <c r="AJ2725" s="1"/>
      <c r="AN2725" s="1"/>
      <c r="AS2725" s="1"/>
      <c r="AX2725" s="1"/>
    </row>
    <row r="2726" spans="1:50" x14ac:dyDescent="0.3">
      <c r="A2726" s="19">
        <f t="shared" si="214"/>
        <v>49731</v>
      </c>
      <c r="B2726">
        <f t="shared" ca="1" si="210"/>
        <v>-9.9416666666666664</v>
      </c>
      <c r="C2726" t="str">
        <f ca="1">IF(currency="USD",'Future et co'!D2726,IF(currency="EUR",'Future et co'!E2726,IF(currency="GBP",'Future et co'!F2726,FALSE)))</f>
        <v>RFR USD</v>
      </c>
      <c r="D2726" t="str">
        <f t="shared" ca="1" si="211"/>
        <v>RFR USD</v>
      </c>
      <c r="E2726" t="str">
        <f t="shared" ca="1" si="212"/>
        <v>RFR EUR</v>
      </c>
      <c r="F2726" t="str">
        <f t="shared" ca="1" si="213"/>
        <v>RFR GBP</v>
      </c>
      <c r="J2726" s="1"/>
      <c r="N2726" s="1"/>
      <c r="R2726" s="1"/>
      <c r="V2726" s="1"/>
      <c r="AB2726" s="1"/>
      <c r="AF2726" s="1"/>
      <c r="AJ2726" s="1"/>
      <c r="AN2726" s="1"/>
      <c r="AS2726" s="1"/>
      <c r="AX2726" s="1"/>
    </row>
    <row r="2727" spans="1:50" x14ac:dyDescent="0.3">
      <c r="A2727" s="19">
        <f t="shared" si="214"/>
        <v>49732</v>
      </c>
      <c r="B2727">
        <f t="shared" ca="1" si="210"/>
        <v>-9.9444444444444446</v>
      </c>
      <c r="C2727" t="str">
        <f ca="1">IF(currency="USD",'Future et co'!D2727,IF(currency="EUR",'Future et co'!E2727,IF(currency="GBP",'Future et co'!F2727,FALSE)))</f>
        <v>RFR USD</v>
      </c>
      <c r="D2727" t="str">
        <f t="shared" ca="1" si="211"/>
        <v>RFR USD</v>
      </c>
      <c r="E2727" t="str">
        <f t="shared" ca="1" si="212"/>
        <v>RFR EUR</v>
      </c>
      <c r="F2727" t="str">
        <f t="shared" ca="1" si="213"/>
        <v>RFR GBP</v>
      </c>
      <c r="J2727" s="1"/>
      <c r="N2727" s="1"/>
      <c r="R2727" s="1"/>
      <c r="V2727" s="1"/>
      <c r="AB2727" s="1"/>
      <c r="AF2727" s="1"/>
      <c r="AJ2727" s="1"/>
      <c r="AN2727" s="1"/>
      <c r="AS2727" s="1"/>
      <c r="AX2727" s="1"/>
    </row>
    <row r="2728" spans="1:50" x14ac:dyDescent="0.3">
      <c r="A2728" s="19">
        <f t="shared" si="214"/>
        <v>49733</v>
      </c>
      <c r="B2728">
        <f t="shared" ca="1" si="210"/>
        <v>-9.9472222222222229</v>
      </c>
      <c r="C2728" t="str">
        <f ca="1">IF(currency="USD",'Future et co'!D2728,IF(currency="EUR",'Future et co'!E2728,IF(currency="GBP",'Future et co'!F2728,FALSE)))</f>
        <v>RFR USD</v>
      </c>
      <c r="D2728" t="str">
        <f t="shared" ca="1" si="211"/>
        <v>RFR USD</v>
      </c>
      <c r="E2728" t="str">
        <f t="shared" ca="1" si="212"/>
        <v>RFR EUR</v>
      </c>
      <c r="F2728" t="str">
        <f t="shared" ca="1" si="213"/>
        <v>RFR GBP</v>
      </c>
      <c r="J2728" s="1"/>
      <c r="N2728" s="1"/>
      <c r="R2728" s="1"/>
      <c r="V2728" s="1"/>
      <c r="AB2728" s="1"/>
      <c r="AF2728" s="1"/>
      <c r="AJ2728" s="1"/>
      <c r="AN2728" s="1"/>
      <c r="AS2728" s="1"/>
      <c r="AX2728" s="1"/>
    </row>
    <row r="2729" spans="1:50" x14ac:dyDescent="0.3">
      <c r="A2729" s="19">
        <f t="shared" si="214"/>
        <v>49734</v>
      </c>
      <c r="B2729">
        <f t="shared" ca="1" si="210"/>
        <v>-9.9499999999999993</v>
      </c>
      <c r="C2729" t="str">
        <f ca="1">IF(currency="USD",'Future et co'!D2729,IF(currency="EUR",'Future et co'!E2729,IF(currency="GBP",'Future et co'!F2729,FALSE)))</f>
        <v>RFR USD</v>
      </c>
      <c r="D2729" t="str">
        <f t="shared" ca="1" si="211"/>
        <v>RFR USD</v>
      </c>
      <c r="E2729" t="str">
        <f t="shared" ca="1" si="212"/>
        <v>RFR EUR</v>
      </c>
      <c r="F2729" t="str">
        <f t="shared" ca="1" si="213"/>
        <v>RFR GBP</v>
      </c>
      <c r="J2729" s="1"/>
      <c r="N2729" s="1"/>
      <c r="R2729" s="1"/>
      <c r="V2729" s="1"/>
      <c r="AB2729" s="1"/>
      <c r="AF2729" s="1"/>
      <c r="AJ2729" s="1"/>
      <c r="AN2729" s="1"/>
      <c r="AS2729" s="1"/>
      <c r="AX2729" s="1"/>
    </row>
    <row r="2730" spans="1:50" x14ac:dyDescent="0.3">
      <c r="A2730" s="19">
        <f t="shared" si="214"/>
        <v>49737</v>
      </c>
      <c r="B2730">
        <f t="shared" ca="1" si="210"/>
        <v>-9.9583333333333339</v>
      </c>
      <c r="C2730" t="str">
        <f ca="1">IF(currency="USD",'Future et co'!D2730,IF(currency="EUR",'Future et co'!E2730,IF(currency="GBP",'Future et co'!F2730,FALSE)))</f>
        <v>RFR USD</v>
      </c>
      <c r="D2730" t="str">
        <f t="shared" ca="1" si="211"/>
        <v>RFR USD</v>
      </c>
      <c r="E2730" t="str">
        <f t="shared" ca="1" si="212"/>
        <v>RFR EUR</v>
      </c>
      <c r="F2730" t="str">
        <f t="shared" ca="1" si="213"/>
        <v>RFR GBP</v>
      </c>
      <c r="J2730" s="1"/>
      <c r="N2730" s="1"/>
      <c r="R2730" s="1"/>
      <c r="V2730" s="1"/>
      <c r="AB2730" s="1"/>
      <c r="AF2730" s="1"/>
      <c r="AJ2730" s="1"/>
      <c r="AN2730" s="1"/>
      <c r="AS2730" s="1"/>
      <c r="AX2730" s="1"/>
    </row>
    <row r="2731" spans="1:50" x14ac:dyDescent="0.3">
      <c r="A2731" s="19">
        <f t="shared" si="214"/>
        <v>49738</v>
      </c>
      <c r="B2731">
        <f t="shared" ca="1" si="210"/>
        <v>-9.9611111111111104</v>
      </c>
      <c r="C2731" t="str">
        <f ca="1">IF(currency="USD",'Future et co'!D2731,IF(currency="EUR",'Future et co'!E2731,IF(currency="GBP",'Future et co'!F2731,FALSE)))</f>
        <v>RFR USD</v>
      </c>
      <c r="D2731" t="str">
        <f t="shared" ca="1" si="211"/>
        <v>RFR USD</v>
      </c>
      <c r="E2731" t="str">
        <f t="shared" ca="1" si="212"/>
        <v>RFR EUR</v>
      </c>
      <c r="F2731" t="str">
        <f t="shared" ca="1" si="213"/>
        <v>RFR GBP</v>
      </c>
      <c r="J2731" s="1"/>
      <c r="N2731" s="1"/>
      <c r="R2731" s="1"/>
      <c r="V2731" s="1"/>
      <c r="AB2731" s="1"/>
      <c r="AF2731" s="1"/>
      <c r="AJ2731" s="1"/>
      <c r="AN2731" s="1"/>
      <c r="AS2731" s="1"/>
      <c r="AX2731" s="1"/>
    </row>
    <row r="2732" spans="1:50" x14ac:dyDescent="0.3">
      <c r="A2732" s="19">
        <f t="shared" si="214"/>
        <v>49739</v>
      </c>
      <c r="B2732">
        <f t="shared" ca="1" si="210"/>
        <v>-9.9638888888888886</v>
      </c>
      <c r="C2732" t="str">
        <f ca="1">IF(currency="USD",'Future et co'!D2732,IF(currency="EUR",'Future et co'!E2732,IF(currency="GBP",'Future et co'!F2732,FALSE)))</f>
        <v>RFR USD</v>
      </c>
      <c r="D2732" t="str">
        <f t="shared" ca="1" si="211"/>
        <v>RFR USD</v>
      </c>
      <c r="E2732" t="str">
        <f t="shared" ca="1" si="212"/>
        <v>RFR EUR</v>
      </c>
      <c r="F2732" t="str">
        <f t="shared" ca="1" si="213"/>
        <v>RFR GBP</v>
      </c>
      <c r="J2732" s="1"/>
      <c r="N2732" s="1"/>
      <c r="R2732" s="1"/>
      <c r="V2732" s="1"/>
      <c r="AB2732" s="1"/>
      <c r="AF2732" s="1"/>
      <c r="AJ2732" s="1"/>
      <c r="AN2732" s="1"/>
      <c r="AS2732" s="1"/>
      <c r="AX2732" s="1"/>
    </row>
    <row r="2733" spans="1:50" x14ac:dyDescent="0.3">
      <c r="A2733" s="19">
        <f t="shared" si="214"/>
        <v>49740</v>
      </c>
      <c r="B2733">
        <f t="shared" ca="1" si="210"/>
        <v>-9.9666666666666668</v>
      </c>
      <c r="C2733" t="str">
        <f ca="1">IF(currency="USD",'Future et co'!D2733,IF(currency="EUR",'Future et co'!E2733,IF(currency="GBP",'Future et co'!F2733,FALSE)))</f>
        <v>RFR USD</v>
      </c>
      <c r="D2733" t="str">
        <f t="shared" ca="1" si="211"/>
        <v>RFR USD</v>
      </c>
      <c r="E2733" t="str">
        <f t="shared" ca="1" si="212"/>
        <v>RFR EUR</v>
      </c>
      <c r="F2733" t="str">
        <f t="shared" ca="1" si="213"/>
        <v>RFR GBP</v>
      </c>
      <c r="J2733" s="1"/>
      <c r="N2733" s="1"/>
      <c r="R2733" s="1"/>
      <c r="V2733" s="1"/>
      <c r="AB2733" s="1"/>
      <c r="AF2733" s="1"/>
      <c r="AJ2733" s="1"/>
      <c r="AN2733" s="1"/>
      <c r="AS2733" s="1"/>
      <c r="AX2733" s="1"/>
    </row>
    <row r="2734" spans="1:50" x14ac:dyDescent="0.3">
      <c r="A2734" s="19">
        <f t="shared" si="214"/>
        <v>49741</v>
      </c>
      <c r="B2734">
        <f t="shared" ca="1" si="210"/>
        <v>-9.969444444444445</v>
      </c>
      <c r="C2734" t="str">
        <f ca="1">IF(currency="USD",'Future et co'!D2734,IF(currency="EUR",'Future et co'!E2734,IF(currency="GBP",'Future et co'!F2734,FALSE)))</f>
        <v>RFR USD</v>
      </c>
      <c r="D2734" t="str">
        <f t="shared" ca="1" si="211"/>
        <v>RFR USD</v>
      </c>
      <c r="E2734" t="str">
        <f t="shared" ca="1" si="212"/>
        <v>RFR EUR</v>
      </c>
      <c r="F2734" t="str">
        <f t="shared" ca="1" si="213"/>
        <v>RFR GBP</v>
      </c>
      <c r="J2734" s="1"/>
      <c r="N2734" s="1"/>
      <c r="R2734" s="1"/>
      <c r="V2734" s="1"/>
      <c r="AB2734" s="1"/>
      <c r="AF2734" s="1"/>
      <c r="AJ2734" s="1"/>
      <c r="AN2734" s="1"/>
      <c r="AS2734" s="1"/>
      <c r="AX2734" s="1"/>
    </row>
    <row r="2735" spans="1:50" x14ac:dyDescent="0.3">
      <c r="A2735" s="19">
        <f t="shared" si="214"/>
        <v>49744</v>
      </c>
      <c r="B2735">
        <f t="shared" ca="1" si="210"/>
        <v>-9.9777777777777779</v>
      </c>
      <c r="C2735" t="str">
        <f ca="1">IF(currency="USD",'Future et co'!D2735,IF(currency="EUR",'Future et co'!E2735,IF(currency="GBP",'Future et co'!F2735,FALSE)))</f>
        <v>RFR USD</v>
      </c>
      <c r="D2735" t="str">
        <f t="shared" ca="1" si="211"/>
        <v>RFR USD</v>
      </c>
      <c r="E2735" t="str">
        <f t="shared" ca="1" si="212"/>
        <v>RFR EUR</v>
      </c>
      <c r="F2735" t="str">
        <f t="shared" ca="1" si="213"/>
        <v>RFR GBP</v>
      </c>
      <c r="J2735" s="1"/>
      <c r="N2735" s="1"/>
      <c r="R2735" s="1"/>
      <c r="V2735" s="1"/>
      <c r="AB2735" s="1"/>
      <c r="AF2735" s="1"/>
      <c r="AJ2735" s="1"/>
      <c r="AN2735" s="1"/>
      <c r="AS2735" s="1"/>
      <c r="AX2735" s="1"/>
    </row>
    <row r="2736" spans="1:50" x14ac:dyDescent="0.3">
      <c r="A2736" s="19">
        <f t="shared" si="214"/>
        <v>49745</v>
      </c>
      <c r="B2736">
        <f t="shared" ca="1" si="210"/>
        <v>-9.9805555555555561</v>
      </c>
      <c r="C2736" t="str">
        <f ca="1">IF(currency="USD",'Future et co'!D2736,IF(currency="EUR",'Future et co'!E2736,IF(currency="GBP",'Future et co'!F2736,FALSE)))</f>
        <v>RFR USD</v>
      </c>
      <c r="D2736" t="str">
        <f t="shared" ca="1" si="211"/>
        <v>RFR USD</v>
      </c>
      <c r="E2736" t="str">
        <f t="shared" ca="1" si="212"/>
        <v>RFR EUR</v>
      </c>
      <c r="F2736" t="str">
        <f t="shared" ca="1" si="213"/>
        <v>RFR GBP</v>
      </c>
      <c r="J2736" s="1"/>
      <c r="N2736" s="1"/>
      <c r="R2736" s="1"/>
      <c r="V2736" s="1"/>
      <c r="AB2736" s="1"/>
      <c r="AF2736" s="1"/>
      <c r="AJ2736" s="1"/>
      <c r="AN2736" s="1"/>
      <c r="AS2736" s="1"/>
      <c r="AX2736" s="1"/>
    </row>
    <row r="2737" spans="1:50" x14ac:dyDescent="0.3">
      <c r="A2737" s="19">
        <f t="shared" si="214"/>
        <v>49746</v>
      </c>
      <c r="B2737">
        <f t="shared" ca="1" si="210"/>
        <v>-9.9833333333333325</v>
      </c>
      <c r="C2737" t="str">
        <f ca="1">IF(currency="USD",'Future et co'!D2737,IF(currency="EUR",'Future et co'!E2737,IF(currency="GBP",'Future et co'!F2737,FALSE)))</f>
        <v>RFR USD</v>
      </c>
      <c r="D2737" t="str">
        <f t="shared" ca="1" si="211"/>
        <v>RFR USD</v>
      </c>
      <c r="E2737" t="str">
        <f t="shared" ca="1" si="212"/>
        <v>RFR EUR</v>
      </c>
      <c r="F2737" t="str">
        <f t="shared" ca="1" si="213"/>
        <v>RFR GBP</v>
      </c>
      <c r="J2737" s="1"/>
      <c r="N2737" s="1"/>
      <c r="R2737" s="1"/>
      <c r="V2737" s="1"/>
      <c r="AB2737" s="1"/>
      <c r="AF2737" s="1"/>
      <c r="AJ2737" s="1"/>
      <c r="AN2737" s="1"/>
      <c r="AS2737" s="1"/>
      <c r="AX2737" s="1"/>
    </row>
    <row r="2738" spans="1:50" x14ac:dyDescent="0.3">
      <c r="A2738" s="19">
        <f t="shared" si="214"/>
        <v>49747</v>
      </c>
      <c r="B2738">
        <f t="shared" ca="1" si="210"/>
        <v>-9.9861111111111107</v>
      </c>
      <c r="C2738" t="str">
        <f ca="1">IF(currency="USD",'Future et co'!D2738,IF(currency="EUR",'Future et co'!E2738,IF(currency="GBP",'Future et co'!F2738,FALSE)))</f>
        <v>RFR USD</v>
      </c>
      <c r="D2738" t="str">
        <f t="shared" ca="1" si="211"/>
        <v>RFR USD</v>
      </c>
      <c r="E2738" t="str">
        <f t="shared" ca="1" si="212"/>
        <v>RFR EUR</v>
      </c>
      <c r="F2738" t="str">
        <f t="shared" ca="1" si="213"/>
        <v>RFR GBP</v>
      </c>
      <c r="J2738" s="1"/>
      <c r="N2738" s="1"/>
      <c r="R2738" s="1"/>
      <c r="V2738" s="1"/>
      <c r="AB2738" s="1"/>
      <c r="AF2738" s="1"/>
      <c r="AJ2738" s="1"/>
      <c r="AN2738" s="1"/>
      <c r="AS2738" s="1"/>
      <c r="AX2738" s="1"/>
    </row>
    <row r="2739" spans="1:50" x14ac:dyDescent="0.3">
      <c r="A2739" s="19">
        <f t="shared" si="214"/>
        <v>49748</v>
      </c>
      <c r="B2739">
        <f t="shared" ca="1" si="210"/>
        <v>-9.9888888888888889</v>
      </c>
      <c r="C2739" t="str">
        <f ca="1">IF(currency="USD",'Future et co'!D2739,IF(currency="EUR",'Future et co'!E2739,IF(currency="GBP",'Future et co'!F2739,FALSE)))</f>
        <v>RFR USD</v>
      </c>
      <c r="D2739" t="str">
        <f t="shared" ca="1" si="211"/>
        <v>RFR USD</v>
      </c>
      <c r="E2739" t="str">
        <f t="shared" ca="1" si="212"/>
        <v>RFR EUR</v>
      </c>
      <c r="F2739" t="str">
        <f t="shared" ca="1" si="213"/>
        <v>RFR GBP</v>
      </c>
      <c r="J2739" s="1"/>
      <c r="N2739" s="1"/>
      <c r="R2739" s="1"/>
      <c r="V2739" s="1"/>
      <c r="AB2739" s="1"/>
      <c r="AF2739" s="1"/>
      <c r="AJ2739" s="1"/>
      <c r="AN2739" s="1"/>
      <c r="AS2739" s="1"/>
      <c r="AX2739" s="1"/>
    </row>
    <row r="2740" spans="1:50" x14ac:dyDescent="0.3">
      <c r="A2740" s="19">
        <f t="shared" si="214"/>
        <v>49751</v>
      </c>
      <c r="B2740">
        <f t="shared" ca="1" si="210"/>
        <v>-9.9972222222222218</v>
      </c>
      <c r="C2740" t="str">
        <f ca="1">IF(currency="USD",'Future et co'!D2740,IF(currency="EUR",'Future et co'!E2740,IF(currency="GBP",'Future et co'!F2740,FALSE)))</f>
        <v>RFR USD</v>
      </c>
      <c r="D2740" t="str">
        <f t="shared" ca="1" si="211"/>
        <v>RFR USD</v>
      </c>
      <c r="E2740" t="str">
        <f t="shared" ca="1" si="212"/>
        <v>RFR EUR</v>
      </c>
      <c r="F2740" t="str">
        <f t="shared" ca="1" si="213"/>
        <v>RFR GBP</v>
      </c>
      <c r="J2740" s="1"/>
      <c r="N2740" s="1"/>
      <c r="R2740" s="1"/>
      <c r="V2740" s="1"/>
      <c r="AB2740" s="1"/>
      <c r="AF2740" s="1"/>
      <c r="AJ2740" s="1"/>
      <c r="AN2740" s="1"/>
      <c r="AS2740" s="1"/>
      <c r="AX2740" s="1"/>
    </row>
    <row r="2741" spans="1:50" x14ac:dyDescent="0.3">
      <c r="A2741" s="19">
        <f t="shared" si="214"/>
        <v>49752</v>
      </c>
      <c r="B2741">
        <f t="shared" ca="1" si="210"/>
        <v>-10</v>
      </c>
      <c r="C2741" t="str">
        <f ca="1">IF(currency="USD",'Future et co'!D2741,IF(currency="EUR",'Future et co'!E2741,IF(currency="GBP",'Future et co'!F2741,FALSE)))</f>
        <v>RFR USD</v>
      </c>
      <c r="D2741" t="str">
        <f t="shared" ca="1" si="211"/>
        <v>RFR USD</v>
      </c>
      <c r="E2741" t="str">
        <f t="shared" ca="1" si="212"/>
        <v>RFR EUR</v>
      </c>
      <c r="F2741" t="str">
        <f t="shared" ca="1" si="213"/>
        <v>RFR GBP</v>
      </c>
      <c r="J2741" s="1"/>
      <c r="N2741" s="1"/>
      <c r="R2741" s="1"/>
      <c r="V2741" s="1"/>
      <c r="AB2741" s="1"/>
      <c r="AF2741" s="1"/>
      <c r="AJ2741" s="1"/>
      <c r="AN2741" s="1"/>
      <c r="AS2741" s="1"/>
      <c r="AX2741" s="1"/>
    </row>
    <row r="2742" spans="1:50" x14ac:dyDescent="0.3">
      <c r="A2742" s="19">
        <f t="shared" si="214"/>
        <v>49753</v>
      </c>
      <c r="B2742">
        <f t="shared" ca="1" si="210"/>
        <v>-10.002777777777778</v>
      </c>
      <c r="C2742" t="str">
        <f ca="1">IF(currency="USD",'Future et co'!D2742,IF(currency="EUR",'Future et co'!E2742,IF(currency="GBP",'Future et co'!F2742,FALSE)))</f>
        <v>RFR USD</v>
      </c>
      <c r="D2742" t="str">
        <f t="shared" ca="1" si="211"/>
        <v>RFR USD</v>
      </c>
      <c r="E2742" t="str">
        <f t="shared" ca="1" si="212"/>
        <v>RFR EUR</v>
      </c>
      <c r="F2742" t="str">
        <f t="shared" ca="1" si="213"/>
        <v>RFR GBP</v>
      </c>
      <c r="J2742" s="1"/>
      <c r="N2742" s="1"/>
      <c r="R2742" s="1"/>
      <c r="V2742" s="1"/>
      <c r="AB2742" s="1"/>
      <c r="AF2742" s="1"/>
      <c r="AJ2742" s="1"/>
      <c r="AN2742" s="1"/>
      <c r="AS2742" s="1"/>
      <c r="AX2742" s="1"/>
    </row>
    <row r="2743" spans="1:50" x14ac:dyDescent="0.3">
      <c r="A2743" s="19">
        <f t="shared" si="214"/>
        <v>49754</v>
      </c>
      <c r="B2743">
        <f t="shared" ca="1" si="210"/>
        <v>-10.005555555555556</v>
      </c>
      <c r="C2743" t="str">
        <f ca="1">IF(currency="USD",'Future et co'!D2743,IF(currency="EUR",'Future et co'!E2743,IF(currency="GBP",'Future et co'!F2743,FALSE)))</f>
        <v>RFR USD</v>
      </c>
      <c r="D2743" t="str">
        <f t="shared" ca="1" si="211"/>
        <v>RFR USD</v>
      </c>
      <c r="E2743" t="str">
        <f t="shared" ca="1" si="212"/>
        <v>RFR EUR</v>
      </c>
      <c r="F2743" t="str">
        <f t="shared" ca="1" si="213"/>
        <v>RFR GBP</v>
      </c>
      <c r="J2743" s="1"/>
      <c r="N2743" s="1"/>
      <c r="R2743" s="1"/>
      <c r="V2743" s="1"/>
      <c r="AB2743" s="1"/>
      <c r="AF2743" s="1"/>
      <c r="AJ2743" s="1"/>
      <c r="AN2743" s="1"/>
      <c r="AS2743" s="1"/>
      <c r="AX2743" s="1"/>
    </row>
    <row r="2744" spans="1:50" x14ac:dyDescent="0.3">
      <c r="A2744" s="19">
        <f t="shared" si="214"/>
        <v>49755</v>
      </c>
      <c r="B2744">
        <f t="shared" ca="1" si="210"/>
        <v>-10.008333333333333</v>
      </c>
      <c r="C2744" t="str">
        <f ca="1">IF(currency="USD",'Future et co'!D2744,IF(currency="EUR",'Future et co'!E2744,IF(currency="GBP",'Future et co'!F2744,FALSE)))</f>
        <v>RFR USD</v>
      </c>
      <c r="D2744" t="str">
        <f t="shared" ca="1" si="211"/>
        <v>RFR USD</v>
      </c>
      <c r="E2744" t="str">
        <f t="shared" ca="1" si="212"/>
        <v>RFR EUR</v>
      </c>
      <c r="F2744" t="str">
        <f t="shared" ca="1" si="213"/>
        <v>RFR GBP</v>
      </c>
      <c r="J2744" s="1"/>
      <c r="N2744" s="1"/>
      <c r="R2744" s="1"/>
      <c r="V2744" s="1"/>
      <c r="AB2744" s="1"/>
      <c r="AF2744" s="1"/>
      <c r="AJ2744" s="1"/>
      <c r="AN2744" s="1"/>
      <c r="AS2744" s="1"/>
      <c r="AX2744" s="1"/>
    </row>
    <row r="2745" spans="1:50" x14ac:dyDescent="0.3">
      <c r="A2745" s="19">
        <f t="shared" si="214"/>
        <v>49758</v>
      </c>
      <c r="B2745">
        <f t="shared" ca="1" si="210"/>
        <v>-10.016666666666667</v>
      </c>
      <c r="C2745" t="str">
        <f ca="1">IF(currency="USD",'Future et co'!D2745,IF(currency="EUR",'Future et co'!E2745,IF(currency="GBP",'Future et co'!F2745,FALSE)))</f>
        <v>RFR USD</v>
      </c>
      <c r="D2745" t="str">
        <f t="shared" ca="1" si="211"/>
        <v>RFR USD</v>
      </c>
      <c r="E2745" t="str">
        <f t="shared" ca="1" si="212"/>
        <v>RFR EUR</v>
      </c>
      <c r="F2745" t="str">
        <f t="shared" ca="1" si="213"/>
        <v>RFR GBP</v>
      </c>
      <c r="J2745" s="1"/>
      <c r="N2745" s="1"/>
      <c r="R2745" s="1"/>
      <c r="V2745" s="1"/>
      <c r="AB2745" s="1"/>
      <c r="AF2745" s="1"/>
      <c r="AJ2745" s="1"/>
      <c r="AN2745" s="1"/>
      <c r="AS2745" s="1"/>
      <c r="AX2745" s="1"/>
    </row>
    <row r="2746" spans="1:50" x14ac:dyDescent="0.3">
      <c r="A2746" s="19">
        <f t="shared" si="214"/>
        <v>49759</v>
      </c>
      <c r="B2746">
        <f t="shared" ca="1" si="210"/>
        <v>-10.019444444444444</v>
      </c>
      <c r="C2746" t="str">
        <f ca="1">IF(currency="USD",'Future et co'!D2746,IF(currency="EUR",'Future et co'!E2746,IF(currency="GBP",'Future et co'!F2746,FALSE)))</f>
        <v>RFR USD</v>
      </c>
      <c r="D2746" t="str">
        <f t="shared" ca="1" si="211"/>
        <v>RFR USD</v>
      </c>
      <c r="E2746" t="str">
        <f t="shared" ca="1" si="212"/>
        <v>RFR EUR</v>
      </c>
      <c r="F2746" t="str">
        <f t="shared" ca="1" si="213"/>
        <v>RFR GBP</v>
      </c>
      <c r="J2746" s="1"/>
      <c r="N2746" s="1"/>
      <c r="R2746" s="1"/>
      <c r="V2746" s="1"/>
      <c r="AB2746" s="1"/>
      <c r="AF2746" s="1"/>
      <c r="AJ2746" s="1"/>
      <c r="AN2746" s="1"/>
      <c r="AS2746" s="1"/>
      <c r="AX2746" s="1"/>
    </row>
    <row r="2747" spans="1:50" x14ac:dyDescent="0.3">
      <c r="A2747" s="19">
        <f t="shared" si="214"/>
        <v>49760</v>
      </c>
      <c r="B2747">
        <f t="shared" ca="1" si="210"/>
        <v>-10.022222222222222</v>
      </c>
      <c r="C2747" t="str">
        <f ca="1">IF(currency="USD",'Future et co'!D2747,IF(currency="EUR",'Future et co'!E2747,IF(currency="GBP",'Future et co'!F2747,FALSE)))</f>
        <v>RFR USD</v>
      </c>
      <c r="D2747" t="str">
        <f t="shared" ca="1" si="211"/>
        <v>RFR USD</v>
      </c>
      <c r="E2747" t="str">
        <f t="shared" ca="1" si="212"/>
        <v>RFR EUR</v>
      </c>
      <c r="F2747" t="str">
        <f t="shared" ca="1" si="213"/>
        <v>RFR GBP</v>
      </c>
      <c r="J2747" s="1"/>
      <c r="N2747" s="1"/>
      <c r="R2747" s="1"/>
      <c r="V2747" s="1"/>
      <c r="AB2747" s="1"/>
      <c r="AF2747" s="1"/>
      <c r="AJ2747" s="1"/>
      <c r="AN2747" s="1"/>
      <c r="AS2747" s="1"/>
      <c r="AX2747" s="1"/>
    </row>
    <row r="2748" spans="1:50" x14ac:dyDescent="0.3">
      <c r="A2748" s="19">
        <f t="shared" si="214"/>
        <v>49761</v>
      </c>
      <c r="B2748">
        <f t="shared" ca="1" si="210"/>
        <v>-10.025</v>
      </c>
      <c r="C2748" t="str">
        <f ca="1">IF(currency="USD",'Future et co'!D2748,IF(currency="EUR",'Future et co'!E2748,IF(currency="GBP",'Future et co'!F2748,FALSE)))</f>
        <v>RFR USD</v>
      </c>
      <c r="D2748" t="str">
        <f t="shared" ca="1" si="211"/>
        <v>RFR USD</v>
      </c>
      <c r="E2748" t="str">
        <f t="shared" ca="1" si="212"/>
        <v>RFR EUR</v>
      </c>
      <c r="F2748" t="str">
        <f t="shared" ca="1" si="213"/>
        <v>RFR GBP</v>
      </c>
      <c r="J2748" s="1"/>
      <c r="N2748" s="1"/>
      <c r="R2748" s="1"/>
      <c r="V2748" s="1"/>
      <c r="AB2748" s="1"/>
      <c r="AF2748" s="1"/>
      <c r="AJ2748" s="1"/>
      <c r="AN2748" s="1"/>
      <c r="AS2748" s="1"/>
      <c r="AX2748" s="1"/>
    </row>
    <row r="2749" spans="1:50" x14ac:dyDescent="0.3">
      <c r="A2749" s="19">
        <f t="shared" si="214"/>
        <v>49762</v>
      </c>
      <c r="B2749">
        <f t="shared" ca="1" si="210"/>
        <v>-10.027777777777779</v>
      </c>
      <c r="C2749" t="str">
        <f ca="1">IF(currency="USD",'Future et co'!D2749,IF(currency="EUR",'Future et co'!E2749,IF(currency="GBP",'Future et co'!F2749,FALSE)))</f>
        <v>RFR USD</v>
      </c>
      <c r="D2749" t="str">
        <f t="shared" ca="1" si="211"/>
        <v>RFR USD</v>
      </c>
      <c r="E2749" t="str">
        <f t="shared" ca="1" si="212"/>
        <v>RFR EUR</v>
      </c>
      <c r="F2749" t="str">
        <f t="shared" ca="1" si="213"/>
        <v>RFR GBP</v>
      </c>
      <c r="J2749" s="1"/>
      <c r="N2749" s="1"/>
      <c r="R2749" s="1"/>
      <c r="V2749" s="1"/>
      <c r="AB2749" s="1"/>
      <c r="AF2749" s="1"/>
      <c r="AJ2749" s="1"/>
      <c r="AN2749" s="1"/>
      <c r="AS2749" s="1"/>
      <c r="AX2749" s="1"/>
    </row>
    <row r="2750" spans="1:50" x14ac:dyDescent="0.3">
      <c r="A2750" s="19">
        <f t="shared" si="214"/>
        <v>49765</v>
      </c>
      <c r="B2750">
        <f t="shared" ca="1" si="210"/>
        <v>-10.036111111111111</v>
      </c>
      <c r="C2750" t="str">
        <f ca="1">IF(currency="USD",'Future et co'!D2750,IF(currency="EUR",'Future et co'!E2750,IF(currency="GBP",'Future et co'!F2750,FALSE)))</f>
        <v>RFR USD</v>
      </c>
      <c r="D2750" t="str">
        <f t="shared" ca="1" si="211"/>
        <v>RFR USD</v>
      </c>
      <c r="E2750" t="str">
        <f t="shared" ca="1" si="212"/>
        <v>RFR EUR</v>
      </c>
      <c r="F2750" t="str">
        <f t="shared" ca="1" si="213"/>
        <v>RFR GBP</v>
      </c>
      <c r="J2750" s="1"/>
      <c r="N2750" s="1"/>
      <c r="R2750" s="1"/>
      <c r="V2750" s="1"/>
      <c r="AB2750" s="1"/>
      <c r="AF2750" s="1"/>
      <c r="AJ2750" s="1"/>
      <c r="AN2750" s="1"/>
      <c r="AS2750" s="1"/>
      <c r="AX2750" s="1"/>
    </row>
    <row r="2751" spans="1:50" x14ac:dyDescent="0.3">
      <c r="A2751" s="19">
        <f t="shared" si="214"/>
        <v>49766</v>
      </c>
      <c r="B2751">
        <f t="shared" ca="1" si="210"/>
        <v>-10.03888888888889</v>
      </c>
      <c r="C2751" t="str">
        <f ca="1">IF(currency="USD",'Future et co'!D2751,IF(currency="EUR",'Future et co'!E2751,IF(currency="GBP",'Future et co'!F2751,FALSE)))</f>
        <v>RFR USD</v>
      </c>
      <c r="D2751" t="str">
        <f t="shared" ca="1" si="211"/>
        <v>RFR USD</v>
      </c>
      <c r="E2751" t="str">
        <f t="shared" ca="1" si="212"/>
        <v>RFR EUR</v>
      </c>
      <c r="F2751" t="str">
        <f t="shared" ca="1" si="213"/>
        <v>RFR GBP</v>
      </c>
      <c r="J2751" s="1"/>
      <c r="N2751" s="1"/>
      <c r="R2751" s="1"/>
      <c r="V2751" s="1"/>
      <c r="AB2751" s="1"/>
      <c r="AF2751" s="1"/>
      <c r="AJ2751" s="1"/>
      <c r="AN2751" s="1"/>
      <c r="AS2751" s="1"/>
      <c r="AX2751" s="1"/>
    </row>
    <row r="2752" spans="1:50" x14ac:dyDescent="0.3">
      <c r="A2752" s="19">
        <f t="shared" si="214"/>
        <v>49767</v>
      </c>
      <c r="B2752">
        <f t="shared" ca="1" si="210"/>
        <v>-10.041666666666666</v>
      </c>
      <c r="C2752" t="str">
        <f ca="1">IF(currency="USD",'Future et co'!D2752,IF(currency="EUR",'Future et co'!E2752,IF(currency="GBP",'Future et co'!F2752,FALSE)))</f>
        <v>RFR USD</v>
      </c>
      <c r="D2752" t="str">
        <f t="shared" ca="1" si="211"/>
        <v>RFR USD</v>
      </c>
      <c r="E2752" t="str">
        <f t="shared" ca="1" si="212"/>
        <v>RFR EUR</v>
      </c>
      <c r="F2752" t="str">
        <f t="shared" ca="1" si="213"/>
        <v>RFR GBP</v>
      </c>
      <c r="J2752" s="1"/>
      <c r="N2752" s="1"/>
      <c r="R2752" s="1"/>
      <c r="V2752" s="1"/>
      <c r="AB2752" s="1"/>
      <c r="AF2752" s="1"/>
      <c r="AJ2752" s="1"/>
      <c r="AN2752" s="1"/>
      <c r="AS2752" s="1"/>
      <c r="AX2752" s="1"/>
    </row>
    <row r="2753" spans="1:50" x14ac:dyDescent="0.3">
      <c r="A2753" s="19">
        <f t="shared" si="214"/>
        <v>49768</v>
      </c>
      <c r="B2753">
        <f t="shared" ca="1" si="210"/>
        <v>-10.044444444444444</v>
      </c>
      <c r="C2753" t="str">
        <f ca="1">IF(currency="USD",'Future et co'!D2753,IF(currency="EUR",'Future et co'!E2753,IF(currency="GBP",'Future et co'!F2753,FALSE)))</f>
        <v>RFR USD</v>
      </c>
      <c r="D2753" t="str">
        <f t="shared" ca="1" si="211"/>
        <v>RFR USD</v>
      </c>
      <c r="E2753" t="str">
        <f t="shared" ca="1" si="212"/>
        <v>RFR EUR</v>
      </c>
      <c r="F2753" t="str">
        <f t="shared" ca="1" si="213"/>
        <v>RFR GBP</v>
      </c>
      <c r="J2753" s="1"/>
      <c r="N2753" s="1"/>
      <c r="R2753" s="1"/>
      <c r="V2753" s="1"/>
      <c r="AB2753" s="1"/>
      <c r="AF2753" s="1"/>
      <c r="AJ2753" s="1"/>
      <c r="AN2753" s="1"/>
      <c r="AS2753" s="1"/>
      <c r="AX2753" s="1"/>
    </row>
    <row r="2754" spans="1:50" x14ac:dyDescent="0.3">
      <c r="A2754" s="19">
        <f t="shared" si="214"/>
        <v>49769</v>
      </c>
      <c r="B2754">
        <f t="shared" ca="1" si="210"/>
        <v>-10.047222222222222</v>
      </c>
      <c r="C2754" t="str">
        <f ca="1">IF(currency="USD",'Future et co'!D2754,IF(currency="EUR",'Future et co'!E2754,IF(currency="GBP",'Future et co'!F2754,FALSE)))</f>
        <v>RFR USD</v>
      </c>
      <c r="D2754" t="str">
        <f t="shared" ca="1" si="211"/>
        <v>RFR USD</v>
      </c>
      <c r="E2754" t="str">
        <f t="shared" ca="1" si="212"/>
        <v>RFR EUR</v>
      </c>
      <c r="F2754" t="str">
        <f t="shared" ca="1" si="213"/>
        <v>RFR GBP</v>
      </c>
      <c r="J2754" s="1"/>
      <c r="N2754" s="1"/>
      <c r="R2754" s="1"/>
      <c r="V2754" s="1"/>
      <c r="AB2754" s="1"/>
      <c r="AF2754" s="1"/>
      <c r="AJ2754" s="1"/>
      <c r="AN2754" s="1"/>
      <c r="AS2754" s="1"/>
      <c r="AX2754" s="1"/>
    </row>
    <row r="2755" spans="1:50" x14ac:dyDescent="0.3">
      <c r="A2755" s="19">
        <f t="shared" si="214"/>
        <v>49772</v>
      </c>
      <c r="B2755">
        <f t="shared" ca="1" si="210"/>
        <v>-10.055555555555555</v>
      </c>
      <c r="C2755" t="str">
        <f ca="1">IF(currency="USD",'Future et co'!D2755,IF(currency="EUR",'Future et co'!E2755,IF(currency="GBP",'Future et co'!F2755,FALSE)))</f>
        <v>RFR USD</v>
      </c>
      <c r="D2755" t="str">
        <f t="shared" ca="1" si="211"/>
        <v>RFR USD</v>
      </c>
      <c r="E2755" t="str">
        <f t="shared" ca="1" si="212"/>
        <v>RFR EUR</v>
      </c>
      <c r="F2755" t="str">
        <f t="shared" ca="1" si="213"/>
        <v>RFR GBP</v>
      </c>
      <c r="J2755" s="1"/>
      <c r="N2755" s="1"/>
      <c r="R2755" s="1"/>
      <c r="V2755" s="1"/>
      <c r="AB2755" s="1"/>
      <c r="AF2755" s="1"/>
      <c r="AJ2755" s="1"/>
      <c r="AN2755" s="1"/>
      <c r="AS2755" s="1"/>
      <c r="AX2755" s="1"/>
    </row>
    <row r="2756" spans="1:50" x14ac:dyDescent="0.3">
      <c r="A2756" s="19">
        <f t="shared" si="214"/>
        <v>49773</v>
      </c>
      <c r="B2756">
        <f t="shared" ca="1" si="210"/>
        <v>-10.058333333333334</v>
      </c>
      <c r="C2756" t="str">
        <f ca="1">IF(currency="USD",'Future et co'!D2756,IF(currency="EUR",'Future et co'!E2756,IF(currency="GBP",'Future et co'!F2756,FALSE)))</f>
        <v>RFR USD</v>
      </c>
      <c r="D2756" t="str">
        <f t="shared" ca="1" si="211"/>
        <v>RFR USD</v>
      </c>
      <c r="E2756" t="str">
        <f t="shared" ca="1" si="212"/>
        <v>RFR EUR</v>
      </c>
      <c r="F2756" t="str">
        <f t="shared" ca="1" si="213"/>
        <v>RFR GBP</v>
      </c>
      <c r="J2756" s="1"/>
      <c r="N2756" s="1"/>
      <c r="R2756" s="1"/>
      <c r="V2756" s="1"/>
      <c r="AB2756" s="1"/>
      <c r="AF2756" s="1"/>
      <c r="AJ2756" s="1"/>
      <c r="AN2756" s="1"/>
      <c r="AS2756" s="1"/>
      <c r="AX2756" s="1"/>
    </row>
    <row r="2757" spans="1:50" x14ac:dyDescent="0.3">
      <c r="A2757" s="19">
        <f t="shared" si="214"/>
        <v>49774</v>
      </c>
      <c r="B2757">
        <f t="shared" ca="1" si="210"/>
        <v>-10.061111111111112</v>
      </c>
      <c r="C2757" t="str">
        <f ca="1">IF(currency="USD",'Future et co'!D2757,IF(currency="EUR",'Future et co'!E2757,IF(currency="GBP",'Future et co'!F2757,FALSE)))</f>
        <v>RFR USD</v>
      </c>
      <c r="D2757" t="str">
        <f t="shared" ca="1" si="211"/>
        <v>RFR USD</v>
      </c>
      <c r="E2757" t="str">
        <f t="shared" ca="1" si="212"/>
        <v>RFR EUR</v>
      </c>
      <c r="F2757" t="str">
        <f t="shared" ca="1" si="213"/>
        <v>RFR GBP</v>
      </c>
      <c r="J2757" s="1"/>
      <c r="N2757" s="1"/>
      <c r="R2757" s="1"/>
      <c r="V2757" s="1"/>
      <c r="AB2757" s="1"/>
      <c r="AF2757" s="1"/>
      <c r="AJ2757" s="1"/>
      <c r="AN2757" s="1"/>
      <c r="AS2757" s="1"/>
      <c r="AX2757" s="1"/>
    </row>
    <row r="2758" spans="1:50" x14ac:dyDescent="0.3">
      <c r="A2758" s="19">
        <f t="shared" si="214"/>
        <v>49775</v>
      </c>
      <c r="B2758">
        <f t="shared" ca="1" si="210"/>
        <v>-10.063888888888888</v>
      </c>
      <c r="C2758" t="str">
        <f ca="1">IF(currency="USD",'Future et co'!D2758,IF(currency="EUR",'Future et co'!E2758,IF(currency="GBP",'Future et co'!F2758,FALSE)))</f>
        <v>RFR USD</v>
      </c>
      <c r="D2758" t="str">
        <f t="shared" ca="1" si="211"/>
        <v>RFR USD</v>
      </c>
      <c r="E2758" t="str">
        <f t="shared" ca="1" si="212"/>
        <v>RFR EUR</v>
      </c>
      <c r="F2758" t="str">
        <f t="shared" ca="1" si="213"/>
        <v>RFR GBP</v>
      </c>
      <c r="J2758" s="1"/>
      <c r="N2758" s="1"/>
      <c r="R2758" s="1"/>
      <c r="V2758" s="1"/>
      <c r="AB2758" s="1"/>
      <c r="AF2758" s="1"/>
      <c r="AJ2758" s="1"/>
      <c r="AN2758" s="1"/>
      <c r="AS2758" s="1"/>
      <c r="AX2758" s="1"/>
    </row>
    <row r="2759" spans="1:50" x14ac:dyDescent="0.3">
      <c r="A2759" s="19">
        <f t="shared" si="214"/>
        <v>49776</v>
      </c>
      <c r="B2759">
        <f t="shared" ca="1" si="210"/>
        <v>-10.066666666666666</v>
      </c>
      <c r="C2759" t="str">
        <f ca="1">IF(currency="USD",'Future et co'!D2759,IF(currency="EUR",'Future et co'!E2759,IF(currency="GBP",'Future et co'!F2759,FALSE)))</f>
        <v>RFR USD</v>
      </c>
      <c r="D2759" t="str">
        <f t="shared" ca="1" si="211"/>
        <v>RFR USD</v>
      </c>
      <c r="E2759" t="str">
        <f t="shared" ca="1" si="212"/>
        <v>RFR EUR</v>
      </c>
      <c r="F2759" t="str">
        <f t="shared" ca="1" si="213"/>
        <v>RFR GBP</v>
      </c>
      <c r="J2759" s="1"/>
      <c r="N2759" s="1"/>
      <c r="R2759" s="1"/>
      <c r="V2759" s="1"/>
      <c r="AB2759" s="1"/>
      <c r="AF2759" s="1"/>
      <c r="AJ2759" s="1"/>
      <c r="AN2759" s="1"/>
      <c r="AS2759" s="1"/>
      <c r="AX2759" s="1"/>
    </row>
    <row r="2760" spans="1:50" x14ac:dyDescent="0.3">
      <c r="A2760" s="19">
        <f t="shared" si="214"/>
        <v>49779</v>
      </c>
      <c r="B2760">
        <f t="shared" ca="1" si="210"/>
        <v>-10.074999999999999</v>
      </c>
      <c r="C2760" t="str">
        <f ca="1">IF(currency="USD",'Future et co'!D2760,IF(currency="EUR",'Future et co'!E2760,IF(currency="GBP",'Future et co'!F2760,FALSE)))</f>
        <v>RFR USD</v>
      </c>
      <c r="D2760" t="str">
        <f t="shared" ca="1" si="211"/>
        <v>RFR USD</v>
      </c>
      <c r="E2760" t="str">
        <f t="shared" ca="1" si="212"/>
        <v>RFR EUR</v>
      </c>
      <c r="F2760" t="str">
        <f t="shared" ca="1" si="213"/>
        <v>RFR GBP</v>
      </c>
      <c r="J2760" s="1"/>
      <c r="N2760" s="1"/>
      <c r="R2760" s="1"/>
      <c r="V2760" s="1"/>
      <c r="AB2760" s="1"/>
      <c r="AF2760" s="1"/>
      <c r="AJ2760" s="1"/>
      <c r="AN2760" s="1"/>
      <c r="AS2760" s="1"/>
      <c r="AX2760" s="1"/>
    </row>
    <row r="2761" spans="1:50" x14ac:dyDescent="0.3">
      <c r="A2761" s="19">
        <f t="shared" si="214"/>
        <v>49780</v>
      </c>
      <c r="B2761">
        <f t="shared" ca="1" si="210"/>
        <v>-10.077777777777778</v>
      </c>
      <c r="C2761" t="str">
        <f ca="1">IF(currency="USD",'Future et co'!D2761,IF(currency="EUR",'Future et co'!E2761,IF(currency="GBP",'Future et co'!F2761,FALSE)))</f>
        <v>RFR USD</v>
      </c>
      <c r="D2761" t="str">
        <f t="shared" ca="1" si="211"/>
        <v>RFR USD</v>
      </c>
      <c r="E2761" t="str">
        <f t="shared" ca="1" si="212"/>
        <v>RFR EUR</v>
      </c>
      <c r="F2761" t="str">
        <f t="shared" ca="1" si="213"/>
        <v>RFR GBP</v>
      </c>
      <c r="J2761" s="1"/>
      <c r="N2761" s="1"/>
      <c r="R2761" s="1"/>
      <c r="V2761" s="1"/>
      <c r="AB2761" s="1"/>
      <c r="AF2761" s="1"/>
      <c r="AJ2761" s="1"/>
      <c r="AN2761" s="1"/>
      <c r="AS2761" s="1"/>
      <c r="AX2761" s="1"/>
    </row>
    <row r="2762" spans="1:50" x14ac:dyDescent="0.3">
      <c r="A2762" s="19">
        <f t="shared" si="214"/>
        <v>49781</v>
      </c>
      <c r="B2762">
        <f t="shared" ca="1" si="210"/>
        <v>-10.080555555555556</v>
      </c>
      <c r="C2762" t="str">
        <f ca="1">IF(currency="USD",'Future et co'!D2762,IF(currency="EUR",'Future et co'!E2762,IF(currency="GBP",'Future et co'!F2762,FALSE)))</f>
        <v>RFR USD</v>
      </c>
      <c r="D2762" t="str">
        <f t="shared" ca="1" si="211"/>
        <v>RFR USD</v>
      </c>
      <c r="E2762" t="str">
        <f t="shared" ca="1" si="212"/>
        <v>RFR EUR</v>
      </c>
      <c r="F2762" t="str">
        <f t="shared" ca="1" si="213"/>
        <v>RFR GBP</v>
      </c>
      <c r="J2762" s="1"/>
      <c r="N2762" s="1"/>
      <c r="R2762" s="1"/>
      <c r="V2762" s="1"/>
      <c r="AB2762" s="1"/>
      <c r="AF2762" s="1"/>
      <c r="AJ2762" s="1"/>
      <c r="AN2762" s="1"/>
      <c r="AS2762" s="1"/>
      <c r="AX2762" s="1"/>
    </row>
    <row r="2763" spans="1:50" x14ac:dyDescent="0.3">
      <c r="A2763" s="19">
        <f t="shared" si="214"/>
        <v>49782</v>
      </c>
      <c r="B2763">
        <f t="shared" ref="B2763:B2826" ca="1" si="215">($B$7-A2763)/360</f>
        <v>-10.083333333333334</v>
      </c>
      <c r="C2763" t="str">
        <f ca="1">IF(currency="USD",'Future et co'!D2763,IF(currency="EUR",'Future et co'!E2763,IF(currency="GBP",'Future et co'!F2763,FALSE)))</f>
        <v>RFR USD</v>
      </c>
      <c r="D2763" t="str">
        <f t="shared" ref="D2763:D2826" ca="1" si="216">IFERROR(IF(B2763&lt;0.25,VLOOKUP(A2763,$J$11:$L$5325,3,FALSE),IF(AND(B2763&gt;=0.25,B2763&lt;0.5),VLOOKUP(A2763,$N$11:$P$5325,3,FALSE),IF(AND(B2763&gt;=0.5,B2763&lt;1),VLOOKUP(A2763,$R$11:$T$5325,3,FALSE),VLOOKUP(A2763,$V$11:$X$5010,3,FALSE)))),D2762)</f>
        <v>RFR USD</v>
      </c>
      <c r="E2763" t="str">
        <f t="shared" ref="E2763:E2826" ca="1" si="217">IFERROR(IF(B2763&lt;0.25,VLOOKUP(A2763,$AF$11:$AH$5325,3,FALSE),IF(AND(B2763&gt;=0.25,B2763&lt;0.5),VLOOKUP(A2763,$AJ$11:$AL$5325,3,FALSE),VLOOKUP(A2763,$AN$11:$AP$5325,3,FALSE))),E2762)</f>
        <v>RFR EUR</v>
      </c>
      <c r="F2763" t="str">
        <f t="shared" ref="F2763:F2826" ca="1" si="218">IFERROR(VLOOKUP(A2763,$AS$11:$AU$9999,3,FALSE),F2762)</f>
        <v>RFR GBP</v>
      </c>
      <c r="J2763" s="1"/>
      <c r="N2763" s="1"/>
      <c r="R2763" s="1"/>
      <c r="V2763" s="1"/>
      <c r="AB2763" s="1"/>
      <c r="AF2763" s="1"/>
      <c r="AJ2763" s="1"/>
      <c r="AN2763" s="1"/>
      <c r="AS2763" s="1"/>
      <c r="AX2763" s="1"/>
    </row>
    <row r="2764" spans="1:50" x14ac:dyDescent="0.3">
      <c r="A2764" s="19">
        <f t="shared" si="214"/>
        <v>49783</v>
      </c>
      <c r="B2764">
        <f t="shared" ca="1" si="215"/>
        <v>-10.08611111111111</v>
      </c>
      <c r="C2764" t="str">
        <f ca="1">IF(currency="USD",'Future et co'!D2764,IF(currency="EUR",'Future et co'!E2764,IF(currency="GBP",'Future et co'!F2764,FALSE)))</f>
        <v>RFR USD</v>
      </c>
      <c r="D2764" t="str">
        <f t="shared" ca="1" si="216"/>
        <v>RFR USD</v>
      </c>
      <c r="E2764" t="str">
        <f t="shared" ca="1" si="217"/>
        <v>RFR EUR</v>
      </c>
      <c r="F2764" t="str">
        <f t="shared" ca="1" si="218"/>
        <v>RFR GBP</v>
      </c>
      <c r="J2764" s="1"/>
      <c r="N2764" s="1"/>
      <c r="R2764" s="1"/>
      <c r="V2764" s="1"/>
      <c r="AB2764" s="1"/>
      <c r="AF2764" s="1"/>
      <c r="AJ2764" s="1"/>
      <c r="AN2764" s="1"/>
      <c r="AS2764" s="1"/>
      <c r="AX2764" s="1"/>
    </row>
    <row r="2765" spans="1:50" x14ac:dyDescent="0.3">
      <c r="A2765" s="19">
        <f t="shared" ref="A2765:A2828" si="219">WORKDAY(A2764,1)</f>
        <v>49786</v>
      </c>
      <c r="B2765">
        <f t="shared" ca="1" si="215"/>
        <v>-10.094444444444445</v>
      </c>
      <c r="C2765" t="str">
        <f ca="1">IF(currency="USD",'Future et co'!D2765,IF(currency="EUR",'Future et co'!E2765,IF(currency="GBP",'Future et co'!F2765,FALSE)))</f>
        <v>RFR USD</v>
      </c>
      <c r="D2765" t="str">
        <f t="shared" ca="1" si="216"/>
        <v>RFR USD</v>
      </c>
      <c r="E2765" t="str">
        <f t="shared" ca="1" si="217"/>
        <v>RFR EUR</v>
      </c>
      <c r="F2765" t="str">
        <f t="shared" ca="1" si="218"/>
        <v>RFR GBP</v>
      </c>
      <c r="J2765" s="1"/>
      <c r="N2765" s="1"/>
      <c r="R2765" s="1"/>
      <c r="V2765" s="1"/>
      <c r="AB2765" s="1"/>
      <c r="AF2765" s="1"/>
      <c r="AJ2765" s="1"/>
      <c r="AN2765" s="1"/>
      <c r="AS2765" s="1"/>
      <c r="AX2765" s="1"/>
    </row>
    <row r="2766" spans="1:50" x14ac:dyDescent="0.3">
      <c r="A2766" s="19">
        <f t="shared" si="219"/>
        <v>49787</v>
      </c>
      <c r="B2766">
        <f t="shared" ca="1" si="215"/>
        <v>-10.097222222222221</v>
      </c>
      <c r="C2766" t="str">
        <f ca="1">IF(currency="USD",'Future et co'!D2766,IF(currency="EUR",'Future et co'!E2766,IF(currency="GBP",'Future et co'!F2766,FALSE)))</f>
        <v>RFR USD</v>
      </c>
      <c r="D2766" t="str">
        <f t="shared" ca="1" si="216"/>
        <v>RFR USD</v>
      </c>
      <c r="E2766" t="str">
        <f t="shared" ca="1" si="217"/>
        <v>RFR EUR</v>
      </c>
      <c r="F2766" t="str">
        <f t="shared" ca="1" si="218"/>
        <v>RFR GBP</v>
      </c>
      <c r="J2766" s="1"/>
      <c r="N2766" s="1"/>
      <c r="R2766" s="1"/>
      <c r="V2766" s="1"/>
      <c r="AB2766" s="1"/>
      <c r="AF2766" s="1"/>
      <c r="AJ2766" s="1"/>
      <c r="AN2766" s="1"/>
      <c r="AS2766" s="1"/>
      <c r="AX2766" s="1"/>
    </row>
    <row r="2767" spans="1:50" x14ac:dyDescent="0.3">
      <c r="A2767" s="19">
        <f t="shared" si="219"/>
        <v>49788</v>
      </c>
      <c r="B2767">
        <f t="shared" ca="1" si="215"/>
        <v>-10.1</v>
      </c>
      <c r="C2767" t="str">
        <f ca="1">IF(currency="USD",'Future et co'!D2767,IF(currency="EUR",'Future et co'!E2767,IF(currency="GBP",'Future et co'!F2767,FALSE)))</f>
        <v>RFR USD</v>
      </c>
      <c r="D2767" t="str">
        <f t="shared" ca="1" si="216"/>
        <v>RFR USD</v>
      </c>
      <c r="E2767" t="str">
        <f t="shared" ca="1" si="217"/>
        <v>RFR EUR</v>
      </c>
      <c r="F2767" t="str">
        <f t="shared" ca="1" si="218"/>
        <v>RFR GBP</v>
      </c>
      <c r="J2767" s="1"/>
      <c r="N2767" s="1"/>
      <c r="R2767" s="1"/>
      <c r="V2767" s="1"/>
      <c r="AB2767" s="1"/>
      <c r="AF2767" s="1"/>
      <c r="AJ2767" s="1"/>
      <c r="AN2767" s="1"/>
      <c r="AS2767" s="1"/>
      <c r="AX2767" s="1"/>
    </row>
    <row r="2768" spans="1:50" x14ac:dyDescent="0.3">
      <c r="A2768" s="19">
        <f t="shared" si="219"/>
        <v>49789</v>
      </c>
      <c r="B2768">
        <f t="shared" ca="1" si="215"/>
        <v>-10.102777777777778</v>
      </c>
      <c r="C2768" t="str">
        <f ca="1">IF(currency="USD",'Future et co'!D2768,IF(currency="EUR",'Future et co'!E2768,IF(currency="GBP",'Future et co'!F2768,FALSE)))</f>
        <v>RFR USD</v>
      </c>
      <c r="D2768" t="str">
        <f t="shared" ca="1" si="216"/>
        <v>RFR USD</v>
      </c>
      <c r="E2768" t="str">
        <f t="shared" ca="1" si="217"/>
        <v>RFR EUR</v>
      </c>
      <c r="F2768" t="str">
        <f t="shared" ca="1" si="218"/>
        <v>RFR GBP</v>
      </c>
      <c r="J2768" s="1"/>
      <c r="N2768" s="1"/>
      <c r="R2768" s="1"/>
      <c r="V2768" s="1"/>
      <c r="AB2768" s="1"/>
      <c r="AF2768" s="1"/>
      <c r="AJ2768" s="1"/>
      <c r="AN2768" s="1"/>
      <c r="AS2768" s="1"/>
      <c r="AX2768" s="1"/>
    </row>
    <row r="2769" spans="1:50" x14ac:dyDescent="0.3">
      <c r="A2769" s="19">
        <f t="shared" si="219"/>
        <v>49790</v>
      </c>
      <c r="B2769">
        <f t="shared" ca="1" si="215"/>
        <v>-10.105555555555556</v>
      </c>
      <c r="C2769" t="str">
        <f ca="1">IF(currency="USD",'Future et co'!D2769,IF(currency="EUR",'Future et co'!E2769,IF(currency="GBP",'Future et co'!F2769,FALSE)))</f>
        <v>RFR USD</v>
      </c>
      <c r="D2769" t="str">
        <f t="shared" ca="1" si="216"/>
        <v>RFR USD</v>
      </c>
      <c r="E2769" t="str">
        <f t="shared" ca="1" si="217"/>
        <v>RFR EUR</v>
      </c>
      <c r="F2769" t="str">
        <f t="shared" ca="1" si="218"/>
        <v>RFR GBP</v>
      </c>
      <c r="J2769" s="1"/>
      <c r="N2769" s="1"/>
      <c r="R2769" s="1"/>
      <c r="V2769" s="1"/>
      <c r="AB2769" s="1"/>
      <c r="AF2769" s="1"/>
      <c r="AJ2769" s="1"/>
      <c r="AN2769" s="1"/>
      <c r="AS2769" s="1"/>
      <c r="AX2769" s="1"/>
    </row>
    <row r="2770" spans="1:50" x14ac:dyDescent="0.3">
      <c r="A2770" s="19">
        <f t="shared" si="219"/>
        <v>49793</v>
      </c>
      <c r="B2770">
        <f t="shared" ca="1" si="215"/>
        <v>-10.113888888888889</v>
      </c>
      <c r="C2770" t="str">
        <f ca="1">IF(currency="USD",'Future et co'!D2770,IF(currency="EUR",'Future et co'!E2770,IF(currency="GBP",'Future et co'!F2770,FALSE)))</f>
        <v>RFR USD</v>
      </c>
      <c r="D2770" t="str">
        <f t="shared" ca="1" si="216"/>
        <v>RFR USD</v>
      </c>
      <c r="E2770" t="str">
        <f t="shared" ca="1" si="217"/>
        <v>RFR EUR</v>
      </c>
      <c r="F2770" t="str">
        <f t="shared" ca="1" si="218"/>
        <v>RFR GBP</v>
      </c>
      <c r="J2770" s="1"/>
      <c r="N2770" s="1"/>
      <c r="R2770" s="1"/>
      <c r="V2770" s="1"/>
      <c r="AB2770" s="1"/>
      <c r="AF2770" s="1"/>
      <c r="AJ2770" s="1"/>
      <c r="AN2770" s="1"/>
      <c r="AS2770" s="1"/>
      <c r="AX2770" s="1"/>
    </row>
    <row r="2771" spans="1:50" x14ac:dyDescent="0.3">
      <c r="A2771" s="19">
        <f t="shared" si="219"/>
        <v>49794</v>
      </c>
      <c r="B2771">
        <f t="shared" ca="1" si="215"/>
        <v>-10.116666666666667</v>
      </c>
      <c r="C2771" t="str">
        <f ca="1">IF(currency="USD",'Future et co'!D2771,IF(currency="EUR",'Future et co'!E2771,IF(currency="GBP",'Future et co'!F2771,FALSE)))</f>
        <v>RFR USD</v>
      </c>
      <c r="D2771" t="str">
        <f t="shared" ca="1" si="216"/>
        <v>RFR USD</v>
      </c>
      <c r="E2771" t="str">
        <f t="shared" ca="1" si="217"/>
        <v>RFR EUR</v>
      </c>
      <c r="F2771" t="str">
        <f t="shared" ca="1" si="218"/>
        <v>RFR GBP</v>
      </c>
      <c r="J2771" s="1"/>
      <c r="N2771" s="1"/>
      <c r="R2771" s="1"/>
      <c r="V2771" s="1"/>
      <c r="AB2771" s="1"/>
      <c r="AF2771" s="1"/>
      <c r="AJ2771" s="1"/>
      <c r="AN2771" s="1"/>
      <c r="AS2771" s="1"/>
      <c r="AX2771" s="1"/>
    </row>
    <row r="2772" spans="1:50" x14ac:dyDescent="0.3">
      <c r="A2772" s="19">
        <f t="shared" si="219"/>
        <v>49795</v>
      </c>
      <c r="B2772">
        <f t="shared" ca="1" si="215"/>
        <v>-10.119444444444444</v>
      </c>
      <c r="C2772" t="str">
        <f ca="1">IF(currency="USD",'Future et co'!D2772,IF(currency="EUR",'Future et co'!E2772,IF(currency="GBP",'Future et co'!F2772,FALSE)))</f>
        <v>RFR USD</v>
      </c>
      <c r="D2772" t="str">
        <f t="shared" ca="1" si="216"/>
        <v>RFR USD</v>
      </c>
      <c r="E2772" t="str">
        <f t="shared" ca="1" si="217"/>
        <v>RFR EUR</v>
      </c>
      <c r="F2772" t="str">
        <f t="shared" ca="1" si="218"/>
        <v>RFR GBP</v>
      </c>
      <c r="J2772" s="1"/>
      <c r="N2772" s="1"/>
      <c r="R2772" s="1"/>
      <c r="V2772" s="1"/>
      <c r="AB2772" s="1"/>
      <c r="AF2772" s="1"/>
      <c r="AJ2772" s="1"/>
      <c r="AN2772" s="1"/>
      <c r="AS2772" s="1"/>
      <c r="AX2772" s="1"/>
    </row>
    <row r="2773" spans="1:50" x14ac:dyDescent="0.3">
      <c r="A2773" s="19">
        <f t="shared" si="219"/>
        <v>49796</v>
      </c>
      <c r="B2773">
        <f t="shared" ca="1" si="215"/>
        <v>-10.122222222222222</v>
      </c>
      <c r="C2773" t="str">
        <f ca="1">IF(currency="USD",'Future et co'!D2773,IF(currency="EUR",'Future et co'!E2773,IF(currency="GBP",'Future et co'!F2773,FALSE)))</f>
        <v>RFR USD</v>
      </c>
      <c r="D2773" t="str">
        <f t="shared" ca="1" si="216"/>
        <v>RFR USD</v>
      </c>
      <c r="E2773" t="str">
        <f t="shared" ca="1" si="217"/>
        <v>RFR EUR</v>
      </c>
      <c r="F2773" t="str">
        <f t="shared" ca="1" si="218"/>
        <v>RFR GBP</v>
      </c>
      <c r="J2773" s="1"/>
      <c r="N2773" s="1"/>
      <c r="R2773" s="1"/>
      <c r="V2773" s="1"/>
      <c r="AB2773" s="1"/>
      <c r="AF2773" s="1"/>
      <c r="AJ2773" s="1"/>
      <c r="AN2773" s="1"/>
      <c r="AS2773" s="1"/>
      <c r="AX2773" s="1"/>
    </row>
    <row r="2774" spans="1:50" x14ac:dyDescent="0.3">
      <c r="A2774" s="19">
        <f t="shared" si="219"/>
        <v>49797</v>
      </c>
      <c r="B2774">
        <f t="shared" ca="1" si="215"/>
        <v>-10.125</v>
      </c>
      <c r="C2774" t="str">
        <f ca="1">IF(currency="USD",'Future et co'!D2774,IF(currency="EUR",'Future et co'!E2774,IF(currency="GBP",'Future et co'!F2774,FALSE)))</f>
        <v>RFR USD</v>
      </c>
      <c r="D2774" t="str">
        <f t="shared" ca="1" si="216"/>
        <v>RFR USD</v>
      </c>
      <c r="E2774" t="str">
        <f t="shared" ca="1" si="217"/>
        <v>RFR EUR</v>
      </c>
      <c r="F2774" t="str">
        <f t="shared" ca="1" si="218"/>
        <v>RFR GBP</v>
      </c>
      <c r="J2774" s="1"/>
      <c r="N2774" s="1"/>
      <c r="R2774" s="1"/>
      <c r="V2774" s="1"/>
      <c r="AB2774" s="1"/>
      <c r="AF2774" s="1"/>
      <c r="AJ2774" s="1"/>
      <c r="AN2774" s="1"/>
      <c r="AS2774" s="1"/>
      <c r="AX2774" s="1"/>
    </row>
    <row r="2775" spans="1:50" x14ac:dyDescent="0.3">
      <c r="A2775" s="19">
        <f t="shared" si="219"/>
        <v>49800</v>
      </c>
      <c r="B2775">
        <f t="shared" ca="1" si="215"/>
        <v>-10.133333333333333</v>
      </c>
      <c r="C2775" t="str">
        <f ca="1">IF(currency="USD",'Future et co'!D2775,IF(currency="EUR",'Future et co'!E2775,IF(currency="GBP",'Future et co'!F2775,FALSE)))</f>
        <v>RFR USD</v>
      </c>
      <c r="D2775" t="str">
        <f t="shared" ca="1" si="216"/>
        <v>RFR USD</v>
      </c>
      <c r="E2775" t="str">
        <f t="shared" ca="1" si="217"/>
        <v>RFR EUR</v>
      </c>
      <c r="F2775" t="str">
        <f t="shared" ca="1" si="218"/>
        <v>RFR GBP</v>
      </c>
      <c r="J2775" s="1"/>
      <c r="N2775" s="1"/>
      <c r="R2775" s="1"/>
      <c r="V2775" s="1"/>
      <c r="AB2775" s="1"/>
      <c r="AF2775" s="1"/>
      <c r="AJ2775" s="1"/>
      <c r="AN2775" s="1"/>
      <c r="AS2775" s="1"/>
      <c r="AX2775" s="1"/>
    </row>
    <row r="2776" spans="1:50" x14ac:dyDescent="0.3">
      <c r="A2776" s="19">
        <f t="shared" si="219"/>
        <v>49801</v>
      </c>
      <c r="B2776">
        <f t="shared" ca="1" si="215"/>
        <v>-10.136111111111111</v>
      </c>
      <c r="C2776" t="str">
        <f ca="1">IF(currency="USD",'Future et co'!D2776,IF(currency="EUR",'Future et co'!E2776,IF(currency="GBP",'Future et co'!F2776,FALSE)))</f>
        <v>RFR USD</v>
      </c>
      <c r="D2776" t="str">
        <f t="shared" ca="1" si="216"/>
        <v>RFR USD</v>
      </c>
      <c r="E2776" t="str">
        <f t="shared" ca="1" si="217"/>
        <v>RFR EUR</v>
      </c>
      <c r="F2776" t="str">
        <f t="shared" ca="1" si="218"/>
        <v>RFR GBP</v>
      </c>
      <c r="J2776" s="1"/>
      <c r="N2776" s="1"/>
      <c r="R2776" s="1"/>
      <c r="V2776" s="1"/>
      <c r="AB2776" s="1"/>
      <c r="AF2776" s="1"/>
      <c r="AJ2776" s="1"/>
      <c r="AN2776" s="1"/>
      <c r="AS2776" s="1"/>
      <c r="AX2776" s="1"/>
    </row>
    <row r="2777" spans="1:50" x14ac:dyDescent="0.3">
      <c r="A2777" s="19">
        <f t="shared" si="219"/>
        <v>49802</v>
      </c>
      <c r="B2777">
        <f t="shared" ca="1" si="215"/>
        <v>-10.138888888888889</v>
      </c>
      <c r="C2777" t="str">
        <f ca="1">IF(currency="USD",'Future et co'!D2777,IF(currency="EUR",'Future et co'!E2777,IF(currency="GBP",'Future et co'!F2777,FALSE)))</f>
        <v>RFR USD</v>
      </c>
      <c r="D2777" t="str">
        <f t="shared" ca="1" si="216"/>
        <v>RFR USD</v>
      </c>
      <c r="E2777" t="str">
        <f t="shared" ca="1" si="217"/>
        <v>RFR EUR</v>
      </c>
      <c r="F2777" t="str">
        <f t="shared" ca="1" si="218"/>
        <v>RFR GBP</v>
      </c>
      <c r="J2777" s="1"/>
      <c r="N2777" s="1"/>
      <c r="R2777" s="1"/>
      <c r="V2777" s="1"/>
      <c r="AB2777" s="1"/>
      <c r="AF2777" s="1"/>
      <c r="AJ2777" s="1"/>
      <c r="AN2777" s="1"/>
      <c r="AS2777" s="1"/>
      <c r="AX2777" s="1"/>
    </row>
    <row r="2778" spans="1:50" x14ac:dyDescent="0.3">
      <c r="A2778" s="19">
        <f t="shared" si="219"/>
        <v>49803</v>
      </c>
      <c r="B2778">
        <f t="shared" ca="1" si="215"/>
        <v>-10.141666666666667</v>
      </c>
      <c r="C2778" t="str">
        <f ca="1">IF(currency="USD",'Future et co'!D2778,IF(currency="EUR",'Future et co'!E2778,IF(currency="GBP",'Future et co'!F2778,FALSE)))</f>
        <v>RFR USD</v>
      </c>
      <c r="D2778" t="str">
        <f t="shared" ca="1" si="216"/>
        <v>RFR USD</v>
      </c>
      <c r="E2778" t="str">
        <f t="shared" ca="1" si="217"/>
        <v>RFR EUR</v>
      </c>
      <c r="F2778" t="str">
        <f t="shared" ca="1" si="218"/>
        <v>RFR GBP</v>
      </c>
      <c r="J2778" s="1"/>
      <c r="N2778" s="1"/>
      <c r="R2778" s="1"/>
      <c r="V2778" s="1"/>
      <c r="AB2778" s="1"/>
      <c r="AF2778" s="1"/>
      <c r="AJ2778" s="1"/>
      <c r="AN2778" s="1"/>
      <c r="AS2778" s="1"/>
      <c r="AX2778" s="1"/>
    </row>
    <row r="2779" spans="1:50" x14ac:dyDescent="0.3">
      <c r="A2779" s="19">
        <f t="shared" si="219"/>
        <v>49804</v>
      </c>
      <c r="B2779">
        <f t="shared" ca="1" si="215"/>
        <v>-10.144444444444444</v>
      </c>
      <c r="C2779" t="str">
        <f ca="1">IF(currency="USD",'Future et co'!D2779,IF(currency="EUR",'Future et co'!E2779,IF(currency="GBP",'Future et co'!F2779,FALSE)))</f>
        <v>RFR USD</v>
      </c>
      <c r="D2779" t="str">
        <f t="shared" ca="1" si="216"/>
        <v>RFR USD</v>
      </c>
      <c r="E2779" t="str">
        <f t="shared" ca="1" si="217"/>
        <v>RFR EUR</v>
      </c>
      <c r="F2779" t="str">
        <f t="shared" ca="1" si="218"/>
        <v>RFR GBP</v>
      </c>
      <c r="J2779" s="1"/>
      <c r="N2779" s="1"/>
      <c r="R2779" s="1"/>
      <c r="V2779" s="1"/>
      <c r="AB2779" s="1"/>
      <c r="AF2779" s="1"/>
      <c r="AJ2779" s="1"/>
      <c r="AN2779" s="1"/>
      <c r="AS2779" s="1"/>
      <c r="AX2779" s="1"/>
    </row>
    <row r="2780" spans="1:50" x14ac:dyDescent="0.3">
      <c r="A2780" s="19">
        <f t="shared" si="219"/>
        <v>49807</v>
      </c>
      <c r="B2780">
        <f t="shared" ca="1" si="215"/>
        <v>-10.152777777777779</v>
      </c>
      <c r="C2780" t="str">
        <f ca="1">IF(currency="USD",'Future et co'!D2780,IF(currency="EUR",'Future et co'!E2780,IF(currency="GBP",'Future et co'!F2780,FALSE)))</f>
        <v>RFR USD</v>
      </c>
      <c r="D2780" t="str">
        <f t="shared" ca="1" si="216"/>
        <v>RFR USD</v>
      </c>
      <c r="E2780" t="str">
        <f t="shared" ca="1" si="217"/>
        <v>RFR EUR</v>
      </c>
      <c r="F2780" t="str">
        <f t="shared" ca="1" si="218"/>
        <v>RFR GBP</v>
      </c>
      <c r="J2780" s="1"/>
      <c r="N2780" s="1"/>
      <c r="R2780" s="1"/>
      <c r="V2780" s="1"/>
      <c r="AB2780" s="1"/>
      <c r="AF2780" s="1"/>
      <c r="AJ2780" s="1"/>
      <c r="AN2780" s="1"/>
      <c r="AS2780" s="1"/>
      <c r="AX2780" s="1"/>
    </row>
    <row r="2781" spans="1:50" x14ac:dyDescent="0.3">
      <c r="A2781" s="19">
        <f t="shared" si="219"/>
        <v>49808</v>
      </c>
      <c r="B2781">
        <f t="shared" ca="1" si="215"/>
        <v>-10.155555555555555</v>
      </c>
      <c r="C2781" t="str">
        <f ca="1">IF(currency="USD",'Future et co'!D2781,IF(currency="EUR",'Future et co'!E2781,IF(currency="GBP",'Future et co'!F2781,FALSE)))</f>
        <v>RFR USD</v>
      </c>
      <c r="D2781" t="str">
        <f t="shared" ca="1" si="216"/>
        <v>RFR USD</v>
      </c>
      <c r="E2781" t="str">
        <f t="shared" ca="1" si="217"/>
        <v>RFR EUR</v>
      </c>
      <c r="F2781" t="str">
        <f t="shared" ca="1" si="218"/>
        <v>RFR GBP</v>
      </c>
      <c r="J2781" s="1"/>
      <c r="N2781" s="1"/>
      <c r="R2781" s="1"/>
      <c r="V2781" s="1"/>
      <c r="AB2781" s="1"/>
      <c r="AF2781" s="1"/>
      <c r="AJ2781" s="1"/>
      <c r="AN2781" s="1"/>
      <c r="AS2781" s="1"/>
      <c r="AX2781" s="1"/>
    </row>
    <row r="2782" spans="1:50" x14ac:dyDescent="0.3">
      <c r="A2782" s="19">
        <f t="shared" si="219"/>
        <v>49809</v>
      </c>
      <c r="B2782">
        <f t="shared" ca="1" si="215"/>
        <v>-10.158333333333333</v>
      </c>
      <c r="C2782" t="str">
        <f ca="1">IF(currency="USD",'Future et co'!D2782,IF(currency="EUR",'Future et co'!E2782,IF(currency="GBP",'Future et co'!F2782,FALSE)))</f>
        <v>RFR USD</v>
      </c>
      <c r="D2782" t="str">
        <f t="shared" ca="1" si="216"/>
        <v>RFR USD</v>
      </c>
      <c r="E2782" t="str">
        <f t="shared" ca="1" si="217"/>
        <v>RFR EUR</v>
      </c>
      <c r="F2782" t="str">
        <f t="shared" ca="1" si="218"/>
        <v>RFR GBP</v>
      </c>
      <c r="J2782" s="1"/>
      <c r="N2782" s="1"/>
      <c r="R2782" s="1"/>
      <c r="V2782" s="1"/>
      <c r="AB2782" s="1"/>
      <c r="AF2782" s="1"/>
      <c r="AJ2782" s="1"/>
      <c r="AN2782" s="1"/>
      <c r="AS2782" s="1"/>
      <c r="AX2782" s="1"/>
    </row>
    <row r="2783" spans="1:50" x14ac:dyDescent="0.3">
      <c r="A2783" s="19">
        <f t="shared" si="219"/>
        <v>49810</v>
      </c>
      <c r="B2783">
        <f t="shared" ca="1" si="215"/>
        <v>-10.161111111111111</v>
      </c>
      <c r="C2783" t="str">
        <f ca="1">IF(currency="USD",'Future et co'!D2783,IF(currency="EUR",'Future et co'!E2783,IF(currency="GBP",'Future et co'!F2783,FALSE)))</f>
        <v>RFR USD</v>
      </c>
      <c r="D2783" t="str">
        <f t="shared" ca="1" si="216"/>
        <v>RFR USD</v>
      </c>
      <c r="E2783" t="str">
        <f t="shared" ca="1" si="217"/>
        <v>RFR EUR</v>
      </c>
      <c r="F2783" t="str">
        <f t="shared" ca="1" si="218"/>
        <v>RFR GBP</v>
      </c>
      <c r="J2783" s="1"/>
      <c r="N2783" s="1"/>
      <c r="R2783" s="1"/>
      <c r="V2783" s="1"/>
      <c r="AB2783" s="1"/>
      <c r="AF2783" s="1"/>
      <c r="AJ2783" s="1"/>
      <c r="AN2783" s="1"/>
      <c r="AS2783" s="1"/>
      <c r="AX2783" s="1"/>
    </row>
    <row r="2784" spans="1:50" x14ac:dyDescent="0.3">
      <c r="A2784" s="19">
        <f t="shared" si="219"/>
        <v>49811</v>
      </c>
      <c r="B2784">
        <f t="shared" ca="1" si="215"/>
        <v>-10.16388888888889</v>
      </c>
      <c r="C2784" t="str">
        <f ca="1">IF(currency="USD",'Future et co'!D2784,IF(currency="EUR",'Future et co'!E2784,IF(currency="GBP",'Future et co'!F2784,FALSE)))</f>
        <v>RFR USD</v>
      </c>
      <c r="D2784" t="str">
        <f t="shared" ca="1" si="216"/>
        <v>RFR USD</v>
      </c>
      <c r="E2784" t="str">
        <f t="shared" ca="1" si="217"/>
        <v>RFR EUR</v>
      </c>
      <c r="F2784" t="str">
        <f t="shared" ca="1" si="218"/>
        <v>RFR GBP</v>
      </c>
      <c r="J2784" s="1"/>
      <c r="N2784" s="1"/>
      <c r="R2784" s="1"/>
      <c r="V2784" s="1"/>
      <c r="AB2784" s="1"/>
      <c r="AF2784" s="1"/>
      <c r="AJ2784" s="1"/>
      <c r="AN2784" s="1"/>
      <c r="AS2784" s="1"/>
      <c r="AX2784" s="1"/>
    </row>
    <row r="2785" spans="1:50" x14ac:dyDescent="0.3">
      <c r="A2785" s="19">
        <f t="shared" si="219"/>
        <v>49814</v>
      </c>
      <c r="B2785">
        <f t="shared" ca="1" si="215"/>
        <v>-10.172222222222222</v>
      </c>
      <c r="C2785" t="str">
        <f ca="1">IF(currency="USD",'Future et co'!D2785,IF(currency="EUR",'Future et co'!E2785,IF(currency="GBP",'Future et co'!F2785,FALSE)))</f>
        <v>RFR USD</v>
      </c>
      <c r="D2785" t="str">
        <f t="shared" ca="1" si="216"/>
        <v>RFR USD</v>
      </c>
      <c r="E2785" t="str">
        <f t="shared" ca="1" si="217"/>
        <v>RFR EUR</v>
      </c>
      <c r="F2785" t="str">
        <f t="shared" ca="1" si="218"/>
        <v>RFR GBP</v>
      </c>
      <c r="J2785" s="1"/>
      <c r="N2785" s="1"/>
      <c r="R2785" s="1"/>
      <c r="V2785" s="1"/>
      <c r="AB2785" s="1"/>
      <c r="AF2785" s="1"/>
      <c r="AJ2785" s="1"/>
      <c r="AN2785" s="1"/>
      <c r="AS2785" s="1"/>
      <c r="AX2785" s="1"/>
    </row>
    <row r="2786" spans="1:50" x14ac:dyDescent="0.3">
      <c r="A2786" s="19">
        <f t="shared" si="219"/>
        <v>49815</v>
      </c>
      <c r="B2786">
        <f t="shared" ca="1" si="215"/>
        <v>-10.175000000000001</v>
      </c>
      <c r="C2786" t="str">
        <f ca="1">IF(currency="USD",'Future et co'!D2786,IF(currency="EUR",'Future et co'!E2786,IF(currency="GBP",'Future et co'!F2786,FALSE)))</f>
        <v>RFR USD</v>
      </c>
      <c r="D2786" t="str">
        <f t="shared" ca="1" si="216"/>
        <v>RFR USD</v>
      </c>
      <c r="E2786" t="str">
        <f t="shared" ca="1" si="217"/>
        <v>RFR EUR</v>
      </c>
      <c r="F2786" t="str">
        <f t="shared" ca="1" si="218"/>
        <v>RFR GBP</v>
      </c>
      <c r="J2786" s="1"/>
      <c r="N2786" s="1"/>
      <c r="R2786" s="1"/>
      <c r="V2786" s="1"/>
      <c r="AB2786" s="1"/>
      <c r="AF2786" s="1"/>
      <c r="AJ2786" s="1"/>
      <c r="AN2786" s="1"/>
      <c r="AS2786" s="1"/>
      <c r="AX2786" s="1"/>
    </row>
    <row r="2787" spans="1:50" x14ac:dyDescent="0.3">
      <c r="A2787" s="19">
        <f t="shared" si="219"/>
        <v>49816</v>
      </c>
      <c r="B2787">
        <f t="shared" ca="1" si="215"/>
        <v>-10.177777777777777</v>
      </c>
      <c r="C2787" t="str">
        <f ca="1">IF(currency="USD",'Future et co'!D2787,IF(currency="EUR",'Future et co'!E2787,IF(currency="GBP",'Future et co'!F2787,FALSE)))</f>
        <v>RFR USD</v>
      </c>
      <c r="D2787" t="str">
        <f t="shared" ca="1" si="216"/>
        <v>RFR USD</v>
      </c>
      <c r="E2787" t="str">
        <f t="shared" ca="1" si="217"/>
        <v>RFR EUR</v>
      </c>
      <c r="F2787" t="str">
        <f t="shared" ca="1" si="218"/>
        <v>RFR GBP</v>
      </c>
      <c r="J2787" s="1"/>
      <c r="N2787" s="1"/>
      <c r="R2787" s="1"/>
      <c r="V2787" s="1"/>
      <c r="AB2787" s="1"/>
      <c r="AF2787" s="1"/>
      <c r="AJ2787" s="1"/>
      <c r="AN2787" s="1"/>
      <c r="AS2787" s="1"/>
      <c r="AX2787" s="1"/>
    </row>
    <row r="2788" spans="1:50" x14ac:dyDescent="0.3">
      <c r="A2788" s="19">
        <f t="shared" si="219"/>
        <v>49817</v>
      </c>
      <c r="B2788">
        <f t="shared" ca="1" si="215"/>
        <v>-10.180555555555555</v>
      </c>
      <c r="C2788" t="str">
        <f ca="1">IF(currency="USD",'Future et co'!D2788,IF(currency="EUR",'Future et co'!E2788,IF(currency="GBP",'Future et co'!F2788,FALSE)))</f>
        <v>RFR USD</v>
      </c>
      <c r="D2788" t="str">
        <f t="shared" ca="1" si="216"/>
        <v>RFR USD</v>
      </c>
      <c r="E2788" t="str">
        <f t="shared" ca="1" si="217"/>
        <v>RFR EUR</v>
      </c>
      <c r="F2788" t="str">
        <f t="shared" ca="1" si="218"/>
        <v>RFR GBP</v>
      </c>
      <c r="J2788" s="1"/>
      <c r="N2788" s="1"/>
      <c r="R2788" s="1"/>
      <c r="V2788" s="1"/>
      <c r="AB2788" s="1"/>
      <c r="AF2788" s="1"/>
      <c r="AJ2788" s="1"/>
      <c r="AN2788" s="1"/>
      <c r="AS2788" s="1"/>
      <c r="AX2788" s="1"/>
    </row>
    <row r="2789" spans="1:50" x14ac:dyDescent="0.3">
      <c r="A2789" s="19">
        <f t="shared" si="219"/>
        <v>49818</v>
      </c>
      <c r="B2789">
        <f t="shared" ca="1" si="215"/>
        <v>-10.183333333333334</v>
      </c>
      <c r="C2789" t="str">
        <f ca="1">IF(currency="USD",'Future et co'!D2789,IF(currency="EUR",'Future et co'!E2789,IF(currency="GBP",'Future et co'!F2789,FALSE)))</f>
        <v>RFR USD</v>
      </c>
      <c r="D2789" t="str">
        <f t="shared" ca="1" si="216"/>
        <v>RFR USD</v>
      </c>
      <c r="E2789" t="str">
        <f t="shared" ca="1" si="217"/>
        <v>RFR EUR</v>
      </c>
      <c r="F2789" t="str">
        <f t="shared" ca="1" si="218"/>
        <v>RFR GBP</v>
      </c>
      <c r="J2789" s="1"/>
      <c r="N2789" s="1"/>
      <c r="R2789" s="1"/>
      <c r="V2789" s="1"/>
      <c r="AB2789" s="1"/>
      <c r="AF2789" s="1"/>
      <c r="AJ2789" s="1"/>
      <c r="AN2789" s="1"/>
      <c r="AS2789" s="1"/>
      <c r="AX2789" s="1"/>
    </row>
    <row r="2790" spans="1:50" x14ac:dyDescent="0.3">
      <c r="A2790" s="19">
        <f t="shared" si="219"/>
        <v>49821</v>
      </c>
      <c r="B2790">
        <f t="shared" ca="1" si="215"/>
        <v>-10.191666666666666</v>
      </c>
      <c r="C2790" t="str">
        <f ca="1">IF(currency="USD",'Future et co'!D2790,IF(currency="EUR",'Future et co'!E2790,IF(currency="GBP",'Future et co'!F2790,FALSE)))</f>
        <v>RFR USD</v>
      </c>
      <c r="D2790" t="str">
        <f t="shared" ca="1" si="216"/>
        <v>RFR USD</v>
      </c>
      <c r="E2790" t="str">
        <f t="shared" ca="1" si="217"/>
        <v>RFR EUR</v>
      </c>
      <c r="F2790" t="str">
        <f t="shared" ca="1" si="218"/>
        <v>RFR GBP</v>
      </c>
      <c r="J2790" s="1"/>
      <c r="N2790" s="1"/>
      <c r="R2790" s="1"/>
      <c r="V2790" s="1"/>
      <c r="AB2790" s="1"/>
      <c r="AF2790" s="1"/>
      <c r="AJ2790" s="1"/>
      <c r="AN2790" s="1"/>
      <c r="AS2790" s="1"/>
      <c r="AX2790" s="1"/>
    </row>
    <row r="2791" spans="1:50" x14ac:dyDescent="0.3">
      <c r="A2791" s="19">
        <f t="shared" si="219"/>
        <v>49822</v>
      </c>
      <c r="B2791">
        <f t="shared" ca="1" si="215"/>
        <v>-10.194444444444445</v>
      </c>
      <c r="C2791" t="str">
        <f ca="1">IF(currency="USD",'Future et co'!D2791,IF(currency="EUR",'Future et co'!E2791,IF(currency="GBP",'Future et co'!F2791,FALSE)))</f>
        <v>RFR USD</v>
      </c>
      <c r="D2791" t="str">
        <f t="shared" ca="1" si="216"/>
        <v>RFR USD</v>
      </c>
      <c r="E2791" t="str">
        <f t="shared" ca="1" si="217"/>
        <v>RFR EUR</v>
      </c>
      <c r="F2791" t="str">
        <f t="shared" ca="1" si="218"/>
        <v>RFR GBP</v>
      </c>
      <c r="J2791" s="1"/>
      <c r="N2791" s="1"/>
      <c r="R2791" s="1"/>
      <c r="V2791" s="1"/>
      <c r="AB2791" s="1"/>
      <c r="AF2791" s="1"/>
      <c r="AJ2791" s="1"/>
      <c r="AN2791" s="1"/>
      <c r="AS2791" s="1"/>
      <c r="AX2791" s="1"/>
    </row>
    <row r="2792" spans="1:50" x14ac:dyDescent="0.3">
      <c r="A2792" s="19">
        <f t="shared" si="219"/>
        <v>49823</v>
      </c>
      <c r="B2792">
        <f t="shared" ca="1" si="215"/>
        <v>-10.197222222222223</v>
      </c>
      <c r="C2792" t="str">
        <f ca="1">IF(currency="USD",'Future et co'!D2792,IF(currency="EUR",'Future et co'!E2792,IF(currency="GBP",'Future et co'!F2792,FALSE)))</f>
        <v>RFR USD</v>
      </c>
      <c r="D2792" t="str">
        <f t="shared" ca="1" si="216"/>
        <v>RFR USD</v>
      </c>
      <c r="E2792" t="str">
        <f t="shared" ca="1" si="217"/>
        <v>RFR EUR</v>
      </c>
      <c r="F2792" t="str">
        <f t="shared" ca="1" si="218"/>
        <v>RFR GBP</v>
      </c>
      <c r="J2792" s="1"/>
      <c r="N2792" s="1"/>
      <c r="R2792" s="1"/>
      <c r="V2792" s="1"/>
      <c r="AB2792" s="1"/>
      <c r="AF2792" s="1"/>
      <c r="AJ2792" s="1"/>
      <c r="AN2792" s="1"/>
      <c r="AS2792" s="1"/>
      <c r="AX2792" s="1"/>
    </row>
    <row r="2793" spans="1:50" x14ac:dyDescent="0.3">
      <c r="A2793" s="19">
        <f t="shared" si="219"/>
        <v>49824</v>
      </c>
      <c r="B2793">
        <f t="shared" ca="1" si="215"/>
        <v>-10.199999999999999</v>
      </c>
      <c r="C2793" t="str">
        <f ca="1">IF(currency="USD",'Future et co'!D2793,IF(currency="EUR",'Future et co'!E2793,IF(currency="GBP",'Future et co'!F2793,FALSE)))</f>
        <v>RFR USD</v>
      </c>
      <c r="D2793" t="str">
        <f t="shared" ca="1" si="216"/>
        <v>RFR USD</v>
      </c>
      <c r="E2793" t="str">
        <f t="shared" ca="1" si="217"/>
        <v>RFR EUR</v>
      </c>
      <c r="F2793" t="str">
        <f t="shared" ca="1" si="218"/>
        <v>RFR GBP</v>
      </c>
      <c r="J2793" s="1"/>
      <c r="N2793" s="1"/>
      <c r="R2793" s="1"/>
      <c r="V2793" s="1"/>
      <c r="AB2793" s="1"/>
      <c r="AF2793" s="1"/>
      <c r="AJ2793" s="1"/>
      <c r="AN2793" s="1"/>
      <c r="AS2793" s="1"/>
      <c r="AX2793" s="1"/>
    </row>
    <row r="2794" spans="1:50" x14ac:dyDescent="0.3">
      <c r="A2794" s="19">
        <f t="shared" si="219"/>
        <v>49825</v>
      </c>
      <c r="B2794">
        <f t="shared" ca="1" si="215"/>
        <v>-10.202777777777778</v>
      </c>
      <c r="C2794" t="str">
        <f ca="1">IF(currency="USD",'Future et co'!D2794,IF(currency="EUR",'Future et co'!E2794,IF(currency="GBP",'Future et co'!F2794,FALSE)))</f>
        <v>RFR USD</v>
      </c>
      <c r="D2794" t="str">
        <f t="shared" ca="1" si="216"/>
        <v>RFR USD</v>
      </c>
      <c r="E2794" t="str">
        <f t="shared" ca="1" si="217"/>
        <v>RFR EUR</v>
      </c>
      <c r="F2794" t="str">
        <f t="shared" ca="1" si="218"/>
        <v>RFR GBP</v>
      </c>
      <c r="J2794" s="1"/>
      <c r="N2794" s="1"/>
      <c r="R2794" s="1"/>
      <c r="V2794" s="1"/>
      <c r="AB2794" s="1"/>
      <c r="AF2794" s="1"/>
      <c r="AJ2794" s="1"/>
      <c r="AN2794" s="1"/>
      <c r="AS2794" s="1"/>
      <c r="AX2794" s="1"/>
    </row>
    <row r="2795" spans="1:50" x14ac:dyDescent="0.3">
      <c r="A2795" s="19">
        <f t="shared" si="219"/>
        <v>49828</v>
      </c>
      <c r="B2795">
        <f t="shared" ca="1" si="215"/>
        <v>-10.21111111111111</v>
      </c>
      <c r="C2795" t="str">
        <f ca="1">IF(currency="USD",'Future et co'!D2795,IF(currency="EUR",'Future et co'!E2795,IF(currency="GBP",'Future et co'!F2795,FALSE)))</f>
        <v>RFR USD</v>
      </c>
      <c r="D2795" t="str">
        <f t="shared" ca="1" si="216"/>
        <v>RFR USD</v>
      </c>
      <c r="E2795" t="str">
        <f t="shared" ca="1" si="217"/>
        <v>RFR EUR</v>
      </c>
      <c r="F2795" t="str">
        <f t="shared" ca="1" si="218"/>
        <v>RFR GBP</v>
      </c>
      <c r="J2795" s="1"/>
      <c r="N2795" s="1"/>
      <c r="R2795" s="1"/>
      <c r="V2795" s="1"/>
      <c r="AB2795" s="1"/>
      <c r="AF2795" s="1"/>
      <c r="AJ2795" s="1"/>
      <c r="AN2795" s="1"/>
      <c r="AS2795" s="1"/>
      <c r="AX2795" s="1"/>
    </row>
    <row r="2796" spans="1:50" x14ac:dyDescent="0.3">
      <c r="A2796" s="19">
        <f t="shared" si="219"/>
        <v>49829</v>
      </c>
      <c r="B2796">
        <f t="shared" ca="1" si="215"/>
        <v>-10.213888888888889</v>
      </c>
      <c r="C2796" t="str">
        <f ca="1">IF(currency="USD",'Future et co'!D2796,IF(currency="EUR",'Future et co'!E2796,IF(currency="GBP",'Future et co'!F2796,FALSE)))</f>
        <v>RFR USD</v>
      </c>
      <c r="D2796" t="str">
        <f t="shared" ca="1" si="216"/>
        <v>RFR USD</v>
      </c>
      <c r="E2796" t="str">
        <f t="shared" ca="1" si="217"/>
        <v>RFR EUR</v>
      </c>
      <c r="F2796" t="str">
        <f t="shared" ca="1" si="218"/>
        <v>RFR GBP</v>
      </c>
      <c r="J2796" s="1"/>
      <c r="N2796" s="1"/>
      <c r="R2796" s="1"/>
      <c r="V2796" s="1"/>
      <c r="AB2796" s="1"/>
      <c r="AF2796" s="1"/>
      <c r="AJ2796" s="1"/>
      <c r="AN2796" s="1"/>
      <c r="AS2796" s="1"/>
      <c r="AX2796" s="1"/>
    </row>
    <row r="2797" spans="1:50" x14ac:dyDescent="0.3">
      <c r="A2797" s="19">
        <f t="shared" si="219"/>
        <v>49830</v>
      </c>
      <c r="B2797">
        <f t="shared" ca="1" si="215"/>
        <v>-10.216666666666667</v>
      </c>
      <c r="C2797" t="str">
        <f ca="1">IF(currency="USD",'Future et co'!D2797,IF(currency="EUR",'Future et co'!E2797,IF(currency="GBP",'Future et co'!F2797,FALSE)))</f>
        <v>RFR USD</v>
      </c>
      <c r="D2797" t="str">
        <f t="shared" ca="1" si="216"/>
        <v>RFR USD</v>
      </c>
      <c r="E2797" t="str">
        <f t="shared" ca="1" si="217"/>
        <v>RFR EUR</v>
      </c>
      <c r="F2797" t="str">
        <f t="shared" ca="1" si="218"/>
        <v>RFR GBP</v>
      </c>
      <c r="J2797" s="1"/>
      <c r="N2797" s="1"/>
      <c r="R2797" s="1"/>
      <c r="V2797" s="1"/>
      <c r="AB2797" s="1"/>
      <c r="AF2797" s="1"/>
      <c r="AJ2797" s="1"/>
      <c r="AN2797" s="1"/>
      <c r="AS2797" s="1"/>
      <c r="AX2797" s="1"/>
    </row>
    <row r="2798" spans="1:50" x14ac:dyDescent="0.3">
      <c r="A2798" s="19">
        <f t="shared" si="219"/>
        <v>49831</v>
      </c>
      <c r="B2798">
        <f t="shared" ca="1" si="215"/>
        <v>-10.219444444444445</v>
      </c>
      <c r="C2798" t="str">
        <f ca="1">IF(currency="USD",'Future et co'!D2798,IF(currency="EUR",'Future et co'!E2798,IF(currency="GBP",'Future et co'!F2798,FALSE)))</f>
        <v>RFR USD</v>
      </c>
      <c r="D2798" t="str">
        <f t="shared" ca="1" si="216"/>
        <v>RFR USD</v>
      </c>
      <c r="E2798" t="str">
        <f t="shared" ca="1" si="217"/>
        <v>RFR EUR</v>
      </c>
      <c r="F2798" t="str">
        <f t="shared" ca="1" si="218"/>
        <v>RFR GBP</v>
      </c>
      <c r="J2798" s="1"/>
      <c r="N2798" s="1"/>
      <c r="R2798" s="1"/>
      <c r="V2798" s="1"/>
      <c r="AB2798" s="1"/>
      <c r="AF2798" s="1"/>
      <c r="AJ2798" s="1"/>
      <c r="AN2798" s="1"/>
      <c r="AS2798" s="1"/>
      <c r="AX2798" s="1"/>
    </row>
    <row r="2799" spans="1:50" x14ac:dyDescent="0.3">
      <c r="A2799" s="19">
        <f t="shared" si="219"/>
        <v>49832</v>
      </c>
      <c r="B2799">
        <f t="shared" ca="1" si="215"/>
        <v>-10.222222222222221</v>
      </c>
      <c r="C2799" t="str">
        <f ca="1">IF(currency="USD",'Future et co'!D2799,IF(currency="EUR",'Future et co'!E2799,IF(currency="GBP",'Future et co'!F2799,FALSE)))</f>
        <v>RFR USD</v>
      </c>
      <c r="D2799" t="str">
        <f t="shared" ca="1" si="216"/>
        <v>RFR USD</v>
      </c>
      <c r="E2799" t="str">
        <f t="shared" ca="1" si="217"/>
        <v>RFR EUR</v>
      </c>
      <c r="F2799" t="str">
        <f t="shared" ca="1" si="218"/>
        <v>RFR GBP</v>
      </c>
      <c r="J2799" s="1"/>
      <c r="N2799" s="1"/>
      <c r="R2799" s="1"/>
      <c r="V2799" s="1"/>
      <c r="AB2799" s="1"/>
      <c r="AF2799" s="1"/>
      <c r="AJ2799" s="1"/>
      <c r="AN2799" s="1"/>
      <c r="AS2799" s="1"/>
      <c r="AX2799" s="1"/>
    </row>
    <row r="2800" spans="1:50" x14ac:dyDescent="0.3">
      <c r="A2800" s="19">
        <f t="shared" si="219"/>
        <v>49835</v>
      </c>
      <c r="B2800">
        <f t="shared" ca="1" si="215"/>
        <v>-10.230555555555556</v>
      </c>
      <c r="C2800" t="str">
        <f ca="1">IF(currency="USD",'Future et co'!D2800,IF(currency="EUR",'Future et co'!E2800,IF(currency="GBP",'Future et co'!F2800,FALSE)))</f>
        <v>RFR USD</v>
      </c>
      <c r="D2800" t="str">
        <f t="shared" ca="1" si="216"/>
        <v>RFR USD</v>
      </c>
      <c r="E2800" t="str">
        <f t="shared" ca="1" si="217"/>
        <v>RFR EUR</v>
      </c>
      <c r="F2800" t="str">
        <f t="shared" ca="1" si="218"/>
        <v>RFR GBP</v>
      </c>
      <c r="J2800" s="1"/>
      <c r="N2800" s="1"/>
      <c r="R2800" s="1"/>
      <c r="V2800" s="1"/>
      <c r="AB2800" s="1"/>
      <c r="AF2800" s="1"/>
      <c r="AJ2800" s="1"/>
      <c r="AN2800" s="1"/>
      <c r="AS2800" s="1"/>
      <c r="AX2800" s="1"/>
    </row>
    <row r="2801" spans="1:50" x14ac:dyDescent="0.3">
      <c r="A2801" s="19">
        <f t="shared" si="219"/>
        <v>49836</v>
      </c>
      <c r="B2801">
        <f t="shared" ca="1" si="215"/>
        <v>-10.233333333333333</v>
      </c>
      <c r="C2801" t="str">
        <f ca="1">IF(currency="USD",'Future et co'!D2801,IF(currency="EUR",'Future et co'!E2801,IF(currency="GBP",'Future et co'!F2801,FALSE)))</f>
        <v>RFR USD</v>
      </c>
      <c r="D2801" t="str">
        <f t="shared" ca="1" si="216"/>
        <v>RFR USD</v>
      </c>
      <c r="E2801" t="str">
        <f t="shared" ca="1" si="217"/>
        <v>RFR EUR</v>
      </c>
      <c r="F2801" t="str">
        <f t="shared" ca="1" si="218"/>
        <v>RFR GBP</v>
      </c>
      <c r="J2801" s="1"/>
      <c r="N2801" s="1"/>
      <c r="R2801" s="1"/>
      <c r="V2801" s="1"/>
      <c r="AB2801" s="1"/>
      <c r="AF2801" s="1"/>
      <c r="AJ2801" s="1"/>
      <c r="AN2801" s="1"/>
      <c r="AS2801" s="1"/>
      <c r="AX2801" s="1"/>
    </row>
    <row r="2802" spans="1:50" x14ac:dyDescent="0.3">
      <c r="A2802" s="19">
        <f t="shared" si="219"/>
        <v>49837</v>
      </c>
      <c r="B2802">
        <f t="shared" ca="1" si="215"/>
        <v>-10.236111111111111</v>
      </c>
      <c r="C2802" t="str">
        <f ca="1">IF(currency="USD",'Future et co'!D2802,IF(currency="EUR",'Future et co'!E2802,IF(currency="GBP",'Future et co'!F2802,FALSE)))</f>
        <v>RFR USD</v>
      </c>
      <c r="D2802" t="str">
        <f t="shared" ca="1" si="216"/>
        <v>RFR USD</v>
      </c>
      <c r="E2802" t="str">
        <f t="shared" ca="1" si="217"/>
        <v>RFR EUR</v>
      </c>
      <c r="F2802" t="str">
        <f t="shared" ca="1" si="218"/>
        <v>RFR GBP</v>
      </c>
      <c r="J2802" s="1"/>
      <c r="N2802" s="1"/>
      <c r="R2802" s="1"/>
      <c r="V2802" s="1"/>
      <c r="AB2802" s="1"/>
      <c r="AF2802" s="1"/>
      <c r="AJ2802" s="1"/>
      <c r="AN2802" s="1"/>
      <c r="AS2802" s="1"/>
      <c r="AX2802" s="1"/>
    </row>
    <row r="2803" spans="1:50" x14ac:dyDescent="0.3">
      <c r="A2803" s="19">
        <f t="shared" si="219"/>
        <v>49838</v>
      </c>
      <c r="B2803">
        <f t="shared" ca="1" si="215"/>
        <v>-10.238888888888889</v>
      </c>
      <c r="C2803" t="str">
        <f ca="1">IF(currency="USD",'Future et co'!D2803,IF(currency="EUR",'Future et co'!E2803,IF(currency="GBP",'Future et co'!F2803,FALSE)))</f>
        <v>RFR USD</v>
      </c>
      <c r="D2803" t="str">
        <f t="shared" ca="1" si="216"/>
        <v>RFR USD</v>
      </c>
      <c r="E2803" t="str">
        <f t="shared" ca="1" si="217"/>
        <v>RFR EUR</v>
      </c>
      <c r="F2803" t="str">
        <f t="shared" ca="1" si="218"/>
        <v>RFR GBP</v>
      </c>
      <c r="J2803" s="1"/>
      <c r="N2803" s="1"/>
      <c r="R2803" s="1"/>
      <c r="V2803" s="1"/>
      <c r="AB2803" s="1"/>
      <c r="AF2803" s="1"/>
      <c r="AJ2803" s="1"/>
      <c r="AN2803" s="1"/>
      <c r="AS2803" s="1"/>
      <c r="AX2803" s="1"/>
    </row>
    <row r="2804" spans="1:50" x14ac:dyDescent="0.3">
      <c r="A2804" s="19">
        <f t="shared" si="219"/>
        <v>49839</v>
      </c>
      <c r="B2804">
        <f t="shared" ca="1" si="215"/>
        <v>-10.241666666666667</v>
      </c>
      <c r="C2804" t="str">
        <f ca="1">IF(currency="USD",'Future et co'!D2804,IF(currency="EUR",'Future et co'!E2804,IF(currency="GBP",'Future et co'!F2804,FALSE)))</f>
        <v>RFR USD</v>
      </c>
      <c r="D2804" t="str">
        <f t="shared" ca="1" si="216"/>
        <v>RFR USD</v>
      </c>
      <c r="E2804" t="str">
        <f t="shared" ca="1" si="217"/>
        <v>RFR EUR</v>
      </c>
      <c r="F2804" t="str">
        <f t="shared" ca="1" si="218"/>
        <v>RFR GBP</v>
      </c>
      <c r="J2804" s="1"/>
      <c r="N2804" s="1"/>
      <c r="R2804" s="1"/>
      <c r="V2804" s="1"/>
      <c r="AB2804" s="1"/>
      <c r="AF2804" s="1"/>
      <c r="AJ2804" s="1"/>
      <c r="AN2804" s="1"/>
      <c r="AS2804" s="1"/>
      <c r="AX2804" s="1"/>
    </row>
    <row r="2805" spans="1:50" x14ac:dyDescent="0.3">
      <c r="A2805" s="19">
        <f t="shared" si="219"/>
        <v>49842</v>
      </c>
      <c r="B2805">
        <f t="shared" ca="1" si="215"/>
        <v>-10.25</v>
      </c>
      <c r="C2805" t="str">
        <f ca="1">IF(currency="USD",'Future et co'!D2805,IF(currency="EUR",'Future et co'!E2805,IF(currency="GBP",'Future et co'!F2805,FALSE)))</f>
        <v>RFR USD</v>
      </c>
      <c r="D2805" t="str">
        <f t="shared" ca="1" si="216"/>
        <v>RFR USD</v>
      </c>
      <c r="E2805" t="str">
        <f t="shared" ca="1" si="217"/>
        <v>RFR EUR</v>
      </c>
      <c r="F2805" t="str">
        <f t="shared" ca="1" si="218"/>
        <v>RFR GBP</v>
      </c>
      <c r="J2805" s="1"/>
      <c r="N2805" s="1"/>
      <c r="R2805" s="1"/>
      <c r="V2805" s="1"/>
      <c r="AB2805" s="1"/>
      <c r="AF2805" s="1"/>
      <c r="AJ2805" s="1"/>
      <c r="AN2805" s="1"/>
      <c r="AS2805" s="1"/>
      <c r="AX2805" s="1"/>
    </row>
    <row r="2806" spans="1:50" x14ac:dyDescent="0.3">
      <c r="A2806" s="19">
        <f t="shared" si="219"/>
        <v>49843</v>
      </c>
      <c r="B2806">
        <f t="shared" ca="1" si="215"/>
        <v>-10.252777777777778</v>
      </c>
      <c r="C2806" t="str">
        <f ca="1">IF(currency="USD",'Future et co'!D2806,IF(currency="EUR",'Future et co'!E2806,IF(currency="GBP",'Future et co'!F2806,FALSE)))</f>
        <v>RFR USD</v>
      </c>
      <c r="D2806" t="str">
        <f t="shared" ca="1" si="216"/>
        <v>RFR USD</v>
      </c>
      <c r="E2806" t="str">
        <f t="shared" ca="1" si="217"/>
        <v>RFR EUR</v>
      </c>
      <c r="F2806" t="str">
        <f t="shared" ca="1" si="218"/>
        <v>RFR GBP</v>
      </c>
      <c r="J2806" s="1"/>
      <c r="N2806" s="1"/>
      <c r="R2806" s="1"/>
      <c r="V2806" s="1"/>
      <c r="AB2806" s="1"/>
      <c r="AF2806" s="1"/>
      <c r="AJ2806" s="1"/>
      <c r="AN2806" s="1"/>
      <c r="AS2806" s="1"/>
      <c r="AX2806" s="1"/>
    </row>
    <row r="2807" spans="1:50" x14ac:dyDescent="0.3">
      <c r="A2807" s="19">
        <f t="shared" si="219"/>
        <v>49844</v>
      </c>
      <c r="B2807">
        <f t="shared" ca="1" si="215"/>
        <v>-10.255555555555556</v>
      </c>
      <c r="C2807" t="str">
        <f ca="1">IF(currency="USD",'Future et co'!D2807,IF(currency="EUR",'Future et co'!E2807,IF(currency="GBP",'Future et co'!F2807,FALSE)))</f>
        <v>RFR USD</v>
      </c>
      <c r="D2807" t="str">
        <f t="shared" ca="1" si="216"/>
        <v>RFR USD</v>
      </c>
      <c r="E2807" t="str">
        <f t="shared" ca="1" si="217"/>
        <v>RFR EUR</v>
      </c>
      <c r="F2807" t="str">
        <f t="shared" ca="1" si="218"/>
        <v>RFR GBP</v>
      </c>
      <c r="J2807" s="1"/>
      <c r="N2807" s="1"/>
      <c r="R2807" s="1"/>
      <c r="V2807" s="1"/>
      <c r="AB2807" s="1"/>
      <c r="AF2807" s="1"/>
      <c r="AJ2807" s="1"/>
      <c r="AN2807" s="1"/>
      <c r="AS2807" s="1"/>
      <c r="AX2807" s="1"/>
    </row>
    <row r="2808" spans="1:50" x14ac:dyDescent="0.3">
      <c r="A2808" s="19">
        <f t="shared" si="219"/>
        <v>49845</v>
      </c>
      <c r="B2808">
        <f t="shared" ca="1" si="215"/>
        <v>-10.258333333333333</v>
      </c>
      <c r="C2808" t="str">
        <f ca="1">IF(currency="USD",'Future et co'!D2808,IF(currency="EUR",'Future et co'!E2808,IF(currency="GBP",'Future et co'!F2808,FALSE)))</f>
        <v>RFR USD</v>
      </c>
      <c r="D2808" t="str">
        <f t="shared" ca="1" si="216"/>
        <v>RFR USD</v>
      </c>
      <c r="E2808" t="str">
        <f t="shared" ca="1" si="217"/>
        <v>RFR EUR</v>
      </c>
      <c r="F2808" t="str">
        <f t="shared" ca="1" si="218"/>
        <v>RFR GBP</v>
      </c>
      <c r="J2808" s="1"/>
      <c r="N2808" s="1"/>
      <c r="R2808" s="1"/>
      <c r="V2808" s="1"/>
      <c r="AB2808" s="1"/>
      <c r="AF2808" s="1"/>
      <c r="AJ2808" s="1"/>
      <c r="AN2808" s="1"/>
      <c r="AS2808" s="1"/>
      <c r="AX2808" s="1"/>
    </row>
    <row r="2809" spans="1:50" x14ac:dyDescent="0.3">
      <c r="A2809" s="19">
        <f t="shared" si="219"/>
        <v>49846</v>
      </c>
      <c r="B2809">
        <f t="shared" ca="1" si="215"/>
        <v>-10.261111111111111</v>
      </c>
      <c r="C2809" t="str">
        <f ca="1">IF(currency="USD",'Future et co'!D2809,IF(currency="EUR",'Future et co'!E2809,IF(currency="GBP",'Future et co'!F2809,FALSE)))</f>
        <v>RFR USD</v>
      </c>
      <c r="D2809" t="str">
        <f t="shared" ca="1" si="216"/>
        <v>RFR USD</v>
      </c>
      <c r="E2809" t="str">
        <f t="shared" ca="1" si="217"/>
        <v>RFR EUR</v>
      </c>
      <c r="F2809" t="str">
        <f t="shared" ca="1" si="218"/>
        <v>RFR GBP</v>
      </c>
      <c r="J2809" s="1"/>
      <c r="N2809" s="1"/>
      <c r="R2809" s="1"/>
      <c r="V2809" s="1"/>
      <c r="AB2809" s="1"/>
      <c r="AF2809" s="1"/>
      <c r="AJ2809" s="1"/>
      <c r="AN2809" s="1"/>
      <c r="AS2809" s="1"/>
      <c r="AX2809" s="1"/>
    </row>
    <row r="2810" spans="1:50" x14ac:dyDescent="0.3">
      <c r="A2810" s="19">
        <f t="shared" si="219"/>
        <v>49849</v>
      </c>
      <c r="B2810">
        <f t="shared" ca="1" si="215"/>
        <v>-10.269444444444444</v>
      </c>
      <c r="C2810" t="str">
        <f ca="1">IF(currency="USD",'Future et co'!D2810,IF(currency="EUR",'Future et co'!E2810,IF(currency="GBP",'Future et co'!F2810,FALSE)))</f>
        <v>RFR USD</v>
      </c>
      <c r="D2810" t="str">
        <f t="shared" ca="1" si="216"/>
        <v>RFR USD</v>
      </c>
      <c r="E2810" t="str">
        <f t="shared" ca="1" si="217"/>
        <v>RFR EUR</v>
      </c>
      <c r="F2810" t="str">
        <f t="shared" ca="1" si="218"/>
        <v>RFR GBP</v>
      </c>
      <c r="J2810" s="1"/>
      <c r="N2810" s="1"/>
      <c r="R2810" s="1"/>
      <c r="V2810" s="1"/>
      <c r="AB2810" s="1"/>
      <c r="AF2810" s="1"/>
      <c r="AJ2810" s="1"/>
      <c r="AN2810" s="1"/>
      <c r="AS2810" s="1"/>
      <c r="AX2810" s="1"/>
    </row>
    <row r="2811" spans="1:50" x14ac:dyDescent="0.3">
      <c r="A2811" s="19">
        <f t="shared" si="219"/>
        <v>49850</v>
      </c>
      <c r="B2811">
        <f t="shared" ca="1" si="215"/>
        <v>-10.272222222222222</v>
      </c>
      <c r="C2811" t="str">
        <f ca="1">IF(currency="USD",'Future et co'!D2811,IF(currency="EUR",'Future et co'!E2811,IF(currency="GBP",'Future et co'!F2811,FALSE)))</f>
        <v>RFR USD</v>
      </c>
      <c r="D2811" t="str">
        <f t="shared" ca="1" si="216"/>
        <v>RFR USD</v>
      </c>
      <c r="E2811" t="str">
        <f t="shared" ca="1" si="217"/>
        <v>RFR EUR</v>
      </c>
      <c r="F2811" t="str">
        <f t="shared" ca="1" si="218"/>
        <v>RFR GBP</v>
      </c>
      <c r="J2811" s="1"/>
      <c r="N2811" s="1"/>
      <c r="R2811" s="1"/>
      <c r="V2811" s="1"/>
      <c r="AB2811" s="1"/>
      <c r="AF2811" s="1"/>
      <c r="AJ2811" s="1"/>
      <c r="AN2811" s="1"/>
      <c r="AS2811" s="1"/>
      <c r="AX2811" s="1"/>
    </row>
    <row r="2812" spans="1:50" x14ac:dyDescent="0.3">
      <c r="A2812" s="19">
        <f t="shared" si="219"/>
        <v>49851</v>
      </c>
      <c r="B2812">
        <f t="shared" ca="1" si="215"/>
        <v>-10.275</v>
      </c>
      <c r="C2812" t="str">
        <f ca="1">IF(currency="USD",'Future et co'!D2812,IF(currency="EUR",'Future et co'!E2812,IF(currency="GBP",'Future et co'!F2812,FALSE)))</f>
        <v>RFR USD</v>
      </c>
      <c r="D2812" t="str">
        <f t="shared" ca="1" si="216"/>
        <v>RFR USD</v>
      </c>
      <c r="E2812" t="str">
        <f t="shared" ca="1" si="217"/>
        <v>RFR EUR</v>
      </c>
      <c r="F2812" t="str">
        <f t="shared" ca="1" si="218"/>
        <v>RFR GBP</v>
      </c>
      <c r="J2812" s="1"/>
      <c r="N2812" s="1"/>
      <c r="R2812" s="1"/>
      <c r="V2812" s="1"/>
      <c r="AB2812" s="1"/>
      <c r="AF2812" s="1"/>
      <c r="AJ2812" s="1"/>
      <c r="AN2812" s="1"/>
      <c r="AS2812" s="1"/>
      <c r="AX2812" s="1"/>
    </row>
    <row r="2813" spans="1:50" x14ac:dyDescent="0.3">
      <c r="A2813" s="19">
        <f t="shared" si="219"/>
        <v>49852</v>
      </c>
      <c r="B2813">
        <f t="shared" ca="1" si="215"/>
        <v>-10.277777777777779</v>
      </c>
      <c r="C2813" t="str">
        <f ca="1">IF(currency="USD",'Future et co'!D2813,IF(currency="EUR",'Future et co'!E2813,IF(currency="GBP",'Future et co'!F2813,FALSE)))</f>
        <v>RFR USD</v>
      </c>
      <c r="D2813" t="str">
        <f t="shared" ca="1" si="216"/>
        <v>RFR USD</v>
      </c>
      <c r="E2813" t="str">
        <f t="shared" ca="1" si="217"/>
        <v>RFR EUR</v>
      </c>
      <c r="F2813" t="str">
        <f t="shared" ca="1" si="218"/>
        <v>RFR GBP</v>
      </c>
      <c r="J2813" s="1"/>
      <c r="N2813" s="1"/>
      <c r="R2813" s="1"/>
      <c r="V2813" s="1"/>
      <c r="AB2813" s="1"/>
      <c r="AF2813" s="1"/>
      <c r="AJ2813" s="1"/>
      <c r="AN2813" s="1"/>
      <c r="AS2813" s="1"/>
      <c r="AX2813" s="1"/>
    </row>
    <row r="2814" spans="1:50" x14ac:dyDescent="0.3">
      <c r="A2814" s="19">
        <f t="shared" si="219"/>
        <v>49853</v>
      </c>
      <c r="B2814">
        <f t="shared" ca="1" si="215"/>
        <v>-10.280555555555555</v>
      </c>
      <c r="C2814" t="str">
        <f ca="1">IF(currency="USD",'Future et co'!D2814,IF(currency="EUR",'Future et co'!E2814,IF(currency="GBP",'Future et co'!F2814,FALSE)))</f>
        <v>RFR USD</v>
      </c>
      <c r="D2814" t="str">
        <f t="shared" ca="1" si="216"/>
        <v>RFR USD</v>
      </c>
      <c r="E2814" t="str">
        <f t="shared" ca="1" si="217"/>
        <v>RFR EUR</v>
      </c>
      <c r="F2814" t="str">
        <f t="shared" ca="1" si="218"/>
        <v>RFR GBP</v>
      </c>
      <c r="J2814" s="1"/>
      <c r="N2814" s="1"/>
      <c r="R2814" s="1"/>
      <c r="V2814" s="1"/>
      <c r="AB2814" s="1"/>
      <c r="AF2814" s="1"/>
      <c r="AJ2814" s="1"/>
      <c r="AN2814" s="1"/>
      <c r="AS2814" s="1"/>
      <c r="AX2814" s="1"/>
    </row>
    <row r="2815" spans="1:50" x14ac:dyDescent="0.3">
      <c r="A2815" s="19">
        <f t="shared" si="219"/>
        <v>49856</v>
      </c>
      <c r="B2815">
        <f t="shared" ca="1" si="215"/>
        <v>-10.28888888888889</v>
      </c>
      <c r="C2815" t="str">
        <f ca="1">IF(currency="USD",'Future et co'!D2815,IF(currency="EUR",'Future et co'!E2815,IF(currency="GBP",'Future et co'!F2815,FALSE)))</f>
        <v>RFR USD</v>
      </c>
      <c r="D2815" t="str">
        <f t="shared" ca="1" si="216"/>
        <v>RFR USD</v>
      </c>
      <c r="E2815" t="str">
        <f t="shared" ca="1" si="217"/>
        <v>RFR EUR</v>
      </c>
      <c r="F2815" t="str">
        <f t="shared" ca="1" si="218"/>
        <v>RFR GBP</v>
      </c>
      <c r="J2815" s="1"/>
      <c r="N2815" s="1"/>
      <c r="R2815" s="1"/>
      <c r="V2815" s="1"/>
      <c r="AB2815" s="1"/>
      <c r="AF2815" s="1"/>
      <c r="AJ2815" s="1"/>
      <c r="AN2815" s="1"/>
      <c r="AS2815" s="1"/>
      <c r="AX2815" s="1"/>
    </row>
    <row r="2816" spans="1:50" x14ac:dyDescent="0.3">
      <c r="A2816" s="19">
        <f t="shared" si="219"/>
        <v>49857</v>
      </c>
      <c r="B2816">
        <f t="shared" ca="1" si="215"/>
        <v>-10.291666666666666</v>
      </c>
      <c r="C2816" t="str">
        <f ca="1">IF(currency="USD",'Future et co'!D2816,IF(currency="EUR",'Future et co'!E2816,IF(currency="GBP",'Future et co'!F2816,FALSE)))</f>
        <v>RFR USD</v>
      </c>
      <c r="D2816" t="str">
        <f t="shared" ca="1" si="216"/>
        <v>RFR USD</v>
      </c>
      <c r="E2816" t="str">
        <f t="shared" ca="1" si="217"/>
        <v>RFR EUR</v>
      </c>
      <c r="F2816" t="str">
        <f t="shared" ca="1" si="218"/>
        <v>RFR GBP</v>
      </c>
      <c r="J2816" s="1"/>
      <c r="N2816" s="1"/>
      <c r="R2816" s="1"/>
      <c r="V2816" s="1"/>
      <c r="AB2816" s="1"/>
      <c r="AF2816" s="1"/>
      <c r="AJ2816" s="1"/>
      <c r="AN2816" s="1"/>
      <c r="AS2816" s="1"/>
      <c r="AX2816" s="1"/>
    </row>
    <row r="2817" spans="1:50" x14ac:dyDescent="0.3">
      <c r="A2817" s="19">
        <f t="shared" si="219"/>
        <v>49858</v>
      </c>
      <c r="B2817">
        <f t="shared" ca="1" si="215"/>
        <v>-10.294444444444444</v>
      </c>
      <c r="C2817" t="str">
        <f ca="1">IF(currency="USD",'Future et co'!D2817,IF(currency="EUR",'Future et co'!E2817,IF(currency="GBP",'Future et co'!F2817,FALSE)))</f>
        <v>RFR USD</v>
      </c>
      <c r="D2817" t="str">
        <f t="shared" ca="1" si="216"/>
        <v>RFR USD</v>
      </c>
      <c r="E2817" t="str">
        <f t="shared" ca="1" si="217"/>
        <v>RFR EUR</v>
      </c>
      <c r="F2817" t="str">
        <f t="shared" ca="1" si="218"/>
        <v>RFR GBP</v>
      </c>
      <c r="J2817" s="1"/>
      <c r="N2817" s="1"/>
      <c r="R2817" s="1"/>
      <c r="V2817" s="1"/>
      <c r="AB2817" s="1"/>
      <c r="AF2817" s="1"/>
      <c r="AJ2817" s="1"/>
      <c r="AN2817" s="1"/>
      <c r="AS2817" s="1"/>
      <c r="AX2817" s="1"/>
    </row>
    <row r="2818" spans="1:50" x14ac:dyDescent="0.3">
      <c r="A2818" s="19">
        <f t="shared" si="219"/>
        <v>49859</v>
      </c>
      <c r="B2818">
        <f t="shared" ca="1" si="215"/>
        <v>-10.297222222222222</v>
      </c>
      <c r="C2818" t="str">
        <f ca="1">IF(currency="USD",'Future et co'!D2818,IF(currency="EUR",'Future et co'!E2818,IF(currency="GBP",'Future et co'!F2818,FALSE)))</f>
        <v>RFR USD</v>
      </c>
      <c r="D2818" t="str">
        <f t="shared" ca="1" si="216"/>
        <v>RFR USD</v>
      </c>
      <c r="E2818" t="str">
        <f t="shared" ca="1" si="217"/>
        <v>RFR EUR</v>
      </c>
      <c r="F2818" t="str">
        <f t="shared" ca="1" si="218"/>
        <v>RFR GBP</v>
      </c>
      <c r="J2818" s="1"/>
      <c r="N2818" s="1"/>
      <c r="R2818" s="1"/>
      <c r="V2818" s="1"/>
      <c r="AB2818" s="1"/>
      <c r="AF2818" s="1"/>
      <c r="AJ2818" s="1"/>
      <c r="AN2818" s="1"/>
      <c r="AS2818" s="1"/>
      <c r="AX2818" s="1"/>
    </row>
    <row r="2819" spans="1:50" x14ac:dyDescent="0.3">
      <c r="A2819" s="19">
        <f t="shared" si="219"/>
        <v>49860</v>
      </c>
      <c r="B2819">
        <f t="shared" ca="1" si="215"/>
        <v>-10.3</v>
      </c>
      <c r="C2819" t="str">
        <f ca="1">IF(currency="USD",'Future et co'!D2819,IF(currency="EUR",'Future et co'!E2819,IF(currency="GBP",'Future et co'!F2819,FALSE)))</f>
        <v>RFR USD</v>
      </c>
      <c r="D2819" t="str">
        <f t="shared" ca="1" si="216"/>
        <v>RFR USD</v>
      </c>
      <c r="E2819" t="str">
        <f t="shared" ca="1" si="217"/>
        <v>RFR EUR</v>
      </c>
      <c r="F2819" t="str">
        <f t="shared" ca="1" si="218"/>
        <v>RFR GBP</v>
      </c>
      <c r="J2819" s="1"/>
      <c r="N2819" s="1"/>
      <c r="R2819" s="1"/>
      <c r="V2819" s="1"/>
      <c r="AB2819" s="1"/>
      <c r="AF2819" s="1"/>
      <c r="AJ2819" s="1"/>
      <c r="AN2819" s="1"/>
      <c r="AS2819" s="1"/>
      <c r="AX2819" s="1"/>
    </row>
    <row r="2820" spans="1:50" x14ac:dyDescent="0.3">
      <c r="A2820" s="19">
        <f t="shared" si="219"/>
        <v>49863</v>
      </c>
      <c r="B2820">
        <f t="shared" ca="1" si="215"/>
        <v>-10.308333333333334</v>
      </c>
      <c r="C2820" t="str">
        <f ca="1">IF(currency="USD",'Future et co'!D2820,IF(currency="EUR",'Future et co'!E2820,IF(currency="GBP",'Future et co'!F2820,FALSE)))</f>
        <v>RFR USD</v>
      </c>
      <c r="D2820" t="str">
        <f t="shared" ca="1" si="216"/>
        <v>RFR USD</v>
      </c>
      <c r="E2820" t="str">
        <f t="shared" ca="1" si="217"/>
        <v>RFR EUR</v>
      </c>
      <c r="F2820" t="str">
        <f t="shared" ca="1" si="218"/>
        <v>RFR GBP</v>
      </c>
      <c r="J2820" s="1"/>
      <c r="N2820" s="1"/>
      <c r="R2820" s="1"/>
      <c r="V2820" s="1"/>
      <c r="AB2820" s="1"/>
      <c r="AF2820" s="1"/>
      <c r="AJ2820" s="1"/>
      <c r="AN2820" s="1"/>
      <c r="AS2820" s="1"/>
      <c r="AX2820" s="1"/>
    </row>
    <row r="2821" spans="1:50" x14ac:dyDescent="0.3">
      <c r="A2821" s="19">
        <f t="shared" si="219"/>
        <v>49864</v>
      </c>
      <c r="B2821">
        <f t="shared" ca="1" si="215"/>
        <v>-10.311111111111112</v>
      </c>
      <c r="C2821" t="str">
        <f ca="1">IF(currency="USD",'Future et co'!D2821,IF(currency="EUR",'Future et co'!E2821,IF(currency="GBP",'Future et co'!F2821,FALSE)))</f>
        <v>RFR USD</v>
      </c>
      <c r="D2821" t="str">
        <f t="shared" ca="1" si="216"/>
        <v>RFR USD</v>
      </c>
      <c r="E2821" t="str">
        <f t="shared" ca="1" si="217"/>
        <v>RFR EUR</v>
      </c>
      <c r="F2821" t="str">
        <f t="shared" ca="1" si="218"/>
        <v>RFR GBP</v>
      </c>
      <c r="J2821" s="1"/>
      <c r="N2821" s="1"/>
      <c r="R2821" s="1"/>
      <c r="V2821" s="1"/>
      <c r="AB2821" s="1"/>
      <c r="AF2821" s="1"/>
      <c r="AJ2821" s="1"/>
      <c r="AN2821" s="1"/>
      <c r="AS2821" s="1"/>
      <c r="AX2821" s="1"/>
    </row>
    <row r="2822" spans="1:50" x14ac:dyDescent="0.3">
      <c r="A2822" s="19">
        <f t="shared" si="219"/>
        <v>49865</v>
      </c>
      <c r="B2822">
        <f t="shared" ca="1" si="215"/>
        <v>-10.313888888888888</v>
      </c>
      <c r="C2822" t="str">
        <f ca="1">IF(currency="USD",'Future et co'!D2822,IF(currency="EUR",'Future et co'!E2822,IF(currency="GBP",'Future et co'!F2822,FALSE)))</f>
        <v>RFR USD</v>
      </c>
      <c r="D2822" t="str">
        <f t="shared" ca="1" si="216"/>
        <v>RFR USD</v>
      </c>
      <c r="E2822" t="str">
        <f t="shared" ca="1" si="217"/>
        <v>RFR EUR</v>
      </c>
      <c r="F2822" t="str">
        <f t="shared" ca="1" si="218"/>
        <v>RFR GBP</v>
      </c>
      <c r="J2822" s="1"/>
      <c r="N2822" s="1"/>
      <c r="R2822" s="1"/>
      <c r="V2822" s="1"/>
      <c r="AB2822" s="1"/>
      <c r="AF2822" s="1"/>
      <c r="AJ2822" s="1"/>
      <c r="AN2822" s="1"/>
      <c r="AS2822" s="1"/>
      <c r="AX2822" s="1"/>
    </row>
    <row r="2823" spans="1:50" x14ac:dyDescent="0.3">
      <c r="A2823" s="19">
        <f t="shared" si="219"/>
        <v>49866</v>
      </c>
      <c r="B2823">
        <f t="shared" ca="1" si="215"/>
        <v>-10.316666666666666</v>
      </c>
      <c r="C2823" t="str">
        <f ca="1">IF(currency="USD",'Future et co'!D2823,IF(currency="EUR",'Future et co'!E2823,IF(currency="GBP",'Future et co'!F2823,FALSE)))</f>
        <v>RFR USD</v>
      </c>
      <c r="D2823" t="str">
        <f t="shared" ca="1" si="216"/>
        <v>RFR USD</v>
      </c>
      <c r="E2823" t="str">
        <f t="shared" ca="1" si="217"/>
        <v>RFR EUR</v>
      </c>
      <c r="F2823" t="str">
        <f t="shared" ca="1" si="218"/>
        <v>RFR GBP</v>
      </c>
      <c r="J2823" s="1"/>
      <c r="N2823" s="1"/>
      <c r="R2823" s="1"/>
      <c r="V2823" s="1"/>
      <c r="AB2823" s="1"/>
      <c r="AF2823" s="1"/>
      <c r="AJ2823" s="1"/>
      <c r="AN2823" s="1"/>
      <c r="AS2823" s="1"/>
      <c r="AX2823" s="1"/>
    </row>
    <row r="2824" spans="1:50" x14ac:dyDescent="0.3">
      <c r="A2824" s="19">
        <f t="shared" si="219"/>
        <v>49867</v>
      </c>
      <c r="B2824">
        <f t="shared" ca="1" si="215"/>
        <v>-10.319444444444445</v>
      </c>
      <c r="C2824" t="str">
        <f ca="1">IF(currency="USD",'Future et co'!D2824,IF(currency="EUR",'Future et co'!E2824,IF(currency="GBP",'Future et co'!F2824,FALSE)))</f>
        <v>RFR USD</v>
      </c>
      <c r="D2824" t="str">
        <f t="shared" ca="1" si="216"/>
        <v>RFR USD</v>
      </c>
      <c r="E2824" t="str">
        <f t="shared" ca="1" si="217"/>
        <v>RFR EUR</v>
      </c>
      <c r="F2824" t="str">
        <f t="shared" ca="1" si="218"/>
        <v>RFR GBP</v>
      </c>
      <c r="J2824" s="1"/>
      <c r="N2824" s="1"/>
      <c r="R2824" s="1"/>
      <c r="V2824" s="1"/>
      <c r="AB2824" s="1"/>
      <c r="AF2824" s="1"/>
      <c r="AJ2824" s="1"/>
      <c r="AN2824" s="1"/>
      <c r="AS2824" s="1"/>
      <c r="AX2824" s="1"/>
    </row>
    <row r="2825" spans="1:50" x14ac:dyDescent="0.3">
      <c r="A2825" s="19">
        <f t="shared" si="219"/>
        <v>49870</v>
      </c>
      <c r="B2825">
        <f t="shared" ca="1" si="215"/>
        <v>-10.327777777777778</v>
      </c>
      <c r="C2825" t="str">
        <f ca="1">IF(currency="USD",'Future et co'!D2825,IF(currency="EUR",'Future et co'!E2825,IF(currency="GBP",'Future et co'!F2825,FALSE)))</f>
        <v>RFR USD</v>
      </c>
      <c r="D2825" t="str">
        <f t="shared" ca="1" si="216"/>
        <v>RFR USD</v>
      </c>
      <c r="E2825" t="str">
        <f t="shared" ca="1" si="217"/>
        <v>RFR EUR</v>
      </c>
      <c r="F2825" t="str">
        <f t="shared" ca="1" si="218"/>
        <v>RFR GBP</v>
      </c>
      <c r="J2825" s="1"/>
      <c r="N2825" s="1"/>
      <c r="R2825" s="1"/>
      <c r="V2825" s="1"/>
      <c r="AB2825" s="1"/>
      <c r="AF2825" s="1"/>
      <c r="AJ2825" s="1"/>
      <c r="AN2825" s="1"/>
      <c r="AS2825" s="1"/>
      <c r="AX2825" s="1"/>
    </row>
    <row r="2826" spans="1:50" x14ac:dyDescent="0.3">
      <c r="A2826" s="19">
        <f t="shared" si="219"/>
        <v>49871</v>
      </c>
      <c r="B2826">
        <f t="shared" ca="1" si="215"/>
        <v>-10.330555555555556</v>
      </c>
      <c r="C2826" t="str">
        <f ca="1">IF(currency="USD",'Future et co'!D2826,IF(currency="EUR",'Future et co'!E2826,IF(currency="GBP",'Future et co'!F2826,FALSE)))</f>
        <v>RFR USD</v>
      </c>
      <c r="D2826" t="str">
        <f t="shared" ca="1" si="216"/>
        <v>RFR USD</v>
      </c>
      <c r="E2826" t="str">
        <f t="shared" ca="1" si="217"/>
        <v>RFR EUR</v>
      </c>
      <c r="F2826" t="str">
        <f t="shared" ca="1" si="218"/>
        <v>RFR GBP</v>
      </c>
      <c r="J2826" s="1"/>
      <c r="N2826" s="1"/>
      <c r="R2826" s="1"/>
      <c r="V2826" s="1"/>
      <c r="AB2826" s="1"/>
      <c r="AF2826" s="1"/>
      <c r="AJ2826" s="1"/>
      <c r="AN2826" s="1"/>
      <c r="AS2826" s="1"/>
      <c r="AX2826" s="1"/>
    </row>
    <row r="2827" spans="1:50" x14ac:dyDescent="0.3">
      <c r="A2827" s="19">
        <f t="shared" si="219"/>
        <v>49872</v>
      </c>
      <c r="B2827">
        <f t="shared" ref="B2827:B2890" ca="1" si="220">($B$7-A2827)/360</f>
        <v>-10.333333333333334</v>
      </c>
      <c r="C2827" t="str">
        <f ca="1">IF(currency="USD",'Future et co'!D2827,IF(currency="EUR",'Future et co'!E2827,IF(currency="GBP",'Future et co'!F2827,FALSE)))</f>
        <v>RFR USD</v>
      </c>
      <c r="D2827" t="str">
        <f t="shared" ref="D2827:D2890" ca="1" si="221">IFERROR(IF(B2827&lt;0.25,VLOOKUP(A2827,$J$11:$L$5325,3,FALSE),IF(AND(B2827&gt;=0.25,B2827&lt;0.5),VLOOKUP(A2827,$N$11:$P$5325,3,FALSE),IF(AND(B2827&gt;=0.5,B2827&lt;1),VLOOKUP(A2827,$R$11:$T$5325,3,FALSE),VLOOKUP(A2827,$V$11:$X$5010,3,FALSE)))),D2826)</f>
        <v>RFR USD</v>
      </c>
      <c r="E2827" t="str">
        <f t="shared" ref="E2827:E2890" ca="1" si="222">IFERROR(IF(B2827&lt;0.25,VLOOKUP(A2827,$AF$11:$AH$5325,3,FALSE),IF(AND(B2827&gt;=0.25,B2827&lt;0.5),VLOOKUP(A2827,$AJ$11:$AL$5325,3,FALSE),VLOOKUP(A2827,$AN$11:$AP$5325,3,FALSE))),E2826)</f>
        <v>RFR EUR</v>
      </c>
      <c r="F2827" t="str">
        <f t="shared" ref="F2827:F2890" ca="1" si="223">IFERROR(VLOOKUP(A2827,$AS$11:$AU$9999,3,FALSE),F2826)</f>
        <v>RFR GBP</v>
      </c>
      <c r="J2827" s="1"/>
      <c r="N2827" s="1"/>
      <c r="R2827" s="1"/>
      <c r="V2827" s="1"/>
      <c r="AB2827" s="1"/>
      <c r="AF2827" s="1"/>
      <c r="AJ2827" s="1"/>
      <c r="AN2827" s="1"/>
      <c r="AS2827" s="1"/>
      <c r="AX2827" s="1"/>
    </row>
    <row r="2828" spans="1:50" x14ac:dyDescent="0.3">
      <c r="A2828" s="19">
        <f t="shared" si="219"/>
        <v>49873</v>
      </c>
      <c r="B2828">
        <f t="shared" ca="1" si="220"/>
        <v>-10.33611111111111</v>
      </c>
      <c r="C2828" t="str">
        <f ca="1">IF(currency="USD",'Future et co'!D2828,IF(currency="EUR",'Future et co'!E2828,IF(currency="GBP",'Future et co'!F2828,FALSE)))</f>
        <v>RFR USD</v>
      </c>
      <c r="D2828" t="str">
        <f t="shared" ca="1" si="221"/>
        <v>RFR USD</v>
      </c>
      <c r="E2828" t="str">
        <f t="shared" ca="1" si="222"/>
        <v>RFR EUR</v>
      </c>
      <c r="F2828" t="str">
        <f t="shared" ca="1" si="223"/>
        <v>RFR GBP</v>
      </c>
      <c r="J2828" s="1"/>
      <c r="N2828" s="1"/>
      <c r="R2828" s="1"/>
      <c r="V2828" s="1"/>
      <c r="AB2828" s="1"/>
      <c r="AF2828" s="1"/>
      <c r="AJ2828" s="1"/>
      <c r="AN2828" s="1"/>
      <c r="AS2828" s="1"/>
      <c r="AX2828" s="1"/>
    </row>
    <row r="2829" spans="1:50" x14ac:dyDescent="0.3">
      <c r="A2829" s="19">
        <f t="shared" ref="A2829:A2892" si="224">WORKDAY(A2828,1)</f>
        <v>49874</v>
      </c>
      <c r="B2829">
        <f t="shared" ca="1" si="220"/>
        <v>-10.338888888888889</v>
      </c>
      <c r="C2829" t="str">
        <f ca="1">IF(currency="USD",'Future et co'!D2829,IF(currency="EUR",'Future et co'!E2829,IF(currency="GBP",'Future et co'!F2829,FALSE)))</f>
        <v>RFR USD</v>
      </c>
      <c r="D2829" t="str">
        <f t="shared" ca="1" si="221"/>
        <v>RFR USD</v>
      </c>
      <c r="E2829" t="str">
        <f t="shared" ca="1" si="222"/>
        <v>RFR EUR</v>
      </c>
      <c r="F2829" t="str">
        <f t="shared" ca="1" si="223"/>
        <v>RFR GBP</v>
      </c>
      <c r="J2829" s="1"/>
      <c r="N2829" s="1"/>
      <c r="R2829" s="1"/>
      <c r="V2829" s="1"/>
      <c r="AB2829" s="1"/>
      <c r="AF2829" s="1"/>
      <c r="AJ2829" s="1"/>
      <c r="AN2829" s="1"/>
      <c r="AS2829" s="1"/>
      <c r="AX2829" s="1"/>
    </row>
    <row r="2830" spans="1:50" x14ac:dyDescent="0.3">
      <c r="A2830" s="19">
        <f t="shared" si="224"/>
        <v>49877</v>
      </c>
      <c r="B2830">
        <f t="shared" ca="1" si="220"/>
        <v>-10.347222222222221</v>
      </c>
      <c r="C2830" t="str">
        <f ca="1">IF(currency="USD",'Future et co'!D2830,IF(currency="EUR",'Future et co'!E2830,IF(currency="GBP",'Future et co'!F2830,FALSE)))</f>
        <v>RFR USD</v>
      </c>
      <c r="D2830" t="str">
        <f t="shared" ca="1" si="221"/>
        <v>RFR USD</v>
      </c>
      <c r="E2830" t="str">
        <f t="shared" ca="1" si="222"/>
        <v>RFR EUR</v>
      </c>
      <c r="F2830" t="str">
        <f t="shared" ca="1" si="223"/>
        <v>RFR GBP</v>
      </c>
      <c r="J2830" s="1"/>
      <c r="N2830" s="1"/>
      <c r="R2830" s="1"/>
      <c r="V2830" s="1"/>
      <c r="AB2830" s="1"/>
      <c r="AF2830" s="1"/>
      <c r="AJ2830" s="1"/>
      <c r="AN2830" s="1"/>
      <c r="AS2830" s="1"/>
      <c r="AX2830" s="1"/>
    </row>
    <row r="2831" spans="1:50" x14ac:dyDescent="0.3">
      <c r="A2831" s="19">
        <f t="shared" si="224"/>
        <v>49878</v>
      </c>
      <c r="B2831">
        <f t="shared" ca="1" si="220"/>
        <v>-10.35</v>
      </c>
      <c r="C2831" t="str">
        <f ca="1">IF(currency="USD",'Future et co'!D2831,IF(currency="EUR",'Future et co'!E2831,IF(currency="GBP",'Future et co'!F2831,FALSE)))</f>
        <v>RFR USD</v>
      </c>
      <c r="D2831" t="str">
        <f t="shared" ca="1" si="221"/>
        <v>RFR USD</v>
      </c>
      <c r="E2831" t="str">
        <f t="shared" ca="1" si="222"/>
        <v>RFR EUR</v>
      </c>
      <c r="F2831" t="str">
        <f t="shared" ca="1" si="223"/>
        <v>RFR GBP</v>
      </c>
      <c r="J2831" s="1"/>
      <c r="N2831" s="1"/>
      <c r="R2831" s="1"/>
      <c r="V2831" s="1"/>
      <c r="AB2831" s="1"/>
      <c r="AF2831" s="1"/>
      <c r="AJ2831" s="1"/>
      <c r="AN2831" s="1"/>
      <c r="AS2831" s="1"/>
      <c r="AX2831" s="1"/>
    </row>
    <row r="2832" spans="1:50" x14ac:dyDescent="0.3">
      <c r="A2832" s="19">
        <f t="shared" si="224"/>
        <v>49879</v>
      </c>
      <c r="B2832">
        <f t="shared" ca="1" si="220"/>
        <v>-10.352777777777778</v>
      </c>
      <c r="C2832" t="str">
        <f ca="1">IF(currency="USD",'Future et co'!D2832,IF(currency="EUR",'Future et co'!E2832,IF(currency="GBP",'Future et co'!F2832,FALSE)))</f>
        <v>RFR USD</v>
      </c>
      <c r="D2832" t="str">
        <f t="shared" ca="1" si="221"/>
        <v>RFR USD</v>
      </c>
      <c r="E2832" t="str">
        <f t="shared" ca="1" si="222"/>
        <v>RFR EUR</v>
      </c>
      <c r="F2832" t="str">
        <f t="shared" ca="1" si="223"/>
        <v>RFR GBP</v>
      </c>
      <c r="J2832" s="1"/>
      <c r="N2832" s="1"/>
      <c r="R2832" s="1"/>
      <c r="V2832" s="1"/>
      <c r="AB2832" s="1"/>
      <c r="AF2832" s="1"/>
      <c r="AJ2832" s="1"/>
      <c r="AN2832" s="1"/>
      <c r="AS2832" s="1"/>
      <c r="AX2832" s="1"/>
    </row>
    <row r="2833" spans="1:50" x14ac:dyDescent="0.3">
      <c r="A2833" s="19">
        <f t="shared" si="224"/>
        <v>49880</v>
      </c>
      <c r="B2833">
        <f t="shared" ca="1" si="220"/>
        <v>-10.355555555555556</v>
      </c>
      <c r="C2833" t="str">
        <f ca="1">IF(currency="USD",'Future et co'!D2833,IF(currency="EUR",'Future et co'!E2833,IF(currency="GBP",'Future et co'!F2833,FALSE)))</f>
        <v>RFR USD</v>
      </c>
      <c r="D2833" t="str">
        <f t="shared" ca="1" si="221"/>
        <v>RFR USD</v>
      </c>
      <c r="E2833" t="str">
        <f t="shared" ca="1" si="222"/>
        <v>RFR EUR</v>
      </c>
      <c r="F2833" t="str">
        <f t="shared" ca="1" si="223"/>
        <v>RFR GBP</v>
      </c>
      <c r="J2833" s="1"/>
      <c r="N2833" s="1"/>
      <c r="R2833" s="1"/>
      <c r="V2833" s="1"/>
      <c r="AB2833" s="1"/>
      <c r="AF2833" s="1"/>
      <c r="AJ2833" s="1"/>
      <c r="AN2833" s="1"/>
      <c r="AS2833" s="1"/>
      <c r="AX2833" s="1"/>
    </row>
    <row r="2834" spans="1:50" x14ac:dyDescent="0.3">
      <c r="A2834" s="19">
        <f t="shared" si="224"/>
        <v>49881</v>
      </c>
      <c r="B2834">
        <f t="shared" ca="1" si="220"/>
        <v>-10.358333333333333</v>
      </c>
      <c r="C2834" t="str">
        <f ca="1">IF(currency="USD",'Future et co'!D2834,IF(currency="EUR",'Future et co'!E2834,IF(currency="GBP",'Future et co'!F2834,FALSE)))</f>
        <v>RFR USD</v>
      </c>
      <c r="D2834" t="str">
        <f t="shared" ca="1" si="221"/>
        <v>RFR USD</v>
      </c>
      <c r="E2834" t="str">
        <f t="shared" ca="1" si="222"/>
        <v>RFR EUR</v>
      </c>
      <c r="F2834" t="str">
        <f t="shared" ca="1" si="223"/>
        <v>RFR GBP</v>
      </c>
      <c r="J2834" s="1"/>
      <c r="N2834" s="1"/>
      <c r="R2834" s="1"/>
      <c r="V2834" s="1"/>
      <c r="AB2834" s="1"/>
      <c r="AF2834" s="1"/>
      <c r="AJ2834" s="1"/>
      <c r="AN2834" s="1"/>
      <c r="AS2834" s="1"/>
      <c r="AX2834" s="1"/>
    </row>
    <row r="2835" spans="1:50" x14ac:dyDescent="0.3">
      <c r="A2835" s="19">
        <f t="shared" si="224"/>
        <v>49884</v>
      </c>
      <c r="B2835">
        <f t="shared" ca="1" si="220"/>
        <v>-10.366666666666667</v>
      </c>
      <c r="C2835" t="str">
        <f ca="1">IF(currency="USD",'Future et co'!D2835,IF(currency="EUR",'Future et co'!E2835,IF(currency="GBP",'Future et co'!F2835,FALSE)))</f>
        <v>RFR USD</v>
      </c>
      <c r="D2835" t="str">
        <f t="shared" ca="1" si="221"/>
        <v>RFR USD</v>
      </c>
      <c r="E2835" t="str">
        <f t="shared" ca="1" si="222"/>
        <v>RFR EUR</v>
      </c>
      <c r="F2835" t="str">
        <f t="shared" ca="1" si="223"/>
        <v>RFR GBP</v>
      </c>
      <c r="J2835" s="1"/>
      <c r="N2835" s="1"/>
      <c r="R2835" s="1"/>
      <c r="V2835" s="1"/>
      <c r="AB2835" s="1"/>
      <c r="AF2835" s="1"/>
      <c r="AJ2835" s="1"/>
      <c r="AN2835" s="1"/>
      <c r="AS2835" s="1"/>
      <c r="AX2835" s="1"/>
    </row>
    <row r="2836" spans="1:50" x14ac:dyDescent="0.3">
      <c r="A2836" s="19">
        <f t="shared" si="224"/>
        <v>49885</v>
      </c>
      <c r="B2836">
        <f t="shared" ca="1" si="220"/>
        <v>-10.369444444444444</v>
      </c>
      <c r="C2836" t="str">
        <f ca="1">IF(currency="USD",'Future et co'!D2836,IF(currency="EUR",'Future et co'!E2836,IF(currency="GBP",'Future et co'!F2836,FALSE)))</f>
        <v>RFR USD</v>
      </c>
      <c r="D2836" t="str">
        <f t="shared" ca="1" si="221"/>
        <v>RFR USD</v>
      </c>
      <c r="E2836" t="str">
        <f t="shared" ca="1" si="222"/>
        <v>RFR EUR</v>
      </c>
      <c r="F2836" t="str">
        <f t="shared" ca="1" si="223"/>
        <v>RFR GBP</v>
      </c>
      <c r="J2836" s="1"/>
      <c r="N2836" s="1"/>
      <c r="R2836" s="1"/>
      <c r="V2836" s="1"/>
      <c r="AB2836" s="1"/>
      <c r="AF2836" s="1"/>
      <c r="AJ2836" s="1"/>
      <c r="AN2836" s="1"/>
      <c r="AS2836" s="1"/>
      <c r="AX2836" s="1"/>
    </row>
    <row r="2837" spans="1:50" x14ac:dyDescent="0.3">
      <c r="A2837" s="19">
        <f t="shared" si="224"/>
        <v>49886</v>
      </c>
      <c r="B2837">
        <f t="shared" ca="1" si="220"/>
        <v>-10.372222222222222</v>
      </c>
      <c r="C2837" t="str">
        <f ca="1">IF(currency="USD",'Future et co'!D2837,IF(currency="EUR",'Future et co'!E2837,IF(currency="GBP",'Future et co'!F2837,FALSE)))</f>
        <v>RFR USD</v>
      </c>
      <c r="D2837" t="str">
        <f t="shared" ca="1" si="221"/>
        <v>RFR USD</v>
      </c>
      <c r="E2837" t="str">
        <f t="shared" ca="1" si="222"/>
        <v>RFR EUR</v>
      </c>
      <c r="F2837" t="str">
        <f t="shared" ca="1" si="223"/>
        <v>RFR GBP</v>
      </c>
      <c r="J2837" s="1"/>
      <c r="N2837" s="1"/>
      <c r="R2837" s="1"/>
      <c r="V2837" s="1"/>
      <c r="AB2837" s="1"/>
      <c r="AF2837" s="1"/>
      <c r="AJ2837" s="1"/>
      <c r="AN2837" s="1"/>
      <c r="AS2837" s="1"/>
      <c r="AX2837" s="1"/>
    </row>
    <row r="2838" spans="1:50" x14ac:dyDescent="0.3">
      <c r="A2838" s="19">
        <f t="shared" si="224"/>
        <v>49887</v>
      </c>
      <c r="B2838">
        <f t="shared" ca="1" si="220"/>
        <v>-10.375</v>
      </c>
      <c r="C2838" t="str">
        <f ca="1">IF(currency="USD",'Future et co'!D2838,IF(currency="EUR",'Future et co'!E2838,IF(currency="GBP",'Future et co'!F2838,FALSE)))</f>
        <v>RFR USD</v>
      </c>
      <c r="D2838" t="str">
        <f t="shared" ca="1" si="221"/>
        <v>RFR USD</v>
      </c>
      <c r="E2838" t="str">
        <f t="shared" ca="1" si="222"/>
        <v>RFR EUR</v>
      </c>
      <c r="F2838" t="str">
        <f t="shared" ca="1" si="223"/>
        <v>RFR GBP</v>
      </c>
      <c r="J2838" s="1"/>
      <c r="N2838" s="1"/>
      <c r="R2838" s="1"/>
      <c r="V2838" s="1"/>
      <c r="AB2838" s="1"/>
      <c r="AF2838" s="1"/>
      <c r="AJ2838" s="1"/>
      <c r="AN2838" s="1"/>
      <c r="AS2838" s="1"/>
      <c r="AX2838" s="1"/>
    </row>
    <row r="2839" spans="1:50" x14ac:dyDescent="0.3">
      <c r="A2839" s="19">
        <f t="shared" si="224"/>
        <v>49888</v>
      </c>
      <c r="B2839">
        <f t="shared" ca="1" si="220"/>
        <v>-10.377777777777778</v>
      </c>
      <c r="C2839" t="str">
        <f ca="1">IF(currency="USD",'Future et co'!D2839,IF(currency="EUR",'Future et co'!E2839,IF(currency="GBP",'Future et co'!F2839,FALSE)))</f>
        <v>RFR USD</v>
      </c>
      <c r="D2839" t="str">
        <f t="shared" ca="1" si="221"/>
        <v>RFR USD</v>
      </c>
      <c r="E2839" t="str">
        <f t="shared" ca="1" si="222"/>
        <v>RFR EUR</v>
      </c>
      <c r="F2839" t="str">
        <f t="shared" ca="1" si="223"/>
        <v>RFR GBP</v>
      </c>
      <c r="J2839" s="1"/>
      <c r="N2839" s="1"/>
      <c r="R2839" s="1"/>
      <c r="V2839" s="1"/>
      <c r="AB2839" s="1"/>
      <c r="AF2839" s="1"/>
      <c r="AJ2839" s="1"/>
      <c r="AN2839" s="1"/>
      <c r="AS2839" s="1"/>
      <c r="AX2839" s="1"/>
    </row>
    <row r="2840" spans="1:50" x14ac:dyDescent="0.3">
      <c r="A2840" s="19">
        <f t="shared" si="224"/>
        <v>49891</v>
      </c>
      <c r="B2840">
        <f t="shared" ca="1" si="220"/>
        <v>-10.386111111111111</v>
      </c>
      <c r="C2840" t="str">
        <f ca="1">IF(currency="USD",'Future et co'!D2840,IF(currency="EUR",'Future et co'!E2840,IF(currency="GBP",'Future et co'!F2840,FALSE)))</f>
        <v>RFR USD</v>
      </c>
      <c r="D2840" t="str">
        <f t="shared" ca="1" si="221"/>
        <v>RFR USD</v>
      </c>
      <c r="E2840" t="str">
        <f t="shared" ca="1" si="222"/>
        <v>RFR EUR</v>
      </c>
      <c r="F2840" t="str">
        <f t="shared" ca="1" si="223"/>
        <v>RFR GBP</v>
      </c>
      <c r="J2840" s="1"/>
      <c r="N2840" s="1"/>
      <c r="R2840" s="1"/>
      <c r="V2840" s="1"/>
      <c r="AB2840" s="1"/>
      <c r="AF2840" s="1"/>
      <c r="AJ2840" s="1"/>
      <c r="AN2840" s="1"/>
      <c r="AS2840" s="1"/>
      <c r="AX2840" s="1"/>
    </row>
    <row r="2841" spans="1:50" x14ac:dyDescent="0.3">
      <c r="A2841" s="19">
        <f t="shared" si="224"/>
        <v>49892</v>
      </c>
      <c r="B2841">
        <f t="shared" ca="1" si="220"/>
        <v>-10.388888888888889</v>
      </c>
      <c r="C2841" t="str">
        <f ca="1">IF(currency="USD",'Future et co'!D2841,IF(currency="EUR",'Future et co'!E2841,IF(currency="GBP",'Future et co'!F2841,FALSE)))</f>
        <v>RFR USD</v>
      </c>
      <c r="D2841" t="str">
        <f t="shared" ca="1" si="221"/>
        <v>RFR USD</v>
      </c>
      <c r="E2841" t="str">
        <f t="shared" ca="1" si="222"/>
        <v>RFR EUR</v>
      </c>
      <c r="F2841" t="str">
        <f t="shared" ca="1" si="223"/>
        <v>RFR GBP</v>
      </c>
      <c r="J2841" s="1"/>
      <c r="N2841" s="1"/>
      <c r="R2841" s="1"/>
      <c r="V2841" s="1"/>
      <c r="AB2841" s="1"/>
      <c r="AF2841" s="1"/>
      <c r="AJ2841" s="1"/>
      <c r="AN2841" s="1"/>
      <c r="AS2841" s="1"/>
      <c r="AX2841" s="1"/>
    </row>
    <row r="2842" spans="1:50" x14ac:dyDescent="0.3">
      <c r="A2842" s="19">
        <f t="shared" si="224"/>
        <v>49893</v>
      </c>
      <c r="B2842">
        <f t="shared" ca="1" si="220"/>
        <v>-10.391666666666667</v>
      </c>
      <c r="C2842" t="str">
        <f ca="1">IF(currency="USD",'Future et co'!D2842,IF(currency="EUR",'Future et co'!E2842,IF(currency="GBP",'Future et co'!F2842,FALSE)))</f>
        <v>RFR USD</v>
      </c>
      <c r="D2842" t="str">
        <f t="shared" ca="1" si="221"/>
        <v>RFR USD</v>
      </c>
      <c r="E2842" t="str">
        <f t="shared" ca="1" si="222"/>
        <v>RFR EUR</v>
      </c>
      <c r="F2842" t="str">
        <f t="shared" ca="1" si="223"/>
        <v>RFR GBP</v>
      </c>
      <c r="J2842" s="1"/>
      <c r="N2842" s="1"/>
      <c r="R2842" s="1"/>
      <c r="V2842" s="1"/>
      <c r="AB2842" s="1"/>
      <c r="AF2842" s="1"/>
      <c r="AJ2842" s="1"/>
      <c r="AN2842" s="1"/>
      <c r="AS2842" s="1"/>
      <c r="AX2842" s="1"/>
    </row>
    <row r="2843" spans="1:50" x14ac:dyDescent="0.3">
      <c r="A2843" s="19">
        <f t="shared" si="224"/>
        <v>49894</v>
      </c>
      <c r="B2843">
        <f t="shared" ca="1" si="220"/>
        <v>-10.394444444444444</v>
      </c>
      <c r="C2843" t="str">
        <f ca="1">IF(currency="USD",'Future et co'!D2843,IF(currency="EUR",'Future et co'!E2843,IF(currency="GBP",'Future et co'!F2843,FALSE)))</f>
        <v>RFR USD</v>
      </c>
      <c r="D2843" t="str">
        <f t="shared" ca="1" si="221"/>
        <v>RFR USD</v>
      </c>
      <c r="E2843" t="str">
        <f t="shared" ca="1" si="222"/>
        <v>RFR EUR</v>
      </c>
      <c r="F2843" t="str">
        <f t="shared" ca="1" si="223"/>
        <v>RFR GBP</v>
      </c>
      <c r="J2843" s="1"/>
      <c r="N2843" s="1"/>
      <c r="R2843" s="1"/>
      <c r="V2843" s="1"/>
      <c r="AB2843" s="1"/>
      <c r="AF2843" s="1"/>
      <c r="AJ2843" s="1"/>
      <c r="AN2843" s="1"/>
      <c r="AS2843" s="1"/>
      <c r="AX2843" s="1"/>
    </row>
    <row r="2844" spans="1:50" x14ac:dyDescent="0.3">
      <c r="A2844" s="19">
        <f t="shared" si="224"/>
        <v>49895</v>
      </c>
      <c r="B2844">
        <f t="shared" ca="1" si="220"/>
        <v>-10.397222222222222</v>
      </c>
      <c r="C2844" t="str">
        <f ca="1">IF(currency="USD",'Future et co'!D2844,IF(currency="EUR",'Future et co'!E2844,IF(currency="GBP",'Future et co'!F2844,FALSE)))</f>
        <v>RFR USD</v>
      </c>
      <c r="D2844" t="str">
        <f t="shared" ca="1" si="221"/>
        <v>RFR USD</v>
      </c>
      <c r="E2844" t="str">
        <f t="shared" ca="1" si="222"/>
        <v>RFR EUR</v>
      </c>
      <c r="F2844" t="str">
        <f t="shared" ca="1" si="223"/>
        <v>RFR GBP</v>
      </c>
      <c r="J2844" s="1"/>
      <c r="N2844" s="1"/>
      <c r="R2844" s="1"/>
      <c r="V2844" s="1"/>
      <c r="AB2844" s="1"/>
      <c r="AF2844" s="1"/>
      <c r="AJ2844" s="1"/>
      <c r="AN2844" s="1"/>
      <c r="AS2844" s="1"/>
      <c r="AX2844" s="1"/>
    </row>
    <row r="2845" spans="1:50" x14ac:dyDescent="0.3">
      <c r="A2845" s="19">
        <f t="shared" si="224"/>
        <v>49898</v>
      </c>
      <c r="B2845">
        <f t="shared" ca="1" si="220"/>
        <v>-10.405555555555555</v>
      </c>
      <c r="C2845" t="str">
        <f ca="1">IF(currency="USD",'Future et co'!D2845,IF(currency="EUR",'Future et co'!E2845,IF(currency="GBP",'Future et co'!F2845,FALSE)))</f>
        <v>RFR USD</v>
      </c>
      <c r="D2845" t="str">
        <f t="shared" ca="1" si="221"/>
        <v>RFR USD</v>
      </c>
      <c r="E2845" t="str">
        <f t="shared" ca="1" si="222"/>
        <v>RFR EUR</v>
      </c>
      <c r="F2845" t="str">
        <f t="shared" ca="1" si="223"/>
        <v>RFR GBP</v>
      </c>
      <c r="J2845" s="1"/>
      <c r="N2845" s="1"/>
      <c r="R2845" s="1"/>
      <c r="V2845" s="1"/>
      <c r="AB2845" s="1"/>
      <c r="AF2845" s="1"/>
      <c r="AJ2845" s="1"/>
      <c r="AN2845" s="1"/>
      <c r="AS2845" s="1"/>
      <c r="AX2845" s="1"/>
    </row>
    <row r="2846" spans="1:50" x14ac:dyDescent="0.3">
      <c r="A2846" s="19">
        <f t="shared" si="224"/>
        <v>49899</v>
      </c>
      <c r="B2846">
        <f t="shared" ca="1" si="220"/>
        <v>-10.408333333333333</v>
      </c>
      <c r="C2846" t="str">
        <f ca="1">IF(currency="USD",'Future et co'!D2846,IF(currency="EUR",'Future et co'!E2846,IF(currency="GBP",'Future et co'!F2846,FALSE)))</f>
        <v>RFR USD</v>
      </c>
      <c r="D2846" t="str">
        <f t="shared" ca="1" si="221"/>
        <v>RFR USD</v>
      </c>
      <c r="E2846" t="str">
        <f t="shared" ca="1" si="222"/>
        <v>RFR EUR</v>
      </c>
      <c r="F2846" t="str">
        <f t="shared" ca="1" si="223"/>
        <v>RFR GBP</v>
      </c>
      <c r="J2846" s="1"/>
      <c r="N2846" s="1"/>
      <c r="R2846" s="1"/>
      <c r="V2846" s="1"/>
      <c r="AB2846" s="1"/>
      <c r="AF2846" s="1"/>
      <c r="AJ2846" s="1"/>
      <c r="AN2846" s="1"/>
      <c r="AS2846" s="1"/>
      <c r="AX2846" s="1"/>
    </row>
    <row r="2847" spans="1:50" x14ac:dyDescent="0.3">
      <c r="A2847" s="19">
        <f t="shared" si="224"/>
        <v>49900</v>
      </c>
      <c r="B2847">
        <f t="shared" ca="1" si="220"/>
        <v>-10.411111111111111</v>
      </c>
      <c r="C2847" t="str">
        <f ca="1">IF(currency="USD",'Future et co'!D2847,IF(currency="EUR",'Future et co'!E2847,IF(currency="GBP",'Future et co'!F2847,FALSE)))</f>
        <v>RFR USD</v>
      </c>
      <c r="D2847" t="str">
        <f t="shared" ca="1" si="221"/>
        <v>RFR USD</v>
      </c>
      <c r="E2847" t="str">
        <f t="shared" ca="1" si="222"/>
        <v>RFR EUR</v>
      </c>
      <c r="F2847" t="str">
        <f t="shared" ca="1" si="223"/>
        <v>RFR GBP</v>
      </c>
      <c r="J2847" s="1"/>
      <c r="N2847" s="1"/>
      <c r="R2847" s="1"/>
      <c r="V2847" s="1"/>
      <c r="AB2847" s="1"/>
      <c r="AF2847" s="1"/>
      <c r="AJ2847" s="1"/>
      <c r="AN2847" s="1"/>
      <c r="AS2847" s="1"/>
      <c r="AX2847" s="1"/>
    </row>
    <row r="2848" spans="1:50" x14ac:dyDescent="0.3">
      <c r="A2848" s="19">
        <f t="shared" si="224"/>
        <v>49901</v>
      </c>
      <c r="B2848">
        <f t="shared" ca="1" si="220"/>
        <v>-10.41388888888889</v>
      </c>
      <c r="C2848" t="str">
        <f ca="1">IF(currency="USD",'Future et co'!D2848,IF(currency="EUR",'Future et co'!E2848,IF(currency="GBP",'Future et co'!F2848,FALSE)))</f>
        <v>RFR USD</v>
      </c>
      <c r="D2848" t="str">
        <f t="shared" ca="1" si="221"/>
        <v>RFR USD</v>
      </c>
      <c r="E2848" t="str">
        <f t="shared" ca="1" si="222"/>
        <v>RFR EUR</v>
      </c>
      <c r="F2848" t="str">
        <f t="shared" ca="1" si="223"/>
        <v>RFR GBP</v>
      </c>
      <c r="J2848" s="1"/>
      <c r="N2848" s="1"/>
      <c r="R2848" s="1"/>
      <c r="V2848" s="1"/>
      <c r="AB2848" s="1"/>
      <c r="AF2848" s="1"/>
      <c r="AJ2848" s="1"/>
      <c r="AN2848" s="1"/>
      <c r="AS2848" s="1"/>
      <c r="AX2848" s="1"/>
    </row>
    <row r="2849" spans="1:50" x14ac:dyDescent="0.3">
      <c r="A2849" s="19">
        <f t="shared" si="224"/>
        <v>49902</v>
      </c>
      <c r="B2849">
        <f t="shared" ca="1" si="220"/>
        <v>-10.416666666666666</v>
      </c>
      <c r="C2849" t="str">
        <f ca="1">IF(currency="USD",'Future et co'!D2849,IF(currency="EUR",'Future et co'!E2849,IF(currency="GBP",'Future et co'!F2849,FALSE)))</f>
        <v>RFR USD</v>
      </c>
      <c r="D2849" t="str">
        <f t="shared" ca="1" si="221"/>
        <v>RFR USD</v>
      </c>
      <c r="E2849" t="str">
        <f t="shared" ca="1" si="222"/>
        <v>RFR EUR</v>
      </c>
      <c r="F2849" t="str">
        <f t="shared" ca="1" si="223"/>
        <v>RFR GBP</v>
      </c>
      <c r="J2849" s="1"/>
      <c r="N2849" s="1"/>
      <c r="R2849" s="1"/>
      <c r="V2849" s="1"/>
      <c r="AB2849" s="1"/>
      <c r="AF2849" s="1"/>
      <c r="AJ2849" s="1"/>
      <c r="AN2849" s="1"/>
      <c r="AS2849" s="1"/>
      <c r="AX2849" s="1"/>
    </row>
    <row r="2850" spans="1:50" x14ac:dyDescent="0.3">
      <c r="A2850" s="19">
        <f t="shared" si="224"/>
        <v>49905</v>
      </c>
      <c r="B2850">
        <f t="shared" ca="1" si="220"/>
        <v>-10.425000000000001</v>
      </c>
      <c r="C2850" t="str">
        <f ca="1">IF(currency="USD",'Future et co'!D2850,IF(currency="EUR",'Future et co'!E2850,IF(currency="GBP",'Future et co'!F2850,FALSE)))</f>
        <v>RFR USD</v>
      </c>
      <c r="D2850" t="str">
        <f t="shared" ca="1" si="221"/>
        <v>RFR USD</v>
      </c>
      <c r="E2850" t="str">
        <f t="shared" ca="1" si="222"/>
        <v>RFR EUR</v>
      </c>
      <c r="F2850" t="str">
        <f t="shared" ca="1" si="223"/>
        <v>RFR GBP</v>
      </c>
      <c r="J2850" s="1"/>
      <c r="N2850" s="1"/>
      <c r="R2850" s="1"/>
      <c r="V2850" s="1"/>
      <c r="AB2850" s="1"/>
      <c r="AF2850" s="1"/>
      <c r="AJ2850" s="1"/>
      <c r="AN2850" s="1"/>
      <c r="AS2850" s="1"/>
      <c r="AX2850" s="1"/>
    </row>
    <row r="2851" spans="1:50" x14ac:dyDescent="0.3">
      <c r="A2851" s="19">
        <f t="shared" si="224"/>
        <v>49906</v>
      </c>
      <c r="B2851">
        <f t="shared" ca="1" si="220"/>
        <v>-10.427777777777777</v>
      </c>
      <c r="C2851" t="str">
        <f ca="1">IF(currency="USD",'Future et co'!D2851,IF(currency="EUR",'Future et co'!E2851,IF(currency="GBP",'Future et co'!F2851,FALSE)))</f>
        <v>RFR USD</v>
      </c>
      <c r="D2851" t="str">
        <f t="shared" ca="1" si="221"/>
        <v>RFR USD</v>
      </c>
      <c r="E2851" t="str">
        <f t="shared" ca="1" si="222"/>
        <v>RFR EUR</v>
      </c>
      <c r="F2851" t="str">
        <f t="shared" ca="1" si="223"/>
        <v>RFR GBP</v>
      </c>
      <c r="J2851" s="1"/>
      <c r="N2851" s="1"/>
      <c r="R2851" s="1"/>
      <c r="V2851" s="1"/>
      <c r="AB2851" s="1"/>
      <c r="AF2851" s="1"/>
      <c r="AJ2851" s="1"/>
      <c r="AN2851" s="1"/>
      <c r="AS2851" s="1"/>
      <c r="AX2851" s="1"/>
    </row>
    <row r="2852" spans="1:50" x14ac:dyDescent="0.3">
      <c r="A2852" s="19">
        <f t="shared" si="224"/>
        <v>49907</v>
      </c>
      <c r="B2852">
        <f t="shared" ca="1" si="220"/>
        <v>-10.430555555555555</v>
      </c>
      <c r="C2852" t="str">
        <f ca="1">IF(currency="USD",'Future et co'!D2852,IF(currency="EUR",'Future et co'!E2852,IF(currency="GBP",'Future et co'!F2852,FALSE)))</f>
        <v>RFR USD</v>
      </c>
      <c r="D2852" t="str">
        <f t="shared" ca="1" si="221"/>
        <v>RFR USD</v>
      </c>
      <c r="E2852" t="str">
        <f t="shared" ca="1" si="222"/>
        <v>RFR EUR</v>
      </c>
      <c r="F2852" t="str">
        <f t="shared" ca="1" si="223"/>
        <v>RFR GBP</v>
      </c>
      <c r="J2852" s="1"/>
      <c r="N2852" s="1"/>
      <c r="R2852" s="1"/>
      <c r="V2852" s="1"/>
      <c r="AB2852" s="1"/>
      <c r="AF2852" s="1"/>
      <c r="AJ2852" s="1"/>
      <c r="AN2852" s="1"/>
      <c r="AS2852" s="1"/>
      <c r="AX2852" s="1"/>
    </row>
    <row r="2853" spans="1:50" x14ac:dyDescent="0.3">
      <c r="A2853" s="19">
        <f t="shared" si="224"/>
        <v>49908</v>
      </c>
      <c r="B2853">
        <f t="shared" ca="1" si="220"/>
        <v>-10.433333333333334</v>
      </c>
      <c r="C2853" t="str">
        <f ca="1">IF(currency="USD",'Future et co'!D2853,IF(currency="EUR",'Future et co'!E2853,IF(currency="GBP",'Future et co'!F2853,FALSE)))</f>
        <v>RFR USD</v>
      </c>
      <c r="D2853" t="str">
        <f t="shared" ca="1" si="221"/>
        <v>RFR USD</v>
      </c>
      <c r="E2853" t="str">
        <f t="shared" ca="1" si="222"/>
        <v>RFR EUR</v>
      </c>
      <c r="F2853" t="str">
        <f t="shared" ca="1" si="223"/>
        <v>RFR GBP</v>
      </c>
      <c r="J2853" s="1"/>
      <c r="N2853" s="1"/>
      <c r="R2853" s="1"/>
      <c r="V2853" s="1"/>
      <c r="AB2853" s="1"/>
      <c r="AF2853" s="1"/>
      <c r="AJ2853" s="1"/>
      <c r="AN2853" s="1"/>
      <c r="AS2853" s="1"/>
      <c r="AX2853" s="1"/>
    </row>
    <row r="2854" spans="1:50" x14ac:dyDescent="0.3">
      <c r="A2854" s="19">
        <f t="shared" si="224"/>
        <v>49909</v>
      </c>
      <c r="B2854">
        <f t="shared" ca="1" si="220"/>
        <v>-10.436111111111112</v>
      </c>
      <c r="C2854" t="str">
        <f ca="1">IF(currency="USD",'Future et co'!D2854,IF(currency="EUR",'Future et co'!E2854,IF(currency="GBP",'Future et co'!F2854,FALSE)))</f>
        <v>RFR USD</v>
      </c>
      <c r="D2854" t="str">
        <f t="shared" ca="1" si="221"/>
        <v>RFR USD</v>
      </c>
      <c r="E2854" t="str">
        <f t="shared" ca="1" si="222"/>
        <v>RFR EUR</v>
      </c>
      <c r="F2854" t="str">
        <f t="shared" ca="1" si="223"/>
        <v>RFR GBP</v>
      </c>
      <c r="J2854" s="1"/>
      <c r="N2854" s="1"/>
      <c r="R2854" s="1"/>
      <c r="V2854" s="1"/>
      <c r="AB2854" s="1"/>
      <c r="AF2854" s="1"/>
      <c r="AJ2854" s="1"/>
      <c r="AN2854" s="1"/>
      <c r="AS2854" s="1"/>
      <c r="AX2854" s="1"/>
    </row>
    <row r="2855" spans="1:50" x14ac:dyDescent="0.3">
      <c r="A2855" s="19">
        <f t="shared" si="224"/>
        <v>49912</v>
      </c>
      <c r="B2855">
        <f t="shared" ca="1" si="220"/>
        <v>-10.444444444444445</v>
      </c>
      <c r="C2855" t="str">
        <f ca="1">IF(currency="USD",'Future et co'!D2855,IF(currency="EUR",'Future et co'!E2855,IF(currency="GBP",'Future et co'!F2855,FALSE)))</f>
        <v>RFR USD</v>
      </c>
      <c r="D2855" t="str">
        <f t="shared" ca="1" si="221"/>
        <v>RFR USD</v>
      </c>
      <c r="E2855" t="str">
        <f t="shared" ca="1" si="222"/>
        <v>RFR EUR</v>
      </c>
      <c r="F2855" t="str">
        <f t="shared" ca="1" si="223"/>
        <v>RFR GBP</v>
      </c>
      <c r="J2855" s="1"/>
      <c r="N2855" s="1"/>
      <c r="R2855" s="1"/>
      <c r="V2855" s="1"/>
      <c r="AB2855" s="1"/>
      <c r="AF2855" s="1"/>
      <c r="AJ2855" s="1"/>
      <c r="AN2855" s="1"/>
      <c r="AS2855" s="1"/>
      <c r="AX2855" s="1"/>
    </row>
    <row r="2856" spans="1:50" x14ac:dyDescent="0.3">
      <c r="A2856" s="19">
        <f t="shared" si="224"/>
        <v>49913</v>
      </c>
      <c r="B2856">
        <f t="shared" ca="1" si="220"/>
        <v>-10.447222222222223</v>
      </c>
      <c r="C2856" t="str">
        <f ca="1">IF(currency="USD",'Future et co'!D2856,IF(currency="EUR",'Future et co'!E2856,IF(currency="GBP",'Future et co'!F2856,FALSE)))</f>
        <v>RFR USD</v>
      </c>
      <c r="D2856" t="str">
        <f t="shared" ca="1" si="221"/>
        <v>RFR USD</v>
      </c>
      <c r="E2856" t="str">
        <f t="shared" ca="1" si="222"/>
        <v>RFR EUR</v>
      </c>
      <c r="F2856" t="str">
        <f t="shared" ca="1" si="223"/>
        <v>RFR GBP</v>
      </c>
      <c r="J2856" s="1"/>
      <c r="N2856" s="1"/>
      <c r="R2856" s="1"/>
      <c r="V2856" s="1"/>
      <c r="AB2856" s="1"/>
      <c r="AF2856" s="1"/>
      <c r="AJ2856" s="1"/>
      <c r="AN2856" s="1"/>
      <c r="AS2856" s="1"/>
      <c r="AX2856" s="1"/>
    </row>
    <row r="2857" spans="1:50" x14ac:dyDescent="0.3">
      <c r="A2857" s="19">
        <f t="shared" si="224"/>
        <v>49914</v>
      </c>
      <c r="B2857">
        <f t="shared" ca="1" si="220"/>
        <v>-10.45</v>
      </c>
      <c r="C2857" t="str">
        <f ca="1">IF(currency="USD",'Future et co'!D2857,IF(currency="EUR",'Future et co'!E2857,IF(currency="GBP",'Future et co'!F2857,FALSE)))</f>
        <v>RFR USD</v>
      </c>
      <c r="D2857" t="str">
        <f t="shared" ca="1" si="221"/>
        <v>RFR USD</v>
      </c>
      <c r="E2857" t="str">
        <f t="shared" ca="1" si="222"/>
        <v>RFR EUR</v>
      </c>
      <c r="F2857" t="str">
        <f t="shared" ca="1" si="223"/>
        <v>RFR GBP</v>
      </c>
      <c r="J2857" s="1"/>
      <c r="N2857" s="1"/>
      <c r="R2857" s="1"/>
      <c r="V2857" s="1"/>
      <c r="AB2857" s="1"/>
      <c r="AF2857" s="1"/>
      <c r="AJ2857" s="1"/>
      <c r="AN2857" s="1"/>
      <c r="AS2857" s="1"/>
      <c r="AX2857" s="1"/>
    </row>
    <row r="2858" spans="1:50" x14ac:dyDescent="0.3">
      <c r="A2858" s="19">
        <f t="shared" si="224"/>
        <v>49915</v>
      </c>
      <c r="B2858">
        <f t="shared" ca="1" si="220"/>
        <v>-10.452777777777778</v>
      </c>
      <c r="C2858" t="str">
        <f ca="1">IF(currency="USD",'Future et co'!D2858,IF(currency="EUR",'Future et co'!E2858,IF(currency="GBP",'Future et co'!F2858,FALSE)))</f>
        <v>RFR USD</v>
      </c>
      <c r="D2858" t="str">
        <f t="shared" ca="1" si="221"/>
        <v>RFR USD</v>
      </c>
      <c r="E2858" t="str">
        <f t="shared" ca="1" si="222"/>
        <v>RFR EUR</v>
      </c>
      <c r="F2858" t="str">
        <f t="shared" ca="1" si="223"/>
        <v>RFR GBP</v>
      </c>
      <c r="J2858" s="1"/>
      <c r="N2858" s="1"/>
      <c r="R2858" s="1"/>
      <c r="V2858" s="1"/>
      <c r="AB2858" s="1"/>
      <c r="AF2858" s="1"/>
      <c r="AJ2858" s="1"/>
      <c r="AN2858" s="1"/>
      <c r="AS2858" s="1"/>
      <c r="AX2858" s="1"/>
    </row>
    <row r="2859" spans="1:50" x14ac:dyDescent="0.3">
      <c r="A2859" s="19">
        <f t="shared" si="224"/>
        <v>49916</v>
      </c>
      <c r="B2859">
        <f t="shared" ca="1" si="220"/>
        <v>-10.455555555555556</v>
      </c>
      <c r="C2859" t="str">
        <f ca="1">IF(currency="USD",'Future et co'!D2859,IF(currency="EUR",'Future et co'!E2859,IF(currency="GBP",'Future et co'!F2859,FALSE)))</f>
        <v>RFR USD</v>
      </c>
      <c r="D2859" t="str">
        <f t="shared" ca="1" si="221"/>
        <v>RFR USD</v>
      </c>
      <c r="E2859" t="str">
        <f t="shared" ca="1" si="222"/>
        <v>RFR EUR</v>
      </c>
      <c r="F2859" t="str">
        <f t="shared" ca="1" si="223"/>
        <v>RFR GBP</v>
      </c>
      <c r="J2859" s="1"/>
      <c r="N2859" s="1"/>
      <c r="R2859" s="1"/>
      <c r="V2859" s="1"/>
      <c r="AB2859" s="1"/>
      <c r="AF2859" s="1"/>
      <c r="AJ2859" s="1"/>
      <c r="AN2859" s="1"/>
      <c r="AS2859" s="1"/>
      <c r="AX2859" s="1"/>
    </row>
    <row r="2860" spans="1:50" x14ac:dyDescent="0.3">
      <c r="A2860" s="19">
        <f t="shared" si="224"/>
        <v>49919</v>
      </c>
      <c r="B2860">
        <f t="shared" ca="1" si="220"/>
        <v>-10.463888888888889</v>
      </c>
      <c r="C2860" t="str">
        <f ca="1">IF(currency="USD",'Future et co'!D2860,IF(currency="EUR",'Future et co'!E2860,IF(currency="GBP",'Future et co'!F2860,FALSE)))</f>
        <v>RFR USD</v>
      </c>
      <c r="D2860" t="str">
        <f t="shared" ca="1" si="221"/>
        <v>RFR USD</v>
      </c>
      <c r="E2860" t="str">
        <f t="shared" ca="1" si="222"/>
        <v>RFR EUR</v>
      </c>
      <c r="F2860" t="str">
        <f t="shared" ca="1" si="223"/>
        <v>RFR GBP</v>
      </c>
      <c r="J2860" s="1"/>
      <c r="N2860" s="1"/>
      <c r="R2860" s="1"/>
      <c r="V2860" s="1"/>
      <c r="AB2860" s="1"/>
      <c r="AF2860" s="1"/>
      <c r="AJ2860" s="1"/>
      <c r="AN2860" s="1"/>
      <c r="AS2860" s="1"/>
      <c r="AX2860" s="1"/>
    </row>
    <row r="2861" spans="1:50" x14ac:dyDescent="0.3">
      <c r="A2861" s="19">
        <f t="shared" si="224"/>
        <v>49920</v>
      </c>
      <c r="B2861">
        <f t="shared" ca="1" si="220"/>
        <v>-10.466666666666667</v>
      </c>
      <c r="C2861" t="str">
        <f ca="1">IF(currency="USD",'Future et co'!D2861,IF(currency="EUR",'Future et co'!E2861,IF(currency="GBP",'Future et co'!F2861,FALSE)))</f>
        <v>RFR USD</v>
      </c>
      <c r="D2861" t="str">
        <f t="shared" ca="1" si="221"/>
        <v>RFR USD</v>
      </c>
      <c r="E2861" t="str">
        <f t="shared" ca="1" si="222"/>
        <v>RFR EUR</v>
      </c>
      <c r="F2861" t="str">
        <f t="shared" ca="1" si="223"/>
        <v>RFR GBP</v>
      </c>
      <c r="J2861" s="1"/>
      <c r="N2861" s="1"/>
      <c r="R2861" s="1"/>
      <c r="V2861" s="1"/>
      <c r="AB2861" s="1"/>
      <c r="AF2861" s="1"/>
      <c r="AJ2861" s="1"/>
      <c r="AN2861" s="1"/>
      <c r="AS2861" s="1"/>
      <c r="AX2861" s="1"/>
    </row>
    <row r="2862" spans="1:50" x14ac:dyDescent="0.3">
      <c r="A2862" s="19">
        <f t="shared" si="224"/>
        <v>49921</v>
      </c>
      <c r="B2862">
        <f t="shared" ca="1" si="220"/>
        <v>-10.469444444444445</v>
      </c>
      <c r="C2862" t="str">
        <f ca="1">IF(currency="USD",'Future et co'!D2862,IF(currency="EUR",'Future et co'!E2862,IF(currency="GBP",'Future et co'!F2862,FALSE)))</f>
        <v>RFR USD</v>
      </c>
      <c r="D2862" t="str">
        <f t="shared" ca="1" si="221"/>
        <v>RFR USD</v>
      </c>
      <c r="E2862" t="str">
        <f t="shared" ca="1" si="222"/>
        <v>RFR EUR</v>
      </c>
      <c r="F2862" t="str">
        <f t="shared" ca="1" si="223"/>
        <v>RFR GBP</v>
      </c>
      <c r="J2862" s="1"/>
      <c r="N2862" s="1"/>
      <c r="R2862" s="1"/>
      <c r="V2862" s="1"/>
      <c r="AB2862" s="1"/>
      <c r="AF2862" s="1"/>
      <c r="AJ2862" s="1"/>
      <c r="AN2862" s="1"/>
      <c r="AS2862" s="1"/>
      <c r="AX2862" s="1"/>
    </row>
    <row r="2863" spans="1:50" x14ac:dyDescent="0.3">
      <c r="A2863" s="19">
        <f t="shared" si="224"/>
        <v>49922</v>
      </c>
      <c r="B2863">
        <f t="shared" ca="1" si="220"/>
        <v>-10.472222222222221</v>
      </c>
      <c r="C2863" t="str">
        <f ca="1">IF(currency="USD",'Future et co'!D2863,IF(currency="EUR",'Future et co'!E2863,IF(currency="GBP",'Future et co'!F2863,FALSE)))</f>
        <v>RFR USD</v>
      </c>
      <c r="D2863" t="str">
        <f t="shared" ca="1" si="221"/>
        <v>RFR USD</v>
      </c>
      <c r="E2863" t="str">
        <f t="shared" ca="1" si="222"/>
        <v>RFR EUR</v>
      </c>
      <c r="F2863" t="str">
        <f t="shared" ca="1" si="223"/>
        <v>RFR GBP</v>
      </c>
      <c r="J2863" s="1"/>
      <c r="N2863" s="1"/>
      <c r="R2863" s="1"/>
      <c r="V2863" s="1"/>
      <c r="AB2863" s="1"/>
      <c r="AF2863" s="1"/>
      <c r="AJ2863" s="1"/>
      <c r="AN2863" s="1"/>
      <c r="AS2863" s="1"/>
      <c r="AX2863" s="1"/>
    </row>
    <row r="2864" spans="1:50" x14ac:dyDescent="0.3">
      <c r="A2864" s="19">
        <f t="shared" si="224"/>
        <v>49923</v>
      </c>
      <c r="B2864">
        <f t="shared" ca="1" si="220"/>
        <v>-10.475</v>
      </c>
      <c r="C2864" t="str">
        <f ca="1">IF(currency="USD",'Future et co'!D2864,IF(currency="EUR",'Future et co'!E2864,IF(currency="GBP",'Future et co'!F2864,FALSE)))</f>
        <v>RFR USD</v>
      </c>
      <c r="D2864" t="str">
        <f t="shared" ca="1" si="221"/>
        <v>RFR USD</v>
      </c>
      <c r="E2864" t="str">
        <f t="shared" ca="1" si="222"/>
        <v>RFR EUR</v>
      </c>
      <c r="F2864" t="str">
        <f t="shared" ca="1" si="223"/>
        <v>RFR GBP</v>
      </c>
      <c r="J2864" s="1"/>
      <c r="N2864" s="1"/>
      <c r="R2864" s="1"/>
      <c r="V2864" s="1"/>
      <c r="AB2864" s="1"/>
      <c r="AF2864" s="1"/>
      <c r="AJ2864" s="1"/>
      <c r="AN2864" s="1"/>
      <c r="AS2864" s="1"/>
      <c r="AX2864" s="1"/>
    </row>
    <row r="2865" spans="1:50" x14ac:dyDescent="0.3">
      <c r="A2865" s="19">
        <f t="shared" si="224"/>
        <v>49926</v>
      </c>
      <c r="B2865">
        <f t="shared" ca="1" si="220"/>
        <v>-10.483333333333333</v>
      </c>
      <c r="C2865" t="str">
        <f ca="1">IF(currency="USD",'Future et co'!D2865,IF(currency="EUR",'Future et co'!E2865,IF(currency="GBP",'Future et co'!F2865,FALSE)))</f>
        <v>RFR USD</v>
      </c>
      <c r="D2865" t="str">
        <f t="shared" ca="1" si="221"/>
        <v>RFR USD</v>
      </c>
      <c r="E2865" t="str">
        <f t="shared" ca="1" si="222"/>
        <v>RFR EUR</v>
      </c>
      <c r="F2865" t="str">
        <f t="shared" ca="1" si="223"/>
        <v>RFR GBP</v>
      </c>
      <c r="J2865" s="1"/>
      <c r="N2865" s="1"/>
      <c r="R2865" s="1"/>
      <c r="V2865" s="1"/>
      <c r="AB2865" s="1"/>
      <c r="AF2865" s="1"/>
      <c r="AJ2865" s="1"/>
      <c r="AN2865" s="1"/>
      <c r="AS2865" s="1"/>
      <c r="AX2865" s="1"/>
    </row>
    <row r="2866" spans="1:50" x14ac:dyDescent="0.3">
      <c r="A2866" s="19">
        <f t="shared" si="224"/>
        <v>49927</v>
      </c>
      <c r="B2866">
        <f t="shared" ca="1" si="220"/>
        <v>-10.486111111111111</v>
      </c>
      <c r="C2866" t="str">
        <f ca="1">IF(currency="USD",'Future et co'!D2866,IF(currency="EUR",'Future et co'!E2866,IF(currency="GBP",'Future et co'!F2866,FALSE)))</f>
        <v>RFR USD</v>
      </c>
      <c r="D2866" t="str">
        <f t="shared" ca="1" si="221"/>
        <v>RFR USD</v>
      </c>
      <c r="E2866" t="str">
        <f t="shared" ca="1" si="222"/>
        <v>RFR EUR</v>
      </c>
      <c r="F2866" t="str">
        <f t="shared" ca="1" si="223"/>
        <v>RFR GBP</v>
      </c>
      <c r="J2866" s="1"/>
      <c r="N2866" s="1"/>
      <c r="R2866" s="1"/>
      <c r="V2866" s="1"/>
      <c r="AB2866" s="1"/>
      <c r="AF2866" s="1"/>
      <c r="AJ2866" s="1"/>
      <c r="AN2866" s="1"/>
      <c r="AS2866" s="1"/>
      <c r="AX2866" s="1"/>
    </row>
    <row r="2867" spans="1:50" x14ac:dyDescent="0.3">
      <c r="A2867" s="19">
        <f t="shared" si="224"/>
        <v>49928</v>
      </c>
      <c r="B2867">
        <f t="shared" ca="1" si="220"/>
        <v>-10.488888888888889</v>
      </c>
      <c r="C2867" t="str">
        <f ca="1">IF(currency="USD",'Future et co'!D2867,IF(currency="EUR",'Future et co'!E2867,IF(currency="GBP",'Future et co'!F2867,FALSE)))</f>
        <v>RFR USD</v>
      </c>
      <c r="D2867" t="str">
        <f t="shared" ca="1" si="221"/>
        <v>RFR USD</v>
      </c>
      <c r="E2867" t="str">
        <f t="shared" ca="1" si="222"/>
        <v>RFR EUR</v>
      </c>
      <c r="F2867" t="str">
        <f t="shared" ca="1" si="223"/>
        <v>RFR GBP</v>
      </c>
      <c r="J2867" s="1"/>
      <c r="N2867" s="1"/>
      <c r="R2867" s="1"/>
      <c r="V2867" s="1"/>
      <c r="AB2867" s="1"/>
      <c r="AF2867" s="1"/>
      <c r="AJ2867" s="1"/>
      <c r="AN2867" s="1"/>
      <c r="AS2867" s="1"/>
      <c r="AX2867" s="1"/>
    </row>
    <row r="2868" spans="1:50" x14ac:dyDescent="0.3">
      <c r="A2868" s="19">
        <f t="shared" si="224"/>
        <v>49929</v>
      </c>
      <c r="B2868">
        <f t="shared" ca="1" si="220"/>
        <v>-10.491666666666667</v>
      </c>
      <c r="C2868" t="str">
        <f ca="1">IF(currency="USD",'Future et co'!D2868,IF(currency="EUR",'Future et co'!E2868,IF(currency="GBP",'Future et co'!F2868,FALSE)))</f>
        <v>RFR USD</v>
      </c>
      <c r="D2868" t="str">
        <f t="shared" ca="1" si="221"/>
        <v>RFR USD</v>
      </c>
      <c r="E2868" t="str">
        <f t="shared" ca="1" si="222"/>
        <v>RFR EUR</v>
      </c>
      <c r="F2868" t="str">
        <f t="shared" ca="1" si="223"/>
        <v>RFR GBP</v>
      </c>
      <c r="J2868" s="1"/>
      <c r="N2868" s="1"/>
      <c r="R2868" s="1"/>
      <c r="V2868" s="1"/>
      <c r="AB2868" s="1"/>
      <c r="AF2868" s="1"/>
      <c r="AJ2868" s="1"/>
      <c r="AN2868" s="1"/>
      <c r="AS2868" s="1"/>
      <c r="AX2868" s="1"/>
    </row>
    <row r="2869" spans="1:50" x14ac:dyDescent="0.3">
      <c r="A2869" s="19">
        <f t="shared" si="224"/>
        <v>49930</v>
      </c>
      <c r="B2869">
        <f t="shared" ca="1" si="220"/>
        <v>-10.494444444444444</v>
      </c>
      <c r="C2869" t="str">
        <f ca="1">IF(currency="USD",'Future et co'!D2869,IF(currency="EUR",'Future et co'!E2869,IF(currency="GBP",'Future et co'!F2869,FALSE)))</f>
        <v>RFR USD</v>
      </c>
      <c r="D2869" t="str">
        <f t="shared" ca="1" si="221"/>
        <v>RFR USD</v>
      </c>
      <c r="E2869" t="str">
        <f t="shared" ca="1" si="222"/>
        <v>RFR EUR</v>
      </c>
      <c r="F2869" t="str">
        <f t="shared" ca="1" si="223"/>
        <v>RFR GBP</v>
      </c>
      <c r="J2869" s="1"/>
      <c r="N2869" s="1"/>
      <c r="R2869" s="1"/>
      <c r="V2869" s="1"/>
      <c r="AB2869" s="1"/>
      <c r="AF2869" s="1"/>
      <c r="AJ2869" s="1"/>
      <c r="AN2869" s="1"/>
      <c r="AS2869" s="1"/>
      <c r="AX2869" s="1"/>
    </row>
    <row r="2870" spans="1:50" x14ac:dyDescent="0.3">
      <c r="A2870" s="19">
        <f t="shared" si="224"/>
        <v>49933</v>
      </c>
      <c r="B2870">
        <f t="shared" ca="1" si="220"/>
        <v>-10.502777777777778</v>
      </c>
      <c r="C2870" t="str">
        <f ca="1">IF(currency="USD",'Future et co'!D2870,IF(currency="EUR",'Future et co'!E2870,IF(currency="GBP",'Future et co'!F2870,FALSE)))</f>
        <v>RFR USD</v>
      </c>
      <c r="D2870" t="str">
        <f t="shared" ca="1" si="221"/>
        <v>RFR USD</v>
      </c>
      <c r="E2870" t="str">
        <f t="shared" ca="1" si="222"/>
        <v>RFR EUR</v>
      </c>
      <c r="F2870" t="str">
        <f t="shared" ca="1" si="223"/>
        <v>RFR GBP</v>
      </c>
      <c r="J2870" s="1"/>
      <c r="N2870" s="1"/>
      <c r="R2870" s="1"/>
      <c r="V2870" s="1"/>
      <c r="AB2870" s="1"/>
      <c r="AF2870" s="1"/>
      <c r="AJ2870" s="1"/>
      <c r="AN2870" s="1"/>
      <c r="AS2870" s="1"/>
      <c r="AX2870" s="1"/>
    </row>
    <row r="2871" spans="1:50" x14ac:dyDescent="0.3">
      <c r="A2871" s="19">
        <f t="shared" si="224"/>
        <v>49934</v>
      </c>
      <c r="B2871">
        <f t="shared" ca="1" si="220"/>
        <v>-10.505555555555556</v>
      </c>
      <c r="C2871" t="str">
        <f ca="1">IF(currency="USD",'Future et co'!D2871,IF(currency="EUR",'Future et co'!E2871,IF(currency="GBP",'Future et co'!F2871,FALSE)))</f>
        <v>RFR USD</v>
      </c>
      <c r="D2871" t="str">
        <f t="shared" ca="1" si="221"/>
        <v>RFR USD</v>
      </c>
      <c r="E2871" t="str">
        <f t="shared" ca="1" si="222"/>
        <v>RFR EUR</v>
      </c>
      <c r="F2871" t="str">
        <f t="shared" ca="1" si="223"/>
        <v>RFR GBP</v>
      </c>
      <c r="J2871" s="1"/>
      <c r="N2871" s="1"/>
      <c r="R2871" s="1"/>
      <c r="V2871" s="1"/>
      <c r="AB2871" s="1"/>
      <c r="AF2871" s="1"/>
      <c r="AJ2871" s="1"/>
      <c r="AN2871" s="1"/>
      <c r="AS2871" s="1"/>
      <c r="AX2871" s="1"/>
    </row>
    <row r="2872" spans="1:50" x14ac:dyDescent="0.3">
      <c r="A2872" s="19">
        <f t="shared" si="224"/>
        <v>49935</v>
      </c>
      <c r="B2872">
        <f t="shared" ca="1" si="220"/>
        <v>-10.508333333333333</v>
      </c>
      <c r="C2872" t="str">
        <f ca="1">IF(currency="USD",'Future et co'!D2872,IF(currency="EUR",'Future et co'!E2872,IF(currency="GBP",'Future et co'!F2872,FALSE)))</f>
        <v>RFR USD</v>
      </c>
      <c r="D2872" t="str">
        <f t="shared" ca="1" si="221"/>
        <v>RFR USD</v>
      </c>
      <c r="E2872" t="str">
        <f t="shared" ca="1" si="222"/>
        <v>RFR EUR</v>
      </c>
      <c r="F2872" t="str">
        <f t="shared" ca="1" si="223"/>
        <v>RFR GBP</v>
      </c>
      <c r="J2872" s="1"/>
      <c r="N2872" s="1"/>
      <c r="R2872" s="1"/>
      <c r="V2872" s="1"/>
      <c r="AB2872" s="1"/>
      <c r="AF2872" s="1"/>
      <c r="AJ2872" s="1"/>
      <c r="AN2872" s="1"/>
      <c r="AS2872" s="1"/>
      <c r="AX2872" s="1"/>
    </row>
    <row r="2873" spans="1:50" x14ac:dyDescent="0.3">
      <c r="A2873" s="19">
        <f t="shared" si="224"/>
        <v>49936</v>
      </c>
      <c r="B2873">
        <f t="shared" ca="1" si="220"/>
        <v>-10.511111111111111</v>
      </c>
      <c r="C2873" t="str">
        <f ca="1">IF(currency="USD",'Future et co'!D2873,IF(currency="EUR",'Future et co'!E2873,IF(currency="GBP",'Future et co'!F2873,FALSE)))</f>
        <v>RFR USD</v>
      </c>
      <c r="D2873" t="str">
        <f t="shared" ca="1" si="221"/>
        <v>RFR USD</v>
      </c>
      <c r="E2873" t="str">
        <f t="shared" ca="1" si="222"/>
        <v>RFR EUR</v>
      </c>
      <c r="F2873" t="str">
        <f t="shared" ca="1" si="223"/>
        <v>RFR GBP</v>
      </c>
      <c r="J2873" s="1"/>
      <c r="N2873" s="1"/>
      <c r="R2873" s="1"/>
      <c r="V2873" s="1"/>
      <c r="AB2873" s="1"/>
      <c r="AF2873" s="1"/>
      <c r="AJ2873" s="1"/>
      <c r="AN2873" s="1"/>
      <c r="AS2873" s="1"/>
      <c r="AX2873" s="1"/>
    </row>
    <row r="2874" spans="1:50" x14ac:dyDescent="0.3">
      <c r="A2874" s="19">
        <f t="shared" si="224"/>
        <v>49937</v>
      </c>
      <c r="B2874">
        <f t="shared" ca="1" si="220"/>
        <v>-10.513888888888889</v>
      </c>
      <c r="C2874" t="str">
        <f ca="1">IF(currency="USD",'Future et co'!D2874,IF(currency="EUR",'Future et co'!E2874,IF(currency="GBP",'Future et co'!F2874,FALSE)))</f>
        <v>RFR USD</v>
      </c>
      <c r="D2874" t="str">
        <f t="shared" ca="1" si="221"/>
        <v>RFR USD</v>
      </c>
      <c r="E2874" t="str">
        <f t="shared" ca="1" si="222"/>
        <v>RFR EUR</v>
      </c>
      <c r="F2874" t="str">
        <f t="shared" ca="1" si="223"/>
        <v>RFR GBP</v>
      </c>
      <c r="J2874" s="1"/>
      <c r="N2874" s="1"/>
      <c r="R2874" s="1"/>
      <c r="V2874" s="1"/>
      <c r="AB2874" s="1"/>
      <c r="AF2874" s="1"/>
      <c r="AJ2874" s="1"/>
      <c r="AN2874" s="1"/>
      <c r="AS2874" s="1"/>
      <c r="AX2874" s="1"/>
    </row>
    <row r="2875" spans="1:50" x14ac:dyDescent="0.3">
      <c r="A2875" s="19">
        <f t="shared" si="224"/>
        <v>49940</v>
      </c>
      <c r="B2875">
        <f t="shared" ca="1" si="220"/>
        <v>-10.522222222222222</v>
      </c>
      <c r="C2875" t="str">
        <f ca="1">IF(currency="USD",'Future et co'!D2875,IF(currency="EUR",'Future et co'!E2875,IF(currency="GBP",'Future et co'!F2875,FALSE)))</f>
        <v>RFR USD</v>
      </c>
      <c r="D2875" t="str">
        <f t="shared" ca="1" si="221"/>
        <v>RFR USD</v>
      </c>
      <c r="E2875" t="str">
        <f t="shared" ca="1" si="222"/>
        <v>RFR EUR</v>
      </c>
      <c r="F2875" t="str">
        <f t="shared" ca="1" si="223"/>
        <v>RFR GBP</v>
      </c>
      <c r="J2875" s="1"/>
      <c r="N2875" s="1"/>
      <c r="R2875" s="1"/>
      <c r="V2875" s="1"/>
      <c r="AB2875" s="1"/>
      <c r="AF2875" s="1"/>
      <c r="AJ2875" s="1"/>
      <c r="AN2875" s="1"/>
      <c r="AS2875" s="1"/>
      <c r="AX2875" s="1"/>
    </row>
    <row r="2876" spans="1:50" x14ac:dyDescent="0.3">
      <c r="A2876" s="19">
        <f t="shared" si="224"/>
        <v>49941</v>
      </c>
      <c r="B2876">
        <f t="shared" ca="1" si="220"/>
        <v>-10.525</v>
      </c>
      <c r="C2876" t="str">
        <f ca="1">IF(currency="USD",'Future et co'!D2876,IF(currency="EUR",'Future et co'!E2876,IF(currency="GBP",'Future et co'!F2876,FALSE)))</f>
        <v>RFR USD</v>
      </c>
      <c r="D2876" t="str">
        <f t="shared" ca="1" si="221"/>
        <v>RFR USD</v>
      </c>
      <c r="E2876" t="str">
        <f t="shared" ca="1" si="222"/>
        <v>RFR EUR</v>
      </c>
      <c r="F2876" t="str">
        <f t="shared" ca="1" si="223"/>
        <v>RFR GBP</v>
      </c>
      <c r="J2876" s="1"/>
      <c r="N2876" s="1"/>
      <c r="R2876" s="1"/>
      <c r="V2876" s="1"/>
      <c r="AB2876" s="1"/>
      <c r="AF2876" s="1"/>
      <c r="AJ2876" s="1"/>
      <c r="AN2876" s="1"/>
      <c r="AS2876" s="1"/>
      <c r="AX2876" s="1"/>
    </row>
    <row r="2877" spans="1:50" x14ac:dyDescent="0.3">
      <c r="A2877" s="19">
        <f t="shared" si="224"/>
        <v>49942</v>
      </c>
      <c r="B2877">
        <f t="shared" ca="1" si="220"/>
        <v>-10.527777777777779</v>
      </c>
      <c r="C2877" t="str">
        <f ca="1">IF(currency="USD",'Future et co'!D2877,IF(currency="EUR",'Future et co'!E2877,IF(currency="GBP",'Future et co'!F2877,FALSE)))</f>
        <v>RFR USD</v>
      </c>
      <c r="D2877" t="str">
        <f t="shared" ca="1" si="221"/>
        <v>RFR USD</v>
      </c>
      <c r="E2877" t="str">
        <f t="shared" ca="1" si="222"/>
        <v>RFR EUR</v>
      </c>
      <c r="F2877" t="str">
        <f t="shared" ca="1" si="223"/>
        <v>RFR GBP</v>
      </c>
      <c r="J2877" s="1"/>
      <c r="N2877" s="1"/>
      <c r="R2877" s="1"/>
      <c r="V2877" s="1"/>
      <c r="AB2877" s="1"/>
      <c r="AF2877" s="1"/>
      <c r="AJ2877" s="1"/>
      <c r="AN2877" s="1"/>
      <c r="AS2877" s="1"/>
      <c r="AX2877" s="1"/>
    </row>
    <row r="2878" spans="1:50" x14ac:dyDescent="0.3">
      <c r="A2878" s="19">
        <f t="shared" si="224"/>
        <v>49943</v>
      </c>
      <c r="B2878">
        <f t="shared" ca="1" si="220"/>
        <v>-10.530555555555555</v>
      </c>
      <c r="C2878" t="str">
        <f ca="1">IF(currency="USD",'Future et co'!D2878,IF(currency="EUR",'Future et co'!E2878,IF(currency="GBP",'Future et co'!F2878,FALSE)))</f>
        <v>RFR USD</v>
      </c>
      <c r="D2878" t="str">
        <f t="shared" ca="1" si="221"/>
        <v>RFR USD</v>
      </c>
      <c r="E2878" t="str">
        <f t="shared" ca="1" si="222"/>
        <v>RFR EUR</v>
      </c>
      <c r="F2878" t="str">
        <f t="shared" ca="1" si="223"/>
        <v>RFR GBP</v>
      </c>
      <c r="J2878" s="1"/>
      <c r="N2878" s="1"/>
      <c r="R2878" s="1"/>
      <c r="V2878" s="1"/>
      <c r="AB2878" s="1"/>
      <c r="AF2878" s="1"/>
      <c r="AJ2878" s="1"/>
      <c r="AN2878" s="1"/>
      <c r="AS2878" s="1"/>
      <c r="AX2878" s="1"/>
    </row>
    <row r="2879" spans="1:50" x14ac:dyDescent="0.3">
      <c r="A2879" s="19">
        <f t="shared" si="224"/>
        <v>49944</v>
      </c>
      <c r="B2879">
        <f t="shared" ca="1" si="220"/>
        <v>-10.533333333333333</v>
      </c>
      <c r="C2879" t="str">
        <f ca="1">IF(currency="USD",'Future et co'!D2879,IF(currency="EUR",'Future et co'!E2879,IF(currency="GBP",'Future et co'!F2879,FALSE)))</f>
        <v>RFR USD</v>
      </c>
      <c r="D2879" t="str">
        <f t="shared" ca="1" si="221"/>
        <v>RFR USD</v>
      </c>
      <c r="E2879" t="str">
        <f t="shared" ca="1" si="222"/>
        <v>RFR EUR</v>
      </c>
      <c r="F2879" t="str">
        <f t="shared" ca="1" si="223"/>
        <v>RFR GBP</v>
      </c>
      <c r="J2879" s="1"/>
      <c r="N2879" s="1"/>
      <c r="R2879" s="1"/>
      <c r="V2879" s="1"/>
      <c r="AB2879" s="1"/>
      <c r="AF2879" s="1"/>
      <c r="AJ2879" s="1"/>
      <c r="AN2879" s="1"/>
      <c r="AS2879" s="1"/>
      <c r="AX2879" s="1"/>
    </row>
    <row r="2880" spans="1:50" x14ac:dyDescent="0.3">
      <c r="A2880" s="19">
        <f t="shared" si="224"/>
        <v>49947</v>
      </c>
      <c r="B2880">
        <f t="shared" ca="1" si="220"/>
        <v>-10.541666666666666</v>
      </c>
      <c r="C2880" t="str">
        <f ca="1">IF(currency="USD",'Future et co'!D2880,IF(currency="EUR",'Future et co'!E2880,IF(currency="GBP",'Future et co'!F2880,FALSE)))</f>
        <v>RFR USD</v>
      </c>
      <c r="D2880" t="str">
        <f t="shared" ca="1" si="221"/>
        <v>RFR USD</v>
      </c>
      <c r="E2880" t="str">
        <f t="shared" ca="1" si="222"/>
        <v>RFR EUR</v>
      </c>
      <c r="F2880" t="str">
        <f t="shared" ca="1" si="223"/>
        <v>RFR GBP</v>
      </c>
      <c r="J2880" s="1"/>
      <c r="N2880" s="1"/>
      <c r="R2880" s="1"/>
      <c r="V2880" s="1"/>
      <c r="AB2880" s="1"/>
      <c r="AF2880" s="1"/>
      <c r="AJ2880" s="1"/>
      <c r="AN2880" s="1"/>
      <c r="AS2880" s="1"/>
      <c r="AX2880" s="1"/>
    </row>
    <row r="2881" spans="1:50" x14ac:dyDescent="0.3">
      <c r="A2881" s="19">
        <f t="shared" si="224"/>
        <v>49948</v>
      </c>
      <c r="B2881">
        <f t="shared" ca="1" si="220"/>
        <v>-10.544444444444444</v>
      </c>
      <c r="C2881" t="str">
        <f ca="1">IF(currency="USD",'Future et co'!D2881,IF(currency="EUR",'Future et co'!E2881,IF(currency="GBP",'Future et co'!F2881,FALSE)))</f>
        <v>RFR USD</v>
      </c>
      <c r="D2881" t="str">
        <f t="shared" ca="1" si="221"/>
        <v>RFR USD</v>
      </c>
      <c r="E2881" t="str">
        <f t="shared" ca="1" si="222"/>
        <v>RFR EUR</v>
      </c>
      <c r="F2881" t="str">
        <f t="shared" ca="1" si="223"/>
        <v>RFR GBP</v>
      </c>
      <c r="J2881" s="1"/>
      <c r="N2881" s="1"/>
      <c r="R2881" s="1"/>
      <c r="V2881" s="1"/>
      <c r="AB2881" s="1"/>
      <c r="AF2881" s="1"/>
      <c r="AJ2881" s="1"/>
      <c r="AN2881" s="1"/>
      <c r="AS2881" s="1"/>
      <c r="AX2881" s="1"/>
    </row>
    <row r="2882" spans="1:50" x14ac:dyDescent="0.3">
      <c r="A2882" s="19">
        <f t="shared" si="224"/>
        <v>49949</v>
      </c>
      <c r="B2882">
        <f t="shared" ca="1" si="220"/>
        <v>-10.547222222222222</v>
      </c>
      <c r="C2882" t="str">
        <f ca="1">IF(currency="USD",'Future et co'!D2882,IF(currency="EUR",'Future et co'!E2882,IF(currency="GBP",'Future et co'!F2882,FALSE)))</f>
        <v>RFR USD</v>
      </c>
      <c r="D2882" t="str">
        <f t="shared" ca="1" si="221"/>
        <v>RFR USD</v>
      </c>
      <c r="E2882" t="str">
        <f t="shared" ca="1" si="222"/>
        <v>RFR EUR</v>
      </c>
      <c r="F2882" t="str">
        <f t="shared" ca="1" si="223"/>
        <v>RFR GBP</v>
      </c>
      <c r="J2882" s="1"/>
      <c r="N2882" s="1"/>
      <c r="R2882" s="1"/>
      <c r="V2882" s="1"/>
      <c r="AB2882" s="1"/>
      <c r="AF2882" s="1"/>
      <c r="AJ2882" s="1"/>
      <c r="AN2882" s="1"/>
      <c r="AS2882" s="1"/>
      <c r="AX2882" s="1"/>
    </row>
    <row r="2883" spans="1:50" x14ac:dyDescent="0.3">
      <c r="A2883" s="19">
        <f t="shared" si="224"/>
        <v>49950</v>
      </c>
      <c r="B2883">
        <f t="shared" ca="1" si="220"/>
        <v>-10.55</v>
      </c>
      <c r="C2883" t="str">
        <f ca="1">IF(currency="USD",'Future et co'!D2883,IF(currency="EUR",'Future et co'!E2883,IF(currency="GBP",'Future et co'!F2883,FALSE)))</f>
        <v>RFR USD</v>
      </c>
      <c r="D2883" t="str">
        <f t="shared" ca="1" si="221"/>
        <v>RFR USD</v>
      </c>
      <c r="E2883" t="str">
        <f t="shared" ca="1" si="222"/>
        <v>RFR EUR</v>
      </c>
      <c r="F2883" t="str">
        <f t="shared" ca="1" si="223"/>
        <v>RFR GBP</v>
      </c>
      <c r="J2883" s="1"/>
      <c r="N2883" s="1"/>
      <c r="R2883" s="1"/>
      <c r="V2883" s="1"/>
      <c r="AB2883" s="1"/>
      <c r="AF2883" s="1"/>
      <c r="AJ2883" s="1"/>
      <c r="AN2883" s="1"/>
      <c r="AS2883" s="1"/>
      <c r="AX2883" s="1"/>
    </row>
    <row r="2884" spans="1:50" x14ac:dyDescent="0.3">
      <c r="A2884" s="19">
        <f t="shared" si="224"/>
        <v>49951</v>
      </c>
      <c r="B2884">
        <f t="shared" ca="1" si="220"/>
        <v>-10.552777777777777</v>
      </c>
      <c r="C2884" t="str">
        <f ca="1">IF(currency="USD",'Future et co'!D2884,IF(currency="EUR",'Future et co'!E2884,IF(currency="GBP",'Future et co'!F2884,FALSE)))</f>
        <v>RFR USD</v>
      </c>
      <c r="D2884" t="str">
        <f t="shared" ca="1" si="221"/>
        <v>RFR USD</v>
      </c>
      <c r="E2884" t="str">
        <f t="shared" ca="1" si="222"/>
        <v>RFR EUR</v>
      </c>
      <c r="F2884" t="str">
        <f t="shared" ca="1" si="223"/>
        <v>RFR GBP</v>
      </c>
      <c r="J2884" s="1"/>
      <c r="N2884" s="1"/>
      <c r="R2884" s="1"/>
      <c r="V2884" s="1"/>
      <c r="AB2884" s="1"/>
      <c r="AF2884" s="1"/>
      <c r="AJ2884" s="1"/>
      <c r="AN2884" s="1"/>
      <c r="AS2884" s="1"/>
      <c r="AX2884" s="1"/>
    </row>
    <row r="2885" spans="1:50" x14ac:dyDescent="0.3">
      <c r="A2885" s="19">
        <f t="shared" si="224"/>
        <v>49954</v>
      </c>
      <c r="B2885">
        <f t="shared" ca="1" si="220"/>
        <v>-10.561111111111112</v>
      </c>
      <c r="C2885" t="str">
        <f ca="1">IF(currency="USD",'Future et co'!D2885,IF(currency="EUR",'Future et co'!E2885,IF(currency="GBP",'Future et co'!F2885,FALSE)))</f>
        <v>RFR USD</v>
      </c>
      <c r="D2885" t="str">
        <f t="shared" ca="1" si="221"/>
        <v>RFR USD</v>
      </c>
      <c r="E2885" t="str">
        <f t="shared" ca="1" si="222"/>
        <v>RFR EUR</v>
      </c>
      <c r="F2885" t="str">
        <f t="shared" ca="1" si="223"/>
        <v>RFR GBP</v>
      </c>
      <c r="J2885" s="1"/>
      <c r="N2885" s="1"/>
      <c r="R2885" s="1"/>
      <c r="V2885" s="1"/>
      <c r="AB2885" s="1"/>
      <c r="AF2885" s="1"/>
      <c r="AJ2885" s="1"/>
      <c r="AN2885" s="1"/>
      <c r="AS2885" s="1"/>
      <c r="AX2885" s="1"/>
    </row>
    <row r="2886" spans="1:50" x14ac:dyDescent="0.3">
      <c r="A2886" s="19">
        <f t="shared" si="224"/>
        <v>49955</v>
      </c>
      <c r="B2886">
        <f t="shared" ca="1" si="220"/>
        <v>-10.563888888888888</v>
      </c>
      <c r="C2886" t="str">
        <f ca="1">IF(currency="USD",'Future et co'!D2886,IF(currency="EUR",'Future et co'!E2886,IF(currency="GBP",'Future et co'!F2886,FALSE)))</f>
        <v>RFR USD</v>
      </c>
      <c r="D2886" t="str">
        <f t="shared" ca="1" si="221"/>
        <v>RFR USD</v>
      </c>
      <c r="E2886" t="str">
        <f t="shared" ca="1" si="222"/>
        <v>RFR EUR</v>
      </c>
      <c r="F2886" t="str">
        <f t="shared" ca="1" si="223"/>
        <v>RFR GBP</v>
      </c>
      <c r="J2886" s="1"/>
      <c r="N2886" s="1"/>
      <c r="R2886" s="1"/>
      <c r="V2886" s="1"/>
      <c r="AB2886" s="1"/>
      <c r="AF2886" s="1"/>
      <c r="AJ2886" s="1"/>
      <c r="AN2886" s="1"/>
      <c r="AS2886" s="1"/>
      <c r="AX2886" s="1"/>
    </row>
    <row r="2887" spans="1:50" x14ac:dyDescent="0.3">
      <c r="A2887" s="19">
        <f t="shared" si="224"/>
        <v>49956</v>
      </c>
      <c r="B2887">
        <f t="shared" ca="1" si="220"/>
        <v>-10.566666666666666</v>
      </c>
      <c r="C2887" t="str">
        <f ca="1">IF(currency="USD",'Future et co'!D2887,IF(currency="EUR",'Future et co'!E2887,IF(currency="GBP",'Future et co'!F2887,FALSE)))</f>
        <v>RFR USD</v>
      </c>
      <c r="D2887" t="str">
        <f t="shared" ca="1" si="221"/>
        <v>RFR USD</v>
      </c>
      <c r="E2887" t="str">
        <f t="shared" ca="1" si="222"/>
        <v>RFR EUR</v>
      </c>
      <c r="F2887" t="str">
        <f t="shared" ca="1" si="223"/>
        <v>RFR GBP</v>
      </c>
      <c r="J2887" s="1"/>
      <c r="N2887" s="1"/>
      <c r="R2887" s="1"/>
      <c r="V2887" s="1"/>
      <c r="AB2887" s="1"/>
      <c r="AF2887" s="1"/>
      <c r="AJ2887" s="1"/>
      <c r="AN2887" s="1"/>
      <c r="AS2887" s="1"/>
      <c r="AX2887" s="1"/>
    </row>
    <row r="2888" spans="1:50" x14ac:dyDescent="0.3">
      <c r="A2888" s="19">
        <f t="shared" si="224"/>
        <v>49957</v>
      </c>
      <c r="B2888">
        <f t="shared" ca="1" si="220"/>
        <v>-10.569444444444445</v>
      </c>
      <c r="C2888" t="str">
        <f ca="1">IF(currency="USD",'Future et co'!D2888,IF(currency="EUR",'Future et co'!E2888,IF(currency="GBP",'Future et co'!F2888,FALSE)))</f>
        <v>RFR USD</v>
      </c>
      <c r="D2888" t="str">
        <f t="shared" ca="1" si="221"/>
        <v>RFR USD</v>
      </c>
      <c r="E2888" t="str">
        <f t="shared" ca="1" si="222"/>
        <v>RFR EUR</v>
      </c>
      <c r="F2888" t="str">
        <f t="shared" ca="1" si="223"/>
        <v>RFR GBP</v>
      </c>
      <c r="J2888" s="1"/>
      <c r="N2888" s="1"/>
      <c r="R2888" s="1"/>
      <c r="V2888" s="1"/>
      <c r="AB2888" s="1"/>
      <c r="AF2888" s="1"/>
      <c r="AJ2888" s="1"/>
      <c r="AN2888" s="1"/>
      <c r="AS2888" s="1"/>
      <c r="AX2888" s="1"/>
    </row>
    <row r="2889" spans="1:50" x14ac:dyDescent="0.3">
      <c r="A2889" s="19">
        <f t="shared" si="224"/>
        <v>49958</v>
      </c>
      <c r="B2889">
        <f t="shared" ca="1" si="220"/>
        <v>-10.572222222222223</v>
      </c>
      <c r="C2889" t="str">
        <f ca="1">IF(currency="USD",'Future et co'!D2889,IF(currency="EUR",'Future et co'!E2889,IF(currency="GBP",'Future et co'!F2889,FALSE)))</f>
        <v>RFR USD</v>
      </c>
      <c r="D2889" t="str">
        <f t="shared" ca="1" si="221"/>
        <v>RFR USD</v>
      </c>
      <c r="E2889" t="str">
        <f t="shared" ca="1" si="222"/>
        <v>RFR EUR</v>
      </c>
      <c r="F2889" t="str">
        <f t="shared" ca="1" si="223"/>
        <v>RFR GBP</v>
      </c>
      <c r="J2889" s="1"/>
      <c r="N2889" s="1"/>
      <c r="R2889" s="1"/>
      <c r="V2889" s="1"/>
      <c r="AB2889" s="1"/>
      <c r="AF2889" s="1"/>
      <c r="AJ2889" s="1"/>
      <c r="AN2889" s="1"/>
      <c r="AS2889" s="1"/>
      <c r="AX2889" s="1"/>
    </row>
    <row r="2890" spans="1:50" x14ac:dyDescent="0.3">
      <c r="A2890" s="19">
        <f t="shared" si="224"/>
        <v>49961</v>
      </c>
      <c r="B2890">
        <f t="shared" ca="1" si="220"/>
        <v>-10.580555555555556</v>
      </c>
      <c r="C2890" t="str">
        <f ca="1">IF(currency="USD",'Future et co'!D2890,IF(currency="EUR",'Future et co'!E2890,IF(currency="GBP",'Future et co'!F2890,FALSE)))</f>
        <v>RFR USD</v>
      </c>
      <c r="D2890" t="str">
        <f t="shared" ca="1" si="221"/>
        <v>RFR USD</v>
      </c>
      <c r="E2890" t="str">
        <f t="shared" ca="1" si="222"/>
        <v>RFR EUR</v>
      </c>
      <c r="F2890" t="str">
        <f t="shared" ca="1" si="223"/>
        <v>RFR GBP</v>
      </c>
      <c r="J2890" s="1"/>
      <c r="N2890" s="1"/>
      <c r="R2890" s="1"/>
      <c r="V2890" s="1"/>
      <c r="AB2890" s="1"/>
      <c r="AF2890" s="1"/>
      <c r="AJ2890" s="1"/>
      <c r="AN2890" s="1"/>
      <c r="AS2890" s="1"/>
      <c r="AX2890" s="1"/>
    </row>
    <row r="2891" spans="1:50" x14ac:dyDescent="0.3">
      <c r="A2891" s="19">
        <f t="shared" si="224"/>
        <v>49962</v>
      </c>
      <c r="B2891">
        <f t="shared" ref="B2891:B2954" ca="1" si="225">($B$7-A2891)/360</f>
        <v>-10.583333333333334</v>
      </c>
      <c r="C2891" t="str">
        <f ca="1">IF(currency="USD",'Future et co'!D2891,IF(currency="EUR",'Future et co'!E2891,IF(currency="GBP",'Future et co'!F2891,FALSE)))</f>
        <v>RFR USD</v>
      </c>
      <c r="D2891" t="str">
        <f t="shared" ref="D2891:D2954" ca="1" si="226">IFERROR(IF(B2891&lt;0.25,VLOOKUP(A2891,$J$11:$L$5325,3,FALSE),IF(AND(B2891&gt;=0.25,B2891&lt;0.5),VLOOKUP(A2891,$N$11:$P$5325,3,FALSE),IF(AND(B2891&gt;=0.5,B2891&lt;1),VLOOKUP(A2891,$R$11:$T$5325,3,FALSE),VLOOKUP(A2891,$V$11:$X$5010,3,FALSE)))),D2890)</f>
        <v>RFR USD</v>
      </c>
      <c r="E2891" t="str">
        <f t="shared" ref="E2891:E2954" ca="1" si="227">IFERROR(IF(B2891&lt;0.25,VLOOKUP(A2891,$AF$11:$AH$5325,3,FALSE),IF(AND(B2891&gt;=0.25,B2891&lt;0.5),VLOOKUP(A2891,$AJ$11:$AL$5325,3,FALSE),VLOOKUP(A2891,$AN$11:$AP$5325,3,FALSE))),E2890)</f>
        <v>RFR EUR</v>
      </c>
      <c r="F2891" t="str">
        <f t="shared" ref="F2891:F2954" ca="1" si="228">IFERROR(VLOOKUP(A2891,$AS$11:$AU$9999,3,FALSE),F2890)</f>
        <v>RFR GBP</v>
      </c>
      <c r="J2891" s="1"/>
      <c r="N2891" s="1"/>
      <c r="R2891" s="1"/>
      <c r="V2891" s="1"/>
      <c r="AB2891" s="1"/>
      <c r="AF2891" s="1"/>
      <c r="AJ2891" s="1"/>
      <c r="AN2891" s="1"/>
      <c r="AS2891" s="1"/>
      <c r="AX2891" s="1"/>
    </row>
    <row r="2892" spans="1:50" x14ac:dyDescent="0.3">
      <c r="A2892" s="19">
        <f t="shared" si="224"/>
        <v>49963</v>
      </c>
      <c r="B2892">
        <f t="shared" ca="1" si="225"/>
        <v>-10.58611111111111</v>
      </c>
      <c r="C2892" t="str">
        <f ca="1">IF(currency="USD",'Future et co'!D2892,IF(currency="EUR",'Future et co'!E2892,IF(currency="GBP",'Future et co'!F2892,FALSE)))</f>
        <v>RFR USD</v>
      </c>
      <c r="D2892" t="str">
        <f t="shared" ca="1" si="226"/>
        <v>RFR USD</v>
      </c>
      <c r="E2892" t="str">
        <f t="shared" ca="1" si="227"/>
        <v>RFR EUR</v>
      </c>
      <c r="F2892" t="str">
        <f t="shared" ca="1" si="228"/>
        <v>RFR GBP</v>
      </c>
      <c r="J2892" s="1"/>
      <c r="N2892" s="1"/>
      <c r="R2892" s="1"/>
      <c r="V2892" s="1"/>
      <c r="AB2892" s="1"/>
      <c r="AF2892" s="1"/>
      <c r="AJ2892" s="1"/>
      <c r="AN2892" s="1"/>
      <c r="AS2892" s="1"/>
      <c r="AX2892" s="1"/>
    </row>
    <row r="2893" spans="1:50" x14ac:dyDescent="0.3">
      <c r="A2893" s="19">
        <f t="shared" ref="A2893:A2956" si="229">WORKDAY(A2892,1)</f>
        <v>49964</v>
      </c>
      <c r="B2893">
        <f t="shared" ca="1" si="225"/>
        <v>-10.588888888888889</v>
      </c>
      <c r="C2893" t="str">
        <f ca="1">IF(currency="USD",'Future et co'!D2893,IF(currency="EUR",'Future et co'!E2893,IF(currency="GBP",'Future et co'!F2893,FALSE)))</f>
        <v>RFR USD</v>
      </c>
      <c r="D2893" t="str">
        <f t="shared" ca="1" si="226"/>
        <v>RFR USD</v>
      </c>
      <c r="E2893" t="str">
        <f t="shared" ca="1" si="227"/>
        <v>RFR EUR</v>
      </c>
      <c r="F2893" t="str">
        <f t="shared" ca="1" si="228"/>
        <v>RFR GBP</v>
      </c>
      <c r="J2893" s="1"/>
      <c r="N2893" s="1"/>
      <c r="R2893" s="1"/>
      <c r="V2893" s="1"/>
      <c r="AB2893" s="1"/>
      <c r="AF2893" s="1"/>
      <c r="AJ2893" s="1"/>
      <c r="AN2893" s="1"/>
      <c r="AS2893" s="1"/>
      <c r="AX2893" s="1"/>
    </row>
    <row r="2894" spans="1:50" x14ac:dyDescent="0.3">
      <c r="A2894" s="19">
        <f t="shared" si="229"/>
        <v>49965</v>
      </c>
      <c r="B2894">
        <f t="shared" ca="1" si="225"/>
        <v>-10.591666666666667</v>
      </c>
      <c r="C2894" t="str">
        <f ca="1">IF(currency="USD",'Future et co'!D2894,IF(currency="EUR",'Future et co'!E2894,IF(currency="GBP",'Future et co'!F2894,FALSE)))</f>
        <v>RFR USD</v>
      </c>
      <c r="D2894" t="str">
        <f t="shared" ca="1" si="226"/>
        <v>RFR USD</v>
      </c>
      <c r="E2894" t="str">
        <f t="shared" ca="1" si="227"/>
        <v>RFR EUR</v>
      </c>
      <c r="F2894" t="str">
        <f t="shared" ca="1" si="228"/>
        <v>RFR GBP</v>
      </c>
      <c r="J2894" s="1"/>
      <c r="N2894" s="1"/>
      <c r="R2894" s="1"/>
      <c r="V2894" s="1"/>
      <c r="AB2894" s="1"/>
      <c r="AF2894" s="1"/>
      <c r="AJ2894" s="1"/>
      <c r="AN2894" s="1"/>
      <c r="AS2894" s="1"/>
      <c r="AX2894" s="1"/>
    </row>
    <row r="2895" spans="1:50" x14ac:dyDescent="0.3">
      <c r="A2895" s="19">
        <f t="shared" si="229"/>
        <v>49968</v>
      </c>
      <c r="B2895">
        <f t="shared" ca="1" si="225"/>
        <v>-10.6</v>
      </c>
      <c r="C2895" t="str">
        <f ca="1">IF(currency="USD",'Future et co'!D2895,IF(currency="EUR",'Future et co'!E2895,IF(currency="GBP",'Future et co'!F2895,FALSE)))</f>
        <v>RFR USD</v>
      </c>
      <c r="D2895" t="str">
        <f t="shared" ca="1" si="226"/>
        <v>RFR USD</v>
      </c>
      <c r="E2895" t="str">
        <f t="shared" ca="1" si="227"/>
        <v>RFR EUR</v>
      </c>
      <c r="F2895" t="str">
        <f t="shared" ca="1" si="228"/>
        <v>RFR GBP</v>
      </c>
      <c r="J2895" s="1"/>
      <c r="N2895" s="1"/>
      <c r="R2895" s="1"/>
      <c r="V2895" s="1"/>
      <c r="AB2895" s="1"/>
      <c r="AF2895" s="1"/>
      <c r="AJ2895" s="1"/>
      <c r="AN2895" s="1"/>
      <c r="AS2895" s="1"/>
      <c r="AX2895" s="1"/>
    </row>
    <row r="2896" spans="1:50" x14ac:dyDescent="0.3">
      <c r="A2896" s="19">
        <f t="shared" si="229"/>
        <v>49969</v>
      </c>
      <c r="B2896">
        <f t="shared" ca="1" si="225"/>
        <v>-10.602777777777778</v>
      </c>
      <c r="C2896" t="str">
        <f ca="1">IF(currency="USD",'Future et co'!D2896,IF(currency="EUR",'Future et co'!E2896,IF(currency="GBP",'Future et co'!F2896,FALSE)))</f>
        <v>RFR USD</v>
      </c>
      <c r="D2896" t="str">
        <f t="shared" ca="1" si="226"/>
        <v>RFR USD</v>
      </c>
      <c r="E2896" t="str">
        <f t="shared" ca="1" si="227"/>
        <v>RFR EUR</v>
      </c>
      <c r="F2896" t="str">
        <f t="shared" ca="1" si="228"/>
        <v>RFR GBP</v>
      </c>
      <c r="J2896" s="1"/>
      <c r="N2896" s="1"/>
      <c r="R2896" s="1"/>
      <c r="V2896" s="1"/>
      <c r="AB2896" s="1"/>
      <c r="AF2896" s="1"/>
      <c r="AJ2896" s="1"/>
      <c r="AN2896" s="1"/>
      <c r="AS2896" s="1"/>
      <c r="AX2896" s="1"/>
    </row>
    <row r="2897" spans="1:50" x14ac:dyDescent="0.3">
      <c r="A2897" s="19">
        <f t="shared" si="229"/>
        <v>49970</v>
      </c>
      <c r="B2897">
        <f t="shared" ca="1" si="225"/>
        <v>-10.605555555555556</v>
      </c>
      <c r="C2897" t="str">
        <f ca="1">IF(currency="USD",'Future et co'!D2897,IF(currency="EUR",'Future et co'!E2897,IF(currency="GBP",'Future et co'!F2897,FALSE)))</f>
        <v>RFR USD</v>
      </c>
      <c r="D2897" t="str">
        <f t="shared" ca="1" si="226"/>
        <v>RFR USD</v>
      </c>
      <c r="E2897" t="str">
        <f t="shared" ca="1" si="227"/>
        <v>RFR EUR</v>
      </c>
      <c r="F2897" t="str">
        <f t="shared" ca="1" si="228"/>
        <v>RFR GBP</v>
      </c>
      <c r="J2897" s="1"/>
      <c r="N2897" s="1"/>
      <c r="R2897" s="1"/>
      <c r="V2897" s="1"/>
      <c r="AB2897" s="1"/>
      <c r="AF2897" s="1"/>
      <c r="AJ2897" s="1"/>
      <c r="AN2897" s="1"/>
      <c r="AS2897" s="1"/>
      <c r="AX2897" s="1"/>
    </row>
    <row r="2898" spans="1:50" x14ac:dyDescent="0.3">
      <c r="A2898" s="19">
        <f t="shared" si="229"/>
        <v>49971</v>
      </c>
      <c r="B2898">
        <f t="shared" ca="1" si="225"/>
        <v>-10.608333333333333</v>
      </c>
      <c r="C2898" t="str">
        <f ca="1">IF(currency="USD",'Future et co'!D2898,IF(currency="EUR",'Future et co'!E2898,IF(currency="GBP",'Future et co'!F2898,FALSE)))</f>
        <v>RFR USD</v>
      </c>
      <c r="D2898" t="str">
        <f t="shared" ca="1" si="226"/>
        <v>RFR USD</v>
      </c>
      <c r="E2898" t="str">
        <f t="shared" ca="1" si="227"/>
        <v>RFR EUR</v>
      </c>
      <c r="F2898" t="str">
        <f t="shared" ca="1" si="228"/>
        <v>RFR GBP</v>
      </c>
      <c r="J2898" s="1"/>
      <c r="N2898" s="1"/>
      <c r="R2898" s="1"/>
      <c r="V2898" s="1"/>
      <c r="AB2898" s="1"/>
      <c r="AF2898" s="1"/>
      <c r="AJ2898" s="1"/>
      <c r="AN2898" s="1"/>
      <c r="AS2898" s="1"/>
      <c r="AX2898" s="1"/>
    </row>
    <row r="2899" spans="1:50" x14ac:dyDescent="0.3">
      <c r="A2899" s="19">
        <f t="shared" si="229"/>
        <v>49972</v>
      </c>
      <c r="B2899">
        <f t="shared" ca="1" si="225"/>
        <v>-10.611111111111111</v>
      </c>
      <c r="C2899" t="str">
        <f ca="1">IF(currency="USD",'Future et co'!D2899,IF(currency="EUR",'Future et co'!E2899,IF(currency="GBP",'Future et co'!F2899,FALSE)))</f>
        <v>RFR USD</v>
      </c>
      <c r="D2899" t="str">
        <f t="shared" ca="1" si="226"/>
        <v>RFR USD</v>
      </c>
      <c r="E2899" t="str">
        <f t="shared" ca="1" si="227"/>
        <v>RFR EUR</v>
      </c>
      <c r="F2899" t="str">
        <f t="shared" ca="1" si="228"/>
        <v>RFR GBP</v>
      </c>
      <c r="J2899" s="1"/>
      <c r="N2899" s="1"/>
      <c r="R2899" s="1"/>
      <c r="V2899" s="1"/>
      <c r="AB2899" s="1"/>
      <c r="AF2899" s="1"/>
      <c r="AJ2899" s="1"/>
      <c r="AN2899" s="1"/>
      <c r="AS2899" s="1"/>
      <c r="AX2899" s="1"/>
    </row>
    <row r="2900" spans="1:50" x14ac:dyDescent="0.3">
      <c r="A2900" s="19">
        <f t="shared" si="229"/>
        <v>49975</v>
      </c>
      <c r="B2900">
        <f t="shared" ca="1" si="225"/>
        <v>-10.619444444444444</v>
      </c>
      <c r="C2900" t="str">
        <f ca="1">IF(currency="USD",'Future et co'!D2900,IF(currency="EUR",'Future et co'!E2900,IF(currency="GBP",'Future et co'!F2900,FALSE)))</f>
        <v>RFR USD</v>
      </c>
      <c r="D2900" t="str">
        <f t="shared" ca="1" si="226"/>
        <v>RFR USD</v>
      </c>
      <c r="E2900" t="str">
        <f t="shared" ca="1" si="227"/>
        <v>RFR EUR</v>
      </c>
      <c r="F2900" t="str">
        <f t="shared" ca="1" si="228"/>
        <v>RFR GBP</v>
      </c>
      <c r="J2900" s="1"/>
      <c r="N2900" s="1"/>
      <c r="R2900" s="1"/>
      <c r="V2900" s="1"/>
      <c r="AB2900" s="1"/>
      <c r="AF2900" s="1"/>
      <c r="AJ2900" s="1"/>
      <c r="AN2900" s="1"/>
      <c r="AS2900" s="1"/>
      <c r="AX2900" s="1"/>
    </row>
    <row r="2901" spans="1:50" x14ac:dyDescent="0.3">
      <c r="A2901" s="19">
        <f t="shared" si="229"/>
        <v>49976</v>
      </c>
      <c r="B2901">
        <f t="shared" ca="1" si="225"/>
        <v>-10.622222222222222</v>
      </c>
      <c r="C2901" t="str">
        <f ca="1">IF(currency="USD",'Future et co'!D2901,IF(currency="EUR",'Future et co'!E2901,IF(currency="GBP",'Future et co'!F2901,FALSE)))</f>
        <v>RFR USD</v>
      </c>
      <c r="D2901" t="str">
        <f t="shared" ca="1" si="226"/>
        <v>RFR USD</v>
      </c>
      <c r="E2901" t="str">
        <f t="shared" ca="1" si="227"/>
        <v>RFR EUR</v>
      </c>
      <c r="F2901" t="str">
        <f t="shared" ca="1" si="228"/>
        <v>RFR GBP</v>
      </c>
      <c r="J2901" s="1"/>
      <c r="N2901" s="1"/>
      <c r="R2901" s="1"/>
      <c r="V2901" s="1"/>
      <c r="AB2901" s="1"/>
      <c r="AF2901" s="1"/>
      <c r="AJ2901" s="1"/>
      <c r="AN2901" s="1"/>
      <c r="AS2901" s="1"/>
      <c r="AX2901" s="1"/>
    </row>
    <row r="2902" spans="1:50" x14ac:dyDescent="0.3">
      <c r="A2902" s="19">
        <f t="shared" si="229"/>
        <v>49977</v>
      </c>
      <c r="B2902">
        <f t="shared" ca="1" si="225"/>
        <v>-10.625</v>
      </c>
      <c r="C2902" t="str">
        <f ca="1">IF(currency="USD",'Future et co'!D2902,IF(currency="EUR",'Future et co'!E2902,IF(currency="GBP",'Future et co'!F2902,FALSE)))</f>
        <v>RFR USD</v>
      </c>
      <c r="D2902" t="str">
        <f t="shared" ca="1" si="226"/>
        <v>RFR USD</v>
      </c>
      <c r="E2902" t="str">
        <f t="shared" ca="1" si="227"/>
        <v>RFR EUR</v>
      </c>
      <c r="F2902" t="str">
        <f t="shared" ca="1" si="228"/>
        <v>RFR GBP</v>
      </c>
      <c r="J2902" s="1"/>
      <c r="N2902" s="1"/>
      <c r="R2902" s="1"/>
      <c r="V2902" s="1"/>
      <c r="AB2902" s="1"/>
      <c r="AF2902" s="1"/>
      <c r="AJ2902" s="1"/>
      <c r="AN2902" s="1"/>
      <c r="AS2902" s="1"/>
      <c r="AX2902" s="1"/>
    </row>
    <row r="2903" spans="1:50" x14ac:dyDescent="0.3">
      <c r="A2903" s="19">
        <f t="shared" si="229"/>
        <v>49978</v>
      </c>
      <c r="B2903">
        <f t="shared" ca="1" si="225"/>
        <v>-10.627777777777778</v>
      </c>
      <c r="C2903" t="str">
        <f ca="1">IF(currency="USD",'Future et co'!D2903,IF(currency="EUR",'Future et co'!E2903,IF(currency="GBP",'Future et co'!F2903,FALSE)))</f>
        <v>RFR USD</v>
      </c>
      <c r="D2903" t="str">
        <f t="shared" ca="1" si="226"/>
        <v>RFR USD</v>
      </c>
      <c r="E2903" t="str">
        <f t="shared" ca="1" si="227"/>
        <v>RFR EUR</v>
      </c>
      <c r="F2903" t="str">
        <f t="shared" ca="1" si="228"/>
        <v>RFR GBP</v>
      </c>
      <c r="J2903" s="1"/>
      <c r="N2903" s="1"/>
      <c r="R2903" s="1"/>
      <c r="V2903" s="1"/>
      <c r="AB2903" s="1"/>
      <c r="AF2903" s="1"/>
      <c r="AJ2903" s="1"/>
      <c r="AN2903" s="1"/>
      <c r="AS2903" s="1"/>
      <c r="AX2903" s="1"/>
    </row>
    <row r="2904" spans="1:50" x14ac:dyDescent="0.3">
      <c r="A2904" s="19">
        <f t="shared" si="229"/>
        <v>49979</v>
      </c>
      <c r="B2904">
        <f t="shared" ca="1" si="225"/>
        <v>-10.630555555555556</v>
      </c>
      <c r="C2904" t="str">
        <f ca="1">IF(currency="USD",'Future et co'!D2904,IF(currency="EUR",'Future et co'!E2904,IF(currency="GBP",'Future et co'!F2904,FALSE)))</f>
        <v>RFR USD</v>
      </c>
      <c r="D2904" t="str">
        <f t="shared" ca="1" si="226"/>
        <v>RFR USD</v>
      </c>
      <c r="E2904" t="str">
        <f t="shared" ca="1" si="227"/>
        <v>RFR EUR</v>
      </c>
      <c r="F2904" t="str">
        <f t="shared" ca="1" si="228"/>
        <v>RFR GBP</v>
      </c>
      <c r="J2904" s="1"/>
      <c r="N2904" s="1"/>
      <c r="R2904" s="1"/>
      <c r="V2904" s="1"/>
      <c r="AB2904" s="1"/>
      <c r="AF2904" s="1"/>
      <c r="AJ2904" s="1"/>
      <c r="AN2904" s="1"/>
      <c r="AS2904" s="1"/>
      <c r="AX2904" s="1"/>
    </row>
    <row r="2905" spans="1:50" x14ac:dyDescent="0.3">
      <c r="A2905" s="19">
        <f t="shared" si="229"/>
        <v>49982</v>
      </c>
      <c r="B2905">
        <f t="shared" ca="1" si="225"/>
        <v>-10.638888888888889</v>
      </c>
      <c r="C2905" t="str">
        <f ca="1">IF(currency="USD",'Future et co'!D2905,IF(currency="EUR",'Future et co'!E2905,IF(currency="GBP",'Future et co'!F2905,FALSE)))</f>
        <v>RFR USD</v>
      </c>
      <c r="D2905" t="str">
        <f t="shared" ca="1" si="226"/>
        <v>RFR USD</v>
      </c>
      <c r="E2905" t="str">
        <f t="shared" ca="1" si="227"/>
        <v>RFR EUR</v>
      </c>
      <c r="F2905" t="str">
        <f t="shared" ca="1" si="228"/>
        <v>RFR GBP</v>
      </c>
      <c r="J2905" s="1"/>
      <c r="N2905" s="1"/>
      <c r="R2905" s="1"/>
      <c r="V2905" s="1"/>
      <c r="AB2905" s="1"/>
      <c r="AF2905" s="1"/>
      <c r="AJ2905" s="1"/>
      <c r="AN2905" s="1"/>
      <c r="AS2905" s="1"/>
      <c r="AX2905" s="1"/>
    </row>
    <row r="2906" spans="1:50" x14ac:dyDescent="0.3">
      <c r="A2906" s="19">
        <f t="shared" si="229"/>
        <v>49983</v>
      </c>
      <c r="B2906">
        <f t="shared" ca="1" si="225"/>
        <v>-10.641666666666667</v>
      </c>
      <c r="C2906" t="str">
        <f ca="1">IF(currency="USD",'Future et co'!D2906,IF(currency="EUR",'Future et co'!E2906,IF(currency="GBP",'Future et co'!F2906,FALSE)))</f>
        <v>RFR USD</v>
      </c>
      <c r="D2906" t="str">
        <f t="shared" ca="1" si="226"/>
        <v>RFR USD</v>
      </c>
      <c r="E2906" t="str">
        <f t="shared" ca="1" si="227"/>
        <v>RFR EUR</v>
      </c>
      <c r="F2906" t="str">
        <f t="shared" ca="1" si="228"/>
        <v>RFR GBP</v>
      </c>
      <c r="J2906" s="1"/>
      <c r="N2906" s="1"/>
      <c r="R2906" s="1"/>
      <c r="V2906" s="1"/>
      <c r="AB2906" s="1"/>
      <c r="AF2906" s="1"/>
      <c r="AJ2906" s="1"/>
      <c r="AN2906" s="1"/>
      <c r="AS2906" s="1"/>
      <c r="AX2906" s="1"/>
    </row>
    <row r="2907" spans="1:50" x14ac:dyDescent="0.3">
      <c r="A2907" s="19">
        <f t="shared" si="229"/>
        <v>49984</v>
      </c>
      <c r="B2907">
        <f t="shared" ca="1" si="225"/>
        <v>-10.644444444444444</v>
      </c>
      <c r="C2907" t="str">
        <f ca="1">IF(currency="USD",'Future et co'!D2907,IF(currency="EUR",'Future et co'!E2907,IF(currency="GBP",'Future et co'!F2907,FALSE)))</f>
        <v>RFR USD</v>
      </c>
      <c r="D2907" t="str">
        <f t="shared" ca="1" si="226"/>
        <v>RFR USD</v>
      </c>
      <c r="E2907" t="str">
        <f t="shared" ca="1" si="227"/>
        <v>RFR EUR</v>
      </c>
      <c r="F2907" t="str">
        <f t="shared" ca="1" si="228"/>
        <v>RFR GBP</v>
      </c>
      <c r="J2907" s="1"/>
      <c r="N2907" s="1"/>
      <c r="R2907" s="1"/>
      <c r="V2907" s="1"/>
      <c r="AB2907" s="1"/>
      <c r="AF2907" s="1"/>
      <c r="AJ2907" s="1"/>
      <c r="AN2907" s="1"/>
      <c r="AS2907" s="1"/>
      <c r="AX2907" s="1"/>
    </row>
    <row r="2908" spans="1:50" x14ac:dyDescent="0.3">
      <c r="A2908" s="19">
        <f t="shared" si="229"/>
        <v>49985</v>
      </c>
      <c r="B2908">
        <f t="shared" ca="1" si="225"/>
        <v>-10.647222222222222</v>
      </c>
      <c r="C2908" t="str">
        <f ca="1">IF(currency="USD",'Future et co'!D2908,IF(currency="EUR",'Future et co'!E2908,IF(currency="GBP",'Future et co'!F2908,FALSE)))</f>
        <v>RFR USD</v>
      </c>
      <c r="D2908" t="str">
        <f t="shared" ca="1" si="226"/>
        <v>RFR USD</v>
      </c>
      <c r="E2908" t="str">
        <f t="shared" ca="1" si="227"/>
        <v>RFR EUR</v>
      </c>
      <c r="F2908" t="str">
        <f t="shared" ca="1" si="228"/>
        <v>RFR GBP</v>
      </c>
      <c r="J2908" s="1"/>
      <c r="N2908" s="1"/>
      <c r="R2908" s="1"/>
      <c r="V2908" s="1"/>
      <c r="AB2908" s="1"/>
      <c r="AF2908" s="1"/>
      <c r="AJ2908" s="1"/>
      <c r="AN2908" s="1"/>
      <c r="AS2908" s="1"/>
      <c r="AX2908" s="1"/>
    </row>
    <row r="2909" spans="1:50" x14ac:dyDescent="0.3">
      <c r="A2909" s="19">
        <f t="shared" si="229"/>
        <v>49986</v>
      </c>
      <c r="B2909">
        <f t="shared" ca="1" si="225"/>
        <v>-10.65</v>
      </c>
      <c r="C2909" t="str">
        <f ca="1">IF(currency="USD",'Future et co'!D2909,IF(currency="EUR",'Future et co'!E2909,IF(currency="GBP",'Future et co'!F2909,FALSE)))</f>
        <v>RFR USD</v>
      </c>
      <c r="D2909" t="str">
        <f t="shared" ca="1" si="226"/>
        <v>RFR USD</v>
      </c>
      <c r="E2909" t="str">
        <f t="shared" ca="1" si="227"/>
        <v>RFR EUR</v>
      </c>
      <c r="F2909" t="str">
        <f t="shared" ca="1" si="228"/>
        <v>RFR GBP</v>
      </c>
      <c r="J2909" s="1"/>
      <c r="N2909" s="1"/>
      <c r="R2909" s="1"/>
      <c r="V2909" s="1"/>
      <c r="AB2909" s="1"/>
      <c r="AF2909" s="1"/>
      <c r="AJ2909" s="1"/>
      <c r="AN2909" s="1"/>
      <c r="AS2909" s="1"/>
      <c r="AX2909" s="1"/>
    </row>
    <row r="2910" spans="1:50" x14ac:dyDescent="0.3">
      <c r="A2910" s="19">
        <f t="shared" si="229"/>
        <v>49989</v>
      </c>
      <c r="B2910">
        <f t="shared" ca="1" si="225"/>
        <v>-10.658333333333333</v>
      </c>
      <c r="C2910" t="str">
        <f ca="1">IF(currency="USD",'Future et co'!D2910,IF(currency="EUR",'Future et co'!E2910,IF(currency="GBP",'Future et co'!F2910,FALSE)))</f>
        <v>RFR USD</v>
      </c>
      <c r="D2910" t="str">
        <f t="shared" ca="1" si="226"/>
        <v>RFR USD</v>
      </c>
      <c r="E2910" t="str">
        <f t="shared" ca="1" si="227"/>
        <v>RFR EUR</v>
      </c>
      <c r="F2910" t="str">
        <f t="shared" ca="1" si="228"/>
        <v>RFR GBP</v>
      </c>
      <c r="J2910" s="1"/>
      <c r="N2910" s="1"/>
      <c r="R2910" s="1"/>
      <c r="V2910" s="1"/>
      <c r="AB2910" s="1"/>
      <c r="AF2910" s="1"/>
      <c r="AJ2910" s="1"/>
      <c r="AN2910" s="1"/>
      <c r="AS2910" s="1"/>
      <c r="AX2910" s="1"/>
    </row>
    <row r="2911" spans="1:50" x14ac:dyDescent="0.3">
      <c r="A2911" s="19">
        <f t="shared" si="229"/>
        <v>49990</v>
      </c>
      <c r="B2911">
        <f t="shared" ca="1" si="225"/>
        <v>-10.661111111111111</v>
      </c>
      <c r="C2911" t="str">
        <f ca="1">IF(currency="USD",'Future et co'!D2911,IF(currency="EUR",'Future et co'!E2911,IF(currency="GBP",'Future et co'!F2911,FALSE)))</f>
        <v>RFR USD</v>
      </c>
      <c r="D2911" t="str">
        <f t="shared" ca="1" si="226"/>
        <v>RFR USD</v>
      </c>
      <c r="E2911" t="str">
        <f t="shared" ca="1" si="227"/>
        <v>RFR EUR</v>
      </c>
      <c r="F2911" t="str">
        <f t="shared" ca="1" si="228"/>
        <v>RFR GBP</v>
      </c>
      <c r="J2911" s="1"/>
      <c r="N2911" s="1"/>
      <c r="R2911" s="1"/>
      <c r="V2911" s="1"/>
      <c r="AB2911" s="1"/>
      <c r="AF2911" s="1"/>
      <c r="AJ2911" s="1"/>
      <c r="AN2911" s="1"/>
      <c r="AS2911" s="1"/>
      <c r="AX2911" s="1"/>
    </row>
    <row r="2912" spans="1:50" x14ac:dyDescent="0.3">
      <c r="A2912" s="19">
        <f t="shared" si="229"/>
        <v>49991</v>
      </c>
      <c r="B2912">
        <f t="shared" ca="1" si="225"/>
        <v>-10.66388888888889</v>
      </c>
      <c r="C2912" t="str">
        <f ca="1">IF(currency="USD",'Future et co'!D2912,IF(currency="EUR",'Future et co'!E2912,IF(currency="GBP",'Future et co'!F2912,FALSE)))</f>
        <v>RFR USD</v>
      </c>
      <c r="D2912" t="str">
        <f t="shared" ca="1" si="226"/>
        <v>RFR USD</v>
      </c>
      <c r="E2912" t="str">
        <f t="shared" ca="1" si="227"/>
        <v>RFR EUR</v>
      </c>
      <c r="F2912" t="str">
        <f t="shared" ca="1" si="228"/>
        <v>RFR GBP</v>
      </c>
      <c r="J2912" s="1"/>
      <c r="N2912" s="1"/>
      <c r="R2912" s="1"/>
      <c r="V2912" s="1"/>
      <c r="AB2912" s="1"/>
      <c r="AF2912" s="1"/>
      <c r="AJ2912" s="1"/>
      <c r="AN2912" s="1"/>
      <c r="AS2912" s="1"/>
      <c r="AX2912" s="1"/>
    </row>
    <row r="2913" spans="1:50" x14ac:dyDescent="0.3">
      <c r="A2913" s="19">
        <f t="shared" si="229"/>
        <v>49992</v>
      </c>
      <c r="B2913">
        <f t="shared" ca="1" si="225"/>
        <v>-10.666666666666666</v>
      </c>
      <c r="C2913" t="str">
        <f ca="1">IF(currency="USD",'Future et co'!D2913,IF(currency="EUR",'Future et co'!E2913,IF(currency="GBP",'Future et co'!F2913,FALSE)))</f>
        <v>RFR USD</v>
      </c>
      <c r="D2913" t="str">
        <f t="shared" ca="1" si="226"/>
        <v>RFR USD</v>
      </c>
      <c r="E2913" t="str">
        <f t="shared" ca="1" si="227"/>
        <v>RFR EUR</v>
      </c>
      <c r="F2913" t="str">
        <f t="shared" ca="1" si="228"/>
        <v>RFR GBP</v>
      </c>
      <c r="J2913" s="1"/>
      <c r="N2913" s="1"/>
      <c r="R2913" s="1"/>
      <c r="V2913" s="1"/>
      <c r="AB2913" s="1"/>
      <c r="AF2913" s="1"/>
      <c r="AJ2913" s="1"/>
      <c r="AN2913" s="1"/>
      <c r="AS2913" s="1"/>
      <c r="AX2913" s="1"/>
    </row>
    <row r="2914" spans="1:50" x14ac:dyDescent="0.3">
      <c r="A2914" s="19">
        <f t="shared" si="229"/>
        <v>49993</v>
      </c>
      <c r="B2914">
        <f t="shared" ca="1" si="225"/>
        <v>-10.669444444444444</v>
      </c>
      <c r="C2914" t="str">
        <f ca="1">IF(currency="USD",'Future et co'!D2914,IF(currency="EUR",'Future et co'!E2914,IF(currency="GBP",'Future et co'!F2914,FALSE)))</f>
        <v>RFR USD</v>
      </c>
      <c r="D2914" t="str">
        <f t="shared" ca="1" si="226"/>
        <v>RFR USD</v>
      </c>
      <c r="E2914" t="str">
        <f t="shared" ca="1" si="227"/>
        <v>RFR EUR</v>
      </c>
      <c r="F2914" t="str">
        <f t="shared" ca="1" si="228"/>
        <v>RFR GBP</v>
      </c>
      <c r="J2914" s="1"/>
      <c r="N2914" s="1"/>
      <c r="R2914" s="1"/>
      <c r="V2914" s="1"/>
      <c r="AB2914" s="1"/>
      <c r="AF2914" s="1"/>
      <c r="AJ2914" s="1"/>
      <c r="AN2914" s="1"/>
      <c r="AS2914" s="1"/>
      <c r="AX2914" s="1"/>
    </row>
    <row r="2915" spans="1:50" x14ac:dyDescent="0.3">
      <c r="A2915" s="19">
        <f t="shared" si="229"/>
        <v>49996</v>
      </c>
      <c r="B2915">
        <f t="shared" ca="1" si="225"/>
        <v>-10.677777777777777</v>
      </c>
      <c r="C2915" t="str">
        <f ca="1">IF(currency="USD",'Future et co'!D2915,IF(currency="EUR",'Future et co'!E2915,IF(currency="GBP",'Future et co'!F2915,FALSE)))</f>
        <v>RFR USD</v>
      </c>
      <c r="D2915" t="str">
        <f t="shared" ca="1" si="226"/>
        <v>RFR USD</v>
      </c>
      <c r="E2915" t="str">
        <f t="shared" ca="1" si="227"/>
        <v>RFR EUR</v>
      </c>
      <c r="F2915" t="str">
        <f t="shared" ca="1" si="228"/>
        <v>RFR GBP</v>
      </c>
      <c r="J2915" s="1"/>
      <c r="N2915" s="1"/>
      <c r="R2915" s="1"/>
      <c r="V2915" s="1"/>
      <c r="AB2915" s="1"/>
      <c r="AF2915" s="1"/>
      <c r="AJ2915" s="1"/>
      <c r="AN2915" s="1"/>
      <c r="AS2915" s="1"/>
      <c r="AX2915" s="1"/>
    </row>
    <row r="2916" spans="1:50" x14ac:dyDescent="0.3">
      <c r="A2916" s="19">
        <f t="shared" si="229"/>
        <v>49997</v>
      </c>
      <c r="B2916">
        <f t="shared" ca="1" si="225"/>
        <v>-10.680555555555555</v>
      </c>
      <c r="C2916" t="str">
        <f ca="1">IF(currency="USD",'Future et co'!D2916,IF(currency="EUR",'Future et co'!E2916,IF(currency="GBP",'Future et co'!F2916,FALSE)))</f>
        <v>RFR USD</v>
      </c>
      <c r="D2916" t="str">
        <f t="shared" ca="1" si="226"/>
        <v>RFR USD</v>
      </c>
      <c r="E2916" t="str">
        <f t="shared" ca="1" si="227"/>
        <v>RFR EUR</v>
      </c>
      <c r="F2916" t="str">
        <f t="shared" ca="1" si="228"/>
        <v>RFR GBP</v>
      </c>
      <c r="J2916" s="1"/>
      <c r="N2916" s="1"/>
      <c r="R2916" s="1"/>
      <c r="V2916" s="1"/>
      <c r="AB2916" s="1"/>
      <c r="AF2916" s="1"/>
      <c r="AJ2916" s="1"/>
      <c r="AN2916" s="1"/>
      <c r="AS2916" s="1"/>
      <c r="AX2916" s="1"/>
    </row>
    <row r="2917" spans="1:50" x14ac:dyDescent="0.3">
      <c r="A2917" s="19">
        <f t="shared" si="229"/>
        <v>49998</v>
      </c>
      <c r="B2917">
        <f t="shared" ca="1" si="225"/>
        <v>-10.683333333333334</v>
      </c>
      <c r="C2917" t="str">
        <f ca="1">IF(currency="USD",'Future et co'!D2917,IF(currency="EUR",'Future et co'!E2917,IF(currency="GBP",'Future et co'!F2917,FALSE)))</f>
        <v>RFR USD</v>
      </c>
      <c r="D2917" t="str">
        <f t="shared" ca="1" si="226"/>
        <v>RFR USD</v>
      </c>
      <c r="E2917" t="str">
        <f t="shared" ca="1" si="227"/>
        <v>RFR EUR</v>
      </c>
      <c r="F2917" t="str">
        <f t="shared" ca="1" si="228"/>
        <v>RFR GBP</v>
      </c>
      <c r="J2917" s="1"/>
      <c r="N2917" s="1"/>
      <c r="R2917" s="1"/>
      <c r="V2917" s="1"/>
      <c r="AB2917" s="1"/>
      <c r="AF2917" s="1"/>
      <c r="AJ2917" s="1"/>
      <c r="AN2917" s="1"/>
      <c r="AS2917" s="1"/>
      <c r="AX2917" s="1"/>
    </row>
    <row r="2918" spans="1:50" x14ac:dyDescent="0.3">
      <c r="A2918" s="19">
        <f t="shared" si="229"/>
        <v>49999</v>
      </c>
      <c r="B2918">
        <f t="shared" ca="1" si="225"/>
        <v>-10.686111111111112</v>
      </c>
      <c r="C2918" t="str">
        <f ca="1">IF(currency="USD",'Future et co'!D2918,IF(currency="EUR",'Future et co'!E2918,IF(currency="GBP",'Future et co'!F2918,FALSE)))</f>
        <v>RFR USD</v>
      </c>
      <c r="D2918" t="str">
        <f t="shared" ca="1" si="226"/>
        <v>RFR USD</v>
      </c>
      <c r="E2918" t="str">
        <f t="shared" ca="1" si="227"/>
        <v>RFR EUR</v>
      </c>
      <c r="F2918" t="str">
        <f t="shared" ca="1" si="228"/>
        <v>RFR GBP</v>
      </c>
      <c r="J2918" s="1"/>
      <c r="N2918" s="1"/>
      <c r="R2918" s="1"/>
      <c r="V2918" s="1"/>
      <c r="AB2918" s="1"/>
      <c r="AF2918" s="1"/>
      <c r="AJ2918" s="1"/>
      <c r="AN2918" s="1"/>
      <c r="AS2918" s="1"/>
      <c r="AX2918" s="1"/>
    </row>
    <row r="2919" spans="1:50" x14ac:dyDescent="0.3">
      <c r="A2919" s="19">
        <f t="shared" si="229"/>
        <v>50000</v>
      </c>
      <c r="B2919">
        <f t="shared" ca="1" si="225"/>
        <v>-10.688888888888888</v>
      </c>
      <c r="C2919" t="str">
        <f ca="1">IF(currency="USD",'Future et co'!D2919,IF(currency="EUR",'Future et co'!E2919,IF(currency="GBP",'Future et co'!F2919,FALSE)))</f>
        <v>RFR USD</v>
      </c>
      <c r="D2919" t="str">
        <f t="shared" ca="1" si="226"/>
        <v>RFR USD</v>
      </c>
      <c r="E2919" t="str">
        <f t="shared" ca="1" si="227"/>
        <v>RFR EUR</v>
      </c>
      <c r="F2919" t="str">
        <f t="shared" ca="1" si="228"/>
        <v>RFR GBP</v>
      </c>
      <c r="J2919" s="1"/>
      <c r="N2919" s="1"/>
      <c r="R2919" s="1"/>
      <c r="V2919" s="1"/>
      <c r="AB2919" s="1"/>
      <c r="AF2919" s="1"/>
      <c r="AJ2919" s="1"/>
      <c r="AN2919" s="1"/>
      <c r="AS2919" s="1"/>
      <c r="AX2919" s="1"/>
    </row>
    <row r="2920" spans="1:50" x14ac:dyDescent="0.3">
      <c r="A2920" s="19">
        <f t="shared" si="229"/>
        <v>50003</v>
      </c>
      <c r="B2920">
        <f t="shared" ca="1" si="225"/>
        <v>-10.697222222222223</v>
      </c>
      <c r="C2920" t="str">
        <f ca="1">IF(currency="USD",'Future et co'!D2920,IF(currency="EUR",'Future et co'!E2920,IF(currency="GBP",'Future et co'!F2920,FALSE)))</f>
        <v>RFR USD</v>
      </c>
      <c r="D2920" t="str">
        <f t="shared" ca="1" si="226"/>
        <v>RFR USD</v>
      </c>
      <c r="E2920" t="str">
        <f t="shared" ca="1" si="227"/>
        <v>RFR EUR</v>
      </c>
      <c r="F2920" t="str">
        <f t="shared" ca="1" si="228"/>
        <v>RFR GBP</v>
      </c>
      <c r="J2920" s="1"/>
      <c r="N2920" s="1"/>
      <c r="R2920" s="1"/>
      <c r="V2920" s="1"/>
      <c r="AB2920" s="1"/>
      <c r="AF2920" s="1"/>
      <c r="AJ2920" s="1"/>
      <c r="AN2920" s="1"/>
      <c r="AS2920" s="1"/>
      <c r="AX2920" s="1"/>
    </row>
    <row r="2921" spans="1:50" x14ac:dyDescent="0.3">
      <c r="A2921" s="19">
        <f t="shared" si="229"/>
        <v>50004</v>
      </c>
      <c r="B2921">
        <f t="shared" ca="1" si="225"/>
        <v>-10.7</v>
      </c>
      <c r="C2921" t="str">
        <f ca="1">IF(currency="USD",'Future et co'!D2921,IF(currency="EUR",'Future et co'!E2921,IF(currency="GBP",'Future et co'!F2921,FALSE)))</f>
        <v>RFR USD</v>
      </c>
      <c r="D2921" t="str">
        <f t="shared" ca="1" si="226"/>
        <v>RFR USD</v>
      </c>
      <c r="E2921" t="str">
        <f t="shared" ca="1" si="227"/>
        <v>RFR EUR</v>
      </c>
      <c r="F2921" t="str">
        <f t="shared" ca="1" si="228"/>
        <v>RFR GBP</v>
      </c>
      <c r="J2921" s="1"/>
      <c r="N2921" s="1"/>
      <c r="R2921" s="1"/>
      <c r="V2921" s="1"/>
      <c r="AB2921" s="1"/>
      <c r="AF2921" s="1"/>
      <c r="AJ2921" s="1"/>
      <c r="AN2921" s="1"/>
      <c r="AS2921" s="1"/>
      <c r="AX2921" s="1"/>
    </row>
    <row r="2922" spans="1:50" x14ac:dyDescent="0.3">
      <c r="A2922" s="19">
        <f t="shared" si="229"/>
        <v>50005</v>
      </c>
      <c r="B2922">
        <f t="shared" ca="1" si="225"/>
        <v>-10.702777777777778</v>
      </c>
      <c r="C2922" t="str">
        <f ca="1">IF(currency="USD",'Future et co'!D2922,IF(currency="EUR",'Future et co'!E2922,IF(currency="GBP",'Future et co'!F2922,FALSE)))</f>
        <v>RFR USD</v>
      </c>
      <c r="D2922" t="str">
        <f t="shared" ca="1" si="226"/>
        <v>RFR USD</v>
      </c>
      <c r="E2922" t="str">
        <f t="shared" ca="1" si="227"/>
        <v>RFR EUR</v>
      </c>
      <c r="F2922" t="str">
        <f t="shared" ca="1" si="228"/>
        <v>RFR GBP</v>
      </c>
      <c r="J2922" s="1"/>
      <c r="N2922" s="1"/>
      <c r="R2922" s="1"/>
      <c r="V2922" s="1"/>
      <c r="AB2922" s="1"/>
      <c r="AF2922" s="1"/>
      <c r="AJ2922" s="1"/>
      <c r="AN2922" s="1"/>
      <c r="AS2922" s="1"/>
      <c r="AX2922" s="1"/>
    </row>
    <row r="2923" spans="1:50" x14ac:dyDescent="0.3">
      <c r="A2923" s="19">
        <f t="shared" si="229"/>
        <v>50006</v>
      </c>
      <c r="B2923">
        <f t="shared" ca="1" si="225"/>
        <v>-10.705555555555556</v>
      </c>
      <c r="C2923" t="str">
        <f ca="1">IF(currency="USD",'Future et co'!D2923,IF(currency="EUR",'Future et co'!E2923,IF(currency="GBP",'Future et co'!F2923,FALSE)))</f>
        <v>RFR USD</v>
      </c>
      <c r="D2923" t="str">
        <f t="shared" ca="1" si="226"/>
        <v>RFR USD</v>
      </c>
      <c r="E2923" t="str">
        <f t="shared" ca="1" si="227"/>
        <v>RFR EUR</v>
      </c>
      <c r="F2923" t="str">
        <f t="shared" ca="1" si="228"/>
        <v>RFR GBP</v>
      </c>
      <c r="J2923" s="1"/>
      <c r="N2923" s="1"/>
      <c r="R2923" s="1"/>
      <c r="V2923" s="1"/>
      <c r="AB2923" s="1"/>
      <c r="AF2923" s="1"/>
      <c r="AJ2923" s="1"/>
      <c r="AN2923" s="1"/>
      <c r="AS2923" s="1"/>
      <c r="AX2923" s="1"/>
    </row>
    <row r="2924" spans="1:50" x14ac:dyDescent="0.3">
      <c r="A2924" s="19">
        <f t="shared" si="229"/>
        <v>50007</v>
      </c>
      <c r="B2924">
        <f t="shared" ca="1" si="225"/>
        <v>-10.708333333333334</v>
      </c>
      <c r="C2924" t="str">
        <f ca="1">IF(currency="USD",'Future et co'!D2924,IF(currency="EUR",'Future et co'!E2924,IF(currency="GBP",'Future et co'!F2924,FALSE)))</f>
        <v>RFR USD</v>
      </c>
      <c r="D2924" t="str">
        <f t="shared" ca="1" si="226"/>
        <v>RFR USD</v>
      </c>
      <c r="E2924" t="str">
        <f t="shared" ca="1" si="227"/>
        <v>RFR EUR</v>
      </c>
      <c r="F2924" t="str">
        <f t="shared" ca="1" si="228"/>
        <v>RFR GBP</v>
      </c>
      <c r="J2924" s="1"/>
      <c r="N2924" s="1"/>
      <c r="R2924" s="1"/>
      <c r="V2924" s="1"/>
      <c r="AB2924" s="1"/>
      <c r="AF2924" s="1"/>
      <c r="AJ2924" s="1"/>
      <c r="AN2924" s="1"/>
      <c r="AS2924" s="1"/>
      <c r="AX2924" s="1"/>
    </row>
    <row r="2925" spans="1:50" x14ac:dyDescent="0.3">
      <c r="A2925" s="19">
        <f t="shared" si="229"/>
        <v>50010</v>
      </c>
      <c r="B2925">
        <f t="shared" ca="1" si="225"/>
        <v>-10.716666666666667</v>
      </c>
      <c r="C2925" t="str">
        <f ca="1">IF(currency="USD",'Future et co'!D2925,IF(currency="EUR",'Future et co'!E2925,IF(currency="GBP",'Future et co'!F2925,FALSE)))</f>
        <v>RFR USD</v>
      </c>
      <c r="D2925" t="str">
        <f t="shared" ca="1" si="226"/>
        <v>RFR USD</v>
      </c>
      <c r="E2925" t="str">
        <f t="shared" ca="1" si="227"/>
        <v>RFR EUR</v>
      </c>
      <c r="F2925" t="str">
        <f t="shared" ca="1" si="228"/>
        <v>RFR GBP</v>
      </c>
      <c r="J2925" s="1"/>
      <c r="N2925" s="1"/>
      <c r="R2925" s="1"/>
      <c r="V2925" s="1"/>
      <c r="AB2925" s="1"/>
      <c r="AF2925" s="1"/>
      <c r="AJ2925" s="1"/>
      <c r="AN2925" s="1"/>
      <c r="AS2925" s="1"/>
      <c r="AX2925" s="1"/>
    </row>
    <row r="2926" spans="1:50" x14ac:dyDescent="0.3">
      <c r="A2926" s="19">
        <f t="shared" si="229"/>
        <v>50011</v>
      </c>
      <c r="B2926">
        <f t="shared" ca="1" si="225"/>
        <v>-10.719444444444445</v>
      </c>
      <c r="C2926" t="str">
        <f ca="1">IF(currency="USD",'Future et co'!D2926,IF(currency="EUR",'Future et co'!E2926,IF(currency="GBP",'Future et co'!F2926,FALSE)))</f>
        <v>RFR USD</v>
      </c>
      <c r="D2926" t="str">
        <f t="shared" ca="1" si="226"/>
        <v>RFR USD</v>
      </c>
      <c r="E2926" t="str">
        <f t="shared" ca="1" si="227"/>
        <v>RFR EUR</v>
      </c>
      <c r="F2926" t="str">
        <f t="shared" ca="1" si="228"/>
        <v>RFR GBP</v>
      </c>
      <c r="J2926" s="1"/>
      <c r="N2926" s="1"/>
      <c r="R2926" s="1"/>
      <c r="V2926" s="1"/>
      <c r="AB2926" s="1"/>
      <c r="AF2926" s="1"/>
      <c r="AJ2926" s="1"/>
      <c r="AN2926" s="1"/>
      <c r="AS2926" s="1"/>
      <c r="AX2926" s="1"/>
    </row>
    <row r="2927" spans="1:50" x14ac:dyDescent="0.3">
      <c r="A2927" s="19">
        <f t="shared" si="229"/>
        <v>50012</v>
      </c>
      <c r="B2927">
        <f t="shared" ca="1" si="225"/>
        <v>-10.722222222222221</v>
      </c>
      <c r="C2927" t="str">
        <f ca="1">IF(currency="USD",'Future et co'!D2927,IF(currency="EUR",'Future et co'!E2927,IF(currency="GBP",'Future et co'!F2927,FALSE)))</f>
        <v>RFR USD</v>
      </c>
      <c r="D2927" t="str">
        <f t="shared" ca="1" si="226"/>
        <v>RFR USD</v>
      </c>
      <c r="E2927" t="str">
        <f t="shared" ca="1" si="227"/>
        <v>RFR EUR</v>
      </c>
      <c r="F2927" t="str">
        <f t="shared" ca="1" si="228"/>
        <v>RFR GBP</v>
      </c>
      <c r="J2927" s="1"/>
      <c r="N2927" s="1"/>
      <c r="R2927" s="1"/>
      <c r="V2927" s="1"/>
      <c r="AB2927" s="1"/>
      <c r="AF2927" s="1"/>
      <c r="AJ2927" s="1"/>
      <c r="AN2927" s="1"/>
      <c r="AS2927" s="1"/>
      <c r="AX2927" s="1"/>
    </row>
    <row r="2928" spans="1:50" x14ac:dyDescent="0.3">
      <c r="A2928" s="19">
        <f t="shared" si="229"/>
        <v>50013</v>
      </c>
      <c r="B2928">
        <f t="shared" ca="1" si="225"/>
        <v>-10.725</v>
      </c>
      <c r="C2928" t="str">
        <f ca="1">IF(currency="USD",'Future et co'!D2928,IF(currency="EUR",'Future et co'!E2928,IF(currency="GBP",'Future et co'!F2928,FALSE)))</f>
        <v>RFR USD</v>
      </c>
      <c r="D2928" t="str">
        <f t="shared" ca="1" si="226"/>
        <v>RFR USD</v>
      </c>
      <c r="E2928" t="str">
        <f t="shared" ca="1" si="227"/>
        <v>RFR EUR</v>
      </c>
      <c r="F2928" t="str">
        <f t="shared" ca="1" si="228"/>
        <v>RFR GBP</v>
      </c>
      <c r="J2928" s="1"/>
      <c r="N2928" s="1"/>
      <c r="R2928" s="1"/>
      <c r="V2928" s="1"/>
      <c r="AB2928" s="1"/>
      <c r="AF2928" s="1"/>
      <c r="AJ2928" s="1"/>
      <c r="AN2928" s="1"/>
      <c r="AS2928" s="1"/>
      <c r="AX2928" s="1"/>
    </row>
    <row r="2929" spans="1:50" x14ac:dyDescent="0.3">
      <c r="A2929" s="19">
        <f t="shared" si="229"/>
        <v>50014</v>
      </c>
      <c r="B2929">
        <f t="shared" ca="1" si="225"/>
        <v>-10.727777777777778</v>
      </c>
      <c r="C2929" t="str">
        <f ca="1">IF(currency="USD",'Future et co'!D2929,IF(currency="EUR",'Future et co'!E2929,IF(currency="GBP",'Future et co'!F2929,FALSE)))</f>
        <v>RFR USD</v>
      </c>
      <c r="D2929" t="str">
        <f t="shared" ca="1" si="226"/>
        <v>RFR USD</v>
      </c>
      <c r="E2929" t="str">
        <f t="shared" ca="1" si="227"/>
        <v>RFR EUR</v>
      </c>
      <c r="F2929" t="str">
        <f t="shared" ca="1" si="228"/>
        <v>RFR GBP</v>
      </c>
      <c r="J2929" s="1"/>
      <c r="N2929" s="1"/>
      <c r="R2929" s="1"/>
      <c r="V2929" s="1"/>
      <c r="AB2929" s="1"/>
      <c r="AF2929" s="1"/>
      <c r="AJ2929" s="1"/>
      <c r="AN2929" s="1"/>
      <c r="AS2929" s="1"/>
      <c r="AX2929" s="1"/>
    </row>
    <row r="2930" spans="1:50" x14ac:dyDescent="0.3">
      <c r="A2930" s="19">
        <f t="shared" si="229"/>
        <v>50017</v>
      </c>
      <c r="B2930">
        <f t="shared" ca="1" si="225"/>
        <v>-10.736111111111111</v>
      </c>
      <c r="C2930" t="str">
        <f ca="1">IF(currency="USD",'Future et co'!D2930,IF(currency="EUR",'Future et co'!E2930,IF(currency="GBP",'Future et co'!F2930,FALSE)))</f>
        <v>RFR USD</v>
      </c>
      <c r="D2930" t="str">
        <f t="shared" ca="1" si="226"/>
        <v>RFR USD</v>
      </c>
      <c r="E2930" t="str">
        <f t="shared" ca="1" si="227"/>
        <v>RFR EUR</v>
      </c>
      <c r="F2930" t="str">
        <f t="shared" ca="1" si="228"/>
        <v>RFR GBP</v>
      </c>
      <c r="J2930" s="1"/>
      <c r="N2930" s="1"/>
      <c r="R2930" s="1"/>
      <c r="V2930" s="1"/>
      <c r="AB2930" s="1"/>
      <c r="AF2930" s="1"/>
      <c r="AJ2930" s="1"/>
      <c r="AN2930" s="1"/>
      <c r="AS2930" s="1"/>
      <c r="AX2930" s="1"/>
    </row>
    <row r="2931" spans="1:50" x14ac:dyDescent="0.3">
      <c r="A2931" s="19">
        <f t="shared" si="229"/>
        <v>50018</v>
      </c>
      <c r="B2931">
        <f t="shared" ca="1" si="225"/>
        <v>-10.738888888888889</v>
      </c>
      <c r="C2931" t="str">
        <f ca="1">IF(currency="USD",'Future et co'!D2931,IF(currency="EUR",'Future et co'!E2931,IF(currency="GBP",'Future et co'!F2931,FALSE)))</f>
        <v>RFR USD</v>
      </c>
      <c r="D2931" t="str">
        <f t="shared" ca="1" si="226"/>
        <v>RFR USD</v>
      </c>
      <c r="E2931" t="str">
        <f t="shared" ca="1" si="227"/>
        <v>RFR EUR</v>
      </c>
      <c r="F2931" t="str">
        <f t="shared" ca="1" si="228"/>
        <v>RFR GBP</v>
      </c>
      <c r="J2931" s="1"/>
      <c r="N2931" s="1"/>
      <c r="R2931" s="1"/>
      <c r="V2931" s="1"/>
      <c r="AB2931" s="1"/>
      <c r="AF2931" s="1"/>
      <c r="AJ2931" s="1"/>
      <c r="AN2931" s="1"/>
      <c r="AS2931" s="1"/>
      <c r="AX2931" s="1"/>
    </row>
    <row r="2932" spans="1:50" x14ac:dyDescent="0.3">
      <c r="A2932" s="19">
        <f t="shared" si="229"/>
        <v>50019</v>
      </c>
      <c r="B2932">
        <f t="shared" ca="1" si="225"/>
        <v>-10.741666666666667</v>
      </c>
      <c r="C2932" t="str">
        <f ca="1">IF(currency="USD",'Future et co'!D2932,IF(currency="EUR",'Future et co'!E2932,IF(currency="GBP",'Future et co'!F2932,FALSE)))</f>
        <v>RFR USD</v>
      </c>
      <c r="D2932" t="str">
        <f t="shared" ca="1" si="226"/>
        <v>RFR USD</v>
      </c>
      <c r="E2932" t="str">
        <f t="shared" ca="1" si="227"/>
        <v>RFR EUR</v>
      </c>
      <c r="F2932" t="str">
        <f t="shared" ca="1" si="228"/>
        <v>RFR GBP</v>
      </c>
      <c r="J2932" s="1"/>
      <c r="N2932" s="1"/>
      <c r="R2932" s="1"/>
      <c r="V2932" s="1"/>
      <c r="AB2932" s="1"/>
      <c r="AF2932" s="1"/>
      <c r="AJ2932" s="1"/>
      <c r="AN2932" s="1"/>
      <c r="AS2932" s="1"/>
      <c r="AX2932" s="1"/>
    </row>
    <row r="2933" spans="1:50" x14ac:dyDescent="0.3">
      <c r="A2933" s="19">
        <f t="shared" si="229"/>
        <v>50020</v>
      </c>
      <c r="B2933">
        <f t="shared" ca="1" si="225"/>
        <v>-10.744444444444444</v>
      </c>
      <c r="C2933" t="str">
        <f ca="1">IF(currency="USD",'Future et co'!D2933,IF(currency="EUR",'Future et co'!E2933,IF(currency="GBP",'Future et co'!F2933,FALSE)))</f>
        <v>RFR USD</v>
      </c>
      <c r="D2933" t="str">
        <f t="shared" ca="1" si="226"/>
        <v>RFR USD</v>
      </c>
      <c r="E2933" t="str">
        <f t="shared" ca="1" si="227"/>
        <v>RFR EUR</v>
      </c>
      <c r="F2933" t="str">
        <f t="shared" ca="1" si="228"/>
        <v>RFR GBP</v>
      </c>
      <c r="J2933" s="1"/>
      <c r="N2933" s="1"/>
      <c r="R2933" s="1"/>
      <c r="V2933" s="1"/>
      <c r="AB2933" s="1"/>
      <c r="AF2933" s="1"/>
      <c r="AJ2933" s="1"/>
      <c r="AN2933" s="1"/>
      <c r="AS2933" s="1"/>
      <c r="AX2933" s="1"/>
    </row>
    <row r="2934" spans="1:50" x14ac:dyDescent="0.3">
      <c r="A2934" s="19">
        <f t="shared" si="229"/>
        <v>50021</v>
      </c>
      <c r="B2934">
        <f t="shared" ca="1" si="225"/>
        <v>-10.747222222222222</v>
      </c>
      <c r="C2934" t="str">
        <f ca="1">IF(currency="USD",'Future et co'!D2934,IF(currency="EUR",'Future et co'!E2934,IF(currency="GBP",'Future et co'!F2934,FALSE)))</f>
        <v>RFR USD</v>
      </c>
      <c r="D2934" t="str">
        <f t="shared" ca="1" si="226"/>
        <v>RFR USD</v>
      </c>
      <c r="E2934" t="str">
        <f t="shared" ca="1" si="227"/>
        <v>RFR EUR</v>
      </c>
      <c r="F2934" t="str">
        <f t="shared" ca="1" si="228"/>
        <v>RFR GBP</v>
      </c>
      <c r="J2934" s="1"/>
      <c r="N2934" s="1"/>
      <c r="R2934" s="1"/>
      <c r="V2934" s="1"/>
      <c r="AB2934" s="1"/>
      <c r="AF2934" s="1"/>
      <c r="AJ2934" s="1"/>
      <c r="AN2934" s="1"/>
      <c r="AS2934" s="1"/>
      <c r="AX2934" s="1"/>
    </row>
    <row r="2935" spans="1:50" x14ac:dyDescent="0.3">
      <c r="A2935" s="19">
        <f t="shared" si="229"/>
        <v>50024</v>
      </c>
      <c r="B2935">
        <f t="shared" ca="1" si="225"/>
        <v>-10.755555555555556</v>
      </c>
      <c r="C2935" t="str">
        <f ca="1">IF(currency="USD",'Future et co'!D2935,IF(currency="EUR",'Future et co'!E2935,IF(currency="GBP",'Future et co'!F2935,FALSE)))</f>
        <v>RFR USD</v>
      </c>
      <c r="D2935" t="str">
        <f t="shared" ca="1" si="226"/>
        <v>RFR USD</v>
      </c>
      <c r="E2935" t="str">
        <f t="shared" ca="1" si="227"/>
        <v>RFR EUR</v>
      </c>
      <c r="F2935" t="str">
        <f t="shared" ca="1" si="228"/>
        <v>RFR GBP</v>
      </c>
      <c r="J2935" s="1"/>
      <c r="N2935" s="1"/>
      <c r="R2935" s="1"/>
      <c r="V2935" s="1"/>
      <c r="AB2935" s="1"/>
      <c r="AF2935" s="1"/>
      <c r="AJ2935" s="1"/>
      <c r="AN2935" s="1"/>
      <c r="AS2935" s="1"/>
      <c r="AX2935" s="1"/>
    </row>
    <row r="2936" spans="1:50" x14ac:dyDescent="0.3">
      <c r="A2936" s="19">
        <f t="shared" si="229"/>
        <v>50025</v>
      </c>
      <c r="B2936">
        <f t="shared" ca="1" si="225"/>
        <v>-10.758333333333333</v>
      </c>
      <c r="C2936" t="str">
        <f ca="1">IF(currency="USD",'Future et co'!D2936,IF(currency="EUR",'Future et co'!E2936,IF(currency="GBP",'Future et co'!F2936,FALSE)))</f>
        <v>RFR USD</v>
      </c>
      <c r="D2936" t="str">
        <f t="shared" ca="1" si="226"/>
        <v>RFR USD</v>
      </c>
      <c r="E2936" t="str">
        <f t="shared" ca="1" si="227"/>
        <v>RFR EUR</v>
      </c>
      <c r="F2936" t="str">
        <f t="shared" ca="1" si="228"/>
        <v>RFR GBP</v>
      </c>
      <c r="J2936" s="1"/>
      <c r="N2936" s="1"/>
      <c r="R2936" s="1"/>
      <c r="V2936" s="1"/>
      <c r="AB2936" s="1"/>
      <c r="AF2936" s="1"/>
      <c r="AJ2936" s="1"/>
      <c r="AN2936" s="1"/>
      <c r="AS2936" s="1"/>
      <c r="AX2936" s="1"/>
    </row>
    <row r="2937" spans="1:50" x14ac:dyDescent="0.3">
      <c r="A2937" s="19">
        <f t="shared" si="229"/>
        <v>50026</v>
      </c>
      <c r="B2937">
        <f t="shared" ca="1" si="225"/>
        <v>-10.761111111111111</v>
      </c>
      <c r="C2937" t="str">
        <f ca="1">IF(currency="USD",'Future et co'!D2937,IF(currency="EUR",'Future et co'!E2937,IF(currency="GBP",'Future et co'!F2937,FALSE)))</f>
        <v>RFR USD</v>
      </c>
      <c r="D2937" t="str">
        <f t="shared" ca="1" si="226"/>
        <v>RFR USD</v>
      </c>
      <c r="E2937" t="str">
        <f t="shared" ca="1" si="227"/>
        <v>RFR EUR</v>
      </c>
      <c r="F2937" t="str">
        <f t="shared" ca="1" si="228"/>
        <v>RFR GBP</v>
      </c>
      <c r="J2937" s="1"/>
      <c r="N2937" s="1"/>
      <c r="R2937" s="1"/>
      <c r="V2937" s="1"/>
      <c r="AB2937" s="1"/>
      <c r="AF2937" s="1"/>
      <c r="AJ2937" s="1"/>
      <c r="AN2937" s="1"/>
      <c r="AS2937" s="1"/>
      <c r="AX2937" s="1"/>
    </row>
    <row r="2938" spans="1:50" x14ac:dyDescent="0.3">
      <c r="A2938" s="19">
        <f t="shared" si="229"/>
        <v>50027</v>
      </c>
      <c r="B2938">
        <f t="shared" ca="1" si="225"/>
        <v>-10.763888888888889</v>
      </c>
      <c r="C2938" t="str">
        <f ca="1">IF(currency="USD",'Future et co'!D2938,IF(currency="EUR",'Future et co'!E2938,IF(currency="GBP",'Future et co'!F2938,FALSE)))</f>
        <v>RFR USD</v>
      </c>
      <c r="D2938" t="str">
        <f t="shared" ca="1" si="226"/>
        <v>RFR USD</v>
      </c>
      <c r="E2938" t="str">
        <f t="shared" ca="1" si="227"/>
        <v>RFR EUR</v>
      </c>
      <c r="F2938" t="str">
        <f t="shared" ca="1" si="228"/>
        <v>RFR GBP</v>
      </c>
      <c r="J2938" s="1"/>
      <c r="N2938" s="1"/>
      <c r="R2938" s="1"/>
      <c r="V2938" s="1"/>
      <c r="AB2938" s="1"/>
      <c r="AF2938" s="1"/>
      <c r="AJ2938" s="1"/>
      <c r="AN2938" s="1"/>
      <c r="AS2938" s="1"/>
      <c r="AX2938" s="1"/>
    </row>
    <row r="2939" spans="1:50" x14ac:dyDescent="0.3">
      <c r="A2939" s="19">
        <f t="shared" si="229"/>
        <v>50028</v>
      </c>
      <c r="B2939">
        <f t="shared" ca="1" si="225"/>
        <v>-10.766666666666667</v>
      </c>
      <c r="C2939" t="str">
        <f ca="1">IF(currency="USD",'Future et co'!D2939,IF(currency="EUR",'Future et co'!E2939,IF(currency="GBP",'Future et co'!F2939,FALSE)))</f>
        <v>RFR USD</v>
      </c>
      <c r="D2939" t="str">
        <f t="shared" ca="1" si="226"/>
        <v>RFR USD</v>
      </c>
      <c r="E2939" t="str">
        <f t="shared" ca="1" si="227"/>
        <v>RFR EUR</v>
      </c>
      <c r="F2939" t="str">
        <f t="shared" ca="1" si="228"/>
        <v>RFR GBP</v>
      </c>
      <c r="J2939" s="1"/>
      <c r="N2939" s="1"/>
      <c r="R2939" s="1"/>
      <c r="V2939" s="1"/>
      <c r="AB2939" s="1"/>
      <c r="AF2939" s="1"/>
      <c r="AJ2939" s="1"/>
      <c r="AN2939" s="1"/>
      <c r="AS2939" s="1"/>
      <c r="AX2939" s="1"/>
    </row>
    <row r="2940" spans="1:50" x14ac:dyDescent="0.3">
      <c r="A2940" s="19">
        <f t="shared" si="229"/>
        <v>50031</v>
      </c>
      <c r="B2940">
        <f t="shared" ca="1" si="225"/>
        <v>-10.775</v>
      </c>
      <c r="C2940" t="str">
        <f ca="1">IF(currency="USD",'Future et co'!D2940,IF(currency="EUR",'Future et co'!E2940,IF(currency="GBP",'Future et co'!F2940,FALSE)))</f>
        <v>RFR USD</v>
      </c>
      <c r="D2940" t="str">
        <f t="shared" ca="1" si="226"/>
        <v>RFR USD</v>
      </c>
      <c r="E2940" t="str">
        <f t="shared" ca="1" si="227"/>
        <v>RFR EUR</v>
      </c>
      <c r="F2940" t="str">
        <f t="shared" ca="1" si="228"/>
        <v>RFR GBP</v>
      </c>
      <c r="J2940" s="1"/>
      <c r="N2940" s="1"/>
      <c r="R2940" s="1"/>
      <c r="V2940" s="1"/>
      <c r="AB2940" s="1"/>
      <c r="AF2940" s="1"/>
      <c r="AJ2940" s="1"/>
      <c r="AN2940" s="1"/>
      <c r="AS2940" s="1"/>
      <c r="AX2940" s="1"/>
    </row>
    <row r="2941" spans="1:50" x14ac:dyDescent="0.3">
      <c r="A2941" s="19">
        <f t="shared" si="229"/>
        <v>50032</v>
      </c>
      <c r="B2941">
        <f t="shared" ca="1" si="225"/>
        <v>-10.777777777777779</v>
      </c>
      <c r="C2941" t="str">
        <f ca="1">IF(currency="USD",'Future et co'!D2941,IF(currency="EUR",'Future et co'!E2941,IF(currency="GBP",'Future et co'!F2941,FALSE)))</f>
        <v>RFR USD</v>
      </c>
      <c r="D2941" t="str">
        <f t="shared" ca="1" si="226"/>
        <v>RFR USD</v>
      </c>
      <c r="E2941" t="str">
        <f t="shared" ca="1" si="227"/>
        <v>RFR EUR</v>
      </c>
      <c r="F2941" t="str">
        <f t="shared" ca="1" si="228"/>
        <v>RFR GBP</v>
      </c>
      <c r="J2941" s="1"/>
      <c r="N2941" s="1"/>
      <c r="R2941" s="1"/>
      <c r="V2941" s="1"/>
      <c r="AB2941" s="1"/>
      <c r="AF2941" s="1"/>
      <c r="AJ2941" s="1"/>
      <c r="AN2941" s="1"/>
      <c r="AS2941" s="1"/>
      <c r="AX2941" s="1"/>
    </row>
    <row r="2942" spans="1:50" x14ac:dyDescent="0.3">
      <c r="A2942" s="19">
        <f t="shared" si="229"/>
        <v>50033</v>
      </c>
      <c r="B2942">
        <f t="shared" ca="1" si="225"/>
        <v>-10.780555555555555</v>
      </c>
      <c r="C2942" t="str">
        <f ca="1">IF(currency="USD",'Future et co'!D2942,IF(currency="EUR",'Future et co'!E2942,IF(currency="GBP",'Future et co'!F2942,FALSE)))</f>
        <v>RFR USD</v>
      </c>
      <c r="D2942" t="str">
        <f t="shared" ca="1" si="226"/>
        <v>RFR USD</v>
      </c>
      <c r="E2942" t="str">
        <f t="shared" ca="1" si="227"/>
        <v>RFR EUR</v>
      </c>
      <c r="F2942" t="str">
        <f t="shared" ca="1" si="228"/>
        <v>RFR GBP</v>
      </c>
      <c r="J2942" s="1"/>
      <c r="N2942" s="1"/>
      <c r="R2942" s="1"/>
      <c r="V2942" s="1"/>
      <c r="AB2942" s="1"/>
      <c r="AF2942" s="1"/>
      <c r="AJ2942" s="1"/>
      <c r="AN2942" s="1"/>
      <c r="AS2942" s="1"/>
      <c r="AX2942" s="1"/>
    </row>
    <row r="2943" spans="1:50" x14ac:dyDescent="0.3">
      <c r="A2943" s="19">
        <f t="shared" si="229"/>
        <v>50034</v>
      </c>
      <c r="B2943">
        <f t="shared" ca="1" si="225"/>
        <v>-10.783333333333333</v>
      </c>
      <c r="C2943" t="str">
        <f ca="1">IF(currency="USD",'Future et co'!D2943,IF(currency="EUR",'Future et co'!E2943,IF(currency="GBP",'Future et co'!F2943,FALSE)))</f>
        <v>RFR USD</v>
      </c>
      <c r="D2943" t="str">
        <f t="shared" ca="1" si="226"/>
        <v>RFR USD</v>
      </c>
      <c r="E2943" t="str">
        <f t="shared" ca="1" si="227"/>
        <v>RFR EUR</v>
      </c>
      <c r="F2943" t="str">
        <f t="shared" ca="1" si="228"/>
        <v>RFR GBP</v>
      </c>
      <c r="J2943" s="1"/>
      <c r="N2943" s="1"/>
      <c r="R2943" s="1"/>
      <c r="V2943" s="1"/>
      <c r="AB2943" s="1"/>
      <c r="AF2943" s="1"/>
      <c r="AJ2943" s="1"/>
      <c r="AN2943" s="1"/>
      <c r="AS2943" s="1"/>
      <c r="AX2943" s="1"/>
    </row>
    <row r="2944" spans="1:50" x14ac:dyDescent="0.3">
      <c r="A2944" s="19">
        <f t="shared" si="229"/>
        <v>50035</v>
      </c>
      <c r="B2944">
        <f t="shared" ca="1" si="225"/>
        <v>-10.786111111111111</v>
      </c>
      <c r="C2944" t="str">
        <f ca="1">IF(currency="USD",'Future et co'!D2944,IF(currency="EUR",'Future et co'!E2944,IF(currency="GBP",'Future et co'!F2944,FALSE)))</f>
        <v>RFR USD</v>
      </c>
      <c r="D2944" t="str">
        <f t="shared" ca="1" si="226"/>
        <v>RFR USD</v>
      </c>
      <c r="E2944" t="str">
        <f t="shared" ca="1" si="227"/>
        <v>RFR EUR</v>
      </c>
      <c r="F2944" t="str">
        <f t="shared" ca="1" si="228"/>
        <v>RFR GBP</v>
      </c>
      <c r="J2944" s="1"/>
      <c r="N2944" s="1"/>
      <c r="R2944" s="1"/>
      <c r="V2944" s="1"/>
      <c r="AB2944" s="1"/>
      <c r="AF2944" s="1"/>
      <c r="AJ2944" s="1"/>
      <c r="AN2944" s="1"/>
      <c r="AS2944" s="1"/>
      <c r="AX2944" s="1"/>
    </row>
    <row r="2945" spans="1:50" x14ac:dyDescent="0.3">
      <c r="A2945" s="19">
        <f t="shared" si="229"/>
        <v>50038</v>
      </c>
      <c r="B2945">
        <f t="shared" ca="1" si="225"/>
        <v>-10.794444444444444</v>
      </c>
      <c r="C2945" t="str">
        <f ca="1">IF(currency="USD",'Future et co'!D2945,IF(currency="EUR",'Future et co'!E2945,IF(currency="GBP",'Future et co'!F2945,FALSE)))</f>
        <v>RFR USD</v>
      </c>
      <c r="D2945" t="str">
        <f t="shared" ca="1" si="226"/>
        <v>RFR USD</v>
      </c>
      <c r="E2945" t="str">
        <f t="shared" ca="1" si="227"/>
        <v>RFR EUR</v>
      </c>
      <c r="F2945" t="str">
        <f t="shared" ca="1" si="228"/>
        <v>RFR GBP</v>
      </c>
      <c r="J2945" s="1"/>
      <c r="N2945" s="1"/>
      <c r="R2945" s="1"/>
      <c r="V2945" s="1"/>
      <c r="AB2945" s="1"/>
      <c r="AF2945" s="1"/>
      <c r="AJ2945" s="1"/>
      <c r="AN2945" s="1"/>
      <c r="AS2945" s="1"/>
      <c r="AX2945" s="1"/>
    </row>
    <row r="2946" spans="1:50" x14ac:dyDescent="0.3">
      <c r="A2946" s="19">
        <f t="shared" si="229"/>
        <v>50039</v>
      </c>
      <c r="B2946">
        <f t="shared" ca="1" si="225"/>
        <v>-10.797222222222222</v>
      </c>
      <c r="C2946" t="str">
        <f ca="1">IF(currency="USD",'Future et co'!D2946,IF(currency="EUR",'Future et co'!E2946,IF(currency="GBP",'Future et co'!F2946,FALSE)))</f>
        <v>RFR USD</v>
      </c>
      <c r="D2946" t="str">
        <f t="shared" ca="1" si="226"/>
        <v>RFR USD</v>
      </c>
      <c r="E2946" t="str">
        <f t="shared" ca="1" si="227"/>
        <v>RFR EUR</v>
      </c>
      <c r="F2946" t="str">
        <f t="shared" ca="1" si="228"/>
        <v>RFR GBP</v>
      </c>
      <c r="J2946" s="1"/>
      <c r="N2946" s="1"/>
      <c r="R2946" s="1"/>
      <c r="V2946" s="1"/>
      <c r="AB2946" s="1"/>
      <c r="AF2946" s="1"/>
      <c r="AJ2946" s="1"/>
      <c r="AN2946" s="1"/>
      <c r="AS2946" s="1"/>
      <c r="AX2946" s="1"/>
    </row>
    <row r="2947" spans="1:50" x14ac:dyDescent="0.3">
      <c r="A2947" s="19">
        <f t="shared" si="229"/>
        <v>50040</v>
      </c>
      <c r="B2947">
        <f t="shared" ca="1" si="225"/>
        <v>-10.8</v>
      </c>
      <c r="C2947" t="str">
        <f ca="1">IF(currency="USD",'Future et co'!D2947,IF(currency="EUR",'Future et co'!E2947,IF(currency="GBP",'Future et co'!F2947,FALSE)))</f>
        <v>RFR USD</v>
      </c>
      <c r="D2947" t="str">
        <f t="shared" ca="1" si="226"/>
        <v>RFR USD</v>
      </c>
      <c r="E2947" t="str">
        <f t="shared" ca="1" si="227"/>
        <v>RFR EUR</v>
      </c>
      <c r="F2947" t="str">
        <f t="shared" ca="1" si="228"/>
        <v>RFR GBP</v>
      </c>
      <c r="J2947" s="1"/>
      <c r="N2947" s="1"/>
      <c r="R2947" s="1"/>
      <c r="V2947" s="1"/>
      <c r="AB2947" s="1"/>
      <c r="AF2947" s="1"/>
      <c r="AJ2947" s="1"/>
      <c r="AN2947" s="1"/>
      <c r="AS2947" s="1"/>
      <c r="AX2947" s="1"/>
    </row>
    <row r="2948" spans="1:50" x14ac:dyDescent="0.3">
      <c r="A2948" s="19">
        <f t="shared" si="229"/>
        <v>50041</v>
      </c>
      <c r="B2948">
        <f t="shared" ca="1" si="225"/>
        <v>-10.802777777777777</v>
      </c>
      <c r="C2948" t="str">
        <f ca="1">IF(currency="USD",'Future et co'!D2948,IF(currency="EUR",'Future et co'!E2948,IF(currency="GBP",'Future et co'!F2948,FALSE)))</f>
        <v>RFR USD</v>
      </c>
      <c r="D2948" t="str">
        <f t="shared" ca="1" si="226"/>
        <v>RFR USD</v>
      </c>
      <c r="E2948" t="str">
        <f t="shared" ca="1" si="227"/>
        <v>RFR EUR</v>
      </c>
      <c r="F2948" t="str">
        <f t="shared" ca="1" si="228"/>
        <v>RFR GBP</v>
      </c>
      <c r="J2948" s="1"/>
      <c r="N2948" s="1"/>
      <c r="R2948" s="1"/>
      <c r="V2948" s="1"/>
      <c r="AB2948" s="1"/>
      <c r="AF2948" s="1"/>
      <c r="AJ2948" s="1"/>
      <c r="AN2948" s="1"/>
      <c r="AS2948" s="1"/>
      <c r="AX2948" s="1"/>
    </row>
    <row r="2949" spans="1:50" x14ac:dyDescent="0.3">
      <c r="A2949" s="19">
        <f t="shared" si="229"/>
        <v>50042</v>
      </c>
      <c r="B2949">
        <f t="shared" ca="1" si="225"/>
        <v>-10.805555555555555</v>
      </c>
      <c r="C2949" t="str">
        <f ca="1">IF(currency="USD",'Future et co'!D2949,IF(currency="EUR",'Future et co'!E2949,IF(currency="GBP",'Future et co'!F2949,FALSE)))</f>
        <v>RFR USD</v>
      </c>
      <c r="D2949" t="str">
        <f t="shared" ca="1" si="226"/>
        <v>RFR USD</v>
      </c>
      <c r="E2949" t="str">
        <f t="shared" ca="1" si="227"/>
        <v>RFR EUR</v>
      </c>
      <c r="F2949" t="str">
        <f t="shared" ca="1" si="228"/>
        <v>RFR GBP</v>
      </c>
      <c r="J2949" s="1"/>
      <c r="N2949" s="1"/>
      <c r="R2949" s="1"/>
      <c r="V2949" s="1"/>
      <c r="AB2949" s="1"/>
      <c r="AF2949" s="1"/>
      <c r="AJ2949" s="1"/>
      <c r="AN2949" s="1"/>
      <c r="AS2949" s="1"/>
      <c r="AX2949" s="1"/>
    </row>
    <row r="2950" spans="1:50" x14ac:dyDescent="0.3">
      <c r="A2950" s="19">
        <f t="shared" si="229"/>
        <v>50045</v>
      </c>
      <c r="B2950">
        <f t="shared" ca="1" si="225"/>
        <v>-10.813888888888888</v>
      </c>
      <c r="C2950" t="str">
        <f ca="1">IF(currency="USD",'Future et co'!D2950,IF(currency="EUR",'Future et co'!E2950,IF(currency="GBP",'Future et co'!F2950,FALSE)))</f>
        <v>RFR USD</v>
      </c>
      <c r="D2950" t="str">
        <f t="shared" ca="1" si="226"/>
        <v>RFR USD</v>
      </c>
      <c r="E2950" t="str">
        <f t="shared" ca="1" si="227"/>
        <v>RFR EUR</v>
      </c>
      <c r="F2950" t="str">
        <f t="shared" ca="1" si="228"/>
        <v>RFR GBP</v>
      </c>
      <c r="J2950" s="1"/>
      <c r="N2950" s="1"/>
      <c r="R2950" s="1"/>
      <c r="V2950" s="1"/>
      <c r="AB2950" s="1"/>
      <c r="AF2950" s="1"/>
      <c r="AJ2950" s="1"/>
      <c r="AN2950" s="1"/>
      <c r="AS2950" s="1"/>
      <c r="AX2950" s="1"/>
    </row>
    <row r="2951" spans="1:50" x14ac:dyDescent="0.3">
      <c r="A2951" s="19">
        <f t="shared" si="229"/>
        <v>50046</v>
      </c>
      <c r="B2951">
        <f t="shared" ca="1" si="225"/>
        <v>-10.816666666666666</v>
      </c>
      <c r="C2951" t="str">
        <f ca="1">IF(currency="USD",'Future et co'!D2951,IF(currency="EUR",'Future et co'!E2951,IF(currency="GBP",'Future et co'!F2951,FALSE)))</f>
        <v>RFR USD</v>
      </c>
      <c r="D2951" t="str">
        <f t="shared" ca="1" si="226"/>
        <v>RFR USD</v>
      </c>
      <c r="E2951" t="str">
        <f t="shared" ca="1" si="227"/>
        <v>RFR EUR</v>
      </c>
      <c r="F2951" t="str">
        <f t="shared" ca="1" si="228"/>
        <v>RFR GBP</v>
      </c>
      <c r="J2951" s="1"/>
      <c r="N2951" s="1"/>
      <c r="R2951" s="1"/>
      <c r="V2951" s="1"/>
      <c r="AB2951" s="1"/>
      <c r="AF2951" s="1"/>
      <c r="AJ2951" s="1"/>
      <c r="AN2951" s="1"/>
      <c r="AS2951" s="1"/>
      <c r="AX2951" s="1"/>
    </row>
    <row r="2952" spans="1:50" x14ac:dyDescent="0.3">
      <c r="A2952" s="19">
        <f t="shared" si="229"/>
        <v>50047</v>
      </c>
      <c r="B2952">
        <f t="shared" ca="1" si="225"/>
        <v>-10.819444444444445</v>
      </c>
      <c r="C2952" t="str">
        <f ca="1">IF(currency="USD",'Future et co'!D2952,IF(currency="EUR",'Future et co'!E2952,IF(currency="GBP",'Future et co'!F2952,FALSE)))</f>
        <v>RFR USD</v>
      </c>
      <c r="D2952" t="str">
        <f t="shared" ca="1" si="226"/>
        <v>RFR USD</v>
      </c>
      <c r="E2952" t="str">
        <f t="shared" ca="1" si="227"/>
        <v>RFR EUR</v>
      </c>
      <c r="F2952" t="str">
        <f t="shared" ca="1" si="228"/>
        <v>RFR GBP</v>
      </c>
      <c r="J2952" s="1"/>
      <c r="N2952" s="1"/>
      <c r="R2952" s="1"/>
      <c r="V2952" s="1"/>
      <c r="AB2952" s="1"/>
      <c r="AF2952" s="1"/>
      <c r="AJ2952" s="1"/>
      <c r="AN2952" s="1"/>
      <c r="AS2952" s="1"/>
      <c r="AX2952" s="1"/>
    </row>
    <row r="2953" spans="1:50" x14ac:dyDescent="0.3">
      <c r="A2953" s="19">
        <f t="shared" si="229"/>
        <v>50048</v>
      </c>
      <c r="B2953">
        <f t="shared" ca="1" si="225"/>
        <v>-10.822222222222223</v>
      </c>
      <c r="C2953" t="str">
        <f ca="1">IF(currency="USD",'Future et co'!D2953,IF(currency="EUR",'Future et co'!E2953,IF(currency="GBP",'Future et co'!F2953,FALSE)))</f>
        <v>RFR USD</v>
      </c>
      <c r="D2953" t="str">
        <f t="shared" ca="1" si="226"/>
        <v>RFR USD</v>
      </c>
      <c r="E2953" t="str">
        <f t="shared" ca="1" si="227"/>
        <v>RFR EUR</v>
      </c>
      <c r="F2953" t="str">
        <f t="shared" ca="1" si="228"/>
        <v>RFR GBP</v>
      </c>
      <c r="J2953" s="1"/>
      <c r="N2953" s="1"/>
      <c r="R2953" s="1"/>
      <c r="V2953" s="1"/>
      <c r="AB2953" s="1"/>
      <c r="AF2953" s="1"/>
      <c r="AJ2953" s="1"/>
      <c r="AN2953" s="1"/>
      <c r="AS2953" s="1"/>
      <c r="AX2953" s="1"/>
    </row>
    <row r="2954" spans="1:50" x14ac:dyDescent="0.3">
      <c r="A2954" s="19">
        <f t="shared" si="229"/>
        <v>50049</v>
      </c>
      <c r="B2954">
        <f t="shared" ca="1" si="225"/>
        <v>-10.824999999999999</v>
      </c>
      <c r="C2954" t="str">
        <f ca="1">IF(currency="USD",'Future et co'!D2954,IF(currency="EUR",'Future et co'!E2954,IF(currency="GBP",'Future et co'!F2954,FALSE)))</f>
        <v>RFR USD</v>
      </c>
      <c r="D2954" t="str">
        <f t="shared" ca="1" si="226"/>
        <v>RFR USD</v>
      </c>
      <c r="E2954" t="str">
        <f t="shared" ca="1" si="227"/>
        <v>RFR EUR</v>
      </c>
      <c r="F2954" t="str">
        <f t="shared" ca="1" si="228"/>
        <v>RFR GBP</v>
      </c>
      <c r="J2954" s="1"/>
      <c r="N2954" s="1"/>
      <c r="R2954" s="1"/>
      <c r="V2954" s="1"/>
      <c r="AB2954" s="1"/>
      <c r="AF2954" s="1"/>
      <c r="AJ2954" s="1"/>
      <c r="AN2954" s="1"/>
      <c r="AS2954" s="1"/>
      <c r="AX2954" s="1"/>
    </row>
    <row r="2955" spans="1:50" x14ac:dyDescent="0.3">
      <c r="A2955" s="19">
        <f t="shared" si="229"/>
        <v>50052</v>
      </c>
      <c r="B2955">
        <f t="shared" ref="B2955:B3018" ca="1" si="230">($B$7-A2955)/360</f>
        <v>-10.833333333333334</v>
      </c>
      <c r="C2955" t="str">
        <f ca="1">IF(currency="USD",'Future et co'!D2955,IF(currency="EUR",'Future et co'!E2955,IF(currency="GBP",'Future et co'!F2955,FALSE)))</f>
        <v>RFR USD</v>
      </c>
      <c r="D2955" t="str">
        <f t="shared" ref="D2955:D3018" ca="1" si="231">IFERROR(IF(B2955&lt;0.25,VLOOKUP(A2955,$J$11:$L$5325,3,FALSE),IF(AND(B2955&gt;=0.25,B2955&lt;0.5),VLOOKUP(A2955,$N$11:$P$5325,3,FALSE),IF(AND(B2955&gt;=0.5,B2955&lt;1),VLOOKUP(A2955,$R$11:$T$5325,3,FALSE),VLOOKUP(A2955,$V$11:$X$5010,3,FALSE)))),D2954)</f>
        <v>RFR USD</v>
      </c>
      <c r="E2955" t="str">
        <f t="shared" ref="E2955:E3018" ca="1" si="232">IFERROR(IF(B2955&lt;0.25,VLOOKUP(A2955,$AF$11:$AH$5325,3,FALSE),IF(AND(B2955&gt;=0.25,B2955&lt;0.5),VLOOKUP(A2955,$AJ$11:$AL$5325,3,FALSE),VLOOKUP(A2955,$AN$11:$AP$5325,3,FALSE))),E2954)</f>
        <v>RFR EUR</v>
      </c>
      <c r="F2955" t="str">
        <f t="shared" ref="F2955:F3018" ca="1" si="233">IFERROR(VLOOKUP(A2955,$AS$11:$AU$9999,3,FALSE),F2954)</f>
        <v>RFR GBP</v>
      </c>
      <c r="J2955" s="1"/>
      <c r="N2955" s="1"/>
      <c r="R2955" s="1"/>
      <c r="V2955" s="1"/>
      <c r="AB2955" s="1"/>
      <c r="AF2955" s="1"/>
      <c r="AJ2955" s="1"/>
      <c r="AN2955" s="1"/>
      <c r="AS2955" s="1"/>
      <c r="AX2955" s="1"/>
    </row>
    <row r="2956" spans="1:50" x14ac:dyDescent="0.3">
      <c r="A2956" s="19">
        <f t="shared" si="229"/>
        <v>50053</v>
      </c>
      <c r="B2956">
        <f t="shared" ca="1" si="230"/>
        <v>-10.83611111111111</v>
      </c>
      <c r="C2956" t="str">
        <f ca="1">IF(currency="USD",'Future et co'!D2956,IF(currency="EUR",'Future et co'!E2956,IF(currency="GBP",'Future et co'!F2956,FALSE)))</f>
        <v>RFR USD</v>
      </c>
      <c r="D2956" t="str">
        <f t="shared" ca="1" si="231"/>
        <v>RFR USD</v>
      </c>
      <c r="E2956" t="str">
        <f t="shared" ca="1" si="232"/>
        <v>RFR EUR</v>
      </c>
      <c r="F2956" t="str">
        <f t="shared" ca="1" si="233"/>
        <v>RFR GBP</v>
      </c>
      <c r="J2956" s="1"/>
      <c r="N2956" s="1"/>
      <c r="R2956" s="1"/>
      <c r="V2956" s="1"/>
      <c r="AB2956" s="1"/>
      <c r="AF2956" s="1"/>
      <c r="AJ2956" s="1"/>
      <c r="AN2956" s="1"/>
      <c r="AS2956" s="1"/>
      <c r="AX2956" s="1"/>
    </row>
    <row r="2957" spans="1:50" x14ac:dyDescent="0.3">
      <c r="A2957" s="19">
        <f t="shared" ref="A2957:A3020" si="234">WORKDAY(A2956,1)</f>
        <v>50054</v>
      </c>
      <c r="B2957">
        <f t="shared" ca="1" si="230"/>
        <v>-10.838888888888889</v>
      </c>
      <c r="C2957" t="str">
        <f ca="1">IF(currency="USD",'Future et co'!D2957,IF(currency="EUR",'Future et co'!E2957,IF(currency="GBP",'Future et co'!F2957,FALSE)))</f>
        <v>RFR USD</v>
      </c>
      <c r="D2957" t="str">
        <f t="shared" ca="1" si="231"/>
        <v>RFR USD</v>
      </c>
      <c r="E2957" t="str">
        <f t="shared" ca="1" si="232"/>
        <v>RFR EUR</v>
      </c>
      <c r="F2957" t="str">
        <f t="shared" ca="1" si="233"/>
        <v>RFR GBP</v>
      </c>
      <c r="J2957" s="1"/>
      <c r="N2957" s="1"/>
      <c r="R2957" s="1"/>
      <c r="V2957" s="1"/>
      <c r="AB2957" s="1"/>
      <c r="AF2957" s="1"/>
      <c r="AJ2957" s="1"/>
      <c r="AN2957" s="1"/>
      <c r="AS2957" s="1"/>
      <c r="AX2957" s="1"/>
    </row>
    <row r="2958" spans="1:50" x14ac:dyDescent="0.3">
      <c r="A2958" s="19">
        <f t="shared" si="234"/>
        <v>50055</v>
      </c>
      <c r="B2958">
        <f t="shared" ca="1" si="230"/>
        <v>-10.841666666666667</v>
      </c>
      <c r="C2958" t="str">
        <f ca="1">IF(currency="USD",'Future et co'!D2958,IF(currency="EUR",'Future et co'!E2958,IF(currency="GBP",'Future et co'!F2958,FALSE)))</f>
        <v>RFR USD</v>
      </c>
      <c r="D2958" t="str">
        <f t="shared" ca="1" si="231"/>
        <v>RFR USD</v>
      </c>
      <c r="E2958" t="str">
        <f t="shared" ca="1" si="232"/>
        <v>RFR EUR</v>
      </c>
      <c r="F2958" t="str">
        <f t="shared" ca="1" si="233"/>
        <v>RFR GBP</v>
      </c>
      <c r="J2958" s="1"/>
      <c r="N2958" s="1"/>
      <c r="R2958" s="1"/>
      <c r="V2958" s="1"/>
      <c r="AB2958" s="1"/>
      <c r="AF2958" s="1"/>
      <c r="AJ2958" s="1"/>
      <c r="AN2958" s="1"/>
      <c r="AS2958" s="1"/>
      <c r="AX2958" s="1"/>
    </row>
    <row r="2959" spans="1:50" x14ac:dyDescent="0.3">
      <c r="A2959" s="19">
        <f t="shared" si="234"/>
        <v>50056</v>
      </c>
      <c r="B2959">
        <f t="shared" ca="1" si="230"/>
        <v>-10.844444444444445</v>
      </c>
      <c r="C2959" t="str">
        <f ca="1">IF(currency="USD",'Future et co'!D2959,IF(currency="EUR",'Future et co'!E2959,IF(currency="GBP",'Future et co'!F2959,FALSE)))</f>
        <v>RFR USD</v>
      </c>
      <c r="D2959" t="str">
        <f t="shared" ca="1" si="231"/>
        <v>RFR USD</v>
      </c>
      <c r="E2959" t="str">
        <f t="shared" ca="1" si="232"/>
        <v>RFR EUR</v>
      </c>
      <c r="F2959" t="str">
        <f t="shared" ca="1" si="233"/>
        <v>RFR GBP</v>
      </c>
      <c r="J2959" s="1"/>
      <c r="N2959" s="1"/>
      <c r="R2959" s="1"/>
      <c r="V2959" s="1"/>
      <c r="AB2959" s="1"/>
      <c r="AF2959" s="1"/>
      <c r="AJ2959" s="1"/>
      <c r="AN2959" s="1"/>
      <c r="AS2959" s="1"/>
      <c r="AX2959" s="1"/>
    </row>
    <row r="2960" spans="1:50" x14ac:dyDescent="0.3">
      <c r="A2960" s="19">
        <f t="shared" si="234"/>
        <v>50059</v>
      </c>
      <c r="B2960">
        <f t="shared" ca="1" si="230"/>
        <v>-10.852777777777778</v>
      </c>
      <c r="C2960" t="str">
        <f ca="1">IF(currency="USD",'Future et co'!D2960,IF(currency="EUR",'Future et co'!E2960,IF(currency="GBP",'Future et co'!F2960,FALSE)))</f>
        <v>RFR USD</v>
      </c>
      <c r="D2960" t="str">
        <f t="shared" ca="1" si="231"/>
        <v>RFR USD</v>
      </c>
      <c r="E2960" t="str">
        <f t="shared" ca="1" si="232"/>
        <v>RFR EUR</v>
      </c>
      <c r="F2960" t="str">
        <f t="shared" ca="1" si="233"/>
        <v>RFR GBP</v>
      </c>
      <c r="J2960" s="1"/>
      <c r="N2960" s="1"/>
      <c r="R2960" s="1"/>
      <c r="V2960" s="1"/>
      <c r="AB2960" s="1"/>
      <c r="AF2960" s="1"/>
      <c r="AJ2960" s="1"/>
      <c r="AN2960" s="1"/>
      <c r="AS2960" s="1"/>
      <c r="AX2960" s="1"/>
    </row>
    <row r="2961" spans="1:50" x14ac:dyDescent="0.3">
      <c r="A2961" s="19">
        <f t="shared" si="234"/>
        <v>50060</v>
      </c>
      <c r="B2961">
        <f t="shared" ca="1" si="230"/>
        <v>-10.855555555555556</v>
      </c>
      <c r="C2961" t="str">
        <f ca="1">IF(currency="USD",'Future et co'!D2961,IF(currency="EUR",'Future et co'!E2961,IF(currency="GBP",'Future et co'!F2961,FALSE)))</f>
        <v>RFR USD</v>
      </c>
      <c r="D2961" t="str">
        <f t="shared" ca="1" si="231"/>
        <v>RFR USD</v>
      </c>
      <c r="E2961" t="str">
        <f t="shared" ca="1" si="232"/>
        <v>RFR EUR</v>
      </c>
      <c r="F2961" t="str">
        <f t="shared" ca="1" si="233"/>
        <v>RFR GBP</v>
      </c>
      <c r="J2961" s="1"/>
      <c r="N2961" s="1"/>
      <c r="R2961" s="1"/>
      <c r="V2961" s="1"/>
      <c r="AB2961" s="1"/>
      <c r="AF2961" s="1"/>
      <c r="AJ2961" s="1"/>
      <c r="AN2961" s="1"/>
      <c r="AS2961" s="1"/>
      <c r="AX2961" s="1"/>
    </row>
    <row r="2962" spans="1:50" x14ac:dyDescent="0.3">
      <c r="A2962" s="19">
        <f t="shared" si="234"/>
        <v>50061</v>
      </c>
      <c r="B2962">
        <f t="shared" ca="1" si="230"/>
        <v>-10.858333333333333</v>
      </c>
      <c r="C2962" t="str">
        <f ca="1">IF(currency="USD",'Future et co'!D2962,IF(currency="EUR",'Future et co'!E2962,IF(currency="GBP",'Future et co'!F2962,FALSE)))</f>
        <v>RFR USD</v>
      </c>
      <c r="D2962" t="str">
        <f t="shared" ca="1" si="231"/>
        <v>RFR USD</v>
      </c>
      <c r="E2962" t="str">
        <f t="shared" ca="1" si="232"/>
        <v>RFR EUR</v>
      </c>
      <c r="F2962" t="str">
        <f t="shared" ca="1" si="233"/>
        <v>RFR GBP</v>
      </c>
      <c r="J2962" s="1"/>
      <c r="N2962" s="1"/>
      <c r="R2962" s="1"/>
      <c r="V2962" s="1"/>
      <c r="AB2962" s="1"/>
      <c r="AF2962" s="1"/>
      <c r="AJ2962" s="1"/>
      <c r="AN2962" s="1"/>
      <c r="AS2962" s="1"/>
      <c r="AX2962" s="1"/>
    </row>
    <row r="2963" spans="1:50" x14ac:dyDescent="0.3">
      <c r="A2963" s="19">
        <f t="shared" si="234"/>
        <v>50062</v>
      </c>
      <c r="B2963">
        <f t="shared" ca="1" si="230"/>
        <v>-10.861111111111111</v>
      </c>
      <c r="C2963" t="str">
        <f ca="1">IF(currency="USD",'Future et co'!D2963,IF(currency="EUR",'Future et co'!E2963,IF(currency="GBP",'Future et co'!F2963,FALSE)))</f>
        <v>RFR USD</v>
      </c>
      <c r="D2963" t="str">
        <f t="shared" ca="1" si="231"/>
        <v>RFR USD</v>
      </c>
      <c r="E2963" t="str">
        <f t="shared" ca="1" si="232"/>
        <v>RFR EUR</v>
      </c>
      <c r="F2963" t="str">
        <f t="shared" ca="1" si="233"/>
        <v>RFR GBP</v>
      </c>
      <c r="J2963" s="1"/>
      <c r="N2963" s="1"/>
      <c r="R2963" s="1"/>
      <c r="V2963" s="1"/>
      <c r="AB2963" s="1"/>
      <c r="AF2963" s="1"/>
      <c r="AJ2963" s="1"/>
      <c r="AN2963" s="1"/>
      <c r="AS2963" s="1"/>
      <c r="AX2963" s="1"/>
    </row>
    <row r="2964" spans="1:50" x14ac:dyDescent="0.3">
      <c r="A2964" s="19">
        <f t="shared" si="234"/>
        <v>50063</v>
      </c>
      <c r="B2964">
        <f t="shared" ca="1" si="230"/>
        <v>-10.863888888888889</v>
      </c>
      <c r="C2964" t="str">
        <f ca="1">IF(currency="USD",'Future et co'!D2964,IF(currency="EUR",'Future et co'!E2964,IF(currency="GBP",'Future et co'!F2964,FALSE)))</f>
        <v>RFR USD</v>
      </c>
      <c r="D2964" t="str">
        <f t="shared" ca="1" si="231"/>
        <v>RFR USD</v>
      </c>
      <c r="E2964" t="str">
        <f t="shared" ca="1" si="232"/>
        <v>RFR EUR</v>
      </c>
      <c r="F2964" t="str">
        <f t="shared" ca="1" si="233"/>
        <v>RFR GBP</v>
      </c>
      <c r="J2964" s="1"/>
      <c r="N2964" s="1"/>
      <c r="R2964" s="1"/>
      <c r="V2964" s="1"/>
      <c r="AB2964" s="1"/>
      <c r="AF2964" s="1"/>
      <c r="AJ2964" s="1"/>
      <c r="AN2964" s="1"/>
      <c r="AS2964" s="1"/>
      <c r="AX2964" s="1"/>
    </row>
    <row r="2965" spans="1:50" x14ac:dyDescent="0.3">
      <c r="A2965" s="19">
        <f t="shared" si="234"/>
        <v>50066</v>
      </c>
      <c r="B2965">
        <f t="shared" ca="1" si="230"/>
        <v>-10.872222222222222</v>
      </c>
      <c r="C2965" t="str">
        <f ca="1">IF(currency="USD",'Future et co'!D2965,IF(currency="EUR",'Future et co'!E2965,IF(currency="GBP",'Future et co'!F2965,FALSE)))</f>
        <v>RFR USD</v>
      </c>
      <c r="D2965" t="str">
        <f t="shared" ca="1" si="231"/>
        <v>RFR USD</v>
      </c>
      <c r="E2965" t="str">
        <f t="shared" ca="1" si="232"/>
        <v>RFR EUR</v>
      </c>
      <c r="F2965" t="str">
        <f t="shared" ca="1" si="233"/>
        <v>RFR GBP</v>
      </c>
      <c r="J2965" s="1"/>
      <c r="N2965" s="1"/>
      <c r="R2965" s="1"/>
      <c r="V2965" s="1"/>
      <c r="AB2965" s="1"/>
      <c r="AF2965" s="1"/>
      <c r="AJ2965" s="1"/>
      <c r="AN2965" s="1"/>
      <c r="AS2965" s="1"/>
      <c r="AX2965" s="1"/>
    </row>
    <row r="2966" spans="1:50" x14ac:dyDescent="0.3">
      <c r="A2966" s="19">
        <f t="shared" si="234"/>
        <v>50067</v>
      </c>
      <c r="B2966">
        <f t="shared" ca="1" si="230"/>
        <v>-10.875</v>
      </c>
      <c r="C2966" t="str">
        <f ca="1">IF(currency="USD",'Future et co'!D2966,IF(currency="EUR",'Future et co'!E2966,IF(currency="GBP",'Future et co'!F2966,FALSE)))</f>
        <v>RFR USD</v>
      </c>
      <c r="D2966" t="str">
        <f t="shared" ca="1" si="231"/>
        <v>RFR USD</v>
      </c>
      <c r="E2966" t="str">
        <f t="shared" ca="1" si="232"/>
        <v>RFR EUR</v>
      </c>
      <c r="F2966" t="str">
        <f t="shared" ca="1" si="233"/>
        <v>RFR GBP</v>
      </c>
      <c r="J2966" s="1"/>
      <c r="N2966" s="1"/>
      <c r="R2966" s="1"/>
      <c r="V2966" s="1"/>
      <c r="AB2966" s="1"/>
      <c r="AF2966" s="1"/>
      <c r="AJ2966" s="1"/>
      <c r="AN2966" s="1"/>
      <c r="AS2966" s="1"/>
      <c r="AX2966" s="1"/>
    </row>
    <row r="2967" spans="1:50" x14ac:dyDescent="0.3">
      <c r="A2967" s="19">
        <f t="shared" si="234"/>
        <v>50068</v>
      </c>
      <c r="B2967">
        <f t="shared" ca="1" si="230"/>
        <v>-10.877777777777778</v>
      </c>
      <c r="C2967" t="str">
        <f ca="1">IF(currency="USD",'Future et co'!D2967,IF(currency="EUR",'Future et co'!E2967,IF(currency="GBP",'Future et co'!F2967,FALSE)))</f>
        <v>RFR USD</v>
      </c>
      <c r="D2967" t="str">
        <f t="shared" ca="1" si="231"/>
        <v>RFR USD</v>
      </c>
      <c r="E2967" t="str">
        <f t="shared" ca="1" si="232"/>
        <v>RFR EUR</v>
      </c>
      <c r="F2967" t="str">
        <f t="shared" ca="1" si="233"/>
        <v>RFR GBP</v>
      </c>
      <c r="J2967" s="1"/>
      <c r="N2967" s="1"/>
      <c r="R2967" s="1"/>
      <c r="V2967" s="1"/>
      <c r="AB2967" s="1"/>
      <c r="AF2967" s="1"/>
      <c r="AJ2967" s="1"/>
      <c r="AN2967" s="1"/>
      <c r="AS2967" s="1"/>
      <c r="AX2967" s="1"/>
    </row>
    <row r="2968" spans="1:50" x14ac:dyDescent="0.3">
      <c r="A2968" s="19">
        <f t="shared" si="234"/>
        <v>50069</v>
      </c>
      <c r="B2968">
        <f t="shared" ca="1" si="230"/>
        <v>-10.880555555555556</v>
      </c>
      <c r="C2968" t="str">
        <f ca="1">IF(currency="USD",'Future et co'!D2968,IF(currency="EUR",'Future et co'!E2968,IF(currency="GBP",'Future et co'!F2968,FALSE)))</f>
        <v>RFR USD</v>
      </c>
      <c r="D2968" t="str">
        <f t="shared" ca="1" si="231"/>
        <v>RFR USD</v>
      </c>
      <c r="E2968" t="str">
        <f t="shared" ca="1" si="232"/>
        <v>RFR EUR</v>
      </c>
      <c r="F2968" t="str">
        <f t="shared" ca="1" si="233"/>
        <v>RFR GBP</v>
      </c>
      <c r="J2968" s="1"/>
      <c r="N2968" s="1"/>
      <c r="R2968" s="1"/>
      <c r="V2968" s="1"/>
      <c r="AB2968" s="1"/>
      <c r="AF2968" s="1"/>
      <c r="AJ2968" s="1"/>
      <c r="AN2968" s="1"/>
      <c r="AS2968" s="1"/>
      <c r="AX2968" s="1"/>
    </row>
    <row r="2969" spans="1:50" x14ac:dyDescent="0.3">
      <c r="A2969" s="19">
        <f t="shared" si="234"/>
        <v>50070</v>
      </c>
      <c r="B2969">
        <f t="shared" ca="1" si="230"/>
        <v>-10.883333333333333</v>
      </c>
      <c r="C2969" t="str">
        <f ca="1">IF(currency="USD",'Future et co'!D2969,IF(currency="EUR",'Future et co'!E2969,IF(currency="GBP",'Future et co'!F2969,FALSE)))</f>
        <v>RFR USD</v>
      </c>
      <c r="D2969" t="str">
        <f t="shared" ca="1" si="231"/>
        <v>RFR USD</v>
      </c>
      <c r="E2969" t="str">
        <f t="shared" ca="1" si="232"/>
        <v>RFR EUR</v>
      </c>
      <c r="F2969" t="str">
        <f t="shared" ca="1" si="233"/>
        <v>RFR GBP</v>
      </c>
      <c r="J2969" s="1"/>
      <c r="N2969" s="1"/>
      <c r="R2969" s="1"/>
      <c r="V2969" s="1"/>
      <c r="AB2969" s="1"/>
      <c r="AF2969" s="1"/>
      <c r="AJ2969" s="1"/>
      <c r="AN2969" s="1"/>
      <c r="AS2969" s="1"/>
      <c r="AX2969" s="1"/>
    </row>
    <row r="2970" spans="1:50" x14ac:dyDescent="0.3">
      <c r="A2970" s="19">
        <f t="shared" si="234"/>
        <v>50073</v>
      </c>
      <c r="B2970">
        <f t="shared" ca="1" si="230"/>
        <v>-10.891666666666667</v>
      </c>
      <c r="C2970" t="str">
        <f ca="1">IF(currency="USD",'Future et co'!D2970,IF(currency="EUR",'Future et co'!E2970,IF(currency="GBP",'Future et co'!F2970,FALSE)))</f>
        <v>RFR USD</v>
      </c>
      <c r="D2970" t="str">
        <f t="shared" ca="1" si="231"/>
        <v>RFR USD</v>
      </c>
      <c r="E2970" t="str">
        <f t="shared" ca="1" si="232"/>
        <v>RFR EUR</v>
      </c>
      <c r="F2970" t="str">
        <f t="shared" ca="1" si="233"/>
        <v>RFR GBP</v>
      </c>
      <c r="J2970" s="1"/>
      <c r="N2970" s="1"/>
      <c r="R2970" s="1"/>
      <c r="V2970" s="1"/>
      <c r="AB2970" s="1"/>
      <c r="AF2970" s="1"/>
      <c r="AJ2970" s="1"/>
      <c r="AN2970" s="1"/>
      <c r="AS2970" s="1"/>
      <c r="AX2970" s="1"/>
    </row>
    <row r="2971" spans="1:50" x14ac:dyDescent="0.3">
      <c r="A2971" s="19">
        <f t="shared" si="234"/>
        <v>50074</v>
      </c>
      <c r="B2971">
        <f t="shared" ca="1" si="230"/>
        <v>-10.894444444444444</v>
      </c>
      <c r="C2971" t="str">
        <f ca="1">IF(currency="USD",'Future et co'!D2971,IF(currency="EUR",'Future et co'!E2971,IF(currency="GBP",'Future et co'!F2971,FALSE)))</f>
        <v>RFR USD</v>
      </c>
      <c r="D2971" t="str">
        <f t="shared" ca="1" si="231"/>
        <v>RFR USD</v>
      </c>
      <c r="E2971" t="str">
        <f t="shared" ca="1" si="232"/>
        <v>RFR EUR</v>
      </c>
      <c r="F2971" t="str">
        <f t="shared" ca="1" si="233"/>
        <v>RFR GBP</v>
      </c>
      <c r="J2971" s="1"/>
      <c r="N2971" s="1"/>
      <c r="R2971" s="1"/>
      <c r="V2971" s="1"/>
      <c r="AB2971" s="1"/>
      <c r="AF2971" s="1"/>
      <c r="AJ2971" s="1"/>
      <c r="AN2971" s="1"/>
      <c r="AS2971" s="1"/>
      <c r="AX2971" s="1"/>
    </row>
    <row r="2972" spans="1:50" x14ac:dyDescent="0.3">
      <c r="A2972" s="19">
        <f t="shared" si="234"/>
        <v>50075</v>
      </c>
      <c r="B2972">
        <f t="shared" ca="1" si="230"/>
        <v>-10.897222222222222</v>
      </c>
      <c r="C2972" t="str">
        <f ca="1">IF(currency="USD",'Future et co'!D2972,IF(currency="EUR",'Future et co'!E2972,IF(currency="GBP",'Future et co'!F2972,FALSE)))</f>
        <v>RFR USD</v>
      </c>
      <c r="D2972" t="str">
        <f t="shared" ca="1" si="231"/>
        <v>RFR USD</v>
      </c>
      <c r="E2972" t="str">
        <f t="shared" ca="1" si="232"/>
        <v>RFR EUR</v>
      </c>
      <c r="F2972" t="str">
        <f t="shared" ca="1" si="233"/>
        <v>RFR GBP</v>
      </c>
      <c r="J2972" s="1"/>
      <c r="N2972" s="1"/>
      <c r="R2972" s="1"/>
      <c r="V2972" s="1"/>
      <c r="AB2972" s="1"/>
      <c r="AF2972" s="1"/>
      <c r="AJ2972" s="1"/>
      <c r="AN2972" s="1"/>
      <c r="AS2972" s="1"/>
      <c r="AX2972" s="1"/>
    </row>
    <row r="2973" spans="1:50" x14ac:dyDescent="0.3">
      <c r="A2973" s="19">
        <f t="shared" si="234"/>
        <v>50076</v>
      </c>
      <c r="B2973">
        <f t="shared" ca="1" si="230"/>
        <v>-10.9</v>
      </c>
      <c r="C2973" t="str">
        <f ca="1">IF(currency="USD",'Future et co'!D2973,IF(currency="EUR",'Future et co'!E2973,IF(currency="GBP",'Future et co'!F2973,FALSE)))</f>
        <v>RFR USD</v>
      </c>
      <c r="D2973" t="str">
        <f t="shared" ca="1" si="231"/>
        <v>RFR USD</v>
      </c>
      <c r="E2973" t="str">
        <f t="shared" ca="1" si="232"/>
        <v>RFR EUR</v>
      </c>
      <c r="F2973" t="str">
        <f t="shared" ca="1" si="233"/>
        <v>RFR GBP</v>
      </c>
      <c r="J2973" s="1"/>
      <c r="N2973" s="1"/>
      <c r="R2973" s="1"/>
      <c r="V2973" s="1"/>
      <c r="AB2973" s="1"/>
      <c r="AF2973" s="1"/>
      <c r="AJ2973" s="1"/>
      <c r="AN2973" s="1"/>
      <c r="AS2973" s="1"/>
      <c r="AX2973" s="1"/>
    </row>
    <row r="2974" spans="1:50" x14ac:dyDescent="0.3">
      <c r="A2974" s="19">
        <f t="shared" si="234"/>
        <v>50077</v>
      </c>
      <c r="B2974">
        <f t="shared" ca="1" si="230"/>
        <v>-10.902777777777779</v>
      </c>
      <c r="C2974" t="str">
        <f ca="1">IF(currency="USD",'Future et co'!D2974,IF(currency="EUR",'Future et co'!E2974,IF(currency="GBP",'Future et co'!F2974,FALSE)))</f>
        <v>RFR USD</v>
      </c>
      <c r="D2974" t="str">
        <f t="shared" ca="1" si="231"/>
        <v>RFR USD</v>
      </c>
      <c r="E2974" t="str">
        <f t="shared" ca="1" si="232"/>
        <v>RFR EUR</v>
      </c>
      <c r="F2974" t="str">
        <f t="shared" ca="1" si="233"/>
        <v>RFR GBP</v>
      </c>
      <c r="J2974" s="1"/>
      <c r="N2974" s="1"/>
      <c r="R2974" s="1"/>
      <c r="V2974" s="1"/>
      <c r="AB2974" s="1"/>
      <c r="AF2974" s="1"/>
      <c r="AJ2974" s="1"/>
      <c r="AN2974" s="1"/>
      <c r="AS2974" s="1"/>
      <c r="AX2974" s="1"/>
    </row>
    <row r="2975" spans="1:50" x14ac:dyDescent="0.3">
      <c r="A2975" s="19">
        <f t="shared" si="234"/>
        <v>50080</v>
      </c>
      <c r="B2975">
        <f t="shared" ca="1" si="230"/>
        <v>-10.911111111111111</v>
      </c>
      <c r="C2975" t="str">
        <f ca="1">IF(currency="USD",'Future et co'!D2975,IF(currency="EUR",'Future et co'!E2975,IF(currency="GBP",'Future et co'!F2975,FALSE)))</f>
        <v>RFR USD</v>
      </c>
      <c r="D2975" t="str">
        <f t="shared" ca="1" si="231"/>
        <v>RFR USD</v>
      </c>
      <c r="E2975" t="str">
        <f t="shared" ca="1" si="232"/>
        <v>RFR EUR</v>
      </c>
      <c r="F2975" t="str">
        <f t="shared" ca="1" si="233"/>
        <v>RFR GBP</v>
      </c>
      <c r="J2975" s="1"/>
      <c r="N2975" s="1"/>
      <c r="R2975" s="1"/>
      <c r="V2975" s="1"/>
      <c r="AB2975" s="1"/>
      <c r="AF2975" s="1"/>
      <c r="AJ2975" s="1"/>
      <c r="AN2975" s="1"/>
      <c r="AS2975" s="1"/>
      <c r="AX2975" s="1"/>
    </row>
    <row r="2976" spans="1:50" x14ac:dyDescent="0.3">
      <c r="A2976" s="19">
        <f t="shared" si="234"/>
        <v>50081</v>
      </c>
      <c r="B2976">
        <f t="shared" ca="1" si="230"/>
        <v>-10.91388888888889</v>
      </c>
      <c r="C2976" t="str">
        <f ca="1">IF(currency="USD",'Future et co'!D2976,IF(currency="EUR",'Future et co'!E2976,IF(currency="GBP",'Future et co'!F2976,FALSE)))</f>
        <v>RFR USD</v>
      </c>
      <c r="D2976" t="str">
        <f t="shared" ca="1" si="231"/>
        <v>RFR USD</v>
      </c>
      <c r="E2976" t="str">
        <f t="shared" ca="1" si="232"/>
        <v>RFR EUR</v>
      </c>
      <c r="F2976" t="str">
        <f t="shared" ca="1" si="233"/>
        <v>RFR GBP</v>
      </c>
      <c r="J2976" s="1"/>
      <c r="N2976" s="1"/>
      <c r="R2976" s="1"/>
      <c r="V2976" s="1"/>
      <c r="AB2976" s="1"/>
      <c r="AF2976" s="1"/>
      <c r="AJ2976" s="1"/>
      <c r="AN2976" s="1"/>
      <c r="AS2976" s="1"/>
      <c r="AX2976" s="1"/>
    </row>
    <row r="2977" spans="1:50" x14ac:dyDescent="0.3">
      <c r="A2977" s="19">
        <f t="shared" si="234"/>
        <v>50082</v>
      </c>
      <c r="B2977">
        <f t="shared" ca="1" si="230"/>
        <v>-10.916666666666666</v>
      </c>
      <c r="C2977" t="str">
        <f ca="1">IF(currency="USD",'Future et co'!D2977,IF(currency="EUR",'Future et co'!E2977,IF(currency="GBP",'Future et co'!F2977,FALSE)))</f>
        <v>RFR USD</v>
      </c>
      <c r="D2977" t="str">
        <f t="shared" ca="1" si="231"/>
        <v>RFR USD</v>
      </c>
      <c r="E2977" t="str">
        <f t="shared" ca="1" si="232"/>
        <v>RFR EUR</v>
      </c>
      <c r="F2977" t="str">
        <f t="shared" ca="1" si="233"/>
        <v>RFR GBP</v>
      </c>
      <c r="J2977" s="1"/>
      <c r="N2977" s="1"/>
      <c r="R2977" s="1"/>
      <c r="V2977" s="1"/>
      <c r="AB2977" s="1"/>
      <c r="AF2977" s="1"/>
      <c r="AJ2977" s="1"/>
      <c r="AN2977" s="1"/>
      <c r="AS2977" s="1"/>
      <c r="AX2977" s="1"/>
    </row>
    <row r="2978" spans="1:50" x14ac:dyDescent="0.3">
      <c r="A2978" s="19">
        <f t="shared" si="234"/>
        <v>50083</v>
      </c>
      <c r="B2978">
        <f t="shared" ca="1" si="230"/>
        <v>-10.919444444444444</v>
      </c>
      <c r="C2978" t="str">
        <f ca="1">IF(currency="USD",'Future et co'!D2978,IF(currency="EUR",'Future et co'!E2978,IF(currency="GBP",'Future et co'!F2978,FALSE)))</f>
        <v>RFR USD</v>
      </c>
      <c r="D2978" t="str">
        <f t="shared" ca="1" si="231"/>
        <v>RFR USD</v>
      </c>
      <c r="E2978" t="str">
        <f t="shared" ca="1" si="232"/>
        <v>RFR EUR</v>
      </c>
      <c r="F2978" t="str">
        <f t="shared" ca="1" si="233"/>
        <v>RFR GBP</v>
      </c>
      <c r="J2978" s="1"/>
      <c r="N2978" s="1"/>
      <c r="R2978" s="1"/>
      <c r="V2978" s="1"/>
      <c r="AB2978" s="1"/>
      <c r="AF2978" s="1"/>
      <c r="AJ2978" s="1"/>
      <c r="AN2978" s="1"/>
      <c r="AS2978" s="1"/>
      <c r="AX2978" s="1"/>
    </row>
    <row r="2979" spans="1:50" x14ac:dyDescent="0.3">
      <c r="A2979" s="19">
        <f t="shared" si="234"/>
        <v>50084</v>
      </c>
      <c r="B2979">
        <f t="shared" ca="1" si="230"/>
        <v>-10.922222222222222</v>
      </c>
      <c r="C2979" t="str">
        <f ca="1">IF(currency="USD",'Future et co'!D2979,IF(currency="EUR",'Future et co'!E2979,IF(currency="GBP",'Future et co'!F2979,FALSE)))</f>
        <v>RFR USD</v>
      </c>
      <c r="D2979" t="str">
        <f t="shared" ca="1" si="231"/>
        <v>RFR USD</v>
      </c>
      <c r="E2979" t="str">
        <f t="shared" ca="1" si="232"/>
        <v>RFR EUR</v>
      </c>
      <c r="F2979" t="str">
        <f t="shared" ca="1" si="233"/>
        <v>RFR GBP</v>
      </c>
      <c r="J2979" s="1"/>
      <c r="N2979" s="1"/>
      <c r="R2979" s="1"/>
      <c r="V2979" s="1"/>
      <c r="AB2979" s="1"/>
      <c r="AF2979" s="1"/>
      <c r="AJ2979" s="1"/>
      <c r="AN2979" s="1"/>
      <c r="AS2979" s="1"/>
      <c r="AX2979" s="1"/>
    </row>
    <row r="2980" spans="1:50" x14ac:dyDescent="0.3">
      <c r="A2980" s="19">
        <f t="shared" si="234"/>
        <v>50087</v>
      </c>
      <c r="B2980">
        <f t="shared" ca="1" si="230"/>
        <v>-10.930555555555555</v>
      </c>
      <c r="C2980" t="str">
        <f ca="1">IF(currency="USD",'Future et co'!D2980,IF(currency="EUR",'Future et co'!E2980,IF(currency="GBP",'Future et co'!F2980,FALSE)))</f>
        <v>RFR USD</v>
      </c>
      <c r="D2980" t="str">
        <f t="shared" ca="1" si="231"/>
        <v>RFR USD</v>
      </c>
      <c r="E2980" t="str">
        <f t="shared" ca="1" si="232"/>
        <v>RFR EUR</v>
      </c>
      <c r="F2980" t="str">
        <f t="shared" ca="1" si="233"/>
        <v>RFR GBP</v>
      </c>
      <c r="J2980" s="1"/>
      <c r="N2980" s="1"/>
      <c r="R2980" s="1"/>
      <c r="V2980" s="1"/>
      <c r="AB2980" s="1"/>
      <c r="AF2980" s="1"/>
      <c r="AJ2980" s="1"/>
      <c r="AN2980" s="1"/>
      <c r="AS2980" s="1"/>
      <c r="AX2980" s="1"/>
    </row>
    <row r="2981" spans="1:50" x14ac:dyDescent="0.3">
      <c r="A2981" s="19">
        <f t="shared" si="234"/>
        <v>50088</v>
      </c>
      <c r="B2981">
        <f t="shared" ca="1" si="230"/>
        <v>-10.933333333333334</v>
      </c>
      <c r="C2981" t="str">
        <f ca="1">IF(currency="USD",'Future et co'!D2981,IF(currency="EUR",'Future et co'!E2981,IF(currency="GBP",'Future et co'!F2981,FALSE)))</f>
        <v>RFR USD</v>
      </c>
      <c r="D2981" t="str">
        <f t="shared" ca="1" si="231"/>
        <v>RFR USD</v>
      </c>
      <c r="E2981" t="str">
        <f t="shared" ca="1" si="232"/>
        <v>RFR EUR</v>
      </c>
      <c r="F2981" t="str">
        <f t="shared" ca="1" si="233"/>
        <v>RFR GBP</v>
      </c>
      <c r="J2981" s="1"/>
      <c r="N2981" s="1"/>
      <c r="R2981" s="1"/>
      <c r="V2981" s="1"/>
      <c r="AB2981" s="1"/>
      <c r="AF2981" s="1"/>
      <c r="AJ2981" s="1"/>
      <c r="AN2981" s="1"/>
      <c r="AS2981" s="1"/>
      <c r="AX2981" s="1"/>
    </row>
    <row r="2982" spans="1:50" x14ac:dyDescent="0.3">
      <c r="A2982" s="19">
        <f t="shared" si="234"/>
        <v>50089</v>
      </c>
      <c r="B2982">
        <f t="shared" ca="1" si="230"/>
        <v>-10.936111111111112</v>
      </c>
      <c r="C2982" t="str">
        <f ca="1">IF(currency="USD",'Future et co'!D2982,IF(currency="EUR",'Future et co'!E2982,IF(currency="GBP",'Future et co'!F2982,FALSE)))</f>
        <v>RFR USD</v>
      </c>
      <c r="D2982" t="str">
        <f t="shared" ca="1" si="231"/>
        <v>RFR USD</v>
      </c>
      <c r="E2982" t="str">
        <f t="shared" ca="1" si="232"/>
        <v>RFR EUR</v>
      </c>
      <c r="F2982" t="str">
        <f t="shared" ca="1" si="233"/>
        <v>RFR GBP</v>
      </c>
      <c r="J2982" s="1"/>
      <c r="N2982" s="1"/>
      <c r="R2982" s="1"/>
      <c r="V2982" s="1"/>
      <c r="AB2982" s="1"/>
      <c r="AF2982" s="1"/>
      <c r="AJ2982" s="1"/>
      <c r="AN2982" s="1"/>
      <c r="AS2982" s="1"/>
      <c r="AX2982" s="1"/>
    </row>
    <row r="2983" spans="1:50" x14ac:dyDescent="0.3">
      <c r="A2983" s="19">
        <f t="shared" si="234"/>
        <v>50090</v>
      </c>
      <c r="B2983">
        <f t="shared" ca="1" si="230"/>
        <v>-10.938888888888888</v>
      </c>
      <c r="C2983" t="str">
        <f ca="1">IF(currency="USD",'Future et co'!D2983,IF(currency="EUR",'Future et co'!E2983,IF(currency="GBP",'Future et co'!F2983,FALSE)))</f>
        <v>RFR USD</v>
      </c>
      <c r="D2983" t="str">
        <f t="shared" ca="1" si="231"/>
        <v>RFR USD</v>
      </c>
      <c r="E2983" t="str">
        <f t="shared" ca="1" si="232"/>
        <v>RFR EUR</v>
      </c>
      <c r="F2983" t="str">
        <f t="shared" ca="1" si="233"/>
        <v>RFR GBP</v>
      </c>
      <c r="J2983" s="1"/>
      <c r="N2983" s="1"/>
      <c r="R2983" s="1"/>
      <c r="V2983" s="1"/>
      <c r="AB2983" s="1"/>
      <c r="AF2983" s="1"/>
      <c r="AJ2983" s="1"/>
      <c r="AN2983" s="1"/>
      <c r="AS2983" s="1"/>
      <c r="AX2983" s="1"/>
    </row>
    <row r="2984" spans="1:50" x14ac:dyDescent="0.3">
      <c r="A2984" s="19">
        <f t="shared" si="234"/>
        <v>50091</v>
      </c>
      <c r="B2984">
        <f t="shared" ca="1" si="230"/>
        <v>-10.941666666666666</v>
      </c>
      <c r="C2984" t="str">
        <f ca="1">IF(currency="USD",'Future et co'!D2984,IF(currency="EUR",'Future et co'!E2984,IF(currency="GBP",'Future et co'!F2984,FALSE)))</f>
        <v>RFR USD</v>
      </c>
      <c r="D2984" t="str">
        <f t="shared" ca="1" si="231"/>
        <v>RFR USD</v>
      </c>
      <c r="E2984" t="str">
        <f t="shared" ca="1" si="232"/>
        <v>RFR EUR</v>
      </c>
      <c r="F2984" t="str">
        <f t="shared" ca="1" si="233"/>
        <v>RFR GBP</v>
      </c>
      <c r="J2984" s="1"/>
      <c r="N2984" s="1"/>
      <c r="R2984" s="1"/>
      <c r="V2984" s="1"/>
      <c r="AB2984" s="1"/>
      <c r="AF2984" s="1"/>
      <c r="AJ2984" s="1"/>
      <c r="AN2984" s="1"/>
      <c r="AS2984" s="1"/>
      <c r="AX2984" s="1"/>
    </row>
    <row r="2985" spans="1:50" x14ac:dyDescent="0.3">
      <c r="A2985" s="19">
        <f t="shared" si="234"/>
        <v>50094</v>
      </c>
      <c r="B2985">
        <f t="shared" ca="1" si="230"/>
        <v>-10.95</v>
      </c>
      <c r="C2985" t="str">
        <f ca="1">IF(currency="USD",'Future et co'!D2985,IF(currency="EUR",'Future et co'!E2985,IF(currency="GBP",'Future et co'!F2985,FALSE)))</f>
        <v>RFR USD</v>
      </c>
      <c r="D2985" t="str">
        <f t="shared" ca="1" si="231"/>
        <v>RFR USD</v>
      </c>
      <c r="E2985" t="str">
        <f t="shared" ca="1" si="232"/>
        <v>RFR EUR</v>
      </c>
      <c r="F2985" t="str">
        <f t="shared" ca="1" si="233"/>
        <v>RFR GBP</v>
      </c>
      <c r="J2985" s="1"/>
      <c r="N2985" s="1"/>
      <c r="R2985" s="1"/>
      <c r="V2985" s="1"/>
      <c r="AB2985" s="1"/>
      <c r="AF2985" s="1"/>
      <c r="AJ2985" s="1"/>
      <c r="AN2985" s="1"/>
      <c r="AS2985" s="1"/>
      <c r="AX2985" s="1"/>
    </row>
    <row r="2986" spans="1:50" x14ac:dyDescent="0.3">
      <c r="A2986" s="19">
        <f t="shared" si="234"/>
        <v>50095</v>
      </c>
      <c r="B2986">
        <f t="shared" ca="1" si="230"/>
        <v>-10.952777777777778</v>
      </c>
      <c r="C2986" t="str">
        <f ca="1">IF(currency="USD",'Future et co'!D2986,IF(currency="EUR",'Future et co'!E2986,IF(currency="GBP",'Future et co'!F2986,FALSE)))</f>
        <v>RFR USD</v>
      </c>
      <c r="D2986" t="str">
        <f t="shared" ca="1" si="231"/>
        <v>RFR USD</v>
      </c>
      <c r="E2986" t="str">
        <f t="shared" ca="1" si="232"/>
        <v>RFR EUR</v>
      </c>
      <c r="F2986" t="str">
        <f t="shared" ca="1" si="233"/>
        <v>RFR GBP</v>
      </c>
      <c r="J2986" s="1"/>
      <c r="N2986" s="1"/>
      <c r="R2986" s="1"/>
      <c r="V2986" s="1"/>
      <c r="AB2986" s="1"/>
      <c r="AF2986" s="1"/>
      <c r="AJ2986" s="1"/>
      <c r="AN2986" s="1"/>
      <c r="AS2986" s="1"/>
      <c r="AX2986" s="1"/>
    </row>
    <row r="2987" spans="1:50" x14ac:dyDescent="0.3">
      <c r="A2987" s="19">
        <f t="shared" si="234"/>
        <v>50096</v>
      </c>
      <c r="B2987">
        <f t="shared" ca="1" si="230"/>
        <v>-10.955555555555556</v>
      </c>
      <c r="C2987" t="str">
        <f ca="1">IF(currency="USD",'Future et co'!D2987,IF(currency="EUR",'Future et co'!E2987,IF(currency="GBP",'Future et co'!F2987,FALSE)))</f>
        <v>RFR USD</v>
      </c>
      <c r="D2987" t="str">
        <f t="shared" ca="1" si="231"/>
        <v>RFR USD</v>
      </c>
      <c r="E2987" t="str">
        <f t="shared" ca="1" si="232"/>
        <v>RFR EUR</v>
      </c>
      <c r="F2987" t="str">
        <f t="shared" ca="1" si="233"/>
        <v>RFR GBP</v>
      </c>
      <c r="J2987" s="1"/>
      <c r="N2987" s="1"/>
      <c r="R2987" s="1"/>
      <c r="V2987" s="1"/>
      <c r="AB2987" s="1"/>
      <c r="AF2987" s="1"/>
      <c r="AJ2987" s="1"/>
      <c r="AN2987" s="1"/>
      <c r="AS2987" s="1"/>
      <c r="AX2987" s="1"/>
    </row>
    <row r="2988" spans="1:50" x14ac:dyDescent="0.3">
      <c r="A2988" s="19">
        <f t="shared" si="234"/>
        <v>50097</v>
      </c>
      <c r="B2988">
        <f t="shared" ca="1" si="230"/>
        <v>-10.958333333333334</v>
      </c>
      <c r="C2988" t="str">
        <f ca="1">IF(currency="USD",'Future et co'!D2988,IF(currency="EUR",'Future et co'!E2988,IF(currency="GBP",'Future et co'!F2988,FALSE)))</f>
        <v>RFR USD</v>
      </c>
      <c r="D2988" t="str">
        <f t="shared" ca="1" si="231"/>
        <v>RFR USD</v>
      </c>
      <c r="E2988" t="str">
        <f t="shared" ca="1" si="232"/>
        <v>RFR EUR</v>
      </c>
      <c r="F2988" t="str">
        <f t="shared" ca="1" si="233"/>
        <v>RFR GBP</v>
      </c>
      <c r="J2988" s="1"/>
      <c r="N2988" s="1"/>
      <c r="R2988" s="1"/>
      <c r="V2988" s="1"/>
      <c r="AB2988" s="1"/>
      <c r="AF2988" s="1"/>
      <c r="AJ2988" s="1"/>
      <c r="AN2988" s="1"/>
      <c r="AS2988" s="1"/>
      <c r="AX2988" s="1"/>
    </row>
    <row r="2989" spans="1:50" x14ac:dyDescent="0.3">
      <c r="A2989" s="19">
        <f t="shared" si="234"/>
        <v>50098</v>
      </c>
      <c r="B2989">
        <f t="shared" ca="1" si="230"/>
        <v>-10.96111111111111</v>
      </c>
      <c r="C2989" t="str">
        <f ca="1">IF(currency="USD",'Future et co'!D2989,IF(currency="EUR",'Future et co'!E2989,IF(currency="GBP",'Future et co'!F2989,FALSE)))</f>
        <v>RFR USD</v>
      </c>
      <c r="D2989" t="str">
        <f t="shared" ca="1" si="231"/>
        <v>RFR USD</v>
      </c>
      <c r="E2989" t="str">
        <f t="shared" ca="1" si="232"/>
        <v>RFR EUR</v>
      </c>
      <c r="F2989" t="str">
        <f t="shared" ca="1" si="233"/>
        <v>RFR GBP</v>
      </c>
      <c r="J2989" s="1"/>
      <c r="N2989" s="1"/>
      <c r="R2989" s="1"/>
      <c r="V2989" s="1"/>
      <c r="AB2989" s="1"/>
      <c r="AF2989" s="1"/>
      <c r="AJ2989" s="1"/>
      <c r="AN2989" s="1"/>
      <c r="AS2989" s="1"/>
      <c r="AX2989" s="1"/>
    </row>
    <row r="2990" spans="1:50" x14ac:dyDescent="0.3">
      <c r="A2990" s="19">
        <f t="shared" si="234"/>
        <v>50101</v>
      </c>
      <c r="B2990">
        <f t="shared" ca="1" si="230"/>
        <v>-10.969444444444445</v>
      </c>
      <c r="C2990" t="str">
        <f ca="1">IF(currency="USD",'Future et co'!D2990,IF(currency="EUR",'Future et co'!E2990,IF(currency="GBP",'Future et co'!F2990,FALSE)))</f>
        <v>RFR USD</v>
      </c>
      <c r="D2990" t="str">
        <f t="shared" ca="1" si="231"/>
        <v>RFR USD</v>
      </c>
      <c r="E2990" t="str">
        <f t="shared" ca="1" si="232"/>
        <v>RFR EUR</v>
      </c>
      <c r="F2990" t="str">
        <f t="shared" ca="1" si="233"/>
        <v>RFR GBP</v>
      </c>
      <c r="J2990" s="1"/>
      <c r="N2990" s="1"/>
      <c r="R2990" s="1"/>
      <c r="V2990" s="1"/>
      <c r="AB2990" s="1"/>
      <c r="AF2990" s="1"/>
      <c r="AJ2990" s="1"/>
      <c r="AN2990" s="1"/>
      <c r="AS2990" s="1"/>
      <c r="AX2990" s="1"/>
    </row>
    <row r="2991" spans="1:50" x14ac:dyDescent="0.3">
      <c r="A2991" s="19">
        <f t="shared" si="234"/>
        <v>50102</v>
      </c>
      <c r="B2991">
        <f t="shared" ca="1" si="230"/>
        <v>-10.972222222222221</v>
      </c>
      <c r="C2991" t="str">
        <f ca="1">IF(currency="USD",'Future et co'!D2991,IF(currency="EUR",'Future et co'!E2991,IF(currency="GBP",'Future et co'!F2991,FALSE)))</f>
        <v>RFR USD</v>
      </c>
      <c r="D2991" t="str">
        <f t="shared" ca="1" si="231"/>
        <v>RFR USD</v>
      </c>
      <c r="E2991" t="str">
        <f t="shared" ca="1" si="232"/>
        <v>RFR EUR</v>
      </c>
      <c r="F2991" t="str">
        <f t="shared" ca="1" si="233"/>
        <v>RFR GBP</v>
      </c>
      <c r="J2991" s="1"/>
      <c r="N2991" s="1"/>
      <c r="R2991" s="1"/>
      <c r="V2991" s="1"/>
      <c r="AB2991" s="1"/>
      <c r="AF2991" s="1"/>
      <c r="AJ2991" s="1"/>
      <c r="AN2991" s="1"/>
      <c r="AS2991" s="1"/>
      <c r="AX2991" s="1"/>
    </row>
    <row r="2992" spans="1:50" x14ac:dyDescent="0.3">
      <c r="A2992" s="19">
        <f t="shared" si="234"/>
        <v>50103</v>
      </c>
      <c r="B2992">
        <f t="shared" ca="1" si="230"/>
        <v>-10.975</v>
      </c>
      <c r="C2992" t="str">
        <f ca="1">IF(currency="USD",'Future et co'!D2992,IF(currency="EUR",'Future et co'!E2992,IF(currency="GBP",'Future et co'!F2992,FALSE)))</f>
        <v>RFR USD</v>
      </c>
      <c r="D2992" t="str">
        <f t="shared" ca="1" si="231"/>
        <v>RFR USD</v>
      </c>
      <c r="E2992" t="str">
        <f t="shared" ca="1" si="232"/>
        <v>RFR EUR</v>
      </c>
      <c r="F2992" t="str">
        <f t="shared" ca="1" si="233"/>
        <v>RFR GBP</v>
      </c>
      <c r="J2992" s="1"/>
      <c r="N2992" s="1"/>
      <c r="R2992" s="1"/>
      <c r="V2992" s="1"/>
      <c r="AB2992" s="1"/>
      <c r="AF2992" s="1"/>
      <c r="AJ2992" s="1"/>
      <c r="AN2992" s="1"/>
      <c r="AS2992" s="1"/>
      <c r="AX2992" s="1"/>
    </row>
    <row r="2993" spans="1:50" x14ac:dyDescent="0.3">
      <c r="A2993" s="19">
        <f t="shared" si="234"/>
        <v>50104</v>
      </c>
      <c r="B2993">
        <f t="shared" ca="1" si="230"/>
        <v>-10.977777777777778</v>
      </c>
      <c r="C2993" t="str">
        <f ca="1">IF(currency="USD",'Future et co'!D2993,IF(currency="EUR",'Future et co'!E2993,IF(currency="GBP",'Future et co'!F2993,FALSE)))</f>
        <v>RFR USD</v>
      </c>
      <c r="D2993" t="str">
        <f t="shared" ca="1" si="231"/>
        <v>RFR USD</v>
      </c>
      <c r="E2993" t="str">
        <f t="shared" ca="1" si="232"/>
        <v>RFR EUR</v>
      </c>
      <c r="F2993" t="str">
        <f t="shared" ca="1" si="233"/>
        <v>RFR GBP</v>
      </c>
      <c r="J2993" s="1"/>
      <c r="N2993" s="1"/>
      <c r="R2993" s="1"/>
      <c r="V2993" s="1"/>
      <c r="AB2993" s="1"/>
      <c r="AF2993" s="1"/>
      <c r="AJ2993" s="1"/>
      <c r="AN2993" s="1"/>
      <c r="AS2993" s="1"/>
      <c r="AX2993" s="1"/>
    </row>
    <row r="2994" spans="1:50" x14ac:dyDescent="0.3">
      <c r="A2994" s="19">
        <f t="shared" si="234"/>
        <v>50105</v>
      </c>
      <c r="B2994">
        <f t="shared" ca="1" si="230"/>
        <v>-10.980555555555556</v>
      </c>
      <c r="C2994" t="str">
        <f ca="1">IF(currency="USD",'Future et co'!D2994,IF(currency="EUR",'Future et co'!E2994,IF(currency="GBP",'Future et co'!F2994,FALSE)))</f>
        <v>RFR USD</v>
      </c>
      <c r="D2994" t="str">
        <f t="shared" ca="1" si="231"/>
        <v>RFR USD</v>
      </c>
      <c r="E2994" t="str">
        <f t="shared" ca="1" si="232"/>
        <v>RFR EUR</v>
      </c>
      <c r="F2994" t="str">
        <f t="shared" ca="1" si="233"/>
        <v>RFR GBP</v>
      </c>
      <c r="J2994" s="1"/>
      <c r="N2994" s="1"/>
      <c r="R2994" s="1"/>
      <c r="V2994" s="1"/>
      <c r="AB2994" s="1"/>
      <c r="AF2994" s="1"/>
      <c r="AJ2994" s="1"/>
      <c r="AN2994" s="1"/>
      <c r="AS2994" s="1"/>
      <c r="AX2994" s="1"/>
    </row>
    <row r="2995" spans="1:50" x14ac:dyDescent="0.3">
      <c r="A2995" s="19">
        <f t="shared" si="234"/>
        <v>50108</v>
      </c>
      <c r="B2995">
        <f t="shared" ca="1" si="230"/>
        <v>-10.988888888888889</v>
      </c>
      <c r="C2995" t="str">
        <f ca="1">IF(currency="USD",'Future et co'!D2995,IF(currency="EUR",'Future et co'!E2995,IF(currency="GBP",'Future et co'!F2995,FALSE)))</f>
        <v>RFR USD</v>
      </c>
      <c r="D2995" t="str">
        <f t="shared" ca="1" si="231"/>
        <v>RFR USD</v>
      </c>
      <c r="E2995" t="str">
        <f t="shared" ca="1" si="232"/>
        <v>RFR EUR</v>
      </c>
      <c r="F2995" t="str">
        <f t="shared" ca="1" si="233"/>
        <v>RFR GBP</v>
      </c>
      <c r="J2995" s="1"/>
      <c r="N2995" s="1"/>
      <c r="R2995" s="1"/>
      <c r="V2995" s="1"/>
      <c r="AB2995" s="1"/>
      <c r="AF2995" s="1"/>
      <c r="AJ2995" s="1"/>
      <c r="AN2995" s="1"/>
      <c r="AS2995" s="1"/>
      <c r="AX2995" s="1"/>
    </row>
    <row r="2996" spans="1:50" x14ac:dyDescent="0.3">
      <c r="A2996" s="19">
        <f t="shared" si="234"/>
        <v>50109</v>
      </c>
      <c r="B2996">
        <f t="shared" ca="1" si="230"/>
        <v>-10.991666666666667</v>
      </c>
      <c r="C2996" t="str">
        <f ca="1">IF(currency="USD",'Future et co'!D2996,IF(currency="EUR",'Future et co'!E2996,IF(currency="GBP",'Future et co'!F2996,FALSE)))</f>
        <v>RFR USD</v>
      </c>
      <c r="D2996" t="str">
        <f t="shared" ca="1" si="231"/>
        <v>RFR USD</v>
      </c>
      <c r="E2996" t="str">
        <f t="shared" ca="1" si="232"/>
        <v>RFR EUR</v>
      </c>
      <c r="F2996" t="str">
        <f t="shared" ca="1" si="233"/>
        <v>RFR GBP</v>
      </c>
      <c r="J2996" s="1"/>
      <c r="N2996" s="1"/>
      <c r="R2996" s="1"/>
      <c r="V2996" s="1"/>
      <c r="AB2996" s="1"/>
      <c r="AF2996" s="1"/>
      <c r="AJ2996" s="1"/>
      <c r="AN2996" s="1"/>
      <c r="AS2996" s="1"/>
      <c r="AX2996" s="1"/>
    </row>
    <row r="2997" spans="1:50" x14ac:dyDescent="0.3">
      <c r="A2997" s="19">
        <f t="shared" si="234"/>
        <v>50110</v>
      </c>
      <c r="B2997">
        <f t="shared" ca="1" si="230"/>
        <v>-10.994444444444444</v>
      </c>
      <c r="C2997" t="str">
        <f ca="1">IF(currency="USD",'Future et co'!D2997,IF(currency="EUR",'Future et co'!E2997,IF(currency="GBP",'Future et co'!F2997,FALSE)))</f>
        <v>RFR USD</v>
      </c>
      <c r="D2997" t="str">
        <f t="shared" ca="1" si="231"/>
        <v>RFR USD</v>
      </c>
      <c r="E2997" t="str">
        <f t="shared" ca="1" si="232"/>
        <v>RFR EUR</v>
      </c>
      <c r="F2997" t="str">
        <f t="shared" ca="1" si="233"/>
        <v>RFR GBP</v>
      </c>
      <c r="J2997" s="1"/>
      <c r="N2997" s="1"/>
      <c r="R2997" s="1"/>
      <c r="V2997" s="1"/>
      <c r="AB2997" s="1"/>
      <c r="AF2997" s="1"/>
      <c r="AJ2997" s="1"/>
      <c r="AN2997" s="1"/>
      <c r="AS2997" s="1"/>
      <c r="AX2997" s="1"/>
    </row>
    <row r="2998" spans="1:50" x14ac:dyDescent="0.3">
      <c r="A2998" s="19">
        <f t="shared" si="234"/>
        <v>50111</v>
      </c>
      <c r="B2998">
        <f t="shared" ca="1" si="230"/>
        <v>-10.997222222222222</v>
      </c>
      <c r="C2998" t="str">
        <f ca="1">IF(currency="USD",'Future et co'!D2998,IF(currency="EUR",'Future et co'!E2998,IF(currency="GBP",'Future et co'!F2998,FALSE)))</f>
        <v>RFR USD</v>
      </c>
      <c r="D2998" t="str">
        <f t="shared" ca="1" si="231"/>
        <v>RFR USD</v>
      </c>
      <c r="E2998" t="str">
        <f t="shared" ca="1" si="232"/>
        <v>RFR EUR</v>
      </c>
      <c r="F2998" t="str">
        <f t="shared" ca="1" si="233"/>
        <v>RFR GBP</v>
      </c>
      <c r="J2998" s="1"/>
      <c r="N2998" s="1"/>
      <c r="R2998" s="1"/>
      <c r="V2998" s="1"/>
      <c r="AB2998" s="1"/>
      <c r="AF2998" s="1"/>
      <c r="AJ2998" s="1"/>
      <c r="AN2998" s="1"/>
      <c r="AS2998" s="1"/>
      <c r="AX2998" s="1"/>
    </row>
    <row r="2999" spans="1:50" x14ac:dyDescent="0.3">
      <c r="A2999" s="19">
        <f t="shared" si="234"/>
        <v>50112</v>
      </c>
      <c r="B2999">
        <f t="shared" ca="1" si="230"/>
        <v>-11</v>
      </c>
      <c r="C2999" t="str">
        <f ca="1">IF(currency="USD",'Future et co'!D2999,IF(currency="EUR",'Future et co'!E2999,IF(currency="GBP",'Future et co'!F2999,FALSE)))</f>
        <v>RFR USD</v>
      </c>
      <c r="D2999" t="str">
        <f t="shared" ca="1" si="231"/>
        <v>RFR USD</v>
      </c>
      <c r="E2999" t="str">
        <f t="shared" ca="1" si="232"/>
        <v>RFR EUR</v>
      </c>
      <c r="F2999" t="str">
        <f t="shared" ca="1" si="233"/>
        <v>RFR GBP</v>
      </c>
      <c r="J2999" s="1"/>
      <c r="N2999" s="1"/>
      <c r="R2999" s="1"/>
      <c r="V2999" s="1"/>
      <c r="AB2999" s="1"/>
      <c r="AF2999" s="1"/>
      <c r="AJ2999" s="1"/>
      <c r="AN2999" s="1"/>
      <c r="AS2999" s="1"/>
      <c r="AX2999" s="1"/>
    </row>
    <row r="3000" spans="1:50" x14ac:dyDescent="0.3">
      <c r="A3000" s="19">
        <f t="shared" si="234"/>
        <v>50115</v>
      </c>
      <c r="B3000">
        <f t="shared" ca="1" si="230"/>
        <v>-11.008333333333333</v>
      </c>
      <c r="C3000" t="str">
        <f ca="1">IF(currency="USD",'Future et co'!D3000,IF(currency="EUR",'Future et co'!E3000,IF(currency="GBP",'Future et co'!F3000,FALSE)))</f>
        <v>RFR USD</v>
      </c>
      <c r="D3000" t="str">
        <f t="shared" ca="1" si="231"/>
        <v>RFR USD</v>
      </c>
      <c r="E3000" t="str">
        <f t="shared" ca="1" si="232"/>
        <v>RFR EUR</v>
      </c>
      <c r="F3000" t="str">
        <f t="shared" ca="1" si="233"/>
        <v>RFR GBP</v>
      </c>
      <c r="J3000" s="1"/>
      <c r="N3000" s="1"/>
      <c r="R3000" s="1"/>
      <c r="V3000" s="1"/>
      <c r="AB3000" s="1"/>
      <c r="AF3000" s="1"/>
      <c r="AJ3000" s="1"/>
      <c r="AN3000" s="1"/>
      <c r="AS3000" s="1"/>
      <c r="AX3000" s="1"/>
    </row>
    <row r="3001" spans="1:50" x14ac:dyDescent="0.3">
      <c r="A3001" s="19">
        <f t="shared" si="234"/>
        <v>50116</v>
      </c>
      <c r="B3001">
        <f t="shared" ca="1" si="230"/>
        <v>-11.011111111111111</v>
      </c>
      <c r="C3001" t="str">
        <f ca="1">IF(currency="USD",'Future et co'!D3001,IF(currency="EUR",'Future et co'!E3001,IF(currency="GBP",'Future et co'!F3001,FALSE)))</f>
        <v>RFR USD</v>
      </c>
      <c r="D3001" t="str">
        <f t="shared" ca="1" si="231"/>
        <v>RFR USD</v>
      </c>
      <c r="E3001" t="str">
        <f t="shared" ca="1" si="232"/>
        <v>RFR EUR</v>
      </c>
      <c r="F3001" t="str">
        <f t="shared" ca="1" si="233"/>
        <v>RFR GBP</v>
      </c>
      <c r="J3001" s="1"/>
      <c r="N3001" s="1"/>
      <c r="R3001" s="1"/>
      <c r="V3001" s="1"/>
      <c r="AB3001" s="1"/>
      <c r="AF3001" s="1"/>
      <c r="AJ3001" s="1"/>
      <c r="AN3001" s="1"/>
      <c r="AS3001" s="1"/>
      <c r="AX3001" s="1"/>
    </row>
    <row r="3002" spans="1:50" x14ac:dyDescent="0.3">
      <c r="A3002" s="19">
        <f t="shared" si="234"/>
        <v>50117</v>
      </c>
      <c r="B3002">
        <f t="shared" ca="1" si="230"/>
        <v>-11.013888888888889</v>
      </c>
      <c r="C3002" t="str">
        <f ca="1">IF(currency="USD",'Future et co'!D3002,IF(currency="EUR",'Future et co'!E3002,IF(currency="GBP",'Future et co'!F3002,FALSE)))</f>
        <v>RFR USD</v>
      </c>
      <c r="D3002" t="str">
        <f t="shared" ca="1" si="231"/>
        <v>RFR USD</v>
      </c>
      <c r="E3002" t="str">
        <f t="shared" ca="1" si="232"/>
        <v>RFR EUR</v>
      </c>
      <c r="F3002" t="str">
        <f t="shared" ca="1" si="233"/>
        <v>RFR GBP</v>
      </c>
      <c r="J3002" s="1"/>
      <c r="N3002" s="1"/>
      <c r="R3002" s="1"/>
      <c r="V3002" s="1"/>
      <c r="AB3002" s="1"/>
      <c r="AF3002" s="1"/>
      <c r="AJ3002" s="1"/>
      <c r="AN3002" s="1"/>
      <c r="AS3002" s="1"/>
      <c r="AX3002" s="1"/>
    </row>
    <row r="3003" spans="1:50" x14ac:dyDescent="0.3">
      <c r="A3003" s="19">
        <f t="shared" si="234"/>
        <v>50118</v>
      </c>
      <c r="B3003">
        <f t="shared" ca="1" si="230"/>
        <v>-11.016666666666667</v>
      </c>
      <c r="C3003" t="str">
        <f ca="1">IF(currency="USD",'Future et co'!D3003,IF(currency="EUR",'Future et co'!E3003,IF(currency="GBP",'Future et co'!F3003,FALSE)))</f>
        <v>RFR USD</v>
      </c>
      <c r="D3003" t="str">
        <f t="shared" ca="1" si="231"/>
        <v>RFR USD</v>
      </c>
      <c r="E3003" t="str">
        <f t="shared" ca="1" si="232"/>
        <v>RFR EUR</v>
      </c>
      <c r="F3003" t="str">
        <f t="shared" ca="1" si="233"/>
        <v>RFR GBP</v>
      </c>
      <c r="J3003" s="1"/>
      <c r="N3003" s="1"/>
      <c r="R3003" s="1"/>
      <c r="V3003" s="1"/>
      <c r="AB3003" s="1"/>
      <c r="AF3003" s="1"/>
      <c r="AJ3003" s="1"/>
      <c r="AN3003" s="1"/>
      <c r="AS3003" s="1"/>
      <c r="AX3003" s="1"/>
    </row>
    <row r="3004" spans="1:50" x14ac:dyDescent="0.3">
      <c r="A3004" s="19">
        <f t="shared" si="234"/>
        <v>50119</v>
      </c>
      <c r="B3004">
        <f t="shared" ca="1" si="230"/>
        <v>-11.019444444444444</v>
      </c>
      <c r="C3004" t="str">
        <f ca="1">IF(currency="USD",'Future et co'!D3004,IF(currency="EUR",'Future et co'!E3004,IF(currency="GBP",'Future et co'!F3004,FALSE)))</f>
        <v>RFR USD</v>
      </c>
      <c r="D3004" t="str">
        <f t="shared" ca="1" si="231"/>
        <v>RFR USD</v>
      </c>
      <c r="E3004" t="str">
        <f t="shared" ca="1" si="232"/>
        <v>RFR EUR</v>
      </c>
      <c r="F3004" t="str">
        <f t="shared" ca="1" si="233"/>
        <v>RFR GBP</v>
      </c>
      <c r="J3004" s="1"/>
      <c r="N3004" s="1"/>
      <c r="R3004" s="1"/>
      <c r="V3004" s="1"/>
      <c r="AB3004" s="1"/>
      <c r="AF3004" s="1"/>
      <c r="AJ3004" s="1"/>
      <c r="AN3004" s="1"/>
      <c r="AS3004" s="1"/>
      <c r="AX3004" s="1"/>
    </row>
    <row r="3005" spans="1:50" x14ac:dyDescent="0.3">
      <c r="A3005" s="19">
        <f t="shared" si="234"/>
        <v>50122</v>
      </c>
      <c r="B3005">
        <f t="shared" ca="1" si="230"/>
        <v>-11.027777777777779</v>
      </c>
      <c r="C3005" t="str">
        <f ca="1">IF(currency="USD",'Future et co'!D3005,IF(currency="EUR",'Future et co'!E3005,IF(currency="GBP",'Future et co'!F3005,FALSE)))</f>
        <v>RFR USD</v>
      </c>
      <c r="D3005" t="str">
        <f t="shared" ca="1" si="231"/>
        <v>RFR USD</v>
      </c>
      <c r="E3005" t="str">
        <f t="shared" ca="1" si="232"/>
        <v>RFR EUR</v>
      </c>
      <c r="F3005" t="str">
        <f t="shared" ca="1" si="233"/>
        <v>RFR GBP</v>
      </c>
      <c r="J3005" s="1"/>
      <c r="N3005" s="1"/>
      <c r="R3005" s="1"/>
      <c r="V3005" s="1"/>
      <c r="AB3005" s="1"/>
      <c r="AF3005" s="1"/>
      <c r="AJ3005" s="1"/>
      <c r="AN3005" s="1"/>
      <c r="AS3005" s="1"/>
      <c r="AX3005" s="1"/>
    </row>
    <row r="3006" spans="1:50" x14ac:dyDescent="0.3">
      <c r="A3006" s="19">
        <f t="shared" si="234"/>
        <v>50123</v>
      </c>
      <c r="B3006">
        <f t="shared" ca="1" si="230"/>
        <v>-11.030555555555555</v>
      </c>
      <c r="C3006" t="str">
        <f ca="1">IF(currency="USD",'Future et co'!D3006,IF(currency="EUR",'Future et co'!E3006,IF(currency="GBP",'Future et co'!F3006,FALSE)))</f>
        <v>RFR USD</v>
      </c>
      <c r="D3006" t="str">
        <f t="shared" ca="1" si="231"/>
        <v>RFR USD</v>
      </c>
      <c r="E3006" t="str">
        <f t="shared" ca="1" si="232"/>
        <v>RFR EUR</v>
      </c>
      <c r="F3006" t="str">
        <f t="shared" ca="1" si="233"/>
        <v>RFR GBP</v>
      </c>
      <c r="J3006" s="1"/>
      <c r="N3006" s="1"/>
      <c r="R3006" s="1"/>
      <c r="V3006" s="1"/>
      <c r="AB3006" s="1"/>
      <c r="AF3006" s="1"/>
      <c r="AJ3006" s="1"/>
      <c r="AN3006" s="1"/>
      <c r="AS3006" s="1"/>
      <c r="AX3006" s="1"/>
    </row>
    <row r="3007" spans="1:50" x14ac:dyDescent="0.3">
      <c r="A3007" s="19">
        <f t="shared" si="234"/>
        <v>50124</v>
      </c>
      <c r="B3007">
        <f t="shared" ca="1" si="230"/>
        <v>-11.033333333333333</v>
      </c>
      <c r="C3007" t="str">
        <f ca="1">IF(currency="USD",'Future et co'!D3007,IF(currency="EUR",'Future et co'!E3007,IF(currency="GBP",'Future et co'!F3007,FALSE)))</f>
        <v>RFR USD</v>
      </c>
      <c r="D3007" t="str">
        <f t="shared" ca="1" si="231"/>
        <v>RFR USD</v>
      </c>
      <c r="E3007" t="str">
        <f t="shared" ca="1" si="232"/>
        <v>RFR EUR</v>
      </c>
      <c r="F3007" t="str">
        <f t="shared" ca="1" si="233"/>
        <v>RFR GBP</v>
      </c>
      <c r="J3007" s="1"/>
      <c r="N3007" s="1"/>
      <c r="R3007" s="1"/>
      <c r="V3007" s="1"/>
      <c r="AB3007" s="1"/>
      <c r="AF3007" s="1"/>
      <c r="AJ3007" s="1"/>
      <c r="AN3007" s="1"/>
      <c r="AS3007" s="1"/>
      <c r="AX3007" s="1"/>
    </row>
    <row r="3008" spans="1:50" x14ac:dyDescent="0.3">
      <c r="A3008" s="19">
        <f t="shared" si="234"/>
        <v>50125</v>
      </c>
      <c r="B3008">
        <f t="shared" ca="1" si="230"/>
        <v>-11.036111111111111</v>
      </c>
      <c r="C3008" t="str">
        <f ca="1">IF(currency="USD",'Future et co'!D3008,IF(currency="EUR",'Future et co'!E3008,IF(currency="GBP",'Future et co'!F3008,FALSE)))</f>
        <v>RFR USD</v>
      </c>
      <c r="D3008" t="str">
        <f t="shared" ca="1" si="231"/>
        <v>RFR USD</v>
      </c>
      <c r="E3008" t="str">
        <f t="shared" ca="1" si="232"/>
        <v>RFR EUR</v>
      </c>
      <c r="F3008" t="str">
        <f t="shared" ca="1" si="233"/>
        <v>RFR GBP</v>
      </c>
      <c r="J3008" s="1"/>
      <c r="N3008" s="1"/>
      <c r="R3008" s="1"/>
      <c r="V3008" s="1"/>
      <c r="AB3008" s="1"/>
      <c r="AF3008" s="1"/>
      <c r="AJ3008" s="1"/>
      <c r="AN3008" s="1"/>
      <c r="AS3008" s="1"/>
      <c r="AX3008" s="1"/>
    </row>
    <row r="3009" spans="1:50" x14ac:dyDescent="0.3">
      <c r="A3009" s="19">
        <f t="shared" si="234"/>
        <v>50126</v>
      </c>
      <c r="B3009">
        <f t="shared" ca="1" si="230"/>
        <v>-11.03888888888889</v>
      </c>
      <c r="C3009" t="str">
        <f ca="1">IF(currency="USD",'Future et co'!D3009,IF(currency="EUR",'Future et co'!E3009,IF(currency="GBP",'Future et co'!F3009,FALSE)))</f>
        <v>RFR USD</v>
      </c>
      <c r="D3009" t="str">
        <f t="shared" ca="1" si="231"/>
        <v>RFR USD</v>
      </c>
      <c r="E3009" t="str">
        <f t="shared" ca="1" si="232"/>
        <v>RFR EUR</v>
      </c>
      <c r="F3009" t="str">
        <f t="shared" ca="1" si="233"/>
        <v>RFR GBP</v>
      </c>
      <c r="J3009" s="1"/>
      <c r="N3009" s="1"/>
      <c r="R3009" s="1"/>
      <c r="V3009" s="1"/>
      <c r="AB3009" s="1"/>
      <c r="AF3009" s="1"/>
      <c r="AJ3009" s="1"/>
      <c r="AN3009" s="1"/>
      <c r="AS3009" s="1"/>
      <c r="AX3009" s="1"/>
    </row>
    <row r="3010" spans="1:50" x14ac:dyDescent="0.3">
      <c r="A3010" s="19">
        <f t="shared" si="234"/>
        <v>50129</v>
      </c>
      <c r="B3010">
        <f t="shared" ca="1" si="230"/>
        <v>-11.047222222222222</v>
      </c>
      <c r="C3010" t="str">
        <f ca="1">IF(currency="USD",'Future et co'!D3010,IF(currency="EUR",'Future et co'!E3010,IF(currency="GBP",'Future et co'!F3010,FALSE)))</f>
        <v>RFR USD</v>
      </c>
      <c r="D3010" t="str">
        <f t="shared" ca="1" si="231"/>
        <v>RFR USD</v>
      </c>
      <c r="E3010" t="str">
        <f t="shared" ca="1" si="232"/>
        <v>RFR EUR</v>
      </c>
      <c r="F3010" t="str">
        <f t="shared" ca="1" si="233"/>
        <v>RFR GBP</v>
      </c>
      <c r="J3010" s="1"/>
      <c r="N3010" s="1"/>
      <c r="R3010" s="1"/>
      <c r="V3010" s="1"/>
      <c r="AB3010" s="1"/>
      <c r="AF3010" s="1"/>
      <c r="AJ3010" s="1"/>
      <c r="AN3010" s="1"/>
      <c r="AS3010" s="1"/>
      <c r="AX3010" s="1"/>
    </row>
    <row r="3011" spans="1:50" x14ac:dyDescent="0.3">
      <c r="A3011" s="19">
        <f t="shared" si="234"/>
        <v>50130</v>
      </c>
      <c r="B3011">
        <f t="shared" ca="1" si="230"/>
        <v>-11.05</v>
      </c>
      <c r="C3011" t="str">
        <f ca="1">IF(currency="USD",'Future et co'!D3011,IF(currency="EUR",'Future et co'!E3011,IF(currency="GBP",'Future et co'!F3011,FALSE)))</f>
        <v>RFR USD</v>
      </c>
      <c r="D3011" t="str">
        <f t="shared" ca="1" si="231"/>
        <v>RFR USD</v>
      </c>
      <c r="E3011" t="str">
        <f t="shared" ca="1" si="232"/>
        <v>RFR EUR</v>
      </c>
      <c r="F3011" t="str">
        <f t="shared" ca="1" si="233"/>
        <v>RFR GBP</v>
      </c>
      <c r="J3011" s="1"/>
      <c r="N3011" s="1"/>
      <c r="R3011" s="1"/>
      <c r="V3011" s="1"/>
      <c r="AB3011" s="1"/>
      <c r="AF3011" s="1"/>
      <c r="AJ3011" s="1"/>
      <c r="AN3011" s="1"/>
      <c r="AS3011" s="1"/>
      <c r="AX3011" s="1"/>
    </row>
    <row r="3012" spans="1:50" x14ac:dyDescent="0.3">
      <c r="A3012" s="19">
        <f t="shared" si="234"/>
        <v>50131</v>
      </c>
      <c r="B3012">
        <f t="shared" ca="1" si="230"/>
        <v>-11.052777777777777</v>
      </c>
      <c r="C3012" t="str">
        <f ca="1">IF(currency="USD",'Future et co'!D3012,IF(currency="EUR",'Future et co'!E3012,IF(currency="GBP",'Future et co'!F3012,FALSE)))</f>
        <v>RFR USD</v>
      </c>
      <c r="D3012" t="str">
        <f t="shared" ca="1" si="231"/>
        <v>RFR USD</v>
      </c>
      <c r="E3012" t="str">
        <f t="shared" ca="1" si="232"/>
        <v>RFR EUR</v>
      </c>
      <c r="F3012" t="str">
        <f t="shared" ca="1" si="233"/>
        <v>RFR GBP</v>
      </c>
      <c r="J3012" s="1"/>
      <c r="N3012" s="1"/>
      <c r="R3012" s="1"/>
      <c r="V3012" s="1"/>
      <c r="AB3012" s="1"/>
      <c r="AF3012" s="1"/>
      <c r="AJ3012" s="1"/>
      <c r="AN3012" s="1"/>
      <c r="AS3012" s="1"/>
      <c r="AX3012" s="1"/>
    </row>
    <row r="3013" spans="1:50" x14ac:dyDescent="0.3">
      <c r="A3013" s="19">
        <f t="shared" si="234"/>
        <v>50132</v>
      </c>
      <c r="B3013">
        <f t="shared" ca="1" si="230"/>
        <v>-11.055555555555555</v>
      </c>
      <c r="C3013" t="str">
        <f ca="1">IF(currency="USD",'Future et co'!D3013,IF(currency="EUR",'Future et co'!E3013,IF(currency="GBP",'Future et co'!F3013,FALSE)))</f>
        <v>RFR USD</v>
      </c>
      <c r="D3013" t="str">
        <f t="shared" ca="1" si="231"/>
        <v>RFR USD</v>
      </c>
      <c r="E3013" t="str">
        <f t="shared" ca="1" si="232"/>
        <v>RFR EUR</v>
      </c>
      <c r="F3013" t="str">
        <f t="shared" ca="1" si="233"/>
        <v>RFR GBP</v>
      </c>
      <c r="J3013" s="1"/>
      <c r="N3013" s="1"/>
      <c r="R3013" s="1"/>
      <c r="V3013" s="1"/>
      <c r="AB3013" s="1"/>
      <c r="AF3013" s="1"/>
      <c r="AJ3013" s="1"/>
      <c r="AN3013" s="1"/>
      <c r="AS3013" s="1"/>
      <c r="AX3013" s="1"/>
    </row>
    <row r="3014" spans="1:50" x14ac:dyDescent="0.3">
      <c r="A3014" s="19">
        <f t="shared" si="234"/>
        <v>50133</v>
      </c>
      <c r="B3014">
        <f t="shared" ca="1" si="230"/>
        <v>-11.058333333333334</v>
      </c>
      <c r="C3014" t="str">
        <f ca="1">IF(currency="USD",'Future et co'!D3014,IF(currency="EUR",'Future et co'!E3014,IF(currency="GBP",'Future et co'!F3014,FALSE)))</f>
        <v>RFR USD</v>
      </c>
      <c r="D3014" t="str">
        <f t="shared" ca="1" si="231"/>
        <v>RFR USD</v>
      </c>
      <c r="E3014" t="str">
        <f t="shared" ca="1" si="232"/>
        <v>RFR EUR</v>
      </c>
      <c r="F3014" t="str">
        <f t="shared" ca="1" si="233"/>
        <v>RFR GBP</v>
      </c>
      <c r="J3014" s="1"/>
      <c r="N3014" s="1"/>
      <c r="R3014" s="1"/>
      <c r="V3014" s="1"/>
      <c r="AB3014" s="1"/>
      <c r="AF3014" s="1"/>
      <c r="AJ3014" s="1"/>
      <c r="AN3014" s="1"/>
      <c r="AS3014" s="1"/>
      <c r="AX3014" s="1"/>
    </row>
    <row r="3015" spans="1:50" x14ac:dyDescent="0.3">
      <c r="A3015" s="19">
        <f t="shared" si="234"/>
        <v>50136</v>
      </c>
      <c r="B3015">
        <f t="shared" ca="1" si="230"/>
        <v>-11.066666666666666</v>
      </c>
      <c r="C3015" t="str">
        <f ca="1">IF(currency="USD",'Future et co'!D3015,IF(currency="EUR",'Future et co'!E3015,IF(currency="GBP",'Future et co'!F3015,FALSE)))</f>
        <v>RFR USD</v>
      </c>
      <c r="D3015" t="str">
        <f t="shared" ca="1" si="231"/>
        <v>RFR USD</v>
      </c>
      <c r="E3015" t="str">
        <f t="shared" ca="1" si="232"/>
        <v>RFR EUR</v>
      </c>
      <c r="F3015" t="str">
        <f t="shared" ca="1" si="233"/>
        <v>RFR GBP</v>
      </c>
      <c r="J3015" s="1"/>
      <c r="N3015" s="1"/>
      <c r="R3015" s="1"/>
      <c r="V3015" s="1"/>
      <c r="AB3015" s="1"/>
      <c r="AF3015" s="1"/>
      <c r="AJ3015" s="1"/>
      <c r="AN3015" s="1"/>
      <c r="AS3015" s="1"/>
      <c r="AX3015" s="1"/>
    </row>
    <row r="3016" spans="1:50" x14ac:dyDescent="0.3">
      <c r="A3016" s="19">
        <f t="shared" si="234"/>
        <v>50137</v>
      </c>
      <c r="B3016">
        <f t="shared" ca="1" si="230"/>
        <v>-11.069444444444445</v>
      </c>
      <c r="C3016" t="str">
        <f ca="1">IF(currency="USD",'Future et co'!D3016,IF(currency="EUR",'Future et co'!E3016,IF(currency="GBP",'Future et co'!F3016,FALSE)))</f>
        <v>RFR USD</v>
      </c>
      <c r="D3016" t="str">
        <f t="shared" ca="1" si="231"/>
        <v>RFR USD</v>
      </c>
      <c r="E3016" t="str">
        <f t="shared" ca="1" si="232"/>
        <v>RFR EUR</v>
      </c>
      <c r="F3016" t="str">
        <f t="shared" ca="1" si="233"/>
        <v>RFR GBP</v>
      </c>
      <c r="J3016" s="1"/>
      <c r="N3016" s="1"/>
      <c r="R3016" s="1"/>
      <c r="V3016" s="1"/>
      <c r="AB3016" s="1"/>
      <c r="AF3016" s="1"/>
      <c r="AJ3016" s="1"/>
      <c r="AN3016" s="1"/>
      <c r="AS3016" s="1"/>
      <c r="AX3016" s="1"/>
    </row>
    <row r="3017" spans="1:50" x14ac:dyDescent="0.3">
      <c r="A3017" s="19">
        <f t="shared" si="234"/>
        <v>50138</v>
      </c>
      <c r="B3017">
        <f t="shared" ca="1" si="230"/>
        <v>-11.072222222222223</v>
      </c>
      <c r="C3017" t="str">
        <f ca="1">IF(currency="USD",'Future et co'!D3017,IF(currency="EUR",'Future et co'!E3017,IF(currency="GBP",'Future et co'!F3017,FALSE)))</f>
        <v>RFR USD</v>
      </c>
      <c r="D3017" t="str">
        <f t="shared" ca="1" si="231"/>
        <v>RFR USD</v>
      </c>
      <c r="E3017" t="str">
        <f t="shared" ca="1" si="232"/>
        <v>RFR EUR</v>
      </c>
      <c r="F3017" t="str">
        <f t="shared" ca="1" si="233"/>
        <v>RFR GBP</v>
      </c>
      <c r="J3017" s="1"/>
      <c r="N3017" s="1"/>
      <c r="R3017" s="1"/>
      <c r="V3017" s="1"/>
      <c r="AB3017" s="1"/>
      <c r="AF3017" s="1"/>
      <c r="AJ3017" s="1"/>
      <c r="AN3017" s="1"/>
      <c r="AS3017" s="1"/>
      <c r="AX3017" s="1"/>
    </row>
    <row r="3018" spans="1:50" x14ac:dyDescent="0.3">
      <c r="A3018" s="19">
        <f t="shared" si="234"/>
        <v>50139</v>
      </c>
      <c r="B3018">
        <f t="shared" ca="1" si="230"/>
        <v>-11.074999999999999</v>
      </c>
      <c r="C3018" t="str">
        <f ca="1">IF(currency="USD",'Future et co'!D3018,IF(currency="EUR",'Future et co'!E3018,IF(currency="GBP",'Future et co'!F3018,FALSE)))</f>
        <v>RFR USD</v>
      </c>
      <c r="D3018" t="str">
        <f t="shared" ca="1" si="231"/>
        <v>RFR USD</v>
      </c>
      <c r="E3018" t="str">
        <f t="shared" ca="1" si="232"/>
        <v>RFR EUR</v>
      </c>
      <c r="F3018" t="str">
        <f t="shared" ca="1" si="233"/>
        <v>RFR GBP</v>
      </c>
      <c r="J3018" s="1"/>
      <c r="N3018" s="1"/>
      <c r="R3018" s="1"/>
      <c r="V3018" s="1"/>
      <c r="AB3018" s="1"/>
      <c r="AF3018" s="1"/>
      <c r="AJ3018" s="1"/>
      <c r="AN3018" s="1"/>
      <c r="AS3018" s="1"/>
      <c r="AX3018" s="1"/>
    </row>
    <row r="3019" spans="1:50" x14ac:dyDescent="0.3">
      <c r="A3019" s="19">
        <f t="shared" si="234"/>
        <v>50140</v>
      </c>
      <c r="B3019">
        <f t="shared" ref="B3019:B3082" ca="1" si="235">($B$7-A3019)/360</f>
        <v>-11.077777777777778</v>
      </c>
      <c r="C3019" t="str">
        <f ca="1">IF(currency="USD",'Future et co'!D3019,IF(currency="EUR",'Future et co'!E3019,IF(currency="GBP",'Future et co'!F3019,FALSE)))</f>
        <v>RFR USD</v>
      </c>
      <c r="D3019" t="str">
        <f t="shared" ref="D3019:D3082" ca="1" si="236">IFERROR(IF(B3019&lt;0.25,VLOOKUP(A3019,$J$11:$L$5325,3,FALSE),IF(AND(B3019&gt;=0.25,B3019&lt;0.5),VLOOKUP(A3019,$N$11:$P$5325,3,FALSE),IF(AND(B3019&gt;=0.5,B3019&lt;1),VLOOKUP(A3019,$R$11:$T$5325,3,FALSE),VLOOKUP(A3019,$V$11:$X$5010,3,FALSE)))),D3018)</f>
        <v>RFR USD</v>
      </c>
      <c r="E3019" t="str">
        <f t="shared" ref="E3019:E3082" ca="1" si="237">IFERROR(IF(B3019&lt;0.25,VLOOKUP(A3019,$AF$11:$AH$5325,3,FALSE),IF(AND(B3019&gt;=0.25,B3019&lt;0.5),VLOOKUP(A3019,$AJ$11:$AL$5325,3,FALSE),VLOOKUP(A3019,$AN$11:$AP$5325,3,FALSE))),E3018)</f>
        <v>RFR EUR</v>
      </c>
      <c r="F3019" t="str">
        <f t="shared" ref="F3019:F3082" ca="1" si="238">IFERROR(VLOOKUP(A3019,$AS$11:$AU$9999,3,FALSE),F3018)</f>
        <v>RFR GBP</v>
      </c>
      <c r="J3019" s="1"/>
      <c r="N3019" s="1"/>
      <c r="R3019" s="1"/>
      <c r="V3019" s="1"/>
      <c r="AB3019" s="1"/>
      <c r="AF3019" s="1"/>
      <c r="AJ3019" s="1"/>
      <c r="AN3019" s="1"/>
      <c r="AS3019" s="1"/>
      <c r="AX3019" s="1"/>
    </row>
    <row r="3020" spans="1:50" x14ac:dyDescent="0.3">
      <c r="A3020" s="19">
        <f t="shared" si="234"/>
        <v>50143</v>
      </c>
      <c r="B3020">
        <f t="shared" ca="1" si="235"/>
        <v>-11.08611111111111</v>
      </c>
      <c r="C3020" t="str">
        <f ca="1">IF(currency="USD",'Future et co'!D3020,IF(currency="EUR",'Future et co'!E3020,IF(currency="GBP",'Future et co'!F3020,FALSE)))</f>
        <v>RFR USD</v>
      </c>
      <c r="D3020" t="str">
        <f t="shared" ca="1" si="236"/>
        <v>RFR USD</v>
      </c>
      <c r="E3020" t="str">
        <f t="shared" ca="1" si="237"/>
        <v>RFR EUR</v>
      </c>
      <c r="F3020" t="str">
        <f t="shared" ca="1" si="238"/>
        <v>RFR GBP</v>
      </c>
      <c r="J3020" s="1"/>
      <c r="N3020" s="1"/>
      <c r="R3020" s="1"/>
      <c r="V3020" s="1"/>
      <c r="AB3020" s="1"/>
      <c r="AF3020" s="1"/>
      <c r="AJ3020" s="1"/>
      <c r="AN3020" s="1"/>
      <c r="AS3020" s="1"/>
      <c r="AX3020" s="1"/>
    </row>
    <row r="3021" spans="1:50" x14ac:dyDescent="0.3">
      <c r="A3021" s="19">
        <f t="shared" ref="A3021:A3084" si="239">WORKDAY(A3020,1)</f>
        <v>50144</v>
      </c>
      <c r="B3021">
        <f t="shared" ca="1" si="235"/>
        <v>-11.088888888888889</v>
      </c>
      <c r="C3021" t="str">
        <f ca="1">IF(currency="USD",'Future et co'!D3021,IF(currency="EUR",'Future et co'!E3021,IF(currency="GBP",'Future et co'!F3021,FALSE)))</f>
        <v>RFR USD</v>
      </c>
      <c r="D3021" t="str">
        <f t="shared" ca="1" si="236"/>
        <v>RFR USD</v>
      </c>
      <c r="E3021" t="str">
        <f t="shared" ca="1" si="237"/>
        <v>RFR EUR</v>
      </c>
      <c r="F3021" t="str">
        <f t="shared" ca="1" si="238"/>
        <v>RFR GBP</v>
      </c>
      <c r="J3021" s="1"/>
      <c r="N3021" s="1"/>
      <c r="R3021" s="1"/>
      <c r="V3021" s="1"/>
      <c r="AB3021" s="1"/>
      <c r="AF3021" s="1"/>
      <c r="AJ3021" s="1"/>
      <c r="AN3021" s="1"/>
      <c r="AS3021" s="1"/>
      <c r="AX3021" s="1"/>
    </row>
    <row r="3022" spans="1:50" x14ac:dyDescent="0.3">
      <c r="A3022" s="19">
        <f t="shared" si="239"/>
        <v>50145</v>
      </c>
      <c r="B3022">
        <f t="shared" ca="1" si="235"/>
        <v>-11.091666666666667</v>
      </c>
      <c r="C3022" t="str">
        <f ca="1">IF(currency="USD",'Future et co'!D3022,IF(currency="EUR",'Future et co'!E3022,IF(currency="GBP",'Future et co'!F3022,FALSE)))</f>
        <v>RFR USD</v>
      </c>
      <c r="D3022" t="str">
        <f t="shared" ca="1" si="236"/>
        <v>RFR USD</v>
      </c>
      <c r="E3022" t="str">
        <f t="shared" ca="1" si="237"/>
        <v>RFR EUR</v>
      </c>
      <c r="F3022" t="str">
        <f t="shared" ca="1" si="238"/>
        <v>RFR GBP</v>
      </c>
      <c r="J3022" s="1"/>
      <c r="N3022" s="1"/>
      <c r="R3022" s="1"/>
      <c r="V3022" s="1"/>
      <c r="AB3022" s="1"/>
      <c r="AF3022" s="1"/>
      <c r="AJ3022" s="1"/>
      <c r="AN3022" s="1"/>
      <c r="AS3022" s="1"/>
      <c r="AX3022" s="1"/>
    </row>
    <row r="3023" spans="1:50" x14ac:dyDescent="0.3">
      <c r="A3023" s="19">
        <f t="shared" si="239"/>
        <v>50146</v>
      </c>
      <c r="B3023">
        <f t="shared" ca="1" si="235"/>
        <v>-11.094444444444445</v>
      </c>
      <c r="C3023" t="str">
        <f ca="1">IF(currency="USD",'Future et co'!D3023,IF(currency="EUR",'Future et co'!E3023,IF(currency="GBP",'Future et co'!F3023,FALSE)))</f>
        <v>RFR USD</v>
      </c>
      <c r="D3023" t="str">
        <f t="shared" ca="1" si="236"/>
        <v>RFR USD</v>
      </c>
      <c r="E3023" t="str">
        <f t="shared" ca="1" si="237"/>
        <v>RFR EUR</v>
      </c>
      <c r="F3023" t="str">
        <f t="shared" ca="1" si="238"/>
        <v>RFR GBP</v>
      </c>
      <c r="J3023" s="1"/>
      <c r="N3023" s="1"/>
      <c r="R3023" s="1"/>
      <c r="V3023" s="1"/>
      <c r="AB3023" s="1"/>
      <c r="AF3023" s="1"/>
      <c r="AJ3023" s="1"/>
      <c r="AN3023" s="1"/>
      <c r="AS3023" s="1"/>
      <c r="AX3023" s="1"/>
    </row>
    <row r="3024" spans="1:50" x14ac:dyDescent="0.3">
      <c r="A3024" s="19">
        <f t="shared" si="239"/>
        <v>50147</v>
      </c>
      <c r="B3024">
        <f t="shared" ca="1" si="235"/>
        <v>-11.097222222222221</v>
      </c>
      <c r="C3024" t="str">
        <f ca="1">IF(currency="USD",'Future et co'!D3024,IF(currency="EUR",'Future et co'!E3024,IF(currency="GBP",'Future et co'!F3024,FALSE)))</f>
        <v>RFR USD</v>
      </c>
      <c r="D3024" t="str">
        <f t="shared" ca="1" si="236"/>
        <v>RFR USD</v>
      </c>
      <c r="E3024" t="str">
        <f t="shared" ca="1" si="237"/>
        <v>RFR EUR</v>
      </c>
      <c r="F3024" t="str">
        <f t="shared" ca="1" si="238"/>
        <v>RFR GBP</v>
      </c>
      <c r="J3024" s="1"/>
      <c r="N3024" s="1"/>
      <c r="R3024" s="1"/>
      <c r="V3024" s="1"/>
      <c r="AB3024" s="1"/>
      <c r="AF3024" s="1"/>
      <c r="AJ3024" s="1"/>
      <c r="AN3024" s="1"/>
      <c r="AS3024" s="1"/>
      <c r="AX3024" s="1"/>
    </row>
    <row r="3025" spans="1:50" x14ac:dyDescent="0.3">
      <c r="A3025" s="19">
        <f t="shared" si="239"/>
        <v>50150</v>
      </c>
      <c r="B3025">
        <f t="shared" ca="1" si="235"/>
        <v>-11.105555555555556</v>
      </c>
      <c r="C3025" t="str">
        <f ca="1">IF(currency="USD",'Future et co'!D3025,IF(currency="EUR",'Future et co'!E3025,IF(currency="GBP",'Future et co'!F3025,FALSE)))</f>
        <v>RFR USD</v>
      </c>
      <c r="D3025" t="str">
        <f t="shared" ca="1" si="236"/>
        <v>RFR USD</v>
      </c>
      <c r="E3025" t="str">
        <f t="shared" ca="1" si="237"/>
        <v>RFR EUR</v>
      </c>
      <c r="F3025" t="str">
        <f t="shared" ca="1" si="238"/>
        <v>RFR GBP</v>
      </c>
      <c r="J3025" s="1"/>
      <c r="N3025" s="1"/>
      <c r="R3025" s="1"/>
      <c r="V3025" s="1"/>
      <c r="AB3025" s="1"/>
      <c r="AF3025" s="1"/>
      <c r="AJ3025" s="1"/>
      <c r="AN3025" s="1"/>
      <c r="AS3025" s="1"/>
      <c r="AX3025" s="1"/>
    </row>
    <row r="3026" spans="1:50" x14ac:dyDescent="0.3">
      <c r="A3026" s="19">
        <f t="shared" si="239"/>
        <v>50151</v>
      </c>
      <c r="B3026">
        <f t="shared" ca="1" si="235"/>
        <v>-11.108333333333333</v>
      </c>
      <c r="C3026" t="str">
        <f ca="1">IF(currency="USD",'Future et co'!D3026,IF(currency="EUR",'Future et co'!E3026,IF(currency="GBP",'Future et co'!F3026,FALSE)))</f>
        <v>RFR USD</v>
      </c>
      <c r="D3026" t="str">
        <f t="shared" ca="1" si="236"/>
        <v>RFR USD</v>
      </c>
      <c r="E3026" t="str">
        <f t="shared" ca="1" si="237"/>
        <v>RFR EUR</v>
      </c>
      <c r="F3026" t="str">
        <f t="shared" ca="1" si="238"/>
        <v>RFR GBP</v>
      </c>
      <c r="J3026" s="1"/>
      <c r="N3026" s="1"/>
      <c r="R3026" s="1"/>
      <c r="V3026" s="1"/>
      <c r="AB3026" s="1"/>
      <c r="AF3026" s="1"/>
      <c r="AJ3026" s="1"/>
      <c r="AN3026" s="1"/>
      <c r="AS3026" s="1"/>
      <c r="AX3026" s="1"/>
    </row>
    <row r="3027" spans="1:50" x14ac:dyDescent="0.3">
      <c r="A3027" s="19">
        <f t="shared" si="239"/>
        <v>50152</v>
      </c>
      <c r="B3027">
        <f t="shared" ca="1" si="235"/>
        <v>-11.111111111111111</v>
      </c>
      <c r="C3027" t="str">
        <f ca="1">IF(currency="USD",'Future et co'!D3027,IF(currency="EUR",'Future et co'!E3027,IF(currency="GBP",'Future et co'!F3027,FALSE)))</f>
        <v>RFR USD</v>
      </c>
      <c r="D3027" t="str">
        <f t="shared" ca="1" si="236"/>
        <v>RFR USD</v>
      </c>
      <c r="E3027" t="str">
        <f t="shared" ca="1" si="237"/>
        <v>RFR EUR</v>
      </c>
      <c r="F3027" t="str">
        <f t="shared" ca="1" si="238"/>
        <v>RFR GBP</v>
      </c>
      <c r="J3027" s="1"/>
      <c r="N3027" s="1"/>
      <c r="R3027" s="1"/>
      <c r="V3027" s="1"/>
      <c r="AB3027" s="1"/>
      <c r="AF3027" s="1"/>
      <c r="AJ3027" s="1"/>
      <c r="AN3027" s="1"/>
      <c r="AS3027" s="1"/>
      <c r="AX3027" s="1"/>
    </row>
    <row r="3028" spans="1:50" x14ac:dyDescent="0.3">
      <c r="A3028" s="19">
        <f t="shared" si="239"/>
        <v>50153</v>
      </c>
      <c r="B3028">
        <f t="shared" ca="1" si="235"/>
        <v>-11.113888888888889</v>
      </c>
      <c r="C3028" t="str">
        <f ca="1">IF(currency="USD",'Future et co'!D3028,IF(currency="EUR",'Future et co'!E3028,IF(currency="GBP",'Future et co'!F3028,FALSE)))</f>
        <v>RFR USD</v>
      </c>
      <c r="D3028" t="str">
        <f t="shared" ca="1" si="236"/>
        <v>RFR USD</v>
      </c>
      <c r="E3028" t="str">
        <f t="shared" ca="1" si="237"/>
        <v>RFR EUR</v>
      </c>
      <c r="F3028" t="str">
        <f t="shared" ca="1" si="238"/>
        <v>RFR GBP</v>
      </c>
      <c r="J3028" s="1"/>
      <c r="N3028" s="1"/>
      <c r="R3028" s="1"/>
      <c r="V3028" s="1"/>
      <c r="AB3028" s="1"/>
      <c r="AF3028" s="1"/>
      <c r="AJ3028" s="1"/>
      <c r="AN3028" s="1"/>
      <c r="AS3028" s="1"/>
      <c r="AX3028" s="1"/>
    </row>
    <row r="3029" spans="1:50" x14ac:dyDescent="0.3">
      <c r="A3029" s="19">
        <f t="shared" si="239"/>
        <v>50154</v>
      </c>
      <c r="B3029">
        <f t="shared" ca="1" si="235"/>
        <v>-11.116666666666667</v>
      </c>
      <c r="C3029" t="str">
        <f ca="1">IF(currency="USD",'Future et co'!D3029,IF(currency="EUR",'Future et co'!E3029,IF(currency="GBP",'Future et co'!F3029,FALSE)))</f>
        <v>RFR USD</v>
      </c>
      <c r="D3029" t="str">
        <f t="shared" ca="1" si="236"/>
        <v>RFR USD</v>
      </c>
      <c r="E3029" t="str">
        <f t="shared" ca="1" si="237"/>
        <v>RFR EUR</v>
      </c>
      <c r="F3029" t="str">
        <f t="shared" ca="1" si="238"/>
        <v>RFR GBP</v>
      </c>
      <c r="J3029" s="1"/>
      <c r="N3029" s="1"/>
      <c r="R3029" s="1"/>
      <c r="V3029" s="1"/>
      <c r="AB3029" s="1"/>
      <c r="AF3029" s="1"/>
      <c r="AJ3029" s="1"/>
      <c r="AN3029" s="1"/>
      <c r="AS3029" s="1"/>
      <c r="AX3029" s="1"/>
    </row>
    <row r="3030" spans="1:50" x14ac:dyDescent="0.3">
      <c r="A3030" s="19">
        <f t="shared" si="239"/>
        <v>50157</v>
      </c>
      <c r="B3030">
        <f t="shared" ca="1" si="235"/>
        <v>-11.125</v>
      </c>
      <c r="C3030" t="str">
        <f ca="1">IF(currency="USD",'Future et co'!D3030,IF(currency="EUR",'Future et co'!E3030,IF(currency="GBP",'Future et co'!F3030,FALSE)))</f>
        <v>RFR USD</v>
      </c>
      <c r="D3030" t="str">
        <f t="shared" ca="1" si="236"/>
        <v>RFR USD</v>
      </c>
      <c r="E3030" t="str">
        <f t="shared" ca="1" si="237"/>
        <v>RFR EUR</v>
      </c>
      <c r="F3030" t="str">
        <f t="shared" ca="1" si="238"/>
        <v>RFR GBP</v>
      </c>
      <c r="J3030" s="1"/>
      <c r="N3030" s="1"/>
      <c r="R3030" s="1"/>
      <c r="V3030" s="1"/>
      <c r="AB3030" s="1"/>
      <c r="AF3030" s="1"/>
      <c r="AJ3030" s="1"/>
      <c r="AN3030" s="1"/>
      <c r="AS3030" s="1"/>
      <c r="AX3030" s="1"/>
    </row>
    <row r="3031" spans="1:50" x14ac:dyDescent="0.3">
      <c r="A3031" s="19">
        <f t="shared" si="239"/>
        <v>50158</v>
      </c>
      <c r="B3031">
        <f t="shared" ca="1" si="235"/>
        <v>-11.127777777777778</v>
      </c>
      <c r="C3031" t="str">
        <f ca="1">IF(currency="USD",'Future et co'!D3031,IF(currency="EUR",'Future et co'!E3031,IF(currency="GBP",'Future et co'!F3031,FALSE)))</f>
        <v>RFR USD</v>
      </c>
      <c r="D3031" t="str">
        <f t="shared" ca="1" si="236"/>
        <v>RFR USD</v>
      </c>
      <c r="E3031" t="str">
        <f t="shared" ca="1" si="237"/>
        <v>RFR EUR</v>
      </c>
      <c r="F3031" t="str">
        <f t="shared" ca="1" si="238"/>
        <v>RFR GBP</v>
      </c>
      <c r="J3031" s="1"/>
      <c r="N3031" s="1"/>
      <c r="R3031" s="1"/>
      <c r="V3031" s="1"/>
      <c r="AB3031" s="1"/>
      <c r="AF3031" s="1"/>
      <c r="AJ3031" s="1"/>
      <c r="AN3031" s="1"/>
      <c r="AS3031" s="1"/>
      <c r="AX3031" s="1"/>
    </row>
    <row r="3032" spans="1:50" x14ac:dyDescent="0.3">
      <c r="A3032" s="19">
        <f t="shared" si="239"/>
        <v>50159</v>
      </c>
      <c r="B3032">
        <f t="shared" ca="1" si="235"/>
        <v>-11.130555555555556</v>
      </c>
      <c r="C3032" t="str">
        <f ca="1">IF(currency="USD",'Future et co'!D3032,IF(currency="EUR",'Future et co'!E3032,IF(currency="GBP",'Future et co'!F3032,FALSE)))</f>
        <v>RFR USD</v>
      </c>
      <c r="D3032" t="str">
        <f t="shared" ca="1" si="236"/>
        <v>RFR USD</v>
      </c>
      <c r="E3032" t="str">
        <f t="shared" ca="1" si="237"/>
        <v>RFR EUR</v>
      </c>
      <c r="F3032" t="str">
        <f t="shared" ca="1" si="238"/>
        <v>RFR GBP</v>
      </c>
      <c r="J3032" s="1"/>
      <c r="N3032" s="1"/>
      <c r="R3032" s="1"/>
      <c r="V3032" s="1"/>
      <c r="AB3032" s="1"/>
      <c r="AF3032" s="1"/>
      <c r="AJ3032" s="1"/>
      <c r="AN3032" s="1"/>
      <c r="AS3032" s="1"/>
      <c r="AX3032" s="1"/>
    </row>
    <row r="3033" spans="1:50" x14ac:dyDescent="0.3">
      <c r="A3033" s="19">
        <f t="shared" si="239"/>
        <v>50160</v>
      </c>
      <c r="B3033">
        <f t="shared" ca="1" si="235"/>
        <v>-11.133333333333333</v>
      </c>
      <c r="C3033" t="str">
        <f ca="1">IF(currency="USD",'Future et co'!D3033,IF(currency="EUR",'Future et co'!E3033,IF(currency="GBP",'Future et co'!F3033,FALSE)))</f>
        <v>RFR USD</v>
      </c>
      <c r="D3033" t="str">
        <f t="shared" ca="1" si="236"/>
        <v>RFR USD</v>
      </c>
      <c r="E3033" t="str">
        <f t="shared" ca="1" si="237"/>
        <v>RFR EUR</v>
      </c>
      <c r="F3033" t="str">
        <f t="shared" ca="1" si="238"/>
        <v>RFR GBP</v>
      </c>
      <c r="J3033" s="1"/>
      <c r="N3033" s="1"/>
      <c r="R3033" s="1"/>
      <c r="V3033" s="1"/>
      <c r="AB3033" s="1"/>
      <c r="AF3033" s="1"/>
      <c r="AJ3033" s="1"/>
      <c r="AN3033" s="1"/>
      <c r="AS3033" s="1"/>
      <c r="AX3033" s="1"/>
    </row>
    <row r="3034" spans="1:50" x14ac:dyDescent="0.3">
      <c r="A3034" s="19">
        <f t="shared" si="239"/>
        <v>50161</v>
      </c>
      <c r="B3034">
        <f t="shared" ca="1" si="235"/>
        <v>-11.136111111111111</v>
      </c>
      <c r="C3034" t="str">
        <f ca="1">IF(currency="USD",'Future et co'!D3034,IF(currency="EUR",'Future et co'!E3034,IF(currency="GBP",'Future et co'!F3034,FALSE)))</f>
        <v>RFR USD</v>
      </c>
      <c r="D3034" t="str">
        <f t="shared" ca="1" si="236"/>
        <v>RFR USD</v>
      </c>
      <c r="E3034" t="str">
        <f t="shared" ca="1" si="237"/>
        <v>RFR EUR</v>
      </c>
      <c r="F3034" t="str">
        <f t="shared" ca="1" si="238"/>
        <v>RFR GBP</v>
      </c>
      <c r="J3034" s="1"/>
      <c r="N3034" s="1"/>
      <c r="R3034" s="1"/>
      <c r="V3034" s="1"/>
      <c r="AB3034" s="1"/>
      <c r="AF3034" s="1"/>
      <c r="AJ3034" s="1"/>
      <c r="AN3034" s="1"/>
      <c r="AS3034" s="1"/>
      <c r="AX3034" s="1"/>
    </row>
    <row r="3035" spans="1:50" x14ac:dyDescent="0.3">
      <c r="A3035" s="19">
        <f t="shared" si="239"/>
        <v>50164</v>
      </c>
      <c r="B3035">
        <f t="shared" ca="1" si="235"/>
        <v>-11.144444444444444</v>
      </c>
      <c r="C3035" t="str">
        <f ca="1">IF(currency="USD",'Future et co'!D3035,IF(currency="EUR",'Future et co'!E3035,IF(currency="GBP",'Future et co'!F3035,FALSE)))</f>
        <v>RFR USD</v>
      </c>
      <c r="D3035" t="str">
        <f t="shared" ca="1" si="236"/>
        <v>RFR USD</v>
      </c>
      <c r="E3035" t="str">
        <f t="shared" ca="1" si="237"/>
        <v>RFR EUR</v>
      </c>
      <c r="F3035" t="str">
        <f t="shared" ca="1" si="238"/>
        <v>RFR GBP</v>
      </c>
      <c r="J3035" s="1"/>
      <c r="N3035" s="1"/>
      <c r="R3035" s="1"/>
      <c r="V3035" s="1"/>
      <c r="AB3035" s="1"/>
      <c r="AF3035" s="1"/>
      <c r="AJ3035" s="1"/>
      <c r="AN3035" s="1"/>
      <c r="AS3035" s="1"/>
      <c r="AX3035" s="1"/>
    </row>
    <row r="3036" spans="1:50" x14ac:dyDescent="0.3">
      <c r="A3036" s="19">
        <f t="shared" si="239"/>
        <v>50165</v>
      </c>
      <c r="B3036">
        <f t="shared" ca="1" si="235"/>
        <v>-11.147222222222222</v>
      </c>
      <c r="C3036" t="str">
        <f ca="1">IF(currency="USD",'Future et co'!D3036,IF(currency="EUR",'Future et co'!E3036,IF(currency="GBP",'Future et co'!F3036,FALSE)))</f>
        <v>RFR USD</v>
      </c>
      <c r="D3036" t="str">
        <f t="shared" ca="1" si="236"/>
        <v>RFR USD</v>
      </c>
      <c r="E3036" t="str">
        <f t="shared" ca="1" si="237"/>
        <v>RFR EUR</v>
      </c>
      <c r="F3036" t="str">
        <f t="shared" ca="1" si="238"/>
        <v>RFR GBP</v>
      </c>
      <c r="J3036" s="1"/>
      <c r="N3036" s="1"/>
      <c r="R3036" s="1"/>
      <c r="V3036" s="1"/>
      <c r="AB3036" s="1"/>
      <c r="AF3036" s="1"/>
      <c r="AJ3036" s="1"/>
      <c r="AN3036" s="1"/>
      <c r="AS3036" s="1"/>
      <c r="AX3036" s="1"/>
    </row>
    <row r="3037" spans="1:50" x14ac:dyDescent="0.3">
      <c r="A3037" s="19">
        <f t="shared" si="239"/>
        <v>50166</v>
      </c>
      <c r="B3037">
        <f t="shared" ca="1" si="235"/>
        <v>-11.15</v>
      </c>
      <c r="C3037" t="str">
        <f ca="1">IF(currency="USD",'Future et co'!D3037,IF(currency="EUR",'Future et co'!E3037,IF(currency="GBP",'Future et co'!F3037,FALSE)))</f>
        <v>RFR USD</v>
      </c>
      <c r="D3037" t="str">
        <f t="shared" ca="1" si="236"/>
        <v>RFR USD</v>
      </c>
      <c r="E3037" t="str">
        <f t="shared" ca="1" si="237"/>
        <v>RFR EUR</v>
      </c>
      <c r="F3037" t="str">
        <f t="shared" ca="1" si="238"/>
        <v>RFR GBP</v>
      </c>
      <c r="J3037" s="1"/>
      <c r="N3037" s="1"/>
      <c r="R3037" s="1"/>
      <c r="V3037" s="1"/>
      <c r="AB3037" s="1"/>
      <c r="AF3037" s="1"/>
      <c r="AJ3037" s="1"/>
      <c r="AN3037" s="1"/>
      <c r="AS3037" s="1"/>
      <c r="AX3037" s="1"/>
    </row>
    <row r="3038" spans="1:50" x14ac:dyDescent="0.3">
      <c r="A3038" s="19">
        <f t="shared" si="239"/>
        <v>50167</v>
      </c>
      <c r="B3038">
        <f t="shared" ca="1" si="235"/>
        <v>-11.152777777777779</v>
      </c>
      <c r="C3038" t="str">
        <f ca="1">IF(currency="USD",'Future et co'!D3038,IF(currency="EUR",'Future et co'!E3038,IF(currency="GBP",'Future et co'!F3038,FALSE)))</f>
        <v>RFR USD</v>
      </c>
      <c r="D3038" t="str">
        <f t="shared" ca="1" si="236"/>
        <v>RFR USD</v>
      </c>
      <c r="E3038" t="str">
        <f t="shared" ca="1" si="237"/>
        <v>RFR EUR</v>
      </c>
      <c r="F3038" t="str">
        <f t="shared" ca="1" si="238"/>
        <v>RFR GBP</v>
      </c>
      <c r="J3038" s="1"/>
      <c r="N3038" s="1"/>
      <c r="R3038" s="1"/>
      <c r="V3038" s="1"/>
      <c r="AB3038" s="1"/>
      <c r="AF3038" s="1"/>
      <c r="AJ3038" s="1"/>
      <c r="AN3038" s="1"/>
      <c r="AS3038" s="1"/>
      <c r="AX3038" s="1"/>
    </row>
    <row r="3039" spans="1:50" x14ac:dyDescent="0.3">
      <c r="A3039" s="19">
        <f t="shared" si="239"/>
        <v>50168</v>
      </c>
      <c r="B3039">
        <f t="shared" ca="1" si="235"/>
        <v>-11.155555555555555</v>
      </c>
      <c r="C3039" t="str">
        <f ca="1">IF(currency="USD",'Future et co'!D3039,IF(currency="EUR",'Future et co'!E3039,IF(currency="GBP",'Future et co'!F3039,FALSE)))</f>
        <v>RFR USD</v>
      </c>
      <c r="D3039" t="str">
        <f t="shared" ca="1" si="236"/>
        <v>RFR USD</v>
      </c>
      <c r="E3039" t="str">
        <f t="shared" ca="1" si="237"/>
        <v>RFR EUR</v>
      </c>
      <c r="F3039" t="str">
        <f t="shared" ca="1" si="238"/>
        <v>RFR GBP</v>
      </c>
      <c r="J3039" s="1"/>
      <c r="N3039" s="1"/>
      <c r="R3039" s="1"/>
      <c r="V3039" s="1"/>
      <c r="AB3039" s="1"/>
      <c r="AF3039" s="1"/>
      <c r="AJ3039" s="1"/>
      <c r="AN3039" s="1"/>
      <c r="AS3039" s="1"/>
      <c r="AX3039" s="1"/>
    </row>
    <row r="3040" spans="1:50" x14ac:dyDescent="0.3">
      <c r="A3040" s="19">
        <f t="shared" si="239"/>
        <v>50171</v>
      </c>
      <c r="B3040">
        <f t="shared" ca="1" si="235"/>
        <v>-11.16388888888889</v>
      </c>
      <c r="C3040" t="str">
        <f ca="1">IF(currency="USD",'Future et co'!D3040,IF(currency="EUR",'Future et co'!E3040,IF(currency="GBP",'Future et co'!F3040,FALSE)))</f>
        <v>RFR USD</v>
      </c>
      <c r="D3040" t="str">
        <f t="shared" ca="1" si="236"/>
        <v>RFR USD</v>
      </c>
      <c r="E3040" t="str">
        <f t="shared" ca="1" si="237"/>
        <v>RFR EUR</v>
      </c>
      <c r="F3040" t="str">
        <f t="shared" ca="1" si="238"/>
        <v>RFR GBP</v>
      </c>
      <c r="J3040" s="1"/>
      <c r="N3040" s="1"/>
      <c r="R3040" s="1"/>
      <c r="V3040" s="1"/>
      <c r="AB3040" s="1"/>
      <c r="AF3040" s="1"/>
      <c r="AJ3040" s="1"/>
      <c r="AN3040" s="1"/>
      <c r="AS3040" s="1"/>
      <c r="AX3040" s="1"/>
    </row>
    <row r="3041" spans="1:50" x14ac:dyDescent="0.3">
      <c r="A3041" s="19">
        <f t="shared" si="239"/>
        <v>50172</v>
      </c>
      <c r="B3041">
        <f t="shared" ca="1" si="235"/>
        <v>-11.166666666666666</v>
      </c>
      <c r="C3041" t="str">
        <f ca="1">IF(currency="USD",'Future et co'!D3041,IF(currency="EUR",'Future et co'!E3041,IF(currency="GBP",'Future et co'!F3041,FALSE)))</f>
        <v>RFR USD</v>
      </c>
      <c r="D3041" t="str">
        <f t="shared" ca="1" si="236"/>
        <v>RFR USD</v>
      </c>
      <c r="E3041" t="str">
        <f t="shared" ca="1" si="237"/>
        <v>RFR EUR</v>
      </c>
      <c r="F3041" t="str">
        <f t="shared" ca="1" si="238"/>
        <v>RFR GBP</v>
      </c>
      <c r="J3041" s="1"/>
      <c r="N3041" s="1"/>
      <c r="R3041" s="1"/>
      <c r="V3041" s="1"/>
      <c r="AB3041" s="1"/>
      <c r="AF3041" s="1"/>
      <c r="AJ3041" s="1"/>
      <c r="AN3041" s="1"/>
      <c r="AS3041" s="1"/>
      <c r="AX3041" s="1"/>
    </row>
    <row r="3042" spans="1:50" x14ac:dyDescent="0.3">
      <c r="A3042" s="19">
        <f t="shared" si="239"/>
        <v>50173</v>
      </c>
      <c r="B3042">
        <f t="shared" ca="1" si="235"/>
        <v>-11.169444444444444</v>
      </c>
      <c r="C3042" t="str">
        <f ca="1">IF(currency="USD",'Future et co'!D3042,IF(currency="EUR",'Future et co'!E3042,IF(currency="GBP",'Future et co'!F3042,FALSE)))</f>
        <v>RFR USD</v>
      </c>
      <c r="D3042" t="str">
        <f t="shared" ca="1" si="236"/>
        <v>RFR USD</v>
      </c>
      <c r="E3042" t="str">
        <f t="shared" ca="1" si="237"/>
        <v>RFR EUR</v>
      </c>
      <c r="F3042" t="str">
        <f t="shared" ca="1" si="238"/>
        <v>RFR GBP</v>
      </c>
      <c r="J3042" s="1"/>
      <c r="N3042" s="1"/>
      <c r="R3042" s="1"/>
      <c r="V3042" s="1"/>
      <c r="AB3042" s="1"/>
      <c r="AF3042" s="1"/>
      <c r="AJ3042" s="1"/>
      <c r="AN3042" s="1"/>
      <c r="AS3042" s="1"/>
      <c r="AX3042" s="1"/>
    </row>
    <row r="3043" spans="1:50" x14ac:dyDescent="0.3">
      <c r="A3043" s="19">
        <f t="shared" si="239"/>
        <v>50174</v>
      </c>
      <c r="B3043">
        <f t="shared" ca="1" si="235"/>
        <v>-11.172222222222222</v>
      </c>
      <c r="C3043" t="str">
        <f ca="1">IF(currency="USD",'Future et co'!D3043,IF(currency="EUR",'Future et co'!E3043,IF(currency="GBP",'Future et co'!F3043,FALSE)))</f>
        <v>RFR USD</v>
      </c>
      <c r="D3043" t="str">
        <f t="shared" ca="1" si="236"/>
        <v>RFR USD</v>
      </c>
      <c r="E3043" t="str">
        <f t="shared" ca="1" si="237"/>
        <v>RFR EUR</v>
      </c>
      <c r="F3043" t="str">
        <f t="shared" ca="1" si="238"/>
        <v>RFR GBP</v>
      </c>
      <c r="J3043" s="1"/>
      <c r="N3043" s="1"/>
      <c r="R3043" s="1"/>
      <c r="V3043" s="1"/>
      <c r="AB3043" s="1"/>
      <c r="AF3043" s="1"/>
      <c r="AJ3043" s="1"/>
      <c r="AN3043" s="1"/>
      <c r="AS3043" s="1"/>
      <c r="AX3043" s="1"/>
    </row>
    <row r="3044" spans="1:50" x14ac:dyDescent="0.3">
      <c r="A3044" s="19">
        <f t="shared" si="239"/>
        <v>50175</v>
      </c>
      <c r="B3044">
        <f t="shared" ca="1" si="235"/>
        <v>-11.175000000000001</v>
      </c>
      <c r="C3044" t="str">
        <f ca="1">IF(currency="USD",'Future et co'!D3044,IF(currency="EUR",'Future et co'!E3044,IF(currency="GBP",'Future et co'!F3044,FALSE)))</f>
        <v>RFR USD</v>
      </c>
      <c r="D3044" t="str">
        <f t="shared" ca="1" si="236"/>
        <v>RFR USD</v>
      </c>
      <c r="E3044" t="str">
        <f t="shared" ca="1" si="237"/>
        <v>RFR EUR</v>
      </c>
      <c r="F3044" t="str">
        <f t="shared" ca="1" si="238"/>
        <v>RFR GBP</v>
      </c>
      <c r="J3044" s="1"/>
      <c r="N3044" s="1"/>
      <c r="R3044" s="1"/>
      <c r="V3044" s="1"/>
      <c r="AB3044" s="1"/>
      <c r="AF3044" s="1"/>
      <c r="AJ3044" s="1"/>
      <c r="AN3044" s="1"/>
      <c r="AS3044" s="1"/>
      <c r="AX3044" s="1"/>
    </row>
    <row r="3045" spans="1:50" x14ac:dyDescent="0.3">
      <c r="A3045" s="19">
        <f t="shared" si="239"/>
        <v>50178</v>
      </c>
      <c r="B3045">
        <f t="shared" ca="1" si="235"/>
        <v>-11.183333333333334</v>
      </c>
      <c r="C3045" t="str">
        <f ca="1">IF(currency="USD",'Future et co'!D3045,IF(currency="EUR",'Future et co'!E3045,IF(currency="GBP",'Future et co'!F3045,FALSE)))</f>
        <v>RFR USD</v>
      </c>
      <c r="D3045" t="str">
        <f t="shared" ca="1" si="236"/>
        <v>RFR USD</v>
      </c>
      <c r="E3045" t="str">
        <f t="shared" ca="1" si="237"/>
        <v>RFR EUR</v>
      </c>
      <c r="F3045" t="str">
        <f t="shared" ca="1" si="238"/>
        <v>RFR GBP</v>
      </c>
      <c r="J3045" s="1"/>
      <c r="N3045" s="1"/>
      <c r="R3045" s="1"/>
      <c r="V3045" s="1"/>
      <c r="AB3045" s="1"/>
      <c r="AF3045" s="1"/>
      <c r="AJ3045" s="1"/>
      <c r="AN3045" s="1"/>
      <c r="AS3045" s="1"/>
      <c r="AX3045" s="1"/>
    </row>
    <row r="3046" spans="1:50" x14ac:dyDescent="0.3">
      <c r="A3046" s="19">
        <f t="shared" si="239"/>
        <v>50179</v>
      </c>
      <c r="B3046">
        <f t="shared" ca="1" si="235"/>
        <v>-11.186111111111112</v>
      </c>
      <c r="C3046" t="str">
        <f ca="1">IF(currency="USD",'Future et co'!D3046,IF(currency="EUR",'Future et co'!E3046,IF(currency="GBP",'Future et co'!F3046,FALSE)))</f>
        <v>RFR USD</v>
      </c>
      <c r="D3046" t="str">
        <f t="shared" ca="1" si="236"/>
        <v>RFR USD</v>
      </c>
      <c r="E3046" t="str">
        <f t="shared" ca="1" si="237"/>
        <v>RFR EUR</v>
      </c>
      <c r="F3046" t="str">
        <f t="shared" ca="1" si="238"/>
        <v>RFR GBP</v>
      </c>
      <c r="J3046" s="1"/>
      <c r="N3046" s="1"/>
      <c r="R3046" s="1"/>
      <c r="V3046" s="1"/>
      <c r="AB3046" s="1"/>
      <c r="AF3046" s="1"/>
      <c r="AJ3046" s="1"/>
      <c r="AN3046" s="1"/>
      <c r="AS3046" s="1"/>
      <c r="AX3046" s="1"/>
    </row>
    <row r="3047" spans="1:50" x14ac:dyDescent="0.3">
      <c r="A3047" s="19">
        <f t="shared" si="239"/>
        <v>50180</v>
      </c>
      <c r="B3047">
        <f t="shared" ca="1" si="235"/>
        <v>-11.188888888888888</v>
      </c>
      <c r="C3047" t="str">
        <f ca="1">IF(currency="USD",'Future et co'!D3047,IF(currency="EUR",'Future et co'!E3047,IF(currency="GBP",'Future et co'!F3047,FALSE)))</f>
        <v>RFR USD</v>
      </c>
      <c r="D3047" t="str">
        <f t="shared" ca="1" si="236"/>
        <v>RFR USD</v>
      </c>
      <c r="E3047" t="str">
        <f t="shared" ca="1" si="237"/>
        <v>RFR EUR</v>
      </c>
      <c r="F3047" t="str">
        <f t="shared" ca="1" si="238"/>
        <v>RFR GBP</v>
      </c>
      <c r="J3047" s="1"/>
      <c r="N3047" s="1"/>
      <c r="R3047" s="1"/>
      <c r="V3047" s="1"/>
      <c r="AB3047" s="1"/>
      <c r="AF3047" s="1"/>
      <c r="AJ3047" s="1"/>
      <c r="AN3047" s="1"/>
      <c r="AS3047" s="1"/>
      <c r="AX3047" s="1"/>
    </row>
    <row r="3048" spans="1:50" x14ac:dyDescent="0.3">
      <c r="A3048" s="19">
        <f t="shared" si="239"/>
        <v>50181</v>
      </c>
      <c r="B3048">
        <f t="shared" ca="1" si="235"/>
        <v>-11.191666666666666</v>
      </c>
      <c r="C3048" t="str">
        <f ca="1">IF(currency="USD",'Future et co'!D3048,IF(currency="EUR",'Future et co'!E3048,IF(currency="GBP",'Future et co'!F3048,FALSE)))</f>
        <v>RFR USD</v>
      </c>
      <c r="D3048" t="str">
        <f t="shared" ca="1" si="236"/>
        <v>RFR USD</v>
      </c>
      <c r="E3048" t="str">
        <f t="shared" ca="1" si="237"/>
        <v>RFR EUR</v>
      </c>
      <c r="F3048" t="str">
        <f t="shared" ca="1" si="238"/>
        <v>RFR GBP</v>
      </c>
      <c r="J3048" s="1"/>
      <c r="N3048" s="1"/>
      <c r="R3048" s="1"/>
      <c r="V3048" s="1"/>
      <c r="AB3048" s="1"/>
      <c r="AF3048" s="1"/>
      <c r="AJ3048" s="1"/>
      <c r="AN3048" s="1"/>
      <c r="AS3048" s="1"/>
      <c r="AX3048" s="1"/>
    </row>
    <row r="3049" spans="1:50" x14ac:dyDescent="0.3">
      <c r="A3049" s="19">
        <f t="shared" si="239"/>
        <v>50182</v>
      </c>
      <c r="B3049">
        <f t="shared" ca="1" si="235"/>
        <v>-11.194444444444445</v>
      </c>
      <c r="C3049" t="str">
        <f ca="1">IF(currency="USD",'Future et co'!D3049,IF(currency="EUR",'Future et co'!E3049,IF(currency="GBP",'Future et co'!F3049,FALSE)))</f>
        <v>RFR USD</v>
      </c>
      <c r="D3049" t="str">
        <f t="shared" ca="1" si="236"/>
        <v>RFR USD</v>
      </c>
      <c r="E3049" t="str">
        <f t="shared" ca="1" si="237"/>
        <v>RFR EUR</v>
      </c>
      <c r="F3049" t="str">
        <f t="shared" ca="1" si="238"/>
        <v>RFR GBP</v>
      </c>
      <c r="J3049" s="1"/>
      <c r="N3049" s="1"/>
      <c r="R3049" s="1"/>
      <c r="V3049" s="1"/>
      <c r="AB3049" s="1"/>
      <c r="AF3049" s="1"/>
      <c r="AJ3049" s="1"/>
      <c r="AN3049" s="1"/>
      <c r="AS3049" s="1"/>
      <c r="AX3049" s="1"/>
    </row>
    <row r="3050" spans="1:50" x14ac:dyDescent="0.3">
      <c r="A3050" s="19">
        <f t="shared" si="239"/>
        <v>50185</v>
      </c>
      <c r="B3050">
        <f t="shared" ca="1" si="235"/>
        <v>-11.202777777777778</v>
      </c>
      <c r="C3050" t="str">
        <f ca="1">IF(currency="USD",'Future et co'!D3050,IF(currency="EUR",'Future et co'!E3050,IF(currency="GBP",'Future et co'!F3050,FALSE)))</f>
        <v>RFR USD</v>
      </c>
      <c r="D3050" t="str">
        <f t="shared" ca="1" si="236"/>
        <v>RFR USD</v>
      </c>
      <c r="E3050" t="str">
        <f t="shared" ca="1" si="237"/>
        <v>RFR EUR</v>
      </c>
      <c r="F3050" t="str">
        <f t="shared" ca="1" si="238"/>
        <v>RFR GBP</v>
      </c>
      <c r="J3050" s="1"/>
      <c r="N3050" s="1"/>
      <c r="R3050" s="1"/>
      <c r="V3050" s="1"/>
      <c r="AB3050" s="1"/>
      <c r="AF3050" s="1"/>
      <c r="AJ3050" s="1"/>
      <c r="AN3050" s="1"/>
      <c r="AS3050" s="1"/>
      <c r="AX3050" s="1"/>
    </row>
    <row r="3051" spans="1:50" x14ac:dyDescent="0.3">
      <c r="A3051" s="19">
        <f t="shared" si="239"/>
        <v>50186</v>
      </c>
      <c r="B3051">
        <f t="shared" ca="1" si="235"/>
        <v>-11.205555555555556</v>
      </c>
      <c r="C3051" t="str">
        <f ca="1">IF(currency="USD",'Future et co'!D3051,IF(currency="EUR",'Future et co'!E3051,IF(currency="GBP",'Future et co'!F3051,FALSE)))</f>
        <v>RFR USD</v>
      </c>
      <c r="D3051" t="str">
        <f t="shared" ca="1" si="236"/>
        <v>RFR USD</v>
      </c>
      <c r="E3051" t="str">
        <f t="shared" ca="1" si="237"/>
        <v>RFR EUR</v>
      </c>
      <c r="F3051" t="str">
        <f t="shared" ca="1" si="238"/>
        <v>RFR GBP</v>
      </c>
      <c r="J3051" s="1"/>
      <c r="N3051" s="1"/>
      <c r="R3051" s="1"/>
      <c r="V3051" s="1"/>
      <c r="AB3051" s="1"/>
      <c r="AF3051" s="1"/>
      <c r="AJ3051" s="1"/>
      <c r="AN3051" s="1"/>
      <c r="AS3051" s="1"/>
      <c r="AX3051" s="1"/>
    </row>
    <row r="3052" spans="1:50" x14ac:dyDescent="0.3">
      <c r="A3052" s="19">
        <f t="shared" si="239"/>
        <v>50187</v>
      </c>
      <c r="B3052">
        <f t="shared" ca="1" si="235"/>
        <v>-11.208333333333334</v>
      </c>
      <c r="C3052" t="str">
        <f ca="1">IF(currency="USD",'Future et co'!D3052,IF(currency="EUR",'Future et co'!E3052,IF(currency="GBP",'Future et co'!F3052,FALSE)))</f>
        <v>RFR USD</v>
      </c>
      <c r="D3052" t="str">
        <f t="shared" ca="1" si="236"/>
        <v>RFR USD</v>
      </c>
      <c r="E3052" t="str">
        <f t="shared" ca="1" si="237"/>
        <v>RFR EUR</v>
      </c>
      <c r="F3052" t="str">
        <f t="shared" ca="1" si="238"/>
        <v>RFR GBP</v>
      </c>
      <c r="J3052" s="1"/>
      <c r="N3052" s="1"/>
      <c r="R3052" s="1"/>
      <c r="V3052" s="1"/>
      <c r="AB3052" s="1"/>
      <c r="AF3052" s="1"/>
      <c r="AJ3052" s="1"/>
      <c r="AN3052" s="1"/>
      <c r="AS3052" s="1"/>
      <c r="AX3052" s="1"/>
    </row>
    <row r="3053" spans="1:50" x14ac:dyDescent="0.3">
      <c r="A3053" s="19">
        <f t="shared" si="239"/>
        <v>50188</v>
      </c>
      <c r="B3053">
        <f t="shared" ca="1" si="235"/>
        <v>-11.21111111111111</v>
      </c>
      <c r="C3053" t="str">
        <f ca="1">IF(currency="USD",'Future et co'!D3053,IF(currency="EUR",'Future et co'!E3053,IF(currency="GBP",'Future et co'!F3053,FALSE)))</f>
        <v>RFR USD</v>
      </c>
      <c r="D3053" t="str">
        <f t="shared" ca="1" si="236"/>
        <v>RFR USD</v>
      </c>
      <c r="E3053" t="str">
        <f t="shared" ca="1" si="237"/>
        <v>RFR EUR</v>
      </c>
      <c r="F3053" t="str">
        <f t="shared" ca="1" si="238"/>
        <v>RFR GBP</v>
      </c>
      <c r="J3053" s="1"/>
      <c r="N3053" s="1"/>
      <c r="R3053" s="1"/>
      <c r="V3053" s="1"/>
      <c r="AB3053" s="1"/>
      <c r="AF3053" s="1"/>
      <c r="AJ3053" s="1"/>
      <c r="AN3053" s="1"/>
      <c r="AS3053" s="1"/>
      <c r="AX3053" s="1"/>
    </row>
    <row r="3054" spans="1:50" x14ac:dyDescent="0.3">
      <c r="A3054" s="19">
        <f t="shared" si="239"/>
        <v>50189</v>
      </c>
      <c r="B3054">
        <f t="shared" ca="1" si="235"/>
        <v>-11.213888888888889</v>
      </c>
      <c r="C3054" t="str">
        <f ca="1">IF(currency="USD",'Future et co'!D3054,IF(currency="EUR",'Future et co'!E3054,IF(currency="GBP",'Future et co'!F3054,FALSE)))</f>
        <v>RFR USD</v>
      </c>
      <c r="D3054" t="str">
        <f t="shared" ca="1" si="236"/>
        <v>RFR USD</v>
      </c>
      <c r="E3054" t="str">
        <f t="shared" ca="1" si="237"/>
        <v>RFR EUR</v>
      </c>
      <c r="F3054" t="str">
        <f t="shared" ca="1" si="238"/>
        <v>RFR GBP</v>
      </c>
      <c r="J3054" s="1"/>
      <c r="N3054" s="1"/>
      <c r="R3054" s="1"/>
      <c r="V3054" s="1"/>
      <c r="AB3054" s="1"/>
      <c r="AF3054" s="1"/>
      <c r="AJ3054" s="1"/>
      <c r="AN3054" s="1"/>
      <c r="AS3054" s="1"/>
      <c r="AX3054" s="1"/>
    </row>
    <row r="3055" spans="1:50" x14ac:dyDescent="0.3">
      <c r="A3055" s="19">
        <f t="shared" si="239"/>
        <v>50192</v>
      </c>
      <c r="B3055">
        <f t="shared" ca="1" si="235"/>
        <v>-11.222222222222221</v>
      </c>
      <c r="C3055" t="str">
        <f ca="1">IF(currency="USD",'Future et co'!D3055,IF(currency="EUR",'Future et co'!E3055,IF(currency="GBP",'Future et co'!F3055,FALSE)))</f>
        <v>RFR USD</v>
      </c>
      <c r="D3055" t="str">
        <f t="shared" ca="1" si="236"/>
        <v>RFR USD</v>
      </c>
      <c r="E3055" t="str">
        <f t="shared" ca="1" si="237"/>
        <v>RFR EUR</v>
      </c>
      <c r="F3055" t="str">
        <f t="shared" ca="1" si="238"/>
        <v>RFR GBP</v>
      </c>
      <c r="J3055" s="1"/>
      <c r="N3055" s="1"/>
      <c r="R3055" s="1"/>
      <c r="V3055" s="1"/>
      <c r="AB3055" s="1"/>
      <c r="AF3055" s="1"/>
      <c r="AJ3055" s="1"/>
      <c r="AN3055" s="1"/>
      <c r="AS3055" s="1"/>
      <c r="AX3055" s="1"/>
    </row>
    <row r="3056" spans="1:50" x14ac:dyDescent="0.3">
      <c r="A3056" s="19">
        <f t="shared" si="239"/>
        <v>50193</v>
      </c>
      <c r="B3056">
        <f t="shared" ca="1" si="235"/>
        <v>-11.225</v>
      </c>
      <c r="C3056" t="str">
        <f ca="1">IF(currency="USD",'Future et co'!D3056,IF(currency="EUR",'Future et co'!E3056,IF(currency="GBP",'Future et co'!F3056,FALSE)))</f>
        <v>RFR USD</v>
      </c>
      <c r="D3056" t="str">
        <f t="shared" ca="1" si="236"/>
        <v>RFR USD</v>
      </c>
      <c r="E3056" t="str">
        <f t="shared" ca="1" si="237"/>
        <v>RFR EUR</v>
      </c>
      <c r="F3056" t="str">
        <f t="shared" ca="1" si="238"/>
        <v>RFR GBP</v>
      </c>
      <c r="J3056" s="1"/>
      <c r="N3056" s="1"/>
      <c r="R3056" s="1"/>
      <c r="V3056" s="1"/>
      <c r="AB3056" s="1"/>
      <c r="AF3056" s="1"/>
      <c r="AJ3056" s="1"/>
      <c r="AN3056" s="1"/>
      <c r="AS3056" s="1"/>
      <c r="AX3056" s="1"/>
    </row>
    <row r="3057" spans="1:50" x14ac:dyDescent="0.3">
      <c r="A3057" s="19">
        <f t="shared" si="239"/>
        <v>50194</v>
      </c>
      <c r="B3057">
        <f t="shared" ca="1" si="235"/>
        <v>-11.227777777777778</v>
      </c>
      <c r="C3057" t="str">
        <f ca="1">IF(currency="USD",'Future et co'!D3057,IF(currency="EUR",'Future et co'!E3057,IF(currency="GBP",'Future et co'!F3057,FALSE)))</f>
        <v>RFR USD</v>
      </c>
      <c r="D3057" t="str">
        <f t="shared" ca="1" si="236"/>
        <v>RFR USD</v>
      </c>
      <c r="E3057" t="str">
        <f t="shared" ca="1" si="237"/>
        <v>RFR EUR</v>
      </c>
      <c r="F3057" t="str">
        <f t="shared" ca="1" si="238"/>
        <v>RFR GBP</v>
      </c>
      <c r="J3057" s="1"/>
      <c r="N3057" s="1"/>
      <c r="R3057" s="1"/>
      <c r="V3057" s="1"/>
      <c r="AB3057" s="1"/>
      <c r="AF3057" s="1"/>
      <c r="AJ3057" s="1"/>
      <c r="AN3057" s="1"/>
      <c r="AS3057" s="1"/>
      <c r="AX3057" s="1"/>
    </row>
    <row r="3058" spans="1:50" x14ac:dyDescent="0.3">
      <c r="A3058" s="19">
        <f t="shared" si="239"/>
        <v>50195</v>
      </c>
      <c r="B3058">
        <f t="shared" ca="1" si="235"/>
        <v>-11.230555555555556</v>
      </c>
      <c r="C3058" t="str">
        <f ca="1">IF(currency="USD",'Future et co'!D3058,IF(currency="EUR",'Future et co'!E3058,IF(currency="GBP",'Future et co'!F3058,FALSE)))</f>
        <v>RFR USD</v>
      </c>
      <c r="D3058" t="str">
        <f t="shared" ca="1" si="236"/>
        <v>RFR USD</v>
      </c>
      <c r="E3058" t="str">
        <f t="shared" ca="1" si="237"/>
        <v>RFR EUR</v>
      </c>
      <c r="F3058" t="str">
        <f t="shared" ca="1" si="238"/>
        <v>RFR GBP</v>
      </c>
      <c r="J3058" s="1"/>
      <c r="N3058" s="1"/>
      <c r="R3058" s="1"/>
      <c r="V3058" s="1"/>
      <c r="AB3058" s="1"/>
      <c r="AF3058" s="1"/>
      <c r="AJ3058" s="1"/>
      <c r="AN3058" s="1"/>
      <c r="AS3058" s="1"/>
      <c r="AX3058" s="1"/>
    </row>
    <row r="3059" spans="1:50" x14ac:dyDescent="0.3">
      <c r="A3059" s="19">
        <f t="shared" si="239"/>
        <v>50196</v>
      </c>
      <c r="B3059">
        <f t="shared" ca="1" si="235"/>
        <v>-11.233333333333333</v>
      </c>
      <c r="C3059" t="str">
        <f ca="1">IF(currency="USD",'Future et co'!D3059,IF(currency="EUR",'Future et co'!E3059,IF(currency="GBP",'Future et co'!F3059,FALSE)))</f>
        <v>RFR USD</v>
      </c>
      <c r="D3059" t="str">
        <f t="shared" ca="1" si="236"/>
        <v>RFR USD</v>
      </c>
      <c r="E3059" t="str">
        <f t="shared" ca="1" si="237"/>
        <v>RFR EUR</v>
      </c>
      <c r="F3059" t="str">
        <f t="shared" ca="1" si="238"/>
        <v>RFR GBP</v>
      </c>
      <c r="J3059" s="1"/>
      <c r="N3059" s="1"/>
      <c r="R3059" s="1"/>
      <c r="V3059" s="1"/>
      <c r="AB3059" s="1"/>
      <c r="AF3059" s="1"/>
      <c r="AJ3059" s="1"/>
      <c r="AN3059" s="1"/>
      <c r="AS3059" s="1"/>
      <c r="AX3059" s="1"/>
    </row>
    <row r="3060" spans="1:50" x14ac:dyDescent="0.3">
      <c r="A3060" s="19">
        <f t="shared" si="239"/>
        <v>50199</v>
      </c>
      <c r="B3060">
        <f t="shared" ca="1" si="235"/>
        <v>-11.241666666666667</v>
      </c>
      <c r="C3060" t="str">
        <f ca="1">IF(currency="USD",'Future et co'!D3060,IF(currency="EUR",'Future et co'!E3060,IF(currency="GBP",'Future et co'!F3060,FALSE)))</f>
        <v>RFR USD</v>
      </c>
      <c r="D3060" t="str">
        <f t="shared" ca="1" si="236"/>
        <v>RFR USD</v>
      </c>
      <c r="E3060" t="str">
        <f t="shared" ca="1" si="237"/>
        <v>RFR EUR</v>
      </c>
      <c r="F3060" t="str">
        <f t="shared" ca="1" si="238"/>
        <v>RFR GBP</v>
      </c>
      <c r="J3060" s="1"/>
      <c r="N3060" s="1"/>
      <c r="R3060" s="1"/>
      <c r="V3060" s="1"/>
      <c r="AB3060" s="1"/>
      <c r="AF3060" s="1"/>
      <c r="AJ3060" s="1"/>
      <c r="AN3060" s="1"/>
      <c r="AS3060" s="1"/>
      <c r="AX3060" s="1"/>
    </row>
    <row r="3061" spans="1:50" x14ac:dyDescent="0.3">
      <c r="A3061" s="19">
        <f t="shared" si="239"/>
        <v>50200</v>
      </c>
      <c r="B3061">
        <f t="shared" ca="1" si="235"/>
        <v>-11.244444444444444</v>
      </c>
      <c r="C3061" t="str">
        <f ca="1">IF(currency="USD",'Future et co'!D3061,IF(currency="EUR",'Future et co'!E3061,IF(currency="GBP",'Future et co'!F3061,FALSE)))</f>
        <v>RFR USD</v>
      </c>
      <c r="D3061" t="str">
        <f t="shared" ca="1" si="236"/>
        <v>RFR USD</v>
      </c>
      <c r="E3061" t="str">
        <f t="shared" ca="1" si="237"/>
        <v>RFR EUR</v>
      </c>
      <c r="F3061" t="str">
        <f t="shared" ca="1" si="238"/>
        <v>RFR GBP</v>
      </c>
      <c r="J3061" s="1"/>
      <c r="N3061" s="1"/>
      <c r="R3061" s="1"/>
      <c r="V3061" s="1"/>
      <c r="AB3061" s="1"/>
      <c r="AF3061" s="1"/>
      <c r="AJ3061" s="1"/>
      <c r="AN3061" s="1"/>
      <c r="AS3061" s="1"/>
      <c r="AX3061" s="1"/>
    </row>
    <row r="3062" spans="1:50" x14ac:dyDescent="0.3">
      <c r="A3062" s="19">
        <f t="shared" si="239"/>
        <v>50201</v>
      </c>
      <c r="B3062">
        <f t="shared" ca="1" si="235"/>
        <v>-11.247222222222222</v>
      </c>
      <c r="C3062" t="str">
        <f ca="1">IF(currency="USD",'Future et co'!D3062,IF(currency="EUR",'Future et co'!E3062,IF(currency="GBP",'Future et co'!F3062,FALSE)))</f>
        <v>RFR USD</v>
      </c>
      <c r="D3062" t="str">
        <f t="shared" ca="1" si="236"/>
        <v>RFR USD</v>
      </c>
      <c r="E3062" t="str">
        <f t="shared" ca="1" si="237"/>
        <v>RFR EUR</v>
      </c>
      <c r="F3062" t="str">
        <f t="shared" ca="1" si="238"/>
        <v>RFR GBP</v>
      </c>
      <c r="J3062" s="1"/>
      <c r="N3062" s="1"/>
      <c r="R3062" s="1"/>
      <c r="V3062" s="1"/>
      <c r="AB3062" s="1"/>
      <c r="AF3062" s="1"/>
      <c r="AJ3062" s="1"/>
      <c r="AN3062" s="1"/>
      <c r="AS3062" s="1"/>
      <c r="AX3062" s="1"/>
    </row>
    <row r="3063" spans="1:50" x14ac:dyDescent="0.3">
      <c r="A3063" s="19">
        <f t="shared" si="239"/>
        <v>50202</v>
      </c>
      <c r="B3063">
        <f t="shared" ca="1" si="235"/>
        <v>-11.25</v>
      </c>
      <c r="C3063" t="str">
        <f ca="1">IF(currency="USD",'Future et co'!D3063,IF(currency="EUR",'Future et co'!E3063,IF(currency="GBP",'Future et co'!F3063,FALSE)))</f>
        <v>RFR USD</v>
      </c>
      <c r="D3063" t="str">
        <f t="shared" ca="1" si="236"/>
        <v>RFR USD</v>
      </c>
      <c r="E3063" t="str">
        <f t="shared" ca="1" si="237"/>
        <v>RFR EUR</v>
      </c>
      <c r="F3063" t="str">
        <f t="shared" ca="1" si="238"/>
        <v>RFR GBP</v>
      </c>
      <c r="J3063" s="1"/>
      <c r="N3063" s="1"/>
      <c r="R3063" s="1"/>
      <c r="V3063" s="1"/>
      <c r="AB3063" s="1"/>
      <c r="AF3063" s="1"/>
      <c r="AJ3063" s="1"/>
      <c r="AN3063" s="1"/>
      <c r="AS3063" s="1"/>
      <c r="AX3063" s="1"/>
    </row>
    <row r="3064" spans="1:50" x14ac:dyDescent="0.3">
      <c r="A3064" s="19">
        <f t="shared" si="239"/>
        <v>50203</v>
      </c>
      <c r="B3064">
        <f t="shared" ca="1" si="235"/>
        <v>-11.252777777777778</v>
      </c>
      <c r="C3064" t="str">
        <f ca="1">IF(currency="USD",'Future et co'!D3064,IF(currency="EUR",'Future et co'!E3064,IF(currency="GBP",'Future et co'!F3064,FALSE)))</f>
        <v>RFR USD</v>
      </c>
      <c r="D3064" t="str">
        <f t="shared" ca="1" si="236"/>
        <v>RFR USD</v>
      </c>
      <c r="E3064" t="str">
        <f t="shared" ca="1" si="237"/>
        <v>RFR EUR</v>
      </c>
      <c r="F3064" t="str">
        <f t="shared" ca="1" si="238"/>
        <v>RFR GBP</v>
      </c>
      <c r="J3064" s="1"/>
      <c r="N3064" s="1"/>
      <c r="R3064" s="1"/>
      <c r="V3064" s="1"/>
      <c r="AB3064" s="1"/>
      <c r="AF3064" s="1"/>
      <c r="AJ3064" s="1"/>
      <c r="AN3064" s="1"/>
      <c r="AS3064" s="1"/>
      <c r="AX3064" s="1"/>
    </row>
    <row r="3065" spans="1:50" x14ac:dyDescent="0.3">
      <c r="A3065" s="19">
        <f t="shared" si="239"/>
        <v>50206</v>
      </c>
      <c r="B3065">
        <f t="shared" ca="1" si="235"/>
        <v>-11.261111111111111</v>
      </c>
      <c r="C3065" t="str">
        <f ca="1">IF(currency="USD",'Future et co'!D3065,IF(currency="EUR",'Future et co'!E3065,IF(currency="GBP",'Future et co'!F3065,FALSE)))</f>
        <v>RFR USD</v>
      </c>
      <c r="D3065" t="str">
        <f t="shared" ca="1" si="236"/>
        <v>RFR USD</v>
      </c>
      <c r="E3065" t="str">
        <f t="shared" ca="1" si="237"/>
        <v>RFR EUR</v>
      </c>
      <c r="F3065" t="str">
        <f t="shared" ca="1" si="238"/>
        <v>RFR GBP</v>
      </c>
      <c r="J3065" s="1"/>
      <c r="N3065" s="1"/>
      <c r="R3065" s="1"/>
      <c r="V3065" s="1"/>
      <c r="AB3065" s="1"/>
      <c r="AF3065" s="1"/>
      <c r="AJ3065" s="1"/>
      <c r="AN3065" s="1"/>
      <c r="AS3065" s="1"/>
      <c r="AX3065" s="1"/>
    </row>
    <row r="3066" spans="1:50" x14ac:dyDescent="0.3">
      <c r="A3066" s="19">
        <f t="shared" si="239"/>
        <v>50207</v>
      </c>
      <c r="B3066">
        <f t="shared" ca="1" si="235"/>
        <v>-11.263888888888889</v>
      </c>
      <c r="C3066" t="str">
        <f ca="1">IF(currency="USD",'Future et co'!D3066,IF(currency="EUR",'Future et co'!E3066,IF(currency="GBP",'Future et co'!F3066,FALSE)))</f>
        <v>RFR USD</v>
      </c>
      <c r="D3066" t="str">
        <f t="shared" ca="1" si="236"/>
        <v>RFR USD</v>
      </c>
      <c r="E3066" t="str">
        <f t="shared" ca="1" si="237"/>
        <v>RFR EUR</v>
      </c>
      <c r="F3066" t="str">
        <f t="shared" ca="1" si="238"/>
        <v>RFR GBP</v>
      </c>
      <c r="J3066" s="1"/>
      <c r="N3066" s="1"/>
      <c r="R3066" s="1"/>
      <c r="V3066" s="1"/>
      <c r="AB3066" s="1"/>
      <c r="AF3066" s="1"/>
      <c r="AJ3066" s="1"/>
      <c r="AN3066" s="1"/>
      <c r="AS3066" s="1"/>
      <c r="AX3066" s="1"/>
    </row>
    <row r="3067" spans="1:50" x14ac:dyDescent="0.3">
      <c r="A3067" s="19">
        <f t="shared" si="239"/>
        <v>50208</v>
      </c>
      <c r="B3067">
        <f t="shared" ca="1" si="235"/>
        <v>-11.266666666666667</v>
      </c>
      <c r="C3067" t="str">
        <f ca="1">IF(currency="USD",'Future et co'!D3067,IF(currency="EUR",'Future et co'!E3067,IF(currency="GBP",'Future et co'!F3067,FALSE)))</f>
        <v>RFR USD</v>
      </c>
      <c r="D3067" t="str">
        <f t="shared" ca="1" si="236"/>
        <v>RFR USD</v>
      </c>
      <c r="E3067" t="str">
        <f t="shared" ca="1" si="237"/>
        <v>RFR EUR</v>
      </c>
      <c r="F3067" t="str">
        <f t="shared" ca="1" si="238"/>
        <v>RFR GBP</v>
      </c>
      <c r="J3067" s="1"/>
      <c r="N3067" s="1"/>
      <c r="R3067" s="1"/>
      <c r="V3067" s="1"/>
      <c r="AB3067" s="1"/>
      <c r="AF3067" s="1"/>
      <c r="AJ3067" s="1"/>
      <c r="AN3067" s="1"/>
      <c r="AS3067" s="1"/>
      <c r="AX3067" s="1"/>
    </row>
    <row r="3068" spans="1:50" x14ac:dyDescent="0.3">
      <c r="A3068" s="19">
        <f t="shared" si="239"/>
        <v>50209</v>
      </c>
      <c r="B3068">
        <f t="shared" ca="1" si="235"/>
        <v>-11.269444444444444</v>
      </c>
      <c r="C3068" t="str">
        <f ca="1">IF(currency="USD",'Future et co'!D3068,IF(currency="EUR",'Future et co'!E3068,IF(currency="GBP",'Future et co'!F3068,FALSE)))</f>
        <v>RFR USD</v>
      </c>
      <c r="D3068" t="str">
        <f t="shared" ca="1" si="236"/>
        <v>RFR USD</v>
      </c>
      <c r="E3068" t="str">
        <f t="shared" ca="1" si="237"/>
        <v>RFR EUR</v>
      </c>
      <c r="F3068" t="str">
        <f t="shared" ca="1" si="238"/>
        <v>RFR GBP</v>
      </c>
      <c r="J3068" s="1"/>
      <c r="N3068" s="1"/>
      <c r="R3068" s="1"/>
      <c r="V3068" s="1"/>
      <c r="AB3068" s="1"/>
      <c r="AF3068" s="1"/>
      <c r="AJ3068" s="1"/>
      <c r="AN3068" s="1"/>
      <c r="AS3068" s="1"/>
      <c r="AX3068" s="1"/>
    </row>
    <row r="3069" spans="1:50" x14ac:dyDescent="0.3">
      <c r="A3069" s="19">
        <f t="shared" si="239"/>
        <v>50210</v>
      </c>
      <c r="B3069">
        <f t="shared" ca="1" si="235"/>
        <v>-11.272222222222222</v>
      </c>
      <c r="C3069" t="str">
        <f ca="1">IF(currency="USD",'Future et co'!D3069,IF(currency="EUR",'Future et co'!E3069,IF(currency="GBP",'Future et co'!F3069,FALSE)))</f>
        <v>RFR USD</v>
      </c>
      <c r="D3069" t="str">
        <f t="shared" ca="1" si="236"/>
        <v>RFR USD</v>
      </c>
      <c r="E3069" t="str">
        <f t="shared" ca="1" si="237"/>
        <v>RFR EUR</v>
      </c>
      <c r="F3069" t="str">
        <f t="shared" ca="1" si="238"/>
        <v>RFR GBP</v>
      </c>
      <c r="J3069" s="1"/>
      <c r="N3069" s="1"/>
      <c r="R3069" s="1"/>
      <c r="V3069" s="1"/>
      <c r="AB3069" s="1"/>
      <c r="AF3069" s="1"/>
      <c r="AJ3069" s="1"/>
      <c r="AN3069" s="1"/>
      <c r="AS3069" s="1"/>
      <c r="AX3069" s="1"/>
    </row>
    <row r="3070" spans="1:50" x14ac:dyDescent="0.3">
      <c r="A3070" s="19">
        <f t="shared" si="239"/>
        <v>50213</v>
      </c>
      <c r="B3070">
        <f t="shared" ca="1" si="235"/>
        <v>-11.280555555555555</v>
      </c>
      <c r="C3070" t="str">
        <f ca="1">IF(currency="USD",'Future et co'!D3070,IF(currency="EUR",'Future et co'!E3070,IF(currency="GBP",'Future et co'!F3070,FALSE)))</f>
        <v>RFR USD</v>
      </c>
      <c r="D3070" t="str">
        <f t="shared" ca="1" si="236"/>
        <v>RFR USD</v>
      </c>
      <c r="E3070" t="str">
        <f t="shared" ca="1" si="237"/>
        <v>RFR EUR</v>
      </c>
      <c r="F3070" t="str">
        <f t="shared" ca="1" si="238"/>
        <v>RFR GBP</v>
      </c>
      <c r="J3070" s="1"/>
      <c r="N3070" s="1"/>
      <c r="R3070" s="1"/>
      <c r="V3070" s="1"/>
      <c r="AB3070" s="1"/>
      <c r="AF3070" s="1"/>
      <c r="AJ3070" s="1"/>
      <c r="AN3070" s="1"/>
      <c r="AS3070" s="1"/>
      <c r="AX3070" s="1"/>
    </row>
    <row r="3071" spans="1:50" x14ac:dyDescent="0.3">
      <c r="A3071" s="19">
        <f t="shared" si="239"/>
        <v>50214</v>
      </c>
      <c r="B3071">
        <f t="shared" ca="1" si="235"/>
        <v>-11.283333333333333</v>
      </c>
      <c r="C3071" t="str">
        <f ca="1">IF(currency="USD",'Future et co'!D3071,IF(currency="EUR",'Future et co'!E3071,IF(currency="GBP",'Future et co'!F3071,FALSE)))</f>
        <v>RFR USD</v>
      </c>
      <c r="D3071" t="str">
        <f t="shared" ca="1" si="236"/>
        <v>RFR USD</v>
      </c>
      <c r="E3071" t="str">
        <f t="shared" ca="1" si="237"/>
        <v>RFR EUR</v>
      </c>
      <c r="F3071" t="str">
        <f t="shared" ca="1" si="238"/>
        <v>RFR GBP</v>
      </c>
      <c r="J3071" s="1"/>
      <c r="N3071" s="1"/>
      <c r="R3071" s="1"/>
      <c r="V3071" s="1"/>
      <c r="AB3071" s="1"/>
      <c r="AF3071" s="1"/>
      <c r="AJ3071" s="1"/>
      <c r="AN3071" s="1"/>
      <c r="AS3071" s="1"/>
      <c r="AX3071" s="1"/>
    </row>
    <row r="3072" spans="1:50" x14ac:dyDescent="0.3">
      <c r="A3072" s="19">
        <f t="shared" si="239"/>
        <v>50215</v>
      </c>
      <c r="B3072">
        <f t="shared" ca="1" si="235"/>
        <v>-11.286111111111111</v>
      </c>
      <c r="C3072" t="str">
        <f ca="1">IF(currency="USD",'Future et co'!D3072,IF(currency="EUR",'Future et co'!E3072,IF(currency="GBP",'Future et co'!F3072,FALSE)))</f>
        <v>RFR USD</v>
      </c>
      <c r="D3072" t="str">
        <f t="shared" ca="1" si="236"/>
        <v>RFR USD</v>
      </c>
      <c r="E3072" t="str">
        <f t="shared" ca="1" si="237"/>
        <v>RFR EUR</v>
      </c>
      <c r="F3072" t="str">
        <f t="shared" ca="1" si="238"/>
        <v>RFR GBP</v>
      </c>
      <c r="J3072" s="1"/>
      <c r="N3072" s="1"/>
      <c r="R3072" s="1"/>
      <c r="V3072" s="1"/>
      <c r="AB3072" s="1"/>
      <c r="AF3072" s="1"/>
      <c r="AJ3072" s="1"/>
      <c r="AN3072" s="1"/>
      <c r="AS3072" s="1"/>
      <c r="AX3072" s="1"/>
    </row>
    <row r="3073" spans="1:50" x14ac:dyDescent="0.3">
      <c r="A3073" s="19">
        <f t="shared" si="239"/>
        <v>50216</v>
      </c>
      <c r="B3073">
        <f t="shared" ca="1" si="235"/>
        <v>-11.28888888888889</v>
      </c>
      <c r="C3073" t="str">
        <f ca="1">IF(currency="USD",'Future et co'!D3073,IF(currency="EUR",'Future et co'!E3073,IF(currency="GBP",'Future et co'!F3073,FALSE)))</f>
        <v>RFR USD</v>
      </c>
      <c r="D3073" t="str">
        <f t="shared" ca="1" si="236"/>
        <v>RFR USD</v>
      </c>
      <c r="E3073" t="str">
        <f t="shared" ca="1" si="237"/>
        <v>RFR EUR</v>
      </c>
      <c r="F3073" t="str">
        <f t="shared" ca="1" si="238"/>
        <v>RFR GBP</v>
      </c>
      <c r="J3073" s="1"/>
      <c r="N3073" s="1"/>
      <c r="R3073" s="1"/>
      <c r="V3073" s="1"/>
      <c r="AB3073" s="1"/>
      <c r="AF3073" s="1"/>
      <c r="AJ3073" s="1"/>
      <c r="AN3073" s="1"/>
      <c r="AS3073" s="1"/>
      <c r="AX3073" s="1"/>
    </row>
    <row r="3074" spans="1:50" x14ac:dyDescent="0.3">
      <c r="A3074" s="19">
        <f t="shared" si="239"/>
        <v>50217</v>
      </c>
      <c r="B3074">
        <f t="shared" ca="1" si="235"/>
        <v>-11.291666666666666</v>
      </c>
      <c r="C3074" t="str">
        <f ca="1">IF(currency="USD",'Future et co'!D3074,IF(currency="EUR",'Future et co'!E3074,IF(currency="GBP",'Future et co'!F3074,FALSE)))</f>
        <v>RFR USD</v>
      </c>
      <c r="D3074" t="str">
        <f t="shared" ca="1" si="236"/>
        <v>RFR USD</v>
      </c>
      <c r="E3074" t="str">
        <f t="shared" ca="1" si="237"/>
        <v>RFR EUR</v>
      </c>
      <c r="F3074" t="str">
        <f t="shared" ca="1" si="238"/>
        <v>RFR GBP</v>
      </c>
      <c r="J3074" s="1"/>
      <c r="N3074" s="1"/>
      <c r="R3074" s="1"/>
      <c r="V3074" s="1"/>
      <c r="AB3074" s="1"/>
      <c r="AF3074" s="1"/>
      <c r="AJ3074" s="1"/>
      <c r="AN3074" s="1"/>
      <c r="AS3074" s="1"/>
      <c r="AX3074" s="1"/>
    </row>
    <row r="3075" spans="1:50" x14ac:dyDescent="0.3">
      <c r="A3075" s="19">
        <f t="shared" si="239"/>
        <v>50220</v>
      </c>
      <c r="B3075">
        <f t="shared" ca="1" si="235"/>
        <v>-11.3</v>
      </c>
      <c r="C3075" t="str">
        <f ca="1">IF(currency="USD",'Future et co'!D3075,IF(currency="EUR",'Future et co'!E3075,IF(currency="GBP",'Future et co'!F3075,FALSE)))</f>
        <v>RFR USD</v>
      </c>
      <c r="D3075" t="str">
        <f t="shared" ca="1" si="236"/>
        <v>RFR USD</v>
      </c>
      <c r="E3075" t="str">
        <f t="shared" ca="1" si="237"/>
        <v>RFR EUR</v>
      </c>
      <c r="F3075" t="str">
        <f t="shared" ca="1" si="238"/>
        <v>RFR GBP</v>
      </c>
      <c r="J3075" s="1"/>
      <c r="N3075" s="1"/>
      <c r="R3075" s="1"/>
      <c r="V3075" s="1"/>
      <c r="AB3075" s="1"/>
      <c r="AF3075" s="1"/>
      <c r="AJ3075" s="1"/>
      <c r="AN3075" s="1"/>
      <c r="AS3075" s="1"/>
      <c r="AX3075" s="1"/>
    </row>
    <row r="3076" spans="1:50" x14ac:dyDescent="0.3">
      <c r="A3076" s="19">
        <f t="shared" si="239"/>
        <v>50221</v>
      </c>
      <c r="B3076">
        <f t="shared" ca="1" si="235"/>
        <v>-11.302777777777777</v>
      </c>
      <c r="C3076" t="str">
        <f ca="1">IF(currency="USD",'Future et co'!D3076,IF(currency="EUR",'Future et co'!E3076,IF(currency="GBP",'Future et co'!F3076,FALSE)))</f>
        <v>RFR USD</v>
      </c>
      <c r="D3076" t="str">
        <f t="shared" ca="1" si="236"/>
        <v>RFR USD</v>
      </c>
      <c r="E3076" t="str">
        <f t="shared" ca="1" si="237"/>
        <v>RFR EUR</v>
      </c>
      <c r="F3076" t="str">
        <f t="shared" ca="1" si="238"/>
        <v>RFR GBP</v>
      </c>
      <c r="J3076" s="1"/>
      <c r="N3076" s="1"/>
      <c r="R3076" s="1"/>
      <c r="V3076" s="1"/>
      <c r="AB3076" s="1"/>
      <c r="AF3076" s="1"/>
      <c r="AJ3076" s="1"/>
      <c r="AN3076" s="1"/>
      <c r="AS3076" s="1"/>
      <c r="AX3076" s="1"/>
    </row>
    <row r="3077" spans="1:50" x14ac:dyDescent="0.3">
      <c r="A3077" s="19">
        <f t="shared" si="239"/>
        <v>50222</v>
      </c>
      <c r="B3077">
        <f t="shared" ca="1" si="235"/>
        <v>-11.305555555555555</v>
      </c>
      <c r="C3077" t="str">
        <f ca="1">IF(currency="USD",'Future et co'!D3077,IF(currency="EUR",'Future et co'!E3077,IF(currency="GBP",'Future et co'!F3077,FALSE)))</f>
        <v>RFR USD</v>
      </c>
      <c r="D3077" t="str">
        <f t="shared" ca="1" si="236"/>
        <v>RFR USD</v>
      </c>
      <c r="E3077" t="str">
        <f t="shared" ca="1" si="237"/>
        <v>RFR EUR</v>
      </c>
      <c r="F3077" t="str">
        <f t="shared" ca="1" si="238"/>
        <v>RFR GBP</v>
      </c>
      <c r="J3077" s="1"/>
      <c r="N3077" s="1"/>
      <c r="R3077" s="1"/>
      <c r="V3077" s="1"/>
      <c r="AB3077" s="1"/>
      <c r="AF3077" s="1"/>
      <c r="AJ3077" s="1"/>
      <c r="AN3077" s="1"/>
      <c r="AS3077" s="1"/>
      <c r="AX3077" s="1"/>
    </row>
    <row r="3078" spans="1:50" x14ac:dyDescent="0.3">
      <c r="A3078" s="19">
        <f t="shared" si="239"/>
        <v>50223</v>
      </c>
      <c r="B3078">
        <f t="shared" ca="1" si="235"/>
        <v>-11.308333333333334</v>
      </c>
      <c r="C3078" t="str">
        <f ca="1">IF(currency="USD",'Future et co'!D3078,IF(currency="EUR",'Future et co'!E3078,IF(currency="GBP",'Future et co'!F3078,FALSE)))</f>
        <v>RFR USD</v>
      </c>
      <c r="D3078" t="str">
        <f t="shared" ca="1" si="236"/>
        <v>RFR USD</v>
      </c>
      <c r="E3078" t="str">
        <f t="shared" ca="1" si="237"/>
        <v>RFR EUR</v>
      </c>
      <c r="F3078" t="str">
        <f t="shared" ca="1" si="238"/>
        <v>RFR GBP</v>
      </c>
      <c r="J3078" s="1"/>
      <c r="N3078" s="1"/>
      <c r="R3078" s="1"/>
      <c r="V3078" s="1"/>
      <c r="AB3078" s="1"/>
      <c r="AF3078" s="1"/>
      <c r="AJ3078" s="1"/>
      <c r="AN3078" s="1"/>
      <c r="AS3078" s="1"/>
      <c r="AX3078" s="1"/>
    </row>
    <row r="3079" spans="1:50" x14ac:dyDescent="0.3">
      <c r="A3079" s="19">
        <f t="shared" si="239"/>
        <v>50224</v>
      </c>
      <c r="B3079">
        <f t="shared" ca="1" si="235"/>
        <v>-11.311111111111112</v>
      </c>
      <c r="C3079" t="str">
        <f ca="1">IF(currency="USD",'Future et co'!D3079,IF(currency="EUR",'Future et co'!E3079,IF(currency="GBP",'Future et co'!F3079,FALSE)))</f>
        <v>RFR USD</v>
      </c>
      <c r="D3079" t="str">
        <f t="shared" ca="1" si="236"/>
        <v>RFR USD</v>
      </c>
      <c r="E3079" t="str">
        <f t="shared" ca="1" si="237"/>
        <v>RFR EUR</v>
      </c>
      <c r="F3079" t="str">
        <f t="shared" ca="1" si="238"/>
        <v>RFR GBP</v>
      </c>
      <c r="J3079" s="1"/>
      <c r="N3079" s="1"/>
      <c r="R3079" s="1"/>
      <c r="V3079" s="1"/>
      <c r="AB3079" s="1"/>
      <c r="AF3079" s="1"/>
      <c r="AJ3079" s="1"/>
      <c r="AN3079" s="1"/>
      <c r="AS3079" s="1"/>
      <c r="AX3079" s="1"/>
    </row>
    <row r="3080" spans="1:50" x14ac:dyDescent="0.3">
      <c r="A3080" s="19">
        <f t="shared" si="239"/>
        <v>50227</v>
      </c>
      <c r="B3080">
        <f t="shared" ca="1" si="235"/>
        <v>-11.319444444444445</v>
      </c>
      <c r="C3080" t="str">
        <f ca="1">IF(currency="USD",'Future et co'!D3080,IF(currency="EUR",'Future et co'!E3080,IF(currency="GBP",'Future et co'!F3080,FALSE)))</f>
        <v>RFR USD</v>
      </c>
      <c r="D3080" t="str">
        <f t="shared" ca="1" si="236"/>
        <v>RFR USD</v>
      </c>
      <c r="E3080" t="str">
        <f t="shared" ca="1" si="237"/>
        <v>RFR EUR</v>
      </c>
      <c r="F3080" t="str">
        <f t="shared" ca="1" si="238"/>
        <v>RFR GBP</v>
      </c>
      <c r="J3080" s="1"/>
      <c r="N3080" s="1"/>
      <c r="R3080" s="1"/>
      <c r="V3080" s="1"/>
      <c r="AB3080" s="1"/>
      <c r="AF3080" s="1"/>
      <c r="AJ3080" s="1"/>
      <c r="AN3080" s="1"/>
      <c r="AS3080" s="1"/>
      <c r="AX3080" s="1"/>
    </row>
    <row r="3081" spans="1:50" x14ac:dyDescent="0.3">
      <c r="A3081" s="19">
        <f t="shared" si="239"/>
        <v>50228</v>
      </c>
      <c r="B3081">
        <f t="shared" ca="1" si="235"/>
        <v>-11.322222222222223</v>
      </c>
      <c r="C3081" t="str">
        <f ca="1">IF(currency="USD",'Future et co'!D3081,IF(currency="EUR",'Future et co'!E3081,IF(currency="GBP",'Future et co'!F3081,FALSE)))</f>
        <v>RFR USD</v>
      </c>
      <c r="D3081" t="str">
        <f t="shared" ca="1" si="236"/>
        <v>RFR USD</v>
      </c>
      <c r="E3081" t="str">
        <f t="shared" ca="1" si="237"/>
        <v>RFR EUR</v>
      </c>
      <c r="F3081" t="str">
        <f t="shared" ca="1" si="238"/>
        <v>RFR GBP</v>
      </c>
      <c r="J3081" s="1"/>
      <c r="N3081" s="1"/>
      <c r="R3081" s="1"/>
      <c r="V3081" s="1"/>
      <c r="AB3081" s="1"/>
      <c r="AF3081" s="1"/>
      <c r="AJ3081" s="1"/>
      <c r="AN3081" s="1"/>
      <c r="AS3081" s="1"/>
      <c r="AX3081" s="1"/>
    </row>
    <row r="3082" spans="1:50" x14ac:dyDescent="0.3">
      <c r="A3082" s="19">
        <f t="shared" si="239"/>
        <v>50229</v>
      </c>
      <c r="B3082">
        <f t="shared" ca="1" si="235"/>
        <v>-11.324999999999999</v>
      </c>
      <c r="C3082" t="str">
        <f ca="1">IF(currency="USD",'Future et co'!D3082,IF(currency="EUR",'Future et co'!E3082,IF(currency="GBP",'Future et co'!F3082,FALSE)))</f>
        <v>RFR USD</v>
      </c>
      <c r="D3082" t="str">
        <f t="shared" ca="1" si="236"/>
        <v>RFR USD</v>
      </c>
      <c r="E3082" t="str">
        <f t="shared" ca="1" si="237"/>
        <v>RFR EUR</v>
      </c>
      <c r="F3082" t="str">
        <f t="shared" ca="1" si="238"/>
        <v>RFR GBP</v>
      </c>
      <c r="J3082" s="1"/>
      <c r="N3082" s="1"/>
      <c r="R3082" s="1"/>
      <c r="V3082" s="1"/>
      <c r="AB3082" s="1"/>
      <c r="AF3082" s="1"/>
      <c r="AJ3082" s="1"/>
      <c r="AN3082" s="1"/>
      <c r="AS3082" s="1"/>
      <c r="AX3082" s="1"/>
    </row>
    <row r="3083" spans="1:50" x14ac:dyDescent="0.3">
      <c r="A3083" s="19">
        <f t="shared" si="239"/>
        <v>50230</v>
      </c>
      <c r="B3083">
        <f t="shared" ref="B3083:B3146" ca="1" si="240">($B$7-A3083)/360</f>
        <v>-11.327777777777778</v>
      </c>
      <c r="C3083" t="str">
        <f ca="1">IF(currency="USD",'Future et co'!D3083,IF(currency="EUR",'Future et co'!E3083,IF(currency="GBP",'Future et co'!F3083,FALSE)))</f>
        <v>RFR USD</v>
      </c>
      <c r="D3083" t="str">
        <f t="shared" ref="D3083:D3146" ca="1" si="241">IFERROR(IF(B3083&lt;0.25,VLOOKUP(A3083,$J$11:$L$5325,3,FALSE),IF(AND(B3083&gt;=0.25,B3083&lt;0.5),VLOOKUP(A3083,$N$11:$P$5325,3,FALSE),IF(AND(B3083&gt;=0.5,B3083&lt;1),VLOOKUP(A3083,$R$11:$T$5325,3,FALSE),VLOOKUP(A3083,$V$11:$X$5010,3,FALSE)))),D3082)</f>
        <v>RFR USD</v>
      </c>
      <c r="E3083" t="str">
        <f t="shared" ref="E3083:E3146" ca="1" si="242">IFERROR(IF(B3083&lt;0.25,VLOOKUP(A3083,$AF$11:$AH$5325,3,FALSE),IF(AND(B3083&gt;=0.25,B3083&lt;0.5),VLOOKUP(A3083,$AJ$11:$AL$5325,3,FALSE),VLOOKUP(A3083,$AN$11:$AP$5325,3,FALSE))),E3082)</f>
        <v>RFR EUR</v>
      </c>
      <c r="F3083" t="str">
        <f t="shared" ref="F3083:F3146" ca="1" si="243">IFERROR(VLOOKUP(A3083,$AS$11:$AU$9999,3,FALSE),F3082)</f>
        <v>RFR GBP</v>
      </c>
      <c r="J3083" s="1"/>
      <c r="N3083" s="1"/>
      <c r="R3083" s="1"/>
      <c r="V3083" s="1"/>
      <c r="AB3083" s="1"/>
      <c r="AF3083" s="1"/>
      <c r="AJ3083" s="1"/>
      <c r="AN3083" s="1"/>
      <c r="AS3083" s="1"/>
      <c r="AX3083" s="1"/>
    </row>
    <row r="3084" spans="1:50" x14ac:dyDescent="0.3">
      <c r="A3084" s="19">
        <f t="shared" si="239"/>
        <v>50231</v>
      </c>
      <c r="B3084">
        <f t="shared" ca="1" si="240"/>
        <v>-11.330555555555556</v>
      </c>
      <c r="C3084" t="str">
        <f ca="1">IF(currency="USD",'Future et co'!D3084,IF(currency="EUR",'Future et co'!E3084,IF(currency="GBP",'Future et co'!F3084,FALSE)))</f>
        <v>RFR USD</v>
      </c>
      <c r="D3084" t="str">
        <f t="shared" ca="1" si="241"/>
        <v>RFR USD</v>
      </c>
      <c r="E3084" t="str">
        <f t="shared" ca="1" si="242"/>
        <v>RFR EUR</v>
      </c>
      <c r="F3084" t="str">
        <f t="shared" ca="1" si="243"/>
        <v>RFR GBP</v>
      </c>
      <c r="J3084" s="1"/>
      <c r="N3084" s="1"/>
      <c r="R3084" s="1"/>
      <c r="V3084" s="1"/>
      <c r="AB3084" s="1"/>
      <c r="AF3084" s="1"/>
      <c r="AJ3084" s="1"/>
      <c r="AN3084" s="1"/>
      <c r="AS3084" s="1"/>
      <c r="AX3084" s="1"/>
    </row>
    <row r="3085" spans="1:50" x14ac:dyDescent="0.3">
      <c r="A3085" s="19">
        <f t="shared" ref="A3085:A3148" si="244">WORKDAY(A3084,1)</f>
        <v>50234</v>
      </c>
      <c r="B3085">
        <f t="shared" ca="1" si="240"/>
        <v>-11.338888888888889</v>
      </c>
      <c r="C3085" t="str">
        <f ca="1">IF(currency="USD",'Future et co'!D3085,IF(currency="EUR",'Future et co'!E3085,IF(currency="GBP",'Future et co'!F3085,FALSE)))</f>
        <v>RFR USD</v>
      </c>
      <c r="D3085" t="str">
        <f t="shared" ca="1" si="241"/>
        <v>RFR USD</v>
      </c>
      <c r="E3085" t="str">
        <f t="shared" ca="1" si="242"/>
        <v>RFR EUR</v>
      </c>
      <c r="F3085" t="str">
        <f t="shared" ca="1" si="243"/>
        <v>RFR GBP</v>
      </c>
      <c r="J3085" s="1"/>
      <c r="N3085" s="1"/>
      <c r="R3085" s="1"/>
      <c r="V3085" s="1"/>
      <c r="AB3085" s="1"/>
      <c r="AF3085" s="1"/>
      <c r="AJ3085" s="1"/>
      <c r="AN3085" s="1"/>
      <c r="AS3085" s="1"/>
      <c r="AX3085" s="1"/>
    </row>
    <row r="3086" spans="1:50" x14ac:dyDescent="0.3">
      <c r="A3086" s="19">
        <f t="shared" si="244"/>
        <v>50235</v>
      </c>
      <c r="B3086">
        <f t="shared" ca="1" si="240"/>
        <v>-11.341666666666667</v>
      </c>
      <c r="C3086" t="str">
        <f ca="1">IF(currency="USD",'Future et co'!D3086,IF(currency="EUR",'Future et co'!E3086,IF(currency="GBP",'Future et co'!F3086,FALSE)))</f>
        <v>RFR USD</v>
      </c>
      <c r="D3086" t="str">
        <f t="shared" ca="1" si="241"/>
        <v>RFR USD</v>
      </c>
      <c r="E3086" t="str">
        <f t="shared" ca="1" si="242"/>
        <v>RFR EUR</v>
      </c>
      <c r="F3086" t="str">
        <f t="shared" ca="1" si="243"/>
        <v>RFR GBP</v>
      </c>
      <c r="J3086" s="1"/>
      <c r="N3086" s="1"/>
      <c r="R3086" s="1"/>
      <c r="V3086" s="1"/>
      <c r="AB3086" s="1"/>
      <c r="AF3086" s="1"/>
      <c r="AJ3086" s="1"/>
      <c r="AN3086" s="1"/>
      <c r="AS3086" s="1"/>
      <c r="AX3086" s="1"/>
    </row>
    <row r="3087" spans="1:50" x14ac:dyDescent="0.3">
      <c r="A3087" s="19">
        <f t="shared" si="244"/>
        <v>50236</v>
      </c>
      <c r="B3087">
        <f t="shared" ca="1" si="240"/>
        <v>-11.344444444444445</v>
      </c>
      <c r="C3087" t="str">
        <f ca="1">IF(currency="USD",'Future et co'!D3087,IF(currency="EUR",'Future et co'!E3087,IF(currency="GBP",'Future et co'!F3087,FALSE)))</f>
        <v>RFR USD</v>
      </c>
      <c r="D3087" t="str">
        <f t="shared" ca="1" si="241"/>
        <v>RFR USD</v>
      </c>
      <c r="E3087" t="str">
        <f t="shared" ca="1" si="242"/>
        <v>RFR EUR</v>
      </c>
      <c r="F3087" t="str">
        <f t="shared" ca="1" si="243"/>
        <v>RFR GBP</v>
      </c>
      <c r="J3087" s="1"/>
      <c r="N3087" s="1"/>
      <c r="R3087" s="1"/>
      <c r="V3087" s="1"/>
      <c r="AB3087" s="1"/>
      <c r="AF3087" s="1"/>
      <c r="AJ3087" s="1"/>
      <c r="AN3087" s="1"/>
      <c r="AS3087" s="1"/>
      <c r="AX3087" s="1"/>
    </row>
    <row r="3088" spans="1:50" x14ac:dyDescent="0.3">
      <c r="A3088" s="19">
        <f t="shared" si="244"/>
        <v>50237</v>
      </c>
      <c r="B3088">
        <f t="shared" ca="1" si="240"/>
        <v>-11.347222222222221</v>
      </c>
      <c r="C3088" t="str">
        <f ca="1">IF(currency="USD",'Future et co'!D3088,IF(currency="EUR",'Future et co'!E3088,IF(currency="GBP",'Future et co'!F3088,FALSE)))</f>
        <v>RFR USD</v>
      </c>
      <c r="D3088" t="str">
        <f t="shared" ca="1" si="241"/>
        <v>RFR USD</v>
      </c>
      <c r="E3088" t="str">
        <f t="shared" ca="1" si="242"/>
        <v>RFR EUR</v>
      </c>
      <c r="F3088" t="str">
        <f t="shared" ca="1" si="243"/>
        <v>RFR GBP</v>
      </c>
      <c r="J3088" s="1"/>
      <c r="N3088" s="1"/>
      <c r="R3088" s="1"/>
      <c r="V3088" s="1"/>
      <c r="AB3088" s="1"/>
      <c r="AF3088" s="1"/>
      <c r="AJ3088" s="1"/>
      <c r="AN3088" s="1"/>
      <c r="AS3088" s="1"/>
      <c r="AX3088" s="1"/>
    </row>
    <row r="3089" spans="1:50" x14ac:dyDescent="0.3">
      <c r="A3089" s="19">
        <f t="shared" si="244"/>
        <v>50238</v>
      </c>
      <c r="B3089">
        <f t="shared" ca="1" si="240"/>
        <v>-11.35</v>
      </c>
      <c r="C3089" t="str">
        <f ca="1">IF(currency="USD",'Future et co'!D3089,IF(currency="EUR",'Future et co'!E3089,IF(currency="GBP",'Future et co'!F3089,FALSE)))</f>
        <v>RFR USD</v>
      </c>
      <c r="D3089" t="str">
        <f t="shared" ca="1" si="241"/>
        <v>RFR USD</v>
      </c>
      <c r="E3089" t="str">
        <f t="shared" ca="1" si="242"/>
        <v>RFR EUR</v>
      </c>
      <c r="F3089" t="str">
        <f t="shared" ca="1" si="243"/>
        <v>RFR GBP</v>
      </c>
      <c r="J3089" s="1"/>
      <c r="N3089" s="1"/>
      <c r="R3089" s="1"/>
      <c r="V3089" s="1"/>
      <c r="AB3089" s="1"/>
      <c r="AF3089" s="1"/>
      <c r="AJ3089" s="1"/>
      <c r="AN3089" s="1"/>
      <c r="AS3089" s="1"/>
      <c r="AX3089" s="1"/>
    </row>
    <row r="3090" spans="1:50" x14ac:dyDescent="0.3">
      <c r="A3090" s="19">
        <f t="shared" si="244"/>
        <v>50241</v>
      </c>
      <c r="B3090">
        <f t="shared" ca="1" si="240"/>
        <v>-11.358333333333333</v>
      </c>
      <c r="C3090" t="str">
        <f ca="1">IF(currency="USD",'Future et co'!D3090,IF(currency="EUR",'Future et co'!E3090,IF(currency="GBP",'Future et co'!F3090,FALSE)))</f>
        <v>RFR USD</v>
      </c>
      <c r="D3090" t="str">
        <f t="shared" ca="1" si="241"/>
        <v>RFR USD</v>
      </c>
      <c r="E3090" t="str">
        <f t="shared" ca="1" si="242"/>
        <v>RFR EUR</v>
      </c>
      <c r="F3090" t="str">
        <f t="shared" ca="1" si="243"/>
        <v>RFR GBP</v>
      </c>
      <c r="J3090" s="1"/>
      <c r="N3090" s="1"/>
      <c r="R3090" s="1"/>
      <c r="V3090" s="1"/>
      <c r="AB3090" s="1"/>
      <c r="AF3090" s="1"/>
      <c r="AJ3090" s="1"/>
      <c r="AN3090" s="1"/>
      <c r="AS3090" s="1"/>
      <c r="AX3090" s="1"/>
    </row>
    <row r="3091" spans="1:50" x14ac:dyDescent="0.3">
      <c r="A3091" s="19">
        <f t="shared" si="244"/>
        <v>50242</v>
      </c>
      <c r="B3091">
        <f t="shared" ca="1" si="240"/>
        <v>-11.361111111111111</v>
      </c>
      <c r="C3091" t="str">
        <f ca="1">IF(currency="USD",'Future et co'!D3091,IF(currency="EUR",'Future et co'!E3091,IF(currency="GBP",'Future et co'!F3091,FALSE)))</f>
        <v>RFR USD</v>
      </c>
      <c r="D3091" t="str">
        <f t="shared" ca="1" si="241"/>
        <v>RFR USD</v>
      </c>
      <c r="E3091" t="str">
        <f t="shared" ca="1" si="242"/>
        <v>RFR EUR</v>
      </c>
      <c r="F3091" t="str">
        <f t="shared" ca="1" si="243"/>
        <v>RFR GBP</v>
      </c>
      <c r="J3091" s="1"/>
      <c r="N3091" s="1"/>
      <c r="R3091" s="1"/>
      <c r="V3091" s="1"/>
      <c r="AB3091" s="1"/>
      <c r="AF3091" s="1"/>
      <c r="AJ3091" s="1"/>
      <c r="AN3091" s="1"/>
      <c r="AS3091" s="1"/>
      <c r="AX3091" s="1"/>
    </row>
    <row r="3092" spans="1:50" x14ac:dyDescent="0.3">
      <c r="A3092" s="19">
        <f t="shared" si="244"/>
        <v>50243</v>
      </c>
      <c r="B3092">
        <f t="shared" ca="1" si="240"/>
        <v>-11.363888888888889</v>
      </c>
      <c r="C3092" t="str">
        <f ca="1">IF(currency="USD",'Future et co'!D3092,IF(currency="EUR",'Future et co'!E3092,IF(currency="GBP",'Future et co'!F3092,FALSE)))</f>
        <v>RFR USD</v>
      </c>
      <c r="D3092" t="str">
        <f t="shared" ca="1" si="241"/>
        <v>RFR USD</v>
      </c>
      <c r="E3092" t="str">
        <f t="shared" ca="1" si="242"/>
        <v>RFR EUR</v>
      </c>
      <c r="F3092" t="str">
        <f t="shared" ca="1" si="243"/>
        <v>RFR GBP</v>
      </c>
      <c r="J3092" s="1"/>
      <c r="N3092" s="1"/>
      <c r="R3092" s="1"/>
      <c r="V3092" s="1"/>
      <c r="AB3092" s="1"/>
      <c r="AF3092" s="1"/>
      <c r="AJ3092" s="1"/>
      <c r="AN3092" s="1"/>
      <c r="AS3092" s="1"/>
      <c r="AX3092" s="1"/>
    </row>
    <row r="3093" spans="1:50" x14ac:dyDescent="0.3">
      <c r="A3093" s="19">
        <f t="shared" si="244"/>
        <v>50244</v>
      </c>
      <c r="B3093">
        <f t="shared" ca="1" si="240"/>
        <v>-11.366666666666667</v>
      </c>
      <c r="C3093" t="str">
        <f ca="1">IF(currency="USD",'Future et co'!D3093,IF(currency="EUR",'Future et co'!E3093,IF(currency="GBP",'Future et co'!F3093,FALSE)))</f>
        <v>RFR USD</v>
      </c>
      <c r="D3093" t="str">
        <f t="shared" ca="1" si="241"/>
        <v>RFR USD</v>
      </c>
      <c r="E3093" t="str">
        <f t="shared" ca="1" si="242"/>
        <v>RFR EUR</v>
      </c>
      <c r="F3093" t="str">
        <f t="shared" ca="1" si="243"/>
        <v>RFR GBP</v>
      </c>
      <c r="J3093" s="1"/>
      <c r="N3093" s="1"/>
      <c r="R3093" s="1"/>
      <c r="V3093" s="1"/>
      <c r="AB3093" s="1"/>
      <c r="AF3093" s="1"/>
      <c r="AJ3093" s="1"/>
      <c r="AN3093" s="1"/>
      <c r="AS3093" s="1"/>
      <c r="AX3093" s="1"/>
    </row>
    <row r="3094" spans="1:50" x14ac:dyDescent="0.3">
      <c r="A3094" s="19">
        <f t="shared" si="244"/>
        <v>50245</v>
      </c>
      <c r="B3094">
        <f t="shared" ca="1" si="240"/>
        <v>-11.369444444444444</v>
      </c>
      <c r="C3094" t="str">
        <f ca="1">IF(currency="USD",'Future et co'!D3094,IF(currency="EUR",'Future et co'!E3094,IF(currency="GBP",'Future et co'!F3094,FALSE)))</f>
        <v>RFR USD</v>
      </c>
      <c r="D3094" t="str">
        <f t="shared" ca="1" si="241"/>
        <v>RFR USD</v>
      </c>
      <c r="E3094" t="str">
        <f t="shared" ca="1" si="242"/>
        <v>RFR EUR</v>
      </c>
      <c r="F3094" t="str">
        <f t="shared" ca="1" si="243"/>
        <v>RFR GBP</v>
      </c>
      <c r="J3094" s="1"/>
      <c r="N3094" s="1"/>
      <c r="R3094" s="1"/>
      <c r="V3094" s="1"/>
      <c r="AB3094" s="1"/>
      <c r="AF3094" s="1"/>
      <c r="AJ3094" s="1"/>
      <c r="AN3094" s="1"/>
      <c r="AS3094" s="1"/>
      <c r="AX3094" s="1"/>
    </row>
    <row r="3095" spans="1:50" x14ac:dyDescent="0.3">
      <c r="A3095" s="19">
        <f t="shared" si="244"/>
        <v>50248</v>
      </c>
      <c r="B3095">
        <f t="shared" ca="1" si="240"/>
        <v>-11.377777777777778</v>
      </c>
      <c r="C3095" t="str">
        <f ca="1">IF(currency="USD",'Future et co'!D3095,IF(currency="EUR",'Future et co'!E3095,IF(currency="GBP",'Future et co'!F3095,FALSE)))</f>
        <v>RFR USD</v>
      </c>
      <c r="D3095" t="str">
        <f t="shared" ca="1" si="241"/>
        <v>RFR USD</v>
      </c>
      <c r="E3095" t="str">
        <f t="shared" ca="1" si="242"/>
        <v>RFR EUR</v>
      </c>
      <c r="F3095" t="str">
        <f t="shared" ca="1" si="243"/>
        <v>RFR GBP</v>
      </c>
      <c r="J3095" s="1"/>
      <c r="N3095" s="1"/>
      <c r="R3095" s="1"/>
      <c r="V3095" s="1"/>
      <c r="AB3095" s="1"/>
      <c r="AF3095" s="1"/>
      <c r="AJ3095" s="1"/>
      <c r="AN3095" s="1"/>
      <c r="AS3095" s="1"/>
      <c r="AX3095" s="1"/>
    </row>
    <row r="3096" spans="1:50" x14ac:dyDescent="0.3">
      <c r="A3096" s="19">
        <f t="shared" si="244"/>
        <v>50249</v>
      </c>
      <c r="B3096">
        <f t="shared" ca="1" si="240"/>
        <v>-11.380555555555556</v>
      </c>
      <c r="C3096" t="str">
        <f ca="1">IF(currency="USD",'Future et co'!D3096,IF(currency="EUR",'Future et co'!E3096,IF(currency="GBP",'Future et co'!F3096,FALSE)))</f>
        <v>RFR USD</v>
      </c>
      <c r="D3096" t="str">
        <f t="shared" ca="1" si="241"/>
        <v>RFR USD</v>
      </c>
      <c r="E3096" t="str">
        <f t="shared" ca="1" si="242"/>
        <v>RFR EUR</v>
      </c>
      <c r="F3096" t="str">
        <f t="shared" ca="1" si="243"/>
        <v>RFR GBP</v>
      </c>
      <c r="J3096" s="1"/>
      <c r="N3096" s="1"/>
      <c r="R3096" s="1"/>
      <c r="V3096" s="1"/>
      <c r="AB3096" s="1"/>
      <c r="AF3096" s="1"/>
      <c r="AJ3096" s="1"/>
      <c r="AN3096" s="1"/>
      <c r="AS3096" s="1"/>
      <c r="AX3096" s="1"/>
    </row>
    <row r="3097" spans="1:50" x14ac:dyDescent="0.3">
      <c r="A3097" s="19">
        <f t="shared" si="244"/>
        <v>50250</v>
      </c>
      <c r="B3097">
        <f t="shared" ca="1" si="240"/>
        <v>-11.383333333333333</v>
      </c>
      <c r="C3097" t="str">
        <f ca="1">IF(currency="USD",'Future et co'!D3097,IF(currency="EUR",'Future et co'!E3097,IF(currency="GBP",'Future et co'!F3097,FALSE)))</f>
        <v>RFR USD</v>
      </c>
      <c r="D3097" t="str">
        <f t="shared" ca="1" si="241"/>
        <v>RFR USD</v>
      </c>
      <c r="E3097" t="str">
        <f t="shared" ca="1" si="242"/>
        <v>RFR EUR</v>
      </c>
      <c r="F3097" t="str">
        <f t="shared" ca="1" si="243"/>
        <v>RFR GBP</v>
      </c>
      <c r="J3097" s="1"/>
      <c r="N3097" s="1"/>
      <c r="R3097" s="1"/>
      <c r="V3097" s="1"/>
      <c r="AB3097" s="1"/>
      <c r="AF3097" s="1"/>
      <c r="AJ3097" s="1"/>
      <c r="AN3097" s="1"/>
      <c r="AS3097" s="1"/>
      <c r="AX3097" s="1"/>
    </row>
    <row r="3098" spans="1:50" x14ac:dyDescent="0.3">
      <c r="A3098" s="19">
        <f t="shared" si="244"/>
        <v>50251</v>
      </c>
      <c r="B3098">
        <f t="shared" ca="1" si="240"/>
        <v>-11.386111111111111</v>
      </c>
      <c r="C3098" t="str">
        <f ca="1">IF(currency="USD",'Future et co'!D3098,IF(currency="EUR",'Future et co'!E3098,IF(currency="GBP",'Future et co'!F3098,FALSE)))</f>
        <v>RFR USD</v>
      </c>
      <c r="D3098" t="str">
        <f t="shared" ca="1" si="241"/>
        <v>RFR USD</v>
      </c>
      <c r="E3098" t="str">
        <f t="shared" ca="1" si="242"/>
        <v>RFR EUR</v>
      </c>
      <c r="F3098" t="str">
        <f t="shared" ca="1" si="243"/>
        <v>RFR GBP</v>
      </c>
      <c r="J3098" s="1"/>
      <c r="N3098" s="1"/>
      <c r="R3098" s="1"/>
      <c r="V3098" s="1"/>
      <c r="AB3098" s="1"/>
      <c r="AF3098" s="1"/>
      <c r="AJ3098" s="1"/>
      <c r="AN3098" s="1"/>
      <c r="AS3098" s="1"/>
      <c r="AX3098" s="1"/>
    </row>
    <row r="3099" spans="1:50" x14ac:dyDescent="0.3">
      <c r="A3099" s="19">
        <f t="shared" si="244"/>
        <v>50252</v>
      </c>
      <c r="B3099">
        <f t="shared" ca="1" si="240"/>
        <v>-11.388888888888889</v>
      </c>
      <c r="C3099" t="str">
        <f ca="1">IF(currency="USD",'Future et co'!D3099,IF(currency="EUR",'Future et co'!E3099,IF(currency="GBP",'Future et co'!F3099,FALSE)))</f>
        <v>RFR USD</v>
      </c>
      <c r="D3099" t="str">
        <f t="shared" ca="1" si="241"/>
        <v>RFR USD</v>
      </c>
      <c r="E3099" t="str">
        <f t="shared" ca="1" si="242"/>
        <v>RFR EUR</v>
      </c>
      <c r="F3099" t="str">
        <f t="shared" ca="1" si="243"/>
        <v>RFR GBP</v>
      </c>
      <c r="J3099" s="1"/>
      <c r="N3099" s="1"/>
      <c r="R3099" s="1"/>
      <c r="V3099" s="1"/>
      <c r="AB3099" s="1"/>
      <c r="AF3099" s="1"/>
      <c r="AJ3099" s="1"/>
      <c r="AN3099" s="1"/>
      <c r="AS3099" s="1"/>
      <c r="AX3099" s="1"/>
    </row>
    <row r="3100" spans="1:50" x14ac:dyDescent="0.3">
      <c r="A3100" s="19">
        <f t="shared" si="244"/>
        <v>50255</v>
      </c>
      <c r="B3100">
        <f t="shared" ca="1" si="240"/>
        <v>-11.397222222222222</v>
      </c>
      <c r="C3100" t="str">
        <f ca="1">IF(currency="USD",'Future et co'!D3100,IF(currency="EUR",'Future et co'!E3100,IF(currency="GBP",'Future et co'!F3100,FALSE)))</f>
        <v>RFR USD</v>
      </c>
      <c r="D3100" t="str">
        <f t="shared" ca="1" si="241"/>
        <v>RFR USD</v>
      </c>
      <c r="E3100" t="str">
        <f t="shared" ca="1" si="242"/>
        <v>RFR EUR</v>
      </c>
      <c r="F3100" t="str">
        <f t="shared" ca="1" si="243"/>
        <v>RFR GBP</v>
      </c>
      <c r="J3100" s="1"/>
      <c r="N3100" s="1"/>
      <c r="R3100" s="1"/>
      <c r="V3100" s="1"/>
      <c r="AB3100" s="1"/>
      <c r="AF3100" s="1"/>
      <c r="AJ3100" s="1"/>
      <c r="AN3100" s="1"/>
      <c r="AS3100" s="1"/>
      <c r="AX3100" s="1"/>
    </row>
    <row r="3101" spans="1:50" x14ac:dyDescent="0.3">
      <c r="A3101" s="19">
        <f t="shared" si="244"/>
        <v>50256</v>
      </c>
      <c r="B3101">
        <f t="shared" ca="1" si="240"/>
        <v>-11.4</v>
      </c>
      <c r="C3101" t="str">
        <f ca="1">IF(currency="USD",'Future et co'!D3101,IF(currency="EUR",'Future et co'!E3101,IF(currency="GBP",'Future et co'!F3101,FALSE)))</f>
        <v>RFR USD</v>
      </c>
      <c r="D3101" t="str">
        <f t="shared" ca="1" si="241"/>
        <v>RFR USD</v>
      </c>
      <c r="E3101" t="str">
        <f t="shared" ca="1" si="242"/>
        <v>RFR EUR</v>
      </c>
      <c r="F3101" t="str">
        <f t="shared" ca="1" si="243"/>
        <v>RFR GBP</v>
      </c>
      <c r="J3101" s="1"/>
      <c r="N3101" s="1"/>
      <c r="R3101" s="1"/>
      <c r="V3101" s="1"/>
      <c r="AB3101" s="1"/>
      <c r="AF3101" s="1"/>
      <c r="AJ3101" s="1"/>
      <c r="AN3101" s="1"/>
      <c r="AS3101" s="1"/>
      <c r="AX3101" s="1"/>
    </row>
    <row r="3102" spans="1:50" x14ac:dyDescent="0.3">
      <c r="A3102" s="19">
        <f t="shared" si="244"/>
        <v>50257</v>
      </c>
      <c r="B3102">
        <f t="shared" ca="1" si="240"/>
        <v>-11.402777777777779</v>
      </c>
      <c r="C3102" t="str">
        <f ca="1">IF(currency="USD",'Future et co'!D3102,IF(currency="EUR",'Future et co'!E3102,IF(currency="GBP",'Future et co'!F3102,FALSE)))</f>
        <v>RFR USD</v>
      </c>
      <c r="D3102" t="str">
        <f t="shared" ca="1" si="241"/>
        <v>RFR USD</v>
      </c>
      <c r="E3102" t="str">
        <f t="shared" ca="1" si="242"/>
        <v>RFR EUR</v>
      </c>
      <c r="F3102" t="str">
        <f t="shared" ca="1" si="243"/>
        <v>RFR GBP</v>
      </c>
      <c r="J3102" s="1"/>
      <c r="N3102" s="1"/>
      <c r="R3102" s="1"/>
      <c r="V3102" s="1"/>
      <c r="AB3102" s="1"/>
      <c r="AF3102" s="1"/>
      <c r="AJ3102" s="1"/>
      <c r="AN3102" s="1"/>
      <c r="AS3102" s="1"/>
      <c r="AX3102" s="1"/>
    </row>
    <row r="3103" spans="1:50" x14ac:dyDescent="0.3">
      <c r="A3103" s="19">
        <f t="shared" si="244"/>
        <v>50258</v>
      </c>
      <c r="B3103">
        <f t="shared" ca="1" si="240"/>
        <v>-11.405555555555555</v>
      </c>
      <c r="C3103" t="str">
        <f ca="1">IF(currency="USD",'Future et co'!D3103,IF(currency="EUR",'Future et co'!E3103,IF(currency="GBP",'Future et co'!F3103,FALSE)))</f>
        <v>RFR USD</v>
      </c>
      <c r="D3103" t="str">
        <f t="shared" ca="1" si="241"/>
        <v>RFR USD</v>
      </c>
      <c r="E3103" t="str">
        <f t="shared" ca="1" si="242"/>
        <v>RFR EUR</v>
      </c>
      <c r="F3103" t="str">
        <f t="shared" ca="1" si="243"/>
        <v>RFR GBP</v>
      </c>
      <c r="J3103" s="1"/>
      <c r="N3103" s="1"/>
      <c r="R3103" s="1"/>
      <c r="V3103" s="1"/>
      <c r="AB3103" s="1"/>
      <c r="AF3103" s="1"/>
      <c r="AJ3103" s="1"/>
      <c r="AN3103" s="1"/>
      <c r="AS3103" s="1"/>
      <c r="AX3103" s="1"/>
    </row>
    <row r="3104" spans="1:50" x14ac:dyDescent="0.3">
      <c r="A3104" s="19">
        <f t="shared" si="244"/>
        <v>50259</v>
      </c>
      <c r="B3104">
        <f t="shared" ca="1" si="240"/>
        <v>-11.408333333333333</v>
      </c>
      <c r="C3104" t="str">
        <f ca="1">IF(currency="USD",'Future et co'!D3104,IF(currency="EUR",'Future et co'!E3104,IF(currency="GBP",'Future et co'!F3104,FALSE)))</f>
        <v>RFR USD</v>
      </c>
      <c r="D3104" t="str">
        <f t="shared" ca="1" si="241"/>
        <v>RFR USD</v>
      </c>
      <c r="E3104" t="str">
        <f t="shared" ca="1" si="242"/>
        <v>RFR EUR</v>
      </c>
      <c r="F3104" t="str">
        <f t="shared" ca="1" si="243"/>
        <v>RFR GBP</v>
      </c>
      <c r="J3104" s="1"/>
      <c r="N3104" s="1"/>
      <c r="R3104" s="1"/>
      <c r="V3104" s="1"/>
      <c r="AB3104" s="1"/>
      <c r="AF3104" s="1"/>
      <c r="AJ3104" s="1"/>
      <c r="AN3104" s="1"/>
      <c r="AS3104" s="1"/>
      <c r="AX3104" s="1"/>
    </row>
    <row r="3105" spans="1:50" x14ac:dyDescent="0.3">
      <c r="A3105" s="19">
        <f t="shared" si="244"/>
        <v>50262</v>
      </c>
      <c r="B3105">
        <f t="shared" ca="1" si="240"/>
        <v>-11.416666666666666</v>
      </c>
      <c r="C3105" t="str">
        <f ca="1">IF(currency="USD",'Future et co'!D3105,IF(currency="EUR",'Future et co'!E3105,IF(currency="GBP",'Future et co'!F3105,FALSE)))</f>
        <v>RFR USD</v>
      </c>
      <c r="D3105" t="str">
        <f t="shared" ca="1" si="241"/>
        <v>RFR USD</v>
      </c>
      <c r="E3105" t="str">
        <f t="shared" ca="1" si="242"/>
        <v>RFR EUR</v>
      </c>
      <c r="F3105" t="str">
        <f t="shared" ca="1" si="243"/>
        <v>RFR GBP</v>
      </c>
      <c r="J3105" s="1"/>
      <c r="N3105" s="1"/>
      <c r="R3105" s="1"/>
      <c r="V3105" s="1"/>
      <c r="AB3105" s="1"/>
      <c r="AF3105" s="1"/>
      <c r="AJ3105" s="1"/>
      <c r="AN3105" s="1"/>
      <c r="AS3105" s="1"/>
      <c r="AX3105" s="1"/>
    </row>
    <row r="3106" spans="1:50" x14ac:dyDescent="0.3">
      <c r="A3106" s="19">
        <f t="shared" si="244"/>
        <v>50263</v>
      </c>
      <c r="B3106">
        <f t="shared" ca="1" si="240"/>
        <v>-11.419444444444444</v>
      </c>
      <c r="C3106" t="str">
        <f ca="1">IF(currency="USD",'Future et co'!D3106,IF(currency="EUR",'Future et co'!E3106,IF(currency="GBP",'Future et co'!F3106,FALSE)))</f>
        <v>RFR USD</v>
      </c>
      <c r="D3106" t="str">
        <f t="shared" ca="1" si="241"/>
        <v>RFR USD</v>
      </c>
      <c r="E3106" t="str">
        <f t="shared" ca="1" si="242"/>
        <v>RFR EUR</v>
      </c>
      <c r="F3106" t="str">
        <f t="shared" ca="1" si="243"/>
        <v>RFR GBP</v>
      </c>
      <c r="J3106" s="1"/>
      <c r="N3106" s="1"/>
      <c r="R3106" s="1"/>
      <c r="V3106" s="1"/>
      <c r="AB3106" s="1"/>
      <c r="AF3106" s="1"/>
      <c r="AJ3106" s="1"/>
      <c r="AN3106" s="1"/>
      <c r="AS3106" s="1"/>
      <c r="AX3106" s="1"/>
    </row>
    <row r="3107" spans="1:50" x14ac:dyDescent="0.3">
      <c r="A3107" s="19">
        <f t="shared" si="244"/>
        <v>50264</v>
      </c>
      <c r="B3107">
        <f t="shared" ca="1" si="240"/>
        <v>-11.422222222222222</v>
      </c>
      <c r="C3107" t="str">
        <f ca="1">IF(currency="USD",'Future et co'!D3107,IF(currency="EUR",'Future et co'!E3107,IF(currency="GBP",'Future et co'!F3107,FALSE)))</f>
        <v>RFR USD</v>
      </c>
      <c r="D3107" t="str">
        <f t="shared" ca="1" si="241"/>
        <v>RFR USD</v>
      </c>
      <c r="E3107" t="str">
        <f t="shared" ca="1" si="242"/>
        <v>RFR EUR</v>
      </c>
      <c r="F3107" t="str">
        <f t="shared" ca="1" si="243"/>
        <v>RFR GBP</v>
      </c>
      <c r="J3107" s="1"/>
      <c r="N3107" s="1"/>
      <c r="R3107" s="1"/>
      <c r="V3107" s="1"/>
      <c r="AB3107" s="1"/>
      <c r="AF3107" s="1"/>
      <c r="AJ3107" s="1"/>
      <c r="AN3107" s="1"/>
      <c r="AS3107" s="1"/>
      <c r="AX3107" s="1"/>
    </row>
    <row r="3108" spans="1:50" x14ac:dyDescent="0.3">
      <c r="A3108" s="19">
        <f t="shared" si="244"/>
        <v>50265</v>
      </c>
      <c r="B3108">
        <f t="shared" ca="1" si="240"/>
        <v>-11.425000000000001</v>
      </c>
      <c r="C3108" t="str">
        <f ca="1">IF(currency="USD",'Future et co'!D3108,IF(currency="EUR",'Future et co'!E3108,IF(currency="GBP",'Future et co'!F3108,FALSE)))</f>
        <v>RFR USD</v>
      </c>
      <c r="D3108" t="str">
        <f t="shared" ca="1" si="241"/>
        <v>RFR USD</v>
      </c>
      <c r="E3108" t="str">
        <f t="shared" ca="1" si="242"/>
        <v>RFR EUR</v>
      </c>
      <c r="F3108" t="str">
        <f t="shared" ca="1" si="243"/>
        <v>RFR GBP</v>
      </c>
      <c r="J3108" s="1"/>
      <c r="N3108" s="1"/>
      <c r="R3108" s="1"/>
      <c r="V3108" s="1"/>
      <c r="AB3108" s="1"/>
      <c r="AF3108" s="1"/>
      <c r="AJ3108" s="1"/>
      <c r="AN3108" s="1"/>
      <c r="AS3108" s="1"/>
      <c r="AX3108" s="1"/>
    </row>
    <row r="3109" spans="1:50" x14ac:dyDescent="0.3">
      <c r="A3109" s="19">
        <f t="shared" si="244"/>
        <v>50266</v>
      </c>
      <c r="B3109">
        <f t="shared" ca="1" si="240"/>
        <v>-11.427777777777777</v>
      </c>
      <c r="C3109" t="str">
        <f ca="1">IF(currency="USD",'Future et co'!D3109,IF(currency="EUR",'Future et co'!E3109,IF(currency="GBP",'Future et co'!F3109,FALSE)))</f>
        <v>RFR USD</v>
      </c>
      <c r="D3109" t="str">
        <f t="shared" ca="1" si="241"/>
        <v>RFR USD</v>
      </c>
      <c r="E3109" t="str">
        <f t="shared" ca="1" si="242"/>
        <v>RFR EUR</v>
      </c>
      <c r="F3109" t="str">
        <f t="shared" ca="1" si="243"/>
        <v>RFR GBP</v>
      </c>
      <c r="J3109" s="1"/>
      <c r="N3109" s="1"/>
      <c r="R3109" s="1"/>
      <c r="V3109" s="1"/>
      <c r="AB3109" s="1"/>
      <c r="AF3109" s="1"/>
      <c r="AJ3109" s="1"/>
      <c r="AN3109" s="1"/>
      <c r="AS3109" s="1"/>
      <c r="AX3109" s="1"/>
    </row>
    <row r="3110" spans="1:50" x14ac:dyDescent="0.3">
      <c r="A3110" s="19">
        <f t="shared" si="244"/>
        <v>50269</v>
      </c>
      <c r="B3110">
        <f t="shared" ca="1" si="240"/>
        <v>-11.436111111111112</v>
      </c>
      <c r="C3110" t="str">
        <f ca="1">IF(currency="USD",'Future et co'!D3110,IF(currency="EUR",'Future et co'!E3110,IF(currency="GBP",'Future et co'!F3110,FALSE)))</f>
        <v>RFR USD</v>
      </c>
      <c r="D3110" t="str">
        <f t="shared" ca="1" si="241"/>
        <v>RFR USD</v>
      </c>
      <c r="E3110" t="str">
        <f t="shared" ca="1" si="242"/>
        <v>RFR EUR</v>
      </c>
      <c r="F3110" t="str">
        <f t="shared" ca="1" si="243"/>
        <v>RFR GBP</v>
      </c>
      <c r="J3110" s="1"/>
      <c r="N3110" s="1"/>
      <c r="R3110" s="1"/>
      <c r="V3110" s="1"/>
      <c r="AB3110" s="1"/>
      <c r="AF3110" s="1"/>
      <c r="AJ3110" s="1"/>
      <c r="AN3110" s="1"/>
      <c r="AS3110" s="1"/>
      <c r="AX3110" s="1"/>
    </row>
    <row r="3111" spans="1:50" x14ac:dyDescent="0.3">
      <c r="A3111" s="19">
        <f t="shared" si="244"/>
        <v>50270</v>
      </c>
      <c r="B3111">
        <f t="shared" ca="1" si="240"/>
        <v>-11.438888888888888</v>
      </c>
      <c r="C3111" t="str">
        <f ca="1">IF(currency="USD",'Future et co'!D3111,IF(currency="EUR",'Future et co'!E3111,IF(currency="GBP",'Future et co'!F3111,FALSE)))</f>
        <v>RFR USD</v>
      </c>
      <c r="D3111" t="str">
        <f t="shared" ca="1" si="241"/>
        <v>RFR USD</v>
      </c>
      <c r="E3111" t="str">
        <f t="shared" ca="1" si="242"/>
        <v>RFR EUR</v>
      </c>
      <c r="F3111" t="str">
        <f t="shared" ca="1" si="243"/>
        <v>RFR GBP</v>
      </c>
      <c r="J3111" s="1"/>
      <c r="N3111" s="1"/>
      <c r="R3111" s="1"/>
      <c r="V3111" s="1"/>
      <c r="AB3111" s="1"/>
      <c r="AF3111" s="1"/>
      <c r="AJ3111" s="1"/>
      <c r="AN3111" s="1"/>
      <c r="AS3111" s="1"/>
      <c r="AX3111" s="1"/>
    </row>
    <row r="3112" spans="1:50" x14ac:dyDescent="0.3">
      <c r="A3112" s="19">
        <f t="shared" si="244"/>
        <v>50271</v>
      </c>
      <c r="B3112">
        <f t="shared" ca="1" si="240"/>
        <v>-11.441666666666666</v>
      </c>
      <c r="C3112" t="str">
        <f ca="1">IF(currency="USD",'Future et co'!D3112,IF(currency="EUR",'Future et co'!E3112,IF(currency="GBP",'Future et co'!F3112,FALSE)))</f>
        <v>RFR USD</v>
      </c>
      <c r="D3112" t="str">
        <f t="shared" ca="1" si="241"/>
        <v>RFR USD</v>
      </c>
      <c r="E3112" t="str">
        <f t="shared" ca="1" si="242"/>
        <v>RFR EUR</v>
      </c>
      <c r="F3112" t="str">
        <f t="shared" ca="1" si="243"/>
        <v>RFR GBP</v>
      </c>
      <c r="J3112" s="1"/>
      <c r="N3112" s="1"/>
      <c r="R3112" s="1"/>
      <c r="V3112" s="1"/>
      <c r="AB3112" s="1"/>
      <c r="AF3112" s="1"/>
      <c r="AJ3112" s="1"/>
      <c r="AN3112" s="1"/>
      <c r="AS3112" s="1"/>
      <c r="AX3112" s="1"/>
    </row>
    <row r="3113" spans="1:50" x14ac:dyDescent="0.3">
      <c r="A3113" s="19">
        <f t="shared" si="244"/>
        <v>50272</v>
      </c>
      <c r="B3113">
        <f t="shared" ca="1" si="240"/>
        <v>-11.444444444444445</v>
      </c>
      <c r="C3113" t="str">
        <f ca="1">IF(currency="USD",'Future et co'!D3113,IF(currency="EUR",'Future et co'!E3113,IF(currency="GBP",'Future et co'!F3113,FALSE)))</f>
        <v>RFR USD</v>
      </c>
      <c r="D3113" t="str">
        <f t="shared" ca="1" si="241"/>
        <v>RFR USD</v>
      </c>
      <c r="E3113" t="str">
        <f t="shared" ca="1" si="242"/>
        <v>RFR EUR</v>
      </c>
      <c r="F3113" t="str">
        <f t="shared" ca="1" si="243"/>
        <v>RFR GBP</v>
      </c>
      <c r="J3113" s="1"/>
      <c r="N3113" s="1"/>
      <c r="R3113" s="1"/>
      <c r="V3113" s="1"/>
      <c r="AB3113" s="1"/>
      <c r="AF3113" s="1"/>
      <c r="AJ3113" s="1"/>
      <c r="AN3113" s="1"/>
      <c r="AS3113" s="1"/>
      <c r="AX3113" s="1"/>
    </row>
    <row r="3114" spans="1:50" x14ac:dyDescent="0.3">
      <c r="A3114" s="19">
        <f t="shared" si="244"/>
        <v>50273</v>
      </c>
      <c r="B3114">
        <f t="shared" ca="1" si="240"/>
        <v>-11.447222222222223</v>
      </c>
      <c r="C3114" t="str">
        <f ca="1">IF(currency="USD",'Future et co'!D3114,IF(currency="EUR",'Future et co'!E3114,IF(currency="GBP",'Future et co'!F3114,FALSE)))</f>
        <v>RFR USD</v>
      </c>
      <c r="D3114" t="str">
        <f t="shared" ca="1" si="241"/>
        <v>RFR USD</v>
      </c>
      <c r="E3114" t="str">
        <f t="shared" ca="1" si="242"/>
        <v>RFR EUR</v>
      </c>
      <c r="F3114" t="str">
        <f t="shared" ca="1" si="243"/>
        <v>RFR GBP</v>
      </c>
      <c r="J3114" s="1"/>
      <c r="N3114" s="1"/>
      <c r="R3114" s="1"/>
      <c r="V3114" s="1"/>
      <c r="AB3114" s="1"/>
      <c r="AF3114" s="1"/>
      <c r="AJ3114" s="1"/>
      <c r="AN3114" s="1"/>
      <c r="AS3114" s="1"/>
      <c r="AX3114" s="1"/>
    </row>
    <row r="3115" spans="1:50" x14ac:dyDescent="0.3">
      <c r="A3115" s="19">
        <f t="shared" si="244"/>
        <v>50276</v>
      </c>
      <c r="B3115">
        <f t="shared" ca="1" si="240"/>
        <v>-11.455555555555556</v>
      </c>
      <c r="C3115" t="str">
        <f ca="1">IF(currency="USD",'Future et co'!D3115,IF(currency="EUR",'Future et co'!E3115,IF(currency="GBP",'Future et co'!F3115,FALSE)))</f>
        <v>RFR USD</v>
      </c>
      <c r="D3115" t="str">
        <f t="shared" ca="1" si="241"/>
        <v>RFR USD</v>
      </c>
      <c r="E3115" t="str">
        <f t="shared" ca="1" si="242"/>
        <v>RFR EUR</v>
      </c>
      <c r="F3115" t="str">
        <f t="shared" ca="1" si="243"/>
        <v>RFR GBP</v>
      </c>
      <c r="J3115" s="1"/>
      <c r="N3115" s="1"/>
      <c r="R3115" s="1"/>
      <c r="V3115" s="1"/>
      <c r="AB3115" s="1"/>
      <c r="AF3115" s="1"/>
      <c r="AJ3115" s="1"/>
      <c r="AN3115" s="1"/>
      <c r="AS3115" s="1"/>
      <c r="AX3115" s="1"/>
    </row>
    <row r="3116" spans="1:50" x14ac:dyDescent="0.3">
      <c r="A3116" s="19">
        <f t="shared" si="244"/>
        <v>50277</v>
      </c>
      <c r="B3116">
        <f t="shared" ca="1" si="240"/>
        <v>-11.458333333333334</v>
      </c>
      <c r="C3116" t="str">
        <f ca="1">IF(currency="USD",'Future et co'!D3116,IF(currency="EUR",'Future et co'!E3116,IF(currency="GBP",'Future et co'!F3116,FALSE)))</f>
        <v>RFR USD</v>
      </c>
      <c r="D3116" t="str">
        <f t="shared" ca="1" si="241"/>
        <v>RFR USD</v>
      </c>
      <c r="E3116" t="str">
        <f t="shared" ca="1" si="242"/>
        <v>RFR EUR</v>
      </c>
      <c r="F3116" t="str">
        <f t="shared" ca="1" si="243"/>
        <v>RFR GBP</v>
      </c>
      <c r="J3116" s="1"/>
      <c r="N3116" s="1"/>
      <c r="R3116" s="1"/>
      <c r="V3116" s="1"/>
      <c r="AB3116" s="1"/>
      <c r="AF3116" s="1"/>
      <c r="AJ3116" s="1"/>
      <c r="AN3116" s="1"/>
      <c r="AS3116" s="1"/>
      <c r="AX3116" s="1"/>
    </row>
    <row r="3117" spans="1:50" x14ac:dyDescent="0.3">
      <c r="A3117" s="19">
        <f t="shared" si="244"/>
        <v>50278</v>
      </c>
      <c r="B3117">
        <f t="shared" ca="1" si="240"/>
        <v>-11.46111111111111</v>
      </c>
      <c r="C3117" t="str">
        <f ca="1">IF(currency="USD",'Future et co'!D3117,IF(currency="EUR",'Future et co'!E3117,IF(currency="GBP",'Future et co'!F3117,FALSE)))</f>
        <v>RFR USD</v>
      </c>
      <c r="D3117" t="str">
        <f t="shared" ca="1" si="241"/>
        <v>RFR USD</v>
      </c>
      <c r="E3117" t="str">
        <f t="shared" ca="1" si="242"/>
        <v>RFR EUR</v>
      </c>
      <c r="F3117" t="str">
        <f t="shared" ca="1" si="243"/>
        <v>RFR GBP</v>
      </c>
      <c r="J3117" s="1"/>
      <c r="N3117" s="1"/>
      <c r="R3117" s="1"/>
      <c r="V3117" s="1"/>
      <c r="AB3117" s="1"/>
      <c r="AF3117" s="1"/>
      <c r="AJ3117" s="1"/>
      <c r="AN3117" s="1"/>
      <c r="AS3117" s="1"/>
      <c r="AX3117" s="1"/>
    </row>
    <row r="3118" spans="1:50" x14ac:dyDescent="0.3">
      <c r="A3118" s="19">
        <f t="shared" si="244"/>
        <v>50279</v>
      </c>
      <c r="B3118">
        <f t="shared" ca="1" si="240"/>
        <v>-11.463888888888889</v>
      </c>
      <c r="C3118" t="str">
        <f ca="1">IF(currency="USD",'Future et co'!D3118,IF(currency="EUR",'Future et co'!E3118,IF(currency="GBP",'Future et co'!F3118,FALSE)))</f>
        <v>RFR USD</v>
      </c>
      <c r="D3118" t="str">
        <f t="shared" ca="1" si="241"/>
        <v>RFR USD</v>
      </c>
      <c r="E3118" t="str">
        <f t="shared" ca="1" si="242"/>
        <v>RFR EUR</v>
      </c>
      <c r="F3118" t="str">
        <f t="shared" ca="1" si="243"/>
        <v>RFR GBP</v>
      </c>
      <c r="J3118" s="1"/>
      <c r="N3118" s="1"/>
      <c r="R3118" s="1"/>
      <c r="V3118" s="1"/>
      <c r="AB3118" s="1"/>
      <c r="AF3118" s="1"/>
      <c r="AJ3118" s="1"/>
      <c r="AN3118" s="1"/>
      <c r="AS3118" s="1"/>
      <c r="AX3118" s="1"/>
    </row>
    <row r="3119" spans="1:50" x14ac:dyDescent="0.3">
      <c r="A3119" s="19">
        <f t="shared" si="244"/>
        <v>50280</v>
      </c>
      <c r="B3119">
        <f t="shared" ca="1" si="240"/>
        <v>-11.466666666666667</v>
      </c>
      <c r="C3119" t="str">
        <f ca="1">IF(currency="USD",'Future et co'!D3119,IF(currency="EUR",'Future et co'!E3119,IF(currency="GBP",'Future et co'!F3119,FALSE)))</f>
        <v>RFR USD</v>
      </c>
      <c r="D3119" t="str">
        <f t="shared" ca="1" si="241"/>
        <v>RFR USD</v>
      </c>
      <c r="E3119" t="str">
        <f t="shared" ca="1" si="242"/>
        <v>RFR EUR</v>
      </c>
      <c r="F3119" t="str">
        <f t="shared" ca="1" si="243"/>
        <v>RFR GBP</v>
      </c>
      <c r="J3119" s="1"/>
      <c r="N3119" s="1"/>
      <c r="R3119" s="1"/>
      <c r="V3119" s="1"/>
      <c r="AB3119" s="1"/>
      <c r="AF3119" s="1"/>
      <c r="AJ3119" s="1"/>
      <c r="AN3119" s="1"/>
      <c r="AS3119" s="1"/>
      <c r="AX3119" s="1"/>
    </row>
    <row r="3120" spans="1:50" x14ac:dyDescent="0.3">
      <c r="A3120" s="19">
        <f t="shared" si="244"/>
        <v>50283</v>
      </c>
      <c r="B3120">
        <f t="shared" ca="1" si="240"/>
        <v>-11.475</v>
      </c>
      <c r="C3120" t="str">
        <f ca="1">IF(currency="USD",'Future et co'!D3120,IF(currency="EUR",'Future et co'!E3120,IF(currency="GBP",'Future et co'!F3120,FALSE)))</f>
        <v>RFR USD</v>
      </c>
      <c r="D3120" t="str">
        <f t="shared" ca="1" si="241"/>
        <v>RFR USD</v>
      </c>
      <c r="E3120" t="str">
        <f t="shared" ca="1" si="242"/>
        <v>RFR EUR</v>
      </c>
      <c r="F3120" t="str">
        <f t="shared" ca="1" si="243"/>
        <v>RFR GBP</v>
      </c>
      <c r="J3120" s="1"/>
      <c r="N3120" s="1"/>
      <c r="R3120" s="1"/>
      <c r="V3120" s="1"/>
      <c r="AB3120" s="1"/>
      <c r="AF3120" s="1"/>
      <c r="AJ3120" s="1"/>
      <c r="AN3120" s="1"/>
      <c r="AS3120" s="1"/>
      <c r="AX3120" s="1"/>
    </row>
    <row r="3121" spans="1:50" x14ac:dyDescent="0.3">
      <c r="A3121" s="19">
        <f t="shared" si="244"/>
        <v>50284</v>
      </c>
      <c r="B3121">
        <f t="shared" ca="1" si="240"/>
        <v>-11.477777777777778</v>
      </c>
      <c r="C3121" t="str">
        <f ca="1">IF(currency="USD",'Future et co'!D3121,IF(currency="EUR",'Future et co'!E3121,IF(currency="GBP",'Future et co'!F3121,FALSE)))</f>
        <v>RFR USD</v>
      </c>
      <c r="D3121" t="str">
        <f t="shared" ca="1" si="241"/>
        <v>RFR USD</v>
      </c>
      <c r="E3121" t="str">
        <f t="shared" ca="1" si="242"/>
        <v>RFR EUR</v>
      </c>
      <c r="F3121" t="str">
        <f t="shared" ca="1" si="243"/>
        <v>RFR GBP</v>
      </c>
      <c r="J3121" s="1"/>
      <c r="N3121" s="1"/>
      <c r="R3121" s="1"/>
      <c r="V3121" s="1"/>
      <c r="AB3121" s="1"/>
      <c r="AF3121" s="1"/>
      <c r="AJ3121" s="1"/>
      <c r="AN3121" s="1"/>
      <c r="AS3121" s="1"/>
      <c r="AX3121" s="1"/>
    </row>
    <row r="3122" spans="1:50" x14ac:dyDescent="0.3">
      <c r="A3122" s="19">
        <f t="shared" si="244"/>
        <v>50285</v>
      </c>
      <c r="B3122">
        <f t="shared" ca="1" si="240"/>
        <v>-11.480555555555556</v>
      </c>
      <c r="C3122" t="str">
        <f ca="1">IF(currency="USD",'Future et co'!D3122,IF(currency="EUR",'Future et co'!E3122,IF(currency="GBP",'Future et co'!F3122,FALSE)))</f>
        <v>RFR USD</v>
      </c>
      <c r="D3122" t="str">
        <f t="shared" ca="1" si="241"/>
        <v>RFR USD</v>
      </c>
      <c r="E3122" t="str">
        <f t="shared" ca="1" si="242"/>
        <v>RFR EUR</v>
      </c>
      <c r="F3122" t="str">
        <f t="shared" ca="1" si="243"/>
        <v>RFR GBP</v>
      </c>
      <c r="J3122" s="1"/>
      <c r="N3122" s="1"/>
      <c r="R3122" s="1"/>
      <c r="V3122" s="1"/>
      <c r="AB3122" s="1"/>
      <c r="AF3122" s="1"/>
      <c r="AJ3122" s="1"/>
      <c r="AN3122" s="1"/>
      <c r="AS3122" s="1"/>
      <c r="AX3122" s="1"/>
    </row>
    <row r="3123" spans="1:50" x14ac:dyDescent="0.3">
      <c r="A3123" s="19">
        <f t="shared" si="244"/>
        <v>50286</v>
      </c>
      <c r="B3123">
        <f t="shared" ca="1" si="240"/>
        <v>-11.483333333333333</v>
      </c>
      <c r="C3123" t="str">
        <f ca="1">IF(currency="USD",'Future et co'!D3123,IF(currency="EUR",'Future et co'!E3123,IF(currency="GBP",'Future et co'!F3123,FALSE)))</f>
        <v>RFR USD</v>
      </c>
      <c r="D3123" t="str">
        <f t="shared" ca="1" si="241"/>
        <v>RFR USD</v>
      </c>
      <c r="E3123" t="str">
        <f t="shared" ca="1" si="242"/>
        <v>RFR EUR</v>
      </c>
      <c r="F3123" t="str">
        <f t="shared" ca="1" si="243"/>
        <v>RFR GBP</v>
      </c>
      <c r="J3123" s="1"/>
      <c r="N3123" s="1"/>
      <c r="R3123" s="1"/>
      <c r="V3123" s="1"/>
      <c r="AB3123" s="1"/>
      <c r="AF3123" s="1"/>
      <c r="AJ3123" s="1"/>
      <c r="AN3123" s="1"/>
      <c r="AS3123" s="1"/>
      <c r="AX3123" s="1"/>
    </row>
    <row r="3124" spans="1:50" x14ac:dyDescent="0.3">
      <c r="A3124" s="19">
        <f t="shared" si="244"/>
        <v>50287</v>
      </c>
      <c r="B3124">
        <f t="shared" ca="1" si="240"/>
        <v>-11.486111111111111</v>
      </c>
      <c r="C3124" t="str">
        <f ca="1">IF(currency="USD",'Future et co'!D3124,IF(currency="EUR",'Future et co'!E3124,IF(currency="GBP",'Future et co'!F3124,FALSE)))</f>
        <v>RFR USD</v>
      </c>
      <c r="D3124" t="str">
        <f t="shared" ca="1" si="241"/>
        <v>RFR USD</v>
      </c>
      <c r="E3124" t="str">
        <f t="shared" ca="1" si="242"/>
        <v>RFR EUR</v>
      </c>
      <c r="F3124" t="str">
        <f t="shared" ca="1" si="243"/>
        <v>RFR GBP</v>
      </c>
      <c r="J3124" s="1"/>
      <c r="N3124" s="1"/>
      <c r="R3124" s="1"/>
      <c r="V3124" s="1"/>
      <c r="AB3124" s="1"/>
      <c r="AF3124" s="1"/>
      <c r="AJ3124" s="1"/>
      <c r="AN3124" s="1"/>
      <c r="AS3124" s="1"/>
      <c r="AX3124" s="1"/>
    </row>
    <row r="3125" spans="1:50" x14ac:dyDescent="0.3">
      <c r="A3125" s="19">
        <f t="shared" si="244"/>
        <v>50290</v>
      </c>
      <c r="B3125">
        <f t="shared" ca="1" si="240"/>
        <v>-11.494444444444444</v>
      </c>
      <c r="C3125" t="str">
        <f ca="1">IF(currency="USD",'Future et co'!D3125,IF(currency="EUR",'Future et co'!E3125,IF(currency="GBP",'Future et co'!F3125,FALSE)))</f>
        <v>RFR USD</v>
      </c>
      <c r="D3125" t="str">
        <f t="shared" ca="1" si="241"/>
        <v>RFR USD</v>
      </c>
      <c r="E3125" t="str">
        <f t="shared" ca="1" si="242"/>
        <v>RFR EUR</v>
      </c>
      <c r="F3125" t="str">
        <f t="shared" ca="1" si="243"/>
        <v>RFR GBP</v>
      </c>
      <c r="J3125" s="1"/>
      <c r="N3125" s="1"/>
      <c r="R3125" s="1"/>
      <c r="V3125" s="1"/>
      <c r="AB3125" s="1"/>
      <c r="AF3125" s="1"/>
      <c r="AJ3125" s="1"/>
      <c r="AN3125" s="1"/>
      <c r="AS3125" s="1"/>
      <c r="AX3125" s="1"/>
    </row>
    <row r="3126" spans="1:50" x14ac:dyDescent="0.3">
      <c r="A3126" s="19">
        <f t="shared" si="244"/>
        <v>50291</v>
      </c>
      <c r="B3126">
        <f t="shared" ca="1" si="240"/>
        <v>-11.497222222222222</v>
      </c>
      <c r="C3126" t="str">
        <f ca="1">IF(currency="USD",'Future et co'!D3126,IF(currency="EUR",'Future et co'!E3126,IF(currency="GBP",'Future et co'!F3126,FALSE)))</f>
        <v>RFR USD</v>
      </c>
      <c r="D3126" t="str">
        <f t="shared" ca="1" si="241"/>
        <v>RFR USD</v>
      </c>
      <c r="E3126" t="str">
        <f t="shared" ca="1" si="242"/>
        <v>RFR EUR</v>
      </c>
      <c r="F3126" t="str">
        <f t="shared" ca="1" si="243"/>
        <v>RFR GBP</v>
      </c>
      <c r="J3126" s="1"/>
      <c r="N3126" s="1"/>
      <c r="R3126" s="1"/>
      <c r="V3126" s="1"/>
      <c r="AB3126" s="1"/>
      <c r="AF3126" s="1"/>
      <c r="AJ3126" s="1"/>
      <c r="AN3126" s="1"/>
      <c r="AS3126" s="1"/>
      <c r="AX3126" s="1"/>
    </row>
    <row r="3127" spans="1:50" x14ac:dyDescent="0.3">
      <c r="A3127" s="19">
        <f t="shared" si="244"/>
        <v>50292</v>
      </c>
      <c r="B3127">
        <f t="shared" ca="1" si="240"/>
        <v>-11.5</v>
      </c>
      <c r="C3127" t="str">
        <f ca="1">IF(currency="USD",'Future et co'!D3127,IF(currency="EUR",'Future et co'!E3127,IF(currency="GBP",'Future et co'!F3127,FALSE)))</f>
        <v>RFR USD</v>
      </c>
      <c r="D3127" t="str">
        <f t="shared" ca="1" si="241"/>
        <v>RFR USD</v>
      </c>
      <c r="E3127" t="str">
        <f t="shared" ca="1" si="242"/>
        <v>RFR EUR</v>
      </c>
      <c r="F3127" t="str">
        <f t="shared" ca="1" si="243"/>
        <v>RFR GBP</v>
      </c>
      <c r="J3127" s="1"/>
      <c r="N3127" s="1"/>
      <c r="R3127" s="1"/>
      <c r="V3127" s="1"/>
      <c r="AB3127" s="1"/>
      <c r="AF3127" s="1"/>
      <c r="AJ3127" s="1"/>
      <c r="AN3127" s="1"/>
      <c r="AS3127" s="1"/>
      <c r="AX3127" s="1"/>
    </row>
    <row r="3128" spans="1:50" x14ac:dyDescent="0.3">
      <c r="A3128" s="19">
        <f t="shared" si="244"/>
        <v>50293</v>
      </c>
      <c r="B3128">
        <f t="shared" ca="1" si="240"/>
        <v>-11.502777777777778</v>
      </c>
      <c r="C3128" t="str">
        <f ca="1">IF(currency="USD",'Future et co'!D3128,IF(currency="EUR",'Future et co'!E3128,IF(currency="GBP",'Future et co'!F3128,FALSE)))</f>
        <v>RFR USD</v>
      </c>
      <c r="D3128" t="str">
        <f t="shared" ca="1" si="241"/>
        <v>RFR USD</v>
      </c>
      <c r="E3128" t="str">
        <f t="shared" ca="1" si="242"/>
        <v>RFR EUR</v>
      </c>
      <c r="F3128" t="str">
        <f t="shared" ca="1" si="243"/>
        <v>RFR GBP</v>
      </c>
      <c r="J3128" s="1"/>
      <c r="N3128" s="1"/>
      <c r="R3128" s="1"/>
      <c r="V3128" s="1"/>
      <c r="AB3128" s="1"/>
      <c r="AF3128" s="1"/>
      <c r="AJ3128" s="1"/>
      <c r="AN3128" s="1"/>
      <c r="AS3128" s="1"/>
      <c r="AX3128" s="1"/>
    </row>
    <row r="3129" spans="1:50" x14ac:dyDescent="0.3">
      <c r="A3129" s="19">
        <f t="shared" si="244"/>
        <v>50294</v>
      </c>
      <c r="B3129">
        <f t="shared" ca="1" si="240"/>
        <v>-11.505555555555556</v>
      </c>
      <c r="C3129" t="str">
        <f ca="1">IF(currency="USD",'Future et co'!D3129,IF(currency="EUR",'Future et co'!E3129,IF(currency="GBP",'Future et co'!F3129,FALSE)))</f>
        <v>RFR USD</v>
      </c>
      <c r="D3129" t="str">
        <f t="shared" ca="1" si="241"/>
        <v>RFR USD</v>
      </c>
      <c r="E3129" t="str">
        <f t="shared" ca="1" si="242"/>
        <v>RFR EUR</v>
      </c>
      <c r="F3129" t="str">
        <f t="shared" ca="1" si="243"/>
        <v>RFR GBP</v>
      </c>
      <c r="J3129" s="1"/>
      <c r="N3129" s="1"/>
      <c r="R3129" s="1"/>
      <c r="V3129" s="1"/>
      <c r="AB3129" s="1"/>
      <c r="AF3129" s="1"/>
      <c r="AJ3129" s="1"/>
      <c r="AN3129" s="1"/>
      <c r="AS3129" s="1"/>
      <c r="AX3129" s="1"/>
    </row>
    <row r="3130" spans="1:50" x14ac:dyDescent="0.3">
      <c r="A3130" s="19">
        <f t="shared" si="244"/>
        <v>50297</v>
      </c>
      <c r="B3130">
        <f t="shared" ca="1" si="240"/>
        <v>-11.513888888888889</v>
      </c>
      <c r="C3130" t="str">
        <f ca="1">IF(currency="USD",'Future et co'!D3130,IF(currency="EUR",'Future et co'!E3130,IF(currency="GBP",'Future et co'!F3130,FALSE)))</f>
        <v>RFR USD</v>
      </c>
      <c r="D3130" t="str">
        <f t="shared" ca="1" si="241"/>
        <v>RFR USD</v>
      </c>
      <c r="E3130" t="str">
        <f t="shared" ca="1" si="242"/>
        <v>RFR EUR</v>
      </c>
      <c r="F3130" t="str">
        <f t="shared" ca="1" si="243"/>
        <v>RFR GBP</v>
      </c>
      <c r="J3130" s="1"/>
      <c r="N3130" s="1"/>
      <c r="R3130" s="1"/>
      <c r="V3130" s="1"/>
      <c r="AB3130" s="1"/>
      <c r="AF3130" s="1"/>
      <c r="AJ3130" s="1"/>
      <c r="AN3130" s="1"/>
      <c r="AS3130" s="1"/>
      <c r="AX3130" s="1"/>
    </row>
    <row r="3131" spans="1:50" x14ac:dyDescent="0.3">
      <c r="A3131" s="19">
        <f t="shared" si="244"/>
        <v>50298</v>
      </c>
      <c r="B3131">
        <f t="shared" ca="1" si="240"/>
        <v>-11.516666666666667</v>
      </c>
      <c r="C3131" t="str">
        <f ca="1">IF(currency="USD",'Future et co'!D3131,IF(currency="EUR",'Future et co'!E3131,IF(currency="GBP",'Future et co'!F3131,FALSE)))</f>
        <v>RFR USD</v>
      </c>
      <c r="D3131" t="str">
        <f t="shared" ca="1" si="241"/>
        <v>RFR USD</v>
      </c>
      <c r="E3131" t="str">
        <f t="shared" ca="1" si="242"/>
        <v>RFR EUR</v>
      </c>
      <c r="F3131" t="str">
        <f t="shared" ca="1" si="243"/>
        <v>RFR GBP</v>
      </c>
      <c r="J3131" s="1"/>
      <c r="N3131" s="1"/>
      <c r="R3131" s="1"/>
      <c r="V3131" s="1"/>
      <c r="AB3131" s="1"/>
      <c r="AF3131" s="1"/>
      <c r="AJ3131" s="1"/>
      <c r="AN3131" s="1"/>
      <c r="AS3131" s="1"/>
      <c r="AX3131" s="1"/>
    </row>
    <row r="3132" spans="1:50" x14ac:dyDescent="0.3">
      <c r="A3132" s="19">
        <f t="shared" si="244"/>
        <v>50299</v>
      </c>
      <c r="B3132">
        <f t="shared" ca="1" si="240"/>
        <v>-11.519444444444444</v>
      </c>
      <c r="C3132" t="str">
        <f ca="1">IF(currency="USD",'Future et co'!D3132,IF(currency="EUR",'Future et co'!E3132,IF(currency="GBP",'Future et co'!F3132,FALSE)))</f>
        <v>RFR USD</v>
      </c>
      <c r="D3132" t="str">
        <f t="shared" ca="1" si="241"/>
        <v>RFR USD</v>
      </c>
      <c r="E3132" t="str">
        <f t="shared" ca="1" si="242"/>
        <v>RFR EUR</v>
      </c>
      <c r="F3132" t="str">
        <f t="shared" ca="1" si="243"/>
        <v>RFR GBP</v>
      </c>
      <c r="J3132" s="1"/>
      <c r="N3132" s="1"/>
      <c r="R3132" s="1"/>
      <c r="V3132" s="1"/>
      <c r="AB3132" s="1"/>
      <c r="AF3132" s="1"/>
      <c r="AJ3132" s="1"/>
      <c r="AN3132" s="1"/>
      <c r="AS3132" s="1"/>
      <c r="AX3132" s="1"/>
    </row>
    <row r="3133" spans="1:50" x14ac:dyDescent="0.3">
      <c r="A3133" s="19">
        <f t="shared" si="244"/>
        <v>50300</v>
      </c>
      <c r="B3133">
        <f t="shared" ca="1" si="240"/>
        <v>-11.522222222222222</v>
      </c>
      <c r="C3133" t="str">
        <f ca="1">IF(currency="USD",'Future et co'!D3133,IF(currency="EUR",'Future et co'!E3133,IF(currency="GBP",'Future et co'!F3133,FALSE)))</f>
        <v>RFR USD</v>
      </c>
      <c r="D3133" t="str">
        <f t="shared" ca="1" si="241"/>
        <v>RFR USD</v>
      </c>
      <c r="E3133" t="str">
        <f t="shared" ca="1" si="242"/>
        <v>RFR EUR</v>
      </c>
      <c r="F3133" t="str">
        <f t="shared" ca="1" si="243"/>
        <v>RFR GBP</v>
      </c>
      <c r="J3133" s="1"/>
      <c r="N3133" s="1"/>
      <c r="R3133" s="1"/>
      <c r="V3133" s="1"/>
      <c r="AB3133" s="1"/>
      <c r="AF3133" s="1"/>
      <c r="AJ3133" s="1"/>
      <c r="AN3133" s="1"/>
      <c r="AS3133" s="1"/>
      <c r="AX3133" s="1"/>
    </row>
    <row r="3134" spans="1:50" x14ac:dyDescent="0.3">
      <c r="A3134" s="19">
        <f t="shared" si="244"/>
        <v>50301</v>
      </c>
      <c r="B3134">
        <f t="shared" ca="1" si="240"/>
        <v>-11.525</v>
      </c>
      <c r="C3134" t="str">
        <f ca="1">IF(currency="USD",'Future et co'!D3134,IF(currency="EUR",'Future et co'!E3134,IF(currency="GBP",'Future et co'!F3134,FALSE)))</f>
        <v>RFR USD</v>
      </c>
      <c r="D3134" t="str">
        <f t="shared" ca="1" si="241"/>
        <v>RFR USD</v>
      </c>
      <c r="E3134" t="str">
        <f t="shared" ca="1" si="242"/>
        <v>RFR EUR</v>
      </c>
      <c r="F3134" t="str">
        <f t="shared" ca="1" si="243"/>
        <v>RFR GBP</v>
      </c>
      <c r="J3134" s="1"/>
      <c r="N3134" s="1"/>
      <c r="R3134" s="1"/>
      <c r="V3134" s="1"/>
      <c r="AB3134" s="1"/>
      <c r="AF3134" s="1"/>
      <c r="AJ3134" s="1"/>
      <c r="AN3134" s="1"/>
      <c r="AS3134" s="1"/>
      <c r="AX3134" s="1"/>
    </row>
    <row r="3135" spans="1:50" x14ac:dyDescent="0.3">
      <c r="A3135" s="19">
        <f t="shared" si="244"/>
        <v>50304</v>
      </c>
      <c r="B3135">
        <f t="shared" ca="1" si="240"/>
        <v>-11.533333333333333</v>
      </c>
      <c r="C3135" t="str">
        <f ca="1">IF(currency="USD",'Future et co'!D3135,IF(currency="EUR",'Future et co'!E3135,IF(currency="GBP",'Future et co'!F3135,FALSE)))</f>
        <v>RFR USD</v>
      </c>
      <c r="D3135" t="str">
        <f t="shared" ca="1" si="241"/>
        <v>RFR USD</v>
      </c>
      <c r="E3135" t="str">
        <f t="shared" ca="1" si="242"/>
        <v>RFR EUR</v>
      </c>
      <c r="F3135" t="str">
        <f t="shared" ca="1" si="243"/>
        <v>RFR GBP</v>
      </c>
      <c r="J3135" s="1"/>
      <c r="N3135" s="1"/>
      <c r="R3135" s="1"/>
      <c r="V3135" s="1"/>
      <c r="AB3135" s="1"/>
      <c r="AF3135" s="1"/>
      <c r="AJ3135" s="1"/>
      <c r="AN3135" s="1"/>
      <c r="AS3135" s="1"/>
      <c r="AX3135" s="1"/>
    </row>
    <row r="3136" spans="1:50" x14ac:dyDescent="0.3">
      <c r="A3136" s="19">
        <f t="shared" si="244"/>
        <v>50305</v>
      </c>
      <c r="B3136">
        <f t="shared" ca="1" si="240"/>
        <v>-11.536111111111111</v>
      </c>
      <c r="C3136" t="str">
        <f ca="1">IF(currency="USD",'Future et co'!D3136,IF(currency="EUR",'Future et co'!E3136,IF(currency="GBP",'Future et co'!F3136,FALSE)))</f>
        <v>RFR USD</v>
      </c>
      <c r="D3136" t="str">
        <f t="shared" ca="1" si="241"/>
        <v>RFR USD</v>
      </c>
      <c r="E3136" t="str">
        <f t="shared" ca="1" si="242"/>
        <v>RFR EUR</v>
      </c>
      <c r="F3136" t="str">
        <f t="shared" ca="1" si="243"/>
        <v>RFR GBP</v>
      </c>
      <c r="J3136" s="1"/>
      <c r="N3136" s="1"/>
      <c r="R3136" s="1"/>
      <c r="V3136" s="1"/>
      <c r="AB3136" s="1"/>
      <c r="AF3136" s="1"/>
      <c r="AJ3136" s="1"/>
      <c r="AN3136" s="1"/>
      <c r="AS3136" s="1"/>
      <c r="AX3136" s="1"/>
    </row>
    <row r="3137" spans="1:50" x14ac:dyDescent="0.3">
      <c r="A3137" s="19">
        <f t="shared" si="244"/>
        <v>50306</v>
      </c>
      <c r="B3137">
        <f t="shared" ca="1" si="240"/>
        <v>-11.53888888888889</v>
      </c>
      <c r="C3137" t="str">
        <f ca="1">IF(currency="USD",'Future et co'!D3137,IF(currency="EUR",'Future et co'!E3137,IF(currency="GBP",'Future et co'!F3137,FALSE)))</f>
        <v>RFR USD</v>
      </c>
      <c r="D3137" t="str">
        <f t="shared" ca="1" si="241"/>
        <v>RFR USD</v>
      </c>
      <c r="E3137" t="str">
        <f t="shared" ca="1" si="242"/>
        <v>RFR EUR</v>
      </c>
      <c r="F3137" t="str">
        <f t="shared" ca="1" si="243"/>
        <v>RFR GBP</v>
      </c>
      <c r="J3137" s="1"/>
      <c r="N3137" s="1"/>
      <c r="R3137" s="1"/>
      <c r="V3137" s="1"/>
      <c r="AB3137" s="1"/>
      <c r="AF3137" s="1"/>
      <c r="AJ3137" s="1"/>
      <c r="AN3137" s="1"/>
      <c r="AS3137" s="1"/>
      <c r="AX3137" s="1"/>
    </row>
    <row r="3138" spans="1:50" x14ac:dyDescent="0.3">
      <c r="A3138" s="19">
        <f t="shared" si="244"/>
        <v>50307</v>
      </c>
      <c r="B3138">
        <f t="shared" ca="1" si="240"/>
        <v>-11.541666666666666</v>
      </c>
      <c r="C3138" t="str">
        <f ca="1">IF(currency="USD",'Future et co'!D3138,IF(currency="EUR",'Future et co'!E3138,IF(currency="GBP",'Future et co'!F3138,FALSE)))</f>
        <v>RFR USD</v>
      </c>
      <c r="D3138" t="str">
        <f t="shared" ca="1" si="241"/>
        <v>RFR USD</v>
      </c>
      <c r="E3138" t="str">
        <f t="shared" ca="1" si="242"/>
        <v>RFR EUR</v>
      </c>
      <c r="F3138" t="str">
        <f t="shared" ca="1" si="243"/>
        <v>RFR GBP</v>
      </c>
      <c r="J3138" s="1"/>
      <c r="N3138" s="1"/>
      <c r="R3138" s="1"/>
      <c r="V3138" s="1"/>
      <c r="AB3138" s="1"/>
      <c r="AF3138" s="1"/>
      <c r="AJ3138" s="1"/>
      <c r="AN3138" s="1"/>
      <c r="AS3138" s="1"/>
      <c r="AX3138" s="1"/>
    </row>
    <row r="3139" spans="1:50" x14ac:dyDescent="0.3">
      <c r="A3139" s="19">
        <f t="shared" si="244"/>
        <v>50308</v>
      </c>
      <c r="B3139">
        <f t="shared" ca="1" si="240"/>
        <v>-11.544444444444444</v>
      </c>
      <c r="C3139" t="str">
        <f ca="1">IF(currency="USD",'Future et co'!D3139,IF(currency="EUR",'Future et co'!E3139,IF(currency="GBP",'Future et co'!F3139,FALSE)))</f>
        <v>RFR USD</v>
      </c>
      <c r="D3139" t="str">
        <f t="shared" ca="1" si="241"/>
        <v>RFR USD</v>
      </c>
      <c r="E3139" t="str">
        <f t="shared" ca="1" si="242"/>
        <v>RFR EUR</v>
      </c>
      <c r="F3139" t="str">
        <f t="shared" ca="1" si="243"/>
        <v>RFR GBP</v>
      </c>
      <c r="J3139" s="1"/>
      <c r="N3139" s="1"/>
      <c r="R3139" s="1"/>
      <c r="V3139" s="1"/>
      <c r="AB3139" s="1"/>
      <c r="AF3139" s="1"/>
      <c r="AJ3139" s="1"/>
      <c r="AN3139" s="1"/>
      <c r="AS3139" s="1"/>
      <c r="AX3139" s="1"/>
    </row>
    <row r="3140" spans="1:50" x14ac:dyDescent="0.3">
      <c r="A3140" s="19">
        <f t="shared" si="244"/>
        <v>50311</v>
      </c>
      <c r="B3140">
        <f t="shared" ca="1" si="240"/>
        <v>-11.552777777777777</v>
      </c>
      <c r="C3140" t="str">
        <f ca="1">IF(currency="USD",'Future et co'!D3140,IF(currency="EUR",'Future et co'!E3140,IF(currency="GBP",'Future et co'!F3140,FALSE)))</f>
        <v>RFR USD</v>
      </c>
      <c r="D3140" t="str">
        <f t="shared" ca="1" si="241"/>
        <v>RFR USD</v>
      </c>
      <c r="E3140" t="str">
        <f t="shared" ca="1" si="242"/>
        <v>RFR EUR</v>
      </c>
      <c r="F3140" t="str">
        <f t="shared" ca="1" si="243"/>
        <v>RFR GBP</v>
      </c>
      <c r="J3140" s="1"/>
      <c r="N3140" s="1"/>
      <c r="R3140" s="1"/>
      <c r="V3140" s="1"/>
      <c r="AB3140" s="1"/>
      <c r="AF3140" s="1"/>
      <c r="AJ3140" s="1"/>
      <c r="AN3140" s="1"/>
      <c r="AS3140" s="1"/>
      <c r="AX3140" s="1"/>
    </row>
    <row r="3141" spans="1:50" x14ac:dyDescent="0.3">
      <c r="A3141" s="19">
        <f t="shared" si="244"/>
        <v>50312</v>
      </c>
      <c r="B3141">
        <f t="shared" ca="1" si="240"/>
        <v>-11.555555555555555</v>
      </c>
      <c r="C3141" t="str">
        <f ca="1">IF(currency="USD",'Future et co'!D3141,IF(currency="EUR",'Future et co'!E3141,IF(currency="GBP",'Future et co'!F3141,FALSE)))</f>
        <v>RFR USD</v>
      </c>
      <c r="D3141" t="str">
        <f t="shared" ca="1" si="241"/>
        <v>RFR USD</v>
      </c>
      <c r="E3141" t="str">
        <f t="shared" ca="1" si="242"/>
        <v>RFR EUR</v>
      </c>
      <c r="F3141" t="str">
        <f t="shared" ca="1" si="243"/>
        <v>RFR GBP</v>
      </c>
      <c r="J3141" s="1"/>
      <c r="N3141" s="1"/>
      <c r="R3141" s="1"/>
      <c r="V3141" s="1"/>
      <c r="AB3141" s="1"/>
      <c r="AF3141" s="1"/>
      <c r="AJ3141" s="1"/>
      <c r="AN3141" s="1"/>
      <c r="AS3141" s="1"/>
      <c r="AX3141" s="1"/>
    </row>
    <row r="3142" spans="1:50" x14ac:dyDescent="0.3">
      <c r="A3142" s="19">
        <f t="shared" si="244"/>
        <v>50313</v>
      </c>
      <c r="B3142">
        <f t="shared" ca="1" si="240"/>
        <v>-11.558333333333334</v>
      </c>
      <c r="C3142" t="str">
        <f ca="1">IF(currency="USD",'Future et co'!D3142,IF(currency="EUR",'Future et co'!E3142,IF(currency="GBP",'Future et co'!F3142,FALSE)))</f>
        <v>RFR USD</v>
      </c>
      <c r="D3142" t="str">
        <f t="shared" ca="1" si="241"/>
        <v>RFR USD</v>
      </c>
      <c r="E3142" t="str">
        <f t="shared" ca="1" si="242"/>
        <v>RFR EUR</v>
      </c>
      <c r="F3142" t="str">
        <f t="shared" ca="1" si="243"/>
        <v>RFR GBP</v>
      </c>
      <c r="J3142" s="1"/>
      <c r="N3142" s="1"/>
      <c r="R3142" s="1"/>
      <c r="V3142" s="1"/>
      <c r="AB3142" s="1"/>
      <c r="AF3142" s="1"/>
      <c r="AJ3142" s="1"/>
      <c r="AN3142" s="1"/>
      <c r="AS3142" s="1"/>
      <c r="AX3142" s="1"/>
    </row>
    <row r="3143" spans="1:50" x14ac:dyDescent="0.3">
      <c r="A3143" s="19">
        <f t="shared" si="244"/>
        <v>50314</v>
      </c>
      <c r="B3143">
        <f t="shared" ca="1" si="240"/>
        <v>-11.561111111111112</v>
      </c>
      <c r="C3143" t="str">
        <f ca="1">IF(currency="USD",'Future et co'!D3143,IF(currency="EUR",'Future et co'!E3143,IF(currency="GBP",'Future et co'!F3143,FALSE)))</f>
        <v>RFR USD</v>
      </c>
      <c r="D3143" t="str">
        <f t="shared" ca="1" si="241"/>
        <v>RFR USD</v>
      </c>
      <c r="E3143" t="str">
        <f t="shared" ca="1" si="242"/>
        <v>RFR EUR</v>
      </c>
      <c r="F3143" t="str">
        <f t="shared" ca="1" si="243"/>
        <v>RFR GBP</v>
      </c>
      <c r="J3143" s="1"/>
      <c r="N3143" s="1"/>
      <c r="R3143" s="1"/>
      <c r="V3143" s="1"/>
      <c r="AB3143" s="1"/>
      <c r="AF3143" s="1"/>
      <c r="AJ3143" s="1"/>
      <c r="AN3143" s="1"/>
      <c r="AS3143" s="1"/>
      <c r="AX3143" s="1"/>
    </row>
    <row r="3144" spans="1:50" x14ac:dyDescent="0.3">
      <c r="A3144" s="19">
        <f t="shared" si="244"/>
        <v>50315</v>
      </c>
      <c r="B3144">
        <f t="shared" ca="1" si="240"/>
        <v>-11.563888888888888</v>
      </c>
      <c r="C3144" t="str">
        <f ca="1">IF(currency="USD",'Future et co'!D3144,IF(currency="EUR",'Future et co'!E3144,IF(currency="GBP",'Future et co'!F3144,FALSE)))</f>
        <v>RFR USD</v>
      </c>
      <c r="D3144" t="str">
        <f t="shared" ca="1" si="241"/>
        <v>RFR USD</v>
      </c>
      <c r="E3144" t="str">
        <f t="shared" ca="1" si="242"/>
        <v>RFR EUR</v>
      </c>
      <c r="F3144" t="str">
        <f t="shared" ca="1" si="243"/>
        <v>RFR GBP</v>
      </c>
      <c r="J3144" s="1"/>
      <c r="N3144" s="1"/>
      <c r="R3144" s="1"/>
      <c r="V3144" s="1"/>
      <c r="AB3144" s="1"/>
      <c r="AF3144" s="1"/>
      <c r="AJ3144" s="1"/>
      <c r="AN3144" s="1"/>
      <c r="AS3144" s="1"/>
      <c r="AX3144" s="1"/>
    </row>
    <row r="3145" spans="1:50" x14ac:dyDescent="0.3">
      <c r="A3145" s="19">
        <f t="shared" si="244"/>
        <v>50318</v>
      </c>
      <c r="B3145">
        <f t="shared" ca="1" si="240"/>
        <v>-11.572222222222223</v>
      </c>
      <c r="C3145" t="str">
        <f ca="1">IF(currency="USD",'Future et co'!D3145,IF(currency="EUR",'Future et co'!E3145,IF(currency="GBP",'Future et co'!F3145,FALSE)))</f>
        <v>RFR USD</v>
      </c>
      <c r="D3145" t="str">
        <f t="shared" ca="1" si="241"/>
        <v>RFR USD</v>
      </c>
      <c r="E3145" t="str">
        <f t="shared" ca="1" si="242"/>
        <v>RFR EUR</v>
      </c>
      <c r="F3145" t="str">
        <f t="shared" ca="1" si="243"/>
        <v>RFR GBP</v>
      </c>
      <c r="J3145" s="1"/>
      <c r="N3145" s="1"/>
      <c r="R3145" s="1"/>
      <c r="V3145" s="1"/>
      <c r="AB3145" s="1"/>
      <c r="AF3145" s="1"/>
      <c r="AJ3145" s="1"/>
      <c r="AN3145" s="1"/>
      <c r="AS3145" s="1"/>
      <c r="AX3145" s="1"/>
    </row>
    <row r="3146" spans="1:50" x14ac:dyDescent="0.3">
      <c r="A3146" s="19">
        <f t="shared" si="244"/>
        <v>50319</v>
      </c>
      <c r="B3146">
        <f t="shared" ca="1" si="240"/>
        <v>-11.574999999999999</v>
      </c>
      <c r="C3146" t="str">
        <f ca="1">IF(currency="USD",'Future et co'!D3146,IF(currency="EUR",'Future et co'!E3146,IF(currency="GBP",'Future et co'!F3146,FALSE)))</f>
        <v>RFR USD</v>
      </c>
      <c r="D3146" t="str">
        <f t="shared" ca="1" si="241"/>
        <v>RFR USD</v>
      </c>
      <c r="E3146" t="str">
        <f t="shared" ca="1" si="242"/>
        <v>RFR EUR</v>
      </c>
      <c r="F3146" t="str">
        <f t="shared" ca="1" si="243"/>
        <v>RFR GBP</v>
      </c>
      <c r="J3146" s="1"/>
      <c r="N3146" s="1"/>
      <c r="R3146" s="1"/>
      <c r="V3146" s="1"/>
      <c r="AB3146" s="1"/>
      <c r="AF3146" s="1"/>
      <c r="AJ3146" s="1"/>
      <c r="AN3146" s="1"/>
      <c r="AS3146" s="1"/>
      <c r="AX3146" s="1"/>
    </row>
    <row r="3147" spans="1:50" x14ac:dyDescent="0.3">
      <c r="A3147" s="19">
        <f t="shared" si="244"/>
        <v>50320</v>
      </c>
      <c r="B3147">
        <f t="shared" ref="B3147:B3210" ca="1" si="245">($B$7-A3147)/360</f>
        <v>-11.577777777777778</v>
      </c>
      <c r="C3147" t="str">
        <f ca="1">IF(currency="USD",'Future et co'!D3147,IF(currency="EUR",'Future et co'!E3147,IF(currency="GBP",'Future et co'!F3147,FALSE)))</f>
        <v>RFR USD</v>
      </c>
      <c r="D3147" t="str">
        <f t="shared" ref="D3147:D3210" ca="1" si="246">IFERROR(IF(B3147&lt;0.25,VLOOKUP(A3147,$J$11:$L$5325,3,FALSE),IF(AND(B3147&gt;=0.25,B3147&lt;0.5),VLOOKUP(A3147,$N$11:$P$5325,3,FALSE),IF(AND(B3147&gt;=0.5,B3147&lt;1),VLOOKUP(A3147,$R$11:$T$5325,3,FALSE),VLOOKUP(A3147,$V$11:$X$5010,3,FALSE)))),D3146)</f>
        <v>RFR USD</v>
      </c>
      <c r="E3147" t="str">
        <f t="shared" ref="E3147:E3210" ca="1" si="247">IFERROR(IF(B3147&lt;0.25,VLOOKUP(A3147,$AF$11:$AH$5325,3,FALSE),IF(AND(B3147&gt;=0.25,B3147&lt;0.5),VLOOKUP(A3147,$AJ$11:$AL$5325,3,FALSE),VLOOKUP(A3147,$AN$11:$AP$5325,3,FALSE))),E3146)</f>
        <v>RFR EUR</v>
      </c>
      <c r="F3147" t="str">
        <f t="shared" ref="F3147:F3210" ca="1" si="248">IFERROR(VLOOKUP(A3147,$AS$11:$AU$9999,3,FALSE),F3146)</f>
        <v>RFR GBP</v>
      </c>
      <c r="J3147" s="1"/>
      <c r="N3147" s="1"/>
      <c r="R3147" s="1"/>
      <c r="V3147" s="1"/>
      <c r="AB3147" s="1"/>
      <c r="AF3147" s="1"/>
      <c r="AJ3147" s="1"/>
      <c r="AN3147" s="1"/>
      <c r="AS3147" s="1"/>
      <c r="AX3147" s="1"/>
    </row>
    <row r="3148" spans="1:50" x14ac:dyDescent="0.3">
      <c r="A3148" s="19">
        <f t="shared" si="244"/>
        <v>50321</v>
      </c>
      <c r="B3148">
        <f t="shared" ca="1" si="245"/>
        <v>-11.580555555555556</v>
      </c>
      <c r="C3148" t="str">
        <f ca="1">IF(currency="USD",'Future et co'!D3148,IF(currency="EUR",'Future et co'!E3148,IF(currency="GBP",'Future et co'!F3148,FALSE)))</f>
        <v>RFR USD</v>
      </c>
      <c r="D3148" t="str">
        <f t="shared" ca="1" si="246"/>
        <v>RFR USD</v>
      </c>
      <c r="E3148" t="str">
        <f t="shared" ca="1" si="247"/>
        <v>RFR EUR</v>
      </c>
      <c r="F3148" t="str">
        <f t="shared" ca="1" si="248"/>
        <v>RFR GBP</v>
      </c>
      <c r="J3148" s="1"/>
      <c r="N3148" s="1"/>
      <c r="R3148" s="1"/>
      <c r="V3148" s="1"/>
      <c r="AB3148" s="1"/>
      <c r="AF3148" s="1"/>
      <c r="AJ3148" s="1"/>
      <c r="AN3148" s="1"/>
      <c r="AS3148" s="1"/>
      <c r="AX3148" s="1"/>
    </row>
    <row r="3149" spans="1:50" x14ac:dyDescent="0.3">
      <c r="A3149" s="19">
        <f t="shared" ref="A3149:A3212" si="249">WORKDAY(A3148,1)</f>
        <v>50322</v>
      </c>
      <c r="B3149">
        <f t="shared" ca="1" si="245"/>
        <v>-11.583333333333334</v>
      </c>
      <c r="C3149" t="str">
        <f ca="1">IF(currency="USD",'Future et co'!D3149,IF(currency="EUR",'Future et co'!E3149,IF(currency="GBP",'Future et co'!F3149,FALSE)))</f>
        <v>RFR USD</v>
      </c>
      <c r="D3149" t="str">
        <f t="shared" ca="1" si="246"/>
        <v>RFR USD</v>
      </c>
      <c r="E3149" t="str">
        <f t="shared" ca="1" si="247"/>
        <v>RFR EUR</v>
      </c>
      <c r="F3149" t="str">
        <f t="shared" ca="1" si="248"/>
        <v>RFR GBP</v>
      </c>
      <c r="J3149" s="1"/>
      <c r="N3149" s="1"/>
      <c r="R3149" s="1"/>
      <c r="V3149" s="1"/>
      <c r="AB3149" s="1"/>
      <c r="AF3149" s="1"/>
      <c r="AJ3149" s="1"/>
      <c r="AN3149" s="1"/>
      <c r="AS3149" s="1"/>
      <c r="AX3149" s="1"/>
    </row>
    <row r="3150" spans="1:50" x14ac:dyDescent="0.3">
      <c r="A3150" s="19">
        <f t="shared" si="249"/>
        <v>50325</v>
      </c>
      <c r="B3150">
        <f t="shared" ca="1" si="245"/>
        <v>-11.591666666666667</v>
      </c>
      <c r="C3150" t="str">
        <f ca="1">IF(currency="USD",'Future et co'!D3150,IF(currency="EUR",'Future et co'!E3150,IF(currency="GBP",'Future et co'!F3150,FALSE)))</f>
        <v>RFR USD</v>
      </c>
      <c r="D3150" t="str">
        <f t="shared" ca="1" si="246"/>
        <v>RFR USD</v>
      </c>
      <c r="E3150" t="str">
        <f t="shared" ca="1" si="247"/>
        <v>RFR EUR</v>
      </c>
      <c r="F3150" t="str">
        <f t="shared" ca="1" si="248"/>
        <v>RFR GBP</v>
      </c>
      <c r="J3150" s="1"/>
      <c r="N3150" s="1"/>
      <c r="R3150" s="1"/>
      <c r="V3150" s="1"/>
      <c r="AB3150" s="1"/>
      <c r="AF3150" s="1"/>
      <c r="AJ3150" s="1"/>
      <c r="AN3150" s="1"/>
      <c r="AS3150" s="1"/>
      <c r="AX3150" s="1"/>
    </row>
    <row r="3151" spans="1:50" x14ac:dyDescent="0.3">
      <c r="A3151" s="19">
        <f t="shared" si="249"/>
        <v>50326</v>
      </c>
      <c r="B3151">
        <f t="shared" ca="1" si="245"/>
        <v>-11.594444444444445</v>
      </c>
      <c r="C3151" t="str">
        <f ca="1">IF(currency="USD",'Future et co'!D3151,IF(currency="EUR",'Future et co'!E3151,IF(currency="GBP",'Future et co'!F3151,FALSE)))</f>
        <v>RFR USD</v>
      </c>
      <c r="D3151" t="str">
        <f t="shared" ca="1" si="246"/>
        <v>RFR USD</v>
      </c>
      <c r="E3151" t="str">
        <f t="shared" ca="1" si="247"/>
        <v>RFR EUR</v>
      </c>
      <c r="F3151" t="str">
        <f t="shared" ca="1" si="248"/>
        <v>RFR GBP</v>
      </c>
      <c r="J3151" s="1"/>
      <c r="N3151" s="1"/>
      <c r="R3151" s="1"/>
      <c r="V3151" s="1"/>
      <c r="AB3151" s="1"/>
      <c r="AF3151" s="1"/>
      <c r="AJ3151" s="1"/>
      <c r="AN3151" s="1"/>
      <c r="AS3151" s="1"/>
      <c r="AX3151" s="1"/>
    </row>
    <row r="3152" spans="1:50" x14ac:dyDescent="0.3">
      <c r="A3152" s="19">
        <f t="shared" si="249"/>
        <v>50327</v>
      </c>
      <c r="B3152">
        <f t="shared" ca="1" si="245"/>
        <v>-11.597222222222221</v>
      </c>
      <c r="C3152" t="str">
        <f ca="1">IF(currency="USD",'Future et co'!D3152,IF(currency="EUR",'Future et co'!E3152,IF(currency="GBP",'Future et co'!F3152,FALSE)))</f>
        <v>RFR USD</v>
      </c>
      <c r="D3152" t="str">
        <f t="shared" ca="1" si="246"/>
        <v>RFR USD</v>
      </c>
      <c r="E3152" t="str">
        <f t="shared" ca="1" si="247"/>
        <v>RFR EUR</v>
      </c>
      <c r="F3152" t="str">
        <f t="shared" ca="1" si="248"/>
        <v>RFR GBP</v>
      </c>
      <c r="J3152" s="1"/>
      <c r="N3152" s="1"/>
      <c r="R3152" s="1"/>
      <c r="V3152" s="1"/>
      <c r="AB3152" s="1"/>
      <c r="AF3152" s="1"/>
      <c r="AJ3152" s="1"/>
      <c r="AN3152" s="1"/>
      <c r="AS3152" s="1"/>
      <c r="AX3152" s="1"/>
    </row>
    <row r="3153" spans="1:50" x14ac:dyDescent="0.3">
      <c r="A3153" s="19">
        <f t="shared" si="249"/>
        <v>50328</v>
      </c>
      <c r="B3153">
        <f t="shared" ca="1" si="245"/>
        <v>-11.6</v>
      </c>
      <c r="C3153" t="str">
        <f ca="1">IF(currency="USD",'Future et co'!D3153,IF(currency="EUR",'Future et co'!E3153,IF(currency="GBP",'Future et co'!F3153,FALSE)))</f>
        <v>RFR USD</v>
      </c>
      <c r="D3153" t="str">
        <f t="shared" ca="1" si="246"/>
        <v>RFR USD</v>
      </c>
      <c r="E3153" t="str">
        <f t="shared" ca="1" si="247"/>
        <v>RFR EUR</v>
      </c>
      <c r="F3153" t="str">
        <f t="shared" ca="1" si="248"/>
        <v>RFR GBP</v>
      </c>
      <c r="J3153" s="1"/>
      <c r="N3153" s="1"/>
      <c r="R3153" s="1"/>
      <c r="V3153" s="1"/>
      <c r="AB3153" s="1"/>
      <c r="AF3153" s="1"/>
      <c r="AJ3153" s="1"/>
      <c r="AN3153" s="1"/>
      <c r="AS3153" s="1"/>
      <c r="AX3153" s="1"/>
    </row>
    <row r="3154" spans="1:50" x14ac:dyDescent="0.3">
      <c r="A3154" s="19">
        <f t="shared" si="249"/>
        <v>50329</v>
      </c>
      <c r="B3154">
        <f t="shared" ca="1" si="245"/>
        <v>-11.602777777777778</v>
      </c>
      <c r="C3154" t="str">
        <f ca="1">IF(currency="USD",'Future et co'!D3154,IF(currency="EUR",'Future et co'!E3154,IF(currency="GBP",'Future et co'!F3154,FALSE)))</f>
        <v>RFR USD</v>
      </c>
      <c r="D3154" t="str">
        <f t="shared" ca="1" si="246"/>
        <v>RFR USD</v>
      </c>
      <c r="E3154" t="str">
        <f t="shared" ca="1" si="247"/>
        <v>RFR EUR</v>
      </c>
      <c r="F3154" t="str">
        <f t="shared" ca="1" si="248"/>
        <v>RFR GBP</v>
      </c>
      <c r="J3154" s="1"/>
      <c r="N3154" s="1"/>
      <c r="R3154" s="1"/>
      <c r="V3154" s="1"/>
      <c r="AB3154" s="1"/>
      <c r="AF3154" s="1"/>
      <c r="AJ3154" s="1"/>
      <c r="AN3154" s="1"/>
      <c r="AS3154" s="1"/>
      <c r="AX3154" s="1"/>
    </row>
    <row r="3155" spans="1:50" x14ac:dyDescent="0.3">
      <c r="A3155" s="19">
        <f t="shared" si="249"/>
        <v>50332</v>
      </c>
      <c r="B3155">
        <f t="shared" ca="1" si="245"/>
        <v>-11.611111111111111</v>
      </c>
      <c r="C3155" t="str">
        <f ca="1">IF(currency="USD",'Future et co'!D3155,IF(currency="EUR",'Future et co'!E3155,IF(currency="GBP",'Future et co'!F3155,FALSE)))</f>
        <v>RFR USD</v>
      </c>
      <c r="D3155" t="str">
        <f t="shared" ca="1" si="246"/>
        <v>RFR USD</v>
      </c>
      <c r="E3155" t="str">
        <f t="shared" ca="1" si="247"/>
        <v>RFR EUR</v>
      </c>
      <c r="F3155" t="str">
        <f t="shared" ca="1" si="248"/>
        <v>RFR GBP</v>
      </c>
      <c r="J3155" s="1"/>
      <c r="N3155" s="1"/>
      <c r="R3155" s="1"/>
      <c r="V3155" s="1"/>
      <c r="AB3155" s="1"/>
      <c r="AF3155" s="1"/>
      <c r="AJ3155" s="1"/>
      <c r="AN3155" s="1"/>
      <c r="AS3155" s="1"/>
      <c r="AX3155" s="1"/>
    </row>
    <row r="3156" spans="1:50" x14ac:dyDescent="0.3">
      <c r="A3156" s="19">
        <f t="shared" si="249"/>
        <v>50333</v>
      </c>
      <c r="B3156">
        <f t="shared" ca="1" si="245"/>
        <v>-11.613888888888889</v>
      </c>
      <c r="C3156" t="str">
        <f ca="1">IF(currency="USD",'Future et co'!D3156,IF(currency="EUR",'Future et co'!E3156,IF(currency="GBP",'Future et co'!F3156,FALSE)))</f>
        <v>RFR USD</v>
      </c>
      <c r="D3156" t="str">
        <f t="shared" ca="1" si="246"/>
        <v>RFR USD</v>
      </c>
      <c r="E3156" t="str">
        <f t="shared" ca="1" si="247"/>
        <v>RFR EUR</v>
      </c>
      <c r="F3156" t="str">
        <f t="shared" ca="1" si="248"/>
        <v>RFR GBP</v>
      </c>
      <c r="J3156" s="1"/>
      <c r="N3156" s="1"/>
      <c r="R3156" s="1"/>
      <c r="V3156" s="1"/>
      <c r="AB3156" s="1"/>
      <c r="AF3156" s="1"/>
      <c r="AJ3156" s="1"/>
      <c r="AN3156" s="1"/>
      <c r="AS3156" s="1"/>
      <c r="AX3156" s="1"/>
    </row>
    <row r="3157" spans="1:50" x14ac:dyDescent="0.3">
      <c r="A3157" s="19">
        <f t="shared" si="249"/>
        <v>50334</v>
      </c>
      <c r="B3157">
        <f t="shared" ca="1" si="245"/>
        <v>-11.616666666666667</v>
      </c>
      <c r="C3157" t="str">
        <f ca="1">IF(currency="USD",'Future et co'!D3157,IF(currency="EUR",'Future et co'!E3157,IF(currency="GBP",'Future et co'!F3157,FALSE)))</f>
        <v>RFR USD</v>
      </c>
      <c r="D3157" t="str">
        <f t="shared" ca="1" si="246"/>
        <v>RFR USD</v>
      </c>
      <c r="E3157" t="str">
        <f t="shared" ca="1" si="247"/>
        <v>RFR EUR</v>
      </c>
      <c r="F3157" t="str">
        <f t="shared" ca="1" si="248"/>
        <v>RFR GBP</v>
      </c>
      <c r="J3157" s="1"/>
      <c r="N3157" s="1"/>
      <c r="R3157" s="1"/>
      <c r="V3157" s="1"/>
      <c r="AB3157" s="1"/>
      <c r="AF3157" s="1"/>
      <c r="AJ3157" s="1"/>
      <c r="AN3157" s="1"/>
      <c r="AS3157" s="1"/>
      <c r="AX3157" s="1"/>
    </row>
    <row r="3158" spans="1:50" x14ac:dyDescent="0.3">
      <c r="A3158" s="19">
        <f t="shared" si="249"/>
        <v>50335</v>
      </c>
      <c r="B3158">
        <f t="shared" ca="1" si="245"/>
        <v>-11.619444444444444</v>
      </c>
      <c r="C3158" t="str">
        <f ca="1">IF(currency="USD",'Future et co'!D3158,IF(currency="EUR",'Future et co'!E3158,IF(currency="GBP",'Future et co'!F3158,FALSE)))</f>
        <v>RFR USD</v>
      </c>
      <c r="D3158" t="str">
        <f t="shared" ca="1" si="246"/>
        <v>RFR USD</v>
      </c>
      <c r="E3158" t="str">
        <f t="shared" ca="1" si="247"/>
        <v>RFR EUR</v>
      </c>
      <c r="F3158" t="str">
        <f t="shared" ca="1" si="248"/>
        <v>RFR GBP</v>
      </c>
      <c r="J3158" s="1"/>
      <c r="N3158" s="1"/>
      <c r="R3158" s="1"/>
      <c r="V3158" s="1"/>
      <c r="AB3158" s="1"/>
      <c r="AF3158" s="1"/>
      <c r="AJ3158" s="1"/>
      <c r="AN3158" s="1"/>
      <c r="AS3158" s="1"/>
      <c r="AX3158" s="1"/>
    </row>
    <row r="3159" spans="1:50" x14ac:dyDescent="0.3">
      <c r="A3159" s="19">
        <f t="shared" si="249"/>
        <v>50336</v>
      </c>
      <c r="B3159">
        <f t="shared" ca="1" si="245"/>
        <v>-11.622222222222222</v>
      </c>
      <c r="C3159" t="str">
        <f ca="1">IF(currency="USD",'Future et co'!D3159,IF(currency="EUR",'Future et co'!E3159,IF(currency="GBP",'Future et co'!F3159,FALSE)))</f>
        <v>RFR USD</v>
      </c>
      <c r="D3159" t="str">
        <f t="shared" ca="1" si="246"/>
        <v>RFR USD</v>
      </c>
      <c r="E3159" t="str">
        <f t="shared" ca="1" si="247"/>
        <v>RFR EUR</v>
      </c>
      <c r="F3159" t="str">
        <f t="shared" ca="1" si="248"/>
        <v>RFR GBP</v>
      </c>
      <c r="J3159" s="1"/>
      <c r="N3159" s="1"/>
      <c r="R3159" s="1"/>
      <c r="V3159" s="1"/>
      <c r="AB3159" s="1"/>
      <c r="AF3159" s="1"/>
      <c r="AJ3159" s="1"/>
      <c r="AN3159" s="1"/>
      <c r="AS3159" s="1"/>
      <c r="AX3159" s="1"/>
    </row>
    <row r="3160" spans="1:50" x14ac:dyDescent="0.3">
      <c r="A3160" s="19">
        <f t="shared" si="249"/>
        <v>50339</v>
      </c>
      <c r="B3160">
        <f t="shared" ca="1" si="245"/>
        <v>-11.630555555555556</v>
      </c>
      <c r="C3160" t="str">
        <f ca="1">IF(currency="USD",'Future et co'!D3160,IF(currency="EUR",'Future et co'!E3160,IF(currency="GBP",'Future et co'!F3160,FALSE)))</f>
        <v>RFR USD</v>
      </c>
      <c r="D3160" t="str">
        <f t="shared" ca="1" si="246"/>
        <v>RFR USD</v>
      </c>
      <c r="E3160" t="str">
        <f t="shared" ca="1" si="247"/>
        <v>RFR EUR</v>
      </c>
      <c r="F3160" t="str">
        <f t="shared" ca="1" si="248"/>
        <v>RFR GBP</v>
      </c>
      <c r="J3160" s="1"/>
      <c r="N3160" s="1"/>
      <c r="R3160" s="1"/>
      <c r="V3160" s="1"/>
      <c r="AB3160" s="1"/>
      <c r="AF3160" s="1"/>
      <c r="AJ3160" s="1"/>
      <c r="AN3160" s="1"/>
      <c r="AS3160" s="1"/>
      <c r="AX3160" s="1"/>
    </row>
    <row r="3161" spans="1:50" x14ac:dyDescent="0.3">
      <c r="A3161" s="19">
        <f t="shared" si="249"/>
        <v>50340</v>
      </c>
      <c r="B3161">
        <f t="shared" ca="1" si="245"/>
        <v>-11.633333333333333</v>
      </c>
      <c r="C3161" t="str">
        <f ca="1">IF(currency="USD",'Future et co'!D3161,IF(currency="EUR",'Future et co'!E3161,IF(currency="GBP",'Future et co'!F3161,FALSE)))</f>
        <v>RFR USD</v>
      </c>
      <c r="D3161" t="str">
        <f t="shared" ca="1" si="246"/>
        <v>RFR USD</v>
      </c>
      <c r="E3161" t="str">
        <f t="shared" ca="1" si="247"/>
        <v>RFR EUR</v>
      </c>
      <c r="F3161" t="str">
        <f t="shared" ca="1" si="248"/>
        <v>RFR GBP</v>
      </c>
      <c r="J3161" s="1"/>
      <c r="N3161" s="1"/>
      <c r="R3161" s="1"/>
      <c r="V3161" s="1"/>
      <c r="AB3161" s="1"/>
      <c r="AF3161" s="1"/>
      <c r="AJ3161" s="1"/>
      <c r="AN3161" s="1"/>
      <c r="AS3161" s="1"/>
      <c r="AX3161" s="1"/>
    </row>
    <row r="3162" spans="1:50" x14ac:dyDescent="0.3">
      <c r="A3162" s="19">
        <f t="shared" si="249"/>
        <v>50341</v>
      </c>
      <c r="B3162">
        <f t="shared" ca="1" si="245"/>
        <v>-11.636111111111111</v>
      </c>
      <c r="C3162" t="str">
        <f ca="1">IF(currency="USD",'Future et co'!D3162,IF(currency="EUR",'Future et co'!E3162,IF(currency="GBP",'Future et co'!F3162,FALSE)))</f>
        <v>RFR USD</v>
      </c>
      <c r="D3162" t="str">
        <f t="shared" ca="1" si="246"/>
        <v>RFR USD</v>
      </c>
      <c r="E3162" t="str">
        <f t="shared" ca="1" si="247"/>
        <v>RFR EUR</v>
      </c>
      <c r="F3162" t="str">
        <f t="shared" ca="1" si="248"/>
        <v>RFR GBP</v>
      </c>
      <c r="J3162" s="1"/>
      <c r="N3162" s="1"/>
      <c r="R3162" s="1"/>
      <c r="V3162" s="1"/>
      <c r="AB3162" s="1"/>
      <c r="AF3162" s="1"/>
      <c r="AJ3162" s="1"/>
      <c r="AN3162" s="1"/>
      <c r="AS3162" s="1"/>
      <c r="AX3162" s="1"/>
    </row>
    <row r="3163" spans="1:50" x14ac:dyDescent="0.3">
      <c r="A3163" s="19">
        <f t="shared" si="249"/>
        <v>50342</v>
      </c>
      <c r="B3163">
        <f t="shared" ca="1" si="245"/>
        <v>-11.638888888888889</v>
      </c>
      <c r="C3163" t="str">
        <f ca="1">IF(currency="USD",'Future et co'!D3163,IF(currency="EUR",'Future et co'!E3163,IF(currency="GBP",'Future et co'!F3163,FALSE)))</f>
        <v>RFR USD</v>
      </c>
      <c r="D3163" t="str">
        <f t="shared" ca="1" si="246"/>
        <v>RFR USD</v>
      </c>
      <c r="E3163" t="str">
        <f t="shared" ca="1" si="247"/>
        <v>RFR EUR</v>
      </c>
      <c r="F3163" t="str">
        <f t="shared" ca="1" si="248"/>
        <v>RFR GBP</v>
      </c>
      <c r="J3163" s="1"/>
      <c r="N3163" s="1"/>
      <c r="R3163" s="1"/>
      <c r="V3163" s="1"/>
      <c r="AB3163" s="1"/>
      <c r="AF3163" s="1"/>
      <c r="AJ3163" s="1"/>
      <c r="AN3163" s="1"/>
      <c r="AS3163" s="1"/>
      <c r="AX3163" s="1"/>
    </row>
    <row r="3164" spans="1:50" x14ac:dyDescent="0.3">
      <c r="A3164" s="19">
        <f t="shared" si="249"/>
        <v>50343</v>
      </c>
      <c r="B3164">
        <f t="shared" ca="1" si="245"/>
        <v>-11.641666666666667</v>
      </c>
      <c r="C3164" t="str">
        <f ca="1">IF(currency="USD",'Future et co'!D3164,IF(currency="EUR",'Future et co'!E3164,IF(currency="GBP",'Future et co'!F3164,FALSE)))</f>
        <v>RFR USD</v>
      </c>
      <c r="D3164" t="str">
        <f t="shared" ca="1" si="246"/>
        <v>RFR USD</v>
      </c>
      <c r="E3164" t="str">
        <f t="shared" ca="1" si="247"/>
        <v>RFR EUR</v>
      </c>
      <c r="F3164" t="str">
        <f t="shared" ca="1" si="248"/>
        <v>RFR GBP</v>
      </c>
      <c r="J3164" s="1"/>
      <c r="N3164" s="1"/>
      <c r="R3164" s="1"/>
      <c r="V3164" s="1"/>
      <c r="AB3164" s="1"/>
      <c r="AF3164" s="1"/>
      <c r="AJ3164" s="1"/>
      <c r="AN3164" s="1"/>
      <c r="AS3164" s="1"/>
      <c r="AX3164" s="1"/>
    </row>
    <row r="3165" spans="1:50" x14ac:dyDescent="0.3">
      <c r="A3165" s="19">
        <f t="shared" si="249"/>
        <v>50346</v>
      </c>
      <c r="B3165">
        <f t="shared" ca="1" si="245"/>
        <v>-11.65</v>
      </c>
      <c r="C3165" t="str">
        <f ca="1">IF(currency="USD",'Future et co'!D3165,IF(currency="EUR",'Future et co'!E3165,IF(currency="GBP",'Future et co'!F3165,FALSE)))</f>
        <v>RFR USD</v>
      </c>
      <c r="D3165" t="str">
        <f t="shared" ca="1" si="246"/>
        <v>RFR USD</v>
      </c>
      <c r="E3165" t="str">
        <f t="shared" ca="1" si="247"/>
        <v>RFR EUR</v>
      </c>
      <c r="F3165" t="str">
        <f t="shared" ca="1" si="248"/>
        <v>RFR GBP</v>
      </c>
      <c r="J3165" s="1"/>
      <c r="N3165" s="1"/>
      <c r="R3165" s="1"/>
      <c r="V3165" s="1"/>
      <c r="AB3165" s="1"/>
      <c r="AF3165" s="1"/>
      <c r="AJ3165" s="1"/>
      <c r="AN3165" s="1"/>
      <c r="AS3165" s="1"/>
      <c r="AX3165" s="1"/>
    </row>
    <row r="3166" spans="1:50" x14ac:dyDescent="0.3">
      <c r="A3166" s="19">
        <f t="shared" si="249"/>
        <v>50347</v>
      </c>
      <c r="B3166">
        <f t="shared" ca="1" si="245"/>
        <v>-11.652777777777779</v>
      </c>
      <c r="C3166" t="str">
        <f ca="1">IF(currency="USD",'Future et co'!D3166,IF(currency="EUR",'Future et co'!E3166,IF(currency="GBP",'Future et co'!F3166,FALSE)))</f>
        <v>RFR USD</v>
      </c>
      <c r="D3166" t="str">
        <f t="shared" ca="1" si="246"/>
        <v>RFR USD</v>
      </c>
      <c r="E3166" t="str">
        <f t="shared" ca="1" si="247"/>
        <v>RFR EUR</v>
      </c>
      <c r="F3166" t="str">
        <f t="shared" ca="1" si="248"/>
        <v>RFR GBP</v>
      </c>
      <c r="J3166" s="1"/>
      <c r="N3166" s="1"/>
      <c r="R3166" s="1"/>
      <c r="V3166" s="1"/>
      <c r="AB3166" s="1"/>
      <c r="AF3166" s="1"/>
      <c r="AJ3166" s="1"/>
      <c r="AN3166" s="1"/>
      <c r="AS3166" s="1"/>
      <c r="AX3166" s="1"/>
    </row>
    <row r="3167" spans="1:50" x14ac:dyDescent="0.3">
      <c r="A3167" s="19">
        <f t="shared" si="249"/>
        <v>50348</v>
      </c>
      <c r="B3167">
        <f t="shared" ca="1" si="245"/>
        <v>-11.655555555555555</v>
      </c>
      <c r="C3167" t="str">
        <f ca="1">IF(currency="USD",'Future et co'!D3167,IF(currency="EUR",'Future et co'!E3167,IF(currency="GBP",'Future et co'!F3167,FALSE)))</f>
        <v>RFR USD</v>
      </c>
      <c r="D3167" t="str">
        <f t="shared" ca="1" si="246"/>
        <v>RFR USD</v>
      </c>
      <c r="E3167" t="str">
        <f t="shared" ca="1" si="247"/>
        <v>RFR EUR</v>
      </c>
      <c r="F3167" t="str">
        <f t="shared" ca="1" si="248"/>
        <v>RFR GBP</v>
      </c>
      <c r="J3167" s="1"/>
      <c r="N3167" s="1"/>
      <c r="R3167" s="1"/>
      <c r="V3167" s="1"/>
      <c r="AB3167" s="1"/>
      <c r="AF3167" s="1"/>
      <c r="AJ3167" s="1"/>
      <c r="AN3167" s="1"/>
      <c r="AS3167" s="1"/>
      <c r="AX3167" s="1"/>
    </row>
    <row r="3168" spans="1:50" x14ac:dyDescent="0.3">
      <c r="A3168" s="19">
        <f t="shared" si="249"/>
        <v>50349</v>
      </c>
      <c r="B3168">
        <f t="shared" ca="1" si="245"/>
        <v>-11.658333333333333</v>
      </c>
      <c r="C3168" t="str">
        <f ca="1">IF(currency="USD",'Future et co'!D3168,IF(currency="EUR",'Future et co'!E3168,IF(currency="GBP",'Future et co'!F3168,FALSE)))</f>
        <v>RFR USD</v>
      </c>
      <c r="D3168" t="str">
        <f t="shared" ca="1" si="246"/>
        <v>RFR USD</v>
      </c>
      <c r="E3168" t="str">
        <f t="shared" ca="1" si="247"/>
        <v>RFR EUR</v>
      </c>
      <c r="F3168" t="str">
        <f t="shared" ca="1" si="248"/>
        <v>RFR GBP</v>
      </c>
      <c r="J3168" s="1"/>
      <c r="N3168" s="1"/>
      <c r="R3168" s="1"/>
      <c r="V3168" s="1"/>
      <c r="AB3168" s="1"/>
      <c r="AF3168" s="1"/>
      <c r="AJ3168" s="1"/>
      <c r="AN3168" s="1"/>
      <c r="AS3168" s="1"/>
      <c r="AX3168" s="1"/>
    </row>
    <row r="3169" spans="1:50" x14ac:dyDescent="0.3">
      <c r="A3169" s="19">
        <f t="shared" si="249"/>
        <v>50350</v>
      </c>
      <c r="B3169">
        <f t="shared" ca="1" si="245"/>
        <v>-11.661111111111111</v>
      </c>
      <c r="C3169" t="str">
        <f ca="1">IF(currency="USD",'Future et co'!D3169,IF(currency="EUR",'Future et co'!E3169,IF(currency="GBP",'Future et co'!F3169,FALSE)))</f>
        <v>RFR USD</v>
      </c>
      <c r="D3169" t="str">
        <f t="shared" ca="1" si="246"/>
        <v>RFR USD</v>
      </c>
      <c r="E3169" t="str">
        <f t="shared" ca="1" si="247"/>
        <v>RFR EUR</v>
      </c>
      <c r="F3169" t="str">
        <f t="shared" ca="1" si="248"/>
        <v>RFR GBP</v>
      </c>
      <c r="J3169" s="1"/>
      <c r="N3169" s="1"/>
      <c r="R3169" s="1"/>
      <c r="V3169" s="1"/>
      <c r="AB3169" s="1"/>
      <c r="AF3169" s="1"/>
      <c r="AJ3169" s="1"/>
      <c r="AN3169" s="1"/>
      <c r="AS3169" s="1"/>
      <c r="AX3169" s="1"/>
    </row>
    <row r="3170" spans="1:50" x14ac:dyDescent="0.3">
      <c r="A3170" s="19">
        <f t="shared" si="249"/>
        <v>50353</v>
      </c>
      <c r="B3170">
        <f t="shared" ca="1" si="245"/>
        <v>-11.669444444444444</v>
      </c>
      <c r="C3170" t="str">
        <f ca="1">IF(currency="USD",'Future et co'!D3170,IF(currency="EUR",'Future et co'!E3170,IF(currency="GBP",'Future et co'!F3170,FALSE)))</f>
        <v>RFR USD</v>
      </c>
      <c r="D3170" t="str">
        <f t="shared" ca="1" si="246"/>
        <v>RFR USD</v>
      </c>
      <c r="E3170" t="str">
        <f t="shared" ca="1" si="247"/>
        <v>RFR EUR</v>
      </c>
      <c r="F3170" t="str">
        <f t="shared" ca="1" si="248"/>
        <v>RFR GBP</v>
      </c>
      <c r="J3170" s="1"/>
      <c r="N3170" s="1"/>
      <c r="R3170" s="1"/>
      <c r="V3170" s="1"/>
      <c r="AB3170" s="1"/>
      <c r="AF3170" s="1"/>
      <c r="AJ3170" s="1"/>
      <c r="AN3170" s="1"/>
      <c r="AS3170" s="1"/>
      <c r="AX3170" s="1"/>
    </row>
    <row r="3171" spans="1:50" x14ac:dyDescent="0.3">
      <c r="A3171" s="19">
        <f t="shared" si="249"/>
        <v>50354</v>
      </c>
      <c r="B3171">
        <f t="shared" ca="1" si="245"/>
        <v>-11.672222222222222</v>
      </c>
      <c r="C3171" t="str">
        <f ca="1">IF(currency="USD",'Future et co'!D3171,IF(currency="EUR",'Future et co'!E3171,IF(currency="GBP",'Future et co'!F3171,FALSE)))</f>
        <v>RFR USD</v>
      </c>
      <c r="D3171" t="str">
        <f t="shared" ca="1" si="246"/>
        <v>RFR USD</v>
      </c>
      <c r="E3171" t="str">
        <f t="shared" ca="1" si="247"/>
        <v>RFR EUR</v>
      </c>
      <c r="F3171" t="str">
        <f t="shared" ca="1" si="248"/>
        <v>RFR GBP</v>
      </c>
      <c r="J3171" s="1"/>
      <c r="N3171" s="1"/>
      <c r="R3171" s="1"/>
      <c r="V3171" s="1"/>
      <c r="AB3171" s="1"/>
      <c r="AF3171" s="1"/>
      <c r="AJ3171" s="1"/>
      <c r="AN3171" s="1"/>
      <c r="AS3171" s="1"/>
      <c r="AX3171" s="1"/>
    </row>
    <row r="3172" spans="1:50" x14ac:dyDescent="0.3">
      <c r="A3172" s="19">
        <f t="shared" si="249"/>
        <v>50355</v>
      </c>
      <c r="B3172">
        <f t="shared" ca="1" si="245"/>
        <v>-11.675000000000001</v>
      </c>
      <c r="C3172" t="str">
        <f ca="1">IF(currency="USD",'Future et co'!D3172,IF(currency="EUR",'Future et co'!E3172,IF(currency="GBP",'Future et co'!F3172,FALSE)))</f>
        <v>RFR USD</v>
      </c>
      <c r="D3172" t="str">
        <f t="shared" ca="1" si="246"/>
        <v>RFR USD</v>
      </c>
      <c r="E3172" t="str">
        <f t="shared" ca="1" si="247"/>
        <v>RFR EUR</v>
      </c>
      <c r="F3172" t="str">
        <f t="shared" ca="1" si="248"/>
        <v>RFR GBP</v>
      </c>
      <c r="J3172" s="1"/>
      <c r="N3172" s="1"/>
      <c r="R3172" s="1"/>
      <c r="V3172" s="1"/>
      <c r="AB3172" s="1"/>
      <c r="AF3172" s="1"/>
      <c r="AJ3172" s="1"/>
      <c r="AN3172" s="1"/>
      <c r="AS3172" s="1"/>
      <c r="AX3172" s="1"/>
    </row>
    <row r="3173" spans="1:50" x14ac:dyDescent="0.3">
      <c r="A3173" s="19">
        <f t="shared" si="249"/>
        <v>50356</v>
      </c>
      <c r="B3173">
        <f t="shared" ca="1" si="245"/>
        <v>-11.677777777777777</v>
      </c>
      <c r="C3173" t="str">
        <f ca="1">IF(currency="USD",'Future et co'!D3173,IF(currency="EUR",'Future et co'!E3173,IF(currency="GBP",'Future et co'!F3173,FALSE)))</f>
        <v>RFR USD</v>
      </c>
      <c r="D3173" t="str">
        <f t="shared" ca="1" si="246"/>
        <v>RFR USD</v>
      </c>
      <c r="E3173" t="str">
        <f t="shared" ca="1" si="247"/>
        <v>RFR EUR</v>
      </c>
      <c r="F3173" t="str">
        <f t="shared" ca="1" si="248"/>
        <v>RFR GBP</v>
      </c>
      <c r="J3173" s="1"/>
      <c r="N3173" s="1"/>
      <c r="R3173" s="1"/>
      <c r="V3173" s="1"/>
      <c r="AB3173" s="1"/>
      <c r="AF3173" s="1"/>
      <c r="AJ3173" s="1"/>
      <c r="AN3173" s="1"/>
      <c r="AS3173" s="1"/>
      <c r="AX3173" s="1"/>
    </row>
    <row r="3174" spans="1:50" x14ac:dyDescent="0.3">
      <c r="A3174" s="19">
        <f t="shared" si="249"/>
        <v>50357</v>
      </c>
      <c r="B3174">
        <f t="shared" ca="1" si="245"/>
        <v>-11.680555555555555</v>
      </c>
      <c r="C3174" t="str">
        <f ca="1">IF(currency="USD",'Future et co'!D3174,IF(currency="EUR",'Future et co'!E3174,IF(currency="GBP",'Future et co'!F3174,FALSE)))</f>
        <v>RFR USD</v>
      </c>
      <c r="D3174" t="str">
        <f t="shared" ca="1" si="246"/>
        <v>RFR USD</v>
      </c>
      <c r="E3174" t="str">
        <f t="shared" ca="1" si="247"/>
        <v>RFR EUR</v>
      </c>
      <c r="F3174" t="str">
        <f t="shared" ca="1" si="248"/>
        <v>RFR GBP</v>
      </c>
      <c r="J3174" s="1"/>
      <c r="N3174" s="1"/>
      <c r="R3174" s="1"/>
      <c r="V3174" s="1"/>
      <c r="AB3174" s="1"/>
      <c r="AF3174" s="1"/>
      <c r="AJ3174" s="1"/>
      <c r="AN3174" s="1"/>
      <c r="AS3174" s="1"/>
      <c r="AX3174" s="1"/>
    </row>
    <row r="3175" spans="1:50" x14ac:dyDescent="0.3">
      <c r="A3175" s="19">
        <f t="shared" si="249"/>
        <v>50360</v>
      </c>
      <c r="B3175">
        <f t="shared" ca="1" si="245"/>
        <v>-11.688888888888888</v>
      </c>
      <c r="C3175" t="str">
        <f ca="1">IF(currency="USD",'Future et co'!D3175,IF(currency="EUR",'Future et co'!E3175,IF(currency="GBP",'Future et co'!F3175,FALSE)))</f>
        <v>RFR USD</v>
      </c>
      <c r="D3175" t="str">
        <f t="shared" ca="1" si="246"/>
        <v>RFR USD</v>
      </c>
      <c r="E3175" t="str">
        <f t="shared" ca="1" si="247"/>
        <v>RFR EUR</v>
      </c>
      <c r="F3175" t="str">
        <f t="shared" ca="1" si="248"/>
        <v>RFR GBP</v>
      </c>
      <c r="J3175" s="1"/>
      <c r="N3175" s="1"/>
      <c r="R3175" s="1"/>
      <c r="V3175" s="1"/>
      <c r="AB3175" s="1"/>
      <c r="AF3175" s="1"/>
      <c r="AJ3175" s="1"/>
      <c r="AN3175" s="1"/>
      <c r="AS3175" s="1"/>
      <c r="AX3175" s="1"/>
    </row>
    <row r="3176" spans="1:50" x14ac:dyDescent="0.3">
      <c r="A3176" s="19">
        <f t="shared" si="249"/>
        <v>50361</v>
      </c>
      <c r="B3176">
        <f t="shared" ca="1" si="245"/>
        <v>-11.691666666666666</v>
      </c>
      <c r="C3176" t="str">
        <f ca="1">IF(currency="USD",'Future et co'!D3176,IF(currency="EUR",'Future et co'!E3176,IF(currency="GBP",'Future et co'!F3176,FALSE)))</f>
        <v>RFR USD</v>
      </c>
      <c r="D3176" t="str">
        <f t="shared" ca="1" si="246"/>
        <v>RFR USD</v>
      </c>
      <c r="E3176" t="str">
        <f t="shared" ca="1" si="247"/>
        <v>RFR EUR</v>
      </c>
      <c r="F3176" t="str">
        <f t="shared" ca="1" si="248"/>
        <v>RFR GBP</v>
      </c>
      <c r="J3176" s="1"/>
      <c r="N3176" s="1"/>
      <c r="R3176" s="1"/>
      <c r="V3176" s="1"/>
      <c r="AB3176" s="1"/>
      <c r="AF3176" s="1"/>
      <c r="AJ3176" s="1"/>
      <c r="AN3176" s="1"/>
      <c r="AS3176" s="1"/>
      <c r="AX3176" s="1"/>
    </row>
    <row r="3177" spans="1:50" x14ac:dyDescent="0.3">
      <c r="A3177" s="19">
        <f t="shared" si="249"/>
        <v>50362</v>
      </c>
      <c r="B3177">
        <f t="shared" ca="1" si="245"/>
        <v>-11.694444444444445</v>
      </c>
      <c r="C3177" t="str">
        <f ca="1">IF(currency="USD",'Future et co'!D3177,IF(currency="EUR",'Future et co'!E3177,IF(currency="GBP",'Future et co'!F3177,FALSE)))</f>
        <v>RFR USD</v>
      </c>
      <c r="D3177" t="str">
        <f t="shared" ca="1" si="246"/>
        <v>RFR USD</v>
      </c>
      <c r="E3177" t="str">
        <f t="shared" ca="1" si="247"/>
        <v>RFR EUR</v>
      </c>
      <c r="F3177" t="str">
        <f t="shared" ca="1" si="248"/>
        <v>RFR GBP</v>
      </c>
      <c r="J3177" s="1"/>
      <c r="N3177" s="1"/>
      <c r="R3177" s="1"/>
      <c r="V3177" s="1"/>
      <c r="AB3177" s="1"/>
      <c r="AF3177" s="1"/>
      <c r="AJ3177" s="1"/>
      <c r="AN3177" s="1"/>
      <c r="AS3177" s="1"/>
      <c r="AX3177" s="1"/>
    </row>
    <row r="3178" spans="1:50" x14ac:dyDescent="0.3">
      <c r="A3178" s="19">
        <f t="shared" si="249"/>
        <v>50363</v>
      </c>
      <c r="B3178">
        <f t="shared" ca="1" si="245"/>
        <v>-11.697222222222223</v>
      </c>
      <c r="C3178" t="str">
        <f ca="1">IF(currency="USD",'Future et co'!D3178,IF(currency="EUR",'Future et co'!E3178,IF(currency="GBP",'Future et co'!F3178,FALSE)))</f>
        <v>RFR USD</v>
      </c>
      <c r="D3178" t="str">
        <f t="shared" ca="1" si="246"/>
        <v>RFR USD</v>
      </c>
      <c r="E3178" t="str">
        <f t="shared" ca="1" si="247"/>
        <v>RFR EUR</v>
      </c>
      <c r="F3178" t="str">
        <f t="shared" ca="1" si="248"/>
        <v>RFR GBP</v>
      </c>
      <c r="J3178" s="1"/>
      <c r="N3178" s="1"/>
      <c r="R3178" s="1"/>
      <c r="V3178" s="1"/>
      <c r="AB3178" s="1"/>
      <c r="AF3178" s="1"/>
      <c r="AJ3178" s="1"/>
      <c r="AN3178" s="1"/>
      <c r="AS3178" s="1"/>
      <c r="AX3178" s="1"/>
    </row>
    <row r="3179" spans="1:50" x14ac:dyDescent="0.3">
      <c r="A3179" s="19">
        <f t="shared" si="249"/>
        <v>50364</v>
      </c>
      <c r="B3179">
        <f t="shared" ca="1" si="245"/>
        <v>-11.7</v>
      </c>
      <c r="C3179" t="str">
        <f ca="1">IF(currency="USD",'Future et co'!D3179,IF(currency="EUR",'Future et co'!E3179,IF(currency="GBP",'Future et co'!F3179,FALSE)))</f>
        <v>RFR USD</v>
      </c>
      <c r="D3179" t="str">
        <f t="shared" ca="1" si="246"/>
        <v>RFR USD</v>
      </c>
      <c r="E3179" t="str">
        <f t="shared" ca="1" si="247"/>
        <v>RFR EUR</v>
      </c>
      <c r="F3179" t="str">
        <f t="shared" ca="1" si="248"/>
        <v>RFR GBP</v>
      </c>
      <c r="J3179" s="1"/>
      <c r="N3179" s="1"/>
      <c r="R3179" s="1"/>
      <c r="V3179" s="1"/>
      <c r="AB3179" s="1"/>
      <c r="AF3179" s="1"/>
      <c r="AJ3179" s="1"/>
      <c r="AN3179" s="1"/>
      <c r="AS3179" s="1"/>
      <c r="AX3179" s="1"/>
    </row>
    <row r="3180" spans="1:50" x14ac:dyDescent="0.3">
      <c r="A3180" s="19">
        <f t="shared" si="249"/>
        <v>50367</v>
      </c>
      <c r="B3180">
        <f t="shared" ca="1" si="245"/>
        <v>-11.708333333333334</v>
      </c>
      <c r="C3180" t="str">
        <f ca="1">IF(currency="USD",'Future et co'!D3180,IF(currency="EUR",'Future et co'!E3180,IF(currency="GBP",'Future et co'!F3180,FALSE)))</f>
        <v>RFR USD</v>
      </c>
      <c r="D3180" t="str">
        <f t="shared" ca="1" si="246"/>
        <v>RFR USD</v>
      </c>
      <c r="E3180" t="str">
        <f t="shared" ca="1" si="247"/>
        <v>RFR EUR</v>
      </c>
      <c r="F3180" t="str">
        <f t="shared" ca="1" si="248"/>
        <v>RFR GBP</v>
      </c>
      <c r="J3180" s="1"/>
      <c r="N3180" s="1"/>
      <c r="R3180" s="1"/>
      <c r="V3180" s="1"/>
      <c r="AB3180" s="1"/>
      <c r="AF3180" s="1"/>
      <c r="AJ3180" s="1"/>
      <c r="AN3180" s="1"/>
      <c r="AS3180" s="1"/>
      <c r="AX3180" s="1"/>
    </row>
    <row r="3181" spans="1:50" x14ac:dyDescent="0.3">
      <c r="A3181" s="19">
        <f t="shared" si="249"/>
        <v>50368</v>
      </c>
      <c r="B3181">
        <f t="shared" ca="1" si="245"/>
        <v>-11.71111111111111</v>
      </c>
      <c r="C3181" t="str">
        <f ca="1">IF(currency="USD",'Future et co'!D3181,IF(currency="EUR",'Future et co'!E3181,IF(currency="GBP",'Future et co'!F3181,FALSE)))</f>
        <v>RFR USD</v>
      </c>
      <c r="D3181" t="str">
        <f t="shared" ca="1" si="246"/>
        <v>RFR USD</v>
      </c>
      <c r="E3181" t="str">
        <f t="shared" ca="1" si="247"/>
        <v>RFR EUR</v>
      </c>
      <c r="F3181" t="str">
        <f t="shared" ca="1" si="248"/>
        <v>RFR GBP</v>
      </c>
      <c r="J3181" s="1"/>
      <c r="N3181" s="1"/>
      <c r="R3181" s="1"/>
      <c r="V3181" s="1"/>
      <c r="AB3181" s="1"/>
      <c r="AF3181" s="1"/>
      <c r="AJ3181" s="1"/>
      <c r="AN3181" s="1"/>
      <c r="AS3181" s="1"/>
      <c r="AX3181" s="1"/>
    </row>
    <row r="3182" spans="1:50" x14ac:dyDescent="0.3">
      <c r="A3182" s="19">
        <f t="shared" si="249"/>
        <v>50369</v>
      </c>
      <c r="B3182">
        <f t="shared" ca="1" si="245"/>
        <v>-11.713888888888889</v>
      </c>
      <c r="C3182" t="str">
        <f ca="1">IF(currency="USD",'Future et co'!D3182,IF(currency="EUR",'Future et co'!E3182,IF(currency="GBP",'Future et co'!F3182,FALSE)))</f>
        <v>RFR USD</v>
      </c>
      <c r="D3182" t="str">
        <f t="shared" ca="1" si="246"/>
        <v>RFR USD</v>
      </c>
      <c r="E3182" t="str">
        <f t="shared" ca="1" si="247"/>
        <v>RFR EUR</v>
      </c>
      <c r="F3182" t="str">
        <f t="shared" ca="1" si="248"/>
        <v>RFR GBP</v>
      </c>
      <c r="J3182" s="1"/>
      <c r="N3182" s="1"/>
      <c r="R3182" s="1"/>
      <c r="V3182" s="1"/>
      <c r="AB3182" s="1"/>
      <c r="AF3182" s="1"/>
      <c r="AJ3182" s="1"/>
      <c r="AN3182" s="1"/>
      <c r="AS3182" s="1"/>
      <c r="AX3182" s="1"/>
    </row>
    <row r="3183" spans="1:50" x14ac:dyDescent="0.3">
      <c r="A3183" s="19">
        <f t="shared" si="249"/>
        <v>50370</v>
      </c>
      <c r="B3183">
        <f t="shared" ca="1" si="245"/>
        <v>-11.716666666666667</v>
      </c>
      <c r="C3183" t="str">
        <f ca="1">IF(currency="USD",'Future et co'!D3183,IF(currency="EUR",'Future et co'!E3183,IF(currency="GBP",'Future et co'!F3183,FALSE)))</f>
        <v>RFR USD</v>
      </c>
      <c r="D3183" t="str">
        <f t="shared" ca="1" si="246"/>
        <v>RFR USD</v>
      </c>
      <c r="E3183" t="str">
        <f t="shared" ca="1" si="247"/>
        <v>RFR EUR</v>
      </c>
      <c r="F3183" t="str">
        <f t="shared" ca="1" si="248"/>
        <v>RFR GBP</v>
      </c>
      <c r="J3183" s="1"/>
      <c r="N3183" s="1"/>
      <c r="R3183" s="1"/>
      <c r="V3183" s="1"/>
      <c r="AB3183" s="1"/>
      <c r="AF3183" s="1"/>
      <c r="AJ3183" s="1"/>
      <c r="AN3183" s="1"/>
      <c r="AS3183" s="1"/>
      <c r="AX3183" s="1"/>
    </row>
    <row r="3184" spans="1:50" x14ac:dyDescent="0.3">
      <c r="A3184" s="19">
        <f t="shared" si="249"/>
        <v>50371</v>
      </c>
      <c r="B3184">
        <f t="shared" ca="1" si="245"/>
        <v>-11.719444444444445</v>
      </c>
      <c r="C3184" t="str">
        <f ca="1">IF(currency="USD",'Future et co'!D3184,IF(currency="EUR",'Future et co'!E3184,IF(currency="GBP",'Future et co'!F3184,FALSE)))</f>
        <v>RFR USD</v>
      </c>
      <c r="D3184" t="str">
        <f t="shared" ca="1" si="246"/>
        <v>RFR USD</v>
      </c>
      <c r="E3184" t="str">
        <f t="shared" ca="1" si="247"/>
        <v>RFR EUR</v>
      </c>
      <c r="F3184" t="str">
        <f t="shared" ca="1" si="248"/>
        <v>RFR GBP</v>
      </c>
      <c r="J3184" s="1"/>
      <c r="N3184" s="1"/>
      <c r="R3184" s="1"/>
      <c r="V3184" s="1"/>
      <c r="AB3184" s="1"/>
      <c r="AF3184" s="1"/>
      <c r="AJ3184" s="1"/>
      <c r="AN3184" s="1"/>
      <c r="AS3184" s="1"/>
      <c r="AX3184" s="1"/>
    </row>
    <row r="3185" spans="1:50" x14ac:dyDescent="0.3">
      <c r="A3185" s="19">
        <f t="shared" si="249"/>
        <v>50374</v>
      </c>
      <c r="B3185">
        <f t="shared" ca="1" si="245"/>
        <v>-11.727777777777778</v>
      </c>
      <c r="C3185" t="str">
        <f ca="1">IF(currency="USD",'Future et co'!D3185,IF(currency="EUR",'Future et co'!E3185,IF(currency="GBP",'Future et co'!F3185,FALSE)))</f>
        <v>RFR USD</v>
      </c>
      <c r="D3185" t="str">
        <f t="shared" ca="1" si="246"/>
        <v>RFR USD</v>
      </c>
      <c r="E3185" t="str">
        <f t="shared" ca="1" si="247"/>
        <v>RFR EUR</v>
      </c>
      <c r="F3185" t="str">
        <f t="shared" ca="1" si="248"/>
        <v>RFR GBP</v>
      </c>
      <c r="J3185" s="1"/>
      <c r="N3185" s="1"/>
      <c r="R3185" s="1"/>
      <c r="V3185" s="1"/>
      <c r="AB3185" s="1"/>
      <c r="AF3185" s="1"/>
      <c r="AJ3185" s="1"/>
      <c r="AN3185" s="1"/>
      <c r="AS3185" s="1"/>
      <c r="AX3185" s="1"/>
    </row>
    <row r="3186" spans="1:50" x14ac:dyDescent="0.3">
      <c r="A3186" s="19">
        <f t="shared" si="249"/>
        <v>50375</v>
      </c>
      <c r="B3186">
        <f t="shared" ca="1" si="245"/>
        <v>-11.730555555555556</v>
      </c>
      <c r="C3186" t="str">
        <f ca="1">IF(currency="USD",'Future et co'!D3186,IF(currency="EUR",'Future et co'!E3186,IF(currency="GBP",'Future et co'!F3186,FALSE)))</f>
        <v>RFR USD</v>
      </c>
      <c r="D3186" t="str">
        <f t="shared" ca="1" si="246"/>
        <v>RFR USD</v>
      </c>
      <c r="E3186" t="str">
        <f t="shared" ca="1" si="247"/>
        <v>RFR EUR</v>
      </c>
      <c r="F3186" t="str">
        <f t="shared" ca="1" si="248"/>
        <v>RFR GBP</v>
      </c>
      <c r="J3186" s="1"/>
      <c r="N3186" s="1"/>
      <c r="R3186" s="1"/>
      <c r="V3186" s="1"/>
      <c r="AB3186" s="1"/>
      <c r="AF3186" s="1"/>
      <c r="AJ3186" s="1"/>
      <c r="AN3186" s="1"/>
      <c r="AS3186" s="1"/>
      <c r="AX3186" s="1"/>
    </row>
    <row r="3187" spans="1:50" x14ac:dyDescent="0.3">
      <c r="A3187" s="19">
        <f t="shared" si="249"/>
        <v>50376</v>
      </c>
      <c r="B3187">
        <f t="shared" ca="1" si="245"/>
        <v>-11.733333333333333</v>
      </c>
      <c r="C3187" t="str">
        <f ca="1">IF(currency="USD",'Future et co'!D3187,IF(currency="EUR",'Future et co'!E3187,IF(currency="GBP",'Future et co'!F3187,FALSE)))</f>
        <v>RFR USD</v>
      </c>
      <c r="D3187" t="str">
        <f t="shared" ca="1" si="246"/>
        <v>RFR USD</v>
      </c>
      <c r="E3187" t="str">
        <f t="shared" ca="1" si="247"/>
        <v>RFR EUR</v>
      </c>
      <c r="F3187" t="str">
        <f t="shared" ca="1" si="248"/>
        <v>RFR GBP</v>
      </c>
      <c r="J3187" s="1"/>
      <c r="N3187" s="1"/>
      <c r="R3187" s="1"/>
      <c r="V3187" s="1"/>
      <c r="AB3187" s="1"/>
      <c r="AF3187" s="1"/>
      <c r="AJ3187" s="1"/>
      <c r="AN3187" s="1"/>
      <c r="AS3187" s="1"/>
      <c r="AX3187" s="1"/>
    </row>
    <row r="3188" spans="1:50" x14ac:dyDescent="0.3">
      <c r="A3188" s="19">
        <f t="shared" si="249"/>
        <v>50377</v>
      </c>
      <c r="B3188">
        <f t="shared" ca="1" si="245"/>
        <v>-11.736111111111111</v>
      </c>
      <c r="C3188" t="str">
        <f ca="1">IF(currency="USD",'Future et co'!D3188,IF(currency="EUR",'Future et co'!E3188,IF(currency="GBP",'Future et co'!F3188,FALSE)))</f>
        <v>RFR USD</v>
      </c>
      <c r="D3188" t="str">
        <f t="shared" ca="1" si="246"/>
        <v>RFR USD</v>
      </c>
      <c r="E3188" t="str">
        <f t="shared" ca="1" si="247"/>
        <v>RFR EUR</v>
      </c>
      <c r="F3188" t="str">
        <f t="shared" ca="1" si="248"/>
        <v>RFR GBP</v>
      </c>
      <c r="J3188" s="1"/>
      <c r="N3188" s="1"/>
      <c r="R3188" s="1"/>
      <c r="V3188" s="1"/>
      <c r="AB3188" s="1"/>
      <c r="AF3188" s="1"/>
      <c r="AJ3188" s="1"/>
      <c r="AN3188" s="1"/>
      <c r="AS3188" s="1"/>
      <c r="AX3188" s="1"/>
    </row>
    <row r="3189" spans="1:50" x14ac:dyDescent="0.3">
      <c r="A3189" s="19">
        <f t="shared" si="249"/>
        <v>50378</v>
      </c>
      <c r="B3189">
        <f t="shared" ca="1" si="245"/>
        <v>-11.738888888888889</v>
      </c>
      <c r="C3189" t="str">
        <f ca="1">IF(currency="USD",'Future et co'!D3189,IF(currency="EUR",'Future et co'!E3189,IF(currency="GBP",'Future et co'!F3189,FALSE)))</f>
        <v>RFR USD</v>
      </c>
      <c r="D3189" t="str">
        <f t="shared" ca="1" si="246"/>
        <v>RFR USD</v>
      </c>
      <c r="E3189" t="str">
        <f t="shared" ca="1" si="247"/>
        <v>RFR EUR</v>
      </c>
      <c r="F3189" t="str">
        <f t="shared" ca="1" si="248"/>
        <v>RFR GBP</v>
      </c>
      <c r="J3189" s="1"/>
      <c r="N3189" s="1"/>
      <c r="R3189" s="1"/>
      <c r="V3189" s="1"/>
      <c r="AB3189" s="1"/>
      <c r="AF3189" s="1"/>
      <c r="AJ3189" s="1"/>
      <c r="AN3189" s="1"/>
      <c r="AS3189" s="1"/>
      <c r="AX3189" s="1"/>
    </row>
    <row r="3190" spans="1:50" x14ac:dyDescent="0.3">
      <c r="A3190" s="19">
        <f t="shared" si="249"/>
        <v>50381</v>
      </c>
      <c r="B3190">
        <f t="shared" ca="1" si="245"/>
        <v>-11.747222222222222</v>
      </c>
      <c r="C3190" t="str">
        <f ca="1">IF(currency="USD",'Future et co'!D3190,IF(currency="EUR",'Future et co'!E3190,IF(currency="GBP",'Future et co'!F3190,FALSE)))</f>
        <v>RFR USD</v>
      </c>
      <c r="D3190" t="str">
        <f t="shared" ca="1" si="246"/>
        <v>RFR USD</v>
      </c>
      <c r="E3190" t="str">
        <f t="shared" ca="1" si="247"/>
        <v>RFR EUR</v>
      </c>
      <c r="F3190" t="str">
        <f t="shared" ca="1" si="248"/>
        <v>RFR GBP</v>
      </c>
      <c r="J3190" s="1"/>
      <c r="N3190" s="1"/>
      <c r="R3190" s="1"/>
      <c r="V3190" s="1"/>
      <c r="AB3190" s="1"/>
      <c r="AF3190" s="1"/>
      <c r="AJ3190" s="1"/>
      <c r="AN3190" s="1"/>
      <c r="AS3190" s="1"/>
      <c r="AX3190" s="1"/>
    </row>
    <row r="3191" spans="1:50" x14ac:dyDescent="0.3">
      <c r="A3191" s="19">
        <f t="shared" si="249"/>
        <v>50382</v>
      </c>
      <c r="B3191">
        <f t="shared" ca="1" si="245"/>
        <v>-11.75</v>
      </c>
      <c r="C3191" t="str">
        <f ca="1">IF(currency="USD",'Future et co'!D3191,IF(currency="EUR",'Future et co'!E3191,IF(currency="GBP",'Future et co'!F3191,FALSE)))</f>
        <v>RFR USD</v>
      </c>
      <c r="D3191" t="str">
        <f t="shared" ca="1" si="246"/>
        <v>RFR USD</v>
      </c>
      <c r="E3191" t="str">
        <f t="shared" ca="1" si="247"/>
        <v>RFR EUR</v>
      </c>
      <c r="F3191" t="str">
        <f t="shared" ca="1" si="248"/>
        <v>RFR GBP</v>
      </c>
      <c r="J3191" s="1"/>
      <c r="N3191" s="1"/>
      <c r="R3191" s="1"/>
      <c r="V3191" s="1"/>
      <c r="AB3191" s="1"/>
      <c r="AF3191" s="1"/>
      <c r="AJ3191" s="1"/>
      <c r="AN3191" s="1"/>
      <c r="AS3191" s="1"/>
      <c r="AX3191" s="1"/>
    </row>
    <row r="3192" spans="1:50" x14ac:dyDescent="0.3">
      <c r="A3192" s="19">
        <f t="shared" si="249"/>
        <v>50383</v>
      </c>
      <c r="B3192">
        <f t="shared" ca="1" si="245"/>
        <v>-11.752777777777778</v>
      </c>
      <c r="C3192" t="str">
        <f ca="1">IF(currency="USD",'Future et co'!D3192,IF(currency="EUR",'Future et co'!E3192,IF(currency="GBP",'Future et co'!F3192,FALSE)))</f>
        <v>RFR USD</v>
      </c>
      <c r="D3192" t="str">
        <f t="shared" ca="1" si="246"/>
        <v>RFR USD</v>
      </c>
      <c r="E3192" t="str">
        <f t="shared" ca="1" si="247"/>
        <v>RFR EUR</v>
      </c>
      <c r="F3192" t="str">
        <f t="shared" ca="1" si="248"/>
        <v>RFR GBP</v>
      </c>
      <c r="J3192" s="1"/>
      <c r="N3192" s="1"/>
      <c r="R3192" s="1"/>
      <c r="V3192" s="1"/>
      <c r="AB3192" s="1"/>
      <c r="AF3192" s="1"/>
      <c r="AJ3192" s="1"/>
      <c r="AN3192" s="1"/>
      <c r="AS3192" s="1"/>
      <c r="AX3192" s="1"/>
    </row>
    <row r="3193" spans="1:50" x14ac:dyDescent="0.3">
      <c r="A3193" s="19">
        <f t="shared" si="249"/>
        <v>50384</v>
      </c>
      <c r="B3193">
        <f t="shared" ca="1" si="245"/>
        <v>-11.755555555555556</v>
      </c>
      <c r="C3193" t="str">
        <f ca="1">IF(currency="USD",'Future et co'!D3193,IF(currency="EUR",'Future et co'!E3193,IF(currency="GBP",'Future et co'!F3193,FALSE)))</f>
        <v>RFR USD</v>
      </c>
      <c r="D3193" t="str">
        <f t="shared" ca="1" si="246"/>
        <v>RFR USD</v>
      </c>
      <c r="E3193" t="str">
        <f t="shared" ca="1" si="247"/>
        <v>RFR EUR</v>
      </c>
      <c r="F3193" t="str">
        <f t="shared" ca="1" si="248"/>
        <v>RFR GBP</v>
      </c>
      <c r="J3193" s="1"/>
      <c r="N3193" s="1"/>
      <c r="R3193" s="1"/>
      <c r="V3193" s="1"/>
      <c r="AB3193" s="1"/>
      <c r="AF3193" s="1"/>
      <c r="AJ3193" s="1"/>
      <c r="AN3193" s="1"/>
      <c r="AS3193" s="1"/>
      <c r="AX3193" s="1"/>
    </row>
    <row r="3194" spans="1:50" x14ac:dyDescent="0.3">
      <c r="A3194" s="19">
        <f t="shared" si="249"/>
        <v>50385</v>
      </c>
      <c r="B3194">
        <f t="shared" ca="1" si="245"/>
        <v>-11.758333333333333</v>
      </c>
      <c r="C3194" t="str">
        <f ca="1">IF(currency="USD",'Future et co'!D3194,IF(currency="EUR",'Future et co'!E3194,IF(currency="GBP",'Future et co'!F3194,FALSE)))</f>
        <v>RFR USD</v>
      </c>
      <c r="D3194" t="str">
        <f t="shared" ca="1" si="246"/>
        <v>RFR USD</v>
      </c>
      <c r="E3194" t="str">
        <f t="shared" ca="1" si="247"/>
        <v>RFR EUR</v>
      </c>
      <c r="F3194" t="str">
        <f t="shared" ca="1" si="248"/>
        <v>RFR GBP</v>
      </c>
      <c r="J3194" s="1"/>
      <c r="N3194" s="1"/>
      <c r="R3194" s="1"/>
      <c r="V3194" s="1"/>
      <c r="AB3194" s="1"/>
      <c r="AF3194" s="1"/>
      <c r="AJ3194" s="1"/>
      <c r="AN3194" s="1"/>
      <c r="AS3194" s="1"/>
      <c r="AX3194" s="1"/>
    </row>
    <row r="3195" spans="1:50" x14ac:dyDescent="0.3">
      <c r="A3195" s="19">
        <f t="shared" si="249"/>
        <v>50388</v>
      </c>
      <c r="B3195">
        <f t="shared" ca="1" si="245"/>
        <v>-11.766666666666667</v>
      </c>
      <c r="C3195" t="str">
        <f ca="1">IF(currency="USD",'Future et co'!D3195,IF(currency="EUR",'Future et co'!E3195,IF(currency="GBP",'Future et co'!F3195,FALSE)))</f>
        <v>RFR USD</v>
      </c>
      <c r="D3195" t="str">
        <f t="shared" ca="1" si="246"/>
        <v>RFR USD</v>
      </c>
      <c r="E3195" t="str">
        <f t="shared" ca="1" si="247"/>
        <v>RFR EUR</v>
      </c>
      <c r="F3195" t="str">
        <f t="shared" ca="1" si="248"/>
        <v>RFR GBP</v>
      </c>
      <c r="J3195" s="1"/>
      <c r="N3195" s="1"/>
      <c r="R3195" s="1"/>
      <c r="V3195" s="1"/>
      <c r="AB3195" s="1"/>
      <c r="AF3195" s="1"/>
      <c r="AJ3195" s="1"/>
      <c r="AN3195" s="1"/>
      <c r="AS3195" s="1"/>
      <c r="AX3195" s="1"/>
    </row>
    <row r="3196" spans="1:50" x14ac:dyDescent="0.3">
      <c r="A3196" s="19">
        <f t="shared" si="249"/>
        <v>50389</v>
      </c>
      <c r="B3196">
        <f t="shared" ca="1" si="245"/>
        <v>-11.769444444444444</v>
      </c>
      <c r="C3196" t="str">
        <f ca="1">IF(currency="USD",'Future et co'!D3196,IF(currency="EUR",'Future et co'!E3196,IF(currency="GBP",'Future et co'!F3196,FALSE)))</f>
        <v>RFR USD</v>
      </c>
      <c r="D3196" t="str">
        <f t="shared" ca="1" si="246"/>
        <v>RFR USD</v>
      </c>
      <c r="E3196" t="str">
        <f t="shared" ca="1" si="247"/>
        <v>RFR EUR</v>
      </c>
      <c r="F3196" t="str">
        <f t="shared" ca="1" si="248"/>
        <v>RFR GBP</v>
      </c>
      <c r="J3196" s="1"/>
      <c r="N3196" s="1"/>
      <c r="R3196" s="1"/>
      <c r="V3196" s="1"/>
      <c r="AB3196" s="1"/>
      <c r="AF3196" s="1"/>
      <c r="AJ3196" s="1"/>
      <c r="AN3196" s="1"/>
      <c r="AS3196" s="1"/>
      <c r="AX3196" s="1"/>
    </row>
    <row r="3197" spans="1:50" x14ac:dyDescent="0.3">
      <c r="A3197" s="19">
        <f t="shared" si="249"/>
        <v>50390</v>
      </c>
      <c r="B3197">
        <f t="shared" ca="1" si="245"/>
        <v>-11.772222222222222</v>
      </c>
      <c r="C3197" t="str">
        <f ca="1">IF(currency="USD",'Future et co'!D3197,IF(currency="EUR",'Future et co'!E3197,IF(currency="GBP",'Future et co'!F3197,FALSE)))</f>
        <v>RFR USD</v>
      </c>
      <c r="D3197" t="str">
        <f t="shared" ca="1" si="246"/>
        <v>RFR USD</v>
      </c>
      <c r="E3197" t="str">
        <f t="shared" ca="1" si="247"/>
        <v>RFR EUR</v>
      </c>
      <c r="F3197" t="str">
        <f t="shared" ca="1" si="248"/>
        <v>RFR GBP</v>
      </c>
      <c r="J3197" s="1"/>
      <c r="N3197" s="1"/>
      <c r="R3197" s="1"/>
      <c r="V3197" s="1"/>
      <c r="AB3197" s="1"/>
      <c r="AF3197" s="1"/>
      <c r="AJ3197" s="1"/>
      <c r="AN3197" s="1"/>
      <c r="AS3197" s="1"/>
      <c r="AX3197" s="1"/>
    </row>
    <row r="3198" spans="1:50" x14ac:dyDescent="0.3">
      <c r="A3198" s="19">
        <f t="shared" si="249"/>
        <v>50391</v>
      </c>
      <c r="B3198">
        <f t="shared" ca="1" si="245"/>
        <v>-11.775</v>
      </c>
      <c r="C3198" t="str">
        <f ca="1">IF(currency="USD",'Future et co'!D3198,IF(currency="EUR",'Future et co'!E3198,IF(currency="GBP",'Future et co'!F3198,FALSE)))</f>
        <v>RFR USD</v>
      </c>
      <c r="D3198" t="str">
        <f t="shared" ca="1" si="246"/>
        <v>RFR USD</v>
      </c>
      <c r="E3198" t="str">
        <f t="shared" ca="1" si="247"/>
        <v>RFR EUR</v>
      </c>
      <c r="F3198" t="str">
        <f t="shared" ca="1" si="248"/>
        <v>RFR GBP</v>
      </c>
      <c r="J3198" s="1"/>
      <c r="N3198" s="1"/>
      <c r="R3198" s="1"/>
      <c r="V3198" s="1"/>
      <c r="AB3198" s="1"/>
      <c r="AF3198" s="1"/>
      <c r="AJ3198" s="1"/>
      <c r="AN3198" s="1"/>
      <c r="AS3198" s="1"/>
      <c r="AX3198" s="1"/>
    </row>
    <row r="3199" spans="1:50" x14ac:dyDescent="0.3">
      <c r="A3199" s="19">
        <f t="shared" si="249"/>
        <v>50392</v>
      </c>
      <c r="B3199">
        <f t="shared" ca="1" si="245"/>
        <v>-11.777777777777779</v>
      </c>
      <c r="C3199" t="str">
        <f ca="1">IF(currency="USD",'Future et co'!D3199,IF(currency="EUR",'Future et co'!E3199,IF(currency="GBP",'Future et co'!F3199,FALSE)))</f>
        <v>RFR USD</v>
      </c>
      <c r="D3199" t="str">
        <f t="shared" ca="1" si="246"/>
        <v>RFR USD</v>
      </c>
      <c r="E3199" t="str">
        <f t="shared" ca="1" si="247"/>
        <v>RFR EUR</v>
      </c>
      <c r="F3199" t="str">
        <f t="shared" ca="1" si="248"/>
        <v>RFR GBP</v>
      </c>
      <c r="J3199" s="1"/>
      <c r="N3199" s="1"/>
      <c r="R3199" s="1"/>
      <c r="V3199" s="1"/>
      <c r="AB3199" s="1"/>
      <c r="AF3199" s="1"/>
      <c r="AJ3199" s="1"/>
      <c r="AN3199" s="1"/>
      <c r="AS3199" s="1"/>
      <c r="AX3199" s="1"/>
    </row>
    <row r="3200" spans="1:50" x14ac:dyDescent="0.3">
      <c r="A3200" s="19">
        <f t="shared" si="249"/>
        <v>50395</v>
      </c>
      <c r="B3200">
        <f t="shared" ca="1" si="245"/>
        <v>-11.786111111111111</v>
      </c>
      <c r="C3200" t="str">
        <f ca="1">IF(currency="USD",'Future et co'!D3200,IF(currency="EUR",'Future et co'!E3200,IF(currency="GBP",'Future et co'!F3200,FALSE)))</f>
        <v>RFR USD</v>
      </c>
      <c r="D3200" t="str">
        <f t="shared" ca="1" si="246"/>
        <v>RFR USD</v>
      </c>
      <c r="E3200" t="str">
        <f t="shared" ca="1" si="247"/>
        <v>RFR EUR</v>
      </c>
      <c r="F3200" t="str">
        <f t="shared" ca="1" si="248"/>
        <v>RFR GBP</v>
      </c>
      <c r="J3200" s="1"/>
      <c r="N3200" s="1"/>
      <c r="R3200" s="1"/>
      <c r="V3200" s="1"/>
      <c r="AB3200" s="1"/>
      <c r="AF3200" s="1"/>
      <c r="AJ3200" s="1"/>
      <c r="AN3200" s="1"/>
      <c r="AS3200" s="1"/>
      <c r="AX3200" s="1"/>
    </row>
    <row r="3201" spans="1:50" x14ac:dyDescent="0.3">
      <c r="A3201" s="19">
        <f t="shared" si="249"/>
        <v>50396</v>
      </c>
      <c r="B3201">
        <f t="shared" ca="1" si="245"/>
        <v>-11.78888888888889</v>
      </c>
      <c r="C3201" t="str">
        <f ca="1">IF(currency="USD",'Future et co'!D3201,IF(currency="EUR",'Future et co'!E3201,IF(currency="GBP",'Future et co'!F3201,FALSE)))</f>
        <v>RFR USD</v>
      </c>
      <c r="D3201" t="str">
        <f t="shared" ca="1" si="246"/>
        <v>RFR USD</v>
      </c>
      <c r="E3201" t="str">
        <f t="shared" ca="1" si="247"/>
        <v>RFR EUR</v>
      </c>
      <c r="F3201" t="str">
        <f t="shared" ca="1" si="248"/>
        <v>RFR GBP</v>
      </c>
      <c r="J3201" s="1"/>
      <c r="N3201" s="1"/>
      <c r="R3201" s="1"/>
      <c r="V3201" s="1"/>
      <c r="AB3201" s="1"/>
      <c r="AF3201" s="1"/>
      <c r="AJ3201" s="1"/>
      <c r="AN3201" s="1"/>
      <c r="AS3201" s="1"/>
      <c r="AX3201" s="1"/>
    </row>
    <row r="3202" spans="1:50" x14ac:dyDescent="0.3">
      <c r="A3202" s="19">
        <f t="shared" si="249"/>
        <v>50397</v>
      </c>
      <c r="B3202">
        <f t="shared" ca="1" si="245"/>
        <v>-11.791666666666666</v>
      </c>
      <c r="C3202" t="str">
        <f ca="1">IF(currency="USD",'Future et co'!D3202,IF(currency="EUR",'Future et co'!E3202,IF(currency="GBP",'Future et co'!F3202,FALSE)))</f>
        <v>RFR USD</v>
      </c>
      <c r="D3202" t="str">
        <f t="shared" ca="1" si="246"/>
        <v>RFR USD</v>
      </c>
      <c r="E3202" t="str">
        <f t="shared" ca="1" si="247"/>
        <v>RFR EUR</v>
      </c>
      <c r="F3202" t="str">
        <f t="shared" ca="1" si="248"/>
        <v>RFR GBP</v>
      </c>
      <c r="J3202" s="1"/>
      <c r="N3202" s="1"/>
      <c r="R3202" s="1"/>
      <c r="V3202" s="1"/>
      <c r="AB3202" s="1"/>
      <c r="AF3202" s="1"/>
      <c r="AJ3202" s="1"/>
      <c r="AN3202" s="1"/>
      <c r="AS3202" s="1"/>
      <c r="AX3202" s="1"/>
    </row>
    <row r="3203" spans="1:50" x14ac:dyDescent="0.3">
      <c r="A3203" s="19">
        <f t="shared" si="249"/>
        <v>50398</v>
      </c>
      <c r="B3203">
        <f t="shared" ca="1" si="245"/>
        <v>-11.794444444444444</v>
      </c>
      <c r="C3203" t="str">
        <f ca="1">IF(currency="USD",'Future et co'!D3203,IF(currency="EUR",'Future et co'!E3203,IF(currency="GBP",'Future et co'!F3203,FALSE)))</f>
        <v>RFR USD</v>
      </c>
      <c r="D3203" t="str">
        <f t="shared" ca="1" si="246"/>
        <v>RFR USD</v>
      </c>
      <c r="E3203" t="str">
        <f t="shared" ca="1" si="247"/>
        <v>RFR EUR</v>
      </c>
      <c r="F3203" t="str">
        <f t="shared" ca="1" si="248"/>
        <v>RFR GBP</v>
      </c>
      <c r="J3203" s="1"/>
      <c r="N3203" s="1"/>
      <c r="R3203" s="1"/>
      <c r="V3203" s="1"/>
      <c r="AB3203" s="1"/>
      <c r="AF3203" s="1"/>
      <c r="AJ3203" s="1"/>
      <c r="AN3203" s="1"/>
      <c r="AS3203" s="1"/>
      <c r="AX3203" s="1"/>
    </row>
    <row r="3204" spans="1:50" x14ac:dyDescent="0.3">
      <c r="A3204" s="19">
        <f t="shared" si="249"/>
        <v>50399</v>
      </c>
      <c r="B3204">
        <f t="shared" ca="1" si="245"/>
        <v>-11.797222222222222</v>
      </c>
      <c r="C3204" t="str">
        <f ca="1">IF(currency="USD",'Future et co'!D3204,IF(currency="EUR",'Future et co'!E3204,IF(currency="GBP",'Future et co'!F3204,FALSE)))</f>
        <v>RFR USD</v>
      </c>
      <c r="D3204" t="str">
        <f t="shared" ca="1" si="246"/>
        <v>RFR USD</v>
      </c>
      <c r="E3204" t="str">
        <f t="shared" ca="1" si="247"/>
        <v>RFR EUR</v>
      </c>
      <c r="F3204" t="str">
        <f t="shared" ca="1" si="248"/>
        <v>RFR GBP</v>
      </c>
      <c r="J3204" s="1"/>
      <c r="N3204" s="1"/>
      <c r="R3204" s="1"/>
      <c r="V3204" s="1"/>
      <c r="AB3204" s="1"/>
      <c r="AF3204" s="1"/>
      <c r="AJ3204" s="1"/>
      <c r="AN3204" s="1"/>
      <c r="AS3204" s="1"/>
      <c r="AX3204" s="1"/>
    </row>
    <row r="3205" spans="1:50" x14ac:dyDescent="0.3">
      <c r="A3205" s="19">
        <f t="shared" si="249"/>
        <v>50402</v>
      </c>
      <c r="B3205">
        <f t="shared" ca="1" si="245"/>
        <v>-11.805555555555555</v>
      </c>
      <c r="C3205" t="str">
        <f ca="1">IF(currency="USD",'Future et co'!D3205,IF(currency="EUR",'Future et co'!E3205,IF(currency="GBP",'Future et co'!F3205,FALSE)))</f>
        <v>RFR USD</v>
      </c>
      <c r="D3205" t="str">
        <f t="shared" ca="1" si="246"/>
        <v>RFR USD</v>
      </c>
      <c r="E3205" t="str">
        <f t="shared" ca="1" si="247"/>
        <v>RFR EUR</v>
      </c>
      <c r="F3205" t="str">
        <f t="shared" ca="1" si="248"/>
        <v>RFR GBP</v>
      </c>
      <c r="J3205" s="1"/>
      <c r="N3205" s="1"/>
      <c r="R3205" s="1"/>
      <c r="V3205" s="1"/>
      <c r="AB3205" s="1"/>
      <c r="AF3205" s="1"/>
      <c r="AJ3205" s="1"/>
      <c r="AN3205" s="1"/>
      <c r="AS3205" s="1"/>
      <c r="AX3205" s="1"/>
    </row>
    <row r="3206" spans="1:50" x14ac:dyDescent="0.3">
      <c r="A3206" s="19">
        <f t="shared" si="249"/>
        <v>50403</v>
      </c>
      <c r="B3206">
        <f t="shared" ca="1" si="245"/>
        <v>-11.808333333333334</v>
      </c>
      <c r="C3206" t="str">
        <f ca="1">IF(currency="USD",'Future et co'!D3206,IF(currency="EUR",'Future et co'!E3206,IF(currency="GBP",'Future et co'!F3206,FALSE)))</f>
        <v>RFR USD</v>
      </c>
      <c r="D3206" t="str">
        <f t="shared" ca="1" si="246"/>
        <v>RFR USD</v>
      </c>
      <c r="E3206" t="str">
        <f t="shared" ca="1" si="247"/>
        <v>RFR EUR</v>
      </c>
      <c r="F3206" t="str">
        <f t="shared" ca="1" si="248"/>
        <v>RFR GBP</v>
      </c>
      <c r="J3206" s="1"/>
      <c r="N3206" s="1"/>
      <c r="R3206" s="1"/>
      <c r="V3206" s="1"/>
      <c r="AB3206" s="1"/>
      <c r="AF3206" s="1"/>
      <c r="AJ3206" s="1"/>
      <c r="AN3206" s="1"/>
      <c r="AS3206" s="1"/>
      <c r="AX3206" s="1"/>
    </row>
    <row r="3207" spans="1:50" x14ac:dyDescent="0.3">
      <c r="A3207" s="19">
        <f t="shared" si="249"/>
        <v>50404</v>
      </c>
      <c r="B3207">
        <f t="shared" ca="1" si="245"/>
        <v>-11.811111111111112</v>
      </c>
      <c r="C3207" t="str">
        <f ca="1">IF(currency="USD",'Future et co'!D3207,IF(currency="EUR",'Future et co'!E3207,IF(currency="GBP",'Future et co'!F3207,FALSE)))</f>
        <v>RFR USD</v>
      </c>
      <c r="D3207" t="str">
        <f t="shared" ca="1" si="246"/>
        <v>RFR USD</v>
      </c>
      <c r="E3207" t="str">
        <f t="shared" ca="1" si="247"/>
        <v>RFR EUR</v>
      </c>
      <c r="F3207" t="str">
        <f t="shared" ca="1" si="248"/>
        <v>RFR GBP</v>
      </c>
      <c r="J3207" s="1"/>
      <c r="N3207" s="1"/>
      <c r="R3207" s="1"/>
      <c r="V3207" s="1"/>
      <c r="AB3207" s="1"/>
      <c r="AF3207" s="1"/>
      <c r="AJ3207" s="1"/>
      <c r="AN3207" s="1"/>
      <c r="AS3207" s="1"/>
      <c r="AX3207" s="1"/>
    </row>
    <row r="3208" spans="1:50" x14ac:dyDescent="0.3">
      <c r="A3208" s="19">
        <f t="shared" si="249"/>
        <v>50405</v>
      </c>
      <c r="B3208">
        <f t="shared" ca="1" si="245"/>
        <v>-11.813888888888888</v>
      </c>
      <c r="C3208" t="str">
        <f ca="1">IF(currency="USD",'Future et co'!D3208,IF(currency="EUR",'Future et co'!E3208,IF(currency="GBP",'Future et co'!F3208,FALSE)))</f>
        <v>RFR USD</v>
      </c>
      <c r="D3208" t="str">
        <f t="shared" ca="1" si="246"/>
        <v>RFR USD</v>
      </c>
      <c r="E3208" t="str">
        <f t="shared" ca="1" si="247"/>
        <v>RFR EUR</v>
      </c>
      <c r="F3208" t="str">
        <f t="shared" ca="1" si="248"/>
        <v>RFR GBP</v>
      </c>
      <c r="J3208" s="1"/>
      <c r="N3208" s="1"/>
      <c r="R3208" s="1"/>
      <c r="V3208" s="1"/>
      <c r="AB3208" s="1"/>
      <c r="AF3208" s="1"/>
      <c r="AJ3208" s="1"/>
      <c r="AN3208" s="1"/>
      <c r="AS3208" s="1"/>
      <c r="AX3208" s="1"/>
    </row>
    <row r="3209" spans="1:50" x14ac:dyDescent="0.3">
      <c r="A3209" s="19">
        <f t="shared" si="249"/>
        <v>50406</v>
      </c>
      <c r="B3209">
        <f t="shared" ca="1" si="245"/>
        <v>-11.816666666666666</v>
      </c>
      <c r="C3209" t="str">
        <f ca="1">IF(currency="USD",'Future et co'!D3209,IF(currency="EUR",'Future et co'!E3209,IF(currency="GBP",'Future et co'!F3209,FALSE)))</f>
        <v>RFR USD</v>
      </c>
      <c r="D3209" t="str">
        <f t="shared" ca="1" si="246"/>
        <v>RFR USD</v>
      </c>
      <c r="E3209" t="str">
        <f t="shared" ca="1" si="247"/>
        <v>RFR EUR</v>
      </c>
      <c r="F3209" t="str">
        <f t="shared" ca="1" si="248"/>
        <v>RFR GBP</v>
      </c>
      <c r="J3209" s="1"/>
      <c r="N3209" s="1"/>
      <c r="R3209" s="1"/>
      <c r="V3209" s="1"/>
      <c r="AB3209" s="1"/>
      <c r="AF3209" s="1"/>
      <c r="AJ3209" s="1"/>
      <c r="AN3209" s="1"/>
      <c r="AS3209" s="1"/>
      <c r="AX3209" s="1"/>
    </row>
    <row r="3210" spans="1:50" x14ac:dyDescent="0.3">
      <c r="A3210" s="19">
        <f t="shared" si="249"/>
        <v>50409</v>
      </c>
      <c r="B3210">
        <f t="shared" ca="1" si="245"/>
        <v>-11.824999999999999</v>
      </c>
      <c r="C3210" t="str">
        <f ca="1">IF(currency="USD",'Future et co'!D3210,IF(currency="EUR",'Future et co'!E3210,IF(currency="GBP",'Future et co'!F3210,FALSE)))</f>
        <v>RFR USD</v>
      </c>
      <c r="D3210" t="str">
        <f t="shared" ca="1" si="246"/>
        <v>RFR USD</v>
      </c>
      <c r="E3210" t="str">
        <f t="shared" ca="1" si="247"/>
        <v>RFR EUR</v>
      </c>
      <c r="F3210" t="str">
        <f t="shared" ca="1" si="248"/>
        <v>RFR GBP</v>
      </c>
      <c r="J3210" s="1"/>
      <c r="N3210" s="1"/>
      <c r="R3210" s="1"/>
      <c r="V3210" s="1"/>
      <c r="AB3210" s="1"/>
      <c r="AF3210" s="1"/>
      <c r="AJ3210" s="1"/>
      <c r="AN3210" s="1"/>
      <c r="AS3210" s="1"/>
      <c r="AX3210" s="1"/>
    </row>
    <row r="3211" spans="1:50" x14ac:dyDescent="0.3">
      <c r="A3211" s="19">
        <f t="shared" si="249"/>
        <v>50410</v>
      </c>
      <c r="B3211">
        <f t="shared" ref="B3211:B3274" ca="1" si="250">($B$7-A3211)/360</f>
        <v>-11.827777777777778</v>
      </c>
      <c r="C3211" t="str">
        <f ca="1">IF(currency="USD",'Future et co'!D3211,IF(currency="EUR",'Future et co'!E3211,IF(currency="GBP",'Future et co'!F3211,FALSE)))</f>
        <v>RFR USD</v>
      </c>
      <c r="D3211" t="str">
        <f t="shared" ref="D3211:D3274" ca="1" si="251">IFERROR(IF(B3211&lt;0.25,VLOOKUP(A3211,$J$11:$L$5325,3,FALSE),IF(AND(B3211&gt;=0.25,B3211&lt;0.5),VLOOKUP(A3211,$N$11:$P$5325,3,FALSE),IF(AND(B3211&gt;=0.5,B3211&lt;1),VLOOKUP(A3211,$R$11:$T$5325,3,FALSE),VLOOKUP(A3211,$V$11:$X$5010,3,FALSE)))),D3210)</f>
        <v>RFR USD</v>
      </c>
      <c r="E3211" t="str">
        <f t="shared" ref="E3211:E3274" ca="1" si="252">IFERROR(IF(B3211&lt;0.25,VLOOKUP(A3211,$AF$11:$AH$5325,3,FALSE),IF(AND(B3211&gt;=0.25,B3211&lt;0.5),VLOOKUP(A3211,$AJ$11:$AL$5325,3,FALSE),VLOOKUP(A3211,$AN$11:$AP$5325,3,FALSE))),E3210)</f>
        <v>RFR EUR</v>
      </c>
      <c r="F3211" t="str">
        <f t="shared" ref="F3211:F3274" ca="1" si="253">IFERROR(VLOOKUP(A3211,$AS$11:$AU$9999,3,FALSE),F3210)</f>
        <v>RFR GBP</v>
      </c>
      <c r="J3211" s="1"/>
      <c r="N3211" s="1"/>
      <c r="R3211" s="1"/>
      <c r="V3211" s="1"/>
      <c r="AB3211" s="1"/>
      <c r="AF3211" s="1"/>
      <c r="AJ3211" s="1"/>
      <c r="AN3211" s="1"/>
      <c r="AS3211" s="1"/>
      <c r="AX3211" s="1"/>
    </row>
    <row r="3212" spans="1:50" x14ac:dyDescent="0.3">
      <c r="A3212" s="19">
        <f t="shared" si="249"/>
        <v>50411</v>
      </c>
      <c r="B3212">
        <f t="shared" ca="1" si="250"/>
        <v>-11.830555555555556</v>
      </c>
      <c r="C3212" t="str">
        <f ca="1">IF(currency="USD",'Future et co'!D3212,IF(currency="EUR",'Future et co'!E3212,IF(currency="GBP",'Future et co'!F3212,FALSE)))</f>
        <v>RFR USD</v>
      </c>
      <c r="D3212" t="str">
        <f t="shared" ca="1" si="251"/>
        <v>RFR USD</v>
      </c>
      <c r="E3212" t="str">
        <f t="shared" ca="1" si="252"/>
        <v>RFR EUR</v>
      </c>
      <c r="F3212" t="str">
        <f t="shared" ca="1" si="253"/>
        <v>RFR GBP</v>
      </c>
      <c r="J3212" s="1"/>
      <c r="N3212" s="1"/>
      <c r="R3212" s="1"/>
      <c r="V3212" s="1"/>
      <c r="AB3212" s="1"/>
      <c r="AF3212" s="1"/>
      <c r="AJ3212" s="1"/>
      <c r="AN3212" s="1"/>
      <c r="AS3212" s="1"/>
      <c r="AX3212" s="1"/>
    </row>
    <row r="3213" spans="1:50" x14ac:dyDescent="0.3">
      <c r="A3213" s="19">
        <f t="shared" ref="A3213:A3276" si="254">WORKDAY(A3212,1)</f>
        <v>50412</v>
      </c>
      <c r="B3213">
        <f t="shared" ca="1" si="250"/>
        <v>-11.833333333333334</v>
      </c>
      <c r="C3213" t="str">
        <f ca="1">IF(currency="USD",'Future et co'!D3213,IF(currency="EUR",'Future et co'!E3213,IF(currency="GBP",'Future et co'!F3213,FALSE)))</f>
        <v>RFR USD</v>
      </c>
      <c r="D3213" t="str">
        <f t="shared" ca="1" si="251"/>
        <v>RFR USD</v>
      </c>
      <c r="E3213" t="str">
        <f t="shared" ca="1" si="252"/>
        <v>RFR EUR</v>
      </c>
      <c r="F3213" t="str">
        <f t="shared" ca="1" si="253"/>
        <v>RFR GBP</v>
      </c>
      <c r="J3213" s="1"/>
      <c r="N3213" s="1"/>
      <c r="R3213" s="1"/>
      <c r="V3213" s="1"/>
      <c r="AB3213" s="1"/>
      <c r="AF3213" s="1"/>
      <c r="AJ3213" s="1"/>
      <c r="AN3213" s="1"/>
      <c r="AS3213" s="1"/>
      <c r="AX3213" s="1"/>
    </row>
    <row r="3214" spans="1:50" x14ac:dyDescent="0.3">
      <c r="A3214" s="19">
        <f t="shared" si="254"/>
        <v>50413</v>
      </c>
      <c r="B3214">
        <f t="shared" ca="1" si="250"/>
        <v>-11.83611111111111</v>
      </c>
      <c r="C3214" t="str">
        <f ca="1">IF(currency="USD",'Future et co'!D3214,IF(currency="EUR",'Future et co'!E3214,IF(currency="GBP",'Future et co'!F3214,FALSE)))</f>
        <v>RFR USD</v>
      </c>
      <c r="D3214" t="str">
        <f t="shared" ca="1" si="251"/>
        <v>RFR USD</v>
      </c>
      <c r="E3214" t="str">
        <f t="shared" ca="1" si="252"/>
        <v>RFR EUR</v>
      </c>
      <c r="F3214" t="str">
        <f t="shared" ca="1" si="253"/>
        <v>RFR GBP</v>
      </c>
      <c r="J3214" s="1"/>
      <c r="N3214" s="1"/>
      <c r="R3214" s="1"/>
      <c r="V3214" s="1"/>
      <c r="AB3214" s="1"/>
      <c r="AF3214" s="1"/>
      <c r="AJ3214" s="1"/>
      <c r="AN3214" s="1"/>
      <c r="AS3214" s="1"/>
      <c r="AX3214" s="1"/>
    </row>
    <row r="3215" spans="1:50" x14ac:dyDescent="0.3">
      <c r="A3215" s="19">
        <f t="shared" si="254"/>
        <v>50416</v>
      </c>
      <c r="B3215">
        <f t="shared" ca="1" si="250"/>
        <v>-11.844444444444445</v>
      </c>
      <c r="C3215" t="str">
        <f ca="1">IF(currency="USD",'Future et co'!D3215,IF(currency="EUR",'Future et co'!E3215,IF(currency="GBP",'Future et co'!F3215,FALSE)))</f>
        <v>RFR USD</v>
      </c>
      <c r="D3215" t="str">
        <f t="shared" ca="1" si="251"/>
        <v>RFR USD</v>
      </c>
      <c r="E3215" t="str">
        <f t="shared" ca="1" si="252"/>
        <v>RFR EUR</v>
      </c>
      <c r="F3215" t="str">
        <f t="shared" ca="1" si="253"/>
        <v>RFR GBP</v>
      </c>
      <c r="J3215" s="1"/>
      <c r="N3215" s="1"/>
      <c r="R3215" s="1"/>
      <c r="V3215" s="1"/>
      <c r="AB3215" s="1"/>
      <c r="AF3215" s="1"/>
      <c r="AJ3215" s="1"/>
      <c r="AN3215" s="1"/>
      <c r="AS3215" s="1"/>
      <c r="AX3215" s="1"/>
    </row>
    <row r="3216" spans="1:50" x14ac:dyDescent="0.3">
      <c r="A3216" s="19">
        <f t="shared" si="254"/>
        <v>50417</v>
      </c>
      <c r="B3216">
        <f t="shared" ca="1" si="250"/>
        <v>-11.847222222222221</v>
      </c>
      <c r="C3216" t="str">
        <f ca="1">IF(currency="USD",'Future et co'!D3216,IF(currency="EUR",'Future et co'!E3216,IF(currency="GBP",'Future et co'!F3216,FALSE)))</f>
        <v>RFR USD</v>
      </c>
      <c r="D3216" t="str">
        <f t="shared" ca="1" si="251"/>
        <v>RFR USD</v>
      </c>
      <c r="E3216" t="str">
        <f t="shared" ca="1" si="252"/>
        <v>RFR EUR</v>
      </c>
      <c r="F3216" t="str">
        <f t="shared" ca="1" si="253"/>
        <v>RFR GBP</v>
      </c>
      <c r="J3216" s="1"/>
      <c r="N3216" s="1"/>
      <c r="R3216" s="1"/>
      <c r="V3216" s="1"/>
      <c r="AB3216" s="1"/>
      <c r="AF3216" s="1"/>
      <c r="AJ3216" s="1"/>
      <c r="AN3216" s="1"/>
      <c r="AS3216" s="1"/>
      <c r="AX3216" s="1"/>
    </row>
    <row r="3217" spans="1:50" x14ac:dyDescent="0.3">
      <c r="A3217" s="19">
        <f t="shared" si="254"/>
        <v>50418</v>
      </c>
      <c r="B3217">
        <f t="shared" ca="1" si="250"/>
        <v>-11.85</v>
      </c>
      <c r="C3217" t="str">
        <f ca="1">IF(currency="USD",'Future et co'!D3217,IF(currency="EUR",'Future et co'!E3217,IF(currency="GBP",'Future et co'!F3217,FALSE)))</f>
        <v>RFR USD</v>
      </c>
      <c r="D3217" t="str">
        <f t="shared" ca="1" si="251"/>
        <v>RFR USD</v>
      </c>
      <c r="E3217" t="str">
        <f t="shared" ca="1" si="252"/>
        <v>RFR EUR</v>
      </c>
      <c r="F3217" t="str">
        <f t="shared" ca="1" si="253"/>
        <v>RFR GBP</v>
      </c>
      <c r="J3217" s="1"/>
      <c r="N3217" s="1"/>
      <c r="R3217" s="1"/>
      <c r="V3217" s="1"/>
      <c r="AB3217" s="1"/>
      <c r="AF3217" s="1"/>
      <c r="AJ3217" s="1"/>
      <c r="AN3217" s="1"/>
      <c r="AS3217" s="1"/>
      <c r="AX3217" s="1"/>
    </row>
    <row r="3218" spans="1:50" x14ac:dyDescent="0.3">
      <c r="A3218" s="19">
        <f t="shared" si="254"/>
        <v>50419</v>
      </c>
      <c r="B3218">
        <f t="shared" ca="1" si="250"/>
        <v>-11.852777777777778</v>
      </c>
      <c r="C3218" t="str">
        <f ca="1">IF(currency="USD",'Future et co'!D3218,IF(currency="EUR",'Future et co'!E3218,IF(currency="GBP",'Future et co'!F3218,FALSE)))</f>
        <v>RFR USD</v>
      </c>
      <c r="D3218" t="str">
        <f t="shared" ca="1" si="251"/>
        <v>RFR USD</v>
      </c>
      <c r="E3218" t="str">
        <f t="shared" ca="1" si="252"/>
        <v>RFR EUR</v>
      </c>
      <c r="F3218" t="str">
        <f t="shared" ca="1" si="253"/>
        <v>RFR GBP</v>
      </c>
      <c r="J3218" s="1"/>
      <c r="N3218" s="1"/>
      <c r="R3218" s="1"/>
      <c r="V3218" s="1"/>
      <c r="AB3218" s="1"/>
      <c r="AF3218" s="1"/>
      <c r="AJ3218" s="1"/>
      <c r="AN3218" s="1"/>
      <c r="AS3218" s="1"/>
      <c r="AX3218" s="1"/>
    </row>
    <row r="3219" spans="1:50" x14ac:dyDescent="0.3">
      <c r="A3219" s="19">
        <f t="shared" si="254"/>
        <v>50420</v>
      </c>
      <c r="B3219">
        <f t="shared" ca="1" si="250"/>
        <v>-11.855555555555556</v>
      </c>
      <c r="C3219" t="str">
        <f ca="1">IF(currency="USD",'Future et co'!D3219,IF(currency="EUR",'Future et co'!E3219,IF(currency="GBP",'Future et co'!F3219,FALSE)))</f>
        <v>RFR USD</v>
      </c>
      <c r="D3219" t="str">
        <f t="shared" ca="1" si="251"/>
        <v>RFR USD</v>
      </c>
      <c r="E3219" t="str">
        <f t="shared" ca="1" si="252"/>
        <v>RFR EUR</v>
      </c>
      <c r="F3219" t="str">
        <f t="shared" ca="1" si="253"/>
        <v>RFR GBP</v>
      </c>
      <c r="J3219" s="1"/>
      <c r="N3219" s="1"/>
      <c r="R3219" s="1"/>
      <c r="V3219" s="1"/>
      <c r="AB3219" s="1"/>
      <c r="AF3219" s="1"/>
      <c r="AJ3219" s="1"/>
      <c r="AN3219" s="1"/>
      <c r="AS3219" s="1"/>
      <c r="AX3219" s="1"/>
    </row>
    <row r="3220" spans="1:50" x14ac:dyDescent="0.3">
      <c r="A3220" s="19">
        <f t="shared" si="254"/>
        <v>50423</v>
      </c>
      <c r="B3220">
        <f t="shared" ca="1" si="250"/>
        <v>-11.863888888888889</v>
      </c>
      <c r="C3220" t="str">
        <f ca="1">IF(currency="USD",'Future et co'!D3220,IF(currency="EUR",'Future et co'!E3220,IF(currency="GBP",'Future et co'!F3220,FALSE)))</f>
        <v>RFR USD</v>
      </c>
      <c r="D3220" t="str">
        <f t="shared" ca="1" si="251"/>
        <v>RFR USD</v>
      </c>
      <c r="E3220" t="str">
        <f t="shared" ca="1" si="252"/>
        <v>RFR EUR</v>
      </c>
      <c r="F3220" t="str">
        <f t="shared" ca="1" si="253"/>
        <v>RFR GBP</v>
      </c>
      <c r="J3220" s="1"/>
      <c r="N3220" s="1"/>
      <c r="R3220" s="1"/>
      <c r="V3220" s="1"/>
      <c r="AB3220" s="1"/>
      <c r="AF3220" s="1"/>
      <c r="AJ3220" s="1"/>
      <c r="AN3220" s="1"/>
      <c r="AS3220" s="1"/>
      <c r="AX3220" s="1"/>
    </row>
    <row r="3221" spans="1:50" x14ac:dyDescent="0.3">
      <c r="A3221" s="19">
        <f t="shared" si="254"/>
        <v>50424</v>
      </c>
      <c r="B3221">
        <f t="shared" ca="1" si="250"/>
        <v>-11.866666666666667</v>
      </c>
      <c r="C3221" t="str">
        <f ca="1">IF(currency="USD",'Future et co'!D3221,IF(currency="EUR",'Future et co'!E3221,IF(currency="GBP",'Future et co'!F3221,FALSE)))</f>
        <v>RFR USD</v>
      </c>
      <c r="D3221" t="str">
        <f t="shared" ca="1" si="251"/>
        <v>RFR USD</v>
      </c>
      <c r="E3221" t="str">
        <f t="shared" ca="1" si="252"/>
        <v>RFR EUR</v>
      </c>
      <c r="F3221" t="str">
        <f t="shared" ca="1" si="253"/>
        <v>RFR GBP</v>
      </c>
      <c r="J3221" s="1"/>
      <c r="N3221" s="1"/>
      <c r="R3221" s="1"/>
      <c r="V3221" s="1"/>
      <c r="AB3221" s="1"/>
      <c r="AF3221" s="1"/>
      <c r="AJ3221" s="1"/>
      <c r="AN3221" s="1"/>
      <c r="AS3221" s="1"/>
      <c r="AX3221" s="1"/>
    </row>
    <row r="3222" spans="1:50" x14ac:dyDescent="0.3">
      <c r="A3222" s="19">
        <f t="shared" si="254"/>
        <v>50425</v>
      </c>
      <c r="B3222">
        <f t="shared" ca="1" si="250"/>
        <v>-11.869444444444444</v>
      </c>
      <c r="C3222" t="str">
        <f ca="1">IF(currency="USD",'Future et co'!D3222,IF(currency="EUR",'Future et co'!E3222,IF(currency="GBP",'Future et co'!F3222,FALSE)))</f>
        <v>RFR USD</v>
      </c>
      <c r="D3222" t="str">
        <f t="shared" ca="1" si="251"/>
        <v>RFR USD</v>
      </c>
      <c r="E3222" t="str">
        <f t="shared" ca="1" si="252"/>
        <v>RFR EUR</v>
      </c>
      <c r="F3222" t="str">
        <f t="shared" ca="1" si="253"/>
        <v>RFR GBP</v>
      </c>
      <c r="J3222" s="1"/>
      <c r="N3222" s="1"/>
      <c r="R3222" s="1"/>
      <c r="V3222" s="1"/>
      <c r="AB3222" s="1"/>
      <c r="AF3222" s="1"/>
      <c r="AJ3222" s="1"/>
      <c r="AN3222" s="1"/>
      <c r="AS3222" s="1"/>
      <c r="AX3222" s="1"/>
    </row>
    <row r="3223" spans="1:50" x14ac:dyDescent="0.3">
      <c r="A3223" s="19">
        <f t="shared" si="254"/>
        <v>50426</v>
      </c>
      <c r="B3223">
        <f t="shared" ca="1" si="250"/>
        <v>-11.872222222222222</v>
      </c>
      <c r="C3223" t="str">
        <f ca="1">IF(currency="USD",'Future et co'!D3223,IF(currency="EUR",'Future et co'!E3223,IF(currency="GBP",'Future et co'!F3223,FALSE)))</f>
        <v>RFR USD</v>
      </c>
      <c r="D3223" t="str">
        <f t="shared" ca="1" si="251"/>
        <v>RFR USD</v>
      </c>
      <c r="E3223" t="str">
        <f t="shared" ca="1" si="252"/>
        <v>RFR EUR</v>
      </c>
      <c r="F3223" t="str">
        <f t="shared" ca="1" si="253"/>
        <v>RFR GBP</v>
      </c>
      <c r="J3223" s="1"/>
      <c r="N3223" s="1"/>
      <c r="R3223" s="1"/>
      <c r="V3223" s="1"/>
      <c r="AB3223" s="1"/>
      <c r="AF3223" s="1"/>
      <c r="AJ3223" s="1"/>
      <c r="AN3223" s="1"/>
      <c r="AS3223" s="1"/>
      <c r="AX3223" s="1"/>
    </row>
    <row r="3224" spans="1:50" x14ac:dyDescent="0.3">
      <c r="A3224" s="19">
        <f t="shared" si="254"/>
        <v>50427</v>
      </c>
      <c r="B3224">
        <f t="shared" ca="1" si="250"/>
        <v>-11.875</v>
      </c>
      <c r="C3224" t="str">
        <f ca="1">IF(currency="USD",'Future et co'!D3224,IF(currency="EUR",'Future et co'!E3224,IF(currency="GBP",'Future et co'!F3224,FALSE)))</f>
        <v>RFR USD</v>
      </c>
      <c r="D3224" t="str">
        <f t="shared" ca="1" si="251"/>
        <v>RFR USD</v>
      </c>
      <c r="E3224" t="str">
        <f t="shared" ca="1" si="252"/>
        <v>RFR EUR</v>
      </c>
      <c r="F3224" t="str">
        <f t="shared" ca="1" si="253"/>
        <v>RFR GBP</v>
      </c>
      <c r="J3224" s="1"/>
      <c r="N3224" s="1"/>
      <c r="R3224" s="1"/>
      <c r="V3224" s="1"/>
      <c r="AB3224" s="1"/>
      <c r="AF3224" s="1"/>
      <c r="AJ3224" s="1"/>
      <c r="AN3224" s="1"/>
      <c r="AS3224" s="1"/>
      <c r="AX3224" s="1"/>
    </row>
    <row r="3225" spans="1:50" x14ac:dyDescent="0.3">
      <c r="A3225" s="19">
        <f t="shared" si="254"/>
        <v>50430</v>
      </c>
      <c r="B3225">
        <f t="shared" ca="1" si="250"/>
        <v>-11.883333333333333</v>
      </c>
      <c r="C3225" t="str">
        <f ca="1">IF(currency="USD",'Future et co'!D3225,IF(currency="EUR",'Future et co'!E3225,IF(currency="GBP",'Future et co'!F3225,FALSE)))</f>
        <v>RFR USD</v>
      </c>
      <c r="D3225" t="str">
        <f t="shared" ca="1" si="251"/>
        <v>RFR USD</v>
      </c>
      <c r="E3225" t="str">
        <f t="shared" ca="1" si="252"/>
        <v>RFR EUR</v>
      </c>
      <c r="F3225" t="str">
        <f t="shared" ca="1" si="253"/>
        <v>RFR GBP</v>
      </c>
      <c r="J3225" s="1"/>
      <c r="N3225" s="1"/>
      <c r="R3225" s="1"/>
      <c r="V3225" s="1"/>
      <c r="AB3225" s="1"/>
      <c r="AF3225" s="1"/>
      <c r="AJ3225" s="1"/>
      <c r="AN3225" s="1"/>
      <c r="AS3225" s="1"/>
      <c r="AX3225" s="1"/>
    </row>
    <row r="3226" spans="1:50" x14ac:dyDescent="0.3">
      <c r="A3226" s="19">
        <f t="shared" si="254"/>
        <v>50431</v>
      </c>
      <c r="B3226">
        <f t="shared" ca="1" si="250"/>
        <v>-11.886111111111111</v>
      </c>
      <c r="C3226" t="str">
        <f ca="1">IF(currency="USD",'Future et co'!D3226,IF(currency="EUR",'Future et co'!E3226,IF(currency="GBP",'Future et co'!F3226,FALSE)))</f>
        <v>RFR USD</v>
      </c>
      <c r="D3226" t="str">
        <f t="shared" ca="1" si="251"/>
        <v>RFR USD</v>
      </c>
      <c r="E3226" t="str">
        <f t="shared" ca="1" si="252"/>
        <v>RFR EUR</v>
      </c>
      <c r="F3226" t="str">
        <f t="shared" ca="1" si="253"/>
        <v>RFR GBP</v>
      </c>
      <c r="J3226" s="1"/>
      <c r="N3226" s="1"/>
      <c r="R3226" s="1"/>
      <c r="V3226" s="1"/>
      <c r="AB3226" s="1"/>
      <c r="AF3226" s="1"/>
      <c r="AJ3226" s="1"/>
      <c r="AN3226" s="1"/>
      <c r="AS3226" s="1"/>
      <c r="AX3226" s="1"/>
    </row>
    <row r="3227" spans="1:50" x14ac:dyDescent="0.3">
      <c r="A3227" s="19">
        <f t="shared" si="254"/>
        <v>50432</v>
      </c>
      <c r="B3227">
        <f t="shared" ca="1" si="250"/>
        <v>-11.888888888888889</v>
      </c>
      <c r="C3227" t="str">
        <f ca="1">IF(currency="USD",'Future et co'!D3227,IF(currency="EUR",'Future et co'!E3227,IF(currency="GBP",'Future et co'!F3227,FALSE)))</f>
        <v>RFR USD</v>
      </c>
      <c r="D3227" t="str">
        <f t="shared" ca="1" si="251"/>
        <v>RFR USD</v>
      </c>
      <c r="E3227" t="str">
        <f t="shared" ca="1" si="252"/>
        <v>RFR EUR</v>
      </c>
      <c r="F3227" t="str">
        <f t="shared" ca="1" si="253"/>
        <v>RFR GBP</v>
      </c>
      <c r="J3227" s="1"/>
      <c r="N3227" s="1"/>
      <c r="R3227" s="1"/>
      <c r="V3227" s="1"/>
      <c r="AB3227" s="1"/>
      <c r="AF3227" s="1"/>
      <c r="AJ3227" s="1"/>
      <c r="AN3227" s="1"/>
      <c r="AS3227" s="1"/>
      <c r="AX3227" s="1"/>
    </row>
    <row r="3228" spans="1:50" x14ac:dyDescent="0.3">
      <c r="A3228" s="19">
        <f t="shared" si="254"/>
        <v>50433</v>
      </c>
      <c r="B3228">
        <f t="shared" ca="1" si="250"/>
        <v>-11.891666666666667</v>
      </c>
      <c r="C3228" t="str">
        <f ca="1">IF(currency="USD",'Future et co'!D3228,IF(currency="EUR",'Future et co'!E3228,IF(currency="GBP",'Future et co'!F3228,FALSE)))</f>
        <v>RFR USD</v>
      </c>
      <c r="D3228" t="str">
        <f t="shared" ca="1" si="251"/>
        <v>RFR USD</v>
      </c>
      <c r="E3228" t="str">
        <f t="shared" ca="1" si="252"/>
        <v>RFR EUR</v>
      </c>
      <c r="F3228" t="str">
        <f t="shared" ca="1" si="253"/>
        <v>RFR GBP</v>
      </c>
      <c r="J3228" s="1"/>
      <c r="N3228" s="1"/>
      <c r="R3228" s="1"/>
      <c r="V3228" s="1"/>
      <c r="AB3228" s="1"/>
      <c r="AF3228" s="1"/>
      <c r="AJ3228" s="1"/>
      <c r="AN3228" s="1"/>
      <c r="AS3228" s="1"/>
      <c r="AX3228" s="1"/>
    </row>
    <row r="3229" spans="1:50" x14ac:dyDescent="0.3">
      <c r="A3229" s="19">
        <f t="shared" si="254"/>
        <v>50434</v>
      </c>
      <c r="B3229">
        <f t="shared" ca="1" si="250"/>
        <v>-11.894444444444444</v>
      </c>
      <c r="C3229" t="str">
        <f ca="1">IF(currency="USD",'Future et co'!D3229,IF(currency="EUR",'Future et co'!E3229,IF(currency="GBP",'Future et co'!F3229,FALSE)))</f>
        <v>RFR USD</v>
      </c>
      <c r="D3229" t="str">
        <f t="shared" ca="1" si="251"/>
        <v>RFR USD</v>
      </c>
      <c r="E3229" t="str">
        <f t="shared" ca="1" si="252"/>
        <v>RFR EUR</v>
      </c>
      <c r="F3229" t="str">
        <f t="shared" ca="1" si="253"/>
        <v>RFR GBP</v>
      </c>
      <c r="J3229" s="1"/>
      <c r="N3229" s="1"/>
      <c r="R3229" s="1"/>
      <c r="V3229" s="1"/>
      <c r="AB3229" s="1"/>
      <c r="AF3229" s="1"/>
      <c r="AJ3229" s="1"/>
      <c r="AN3229" s="1"/>
      <c r="AS3229" s="1"/>
      <c r="AX3229" s="1"/>
    </row>
    <row r="3230" spans="1:50" x14ac:dyDescent="0.3">
      <c r="A3230" s="19">
        <f t="shared" si="254"/>
        <v>50437</v>
      </c>
      <c r="B3230">
        <f t="shared" ca="1" si="250"/>
        <v>-11.902777777777779</v>
      </c>
      <c r="C3230" t="str">
        <f ca="1">IF(currency="USD",'Future et co'!D3230,IF(currency="EUR",'Future et co'!E3230,IF(currency="GBP",'Future et co'!F3230,FALSE)))</f>
        <v>RFR USD</v>
      </c>
      <c r="D3230" t="str">
        <f t="shared" ca="1" si="251"/>
        <v>RFR USD</v>
      </c>
      <c r="E3230" t="str">
        <f t="shared" ca="1" si="252"/>
        <v>RFR EUR</v>
      </c>
      <c r="F3230" t="str">
        <f t="shared" ca="1" si="253"/>
        <v>RFR GBP</v>
      </c>
      <c r="J3230" s="1"/>
      <c r="N3230" s="1"/>
      <c r="R3230" s="1"/>
      <c r="V3230" s="1"/>
      <c r="AB3230" s="1"/>
      <c r="AF3230" s="1"/>
      <c r="AJ3230" s="1"/>
      <c r="AN3230" s="1"/>
      <c r="AS3230" s="1"/>
      <c r="AX3230" s="1"/>
    </row>
    <row r="3231" spans="1:50" x14ac:dyDescent="0.3">
      <c r="A3231" s="19">
        <f t="shared" si="254"/>
        <v>50438</v>
      </c>
      <c r="B3231">
        <f t="shared" ca="1" si="250"/>
        <v>-11.905555555555555</v>
      </c>
      <c r="C3231" t="str">
        <f ca="1">IF(currency="USD",'Future et co'!D3231,IF(currency="EUR",'Future et co'!E3231,IF(currency="GBP",'Future et co'!F3231,FALSE)))</f>
        <v>RFR USD</v>
      </c>
      <c r="D3231" t="str">
        <f t="shared" ca="1" si="251"/>
        <v>RFR USD</v>
      </c>
      <c r="E3231" t="str">
        <f t="shared" ca="1" si="252"/>
        <v>RFR EUR</v>
      </c>
      <c r="F3231" t="str">
        <f t="shared" ca="1" si="253"/>
        <v>RFR GBP</v>
      </c>
      <c r="J3231" s="1"/>
      <c r="N3231" s="1"/>
      <c r="R3231" s="1"/>
      <c r="V3231" s="1"/>
      <c r="AB3231" s="1"/>
      <c r="AF3231" s="1"/>
      <c r="AJ3231" s="1"/>
      <c r="AN3231" s="1"/>
      <c r="AS3231" s="1"/>
      <c r="AX3231" s="1"/>
    </row>
    <row r="3232" spans="1:50" x14ac:dyDescent="0.3">
      <c r="A3232" s="19">
        <f t="shared" si="254"/>
        <v>50439</v>
      </c>
      <c r="B3232">
        <f t="shared" ca="1" si="250"/>
        <v>-11.908333333333333</v>
      </c>
      <c r="C3232" t="str">
        <f ca="1">IF(currency="USD",'Future et co'!D3232,IF(currency="EUR",'Future et co'!E3232,IF(currency="GBP",'Future et co'!F3232,FALSE)))</f>
        <v>RFR USD</v>
      </c>
      <c r="D3232" t="str">
        <f t="shared" ca="1" si="251"/>
        <v>RFR USD</v>
      </c>
      <c r="E3232" t="str">
        <f t="shared" ca="1" si="252"/>
        <v>RFR EUR</v>
      </c>
      <c r="F3232" t="str">
        <f t="shared" ca="1" si="253"/>
        <v>RFR GBP</v>
      </c>
      <c r="J3232" s="1"/>
      <c r="N3232" s="1"/>
      <c r="R3232" s="1"/>
      <c r="V3232" s="1"/>
      <c r="AB3232" s="1"/>
      <c r="AF3232" s="1"/>
      <c r="AJ3232" s="1"/>
      <c r="AN3232" s="1"/>
      <c r="AS3232" s="1"/>
      <c r="AX3232" s="1"/>
    </row>
    <row r="3233" spans="1:50" x14ac:dyDescent="0.3">
      <c r="A3233" s="19">
        <f t="shared" si="254"/>
        <v>50440</v>
      </c>
      <c r="B3233">
        <f t="shared" ca="1" si="250"/>
        <v>-11.911111111111111</v>
      </c>
      <c r="C3233" t="str">
        <f ca="1">IF(currency="USD",'Future et co'!D3233,IF(currency="EUR",'Future et co'!E3233,IF(currency="GBP",'Future et co'!F3233,FALSE)))</f>
        <v>RFR USD</v>
      </c>
      <c r="D3233" t="str">
        <f t="shared" ca="1" si="251"/>
        <v>RFR USD</v>
      </c>
      <c r="E3233" t="str">
        <f t="shared" ca="1" si="252"/>
        <v>RFR EUR</v>
      </c>
      <c r="F3233" t="str">
        <f t="shared" ca="1" si="253"/>
        <v>RFR GBP</v>
      </c>
      <c r="J3233" s="1"/>
      <c r="N3233" s="1"/>
      <c r="R3233" s="1"/>
      <c r="V3233" s="1"/>
      <c r="AB3233" s="1"/>
      <c r="AF3233" s="1"/>
      <c r="AJ3233" s="1"/>
      <c r="AN3233" s="1"/>
      <c r="AS3233" s="1"/>
      <c r="AX3233" s="1"/>
    </row>
    <row r="3234" spans="1:50" x14ac:dyDescent="0.3">
      <c r="A3234" s="19">
        <f t="shared" si="254"/>
        <v>50441</v>
      </c>
      <c r="B3234">
        <f t="shared" ca="1" si="250"/>
        <v>-11.91388888888889</v>
      </c>
      <c r="C3234" t="str">
        <f ca="1">IF(currency="USD",'Future et co'!D3234,IF(currency="EUR",'Future et co'!E3234,IF(currency="GBP",'Future et co'!F3234,FALSE)))</f>
        <v>RFR USD</v>
      </c>
      <c r="D3234" t="str">
        <f t="shared" ca="1" si="251"/>
        <v>RFR USD</v>
      </c>
      <c r="E3234" t="str">
        <f t="shared" ca="1" si="252"/>
        <v>RFR EUR</v>
      </c>
      <c r="F3234" t="str">
        <f t="shared" ca="1" si="253"/>
        <v>RFR GBP</v>
      </c>
      <c r="J3234" s="1"/>
      <c r="N3234" s="1"/>
      <c r="R3234" s="1"/>
      <c r="V3234" s="1"/>
      <c r="AB3234" s="1"/>
      <c r="AF3234" s="1"/>
      <c r="AJ3234" s="1"/>
      <c r="AN3234" s="1"/>
      <c r="AS3234" s="1"/>
      <c r="AX3234" s="1"/>
    </row>
    <row r="3235" spans="1:50" x14ac:dyDescent="0.3">
      <c r="A3235" s="19">
        <f t="shared" si="254"/>
        <v>50444</v>
      </c>
      <c r="B3235">
        <f t="shared" ca="1" si="250"/>
        <v>-11.922222222222222</v>
      </c>
      <c r="C3235" t="str">
        <f ca="1">IF(currency="USD",'Future et co'!D3235,IF(currency="EUR",'Future et co'!E3235,IF(currency="GBP",'Future et co'!F3235,FALSE)))</f>
        <v>RFR USD</v>
      </c>
      <c r="D3235" t="str">
        <f t="shared" ca="1" si="251"/>
        <v>RFR USD</v>
      </c>
      <c r="E3235" t="str">
        <f t="shared" ca="1" si="252"/>
        <v>RFR EUR</v>
      </c>
      <c r="F3235" t="str">
        <f t="shared" ca="1" si="253"/>
        <v>RFR GBP</v>
      </c>
      <c r="J3235" s="1"/>
      <c r="N3235" s="1"/>
      <c r="R3235" s="1"/>
      <c r="V3235" s="1"/>
      <c r="AB3235" s="1"/>
      <c r="AF3235" s="1"/>
      <c r="AJ3235" s="1"/>
      <c r="AN3235" s="1"/>
      <c r="AS3235" s="1"/>
      <c r="AX3235" s="1"/>
    </row>
    <row r="3236" spans="1:50" x14ac:dyDescent="0.3">
      <c r="A3236" s="19">
        <f t="shared" si="254"/>
        <v>50445</v>
      </c>
      <c r="B3236">
        <f t="shared" ca="1" si="250"/>
        <v>-11.925000000000001</v>
      </c>
      <c r="C3236" t="str">
        <f ca="1">IF(currency="USD",'Future et co'!D3236,IF(currency="EUR",'Future et co'!E3236,IF(currency="GBP",'Future et co'!F3236,FALSE)))</f>
        <v>RFR USD</v>
      </c>
      <c r="D3236" t="str">
        <f t="shared" ca="1" si="251"/>
        <v>RFR USD</v>
      </c>
      <c r="E3236" t="str">
        <f t="shared" ca="1" si="252"/>
        <v>RFR EUR</v>
      </c>
      <c r="F3236" t="str">
        <f t="shared" ca="1" si="253"/>
        <v>RFR GBP</v>
      </c>
      <c r="J3236" s="1"/>
      <c r="N3236" s="1"/>
      <c r="R3236" s="1"/>
      <c r="V3236" s="1"/>
      <c r="AB3236" s="1"/>
      <c r="AF3236" s="1"/>
      <c r="AJ3236" s="1"/>
      <c r="AN3236" s="1"/>
      <c r="AS3236" s="1"/>
      <c r="AX3236" s="1"/>
    </row>
    <row r="3237" spans="1:50" x14ac:dyDescent="0.3">
      <c r="A3237" s="19">
        <f t="shared" si="254"/>
        <v>50446</v>
      </c>
      <c r="B3237">
        <f t="shared" ca="1" si="250"/>
        <v>-11.927777777777777</v>
      </c>
      <c r="C3237" t="str">
        <f ca="1">IF(currency="USD",'Future et co'!D3237,IF(currency="EUR",'Future et co'!E3237,IF(currency="GBP",'Future et co'!F3237,FALSE)))</f>
        <v>RFR USD</v>
      </c>
      <c r="D3237" t="str">
        <f t="shared" ca="1" si="251"/>
        <v>RFR USD</v>
      </c>
      <c r="E3237" t="str">
        <f t="shared" ca="1" si="252"/>
        <v>RFR EUR</v>
      </c>
      <c r="F3237" t="str">
        <f t="shared" ca="1" si="253"/>
        <v>RFR GBP</v>
      </c>
      <c r="J3237" s="1"/>
      <c r="N3237" s="1"/>
      <c r="R3237" s="1"/>
      <c r="V3237" s="1"/>
      <c r="AB3237" s="1"/>
      <c r="AF3237" s="1"/>
      <c r="AJ3237" s="1"/>
      <c r="AN3237" s="1"/>
      <c r="AS3237" s="1"/>
      <c r="AX3237" s="1"/>
    </row>
    <row r="3238" spans="1:50" x14ac:dyDescent="0.3">
      <c r="A3238" s="19">
        <f t="shared" si="254"/>
        <v>50447</v>
      </c>
      <c r="B3238">
        <f t="shared" ca="1" si="250"/>
        <v>-11.930555555555555</v>
      </c>
      <c r="C3238" t="str">
        <f ca="1">IF(currency="USD",'Future et co'!D3238,IF(currency="EUR",'Future et co'!E3238,IF(currency="GBP",'Future et co'!F3238,FALSE)))</f>
        <v>RFR USD</v>
      </c>
      <c r="D3238" t="str">
        <f t="shared" ca="1" si="251"/>
        <v>RFR USD</v>
      </c>
      <c r="E3238" t="str">
        <f t="shared" ca="1" si="252"/>
        <v>RFR EUR</v>
      </c>
      <c r="F3238" t="str">
        <f t="shared" ca="1" si="253"/>
        <v>RFR GBP</v>
      </c>
      <c r="J3238" s="1"/>
      <c r="N3238" s="1"/>
      <c r="R3238" s="1"/>
      <c r="V3238" s="1"/>
      <c r="AB3238" s="1"/>
      <c r="AF3238" s="1"/>
      <c r="AJ3238" s="1"/>
      <c r="AN3238" s="1"/>
      <c r="AS3238" s="1"/>
      <c r="AX3238" s="1"/>
    </row>
    <row r="3239" spans="1:50" x14ac:dyDescent="0.3">
      <c r="A3239" s="19">
        <f t="shared" si="254"/>
        <v>50448</v>
      </c>
      <c r="B3239">
        <f t="shared" ca="1" si="250"/>
        <v>-11.933333333333334</v>
      </c>
      <c r="C3239" t="str">
        <f ca="1">IF(currency="USD",'Future et co'!D3239,IF(currency="EUR",'Future et co'!E3239,IF(currency="GBP",'Future et co'!F3239,FALSE)))</f>
        <v>RFR USD</v>
      </c>
      <c r="D3239" t="str">
        <f t="shared" ca="1" si="251"/>
        <v>RFR USD</v>
      </c>
      <c r="E3239" t="str">
        <f t="shared" ca="1" si="252"/>
        <v>RFR EUR</v>
      </c>
      <c r="F3239" t="str">
        <f t="shared" ca="1" si="253"/>
        <v>RFR GBP</v>
      </c>
      <c r="J3239" s="1"/>
      <c r="N3239" s="1"/>
      <c r="R3239" s="1"/>
      <c r="V3239" s="1"/>
      <c r="AB3239" s="1"/>
      <c r="AF3239" s="1"/>
      <c r="AJ3239" s="1"/>
      <c r="AN3239" s="1"/>
      <c r="AS3239" s="1"/>
      <c r="AX3239" s="1"/>
    </row>
    <row r="3240" spans="1:50" x14ac:dyDescent="0.3">
      <c r="A3240" s="19">
        <f t="shared" si="254"/>
        <v>50451</v>
      </c>
      <c r="B3240">
        <f t="shared" ca="1" si="250"/>
        <v>-11.941666666666666</v>
      </c>
      <c r="C3240" t="str">
        <f ca="1">IF(currency="USD",'Future et co'!D3240,IF(currency="EUR",'Future et co'!E3240,IF(currency="GBP",'Future et co'!F3240,FALSE)))</f>
        <v>RFR USD</v>
      </c>
      <c r="D3240" t="str">
        <f t="shared" ca="1" si="251"/>
        <v>RFR USD</v>
      </c>
      <c r="E3240" t="str">
        <f t="shared" ca="1" si="252"/>
        <v>RFR EUR</v>
      </c>
      <c r="F3240" t="str">
        <f t="shared" ca="1" si="253"/>
        <v>RFR GBP</v>
      </c>
      <c r="J3240" s="1"/>
      <c r="N3240" s="1"/>
      <c r="R3240" s="1"/>
      <c r="V3240" s="1"/>
      <c r="AB3240" s="1"/>
      <c r="AF3240" s="1"/>
      <c r="AJ3240" s="1"/>
      <c r="AN3240" s="1"/>
      <c r="AS3240" s="1"/>
      <c r="AX3240" s="1"/>
    </row>
    <row r="3241" spans="1:50" x14ac:dyDescent="0.3">
      <c r="A3241" s="19">
        <f t="shared" si="254"/>
        <v>50452</v>
      </c>
      <c r="B3241">
        <f t="shared" ca="1" si="250"/>
        <v>-11.944444444444445</v>
      </c>
      <c r="C3241" t="str">
        <f ca="1">IF(currency="USD",'Future et co'!D3241,IF(currency="EUR",'Future et co'!E3241,IF(currency="GBP",'Future et co'!F3241,FALSE)))</f>
        <v>RFR USD</v>
      </c>
      <c r="D3241" t="str">
        <f t="shared" ca="1" si="251"/>
        <v>RFR USD</v>
      </c>
      <c r="E3241" t="str">
        <f t="shared" ca="1" si="252"/>
        <v>RFR EUR</v>
      </c>
      <c r="F3241" t="str">
        <f t="shared" ca="1" si="253"/>
        <v>RFR GBP</v>
      </c>
      <c r="J3241" s="1"/>
      <c r="N3241" s="1"/>
      <c r="R3241" s="1"/>
      <c r="V3241" s="1"/>
      <c r="AB3241" s="1"/>
      <c r="AF3241" s="1"/>
      <c r="AJ3241" s="1"/>
      <c r="AN3241" s="1"/>
      <c r="AS3241" s="1"/>
      <c r="AX3241" s="1"/>
    </row>
    <row r="3242" spans="1:50" x14ac:dyDescent="0.3">
      <c r="A3242" s="19">
        <f t="shared" si="254"/>
        <v>50453</v>
      </c>
      <c r="B3242">
        <f t="shared" ca="1" si="250"/>
        <v>-11.947222222222223</v>
      </c>
      <c r="C3242" t="str">
        <f ca="1">IF(currency="USD",'Future et co'!D3242,IF(currency="EUR",'Future et co'!E3242,IF(currency="GBP",'Future et co'!F3242,FALSE)))</f>
        <v>RFR USD</v>
      </c>
      <c r="D3242" t="str">
        <f t="shared" ca="1" si="251"/>
        <v>RFR USD</v>
      </c>
      <c r="E3242" t="str">
        <f t="shared" ca="1" si="252"/>
        <v>RFR EUR</v>
      </c>
      <c r="F3242" t="str">
        <f t="shared" ca="1" si="253"/>
        <v>RFR GBP</v>
      </c>
      <c r="J3242" s="1"/>
      <c r="N3242" s="1"/>
      <c r="R3242" s="1"/>
      <c r="V3242" s="1"/>
      <c r="AB3242" s="1"/>
      <c r="AF3242" s="1"/>
      <c r="AJ3242" s="1"/>
      <c r="AN3242" s="1"/>
      <c r="AS3242" s="1"/>
      <c r="AX3242" s="1"/>
    </row>
    <row r="3243" spans="1:50" x14ac:dyDescent="0.3">
      <c r="A3243" s="19">
        <f t="shared" si="254"/>
        <v>50454</v>
      </c>
      <c r="B3243">
        <f t="shared" ca="1" si="250"/>
        <v>-11.95</v>
      </c>
      <c r="C3243" t="str">
        <f ca="1">IF(currency="USD",'Future et co'!D3243,IF(currency="EUR",'Future et co'!E3243,IF(currency="GBP",'Future et co'!F3243,FALSE)))</f>
        <v>RFR USD</v>
      </c>
      <c r="D3243" t="str">
        <f t="shared" ca="1" si="251"/>
        <v>RFR USD</v>
      </c>
      <c r="E3243" t="str">
        <f t="shared" ca="1" si="252"/>
        <v>RFR EUR</v>
      </c>
      <c r="F3243" t="str">
        <f t="shared" ca="1" si="253"/>
        <v>RFR GBP</v>
      </c>
      <c r="J3243" s="1"/>
      <c r="N3243" s="1"/>
      <c r="R3243" s="1"/>
      <c r="V3243" s="1"/>
      <c r="AB3243" s="1"/>
      <c r="AF3243" s="1"/>
      <c r="AJ3243" s="1"/>
      <c r="AN3243" s="1"/>
      <c r="AS3243" s="1"/>
      <c r="AX3243" s="1"/>
    </row>
    <row r="3244" spans="1:50" x14ac:dyDescent="0.3">
      <c r="A3244" s="19">
        <f t="shared" si="254"/>
        <v>50455</v>
      </c>
      <c r="B3244">
        <f t="shared" ca="1" si="250"/>
        <v>-11.952777777777778</v>
      </c>
      <c r="C3244" t="str">
        <f ca="1">IF(currency="USD",'Future et co'!D3244,IF(currency="EUR",'Future et co'!E3244,IF(currency="GBP",'Future et co'!F3244,FALSE)))</f>
        <v>RFR USD</v>
      </c>
      <c r="D3244" t="str">
        <f t="shared" ca="1" si="251"/>
        <v>RFR USD</v>
      </c>
      <c r="E3244" t="str">
        <f t="shared" ca="1" si="252"/>
        <v>RFR EUR</v>
      </c>
      <c r="F3244" t="str">
        <f t="shared" ca="1" si="253"/>
        <v>RFR GBP</v>
      </c>
      <c r="J3244" s="1"/>
      <c r="N3244" s="1"/>
      <c r="R3244" s="1"/>
      <c r="V3244" s="1"/>
      <c r="AB3244" s="1"/>
      <c r="AF3244" s="1"/>
      <c r="AJ3244" s="1"/>
      <c r="AN3244" s="1"/>
      <c r="AS3244" s="1"/>
      <c r="AX3244" s="1"/>
    </row>
    <row r="3245" spans="1:50" x14ac:dyDescent="0.3">
      <c r="A3245" s="19">
        <f t="shared" si="254"/>
        <v>50458</v>
      </c>
      <c r="B3245">
        <f t="shared" ca="1" si="250"/>
        <v>-11.96111111111111</v>
      </c>
      <c r="C3245" t="str">
        <f ca="1">IF(currency="USD",'Future et co'!D3245,IF(currency="EUR",'Future et co'!E3245,IF(currency="GBP",'Future et co'!F3245,FALSE)))</f>
        <v>RFR USD</v>
      </c>
      <c r="D3245" t="str">
        <f t="shared" ca="1" si="251"/>
        <v>RFR USD</v>
      </c>
      <c r="E3245" t="str">
        <f t="shared" ca="1" si="252"/>
        <v>RFR EUR</v>
      </c>
      <c r="F3245" t="str">
        <f t="shared" ca="1" si="253"/>
        <v>RFR GBP</v>
      </c>
      <c r="J3245" s="1"/>
      <c r="N3245" s="1"/>
      <c r="R3245" s="1"/>
      <c r="V3245" s="1"/>
      <c r="AB3245" s="1"/>
      <c r="AF3245" s="1"/>
      <c r="AJ3245" s="1"/>
      <c r="AN3245" s="1"/>
      <c r="AS3245" s="1"/>
      <c r="AX3245" s="1"/>
    </row>
    <row r="3246" spans="1:50" x14ac:dyDescent="0.3">
      <c r="A3246" s="19">
        <f t="shared" si="254"/>
        <v>50459</v>
      </c>
      <c r="B3246">
        <f t="shared" ca="1" si="250"/>
        <v>-11.963888888888889</v>
      </c>
      <c r="C3246" t="str">
        <f ca="1">IF(currency="USD",'Future et co'!D3246,IF(currency="EUR",'Future et co'!E3246,IF(currency="GBP",'Future et co'!F3246,FALSE)))</f>
        <v>RFR USD</v>
      </c>
      <c r="D3246" t="str">
        <f t="shared" ca="1" si="251"/>
        <v>RFR USD</v>
      </c>
      <c r="E3246" t="str">
        <f t="shared" ca="1" si="252"/>
        <v>RFR EUR</v>
      </c>
      <c r="F3246" t="str">
        <f t="shared" ca="1" si="253"/>
        <v>RFR GBP</v>
      </c>
      <c r="J3246" s="1"/>
      <c r="N3246" s="1"/>
      <c r="R3246" s="1"/>
      <c r="V3246" s="1"/>
      <c r="AB3246" s="1"/>
      <c r="AF3246" s="1"/>
      <c r="AJ3246" s="1"/>
      <c r="AN3246" s="1"/>
      <c r="AS3246" s="1"/>
      <c r="AX3246" s="1"/>
    </row>
    <row r="3247" spans="1:50" x14ac:dyDescent="0.3">
      <c r="A3247" s="19">
        <f t="shared" si="254"/>
        <v>50460</v>
      </c>
      <c r="B3247">
        <f t="shared" ca="1" si="250"/>
        <v>-11.966666666666667</v>
      </c>
      <c r="C3247" t="str">
        <f ca="1">IF(currency="USD",'Future et co'!D3247,IF(currency="EUR",'Future et co'!E3247,IF(currency="GBP",'Future et co'!F3247,FALSE)))</f>
        <v>RFR USD</v>
      </c>
      <c r="D3247" t="str">
        <f t="shared" ca="1" si="251"/>
        <v>RFR USD</v>
      </c>
      <c r="E3247" t="str">
        <f t="shared" ca="1" si="252"/>
        <v>RFR EUR</v>
      </c>
      <c r="F3247" t="str">
        <f t="shared" ca="1" si="253"/>
        <v>RFR GBP</v>
      </c>
      <c r="J3247" s="1"/>
      <c r="N3247" s="1"/>
      <c r="R3247" s="1"/>
      <c r="V3247" s="1"/>
      <c r="AB3247" s="1"/>
      <c r="AF3247" s="1"/>
      <c r="AJ3247" s="1"/>
      <c r="AN3247" s="1"/>
      <c r="AS3247" s="1"/>
      <c r="AX3247" s="1"/>
    </row>
    <row r="3248" spans="1:50" x14ac:dyDescent="0.3">
      <c r="A3248" s="19">
        <f t="shared" si="254"/>
        <v>50461</v>
      </c>
      <c r="B3248">
        <f t="shared" ca="1" si="250"/>
        <v>-11.969444444444445</v>
      </c>
      <c r="C3248" t="str">
        <f ca="1">IF(currency="USD",'Future et co'!D3248,IF(currency="EUR",'Future et co'!E3248,IF(currency="GBP",'Future et co'!F3248,FALSE)))</f>
        <v>RFR USD</v>
      </c>
      <c r="D3248" t="str">
        <f t="shared" ca="1" si="251"/>
        <v>RFR USD</v>
      </c>
      <c r="E3248" t="str">
        <f t="shared" ca="1" si="252"/>
        <v>RFR EUR</v>
      </c>
      <c r="F3248" t="str">
        <f t="shared" ca="1" si="253"/>
        <v>RFR GBP</v>
      </c>
      <c r="J3248" s="1"/>
      <c r="N3248" s="1"/>
      <c r="R3248" s="1"/>
      <c r="V3248" s="1"/>
      <c r="AB3248" s="1"/>
      <c r="AF3248" s="1"/>
      <c r="AJ3248" s="1"/>
      <c r="AN3248" s="1"/>
      <c r="AS3248" s="1"/>
      <c r="AX3248" s="1"/>
    </row>
    <row r="3249" spans="1:50" x14ac:dyDescent="0.3">
      <c r="A3249" s="19">
        <f t="shared" si="254"/>
        <v>50462</v>
      </c>
      <c r="B3249">
        <f t="shared" ca="1" si="250"/>
        <v>-11.972222222222221</v>
      </c>
      <c r="C3249" t="str">
        <f ca="1">IF(currency="USD",'Future et co'!D3249,IF(currency="EUR",'Future et co'!E3249,IF(currency="GBP",'Future et co'!F3249,FALSE)))</f>
        <v>RFR USD</v>
      </c>
      <c r="D3249" t="str">
        <f t="shared" ca="1" si="251"/>
        <v>RFR USD</v>
      </c>
      <c r="E3249" t="str">
        <f t="shared" ca="1" si="252"/>
        <v>RFR EUR</v>
      </c>
      <c r="F3249" t="str">
        <f t="shared" ca="1" si="253"/>
        <v>RFR GBP</v>
      </c>
      <c r="J3249" s="1"/>
      <c r="N3249" s="1"/>
      <c r="R3249" s="1"/>
      <c r="V3249" s="1"/>
      <c r="AB3249" s="1"/>
      <c r="AF3249" s="1"/>
      <c r="AJ3249" s="1"/>
      <c r="AN3249" s="1"/>
      <c r="AS3249" s="1"/>
      <c r="AX3249" s="1"/>
    </row>
    <row r="3250" spans="1:50" x14ac:dyDescent="0.3">
      <c r="A3250" s="19">
        <f t="shared" si="254"/>
        <v>50465</v>
      </c>
      <c r="B3250">
        <f t="shared" ca="1" si="250"/>
        <v>-11.980555555555556</v>
      </c>
      <c r="C3250" t="str">
        <f ca="1">IF(currency="USD",'Future et co'!D3250,IF(currency="EUR",'Future et co'!E3250,IF(currency="GBP",'Future et co'!F3250,FALSE)))</f>
        <v>RFR USD</v>
      </c>
      <c r="D3250" t="str">
        <f t="shared" ca="1" si="251"/>
        <v>RFR USD</v>
      </c>
      <c r="E3250" t="str">
        <f t="shared" ca="1" si="252"/>
        <v>RFR EUR</v>
      </c>
      <c r="F3250" t="str">
        <f t="shared" ca="1" si="253"/>
        <v>RFR GBP</v>
      </c>
      <c r="J3250" s="1"/>
      <c r="N3250" s="1"/>
      <c r="R3250" s="1"/>
      <c r="V3250" s="1"/>
      <c r="AB3250" s="1"/>
      <c r="AF3250" s="1"/>
      <c r="AJ3250" s="1"/>
      <c r="AN3250" s="1"/>
      <c r="AS3250" s="1"/>
      <c r="AX3250" s="1"/>
    </row>
    <row r="3251" spans="1:50" x14ac:dyDescent="0.3">
      <c r="A3251" s="19">
        <f t="shared" si="254"/>
        <v>50466</v>
      </c>
      <c r="B3251">
        <f t="shared" ca="1" si="250"/>
        <v>-11.983333333333333</v>
      </c>
      <c r="C3251" t="str">
        <f ca="1">IF(currency="USD",'Future et co'!D3251,IF(currency="EUR",'Future et co'!E3251,IF(currency="GBP",'Future et co'!F3251,FALSE)))</f>
        <v>RFR USD</v>
      </c>
      <c r="D3251" t="str">
        <f t="shared" ca="1" si="251"/>
        <v>RFR USD</v>
      </c>
      <c r="E3251" t="str">
        <f t="shared" ca="1" si="252"/>
        <v>RFR EUR</v>
      </c>
      <c r="F3251" t="str">
        <f t="shared" ca="1" si="253"/>
        <v>RFR GBP</v>
      </c>
      <c r="J3251" s="1"/>
      <c r="N3251" s="1"/>
      <c r="R3251" s="1"/>
      <c r="V3251" s="1"/>
      <c r="AB3251" s="1"/>
      <c r="AF3251" s="1"/>
      <c r="AJ3251" s="1"/>
      <c r="AN3251" s="1"/>
      <c r="AS3251" s="1"/>
      <c r="AX3251" s="1"/>
    </row>
    <row r="3252" spans="1:50" x14ac:dyDescent="0.3">
      <c r="A3252" s="19">
        <f t="shared" si="254"/>
        <v>50467</v>
      </c>
      <c r="B3252">
        <f t="shared" ca="1" si="250"/>
        <v>-11.986111111111111</v>
      </c>
      <c r="C3252" t="str">
        <f ca="1">IF(currency="USD",'Future et co'!D3252,IF(currency="EUR",'Future et co'!E3252,IF(currency="GBP",'Future et co'!F3252,FALSE)))</f>
        <v>RFR USD</v>
      </c>
      <c r="D3252" t="str">
        <f t="shared" ca="1" si="251"/>
        <v>RFR USD</v>
      </c>
      <c r="E3252" t="str">
        <f t="shared" ca="1" si="252"/>
        <v>RFR EUR</v>
      </c>
      <c r="F3252" t="str">
        <f t="shared" ca="1" si="253"/>
        <v>RFR GBP</v>
      </c>
      <c r="J3252" s="1"/>
      <c r="N3252" s="1"/>
      <c r="R3252" s="1"/>
      <c r="V3252" s="1"/>
      <c r="AB3252" s="1"/>
      <c r="AF3252" s="1"/>
      <c r="AJ3252" s="1"/>
      <c r="AN3252" s="1"/>
      <c r="AS3252" s="1"/>
      <c r="AX3252" s="1"/>
    </row>
    <row r="3253" spans="1:50" x14ac:dyDescent="0.3">
      <c r="A3253" s="19">
        <f t="shared" si="254"/>
        <v>50468</v>
      </c>
      <c r="B3253">
        <f t="shared" ca="1" si="250"/>
        <v>-11.988888888888889</v>
      </c>
      <c r="C3253" t="str">
        <f ca="1">IF(currency="USD",'Future et co'!D3253,IF(currency="EUR",'Future et co'!E3253,IF(currency="GBP",'Future et co'!F3253,FALSE)))</f>
        <v>RFR USD</v>
      </c>
      <c r="D3253" t="str">
        <f t="shared" ca="1" si="251"/>
        <v>RFR USD</v>
      </c>
      <c r="E3253" t="str">
        <f t="shared" ca="1" si="252"/>
        <v>RFR EUR</v>
      </c>
      <c r="F3253" t="str">
        <f t="shared" ca="1" si="253"/>
        <v>RFR GBP</v>
      </c>
      <c r="J3253" s="1"/>
      <c r="N3253" s="1"/>
      <c r="R3253" s="1"/>
      <c r="V3253" s="1"/>
      <c r="AB3253" s="1"/>
      <c r="AF3253" s="1"/>
      <c r="AJ3253" s="1"/>
      <c r="AN3253" s="1"/>
      <c r="AS3253" s="1"/>
      <c r="AX3253" s="1"/>
    </row>
    <row r="3254" spans="1:50" x14ac:dyDescent="0.3">
      <c r="A3254" s="19">
        <f t="shared" si="254"/>
        <v>50469</v>
      </c>
      <c r="B3254">
        <f t="shared" ca="1" si="250"/>
        <v>-11.991666666666667</v>
      </c>
      <c r="C3254" t="str">
        <f ca="1">IF(currency="USD",'Future et co'!D3254,IF(currency="EUR",'Future et co'!E3254,IF(currency="GBP",'Future et co'!F3254,FALSE)))</f>
        <v>RFR USD</v>
      </c>
      <c r="D3254" t="str">
        <f t="shared" ca="1" si="251"/>
        <v>RFR USD</v>
      </c>
      <c r="E3254" t="str">
        <f t="shared" ca="1" si="252"/>
        <v>RFR EUR</v>
      </c>
      <c r="F3254" t="str">
        <f t="shared" ca="1" si="253"/>
        <v>RFR GBP</v>
      </c>
      <c r="J3254" s="1"/>
      <c r="N3254" s="1"/>
      <c r="R3254" s="1"/>
      <c r="V3254" s="1"/>
      <c r="AB3254" s="1"/>
      <c r="AF3254" s="1"/>
      <c r="AJ3254" s="1"/>
      <c r="AN3254" s="1"/>
      <c r="AS3254" s="1"/>
      <c r="AX3254" s="1"/>
    </row>
    <row r="3255" spans="1:50" x14ac:dyDescent="0.3">
      <c r="A3255" s="19">
        <f t="shared" si="254"/>
        <v>50472</v>
      </c>
      <c r="B3255">
        <f t="shared" ca="1" si="250"/>
        <v>-12</v>
      </c>
      <c r="C3255" t="str">
        <f ca="1">IF(currency="USD",'Future et co'!D3255,IF(currency="EUR",'Future et co'!E3255,IF(currency="GBP",'Future et co'!F3255,FALSE)))</f>
        <v>RFR USD</v>
      </c>
      <c r="D3255" t="str">
        <f t="shared" ca="1" si="251"/>
        <v>RFR USD</v>
      </c>
      <c r="E3255" t="str">
        <f t="shared" ca="1" si="252"/>
        <v>RFR EUR</v>
      </c>
      <c r="F3255" t="str">
        <f t="shared" ca="1" si="253"/>
        <v>RFR GBP</v>
      </c>
      <c r="J3255" s="1"/>
      <c r="N3255" s="1"/>
      <c r="R3255" s="1"/>
      <c r="V3255" s="1"/>
      <c r="AB3255" s="1"/>
      <c r="AF3255" s="1"/>
      <c r="AJ3255" s="1"/>
      <c r="AN3255" s="1"/>
      <c r="AS3255" s="1"/>
      <c r="AX3255" s="1"/>
    </row>
    <row r="3256" spans="1:50" x14ac:dyDescent="0.3">
      <c r="A3256" s="19">
        <f t="shared" si="254"/>
        <v>50473</v>
      </c>
      <c r="B3256">
        <f t="shared" ca="1" si="250"/>
        <v>-12.002777777777778</v>
      </c>
      <c r="C3256" t="str">
        <f ca="1">IF(currency="USD",'Future et co'!D3256,IF(currency="EUR",'Future et co'!E3256,IF(currency="GBP",'Future et co'!F3256,FALSE)))</f>
        <v>RFR USD</v>
      </c>
      <c r="D3256" t="str">
        <f t="shared" ca="1" si="251"/>
        <v>RFR USD</v>
      </c>
      <c r="E3256" t="str">
        <f t="shared" ca="1" si="252"/>
        <v>RFR EUR</v>
      </c>
      <c r="F3256" t="str">
        <f t="shared" ca="1" si="253"/>
        <v>RFR GBP</v>
      </c>
      <c r="J3256" s="1"/>
      <c r="N3256" s="1"/>
      <c r="R3256" s="1"/>
      <c r="V3256" s="1"/>
      <c r="AB3256" s="1"/>
      <c r="AF3256" s="1"/>
      <c r="AJ3256" s="1"/>
      <c r="AN3256" s="1"/>
      <c r="AS3256" s="1"/>
      <c r="AX3256" s="1"/>
    </row>
    <row r="3257" spans="1:50" x14ac:dyDescent="0.3">
      <c r="A3257" s="19">
        <f t="shared" si="254"/>
        <v>50474</v>
      </c>
      <c r="B3257">
        <f t="shared" ca="1" si="250"/>
        <v>-12.005555555555556</v>
      </c>
      <c r="C3257" t="str">
        <f ca="1">IF(currency="USD",'Future et co'!D3257,IF(currency="EUR",'Future et co'!E3257,IF(currency="GBP",'Future et co'!F3257,FALSE)))</f>
        <v>RFR USD</v>
      </c>
      <c r="D3257" t="str">
        <f t="shared" ca="1" si="251"/>
        <v>RFR USD</v>
      </c>
      <c r="E3257" t="str">
        <f t="shared" ca="1" si="252"/>
        <v>RFR EUR</v>
      </c>
      <c r="F3257" t="str">
        <f t="shared" ca="1" si="253"/>
        <v>RFR GBP</v>
      </c>
      <c r="J3257" s="1"/>
      <c r="N3257" s="1"/>
      <c r="R3257" s="1"/>
      <c r="V3257" s="1"/>
      <c r="AB3257" s="1"/>
      <c r="AF3257" s="1"/>
      <c r="AJ3257" s="1"/>
      <c r="AN3257" s="1"/>
      <c r="AS3257" s="1"/>
      <c r="AX3257" s="1"/>
    </row>
    <row r="3258" spans="1:50" x14ac:dyDescent="0.3">
      <c r="A3258" s="19">
        <f t="shared" si="254"/>
        <v>50475</v>
      </c>
      <c r="B3258">
        <f t="shared" ca="1" si="250"/>
        <v>-12.008333333333333</v>
      </c>
      <c r="C3258" t="str">
        <f ca="1">IF(currency="USD",'Future et co'!D3258,IF(currency="EUR",'Future et co'!E3258,IF(currency="GBP",'Future et co'!F3258,FALSE)))</f>
        <v>RFR USD</v>
      </c>
      <c r="D3258" t="str">
        <f t="shared" ca="1" si="251"/>
        <v>RFR USD</v>
      </c>
      <c r="E3258" t="str">
        <f t="shared" ca="1" si="252"/>
        <v>RFR EUR</v>
      </c>
      <c r="F3258" t="str">
        <f t="shared" ca="1" si="253"/>
        <v>RFR GBP</v>
      </c>
      <c r="J3258" s="1"/>
      <c r="N3258" s="1"/>
      <c r="R3258" s="1"/>
      <c r="V3258" s="1"/>
      <c r="AB3258" s="1"/>
      <c r="AF3258" s="1"/>
      <c r="AJ3258" s="1"/>
      <c r="AN3258" s="1"/>
      <c r="AS3258" s="1"/>
      <c r="AX3258" s="1"/>
    </row>
    <row r="3259" spans="1:50" x14ac:dyDescent="0.3">
      <c r="A3259" s="19">
        <f t="shared" si="254"/>
        <v>50476</v>
      </c>
      <c r="B3259">
        <f t="shared" ca="1" si="250"/>
        <v>-12.011111111111111</v>
      </c>
      <c r="C3259" t="str">
        <f ca="1">IF(currency="USD",'Future et co'!D3259,IF(currency="EUR",'Future et co'!E3259,IF(currency="GBP",'Future et co'!F3259,FALSE)))</f>
        <v>RFR USD</v>
      </c>
      <c r="D3259" t="str">
        <f t="shared" ca="1" si="251"/>
        <v>RFR USD</v>
      </c>
      <c r="E3259" t="str">
        <f t="shared" ca="1" si="252"/>
        <v>RFR EUR</v>
      </c>
      <c r="F3259" t="str">
        <f t="shared" ca="1" si="253"/>
        <v>RFR GBP</v>
      </c>
      <c r="J3259" s="1"/>
      <c r="N3259" s="1"/>
      <c r="R3259" s="1"/>
      <c r="V3259" s="1"/>
      <c r="AB3259" s="1"/>
      <c r="AF3259" s="1"/>
      <c r="AJ3259" s="1"/>
      <c r="AN3259" s="1"/>
      <c r="AS3259" s="1"/>
      <c r="AX3259" s="1"/>
    </row>
    <row r="3260" spans="1:50" x14ac:dyDescent="0.3">
      <c r="A3260" s="19">
        <f t="shared" si="254"/>
        <v>50479</v>
      </c>
      <c r="B3260">
        <f t="shared" ca="1" si="250"/>
        <v>-12.019444444444444</v>
      </c>
      <c r="C3260" t="str">
        <f ca="1">IF(currency="USD",'Future et co'!D3260,IF(currency="EUR",'Future et co'!E3260,IF(currency="GBP",'Future et co'!F3260,FALSE)))</f>
        <v>RFR USD</v>
      </c>
      <c r="D3260" t="str">
        <f t="shared" ca="1" si="251"/>
        <v>RFR USD</v>
      </c>
      <c r="E3260" t="str">
        <f t="shared" ca="1" si="252"/>
        <v>RFR EUR</v>
      </c>
      <c r="F3260" t="str">
        <f t="shared" ca="1" si="253"/>
        <v>RFR GBP</v>
      </c>
      <c r="J3260" s="1"/>
      <c r="N3260" s="1"/>
      <c r="R3260" s="1"/>
      <c r="V3260" s="1"/>
      <c r="AB3260" s="1"/>
      <c r="AF3260" s="1"/>
      <c r="AJ3260" s="1"/>
      <c r="AN3260" s="1"/>
      <c r="AS3260" s="1"/>
      <c r="AX3260" s="1"/>
    </row>
    <row r="3261" spans="1:50" x14ac:dyDescent="0.3">
      <c r="A3261" s="19">
        <f t="shared" si="254"/>
        <v>50480</v>
      </c>
      <c r="B3261">
        <f t="shared" ca="1" si="250"/>
        <v>-12.022222222222222</v>
      </c>
      <c r="C3261" t="str">
        <f ca="1">IF(currency="USD",'Future et co'!D3261,IF(currency="EUR",'Future et co'!E3261,IF(currency="GBP",'Future et co'!F3261,FALSE)))</f>
        <v>RFR USD</v>
      </c>
      <c r="D3261" t="str">
        <f t="shared" ca="1" si="251"/>
        <v>RFR USD</v>
      </c>
      <c r="E3261" t="str">
        <f t="shared" ca="1" si="252"/>
        <v>RFR EUR</v>
      </c>
      <c r="F3261" t="str">
        <f t="shared" ca="1" si="253"/>
        <v>RFR GBP</v>
      </c>
      <c r="J3261" s="1"/>
      <c r="N3261" s="1"/>
      <c r="R3261" s="1"/>
      <c r="V3261" s="1"/>
      <c r="AB3261" s="1"/>
      <c r="AF3261" s="1"/>
      <c r="AJ3261" s="1"/>
      <c r="AN3261" s="1"/>
      <c r="AS3261" s="1"/>
      <c r="AX3261" s="1"/>
    </row>
    <row r="3262" spans="1:50" x14ac:dyDescent="0.3">
      <c r="A3262" s="19">
        <f t="shared" si="254"/>
        <v>50481</v>
      </c>
      <c r="B3262">
        <f t="shared" ca="1" si="250"/>
        <v>-12.025</v>
      </c>
      <c r="C3262" t="str">
        <f ca="1">IF(currency="USD",'Future et co'!D3262,IF(currency="EUR",'Future et co'!E3262,IF(currency="GBP",'Future et co'!F3262,FALSE)))</f>
        <v>RFR USD</v>
      </c>
      <c r="D3262" t="str">
        <f t="shared" ca="1" si="251"/>
        <v>RFR USD</v>
      </c>
      <c r="E3262" t="str">
        <f t="shared" ca="1" si="252"/>
        <v>RFR EUR</v>
      </c>
      <c r="F3262" t="str">
        <f t="shared" ca="1" si="253"/>
        <v>RFR GBP</v>
      </c>
      <c r="J3262" s="1"/>
      <c r="N3262" s="1"/>
      <c r="R3262" s="1"/>
      <c r="V3262" s="1"/>
      <c r="AB3262" s="1"/>
      <c r="AF3262" s="1"/>
      <c r="AJ3262" s="1"/>
      <c r="AN3262" s="1"/>
      <c r="AS3262" s="1"/>
      <c r="AX3262" s="1"/>
    </row>
    <row r="3263" spans="1:50" x14ac:dyDescent="0.3">
      <c r="A3263" s="19">
        <f t="shared" si="254"/>
        <v>50482</v>
      </c>
      <c r="B3263">
        <f t="shared" ca="1" si="250"/>
        <v>-12.027777777777779</v>
      </c>
      <c r="C3263" t="str">
        <f ca="1">IF(currency="USD",'Future et co'!D3263,IF(currency="EUR",'Future et co'!E3263,IF(currency="GBP",'Future et co'!F3263,FALSE)))</f>
        <v>RFR USD</v>
      </c>
      <c r="D3263" t="str">
        <f t="shared" ca="1" si="251"/>
        <v>RFR USD</v>
      </c>
      <c r="E3263" t="str">
        <f t="shared" ca="1" si="252"/>
        <v>RFR EUR</v>
      </c>
      <c r="F3263" t="str">
        <f t="shared" ca="1" si="253"/>
        <v>RFR GBP</v>
      </c>
      <c r="J3263" s="1"/>
      <c r="N3263" s="1"/>
      <c r="R3263" s="1"/>
      <c r="V3263" s="1"/>
      <c r="AB3263" s="1"/>
      <c r="AF3263" s="1"/>
      <c r="AJ3263" s="1"/>
      <c r="AN3263" s="1"/>
      <c r="AS3263" s="1"/>
      <c r="AX3263" s="1"/>
    </row>
    <row r="3264" spans="1:50" x14ac:dyDescent="0.3">
      <c r="A3264" s="19">
        <f t="shared" si="254"/>
        <v>50483</v>
      </c>
      <c r="B3264">
        <f t="shared" ca="1" si="250"/>
        <v>-12.030555555555555</v>
      </c>
      <c r="C3264" t="str">
        <f ca="1">IF(currency="USD",'Future et co'!D3264,IF(currency="EUR",'Future et co'!E3264,IF(currency="GBP",'Future et co'!F3264,FALSE)))</f>
        <v>RFR USD</v>
      </c>
      <c r="D3264" t="str">
        <f t="shared" ca="1" si="251"/>
        <v>RFR USD</v>
      </c>
      <c r="E3264" t="str">
        <f t="shared" ca="1" si="252"/>
        <v>RFR EUR</v>
      </c>
      <c r="F3264" t="str">
        <f t="shared" ca="1" si="253"/>
        <v>RFR GBP</v>
      </c>
      <c r="J3264" s="1"/>
      <c r="N3264" s="1"/>
      <c r="R3264" s="1"/>
      <c r="V3264" s="1"/>
      <c r="AB3264" s="1"/>
      <c r="AF3264" s="1"/>
      <c r="AJ3264" s="1"/>
      <c r="AN3264" s="1"/>
      <c r="AS3264" s="1"/>
      <c r="AX3264" s="1"/>
    </row>
    <row r="3265" spans="1:50" x14ac:dyDescent="0.3">
      <c r="A3265" s="19">
        <f t="shared" si="254"/>
        <v>50486</v>
      </c>
      <c r="B3265">
        <f t="shared" ca="1" si="250"/>
        <v>-12.03888888888889</v>
      </c>
      <c r="C3265" t="str">
        <f ca="1">IF(currency="USD",'Future et co'!D3265,IF(currency="EUR",'Future et co'!E3265,IF(currency="GBP",'Future et co'!F3265,FALSE)))</f>
        <v>RFR USD</v>
      </c>
      <c r="D3265" t="str">
        <f t="shared" ca="1" si="251"/>
        <v>RFR USD</v>
      </c>
      <c r="E3265" t="str">
        <f t="shared" ca="1" si="252"/>
        <v>RFR EUR</v>
      </c>
      <c r="F3265" t="str">
        <f t="shared" ca="1" si="253"/>
        <v>RFR GBP</v>
      </c>
      <c r="J3265" s="1"/>
      <c r="N3265" s="1"/>
      <c r="R3265" s="1"/>
      <c r="V3265" s="1"/>
      <c r="AB3265" s="1"/>
      <c r="AF3265" s="1"/>
      <c r="AJ3265" s="1"/>
      <c r="AN3265" s="1"/>
      <c r="AS3265" s="1"/>
      <c r="AX3265" s="1"/>
    </row>
    <row r="3266" spans="1:50" x14ac:dyDescent="0.3">
      <c r="A3266" s="19">
        <f t="shared" si="254"/>
        <v>50487</v>
      </c>
      <c r="B3266">
        <f t="shared" ca="1" si="250"/>
        <v>-12.041666666666666</v>
      </c>
      <c r="C3266" t="str">
        <f ca="1">IF(currency="USD",'Future et co'!D3266,IF(currency="EUR",'Future et co'!E3266,IF(currency="GBP",'Future et co'!F3266,FALSE)))</f>
        <v>RFR USD</v>
      </c>
      <c r="D3266" t="str">
        <f t="shared" ca="1" si="251"/>
        <v>RFR USD</v>
      </c>
      <c r="E3266" t="str">
        <f t="shared" ca="1" si="252"/>
        <v>RFR EUR</v>
      </c>
      <c r="F3266" t="str">
        <f t="shared" ca="1" si="253"/>
        <v>RFR GBP</v>
      </c>
      <c r="J3266" s="1"/>
      <c r="N3266" s="1"/>
      <c r="R3266" s="1"/>
      <c r="V3266" s="1"/>
      <c r="AB3266" s="1"/>
      <c r="AF3266" s="1"/>
      <c r="AJ3266" s="1"/>
      <c r="AN3266" s="1"/>
      <c r="AS3266" s="1"/>
      <c r="AX3266" s="1"/>
    </row>
    <row r="3267" spans="1:50" x14ac:dyDescent="0.3">
      <c r="A3267" s="19">
        <f t="shared" si="254"/>
        <v>50488</v>
      </c>
      <c r="B3267">
        <f t="shared" ca="1" si="250"/>
        <v>-12.044444444444444</v>
      </c>
      <c r="C3267" t="str">
        <f ca="1">IF(currency="USD",'Future et co'!D3267,IF(currency="EUR",'Future et co'!E3267,IF(currency="GBP",'Future et co'!F3267,FALSE)))</f>
        <v>RFR USD</v>
      </c>
      <c r="D3267" t="str">
        <f t="shared" ca="1" si="251"/>
        <v>RFR USD</v>
      </c>
      <c r="E3267" t="str">
        <f t="shared" ca="1" si="252"/>
        <v>RFR EUR</v>
      </c>
      <c r="F3267" t="str">
        <f t="shared" ca="1" si="253"/>
        <v>RFR GBP</v>
      </c>
      <c r="J3267" s="1"/>
      <c r="N3267" s="1"/>
      <c r="R3267" s="1"/>
      <c r="V3267" s="1"/>
      <c r="AB3267" s="1"/>
      <c r="AF3267" s="1"/>
      <c r="AJ3267" s="1"/>
      <c r="AN3267" s="1"/>
      <c r="AS3267" s="1"/>
      <c r="AX3267" s="1"/>
    </row>
    <row r="3268" spans="1:50" x14ac:dyDescent="0.3">
      <c r="A3268" s="19">
        <f t="shared" si="254"/>
        <v>50489</v>
      </c>
      <c r="B3268">
        <f t="shared" ca="1" si="250"/>
        <v>-12.047222222222222</v>
      </c>
      <c r="C3268" t="str">
        <f ca="1">IF(currency="USD",'Future et co'!D3268,IF(currency="EUR",'Future et co'!E3268,IF(currency="GBP",'Future et co'!F3268,FALSE)))</f>
        <v>RFR USD</v>
      </c>
      <c r="D3268" t="str">
        <f t="shared" ca="1" si="251"/>
        <v>RFR USD</v>
      </c>
      <c r="E3268" t="str">
        <f t="shared" ca="1" si="252"/>
        <v>RFR EUR</v>
      </c>
      <c r="F3268" t="str">
        <f t="shared" ca="1" si="253"/>
        <v>RFR GBP</v>
      </c>
      <c r="J3268" s="1"/>
      <c r="N3268" s="1"/>
      <c r="R3268" s="1"/>
      <c r="V3268" s="1"/>
      <c r="AB3268" s="1"/>
      <c r="AF3268" s="1"/>
      <c r="AJ3268" s="1"/>
      <c r="AN3268" s="1"/>
      <c r="AS3268" s="1"/>
      <c r="AX3268" s="1"/>
    </row>
    <row r="3269" spans="1:50" x14ac:dyDescent="0.3">
      <c r="A3269" s="19">
        <f t="shared" si="254"/>
        <v>50490</v>
      </c>
      <c r="B3269">
        <f t="shared" ca="1" si="250"/>
        <v>-12.05</v>
      </c>
      <c r="C3269" t="str">
        <f ca="1">IF(currency="USD",'Future et co'!D3269,IF(currency="EUR",'Future et co'!E3269,IF(currency="GBP",'Future et co'!F3269,FALSE)))</f>
        <v>RFR USD</v>
      </c>
      <c r="D3269" t="str">
        <f t="shared" ca="1" si="251"/>
        <v>RFR USD</v>
      </c>
      <c r="E3269" t="str">
        <f t="shared" ca="1" si="252"/>
        <v>RFR EUR</v>
      </c>
      <c r="F3269" t="str">
        <f t="shared" ca="1" si="253"/>
        <v>RFR GBP</v>
      </c>
      <c r="J3269" s="1"/>
      <c r="N3269" s="1"/>
      <c r="R3269" s="1"/>
      <c r="V3269" s="1"/>
      <c r="AB3269" s="1"/>
      <c r="AF3269" s="1"/>
      <c r="AJ3269" s="1"/>
      <c r="AN3269" s="1"/>
      <c r="AS3269" s="1"/>
      <c r="AX3269" s="1"/>
    </row>
    <row r="3270" spans="1:50" x14ac:dyDescent="0.3">
      <c r="A3270" s="19">
        <f t="shared" si="254"/>
        <v>50493</v>
      </c>
      <c r="B3270">
        <f t="shared" ca="1" si="250"/>
        <v>-12.058333333333334</v>
      </c>
      <c r="C3270" t="str">
        <f ca="1">IF(currency="USD",'Future et co'!D3270,IF(currency="EUR",'Future et co'!E3270,IF(currency="GBP",'Future et co'!F3270,FALSE)))</f>
        <v>RFR USD</v>
      </c>
      <c r="D3270" t="str">
        <f t="shared" ca="1" si="251"/>
        <v>RFR USD</v>
      </c>
      <c r="E3270" t="str">
        <f t="shared" ca="1" si="252"/>
        <v>RFR EUR</v>
      </c>
      <c r="F3270" t="str">
        <f t="shared" ca="1" si="253"/>
        <v>RFR GBP</v>
      </c>
      <c r="J3270" s="1"/>
      <c r="N3270" s="1"/>
      <c r="R3270" s="1"/>
      <c r="V3270" s="1"/>
      <c r="AB3270" s="1"/>
      <c r="AF3270" s="1"/>
      <c r="AJ3270" s="1"/>
      <c r="AN3270" s="1"/>
      <c r="AS3270" s="1"/>
      <c r="AX3270" s="1"/>
    </row>
    <row r="3271" spans="1:50" x14ac:dyDescent="0.3">
      <c r="A3271" s="19">
        <f t="shared" si="254"/>
        <v>50494</v>
      </c>
      <c r="B3271">
        <f t="shared" ca="1" si="250"/>
        <v>-12.061111111111112</v>
      </c>
      <c r="C3271" t="str">
        <f ca="1">IF(currency="USD",'Future et co'!D3271,IF(currency="EUR",'Future et co'!E3271,IF(currency="GBP",'Future et co'!F3271,FALSE)))</f>
        <v>RFR USD</v>
      </c>
      <c r="D3271" t="str">
        <f t="shared" ca="1" si="251"/>
        <v>RFR USD</v>
      </c>
      <c r="E3271" t="str">
        <f t="shared" ca="1" si="252"/>
        <v>RFR EUR</v>
      </c>
      <c r="F3271" t="str">
        <f t="shared" ca="1" si="253"/>
        <v>RFR GBP</v>
      </c>
      <c r="J3271" s="1"/>
      <c r="N3271" s="1"/>
      <c r="R3271" s="1"/>
      <c r="V3271" s="1"/>
      <c r="AB3271" s="1"/>
      <c r="AF3271" s="1"/>
      <c r="AJ3271" s="1"/>
      <c r="AN3271" s="1"/>
      <c r="AS3271" s="1"/>
      <c r="AX3271" s="1"/>
    </row>
    <row r="3272" spans="1:50" x14ac:dyDescent="0.3">
      <c r="A3272" s="19">
        <f t="shared" si="254"/>
        <v>50495</v>
      </c>
      <c r="B3272">
        <f t="shared" ca="1" si="250"/>
        <v>-12.063888888888888</v>
      </c>
      <c r="C3272" t="str">
        <f ca="1">IF(currency="USD",'Future et co'!D3272,IF(currency="EUR",'Future et co'!E3272,IF(currency="GBP",'Future et co'!F3272,FALSE)))</f>
        <v>RFR USD</v>
      </c>
      <c r="D3272" t="str">
        <f t="shared" ca="1" si="251"/>
        <v>RFR USD</v>
      </c>
      <c r="E3272" t="str">
        <f t="shared" ca="1" si="252"/>
        <v>RFR EUR</v>
      </c>
      <c r="F3272" t="str">
        <f t="shared" ca="1" si="253"/>
        <v>RFR GBP</v>
      </c>
      <c r="J3272" s="1"/>
      <c r="N3272" s="1"/>
      <c r="R3272" s="1"/>
      <c r="V3272" s="1"/>
      <c r="AB3272" s="1"/>
      <c r="AF3272" s="1"/>
      <c r="AJ3272" s="1"/>
      <c r="AN3272" s="1"/>
      <c r="AS3272" s="1"/>
      <c r="AX3272" s="1"/>
    </row>
    <row r="3273" spans="1:50" x14ac:dyDescent="0.3">
      <c r="A3273" s="19">
        <f t="shared" si="254"/>
        <v>50496</v>
      </c>
      <c r="B3273">
        <f t="shared" ca="1" si="250"/>
        <v>-12.066666666666666</v>
      </c>
      <c r="C3273" t="str">
        <f ca="1">IF(currency="USD",'Future et co'!D3273,IF(currency="EUR",'Future et co'!E3273,IF(currency="GBP",'Future et co'!F3273,FALSE)))</f>
        <v>RFR USD</v>
      </c>
      <c r="D3273" t="str">
        <f t="shared" ca="1" si="251"/>
        <v>RFR USD</v>
      </c>
      <c r="E3273" t="str">
        <f t="shared" ca="1" si="252"/>
        <v>RFR EUR</v>
      </c>
      <c r="F3273" t="str">
        <f t="shared" ca="1" si="253"/>
        <v>RFR GBP</v>
      </c>
      <c r="J3273" s="1"/>
      <c r="N3273" s="1"/>
      <c r="R3273" s="1"/>
      <c r="V3273" s="1"/>
      <c r="AB3273" s="1"/>
      <c r="AF3273" s="1"/>
      <c r="AJ3273" s="1"/>
      <c r="AN3273" s="1"/>
      <c r="AS3273" s="1"/>
      <c r="AX3273" s="1"/>
    </row>
    <row r="3274" spans="1:50" x14ac:dyDescent="0.3">
      <c r="A3274" s="19">
        <f t="shared" si="254"/>
        <v>50497</v>
      </c>
      <c r="B3274">
        <f t="shared" ca="1" si="250"/>
        <v>-12.069444444444445</v>
      </c>
      <c r="C3274" t="str">
        <f ca="1">IF(currency="USD",'Future et co'!D3274,IF(currency="EUR",'Future et co'!E3274,IF(currency="GBP",'Future et co'!F3274,FALSE)))</f>
        <v>RFR USD</v>
      </c>
      <c r="D3274" t="str">
        <f t="shared" ca="1" si="251"/>
        <v>RFR USD</v>
      </c>
      <c r="E3274" t="str">
        <f t="shared" ca="1" si="252"/>
        <v>RFR EUR</v>
      </c>
      <c r="F3274" t="str">
        <f t="shared" ca="1" si="253"/>
        <v>RFR GBP</v>
      </c>
      <c r="J3274" s="1"/>
      <c r="N3274" s="1"/>
      <c r="R3274" s="1"/>
      <c r="V3274" s="1"/>
      <c r="AB3274" s="1"/>
      <c r="AF3274" s="1"/>
      <c r="AJ3274" s="1"/>
      <c r="AN3274" s="1"/>
      <c r="AS3274" s="1"/>
      <c r="AX3274" s="1"/>
    </row>
    <row r="3275" spans="1:50" x14ac:dyDescent="0.3">
      <c r="A3275" s="19">
        <f t="shared" si="254"/>
        <v>50500</v>
      </c>
      <c r="B3275">
        <f t="shared" ref="B3275:B3338" ca="1" si="255">($B$7-A3275)/360</f>
        <v>-12.077777777777778</v>
      </c>
      <c r="C3275" t="str">
        <f ca="1">IF(currency="USD",'Future et co'!D3275,IF(currency="EUR",'Future et co'!E3275,IF(currency="GBP",'Future et co'!F3275,FALSE)))</f>
        <v>RFR USD</v>
      </c>
      <c r="D3275" t="str">
        <f t="shared" ref="D3275:D3338" ca="1" si="256">IFERROR(IF(B3275&lt;0.25,VLOOKUP(A3275,$J$11:$L$5325,3,FALSE),IF(AND(B3275&gt;=0.25,B3275&lt;0.5),VLOOKUP(A3275,$N$11:$P$5325,3,FALSE),IF(AND(B3275&gt;=0.5,B3275&lt;1),VLOOKUP(A3275,$R$11:$T$5325,3,FALSE),VLOOKUP(A3275,$V$11:$X$5010,3,FALSE)))),D3274)</f>
        <v>RFR USD</v>
      </c>
      <c r="E3275" t="str">
        <f t="shared" ref="E3275:E3338" ca="1" si="257">IFERROR(IF(B3275&lt;0.25,VLOOKUP(A3275,$AF$11:$AH$5325,3,FALSE),IF(AND(B3275&gt;=0.25,B3275&lt;0.5),VLOOKUP(A3275,$AJ$11:$AL$5325,3,FALSE),VLOOKUP(A3275,$AN$11:$AP$5325,3,FALSE))),E3274)</f>
        <v>RFR EUR</v>
      </c>
      <c r="F3275" t="str">
        <f t="shared" ref="F3275:F3338" ca="1" si="258">IFERROR(VLOOKUP(A3275,$AS$11:$AU$9999,3,FALSE),F3274)</f>
        <v>RFR GBP</v>
      </c>
      <c r="J3275" s="1"/>
      <c r="N3275" s="1"/>
      <c r="R3275" s="1"/>
      <c r="V3275" s="1"/>
      <c r="AB3275" s="1"/>
      <c r="AF3275" s="1"/>
      <c r="AJ3275" s="1"/>
      <c r="AN3275" s="1"/>
      <c r="AS3275" s="1"/>
      <c r="AX3275" s="1"/>
    </row>
    <row r="3276" spans="1:50" x14ac:dyDescent="0.3">
      <c r="A3276" s="19">
        <f t="shared" si="254"/>
        <v>50501</v>
      </c>
      <c r="B3276">
        <f t="shared" ca="1" si="255"/>
        <v>-12.080555555555556</v>
      </c>
      <c r="C3276" t="str">
        <f ca="1">IF(currency="USD",'Future et co'!D3276,IF(currency="EUR",'Future et co'!E3276,IF(currency="GBP",'Future et co'!F3276,FALSE)))</f>
        <v>RFR USD</v>
      </c>
      <c r="D3276" t="str">
        <f t="shared" ca="1" si="256"/>
        <v>RFR USD</v>
      </c>
      <c r="E3276" t="str">
        <f t="shared" ca="1" si="257"/>
        <v>RFR EUR</v>
      </c>
      <c r="F3276" t="str">
        <f t="shared" ca="1" si="258"/>
        <v>RFR GBP</v>
      </c>
      <c r="J3276" s="1"/>
      <c r="N3276" s="1"/>
      <c r="R3276" s="1"/>
      <c r="V3276" s="1"/>
      <c r="AB3276" s="1"/>
      <c r="AF3276" s="1"/>
      <c r="AJ3276" s="1"/>
      <c r="AN3276" s="1"/>
      <c r="AS3276" s="1"/>
      <c r="AX3276" s="1"/>
    </row>
    <row r="3277" spans="1:50" x14ac:dyDescent="0.3">
      <c r="A3277" s="19">
        <f t="shared" ref="A3277:A3340" si="259">WORKDAY(A3276,1)</f>
        <v>50502</v>
      </c>
      <c r="B3277">
        <f t="shared" ca="1" si="255"/>
        <v>-12.083333333333334</v>
      </c>
      <c r="C3277" t="str">
        <f ca="1">IF(currency="USD",'Future et co'!D3277,IF(currency="EUR",'Future et co'!E3277,IF(currency="GBP",'Future et co'!F3277,FALSE)))</f>
        <v>RFR USD</v>
      </c>
      <c r="D3277" t="str">
        <f t="shared" ca="1" si="256"/>
        <v>RFR USD</v>
      </c>
      <c r="E3277" t="str">
        <f t="shared" ca="1" si="257"/>
        <v>RFR EUR</v>
      </c>
      <c r="F3277" t="str">
        <f t="shared" ca="1" si="258"/>
        <v>RFR GBP</v>
      </c>
      <c r="J3277" s="1"/>
      <c r="N3277" s="1"/>
      <c r="R3277" s="1"/>
      <c r="V3277" s="1"/>
      <c r="AB3277" s="1"/>
      <c r="AF3277" s="1"/>
      <c r="AJ3277" s="1"/>
      <c r="AN3277" s="1"/>
      <c r="AS3277" s="1"/>
      <c r="AX3277" s="1"/>
    </row>
    <row r="3278" spans="1:50" x14ac:dyDescent="0.3">
      <c r="A3278" s="19">
        <f t="shared" si="259"/>
        <v>50503</v>
      </c>
      <c r="B3278">
        <f t="shared" ca="1" si="255"/>
        <v>-12.08611111111111</v>
      </c>
      <c r="C3278" t="str">
        <f ca="1">IF(currency="USD",'Future et co'!D3278,IF(currency="EUR",'Future et co'!E3278,IF(currency="GBP",'Future et co'!F3278,FALSE)))</f>
        <v>RFR USD</v>
      </c>
      <c r="D3278" t="str">
        <f t="shared" ca="1" si="256"/>
        <v>RFR USD</v>
      </c>
      <c r="E3278" t="str">
        <f t="shared" ca="1" si="257"/>
        <v>RFR EUR</v>
      </c>
      <c r="F3278" t="str">
        <f t="shared" ca="1" si="258"/>
        <v>RFR GBP</v>
      </c>
      <c r="J3278" s="1"/>
      <c r="N3278" s="1"/>
      <c r="R3278" s="1"/>
      <c r="V3278" s="1"/>
      <c r="AB3278" s="1"/>
      <c r="AF3278" s="1"/>
      <c r="AJ3278" s="1"/>
      <c r="AN3278" s="1"/>
      <c r="AS3278" s="1"/>
      <c r="AX3278" s="1"/>
    </row>
    <row r="3279" spans="1:50" x14ac:dyDescent="0.3">
      <c r="A3279" s="19">
        <f t="shared" si="259"/>
        <v>50504</v>
      </c>
      <c r="B3279">
        <f t="shared" ca="1" si="255"/>
        <v>-12.088888888888889</v>
      </c>
      <c r="C3279" t="str">
        <f ca="1">IF(currency="USD",'Future et co'!D3279,IF(currency="EUR",'Future et co'!E3279,IF(currency="GBP",'Future et co'!F3279,FALSE)))</f>
        <v>RFR USD</v>
      </c>
      <c r="D3279" t="str">
        <f t="shared" ca="1" si="256"/>
        <v>RFR USD</v>
      </c>
      <c r="E3279" t="str">
        <f t="shared" ca="1" si="257"/>
        <v>RFR EUR</v>
      </c>
      <c r="F3279" t="str">
        <f t="shared" ca="1" si="258"/>
        <v>RFR GBP</v>
      </c>
      <c r="J3279" s="1"/>
      <c r="N3279" s="1"/>
      <c r="R3279" s="1"/>
      <c r="V3279" s="1"/>
      <c r="AB3279" s="1"/>
      <c r="AF3279" s="1"/>
      <c r="AJ3279" s="1"/>
      <c r="AN3279" s="1"/>
      <c r="AS3279" s="1"/>
      <c r="AX3279" s="1"/>
    </row>
    <row r="3280" spans="1:50" x14ac:dyDescent="0.3">
      <c r="A3280" s="19">
        <f t="shared" si="259"/>
        <v>50507</v>
      </c>
      <c r="B3280">
        <f t="shared" ca="1" si="255"/>
        <v>-12.097222222222221</v>
      </c>
      <c r="C3280" t="str">
        <f ca="1">IF(currency="USD",'Future et co'!D3280,IF(currency="EUR",'Future et co'!E3280,IF(currency="GBP",'Future et co'!F3280,FALSE)))</f>
        <v>RFR USD</v>
      </c>
      <c r="D3280" t="str">
        <f t="shared" ca="1" si="256"/>
        <v>RFR USD</v>
      </c>
      <c r="E3280" t="str">
        <f t="shared" ca="1" si="257"/>
        <v>RFR EUR</v>
      </c>
      <c r="F3280" t="str">
        <f t="shared" ca="1" si="258"/>
        <v>RFR GBP</v>
      </c>
      <c r="J3280" s="1"/>
      <c r="N3280" s="1"/>
      <c r="R3280" s="1"/>
      <c r="V3280" s="1"/>
      <c r="AB3280" s="1"/>
      <c r="AF3280" s="1"/>
      <c r="AJ3280" s="1"/>
      <c r="AN3280" s="1"/>
      <c r="AS3280" s="1"/>
      <c r="AX3280" s="1"/>
    </row>
    <row r="3281" spans="1:50" x14ac:dyDescent="0.3">
      <c r="A3281" s="19">
        <f t="shared" si="259"/>
        <v>50508</v>
      </c>
      <c r="B3281">
        <f t="shared" ca="1" si="255"/>
        <v>-12.1</v>
      </c>
      <c r="C3281" t="str">
        <f ca="1">IF(currency="USD",'Future et co'!D3281,IF(currency="EUR",'Future et co'!E3281,IF(currency="GBP",'Future et co'!F3281,FALSE)))</f>
        <v>RFR USD</v>
      </c>
      <c r="D3281" t="str">
        <f t="shared" ca="1" si="256"/>
        <v>RFR USD</v>
      </c>
      <c r="E3281" t="str">
        <f t="shared" ca="1" si="257"/>
        <v>RFR EUR</v>
      </c>
      <c r="F3281" t="str">
        <f t="shared" ca="1" si="258"/>
        <v>RFR GBP</v>
      </c>
      <c r="J3281" s="1"/>
      <c r="N3281" s="1"/>
      <c r="R3281" s="1"/>
      <c r="V3281" s="1"/>
      <c r="AB3281" s="1"/>
      <c r="AF3281" s="1"/>
      <c r="AJ3281" s="1"/>
      <c r="AN3281" s="1"/>
      <c r="AS3281" s="1"/>
      <c r="AX3281" s="1"/>
    </row>
    <row r="3282" spans="1:50" x14ac:dyDescent="0.3">
      <c r="A3282" s="19">
        <f t="shared" si="259"/>
        <v>50509</v>
      </c>
      <c r="B3282">
        <f t="shared" ca="1" si="255"/>
        <v>-12.102777777777778</v>
      </c>
      <c r="C3282" t="str">
        <f ca="1">IF(currency="USD",'Future et co'!D3282,IF(currency="EUR",'Future et co'!E3282,IF(currency="GBP",'Future et co'!F3282,FALSE)))</f>
        <v>RFR USD</v>
      </c>
      <c r="D3282" t="str">
        <f t="shared" ca="1" si="256"/>
        <v>RFR USD</v>
      </c>
      <c r="E3282" t="str">
        <f t="shared" ca="1" si="257"/>
        <v>RFR EUR</v>
      </c>
      <c r="F3282" t="str">
        <f t="shared" ca="1" si="258"/>
        <v>RFR GBP</v>
      </c>
      <c r="J3282" s="1"/>
      <c r="N3282" s="1"/>
      <c r="R3282" s="1"/>
      <c r="V3282" s="1"/>
      <c r="AB3282" s="1"/>
      <c r="AF3282" s="1"/>
      <c r="AJ3282" s="1"/>
      <c r="AN3282" s="1"/>
      <c r="AS3282" s="1"/>
      <c r="AX3282" s="1"/>
    </row>
    <row r="3283" spans="1:50" x14ac:dyDescent="0.3">
      <c r="A3283" s="19">
        <f t="shared" si="259"/>
        <v>50510</v>
      </c>
      <c r="B3283">
        <f t="shared" ca="1" si="255"/>
        <v>-12.105555555555556</v>
      </c>
      <c r="C3283" t="str">
        <f ca="1">IF(currency="USD",'Future et co'!D3283,IF(currency="EUR",'Future et co'!E3283,IF(currency="GBP",'Future et co'!F3283,FALSE)))</f>
        <v>RFR USD</v>
      </c>
      <c r="D3283" t="str">
        <f t="shared" ca="1" si="256"/>
        <v>RFR USD</v>
      </c>
      <c r="E3283" t="str">
        <f t="shared" ca="1" si="257"/>
        <v>RFR EUR</v>
      </c>
      <c r="F3283" t="str">
        <f t="shared" ca="1" si="258"/>
        <v>RFR GBP</v>
      </c>
      <c r="J3283" s="1"/>
      <c r="N3283" s="1"/>
      <c r="R3283" s="1"/>
      <c r="V3283" s="1"/>
      <c r="AB3283" s="1"/>
      <c r="AF3283" s="1"/>
      <c r="AJ3283" s="1"/>
      <c r="AN3283" s="1"/>
      <c r="AS3283" s="1"/>
      <c r="AX3283" s="1"/>
    </row>
    <row r="3284" spans="1:50" x14ac:dyDescent="0.3">
      <c r="A3284" s="19">
        <f t="shared" si="259"/>
        <v>50511</v>
      </c>
      <c r="B3284">
        <f t="shared" ca="1" si="255"/>
        <v>-12.108333333333333</v>
      </c>
      <c r="C3284" t="str">
        <f ca="1">IF(currency="USD",'Future et co'!D3284,IF(currency="EUR",'Future et co'!E3284,IF(currency="GBP",'Future et co'!F3284,FALSE)))</f>
        <v>RFR USD</v>
      </c>
      <c r="D3284" t="str">
        <f t="shared" ca="1" si="256"/>
        <v>RFR USD</v>
      </c>
      <c r="E3284" t="str">
        <f t="shared" ca="1" si="257"/>
        <v>RFR EUR</v>
      </c>
      <c r="F3284" t="str">
        <f t="shared" ca="1" si="258"/>
        <v>RFR GBP</v>
      </c>
      <c r="J3284" s="1"/>
      <c r="N3284" s="1"/>
      <c r="R3284" s="1"/>
      <c r="V3284" s="1"/>
      <c r="AB3284" s="1"/>
      <c r="AF3284" s="1"/>
      <c r="AJ3284" s="1"/>
      <c r="AN3284" s="1"/>
      <c r="AS3284" s="1"/>
      <c r="AX3284" s="1"/>
    </row>
    <row r="3285" spans="1:50" x14ac:dyDescent="0.3">
      <c r="A3285" s="19">
        <f t="shared" si="259"/>
        <v>50514</v>
      </c>
      <c r="B3285">
        <f t="shared" ca="1" si="255"/>
        <v>-12.116666666666667</v>
      </c>
      <c r="C3285" t="str">
        <f ca="1">IF(currency="USD",'Future et co'!D3285,IF(currency="EUR",'Future et co'!E3285,IF(currency="GBP",'Future et co'!F3285,FALSE)))</f>
        <v>RFR USD</v>
      </c>
      <c r="D3285" t="str">
        <f t="shared" ca="1" si="256"/>
        <v>RFR USD</v>
      </c>
      <c r="E3285" t="str">
        <f t="shared" ca="1" si="257"/>
        <v>RFR EUR</v>
      </c>
      <c r="F3285" t="str">
        <f t="shared" ca="1" si="258"/>
        <v>RFR GBP</v>
      </c>
      <c r="J3285" s="1"/>
      <c r="N3285" s="1"/>
      <c r="R3285" s="1"/>
      <c r="V3285" s="1"/>
      <c r="AB3285" s="1"/>
      <c r="AF3285" s="1"/>
      <c r="AJ3285" s="1"/>
      <c r="AN3285" s="1"/>
      <c r="AS3285" s="1"/>
      <c r="AX3285" s="1"/>
    </row>
    <row r="3286" spans="1:50" x14ac:dyDescent="0.3">
      <c r="A3286" s="19">
        <f t="shared" si="259"/>
        <v>50515</v>
      </c>
      <c r="B3286">
        <f t="shared" ca="1" si="255"/>
        <v>-12.119444444444444</v>
      </c>
      <c r="C3286" t="str">
        <f ca="1">IF(currency="USD",'Future et co'!D3286,IF(currency="EUR",'Future et co'!E3286,IF(currency="GBP",'Future et co'!F3286,FALSE)))</f>
        <v>RFR USD</v>
      </c>
      <c r="D3286" t="str">
        <f t="shared" ca="1" si="256"/>
        <v>RFR USD</v>
      </c>
      <c r="E3286" t="str">
        <f t="shared" ca="1" si="257"/>
        <v>RFR EUR</v>
      </c>
      <c r="F3286" t="str">
        <f t="shared" ca="1" si="258"/>
        <v>RFR GBP</v>
      </c>
      <c r="J3286" s="1"/>
      <c r="N3286" s="1"/>
      <c r="R3286" s="1"/>
      <c r="V3286" s="1"/>
      <c r="AB3286" s="1"/>
      <c r="AF3286" s="1"/>
      <c r="AJ3286" s="1"/>
      <c r="AN3286" s="1"/>
      <c r="AS3286" s="1"/>
      <c r="AX3286" s="1"/>
    </row>
    <row r="3287" spans="1:50" x14ac:dyDescent="0.3">
      <c r="A3287" s="19">
        <f t="shared" si="259"/>
        <v>50516</v>
      </c>
      <c r="B3287">
        <f t="shared" ca="1" si="255"/>
        <v>-12.122222222222222</v>
      </c>
      <c r="C3287" t="str">
        <f ca="1">IF(currency="USD",'Future et co'!D3287,IF(currency="EUR",'Future et co'!E3287,IF(currency="GBP",'Future et co'!F3287,FALSE)))</f>
        <v>RFR USD</v>
      </c>
      <c r="D3287" t="str">
        <f t="shared" ca="1" si="256"/>
        <v>RFR USD</v>
      </c>
      <c r="E3287" t="str">
        <f t="shared" ca="1" si="257"/>
        <v>RFR EUR</v>
      </c>
      <c r="F3287" t="str">
        <f t="shared" ca="1" si="258"/>
        <v>RFR GBP</v>
      </c>
      <c r="J3287" s="1"/>
      <c r="N3287" s="1"/>
      <c r="R3287" s="1"/>
      <c r="V3287" s="1"/>
      <c r="AB3287" s="1"/>
      <c r="AF3287" s="1"/>
      <c r="AJ3287" s="1"/>
      <c r="AN3287" s="1"/>
      <c r="AS3287" s="1"/>
      <c r="AX3287" s="1"/>
    </row>
    <row r="3288" spans="1:50" x14ac:dyDescent="0.3">
      <c r="A3288" s="19">
        <f t="shared" si="259"/>
        <v>50517</v>
      </c>
      <c r="B3288">
        <f t="shared" ca="1" si="255"/>
        <v>-12.125</v>
      </c>
      <c r="C3288" t="str">
        <f ca="1">IF(currency="USD",'Future et co'!D3288,IF(currency="EUR",'Future et co'!E3288,IF(currency="GBP",'Future et co'!F3288,FALSE)))</f>
        <v>RFR USD</v>
      </c>
      <c r="D3288" t="str">
        <f t="shared" ca="1" si="256"/>
        <v>RFR USD</v>
      </c>
      <c r="E3288" t="str">
        <f t="shared" ca="1" si="257"/>
        <v>RFR EUR</v>
      </c>
      <c r="F3288" t="str">
        <f t="shared" ca="1" si="258"/>
        <v>RFR GBP</v>
      </c>
      <c r="J3288" s="1"/>
      <c r="N3288" s="1"/>
      <c r="R3288" s="1"/>
      <c r="V3288" s="1"/>
      <c r="AB3288" s="1"/>
      <c r="AF3288" s="1"/>
      <c r="AJ3288" s="1"/>
      <c r="AN3288" s="1"/>
      <c r="AS3288" s="1"/>
      <c r="AX3288" s="1"/>
    </row>
    <row r="3289" spans="1:50" x14ac:dyDescent="0.3">
      <c r="A3289" s="19">
        <f t="shared" si="259"/>
        <v>50518</v>
      </c>
      <c r="B3289">
        <f t="shared" ca="1" si="255"/>
        <v>-12.127777777777778</v>
      </c>
      <c r="C3289" t="str">
        <f ca="1">IF(currency="USD",'Future et co'!D3289,IF(currency="EUR",'Future et co'!E3289,IF(currency="GBP",'Future et co'!F3289,FALSE)))</f>
        <v>RFR USD</v>
      </c>
      <c r="D3289" t="str">
        <f t="shared" ca="1" si="256"/>
        <v>RFR USD</v>
      </c>
      <c r="E3289" t="str">
        <f t="shared" ca="1" si="257"/>
        <v>RFR EUR</v>
      </c>
      <c r="F3289" t="str">
        <f t="shared" ca="1" si="258"/>
        <v>RFR GBP</v>
      </c>
      <c r="J3289" s="1"/>
      <c r="N3289" s="1"/>
      <c r="R3289" s="1"/>
      <c r="V3289" s="1"/>
      <c r="AB3289" s="1"/>
      <c r="AF3289" s="1"/>
      <c r="AJ3289" s="1"/>
      <c r="AN3289" s="1"/>
      <c r="AS3289" s="1"/>
      <c r="AX3289" s="1"/>
    </row>
    <row r="3290" spans="1:50" x14ac:dyDescent="0.3">
      <c r="A3290" s="19">
        <f t="shared" si="259"/>
        <v>50521</v>
      </c>
      <c r="B3290">
        <f t="shared" ca="1" si="255"/>
        <v>-12.136111111111111</v>
      </c>
      <c r="C3290" t="str">
        <f ca="1">IF(currency="USD",'Future et co'!D3290,IF(currency="EUR",'Future et co'!E3290,IF(currency="GBP",'Future et co'!F3290,FALSE)))</f>
        <v>RFR USD</v>
      </c>
      <c r="D3290" t="str">
        <f t="shared" ca="1" si="256"/>
        <v>RFR USD</v>
      </c>
      <c r="E3290" t="str">
        <f t="shared" ca="1" si="257"/>
        <v>RFR EUR</v>
      </c>
      <c r="F3290" t="str">
        <f t="shared" ca="1" si="258"/>
        <v>RFR GBP</v>
      </c>
      <c r="J3290" s="1"/>
      <c r="N3290" s="1"/>
      <c r="R3290" s="1"/>
      <c r="V3290" s="1"/>
      <c r="AB3290" s="1"/>
      <c r="AF3290" s="1"/>
      <c r="AJ3290" s="1"/>
      <c r="AN3290" s="1"/>
      <c r="AS3290" s="1"/>
      <c r="AX3290" s="1"/>
    </row>
    <row r="3291" spans="1:50" x14ac:dyDescent="0.3">
      <c r="A3291" s="19">
        <f t="shared" si="259"/>
        <v>50522</v>
      </c>
      <c r="B3291">
        <f t="shared" ca="1" si="255"/>
        <v>-12.138888888888889</v>
      </c>
      <c r="C3291" t="str">
        <f ca="1">IF(currency="USD",'Future et co'!D3291,IF(currency="EUR",'Future et co'!E3291,IF(currency="GBP",'Future et co'!F3291,FALSE)))</f>
        <v>RFR USD</v>
      </c>
      <c r="D3291" t="str">
        <f t="shared" ca="1" si="256"/>
        <v>RFR USD</v>
      </c>
      <c r="E3291" t="str">
        <f t="shared" ca="1" si="257"/>
        <v>RFR EUR</v>
      </c>
      <c r="F3291" t="str">
        <f t="shared" ca="1" si="258"/>
        <v>RFR GBP</v>
      </c>
      <c r="J3291" s="1"/>
      <c r="N3291" s="1"/>
      <c r="R3291" s="1"/>
      <c r="V3291" s="1"/>
      <c r="AB3291" s="1"/>
      <c r="AF3291" s="1"/>
      <c r="AJ3291" s="1"/>
      <c r="AN3291" s="1"/>
      <c r="AS3291" s="1"/>
      <c r="AX3291" s="1"/>
    </row>
    <row r="3292" spans="1:50" x14ac:dyDescent="0.3">
      <c r="A3292" s="19">
        <f t="shared" si="259"/>
        <v>50523</v>
      </c>
      <c r="B3292">
        <f t="shared" ca="1" si="255"/>
        <v>-12.141666666666667</v>
      </c>
      <c r="C3292" t="str">
        <f ca="1">IF(currency="USD",'Future et co'!D3292,IF(currency="EUR",'Future et co'!E3292,IF(currency="GBP",'Future et co'!F3292,FALSE)))</f>
        <v>RFR USD</v>
      </c>
      <c r="D3292" t="str">
        <f t="shared" ca="1" si="256"/>
        <v>RFR USD</v>
      </c>
      <c r="E3292" t="str">
        <f t="shared" ca="1" si="257"/>
        <v>RFR EUR</v>
      </c>
      <c r="F3292" t="str">
        <f t="shared" ca="1" si="258"/>
        <v>RFR GBP</v>
      </c>
      <c r="J3292" s="1"/>
      <c r="N3292" s="1"/>
      <c r="R3292" s="1"/>
      <c r="V3292" s="1"/>
      <c r="AB3292" s="1"/>
      <c r="AF3292" s="1"/>
      <c r="AJ3292" s="1"/>
      <c r="AN3292" s="1"/>
      <c r="AS3292" s="1"/>
      <c r="AX3292" s="1"/>
    </row>
    <row r="3293" spans="1:50" x14ac:dyDescent="0.3">
      <c r="A3293" s="19">
        <f t="shared" si="259"/>
        <v>50524</v>
      </c>
      <c r="B3293">
        <f t="shared" ca="1" si="255"/>
        <v>-12.144444444444444</v>
      </c>
      <c r="C3293" t="str">
        <f ca="1">IF(currency="USD",'Future et co'!D3293,IF(currency="EUR",'Future et co'!E3293,IF(currency="GBP",'Future et co'!F3293,FALSE)))</f>
        <v>RFR USD</v>
      </c>
      <c r="D3293" t="str">
        <f t="shared" ca="1" si="256"/>
        <v>RFR USD</v>
      </c>
      <c r="E3293" t="str">
        <f t="shared" ca="1" si="257"/>
        <v>RFR EUR</v>
      </c>
      <c r="F3293" t="str">
        <f t="shared" ca="1" si="258"/>
        <v>RFR GBP</v>
      </c>
      <c r="J3293" s="1"/>
      <c r="N3293" s="1"/>
      <c r="R3293" s="1"/>
      <c r="V3293" s="1"/>
      <c r="AB3293" s="1"/>
      <c r="AF3293" s="1"/>
      <c r="AJ3293" s="1"/>
      <c r="AN3293" s="1"/>
      <c r="AS3293" s="1"/>
      <c r="AX3293" s="1"/>
    </row>
    <row r="3294" spans="1:50" x14ac:dyDescent="0.3">
      <c r="A3294" s="19">
        <f t="shared" si="259"/>
        <v>50525</v>
      </c>
      <c r="B3294">
        <f t="shared" ca="1" si="255"/>
        <v>-12.147222222222222</v>
      </c>
      <c r="C3294" t="str">
        <f ca="1">IF(currency="USD",'Future et co'!D3294,IF(currency="EUR",'Future et co'!E3294,IF(currency="GBP",'Future et co'!F3294,FALSE)))</f>
        <v>RFR USD</v>
      </c>
      <c r="D3294" t="str">
        <f t="shared" ca="1" si="256"/>
        <v>RFR USD</v>
      </c>
      <c r="E3294" t="str">
        <f t="shared" ca="1" si="257"/>
        <v>RFR EUR</v>
      </c>
      <c r="F3294" t="str">
        <f t="shared" ca="1" si="258"/>
        <v>RFR GBP</v>
      </c>
      <c r="J3294" s="1"/>
      <c r="N3294" s="1"/>
      <c r="R3294" s="1"/>
      <c r="V3294" s="1"/>
      <c r="AB3294" s="1"/>
      <c r="AF3294" s="1"/>
      <c r="AJ3294" s="1"/>
      <c r="AN3294" s="1"/>
      <c r="AS3294" s="1"/>
      <c r="AX3294" s="1"/>
    </row>
    <row r="3295" spans="1:50" x14ac:dyDescent="0.3">
      <c r="A3295" s="19">
        <f t="shared" si="259"/>
        <v>50528</v>
      </c>
      <c r="B3295">
        <f t="shared" ca="1" si="255"/>
        <v>-12.155555555555555</v>
      </c>
      <c r="C3295" t="str">
        <f ca="1">IF(currency="USD",'Future et co'!D3295,IF(currency="EUR",'Future et co'!E3295,IF(currency="GBP",'Future et co'!F3295,FALSE)))</f>
        <v>RFR USD</v>
      </c>
      <c r="D3295" t="str">
        <f t="shared" ca="1" si="256"/>
        <v>RFR USD</v>
      </c>
      <c r="E3295" t="str">
        <f t="shared" ca="1" si="257"/>
        <v>RFR EUR</v>
      </c>
      <c r="F3295" t="str">
        <f t="shared" ca="1" si="258"/>
        <v>RFR GBP</v>
      </c>
      <c r="J3295" s="1"/>
      <c r="N3295" s="1"/>
      <c r="R3295" s="1"/>
      <c r="V3295" s="1"/>
      <c r="AB3295" s="1"/>
      <c r="AF3295" s="1"/>
      <c r="AJ3295" s="1"/>
      <c r="AN3295" s="1"/>
      <c r="AS3295" s="1"/>
      <c r="AX3295" s="1"/>
    </row>
    <row r="3296" spans="1:50" x14ac:dyDescent="0.3">
      <c r="A3296" s="19">
        <f t="shared" si="259"/>
        <v>50529</v>
      </c>
      <c r="B3296">
        <f t="shared" ca="1" si="255"/>
        <v>-12.158333333333333</v>
      </c>
      <c r="C3296" t="str">
        <f ca="1">IF(currency="USD",'Future et co'!D3296,IF(currency="EUR",'Future et co'!E3296,IF(currency="GBP",'Future et co'!F3296,FALSE)))</f>
        <v>RFR USD</v>
      </c>
      <c r="D3296" t="str">
        <f t="shared" ca="1" si="256"/>
        <v>RFR USD</v>
      </c>
      <c r="E3296" t="str">
        <f t="shared" ca="1" si="257"/>
        <v>RFR EUR</v>
      </c>
      <c r="F3296" t="str">
        <f t="shared" ca="1" si="258"/>
        <v>RFR GBP</v>
      </c>
      <c r="J3296" s="1"/>
      <c r="N3296" s="1"/>
      <c r="R3296" s="1"/>
      <c r="V3296" s="1"/>
      <c r="AB3296" s="1"/>
      <c r="AF3296" s="1"/>
      <c r="AJ3296" s="1"/>
      <c r="AN3296" s="1"/>
      <c r="AS3296" s="1"/>
      <c r="AX3296" s="1"/>
    </row>
    <row r="3297" spans="1:50" x14ac:dyDescent="0.3">
      <c r="A3297" s="19">
        <f t="shared" si="259"/>
        <v>50530</v>
      </c>
      <c r="B3297">
        <f t="shared" ca="1" si="255"/>
        <v>-12.161111111111111</v>
      </c>
      <c r="C3297" t="str">
        <f ca="1">IF(currency="USD",'Future et co'!D3297,IF(currency="EUR",'Future et co'!E3297,IF(currency="GBP",'Future et co'!F3297,FALSE)))</f>
        <v>RFR USD</v>
      </c>
      <c r="D3297" t="str">
        <f t="shared" ca="1" si="256"/>
        <v>RFR USD</v>
      </c>
      <c r="E3297" t="str">
        <f t="shared" ca="1" si="257"/>
        <v>RFR EUR</v>
      </c>
      <c r="F3297" t="str">
        <f t="shared" ca="1" si="258"/>
        <v>RFR GBP</v>
      </c>
      <c r="J3297" s="1"/>
      <c r="N3297" s="1"/>
      <c r="R3297" s="1"/>
      <c r="V3297" s="1"/>
      <c r="AB3297" s="1"/>
      <c r="AF3297" s="1"/>
      <c r="AJ3297" s="1"/>
      <c r="AN3297" s="1"/>
      <c r="AS3297" s="1"/>
      <c r="AX3297" s="1"/>
    </row>
    <row r="3298" spans="1:50" x14ac:dyDescent="0.3">
      <c r="A3298" s="19">
        <f t="shared" si="259"/>
        <v>50531</v>
      </c>
      <c r="B3298">
        <f t="shared" ca="1" si="255"/>
        <v>-12.16388888888889</v>
      </c>
      <c r="C3298" t="str">
        <f ca="1">IF(currency="USD",'Future et co'!D3298,IF(currency="EUR",'Future et co'!E3298,IF(currency="GBP",'Future et co'!F3298,FALSE)))</f>
        <v>RFR USD</v>
      </c>
      <c r="D3298" t="str">
        <f t="shared" ca="1" si="256"/>
        <v>RFR USD</v>
      </c>
      <c r="E3298" t="str">
        <f t="shared" ca="1" si="257"/>
        <v>RFR EUR</v>
      </c>
      <c r="F3298" t="str">
        <f t="shared" ca="1" si="258"/>
        <v>RFR GBP</v>
      </c>
      <c r="J3298" s="1"/>
      <c r="N3298" s="1"/>
      <c r="R3298" s="1"/>
      <c r="V3298" s="1"/>
      <c r="AB3298" s="1"/>
      <c r="AF3298" s="1"/>
      <c r="AJ3298" s="1"/>
      <c r="AN3298" s="1"/>
      <c r="AS3298" s="1"/>
      <c r="AX3298" s="1"/>
    </row>
    <row r="3299" spans="1:50" x14ac:dyDescent="0.3">
      <c r="A3299" s="19">
        <f t="shared" si="259"/>
        <v>50532</v>
      </c>
      <c r="B3299">
        <f t="shared" ca="1" si="255"/>
        <v>-12.166666666666666</v>
      </c>
      <c r="C3299" t="str">
        <f ca="1">IF(currency="USD",'Future et co'!D3299,IF(currency="EUR",'Future et co'!E3299,IF(currency="GBP",'Future et co'!F3299,FALSE)))</f>
        <v>RFR USD</v>
      </c>
      <c r="D3299" t="str">
        <f t="shared" ca="1" si="256"/>
        <v>RFR USD</v>
      </c>
      <c r="E3299" t="str">
        <f t="shared" ca="1" si="257"/>
        <v>RFR EUR</v>
      </c>
      <c r="F3299" t="str">
        <f t="shared" ca="1" si="258"/>
        <v>RFR GBP</v>
      </c>
      <c r="J3299" s="1"/>
      <c r="N3299" s="1"/>
      <c r="R3299" s="1"/>
      <c r="V3299" s="1"/>
      <c r="AB3299" s="1"/>
      <c r="AF3299" s="1"/>
      <c r="AJ3299" s="1"/>
      <c r="AN3299" s="1"/>
      <c r="AS3299" s="1"/>
      <c r="AX3299" s="1"/>
    </row>
    <row r="3300" spans="1:50" x14ac:dyDescent="0.3">
      <c r="A3300" s="19">
        <f t="shared" si="259"/>
        <v>50535</v>
      </c>
      <c r="B3300">
        <f t="shared" ca="1" si="255"/>
        <v>-12.175000000000001</v>
      </c>
      <c r="C3300" t="str">
        <f ca="1">IF(currency="USD",'Future et co'!D3300,IF(currency="EUR",'Future et co'!E3300,IF(currency="GBP",'Future et co'!F3300,FALSE)))</f>
        <v>RFR USD</v>
      </c>
      <c r="D3300" t="str">
        <f t="shared" ca="1" si="256"/>
        <v>RFR USD</v>
      </c>
      <c r="E3300" t="str">
        <f t="shared" ca="1" si="257"/>
        <v>RFR EUR</v>
      </c>
      <c r="F3300" t="str">
        <f t="shared" ca="1" si="258"/>
        <v>RFR GBP</v>
      </c>
      <c r="J3300" s="1"/>
      <c r="N3300" s="1"/>
      <c r="R3300" s="1"/>
      <c r="V3300" s="1"/>
      <c r="AB3300" s="1"/>
      <c r="AF3300" s="1"/>
      <c r="AJ3300" s="1"/>
      <c r="AN3300" s="1"/>
      <c r="AS3300" s="1"/>
      <c r="AX3300" s="1"/>
    </row>
    <row r="3301" spans="1:50" x14ac:dyDescent="0.3">
      <c r="A3301" s="19">
        <f t="shared" si="259"/>
        <v>50536</v>
      </c>
      <c r="B3301">
        <f t="shared" ca="1" si="255"/>
        <v>-12.177777777777777</v>
      </c>
      <c r="C3301" t="str">
        <f ca="1">IF(currency="USD",'Future et co'!D3301,IF(currency="EUR",'Future et co'!E3301,IF(currency="GBP",'Future et co'!F3301,FALSE)))</f>
        <v>RFR USD</v>
      </c>
      <c r="D3301" t="str">
        <f t="shared" ca="1" si="256"/>
        <v>RFR USD</v>
      </c>
      <c r="E3301" t="str">
        <f t="shared" ca="1" si="257"/>
        <v>RFR EUR</v>
      </c>
      <c r="F3301" t="str">
        <f t="shared" ca="1" si="258"/>
        <v>RFR GBP</v>
      </c>
      <c r="J3301" s="1"/>
      <c r="N3301" s="1"/>
      <c r="R3301" s="1"/>
      <c r="V3301" s="1"/>
      <c r="AB3301" s="1"/>
      <c r="AF3301" s="1"/>
      <c r="AJ3301" s="1"/>
      <c r="AN3301" s="1"/>
      <c r="AS3301" s="1"/>
      <c r="AX3301" s="1"/>
    </row>
    <row r="3302" spans="1:50" x14ac:dyDescent="0.3">
      <c r="A3302" s="19">
        <f t="shared" si="259"/>
        <v>50537</v>
      </c>
      <c r="B3302">
        <f t="shared" ca="1" si="255"/>
        <v>-12.180555555555555</v>
      </c>
      <c r="C3302" t="str">
        <f ca="1">IF(currency="USD",'Future et co'!D3302,IF(currency="EUR",'Future et co'!E3302,IF(currency="GBP",'Future et co'!F3302,FALSE)))</f>
        <v>RFR USD</v>
      </c>
      <c r="D3302" t="str">
        <f t="shared" ca="1" si="256"/>
        <v>RFR USD</v>
      </c>
      <c r="E3302" t="str">
        <f t="shared" ca="1" si="257"/>
        <v>RFR EUR</v>
      </c>
      <c r="F3302" t="str">
        <f t="shared" ca="1" si="258"/>
        <v>RFR GBP</v>
      </c>
      <c r="J3302" s="1"/>
      <c r="N3302" s="1"/>
      <c r="R3302" s="1"/>
      <c r="V3302" s="1"/>
      <c r="AB3302" s="1"/>
      <c r="AF3302" s="1"/>
      <c r="AJ3302" s="1"/>
      <c r="AN3302" s="1"/>
      <c r="AS3302" s="1"/>
      <c r="AX3302" s="1"/>
    </row>
    <row r="3303" spans="1:50" x14ac:dyDescent="0.3">
      <c r="A3303" s="19">
        <f t="shared" si="259"/>
        <v>50538</v>
      </c>
      <c r="B3303">
        <f t="shared" ca="1" si="255"/>
        <v>-12.183333333333334</v>
      </c>
      <c r="C3303" t="str">
        <f ca="1">IF(currency="USD",'Future et co'!D3303,IF(currency="EUR",'Future et co'!E3303,IF(currency="GBP",'Future et co'!F3303,FALSE)))</f>
        <v>RFR USD</v>
      </c>
      <c r="D3303" t="str">
        <f t="shared" ca="1" si="256"/>
        <v>RFR USD</v>
      </c>
      <c r="E3303" t="str">
        <f t="shared" ca="1" si="257"/>
        <v>RFR EUR</v>
      </c>
      <c r="F3303" t="str">
        <f t="shared" ca="1" si="258"/>
        <v>RFR GBP</v>
      </c>
      <c r="J3303" s="1"/>
      <c r="N3303" s="1"/>
      <c r="R3303" s="1"/>
      <c r="V3303" s="1"/>
      <c r="AB3303" s="1"/>
      <c r="AF3303" s="1"/>
      <c r="AJ3303" s="1"/>
      <c r="AN3303" s="1"/>
      <c r="AS3303" s="1"/>
      <c r="AX3303" s="1"/>
    </row>
    <row r="3304" spans="1:50" x14ac:dyDescent="0.3">
      <c r="A3304" s="19">
        <f t="shared" si="259"/>
        <v>50539</v>
      </c>
      <c r="B3304">
        <f t="shared" ca="1" si="255"/>
        <v>-12.186111111111112</v>
      </c>
      <c r="C3304" t="str">
        <f ca="1">IF(currency="USD",'Future et co'!D3304,IF(currency="EUR",'Future et co'!E3304,IF(currency="GBP",'Future et co'!F3304,FALSE)))</f>
        <v>RFR USD</v>
      </c>
      <c r="D3304" t="str">
        <f t="shared" ca="1" si="256"/>
        <v>RFR USD</v>
      </c>
      <c r="E3304" t="str">
        <f t="shared" ca="1" si="257"/>
        <v>RFR EUR</v>
      </c>
      <c r="F3304" t="str">
        <f t="shared" ca="1" si="258"/>
        <v>RFR GBP</v>
      </c>
      <c r="J3304" s="1"/>
      <c r="N3304" s="1"/>
      <c r="R3304" s="1"/>
      <c r="V3304" s="1"/>
      <c r="AB3304" s="1"/>
      <c r="AF3304" s="1"/>
      <c r="AJ3304" s="1"/>
      <c r="AN3304" s="1"/>
      <c r="AS3304" s="1"/>
      <c r="AX3304" s="1"/>
    </row>
    <row r="3305" spans="1:50" x14ac:dyDescent="0.3">
      <c r="A3305" s="19">
        <f t="shared" si="259"/>
        <v>50542</v>
      </c>
      <c r="B3305">
        <f t="shared" ca="1" si="255"/>
        <v>-12.194444444444445</v>
      </c>
      <c r="C3305" t="str">
        <f ca="1">IF(currency="USD",'Future et co'!D3305,IF(currency="EUR",'Future et co'!E3305,IF(currency="GBP",'Future et co'!F3305,FALSE)))</f>
        <v>RFR USD</v>
      </c>
      <c r="D3305" t="str">
        <f t="shared" ca="1" si="256"/>
        <v>RFR USD</v>
      </c>
      <c r="E3305" t="str">
        <f t="shared" ca="1" si="257"/>
        <v>RFR EUR</v>
      </c>
      <c r="F3305" t="str">
        <f t="shared" ca="1" si="258"/>
        <v>RFR GBP</v>
      </c>
      <c r="J3305" s="1"/>
      <c r="N3305" s="1"/>
      <c r="R3305" s="1"/>
      <c r="V3305" s="1"/>
      <c r="AB3305" s="1"/>
      <c r="AF3305" s="1"/>
      <c r="AJ3305" s="1"/>
      <c r="AN3305" s="1"/>
      <c r="AS3305" s="1"/>
      <c r="AX3305" s="1"/>
    </row>
    <row r="3306" spans="1:50" x14ac:dyDescent="0.3">
      <c r="A3306" s="19">
        <f t="shared" si="259"/>
        <v>50543</v>
      </c>
      <c r="B3306">
        <f t="shared" ca="1" si="255"/>
        <v>-12.197222222222223</v>
      </c>
      <c r="C3306" t="str">
        <f ca="1">IF(currency="USD",'Future et co'!D3306,IF(currency="EUR",'Future et co'!E3306,IF(currency="GBP",'Future et co'!F3306,FALSE)))</f>
        <v>RFR USD</v>
      </c>
      <c r="D3306" t="str">
        <f t="shared" ca="1" si="256"/>
        <v>RFR USD</v>
      </c>
      <c r="E3306" t="str">
        <f t="shared" ca="1" si="257"/>
        <v>RFR EUR</v>
      </c>
      <c r="F3306" t="str">
        <f t="shared" ca="1" si="258"/>
        <v>RFR GBP</v>
      </c>
      <c r="J3306" s="1"/>
      <c r="N3306" s="1"/>
      <c r="R3306" s="1"/>
      <c r="V3306" s="1"/>
      <c r="AB3306" s="1"/>
      <c r="AF3306" s="1"/>
      <c r="AJ3306" s="1"/>
      <c r="AN3306" s="1"/>
      <c r="AS3306" s="1"/>
      <c r="AX3306" s="1"/>
    </row>
    <row r="3307" spans="1:50" x14ac:dyDescent="0.3">
      <c r="A3307" s="19">
        <f t="shared" si="259"/>
        <v>50544</v>
      </c>
      <c r="B3307">
        <f t="shared" ca="1" si="255"/>
        <v>-12.2</v>
      </c>
      <c r="C3307" t="str">
        <f ca="1">IF(currency="USD",'Future et co'!D3307,IF(currency="EUR",'Future et co'!E3307,IF(currency="GBP",'Future et co'!F3307,FALSE)))</f>
        <v>RFR USD</v>
      </c>
      <c r="D3307" t="str">
        <f t="shared" ca="1" si="256"/>
        <v>RFR USD</v>
      </c>
      <c r="E3307" t="str">
        <f t="shared" ca="1" si="257"/>
        <v>RFR EUR</v>
      </c>
      <c r="F3307" t="str">
        <f t="shared" ca="1" si="258"/>
        <v>RFR GBP</v>
      </c>
      <c r="J3307" s="1"/>
      <c r="N3307" s="1"/>
      <c r="R3307" s="1"/>
      <c r="V3307" s="1"/>
      <c r="AB3307" s="1"/>
      <c r="AF3307" s="1"/>
      <c r="AJ3307" s="1"/>
      <c r="AN3307" s="1"/>
      <c r="AS3307" s="1"/>
      <c r="AX3307" s="1"/>
    </row>
    <row r="3308" spans="1:50" x14ac:dyDescent="0.3">
      <c r="A3308" s="19">
        <f t="shared" si="259"/>
        <v>50545</v>
      </c>
      <c r="B3308">
        <f t="shared" ca="1" si="255"/>
        <v>-12.202777777777778</v>
      </c>
      <c r="C3308" t="str">
        <f ca="1">IF(currency="USD",'Future et co'!D3308,IF(currency="EUR",'Future et co'!E3308,IF(currency="GBP",'Future et co'!F3308,FALSE)))</f>
        <v>RFR USD</v>
      </c>
      <c r="D3308" t="str">
        <f t="shared" ca="1" si="256"/>
        <v>RFR USD</v>
      </c>
      <c r="E3308" t="str">
        <f t="shared" ca="1" si="257"/>
        <v>RFR EUR</v>
      </c>
      <c r="F3308" t="str">
        <f t="shared" ca="1" si="258"/>
        <v>RFR GBP</v>
      </c>
      <c r="J3308" s="1"/>
      <c r="N3308" s="1"/>
      <c r="R3308" s="1"/>
      <c r="V3308" s="1"/>
      <c r="AB3308" s="1"/>
      <c r="AF3308" s="1"/>
      <c r="AJ3308" s="1"/>
      <c r="AN3308" s="1"/>
      <c r="AS3308" s="1"/>
      <c r="AX3308" s="1"/>
    </row>
    <row r="3309" spans="1:50" x14ac:dyDescent="0.3">
      <c r="A3309" s="19">
        <f t="shared" si="259"/>
        <v>50546</v>
      </c>
      <c r="B3309">
        <f t="shared" ca="1" si="255"/>
        <v>-12.205555555555556</v>
      </c>
      <c r="C3309" t="str">
        <f ca="1">IF(currency="USD",'Future et co'!D3309,IF(currency="EUR",'Future et co'!E3309,IF(currency="GBP",'Future et co'!F3309,FALSE)))</f>
        <v>RFR USD</v>
      </c>
      <c r="D3309" t="str">
        <f t="shared" ca="1" si="256"/>
        <v>RFR USD</v>
      </c>
      <c r="E3309" t="str">
        <f t="shared" ca="1" si="257"/>
        <v>RFR EUR</v>
      </c>
      <c r="F3309" t="str">
        <f t="shared" ca="1" si="258"/>
        <v>RFR GBP</v>
      </c>
      <c r="J3309" s="1"/>
      <c r="N3309" s="1"/>
      <c r="R3309" s="1"/>
      <c r="V3309" s="1"/>
      <c r="AB3309" s="1"/>
      <c r="AF3309" s="1"/>
      <c r="AJ3309" s="1"/>
      <c r="AN3309" s="1"/>
      <c r="AS3309" s="1"/>
      <c r="AX3309" s="1"/>
    </row>
    <row r="3310" spans="1:50" x14ac:dyDescent="0.3">
      <c r="A3310" s="19">
        <f t="shared" si="259"/>
        <v>50549</v>
      </c>
      <c r="B3310">
        <f t="shared" ca="1" si="255"/>
        <v>-12.213888888888889</v>
      </c>
      <c r="C3310" t="str">
        <f ca="1">IF(currency="USD",'Future et co'!D3310,IF(currency="EUR",'Future et co'!E3310,IF(currency="GBP",'Future et co'!F3310,FALSE)))</f>
        <v>RFR USD</v>
      </c>
      <c r="D3310" t="str">
        <f t="shared" ca="1" si="256"/>
        <v>RFR USD</v>
      </c>
      <c r="E3310" t="str">
        <f t="shared" ca="1" si="257"/>
        <v>RFR EUR</v>
      </c>
      <c r="F3310" t="str">
        <f t="shared" ca="1" si="258"/>
        <v>RFR GBP</v>
      </c>
      <c r="J3310" s="1"/>
      <c r="N3310" s="1"/>
      <c r="R3310" s="1"/>
      <c r="V3310" s="1"/>
      <c r="AB3310" s="1"/>
      <c r="AF3310" s="1"/>
      <c r="AJ3310" s="1"/>
      <c r="AN3310" s="1"/>
      <c r="AS3310" s="1"/>
      <c r="AX3310" s="1"/>
    </row>
    <row r="3311" spans="1:50" x14ac:dyDescent="0.3">
      <c r="A3311" s="19">
        <f t="shared" si="259"/>
        <v>50550</v>
      </c>
      <c r="B3311">
        <f t="shared" ca="1" si="255"/>
        <v>-12.216666666666667</v>
      </c>
      <c r="C3311" t="str">
        <f ca="1">IF(currency="USD",'Future et co'!D3311,IF(currency="EUR",'Future et co'!E3311,IF(currency="GBP",'Future et co'!F3311,FALSE)))</f>
        <v>RFR USD</v>
      </c>
      <c r="D3311" t="str">
        <f t="shared" ca="1" si="256"/>
        <v>RFR USD</v>
      </c>
      <c r="E3311" t="str">
        <f t="shared" ca="1" si="257"/>
        <v>RFR EUR</v>
      </c>
      <c r="F3311" t="str">
        <f t="shared" ca="1" si="258"/>
        <v>RFR GBP</v>
      </c>
      <c r="J3311" s="1"/>
      <c r="N3311" s="1"/>
      <c r="R3311" s="1"/>
      <c r="V3311" s="1"/>
      <c r="AB3311" s="1"/>
      <c r="AF3311" s="1"/>
      <c r="AJ3311" s="1"/>
      <c r="AN3311" s="1"/>
      <c r="AS3311" s="1"/>
      <c r="AX3311" s="1"/>
    </row>
    <row r="3312" spans="1:50" x14ac:dyDescent="0.3">
      <c r="A3312" s="19">
        <f t="shared" si="259"/>
        <v>50551</v>
      </c>
      <c r="B3312">
        <f t="shared" ca="1" si="255"/>
        <v>-12.219444444444445</v>
      </c>
      <c r="C3312" t="str">
        <f ca="1">IF(currency="USD",'Future et co'!D3312,IF(currency="EUR",'Future et co'!E3312,IF(currency="GBP",'Future et co'!F3312,FALSE)))</f>
        <v>RFR USD</v>
      </c>
      <c r="D3312" t="str">
        <f t="shared" ca="1" si="256"/>
        <v>RFR USD</v>
      </c>
      <c r="E3312" t="str">
        <f t="shared" ca="1" si="257"/>
        <v>RFR EUR</v>
      </c>
      <c r="F3312" t="str">
        <f t="shared" ca="1" si="258"/>
        <v>RFR GBP</v>
      </c>
      <c r="J3312" s="1"/>
      <c r="N3312" s="1"/>
      <c r="R3312" s="1"/>
      <c r="V3312" s="1"/>
      <c r="AB3312" s="1"/>
      <c r="AF3312" s="1"/>
      <c r="AJ3312" s="1"/>
      <c r="AN3312" s="1"/>
      <c r="AS3312" s="1"/>
      <c r="AX3312" s="1"/>
    </row>
    <row r="3313" spans="1:50" x14ac:dyDescent="0.3">
      <c r="A3313" s="19">
        <f t="shared" si="259"/>
        <v>50552</v>
      </c>
      <c r="B3313">
        <f t="shared" ca="1" si="255"/>
        <v>-12.222222222222221</v>
      </c>
      <c r="C3313" t="str">
        <f ca="1">IF(currency="USD",'Future et co'!D3313,IF(currency="EUR",'Future et co'!E3313,IF(currency="GBP",'Future et co'!F3313,FALSE)))</f>
        <v>RFR USD</v>
      </c>
      <c r="D3313" t="str">
        <f t="shared" ca="1" si="256"/>
        <v>RFR USD</v>
      </c>
      <c r="E3313" t="str">
        <f t="shared" ca="1" si="257"/>
        <v>RFR EUR</v>
      </c>
      <c r="F3313" t="str">
        <f t="shared" ca="1" si="258"/>
        <v>RFR GBP</v>
      </c>
      <c r="J3313" s="1"/>
      <c r="N3313" s="1"/>
      <c r="R3313" s="1"/>
      <c r="V3313" s="1"/>
      <c r="AB3313" s="1"/>
      <c r="AF3313" s="1"/>
      <c r="AJ3313" s="1"/>
      <c r="AN3313" s="1"/>
      <c r="AS3313" s="1"/>
      <c r="AX3313" s="1"/>
    </row>
    <row r="3314" spans="1:50" x14ac:dyDescent="0.3">
      <c r="A3314" s="19">
        <f t="shared" si="259"/>
        <v>50553</v>
      </c>
      <c r="B3314">
        <f t="shared" ca="1" si="255"/>
        <v>-12.225</v>
      </c>
      <c r="C3314" t="str">
        <f ca="1">IF(currency="USD",'Future et co'!D3314,IF(currency="EUR",'Future et co'!E3314,IF(currency="GBP",'Future et co'!F3314,FALSE)))</f>
        <v>RFR USD</v>
      </c>
      <c r="D3314" t="str">
        <f t="shared" ca="1" si="256"/>
        <v>RFR USD</v>
      </c>
      <c r="E3314" t="str">
        <f t="shared" ca="1" si="257"/>
        <v>RFR EUR</v>
      </c>
      <c r="F3314" t="str">
        <f t="shared" ca="1" si="258"/>
        <v>RFR GBP</v>
      </c>
      <c r="J3314" s="1"/>
      <c r="N3314" s="1"/>
      <c r="R3314" s="1"/>
      <c r="V3314" s="1"/>
      <c r="AB3314" s="1"/>
      <c r="AF3314" s="1"/>
      <c r="AJ3314" s="1"/>
      <c r="AN3314" s="1"/>
      <c r="AS3314" s="1"/>
      <c r="AX3314" s="1"/>
    </row>
    <row r="3315" spans="1:50" x14ac:dyDescent="0.3">
      <c r="A3315" s="19">
        <f t="shared" si="259"/>
        <v>50556</v>
      </c>
      <c r="B3315">
        <f t="shared" ca="1" si="255"/>
        <v>-12.233333333333333</v>
      </c>
      <c r="C3315" t="str">
        <f ca="1">IF(currency="USD",'Future et co'!D3315,IF(currency="EUR",'Future et co'!E3315,IF(currency="GBP",'Future et co'!F3315,FALSE)))</f>
        <v>RFR USD</v>
      </c>
      <c r="D3315" t="str">
        <f t="shared" ca="1" si="256"/>
        <v>RFR USD</v>
      </c>
      <c r="E3315" t="str">
        <f t="shared" ca="1" si="257"/>
        <v>RFR EUR</v>
      </c>
      <c r="F3315" t="str">
        <f t="shared" ca="1" si="258"/>
        <v>RFR GBP</v>
      </c>
      <c r="J3315" s="1"/>
      <c r="N3315" s="1"/>
      <c r="R3315" s="1"/>
      <c r="V3315" s="1"/>
      <c r="AB3315" s="1"/>
      <c r="AF3315" s="1"/>
      <c r="AJ3315" s="1"/>
      <c r="AN3315" s="1"/>
      <c r="AS3315" s="1"/>
      <c r="AX3315" s="1"/>
    </row>
    <row r="3316" spans="1:50" x14ac:dyDescent="0.3">
      <c r="A3316" s="19">
        <f t="shared" si="259"/>
        <v>50557</v>
      </c>
      <c r="B3316">
        <f t="shared" ca="1" si="255"/>
        <v>-12.236111111111111</v>
      </c>
      <c r="C3316" t="str">
        <f ca="1">IF(currency="USD",'Future et co'!D3316,IF(currency="EUR",'Future et co'!E3316,IF(currency="GBP",'Future et co'!F3316,FALSE)))</f>
        <v>RFR USD</v>
      </c>
      <c r="D3316" t="str">
        <f t="shared" ca="1" si="256"/>
        <v>RFR USD</v>
      </c>
      <c r="E3316" t="str">
        <f t="shared" ca="1" si="257"/>
        <v>RFR EUR</v>
      </c>
      <c r="F3316" t="str">
        <f t="shared" ca="1" si="258"/>
        <v>RFR GBP</v>
      </c>
      <c r="J3316" s="1"/>
      <c r="N3316" s="1"/>
      <c r="R3316" s="1"/>
      <c r="V3316" s="1"/>
      <c r="AB3316" s="1"/>
      <c r="AF3316" s="1"/>
      <c r="AJ3316" s="1"/>
      <c r="AN3316" s="1"/>
      <c r="AS3316" s="1"/>
      <c r="AX3316" s="1"/>
    </row>
    <row r="3317" spans="1:50" x14ac:dyDescent="0.3">
      <c r="A3317" s="19">
        <f t="shared" si="259"/>
        <v>50558</v>
      </c>
      <c r="B3317">
        <f t="shared" ca="1" si="255"/>
        <v>-12.238888888888889</v>
      </c>
      <c r="C3317" t="str">
        <f ca="1">IF(currency="USD",'Future et co'!D3317,IF(currency="EUR",'Future et co'!E3317,IF(currency="GBP",'Future et co'!F3317,FALSE)))</f>
        <v>RFR USD</v>
      </c>
      <c r="D3317" t="str">
        <f t="shared" ca="1" si="256"/>
        <v>RFR USD</v>
      </c>
      <c r="E3317" t="str">
        <f t="shared" ca="1" si="257"/>
        <v>RFR EUR</v>
      </c>
      <c r="F3317" t="str">
        <f t="shared" ca="1" si="258"/>
        <v>RFR GBP</v>
      </c>
      <c r="J3317" s="1"/>
      <c r="N3317" s="1"/>
      <c r="R3317" s="1"/>
      <c r="V3317" s="1"/>
      <c r="AB3317" s="1"/>
      <c r="AF3317" s="1"/>
      <c r="AJ3317" s="1"/>
      <c r="AN3317" s="1"/>
      <c r="AS3317" s="1"/>
      <c r="AX3317" s="1"/>
    </row>
    <row r="3318" spans="1:50" x14ac:dyDescent="0.3">
      <c r="A3318" s="19">
        <f t="shared" si="259"/>
        <v>50559</v>
      </c>
      <c r="B3318">
        <f t="shared" ca="1" si="255"/>
        <v>-12.241666666666667</v>
      </c>
      <c r="C3318" t="str">
        <f ca="1">IF(currency="USD",'Future et co'!D3318,IF(currency="EUR",'Future et co'!E3318,IF(currency="GBP",'Future et co'!F3318,FALSE)))</f>
        <v>RFR USD</v>
      </c>
      <c r="D3318" t="str">
        <f t="shared" ca="1" si="256"/>
        <v>RFR USD</v>
      </c>
      <c r="E3318" t="str">
        <f t="shared" ca="1" si="257"/>
        <v>RFR EUR</v>
      </c>
      <c r="F3318" t="str">
        <f t="shared" ca="1" si="258"/>
        <v>RFR GBP</v>
      </c>
      <c r="J3318" s="1"/>
      <c r="N3318" s="1"/>
      <c r="R3318" s="1"/>
      <c r="V3318" s="1"/>
      <c r="AB3318" s="1"/>
      <c r="AF3318" s="1"/>
      <c r="AJ3318" s="1"/>
      <c r="AN3318" s="1"/>
      <c r="AS3318" s="1"/>
      <c r="AX3318" s="1"/>
    </row>
    <row r="3319" spans="1:50" x14ac:dyDescent="0.3">
      <c r="A3319" s="19">
        <f t="shared" si="259"/>
        <v>50560</v>
      </c>
      <c r="B3319">
        <f t="shared" ca="1" si="255"/>
        <v>-12.244444444444444</v>
      </c>
      <c r="C3319" t="str">
        <f ca="1">IF(currency="USD",'Future et co'!D3319,IF(currency="EUR",'Future et co'!E3319,IF(currency="GBP",'Future et co'!F3319,FALSE)))</f>
        <v>RFR USD</v>
      </c>
      <c r="D3319" t="str">
        <f t="shared" ca="1" si="256"/>
        <v>RFR USD</v>
      </c>
      <c r="E3319" t="str">
        <f t="shared" ca="1" si="257"/>
        <v>RFR EUR</v>
      </c>
      <c r="F3319" t="str">
        <f t="shared" ca="1" si="258"/>
        <v>RFR GBP</v>
      </c>
      <c r="J3319" s="1"/>
      <c r="N3319" s="1"/>
      <c r="R3319" s="1"/>
      <c r="V3319" s="1"/>
      <c r="AB3319" s="1"/>
      <c r="AF3319" s="1"/>
      <c r="AJ3319" s="1"/>
      <c r="AN3319" s="1"/>
      <c r="AS3319" s="1"/>
      <c r="AX3319" s="1"/>
    </row>
    <row r="3320" spans="1:50" x14ac:dyDescent="0.3">
      <c r="A3320" s="19">
        <f t="shared" si="259"/>
        <v>50563</v>
      </c>
      <c r="B3320">
        <f t="shared" ca="1" si="255"/>
        <v>-12.252777777777778</v>
      </c>
      <c r="C3320" t="str">
        <f ca="1">IF(currency="USD",'Future et co'!D3320,IF(currency="EUR",'Future et co'!E3320,IF(currency="GBP",'Future et co'!F3320,FALSE)))</f>
        <v>RFR USD</v>
      </c>
      <c r="D3320" t="str">
        <f t="shared" ca="1" si="256"/>
        <v>RFR USD</v>
      </c>
      <c r="E3320" t="str">
        <f t="shared" ca="1" si="257"/>
        <v>RFR EUR</v>
      </c>
      <c r="F3320" t="str">
        <f t="shared" ca="1" si="258"/>
        <v>RFR GBP</v>
      </c>
      <c r="J3320" s="1"/>
      <c r="N3320" s="1"/>
      <c r="R3320" s="1"/>
      <c r="V3320" s="1"/>
      <c r="AB3320" s="1"/>
      <c r="AF3320" s="1"/>
      <c r="AJ3320" s="1"/>
      <c r="AN3320" s="1"/>
      <c r="AS3320" s="1"/>
      <c r="AX3320" s="1"/>
    </row>
    <row r="3321" spans="1:50" x14ac:dyDescent="0.3">
      <c r="A3321" s="19">
        <f t="shared" si="259"/>
        <v>50564</v>
      </c>
      <c r="B3321">
        <f t="shared" ca="1" si="255"/>
        <v>-12.255555555555556</v>
      </c>
      <c r="C3321" t="str">
        <f ca="1">IF(currency="USD",'Future et co'!D3321,IF(currency="EUR",'Future et co'!E3321,IF(currency="GBP",'Future et co'!F3321,FALSE)))</f>
        <v>RFR USD</v>
      </c>
      <c r="D3321" t="str">
        <f t="shared" ca="1" si="256"/>
        <v>RFR USD</v>
      </c>
      <c r="E3321" t="str">
        <f t="shared" ca="1" si="257"/>
        <v>RFR EUR</v>
      </c>
      <c r="F3321" t="str">
        <f t="shared" ca="1" si="258"/>
        <v>RFR GBP</v>
      </c>
      <c r="J3321" s="1"/>
      <c r="N3321" s="1"/>
      <c r="R3321" s="1"/>
      <c r="V3321" s="1"/>
      <c r="AB3321" s="1"/>
      <c r="AF3321" s="1"/>
      <c r="AJ3321" s="1"/>
      <c r="AN3321" s="1"/>
      <c r="AS3321" s="1"/>
      <c r="AX3321" s="1"/>
    </row>
    <row r="3322" spans="1:50" x14ac:dyDescent="0.3">
      <c r="A3322" s="19">
        <f t="shared" si="259"/>
        <v>50565</v>
      </c>
      <c r="B3322">
        <f t="shared" ca="1" si="255"/>
        <v>-12.258333333333333</v>
      </c>
      <c r="C3322" t="str">
        <f ca="1">IF(currency="USD",'Future et co'!D3322,IF(currency="EUR",'Future et co'!E3322,IF(currency="GBP",'Future et co'!F3322,FALSE)))</f>
        <v>RFR USD</v>
      </c>
      <c r="D3322" t="str">
        <f t="shared" ca="1" si="256"/>
        <v>RFR USD</v>
      </c>
      <c r="E3322" t="str">
        <f t="shared" ca="1" si="257"/>
        <v>RFR EUR</v>
      </c>
      <c r="F3322" t="str">
        <f t="shared" ca="1" si="258"/>
        <v>RFR GBP</v>
      </c>
      <c r="J3322" s="1"/>
      <c r="N3322" s="1"/>
      <c r="R3322" s="1"/>
      <c r="V3322" s="1"/>
      <c r="AB3322" s="1"/>
      <c r="AF3322" s="1"/>
      <c r="AJ3322" s="1"/>
      <c r="AN3322" s="1"/>
      <c r="AS3322" s="1"/>
      <c r="AX3322" s="1"/>
    </row>
    <row r="3323" spans="1:50" x14ac:dyDescent="0.3">
      <c r="A3323" s="19">
        <f t="shared" si="259"/>
        <v>50566</v>
      </c>
      <c r="B3323">
        <f t="shared" ca="1" si="255"/>
        <v>-12.261111111111111</v>
      </c>
      <c r="C3323" t="str">
        <f ca="1">IF(currency="USD",'Future et co'!D3323,IF(currency="EUR",'Future et co'!E3323,IF(currency="GBP",'Future et co'!F3323,FALSE)))</f>
        <v>RFR USD</v>
      </c>
      <c r="D3323" t="str">
        <f t="shared" ca="1" si="256"/>
        <v>RFR USD</v>
      </c>
      <c r="E3323" t="str">
        <f t="shared" ca="1" si="257"/>
        <v>RFR EUR</v>
      </c>
      <c r="F3323" t="str">
        <f t="shared" ca="1" si="258"/>
        <v>RFR GBP</v>
      </c>
      <c r="J3323" s="1"/>
      <c r="N3323" s="1"/>
      <c r="R3323" s="1"/>
      <c r="V3323" s="1"/>
      <c r="AB3323" s="1"/>
      <c r="AF3323" s="1"/>
      <c r="AJ3323" s="1"/>
      <c r="AN3323" s="1"/>
      <c r="AS3323" s="1"/>
      <c r="AX3323" s="1"/>
    </row>
    <row r="3324" spans="1:50" x14ac:dyDescent="0.3">
      <c r="A3324" s="19">
        <f t="shared" si="259"/>
        <v>50567</v>
      </c>
      <c r="B3324">
        <f t="shared" ca="1" si="255"/>
        <v>-12.263888888888889</v>
      </c>
      <c r="C3324" t="str">
        <f ca="1">IF(currency="USD",'Future et co'!D3324,IF(currency="EUR",'Future et co'!E3324,IF(currency="GBP",'Future et co'!F3324,FALSE)))</f>
        <v>RFR USD</v>
      </c>
      <c r="D3324" t="str">
        <f t="shared" ca="1" si="256"/>
        <v>RFR USD</v>
      </c>
      <c r="E3324" t="str">
        <f t="shared" ca="1" si="257"/>
        <v>RFR EUR</v>
      </c>
      <c r="F3324" t="str">
        <f t="shared" ca="1" si="258"/>
        <v>RFR GBP</v>
      </c>
      <c r="J3324" s="1"/>
      <c r="N3324" s="1"/>
      <c r="R3324" s="1"/>
      <c r="V3324" s="1"/>
      <c r="AB3324" s="1"/>
      <c r="AF3324" s="1"/>
      <c r="AJ3324" s="1"/>
      <c r="AN3324" s="1"/>
      <c r="AS3324" s="1"/>
      <c r="AX3324" s="1"/>
    </row>
    <row r="3325" spans="1:50" x14ac:dyDescent="0.3">
      <c r="A3325" s="19">
        <f t="shared" si="259"/>
        <v>50570</v>
      </c>
      <c r="B3325">
        <f t="shared" ca="1" si="255"/>
        <v>-12.272222222222222</v>
      </c>
      <c r="C3325" t="str">
        <f ca="1">IF(currency="USD",'Future et co'!D3325,IF(currency="EUR",'Future et co'!E3325,IF(currency="GBP",'Future et co'!F3325,FALSE)))</f>
        <v>RFR USD</v>
      </c>
      <c r="D3325" t="str">
        <f t="shared" ca="1" si="256"/>
        <v>RFR USD</v>
      </c>
      <c r="E3325" t="str">
        <f t="shared" ca="1" si="257"/>
        <v>RFR EUR</v>
      </c>
      <c r="F3325" t="str">
        <f t="shared" ca="1" si="258"/>
        <v>RFR GBP</v>
      </c>
      <c r="J3325" s="1"/>
      <c r="N3325" s="1"/>
      <c r="R3325" s="1"/>
      <c r="V3325" s="1"/>
      <c r="AB3325" s="1"/>
      <c r="AF3325" s="1"/>
      <c r="AJ3325" s="1"/>
      <c r="AN3325" s="1"/>
      <c r="AS3325" s="1"/>
      <c r="AX3325" s="1"/>
    </row>
    <row r="3326" spans="1:50" x14ac:dyDescent="0.3">
      <c r="A3326" s="19">
        <f t="shared" si="259"/>
        <v>50571</v>
      </c>
      <c r="B3326">
        <f t="shared" ca="1" si="255"/>
        <v>-12.275</v>
      </c>
      <c r="C3326" t="str">
        <f ca="1">IF(currency="USD",'Future et co'!D3326,IF(currency="EUR",'Future et co'!E3326,IF(currency="GBP",'Future et co'!F3326,FALSE)))</f>
        <v>RFR USD</v>
      </c>
      <c r="D3326" t="str">
        <f t="shared" ca="1" si="256"/>
        <v>RFR USD</v>
      </c>
      <c r="E3326" t="str">
        <f t="shared" ca="1" si="257"/>
        <v>RFR EUR</v>
      </c>
      <c r="F3326" t="str">
        <f t="shared" ca="1" si="258"/>
        <v>RFR GBP</v>
      </c>
      <c r="J3326" s="1"/>
      <c r="N3326" s="1"/>
      <c r="R3326" s="1"/>
      <c r="V3326" s="1"/>
      <c r="AB3326" s="1"/>
      <c r="AF3326" s="1"/>
      <c r="AJ3326" s="1"/>
      <c r="AN3326" s="1"/>
      <c r="AS3326" s="1"/>
      <c r="AX3326" s="1"/>
    </row>
    <row r="3327" spans="1:50" x14ac:dyDescent="0.3">
      <c r="A3327" s="19">
        <f t="shared" si="259"/>
        <v>50572</v>
      </c>
      <c r="B3327">
        <f t="shared" ca="1" si="255"/>
        <v>-12.277777777777779</v>
      </c>
      <c r="C3327" t="str">
        <f ca="1">IF(currency="USD",'Future et co'!D3327,IF(currency="EUR",'Future et co'!E3327,IF(currency="GBP",'Future et co'!F3327,FALSE)))</f>
        <v>RFR USD</v>
      </c>
      <c r="D3327" t="str">
        <f t="shared" ca="1" si="256"/>
        <v>RFR USD</v>
      </c>
      <c r="E3327" t="str">
        <f t="shared" ca="1" si="257"/>
        <v>RFR EUR</v>
      </c>
      <c r="F3327" t="str">
        <f t="shared" ca="1" si="258"/>
        <v>RFR GBP</v>
      </c>
      <c r="J3327" s="1"/>
      <c r="N3327" s="1"/>
      <c r="R3327" s="1"/>
      <c r="V3327" s="1"/>
      <c r="AB3327" s="1"/>
      <c r="AF3327" s="1"/>
      <c r="AJ3327" s="1"/>
      <c r="AN3327" s="1"/>
      <c r="AS3327" s="1"/>
      <c r="AX3327" s="1"/>
    </row>
    <row r="3328" spans="1:50" x14ac:dyDescent="0.3">
      <c r="A3328" s="19">
        <f t="shared" si="259"/>
        <v>50573</v>
      </c>
      <c r="B3328">
        <f t="shared" ca="1" si="255"/>
        <v>-12.280555555555555</v>
      </c>
      <c r="C3328" t="str">
        <f ca="1">IF(currency="USD",'Future et co'!D3328,IF(currency="EUR",'Future et co'!E3328,IF(currency="GBP",'Future et co'!F3328,FALSE)))</f>
        <v>RFR USD</v>
      </c>
      <c r="D3328" t="str">
        <f t="shared" ca="1" si="256"/>
        <v>RFR USD</v>
      </c>
      <c r="E3328" t="str">
        <f t="shared" ca="1" si="257"/>
        <v>RFR EUR</v>
      </c>
      <c r="F3328" t="str">
        <f t="shared" ca="1" si="258"/>
        <v>RFR GBP</v>
      </c>
      <c r="J3328" s="1"/>
      <c r="N3328" s="1"/>
      <c r="R3328" s="1"/>
      <c r="V3328" s="1"/>
      <c r="AB3328" s="1"/>
      <c r="AF3328" s="1"/>
      <c r="AJ3328" s="1"/>
      <c r="AN3328" s="1"/>
      <c r="AS3328" s="1"/>
      <c r="AX3328" s="1"/>
    </row>
    <row r="3329" spans="1:50" x14ac:dyDescent="0.3">
      <c r="A3329" s="19">
        <f t="shared" si="259"/>
        <v>50574</v>
      </c>
      <c r="B3329">
        <f t="shared" ca="1" si="255"/>
        <v>-12.283333333333333</v>
      </c>
      <c r="C3329" t="str">
        <f ca="1">IF(currency="USD",'Future et co'!D3329,IF(currency="EUR",'Future et co'!E3329,IF(currency="GBP",'Future et co'!F3329,FALSE)))</f>
        <v>RFR USD</v>
      </c>
      <c r="D3329" t="str">
        <f t="shared" ca="1" si="256"/>
        <v>RFR USD</v>
      </c>
      <c r="E3329" t="str">
        <f t="shared" ca="1" si="257"/>
        <v>RFR EUR</v>
      </c>
      <c r="F3329" t="str">
        <f t="shared" ca="1" si="258"/>
        <v>RFR GBP</v>
      </c>
      <c r="J3329" s="1"/>
      <c r="N3329" s="1"/>
      <c r="R3329" s="1"/>
      <c r="V3329" s="1"/>
      <c r="AB3329" s="1"/>
      <c r="AF3329" s="1"/>
      <c r="AJ3329" s="1"/>
      <c r="AN3329" s="1"/>
      <c r="AS3329" s="1"/>
      <c r="AX3329" s="1"/>
    </row>
    <row r="3330" spans="1:50" x14ac:dyDescent="0.3">
      <c r="A3330" s="19">
        <f t="shared" si="259"/>
        <v>50577</v>
      </c>
      <c r="B3330">
        <f t="shared" ca="1" si="255"/>
        <v>-12.291666666666666</v>
      </c>
      <c r="C3330" t="str">
        <f ca="1">IF(currency="USD",'Future et co'!D3330,IF(currency="EUR",'Future et co'!E3330,IF(currency="GBP",'Future et co'!F3330,FALSE)))</f>
        <v>RFR USD</v>
      </c>
      <c r="D3330" t="str">
        <f t="shared" ca="1" si="256"/>
        <v>RFR USD</v>
      </c>
      <c r="E3330" t="str">
        <f t="shared" ca="1" si="257"/>
        <v>RFR EUR</v>
      </c>
      <c r="F3330" t="str">
        <f t="shared" ca="1" si="258"/>
        <v>RFR GBP</v>
      </c>
      <c r="J3330" s="1"/>
      <c r="N3330" s="1"/>
      <c r="R3330" s="1"/>
      <c r="V3330" s="1"/>
      <c r="AB3330" s="1"/>
      <c r="AF3330" s="1"/>
      <c r="AJ3330" s="1"/>
      <c r="AN3330" s="1"/>
      <c r="AS3330" s="1"/>
      <c r="AX3330" s="1"/>
    </row>
    <row r="3331" spans="1:50" x14ac:dyDescent="0.3">
      <c r="A3331" s="19">
        <f t="shared" si="259"/>
        <v>50578</v>
      </c>
      <c r="B3331">
        <f t="shared" ca="1" si="255"/>
        <v>-12.294444444444444</v>
      </c>
      <c r="C3331" t="str">
        <f ca="1">IF(currency="USD",'Future et co'!D3331,IF(currency="EUR",'Future et co'!E3331,IF(currency="GBP",'Future et co'!F3331,FALSE)))</f>
        <v>RFR USD</v>
      </c>
      <c r="D3331" t="str">
        <f t="shared" ca="1" si="256"/>
        <v>RFR USD</v>
      </c>
      <c r="E3331" t="str">
        <f t="shared" ca="1" si="257"/>
        <v>RFR EUR</v>
      </c>
      <c r="F3331" t="str">
        <f t="shared" ca="1" si="258"/>
        <v>RFR GBP</v>
      </c>
      <c r="J3331" s="1"/>
      <c r="N3331" s="1"/>
      <c r="R3331" s="1"/>
      <c r="V3331" s="1"/>
      <c r="AB3331" s="1"/>
      <c r="AF3331" s="1"/>
      <c r="AJ3331" s="1"/>
      <c r="AN3331" s="1"/>
      <c r="AS3331" s="1"/>
      <c r="AX3331" s="1"/>
    </row>
    <row r="3332" spans="1:50" x14ac:dyDescent="0.3">
      <c r="A3332" s="19">
        <f t="shared" si="259"/>
        <v>50579</v>
      </c>
      <c r="B3332">
        <f t="shared" ca="1" si="255"/>
        <v>-12.297222222222222</v>
      </c>
      <c r="C3332" t="str">
        <f ca="1">IF(currency="USD",'Future et co'!D3332,IF(currency="EUR",'Future et co'!E3332,IF(currency="GBP",'Future et co'!F3332,FALSE)))</f>
        <v>RFR USD</v>
      </c>
      <c r="D3332" t="str">
        <f t="shared" ca="1" si="256"/>
        <v>RFR USD</v>
      </c>
      <c r="E3332" t="str">
        <f t="shared" ca="1" si="257"/>
        <v>RFR EUR</v>
      </c>
      <c r="F3332" t="str">
        <f t="shared" ca="1" si="258"/>
        <v>RFR GBP</v>
      </c>
      <c r="J3332" s="1"/>
      <c r="N3332" s="1"/>
      <c r="R3332" s="1"/>
      <c r="V3332" s="1"/>
      <c r="AB3332" s="1"/>
      <c r="AF3332" s="1"/>
      <c r="AJ3332" s="1"/>
      <c r="AN3332" s="1"/>
      <c r="AS3332" s="1"/>
      <c r="AX3332" s="1"/>
    </row>
    <row r="3333" spans="1:50" x14ac:dyDescent="0.3">
      <c r="A3333" s="19">
        <f t="shared" si="259"/>
        <v>50580</v>
      </c>
      <c r="B3333">
        <f t="shared" ca="1" si="255"/>
        <v>-12.3</v>
      </c>
      <c r="C3333" t="str">
        <f ca="1">IF(currency="USD",'Future et co'!D3333,IF(currency="EUR",'Future et co'!E3333,IF(currency="GBP",'Future et co'!F3333,FALSE)))</f>
        <v>RFR USD</v>
      </c>
      <c r="D3333" t="str">
        <f t="shared" ca="1" si="256"/>
        <v>RFR USD</v>
      </c>
      <c r="E3333" t="str">
        <f t="shared" ca="1" si="257"/>
        <v>RFR EUR</v>
      </c>
      <c r="F3333" t="str">
        <f t="shared" ca="1" si="258"/>
        <v>RFR GBP</v>
      </c>
      <c r="J3333" s="1"/>
      <c r="N3333" s="1"/>
      <c r="R3333" s="1"/>
      <c r="V3333" s="1"/>
      <c r="AB3333" s="1"/>
      <c r="AF3333" s="1"/>
      <c r="AJ3333" s="1"/>
      <c r="AN3333" s="1"/>
      <c r="AS3333" s="1"/>
      <c r="AX3333" s="1"/>
    </row>
    <row r="3334" spans="1:50" x14ac:dyDescent="0.3">
      <c r="A3334" s="19">
        <f t="shared" si="259"/>
        <v>50581</v>
      </c>
      <c r="B3334">
        <f t="shared" ca="1" si="255"/>
        <v>-12.302777777777777</v>
      </c>
      <c r="C3334" t="str">
        <f ca="1">IF(currency="USD",'Future et co'!D3334,IF(currency="EUR",'Future et co'!E3334,IF(currency="GBP",'Future et co'!F3334,FALSE)))</f>
        <v>RFR USD</v>
      </c>
      <c r="D3334" t="str">
        <f t="shared" ca="1" si="256"/>
        <v>RFR USD</v>
      </c>
      <c r="E3334" t="str">
        <f t="shared" ca="1" si="257"/>
        <v>RFR EUR</v>
      </c>
      <c r="F3334" t="str">
        <f t="shared" ca="1" si="258"/>
        <v>RFR GBP</v>
      </c>
      <c r="J3334" s="1"/>
      <c r="N3334" s="1"/>
      <c r="R3334" s="1"/>
      <c r="V3334" s="1"/>
      <c r="AB3334" s="1"/>
      <c r="AF3334" s="1"/>
      <c r="AJ3334" s="1"/>
      <c r="AN3334" s="1"/>
      <c r="AS3334" s="1"/>
      <c r="AX3334" s="1"/>
    </row>
    <row r="3335" spans="1:50" x14ac:dyDescent="0.3">
      <c r="A3335" s="19">
        <f t="shared" si="259"/>
        <v>50584</v>
      </c>
      <c r="B3335">
        <f t="shared" ca="1" si="255"/>
        <v>-12.311111111111112</v>
      </c>
      <c r="C3335" t="str">
        <f ca="1">IF(currency="USD",'Future et co'!D3335,IF(currency="EUR",'Future et co'!E3335,IF(currency="GBP",'Future et co'!F3335,FALSE)))</f>
        <v>RFR USD</v>
      </c>
      <c r="D3335" t="str">
        <f t="shared" ca="1" si="256"/>
        <v>RFR USD</v>
      </c>
      <c r="E3335" t="str">
        <f t="shared" ca="1" si="257"/>
        <v>RFR EUR</v>
      </c>
      <c r="F3335" t="str">
        <f t="shared" ca="1" si="258"/>
        <v>RFR GBP</v>
      </c>
      <c r="J3335" s="1"/>
      <c r="N3335" s="1"/>
      <c r="R3335" s="1"/>
      <c r="V3335" s="1"/>
      <c r="AB3335" s="1"/>
      <c r="AF3335" s="1"/>
      <c r="AJ3335" s="1"/>
      <c r="AN3335" s="1"/>
      <c r="AS3335" s="1"/>
      <c r="AX3335" s="1"/>
    </row>
    <row r="3336" spans="1:50" x14ac:dyDescent="0.3">
      <c r="A3336" s="19">
        <f t="shared" si="259"/>
        <v>50585</v>
      </c>
      <c r="B3336">
        <f t="shared" ca="1" si="255"/>
        <v>-12.313888888888888</v>
      </c>
      <c r="C3336" t="str">
        <f ca="1">IF(currency="USD",'Future et co'!D3336,IF(currency="EUR",'Future et co'!E3336,IF(currency="GBP",'Future et co'!F3336,FALSE)))</f>
        <v>RFR USD</v>
      </c>
      <c r="D3336" t="str">
        <f t="shared" ca="1" si="256"/>
        <v>RFR USD</v>
      </c>
      <c r="E3336" t="str">
        <f t="shared" ca="1" si="257"/>
        <v>RFR EUR</v>
      </c>
      <c r="F3336" t="str">
        <f t="shared" ca="1" si="258"/>
        <v>RFR GBP</v>
      </c>
      <c r="J3336" s="1"/>
      <c r="N3336" s="1"/>
      <c r="R3336" s="1"/>
      <c r="V3336" s="1"/>
      <c r="AB3336" s="1"/>
      <c r="AF3336" s="1"/>
      <c r="AJ3336" s="1"/>
      <c r="AN3336" s="1"/>
      <c r="AS3336" s="1"/>
      <c r="AX3336" s="1"/>
    </row>
    <row r="3337" spans="1:50" x14ac:dyDescent="0.3">
      <c r="A3337" s="19">
        <f t="shared" si="259"/>
        <v>50586</v>
      </c>
      <c r="B3337">
        <f t="shared" ca="1" si="255"/>
        <v>-12.316666666666666</v>
      </c>
      <c r="C3337" t="str">
        <f ca="1">IF(currency="USD",'Future et co'!D3337,IF(currency="EUR",'Future et co'!E3337,IF(currency="GBP",'Future et co'!F3337,FALSE)))</f>
        <v>RFR USD</v>
      </c>
      <c r="D3337" t="str">
        <f t="shared" ca="1" si="256"/>
        <v>RFR USD</v>
      </c>
      <c r="E3337" t="str">
        <f t="shared" ca="1" si="257"/>
        <v>RFR EUR</v>
      </c>
      <c r="F3337" t="str">
        <f t="shared" ca="1" si="258"/>
        <v>RFR GBP</v>
      </c>
      <c r="J3337" s="1"/>
      <c r="N3337" s="1"/>
      <c r="R3337" s="1"/>
      <c r="V3337" s="1"/>
      <c r="AB3337" s="1"/>
      <c r="AF3337" s="1"/>
      <c r="AJ3337" s="1"/>
      <c r="AN3337" s="1"/>
      <c r="AS3337" s="1"/>
      <c r="AX3337" s="1"/>
    </row>
    <row r="3338" spans="1:50" x14ac:dyDescent="0.3">
      <c r="A3338" s="19">
        <f t="shared" si="259"/>
        <v>50587</v>
      </c>
      <c r="B3338">
        <f t="shared" ca="1" si="255"/>
        <v>-12.319444444444445</v>
      </c>
      <c r="C3338" t="str">
        <f ca="1">IF(currency="USD",'Future et co'!D3338,IF(currency="EUR",'Future et co'!E3338,IF(currency="GBP",'Future et co'!F3338,FALSE)))</f>
        <v>RFR USD</v>
      </c>
      <c r="D3338" t="str">
        <f t="shared" ca="1" si="256"/>
        <v>RFR USD</v>
      </c>
      <c r="E3338" t="str">
        <f t="shared" ca="1" si="257"/>
        <v>RFR EUR</v>
      </c>
      <c r="F3338" t="str">
        <f t="shared" ca="1" si="258"/>
        <v>RFR GBP</v>
      </c>
      <c r="J3338" s="1"/>
      <c r="N3338" s="1"/>
      <c r="R3338" s="1"/>
      <c r="V3338" s="1"/>
      <c r="AB3338" s="1"/>
      <c r="AF3338" s="1"/>
      <c r="AJ3338" s="1"/>
      <c r="AN3338" s="1"/>
      <c r="AS3338" s="1"/>
      <c r="AX3338" s="1"/>
    </row>
    <row r="3339" spans="1:50" x14ac:dyDescent="0.3">
      <c r="A3339" s="19">
        <f t="shared" si="259"/>
        <v>50588</v>
      </c>
      <c r="B3339">
        <f t="shared" ref="B3339:B3402" ca="1" si="260">($B$7-A3339)/360</f>
        <v>-12.322222222222223</v>
      </c>
      <c r="C3339" t="str">
        <f ca="1">IF(currency="USD",'Future et co'!D3339,IF(currency="EUR",'Future et co'!E3339,IF(currency="GBP",'Future et co'!F3339,FALSE)))</f>
        <v>RFR USD</v>
      </c>
      <c r="D3339" t="str">
        <f t="shared" ref="D3339:D3402" ca="1" si="261">IFERROR(IF(B3339&lt;0.25,VLOOKUP(A3339,$J$11:$L$5325,3,FALSE),IF(AND(B3339&gt;=0.25,B3339&lt;0.5),VLOOKUP(A3339,$N$11:$P$5325,3,FALSE),IF(AND(B3339&gt;=0.5,B3339&lt;1),VLOOKUP(A3339,$R$11:$T$5325,3,FALSE),VLOOKUP(A3339,$V$11:$X$5010,3,FALSE)))),D3338)</f>
        <v>RFR USD</v>
      </c>
      <c r="E3339" t="str">
        <f t="shared" ref="E3339:E3402" ca="1" si="262">IFERROR(IF(B3339&lt;0.25,VLOOKUP(A3339,$AF$11:$AH$5325,3,FALSE),IF(AND(B3339&gt;=0.25,B3339&lt;0.5),VLOOKUP(A3339,$AJ$11:$AL$5325,3,FALSE),VLOOKUP(A3339,$AN$11:$AP$5325,3,FALSE))),E3338)</f>
        <v>RFR EUR</v>
      </c>
      <c r="F3339" t="str">
        <f t="shared" ref="F3339:F3402" ca="1" si="263">IFERROR(VLOOKUP(A3339,$AS$11:$AU$9999,3,FALSE),F3338)</f>
        <v>RFR GBP</v>
      </c>
      <c r="J3339" s="1"/>
      <c r="N3339" s="1"/>
      <c r="R3339" s="1"/>
      <c r="V3339" s="1"/>
      <c r="AB3339" s="1"/>
      <c r="AF3339" s="1"/>
      <c r="AJ3339" s="1"/>
      <c r="AN3339" s="1"/>
      <c r="AS3339" s="1"/>
      <c r="AX3339" s="1"/>
    </row>
    <row r="3340" spans="1:50" x14ac:dyDescent="0.3">
      <c r="A3340" s="19">
        <f t="shared" si="259"/>
        <v>50591</v>
      </c>
      <c r="B3340">
        <f t="shared" ca="1" si="260"/>
        <v>-12.330555555555556</v>
      </c>
      <c r="C3340" t="str">
        <f ca="1">IF(currency="USD",'Future et co'!D3340,IF(currency="EUR",'Future et co'!E3340,IF(currency="GBP",'Future et co'!F3340,FALSE)))</f>
        <v>RFR USD</v>
      </c>
      <c r="D3340" t="str">
        <f t="shared" ca="1" si="261"/>
        <v>RFR USD</v>
      </c>
      <c r="E3340" t="str">
        <f t="shared" ca="1" si="262"/>
        <v>RFR EUR</v>
      </c>
      <c r="F3340" t="str">
        <f t="shared" ca="1" si="263"/>
        <v>RFR GBP</v>
      </c>
      <c r="J3340" s="1"/>
      <c r="N3340" s="1"/>
      <c r="R3340" s="1"/>
      <c r="V3340" s="1"/>
      <c r="AB3340" s="1"/>
      <c r="AF3340" s="1"/>
      <c r="AJ3340" s="1"/>
      <c r="AN3340" s="1"/>
      <c r="AS3340" s="1"/>
      <c r="AX3340" s="1"/>
    </row>
    <row r="3341" spans="1:50" x14ac:dyDescent="0.3">
      <c r="A3341" s="19">
        <f t="shared" ref="A3341:A3404" si="264">WORKDAY(A3340,1)</f>
        <v>50592</v>
      </c>
      <c r="B3341">
        <f t="shared" ca="1" si="260"/>
        <v>-12.333333333333334</v>
      </c>
      <c r="C3341" t="str">
        <f ca="1">IF(currency="USD",'Future et co'!D3341,IF(currency="EUR",'Future et co'!E3341,IF(currency="GBP",'Future et co'!F3341,FALSE)))</f>
        <v>RFR USD</v>
      </c>
      <c r="D3341" t="str">
        <f t="shared" ca="1" si="261"/>
        <v>RFR USD</v>
      </c>
      <c r="E3341" t="str">
        <f t="shared" ca="1" si="262"/>
        <v>RFR EUR</v>
      </c>
      <c r="F3341" t="str">
        <f t="shared" ca="1" si="263"/>
        <v>RFR GBP</v>
      </c>
      <c r="J3341" s="1"/>
      <c r="N3341" s="1"/>
      <c r="R3341" s="1"/>
      <c r="V3341" s="1"/>
      <c r="AB3341" s="1"/>
      <c r="AF3341" s="1"/>
      <c r="AJ3341" s="1"/>
      <c r="AN3341" s="1"/>
      <c r="AS3341" s="1"/>
      <c r="AX3341" s="1"/>
    </row>
    <row r="3342" spans="1:50" x14ac:dyDescent="0.3">
      <c r="A3342" s="19">
        <f t="shared" si="264"/>
        <v>50593</v>
      </c>
      <c r="B3342">
        <f t="shared" ca="1" si="260"/>
        <v>-12.33611111111111</v>
      </c>
      <c r="C3342" t="str">
        <f ca="1">IF(currency="USD",'Future et co'!D3342,IF(currency="EUR",'Future et co'!E3342,IF(currency="GBP",'Future et co'!F3342,FALSE)))</f>
        <v>RFR USD</v>
      </c>
      <c r="D3342" t="str">
        <f t="shared" ca="1" si="261"/>
        <v>RFR USD</v>
      </c>
      <c r="E3342" t="str">
        <f t="shared" ca="1" si="262"/>
        <v>RFR EUR</v>
      </c>
      <c r="F3342" t="str">
        <f t="shared" ca="1" si="263"/>
        <v>RFR GBP</v>
      </c>
      <c r="J3342" s="1"/>
      <c r="N3342" s="1"/>
      <c r="R3342" s="1"/>
      <c r="V3342" s="1"/>
      <c r="AB3342" s="1"/>
      <c r="AF3342" s="1"/>
      <c r="AJ3342" s="1"/>
      <c r="AN3342" s="1"/>
      <c r="AS3342" s="1"/>
      <c r="AX3342" s="1"/>
    </row>
    <row r="3343" spans="1:50" x14ac:dyDescent="0.3">
      <c r="A3343" s="19">
        <f t="shared" si="264"/>
        <v>50594</v>
      </c>
      <c r="B3343">
        <f t="shared" ca="1" si="260"/>
        <v>-12.338888888888889</v>
      </c>
      <c r="C3343" t="str">
        <f ca="1">IF(currency="USD",'Future et co'!D3343,IF(currency="EUR",'Future et co'!E3343,IF(currency="GBP",'Future et co'!F3343,FALSE)))</f>
        <v>RFR USD</v>
      </c>
      <c r="D3343" t="str">
        <f t="shared" ca="1" si="261"/>
        <v>RFR USD</v>
      </c>
      <c r="E3343" t="str">
        <f t="shared" ca="1" si="262"/>
        <v>RFR EUR</v>
      </c>
      <c r="F3343" t="str">
        <f t="shared" ca="1" si="263"/>
        <v>RFR GBP</v>
      </c>
      <c r="J3343" s="1"/>
      <c r="N3343" s="1"/>
      <c r="R3343" s="1"/>
      <c r="V3343" s="1"/>
      <c r="AB3343" s="1"/>
      <c r="AF3343" s="1"/>
      <c r="AJ3343" s="1"/>
      <c r="AN3343" s="1"/>
      <c r="AS3343" s="1"/>
      <c r="AX3343" s="1"/>
    </row>
    <row r="3344" spans="1:50" x14ac:dyDescent="0.3">
      <c r="A3344" s="19">
        <f t="shared" si="264"/>
        <v>50595</v>
      </c>
      <c r="B3344">
        <f t="shared" ca="1" si="260"/>
        <v>-12.341666666666667</v>
      </c>
      <c r="C3344" t="str">
        <f ca="1">IF(currency="USD",'Future et co'!D3344,IF(currency="EUR",'Future et co'!E3344,IF(currency="GBP",'Future et co'!F3344,FALSE)))</f>
        <v>RFR USD</v>
      </c>
      <c r="D3344" t="str">
        <f t="shared" ca="1" si="261"/>
        <v>RFR USD</v>
      </c>
      <c r="E3344" t="str">
        <f t="shared" ca="1" si="262"/>
        <v>RFR EUR</v>
      </c>
      <c r="F3344" t="str">
        <f t="shared" ca="1" si="263"/>
        <v>RFR GBP</v>
      </c>
      <c r="J3344" s="1"/>
      <c r="N3344" s="1"/>
      <c r="R3344" s="1"/>
      <c r="V3344" s="1"/>
      <c r="AB3344" s="1"/>
      <c r="AF3344" s="1"/>
      <c r="AJ3344" s="1"/>
      <c r="AN3344" s="1"/>
      <c r="AS3344" s="1"/>
      <c r="AX3344" s="1"/>
    </row>
    <row r="3345" spans="1:50" x14ac:dyDescent="0.3">
      <c r="A3345" s="19">
        <f t="shared" si="264"/>
        <v>50598</v>
      </c>
      <c r="B3345">
        <f t="shared" ca="1" si="260"/>
        <v>-12.35</v>
      </c>
      <c r="C3345" t="str">
        <f ca="1">IF(currency="USD",'Future et co'!D3345,IF(currency="EUR",'Future et co'!E3345,IF(currency="GBP",'Future et co'!F3345,FALSE)))</f>
        <v>RFR USD</v>
      </c>
      <c r="D3345" t="str">
        <f t="shared" ca="1" si="261"/>
        <v>RFR USD</v>
      </c>
      <c r="E3345" t="str">
        <f t="shared" ca="1" si="262"/>
        <v>RFR EUR</v>
      </c>
      <c r="F3345" t="str">
        <f t="shared" ca="1" si="263"/>
        <v>RFR GBP</v>
      </c>
      <c r="J3345" s="1"/>
      <c r="N3345" s="1"/>
      <c r="R3345" s="1"/>
      <c r="V3345" s="1"/>
      <c r="AB3345" s="1"/>
      <c r="AF3345" s="1"/>
      <c r="AJ3345" s="1"/>
      <c r="AN3345" s="1"/>
      <c r="AS3345" s="1"/>
      <c r="AX3345" s="1"/>
    </row>
    <row r="3346" spans="1:50" x14ac:dyDescent="0.3">
      <c r="A3346" s="19">
        <f t="shared" si="264"/>
        <v>50599</v>
      </c>
      <c r="B3346">
        <f t="shared" ca="1" si="260"/>
        <v>-12.352777777777778</v>
      </c>
      <c r="C3346" t="str">
        <f ca="1">IF(currency="USD",'Future et co'!D3346,IF(currency="EUR",'Future et co'!E3346,IF(currency="GBP",'Future et co'!F3346,FALSE)))</f>
        <v>RFR USD</v>
      </c>
      <c r="D3346" t="str">
        <f t="shared" ca="1" si="261"/>
        <v>RFR USD</v>
      </c>
      <c r="E3346" t="str">
        <f t="shared" ca="1" si="262"/>
        <v>RFR EUR</v>
      </c>
      <c r="F3346" t="str">
        <f t="shared" ca="1" si="263"/>
        <v>RFR GBP</v>
      </c>
      <c r="J3346" s="1"/>
      <c r="N3346" s="1"/>
      <c r="R3346" s="1"/>
      <c r="V3346" s="1"/>
      <c r="AB3346" s="1"/>
      <c r="AF3346" s="1"/>
      <c r="AJ3346" s="1"/>
      <c r="AN3346" s="1"/>
      <c r="AS3346" s="1"/>
      <c r="AX3346" s="1"/>
    </row>
    <row r="3347" spans="1:50" x14ac:dyDescent="0.3">
      <c r="A3347" s="19">
        <f t="shared" si="264"/>
        <v>50600</v>
      </c>
      <c r="B3347">
        <f t="shared" ca="1" si="260"/>
        <v>-12.355555555555556</v>
      </c>
      <c r="C3347" t="str">
        <f ca="1">IF(currency="USD",'Future et co'!D3347,IF(currency="EUR",'Future et co'!E3347,IF(currency="GBP",'Future et co'!F3347,FALSE)))</f>
        <v>RFR USD</v>
      </c>
      <c r="D3347" t="str">
        <f t="shared" ca="1" si="261"/>
        <v>RFR USD</v>
      </c>
      <c r="E3347" t="str">
        <f t="shared" ca="1" si="262"/>
        <v>RFR EUR</v>
      </c>
      <c r="F3347" t="str">
        <f t="shared" ca="1" si="263"/>
        <v>RFR GBP</v>
      </c>
      <c r="J3347" s="1"/>
      <c r="N3347" s="1"/>
      <c r="R3347" s="1"/>
      <c r="V3347" s="1"/>
      <c r="AB3347" s="1"/>
      <c r="AF3347" s="1"/>
      <c r="AJ3347" s="1"/>
      <c r="AN3347" s="1"/>
      <c r="AS3347" s="1"/>
      <c r="AX3347" s="1"/>
    </row>
    <row r="3348" spans="1:50" x14ac:dyDescent="0.3">
      <c r="A3348" s="19">
        <f t="shared" si="264"/>
        <v>50601</v>
      </c>
      <c r="B3348">
        <f t="shared" ca="1" si="260"/>
        <v>-12.358333333333333</v>
      </c>
      <c r="C3348" t="str">
        <f ca="1">IF(currency="USD",'Future et co'!D3348,IF(currency="EUR",'Future et co'!E3348,IF(currency="GBP",'Future et co'!F3348,FALSE)))</f>
        <v>RFR USD</v>
      </c>
      <c r="D3348" t="str">
        <f t="shared" ca="1" si="261"/>
        <v>RFR USD</v>
      </c>
      <c r="E3348" t="str">
        <f t="shared" ca="1" si="262"/>
        <v>RFR EUR</v>
      </c>
      <c r="F3348" t="str">
        <f t="shared" ca="1" si="263"/>
        <v>RFR GBP</v>
      </c>
      <c r="J3348" s="1"/>
      <c r="N3348" s="1"/>
      <c r="R3348" s="1"/>
      <c r="V3348" s="1"/>
      <c r="AB3348" s="1"/>
      <c r="AF3348" s="1"/>
      <c r="AJ3348" s="1"/>
      <c r="AN3348" s="1"/>
      <c r="AS3348" s="1"/>
      <c r="AX3348" s="1"/>
    </row>
    <row r="3349" spans="1:50" x14ac:dyDescent="0.3">
      <c r="A3349" s="19">
        <f t="shared" si="264"/>
        <v>50602</v>
      </c>
      <c r="B3349">
        <f t="shared" ca="1" si="260"/>
        <v>-12.361111111111111</v>
      </c>
      <c r="C3349" t="str">
        <f ca="1">IF(currency="USD",'Future et co'!D3349,IF(currency="EUR",'Future et co'!E3349,IF(currency="GBP",'Future et co'!F3349,FALSE)))</f>
        <v>RFR USD</v>
      </c>
      <c r="D3349" t="str">
        <f t="shared" ca="1" si="261"/>
        <v>RFR USD</v>
      </c>
      <c r="E3349" t="str">
        <f t="shared" ca="1" si="262"/>
        <v>RFR EUR</v>
      </c>
      <c r="F3349" t="str">
        <f t="shared" ca="1" si="263"/>
        <v>RFR GBP</v>
      </c>
      <c r="J3349" s="1"/>
      <c r="N3349" s="1"/>
      <c r="R3349" s="1"/>
      <c r="V3349" s="1"/>
      <c r="AB3349" s="1"/>
      <c r="AF3349" s="1"/>
      <c r="AJ3349" s="1"/>
      <c r="AN3349" s="1"/>
      <c r="AS3349" s="1"/>
      <c r="AX3349" s="1"/>
    </row>
    <row r="3350" spans="1:50" x14ac:dyDescent="0.3">
      <c r="A3350" s="19">
        <f t="shared" si="264"/>
        <v>50605</v>
      </c>
      <c r="B3350">
        <f t="shared" ca="1" si="260"/>
        <v>-12.369444444444444</v>
      </c>
      <c r="C3350" t="str">
        <f ca="1">IF(currency="USD",'Future et co'!D3350,IF(currency="EUR",'Future et co'!E3350,IF(currency="GBP",'Future et co'!F3350,FALSE)))</f>
        <v>RFR USD</v>
      </c>
      <c r="D3350" t="str">
        <f t="shared" ca="1" si="261"/>
        <v>RFR USD</v>
      </c>
      <c r="E3350" t="str">
        <f t="shared" ca="1" si="262"/>
        <v>RFR EUR</v>
      </c>
      <c r="F3350" t="str">
        <f t="shared" ca="1" si="263"/>
        <v>RFR GBP</v>
      </c>
      <c r="J3350" s="1"/>
      <c r="N3350" s="1"/>
      <c r="R3350" s="1"/>
      <c r="V3350" s="1"/>
      <c r="AB3350" s="1"/>
      <c r="AF3350" s="1"/>
      <c r="AJ3350" s="1"/>
      <c r="AN3350" s="1"/>
      <c r="AS3350" s="1"/>
      <c r="AX3350" s="1"/>
    </row>
    <row r="3351" spans="1:50" x14ac:dyDescent="0.3">
      <c r="A3351" s="19">
        <f t="shared" si="264"/>
        <v>50606</v>
      </c>
      <c r="B3351">
        <f t="shared" ca="1" si="260"/>
        <v>-12.372222222222222</v>
      </c>
      <c r="C3351" t="str">
        <f ca="1">IF(currency="USD",'Future et co'!D3351,IF(currency="EUR",'Future et co'!E3351,IF(currency="GBP",'Future et co'!F3351,FALSE)))</f>
        <v>RFR USD</v>
      </c>
      <c r="D3351" t="str">
        <f t="shared" ca="1" si="261"/>
        <v>RFR USD</v>
      </c>
      <c r="E3351" t="str">
        <f t="shared" ca="1" si="262"/>
        <v>RFR EUR</v>
      </c>
      <c r="F3351" t="str">
        <f t="shared" ca="1" si="263"/>
        <v>RFR GBP</v>
      </c>
      <c r="J3351" s="1"/>
      <c r="N3351" s="1"/>
      <c r="R3351" s="1"/>
      <c r="V3351" s="1"/>
      <c r="AB3351" s="1"/>
      <c r="AF3351" s="1"/>
      <c r="AJ3351" s="1"/>
      <c r="AN3351" s="1"/>
      <c r="AS3351" s="1"/>
      <c r="AX3351" s="1"/>
    </row>
    <row r="3352" spans="1:50" x14ac:dyDescent="0.3">
      <c r="A3352" s="19">
        <f t="shared" si="264"/>
        <v>50607</v>
      </c>
      <c r="B3352">
        <f t="shared" ca="1" si="260"/>
        <v>-12.375</v>
      </c>
      <c r="C3352" t="str">
        <f ca="1">IF(currency="USD",'Future et co'!D3352,IF(currency="EUR",'Future et co'!E3352,IF(currency="GBP",'Future et co'!F3352,FALSE)))</f>
        <v>RFR USD</v>
      </c>
      <c r="D3352" t="str">
        <f t="shared" ca="1" si="261"/>
        <v>RFR USD</v>
      </c>
      <c r="E3352" t="str">
        <f t="shared" ca="1" si="262"/>
        <v>RFR EUR</v>
      </c>
      <c r="F3352" t="str">
        <f t="shared" ca="1" si="263"/>
        <v>RFR GBP</v>
      </c>
      <c r="J3352" s="1"/>
      <c r="N3352" s="1"/>
      <c r="R3352" s="1"/>
      <c r="V3352" s="1"/>
      <c r="AB3352" s="1"/>
      <c r="AF3352" s="1"/>
      <c r="AJ3352" s="1"/>
      <c r="AN3352" s="1"/>
      <c r="AS3352" s="1"/>
      <c r="AX3352" s="1"/>
    </row>
    <row r="3353" spans="1:50" x14ac:dyDescent="0.3">
      <c r="A3353" s="19">
        <f t="shared" si="264"/>
        <v>50608</v>
      </c>
      <c r="B3353">
        <f t="shared" ca="1" si="260"/>
        <v>-12.377777777777778</v>
      </c>
      <c r="C3353" t="str">
        <f ca="1">IF(currency="USD",'Future et co'!D3353,IF(currency="EUR",'Future et co'!E3353,IF(currency="GBP",'Future et co'!F3353,FALSE)))</f>
        <v>RFR USD</v>
      </c>
      <c r="D3353" t="str">
        <f t="shared" ca="1" si="261"/>
        <v>RFR USD</v>
      </c>
      <c r="E3353" t="str">
        <f t="shared" ca="1" si="262"/>
        <v>RFR EUR</v>
      </c>
      <c r="F3353" t="str">
        <f t="shared" ca="1" si="263"/>
        <v>RFR GBP</v>
      </c>
      <c r="J3353" s="1"/>
      <c r="N3353" s="1"/>
      <c r="R3353" s="1"/>
      <c r="V3353" s="1"/>
      <c r="AB3353" s="1"/>
      <c r="AF3353" s="1"/>
      <c r="AJ3353" s="1"/>
      <c r="AN3353" s="1"/>
      <c r="AS3353" s="1"/>
      <c r="AX3353" s="1"/>
    </row>
    <row r="3354" spans="1:50" x14ac:dyDescent="0.3">
      <c r="A3354" s="19">
        <f t="shared" si="264"/>
        <v>50609</v>
      </c>
      <c r="B3354">
        <f t="shared" ca="1" si="260"/>
        <v>-12.380555555555556</v>
      </c>
      <c r="C3354" t="str">
        <f ca="1">IF(currency="USD",'Future et co'!D3354,IF(currency="EUR",'Future et co'!E3354,IF(currency="GBP",'Future et co'!F3354,FALSE)))</f>
        <v>RFR USD</v>
      </c>
      <c r="D3354" t="str">
        <f t="shared" ca="1" si="261"/>
        <v>RFR USD</v>
      </c>
      <c r="E3354" t="str">
        <f t="shared" ca="1" si="262"/>
        <v>RFR EUR</v>
      </c>
      <c r="F3354" t="str">
        <f t="shared" ca="1" si="263"/>
        <v>RFR GBP</v>
      </c>
      <c r="J3354" s="1"/>
      <c r="N3354" s="1"/>
      <c r="R3354" s="1"/>
      <c r="V3354" s="1"/>
      <c r="AB3354" s="1"/>
      <c r="AF3354" s="1"/>
      <c r="AJ3354" s="1"/>
      <c r="AN3354" s="1"/>
      <c r="AS3354" s="1"/>
      <c r="AX3354" s="1"/>
    </row>
    <row r="3355" spans="1:50" x14ac:dyDescent="0.3">
      <c r="A3355" s="19">
        <f t="shared" si="264"/>
        <v>50612</v>
      </c>
      <c r="B3355">
        <f t="shared" ca="1" si="260"/>
        <v>-12.388888888888889</v>
      </c>
      <c r="C3355" t="str">
        <f ca="1">IF(currency="USD",'Future et co'!D3355,IF(currency="EUR",'Future et co'!E3355,IF(currency="GBP",'Future et co'!F3355,FALSE)))</f>
        <v>RFR USD</v>
      </c>
      <c r="D3355" t="str">
        <f t="shared" ca="1" si="261"/>
        <v>RFR USD</v>
      </c>
      <c r="E3355" t="str">
        <f t="shared" ca="1" si="262"/>
        <v>RFR EUR</v>
      </c>
      <c r="F3355" t="str">
        <f t="shared" ca="1" si="263"/>
        <v>RFR GBP</v>
      </c>
      <c r="J3355" s="1"/>
      <c r="N3355" s="1"/>
      <c r="R3355" s="1"/>
      <c r="V3355" s="1"/>
      <c r="AB3355" s="1"/>
      <c r="AF3355" s="1"/>
      <c r="AJ3355" s="1"/>
      <c r="AN3355" s="1"/>
      <c r="AS3355" s="1"/>
      <c r="AX3355" s="1"/>
    </row>
    <row r="3356" spans="1:50" x14ac:dyDescent="0.3">
      <c r="A3356" s="19">
        <f t="shared" si="264"/>
        <v>50613</v>
      </c>
      <c r="B3356">
        <f t="shared" ca="1" si="260"/>
        <v>-12.391666666666667</v>
      </c>
      <c r="C3356" t="str">
        <f ca="1">IF(currency="USD",'Future et co'!D3356,IF(currency="EUR",'Future et co'!E3356,IF(currency="GBP",'Future et co'!F3356,FALSE)))</f>
        <v>RFR USD</v>
      </c>
      <c r="D3356" t="str">
        <f t="shared" ca="1" si="261"/>
        <v>RFR USD</v>
      </c>
      <c r="E3356" t="str">
        <f t="shared" ca="1" si="262"/>
        <v>RFR EUR</v>
      </c>
      <c r="F3356" t="str">
        <f t="shared" ca="1" si="263"/>
        <v>RFR GBP</v>
      </c>
      <c r="J3356" s="1"/>
      <c r="N3356" s="1"/>
      <c r="R3356" s="1"/>
      <c r="V3356" s="1"/>
      <c r="AB3356" s="1"/>
      <c r="AF3356" s="1"/>
      <c r="AJ3356" s="1"/>
      <c r="AN3356" s="1"/>
      <c r="AS3356" s="1"/>
      <c r="AX3356" s="1"/>
    </row>
    <row r="3357" spans="1:50" x14ac:dyDescent="0.3">
      <c r="A3357" s="19">
        <f t="shared" si="264"/>
        <v>50614</v>
      </c>
      <c r="B3357">
        <f t="shared" ca="1" si="260"/>
        <v>-12.394444444444444</v>
      </c>
      <c r="C3357" t="str">
        <f ca="1">IF(currency="USD",'Future et co'!D3357,IF(currency="EUR",'Future et co'!E3357,IF(currency="GBP",'Future et co'!F3357,FALSE)))</f>
        <v>RFR USD</v>
      </c>
      <c r="D3357" t="str">
        <f t="shared" ca="1" si="261"/>
        <v>RFR USD</v>
      </c>
      <c r="E3357" t="str">
        <f t="shared" ca="1" si="262"/>
        <v>RFR EUR</v>
      </c>
      <c r="F3357" t="str">
        <f t="shared" ca="1" si="263"/>
        <v>RFR GBP</v>
      </c>
      <c r="J3357" s="1"/>
      <c r="N3357" s="1"/>
      <c r="R3357" s="1"/>
      <c r="V3357" s="1"/>
      <c r="AB3357" s="1"/>
      <c r="AF3357" s="1"/>
      <c r="AJ3357" s="1"/>
      <c r="AN3357" s="1"/>
      <c r="AS3357" s="1"/>
      <c r="AX3357" s="1"/>
    </row>
    <row r="3358" spans="1:50" x14ac:dyDescent="0.3">
      <c r="A3358" s="19">
        <f t="shared" si="264"/>
        <v>50615</v>
      </c>
      <c r="B3358">
        <f t="shared" ca="1" si="260"/>
        <v>-12.397222222222222</v>
      </c>
      <c r="C3358" t="str">
        <f ca="1">IF(currency="USD",'Future et co'!D3358,IF(currency="EUR",'Future et co'!E3358,IF(currency="GBP",'Future et co'!F3358,FALSE)))</f>
        <v>RFR USD</v>
      </c>
      <c r="D3358" t="str">
        <f t="shared" ca="1" si="261"/>
        <v>RFR USD</v>
      </c>
      <c r="E3358" t="str">
        <f t="shared" ca="1" si="262"/>
        <v>RFR EUR</v>
      </c>
      <c r="F3358" t="str">
        <f t="shared" ca="1" si="263"/>
        <v>RFR GBP</v>
      </c>
      <c r="J3358" s="1"/>
      <c r="N3358" s="1"/>
      <c r="R3358" s="1"/>
      <c r="V3358" s="1"/>
      <c r="AB3358" s="1"/>
      <c r="AF3358" s="1"/>
      <c r="AJ3358" s="1"/>
      <c r="AN3358" s="1"/>
      <c r="AS3358" s="1"/>
      <c r="AX3358" s="1"/>
    </row>
    <row r="3359" spans="1:50" x14ac:dyDescent="0.3">
      <c r="A3359" s="19">
        <f t="shared" si="264"/>
        <v>50616</v>
      </c>
      <c r="B3359">
        <f t="shared" ca="1" si="260"/>
        <v>-12.4</v>
      </c>
      <c r="C3359" t="str">
        <f ca="1">IF(currency="USD",'Future et co'!D3359,IF(currency="EUR",'Future et co'!E3359,IF(currency="GBP",'Future et co'!F3359,FALSE)))</f>
        <v>RFR USD</v>
      </c>
      <c r="D3359" t="str">
        <f t="shared" ca="1" si="261"/>
        <v>RFR USD</v>
      </c>
      <c r="E3359" t="str">
        <f t="shared" ca="1" si="262"/>
        <v>RFR EUR</v>
      </c>
      <c r="F3359" t="str">
        <f t="shared" ca="1" si="263"/>
        <v>RFR GBP</v>
      </c>
      <c r="J3359" s="1"/>
      <c r="N3359" s="1"/>
      <c r="R3359" s="1"/>
      <c r="V3359" s="1"/>
      <c r="AB3359" s="1"/>
      <c r="AF3359" s="1"/>
      <c r="AJ3359" s="1"/>
      <c r="AN3359" s="1"/>
      <c r="AS3359" s="1"/>
      <c r="AX3359" s="1"/>
    </row>
    <row r="3360" spans="1:50" x14ac:dyDescent="0.3">
      <c r="A3360" s="19">
        <f t="shared" si="264"/>
        <v>50619</v>
      </c>
      <c r="B3360">
        <f t="shared" ca="1" si="260"/>
        <v>-12.408333333333333</v>
      </c>
      <c r="C3360" t="str">
        <f ca="1">IF(currency="USD",'Future et co'!D3360,IF(currency="EUR",'Future et co'!E3360,IF(currency="GBP",'Future et co'!F3360,FALSE)))</f>
        <v>RFR USD</v>
      </c>
      <c r="D3360" t="str">
        <f t="shared" ca="1" si="261"/>
        <v>RFR USD</v>
      </c>
      <c r="E3360" t="str">
        <f t="shared" ca="1" si="262"/>
        <v>RFR EUR</v>
      </c>
      <c r="F3360" t="str">
        <f t="shared" ca="1" si="263"/>
        <v>RFR GBP</v>
      </c>
      <c r="J3360" s="1"/>
      <c r="N3360" s="1"/>
      <c r="R3360" s="1"/>
      <c r="V3360" s="1"/>
      <c r="AB3360" s="1"/>
      <c r="AF3360" s="1"/>
      <c r="AJ3360" s="1"/>
      <c r="AN3360" s="1"/>
      <c r="AS3360" s="1"/>
      <c r="AX3360" s="1"/>
    </row>
    <row r="3361" spans="1:50" x14ac:dyDescent="0.3">
      <c r="A3361" s="19">
        <f t="shared" si="264"/>
        <v>50620</v>
      </c>
      <c r="B3361">
        <f t="shared" ca="1" si="260"/>
        <v>-12.411111111111111</v>
      </c>
      <c r="C3361" t="str">
        <f ca="1">IF(currency="USD",'Future et co'!D3361,IF(currency="EUR",'Future et co'!E3361,IF(currency="GBP",'Future et co'!F3361,FALSE)))</f>
        <v>RFR USD</v>
      </c>
      <c r="D3361" t="str">
        <f t="shared" ca="1" si="261"/>
        <v>RFR USD</v>
      </c>
      <c r="E3361" t="str">
        <f t="shared" ca="1" si="262"/>
        <v>RFR EUR</v>
      </c>
      <c r="F3361" t="str">
        <f t="shared" ca="1" si="263"/>
        <v>RFR GBP</v>
      </c>
      <c r="J3361" s="1"/>
      <c r="N3361" s="1"/>
      <c r="R3361" s="1"/>
      <c r="V3361" s="1"/>
      <c r="AB3361" s="1"/>
      <c r="AF3361" s="1"/>
      <c r="AJ3361" s="1"/>
      <c r="AN3361" s="1"/>
      <c r="AS3361" s="1"/>
      <c r="AX3361" s="1"/>
    </row>
    <row r="3362" spans="1:50" x14ac:dyDescent="0.3">
      <c r="A3362" s="19">
        <f t="shared" si="264"/>
        <v>50621</v>
      </c>
      <c r="B3362">
        <f t="shared" ca="1" si="260"/>
        <v>-12.41388888888889</v>
      </c>
      <c r="C3362" t="str">
        <f ca="1">IF(currency="USD",'Future et co'!D3362,IF(currency="EUR",'Future et co'!E3362,IF(currency="GBP",'Future et co'!F3362,FALSE)))</f>
        <v>RFR USD</v>
      </c>
      <c r="D3362" t="str">
        <f t="shared" ca="1" si="261"/>
        <v>RFR USD</v>
      </c>
      <c r="E3362" t="str">
        <f t="shared" ca="1" si="262"/>
        <v>RFR EUR</v>
      </c>
      <c r="F3362" t="str">
        <f t="shared" ca="1" si="263"/>
        <v>RFR GBP</v>
      </c>
      <c r="J3362" s="1"/>
      <c r="N3362" s="1"/>
      <c r="R3362" s="1"/>
      <c r="V3362" s="1"/>
      <c r="AB3362" s="1"/>
      <c r="AF3362" s="1"/>
      <c r="AJ3362" s="1"/>
      <c r="AN3362" s="1"/>
      <c r="AS3362" s="1"/>
      <c r="AX3362" s="1"/>
    </row>
    <row r="3363" spans="1:50" x14ac:dyDescent="0.3">
      <c r="A3363" s="19">
        <f t="shared" si="264"/>
        <v>50622</v>
      </c>
      <c r="B3363">
        <f t="shared" ca="1" si="260"/>
        <v>-12.416666666666666</v>
      </c>
      <c r="C3363" t="str">
        <f ca="1">IF(currency="USD",'Future et co'!D3363,IF(currency="EUR",'Future et co'!E3363,IF(currency="GBP",'Future et co'!F3363,FALSE)))</f>
        <v>RFR USD</v>
      </c>
      <c r="D3363" t="str">
        <f t="shared" ca="1" si="261"/>
        <v>RFR USD</v>
      </c>
      <c r="E3363" t="str">
        <f t="shared" ca="1" si="262"/>
        <v>RFR EUR</v>
      </c>
      <c r="F3363" t="str">
        <f t="shared" ca="1" si="263"/>
        <v>RFR GBP</v>
      </c>
      <c r="J3363" s="1"/>
      <c r="N3363" s="1"/>
      <c r="R3363" s="1"/>
      <c r="V3363" s="1"/>
      <c r="AB3363" s="1"/>
      <c r="AF3363" s="1"/>
      <c r="AJ3363" s="1"/>
      <c r="AN3363" s="1"/>
      <c r="AS3363" s="1"/>
      <c r="AX3363" s="1"/>
    </row>
    <row r="3364" spans="1:50" x14ac:dyDescent="0.3">
      <c r="A3364" s="19">
        <f t="shared" si="264"/>
        <v>50623</v>
      </c>
      <c r="B3364">
        <f t="shared" ca="1" si="260"/>
        <v>-12.419444444444444</v>
      </c>
      <c r="C3364" t="str">
        <f ca="1">IF(currency="USD",'Future et co'!D3364,IF(currency="EUR",'Future et co'!E3364,IF(currency="GBP",'Future et co'!F3364,FALSE)))</f>
        <v>RFR USD</v>
      </c>
      <c r="D3364" t="str">
        <f t="shared" ca="1" si="261"/>
        <v>RFR USD</v>
      </c>
      <c r="E3364" t="str">
        <f t="shared" ca="1" si="262"/>
        <v>RFR EUR</v>
      </c>
      <c r="F3364" t="str">
        <f t="shared" ca="1" si="263"/>
        <v>RFR GBP</v>
      </c>
      <c r="J3364" s="1"/>
      <c r="N3364" s="1"/>
      <c r="R3364" s="1"/>
      <c r="V3364" s="1"/>
      <c r="AB3364" s="1"/>
      <c r="AF3364" s="1"/>
      <c r="AJ3364" s="1"/>
      <c r="AN3364" s="1"/>
      <c r="AS3364" s="1"/>
      <c r="AX3364" s="1"/>
    </row>
    <row r="3365" spans="1:50" x14ac:dyDescent="0.3">
      <c r="A3365" s="19">
        <f t="shared" si="264"/>
        <v>50626</v>
      </c>
      <c r="B3365">
        <f t="shared" ca="1" si="260"/>
        <v>-12.427777777777777</v>
      </c>
      <c r="C3365" t="str">
        <f ca="1">IF(currency="USD",'Future et co'!D3365,IF(currency="EUR",'Future et co'!E3365,IF(currency="GBP",'Future et co'!F3365,FALSE)))</f>
        <v>RFR USD</v>
      </c>
      <c r="D3365" t="str">
        <f t="shared" ca="1" si="261"/>
        <v>RFR USD</v>
      </c>
      <c r="E3365" t="str">
        <f t="shared" ca="1" si="262"/>
        <v>RFR EUR</v>
      </c>
      <c r="F3365" t="str">
        <f t="shared" ca="1" si="263"/>
        <v>RFR GBP</v>
      </c>
      <c r="J3365" s="1"/>
      <c r="N3365" s="1"/>
      <c r="R3365" s="1"/>
      <c r="V3365" s="1"/>
      <c r="AB3365" s="1"/>
      <c r="AF3365" s="1"/>
      <c r="AJ3365" s="1"/>
      <c r="AN3365" s="1"/>
      <c r="AS3365" s="1"/>
      <c r="AX3365" s="1"/>
    </row>
    <row r="3366" spans="1:50" x14ac:dyDescent="0.3">
      <c r="A3366" s="19">
        <f t="shared" si="264"/>
        <v>50627</v>
      </c>
      <c r="B3366">
        <f t="shared" ca="1" si="260"/>
        <v>-12.430555555555555</v>
      </c>
      <c r="C3366" t="str">
        <f ca="1">IF(currency="USD",'Future et co'!D3366,IF(currency="EUR",'Future et co'!E3366,IF(currency="GBP",'Future et co'!F3366,FALSE)))</f>
        <v>RFR USD</v>
      </c>
      <c r="D3366" t="str">
        <f t="shared" ca="1" si="261"/>
        <v>RFR USD</v>
      </c>
      <c r="E3366" t="str">
        <f t="shared" ca="1" si="262"/>
        <v>RFR EUR</v>
      </c>
      <c r="F3366" t="str">
        <f t="shared" ca="1" si="263"/>
        <v>RFR GBP</v>
      </c>
      <c r="J3366" s="1"/>
      <c r="N3366" s="1"/>
      <c r="R3366" s="1"/>
      <c r="V3366" s="1"/>
      <c r="AB3366" s="1"/>
      <c r="AF3366" s="1"/>
      <c r="AJ3366" s="1"/>
      <c r="AN3366" s="1"/>
      <c r="AS3366" s="1"/>
      <c r="AX3366" s="1"/>
    </row>
    <row r="3367" spans="1:50" x14ac:dyDescent="0.3">
      <c r="A3367" s="19">
        <f t="shared" si="264"/>
        <v>50628</v>
      </c>
      <c r="B3367">
        <f t="shared" ca="1" si="260"/>
        <v>-12.433333333333334</v>
      </c>
      <c r="C3367" t="str">
        <f ca="1">IF(currency="USD",'Future et co'!D3367,IF(currency="EUR",'Future et co'!E3367,IF(currency="GBP",'Future et co'!F3367,FALSE)))</f>
        <v>RFR USD</v>
      </c>
      <c r="D3367" t="str">
        <f t="shared" ca="1" si="261"/>
        <v>RFR USD</v>
      </c>
      <c r="E3367" t="str">
        <f t="shared" ca="1" si="262"/>
        <v>RFR EUR</v>
      </c>
      <c r="F3367" t="str">
        <f t="shared" ca="1" si="263"/>
        <v>RFR GBP</v>
      </c>
      <c r="J3367" s="1"/>
      <c r="N3367" s="1"/>
      <c r="R3367" s="1"/>
      <c r="V3367" s="1"/>
      <c r="AB3367" s="1"/>
      <c r="AF3367" s="1"/>
      <c r="AJ3367" s="1"/>
      <c r="AN3367" s="1"/>
      <c r="AS3367" s="1"/>
      <c r="AX3367" s="1"/>
    </row>
    <row r="3368" spans="1:50" x14ac:dyDescent="0.3">
      <c r="A3368" s="19">
        <f t="shared" si="264"/>
        <v>50629</v>
      </c>
      <c r="B3368">
        <f t="shared" ca="1" si="260"/>
        <v>-12.436111111111112</v>
      </c>
      <c r="C3368" t="str">
        <f ca="1">IF(currency="USD",'Future et co'!D3368,IF(currency="EUR",'Future et co'!E3368,IF(currency="GBP",'Future et co'!F3368,FALSE)))</f>
        <v>RFR USD</v>
      </c>
      <c r="D3368" t="str">
        <f t="shared" ca="1" si="261"/>
        <v>RFR USD</v>
      </c>
      <c r="E3368" t="str">
        <f t="shared" ca="1" si="262"/>
        <v>RFR EUR</v>
      </c>
      <c r="F3368" t="str">
        <f t="shared" ca="1" si="263"/>
        <v>RFR GBP</v>
      </c>
      <c r="J3368" s="1"/>
      <c r="N3368" s="1"/>
      <c r="R3368" s="1"/>
      <c r="V3368" s="1"/>
      <c r="AB3368" s="1"/>
      <c r="AF3368" s="1"/>
      <c r="AJ3368" s="1"/>
      <c r="AN3368" s="1"/>
      <c r="AS3368" s="1"/>
      <c r="AX3368" s="1"/>
    </row>
    <row r="3369" spans="1:50" x14ac:dyDescent="0.3">
      <c r="A3369" s="19">
        <f t="shared" si="264"/>
        <v>50630</v>
      </c>
      <c r="B3369">
        <f t="shared" ca="1" si="260"/>
        <v>-12.438888888888888</v>
      </c>
      <c r="C3369" t="str">
        <f ca="1">IF(currency="USD",'Future et co'!D3369,IF(currency="EUR",'Future et co'!E3369,IF(currency="GBP",'Future et co'!F3369,FALSE)))</f>
        <v>RFR USD</v>
      </c>
      <c r="D3369" t="str">
        <f t="shared" ca="1" si="261"/>
        <v>RFR USD</v>
      </c>
      <c r="E3369" t="str">
        <f t="shared" ca="1" si="262"/>
        <v>RFR EUR</v>
      </c>
      <c r="F3369" t="str">
        <f t="shared" ca="1" si="263"/>
        <v>RFR GBP</v>
      </c>
      <c r="J3369" s="1"/>
      <c r="N3369" s="1"/>
      <c r="R3369" s="1"/>
      <c r="V3369" s="1"/>
      <c r="AB3369" s="1"/>
      <c r="AF3369" s="1"/>
      <c r="AJ3369" s="1"/>
      <c r="AN3369" s="1"/>
      <c r="AS3369" s="1"/>
      <c r="AX3369" s="1"/>
    </row>
    <row r="3370" spans="1:50" x14ac:dyDescent="0.3">
      <c r="A3370" s="19">
        <f t="shared" si="264"/>
        <v>50633</v>
      </c>
      <c r="B3370">
        <f t="shared" ca="1" si="260"/>
        <v>-12.447222222222223</v>
      </c>
      <c r="C3370" t="str">
        <f ca="1">IF(currency="USD",'Future et co'!D3370,IF(currency="EUR",'Future et co'!E3370,IF(currency="GBP",'Future et co'!F3370,FALSE)))</f>
        <v>RFR USD</v>
      </c>
      <c r="D3370" t="str">
        <f t="shared" ca="1" si="261"/>
        <v>RFR USD</v>
      </c>
      <c r="E3370" t="str">
        <f t="shared" ca="1" si="262"/>
        <v>RFR EUR</v>
      </c>
      <c r="F3370" t="str">
        <f t="shared" ca="1" si="263"/>
        <v>RFR GBP</v>
      </c>
      <c r="J3370" s="1"/>
      <c r="N3370" s="1"/>
      <c r="R3370" s="1"/>
      <c r="V3370" s="1"/>
      <c r="AB3370" s="1"/>
      <c r="AF3370" s="1"/>
      <c r="AJ3370" s="1"/>
      <c r="AN3370" s="1"/>
      <c r="AS3370" s="1"/>
      <c r="AX3370" s="1"/>
    </row>
    <row r="3371" spans="1:50" x14ac:dyDescent="0.3">
      <c r="A3371" s="19">
        <f t="shared" si="264"/>
        <v>50634</v>
      </c>
      <c r="B3371">
        <f t="shared" ca="1" si="260"/>
        <v>-12.45</v>
      </c>
      <c r="C3371" t="str">
        <f ca="1">IF(currency="USD",'Future et co'!D3371,IF(currency="EUR",'Future et co'!E3371,IF(currency="GBP",'Future et co'!F3371,FALSE)))</f>
        <v>RFR USD</v>
      </c>
      <c r="D3371" t="str">
        <f t="shared" ca="1" si="261"/>
        <v>RFR USD</v>
      </c>
      <c r="E3371" t="str">
        <f t="shared" ca="1" si="262"/>
        <v>RFR EUR</v>
      </c>
      <c r="F3371" t="str">
        <f t="shared" ca="1" si="263"/>
        <v>RFR GBP</v>
      </c>
      <c r="J3371" s="1"/>
      <c r="N3371" s="1"/>
      <c r="R3371" s="1"/>
      <c r="V3371" s="1"/>
      <c r="AB3371" s="1"/>
      <c r="AF3371" s="1"/>
      <c r="AJ3371" s="1"/>
      <c r="AN3371" s="1"/>
      <c r="AS3371" s="1"/>
      <c r="AX3371" s="1"/>
    </row>
    <row r="3372" spans="1:50" x14ac:dyDescent="0.3">
      <c r="A3372" s="19">
        <f t="shared" si="264"/>
        <v>50635</v>
      </c>
      <c r="B3372">
        <f t="shared" ca="1" si="260"/>
        <v>-12.452777777777778</v>
      </c>
      <c r="C3372" t="str">
        <f ca="1">IF(currency="USD",'Future et co'!D3372,IF(currency="EUR",'Future et co'!E3372,IF(currency="GBP",'Future et co'!F3372,FALSE)))</f>
        <v>RFR USD</v>
      </c>
      <c r="D3372" t="str">
        <f t="shared" ca="1" si="261"/>
        <v>RFR USD</v>
      </c>
      <c r="E3372" t="str">
        <f t="shared" ca="1" si="262"/>
        <v>RFR EUR</v>
      </c>
      <c r="F3372" t="str">
        <f t="shared" ca="1" si="263"/>
        <v>RFR GBP</v>
      </c>
      <c r="J3372" s="1"/>
      <c r="N3372" s="1"/>
      <c r="R3372" s="1"/>
      <c r="V3372" s="1"/>
      <c r="AB3372" s="1"/>
      <c r="AF3372" s="1"/>
      <c r="AJ3372" s="1"/>
      <c r="AN3372" s="1"/>
      <c r="AS3372" s="1"/>
      <c r="AX3372" s="1"/>
    </row>
    <row r="3373" spans="1:50" x14ac:dyDescent="0.3">
      <c r="A3373" s="19">
        <f t="shared" si="264"/>
        <v>50636</v>
      </c>
      <c r="B3373">
        <f t="shared" ca="1" si="260"/>
        <v>-12.455555555555556</v>
      </c>
      <c r="C3373" t="str">
        <f ca="1">IF(currency="USD",'Future et co'!D3373,IF(currency="EUR",'Future et co'!E3373,IF(currency="GBP",'Future et co'!F3373,FALSE)))</f>
        <v>RFR USD</v>
      </c>
      <c r="D3373" t="str">
        <f t="shared" ca="1" si="261"/>
        <v>RFR USD</v>
      </c>
      <c r="E3373" t="str">
        <f t="shared" ca="1" si="262"/>
        <v>RFR EUR</v>
      </c>
      <c r="F3373" t="str">
        <f t="shared" ca="1" si="263"/>
        <v>RFR GBP</v>
      </c>
      <c r="J3373" s="1"/>
      <c r="N3373" s="1"/>
      <c r="R3373" s="1"/>
      <c r="V3373" s="1"/>
      <c r="AB3373" s="1"/>
      <c r="AF3373" s="1"/>
      <c r="AJ3373" s="1"/>
      <c r="AN3373" s="1"/>
      <c r="AS3373" s="1"/>
      <c r="AX3373" s="1"/>
    </row>
    <row r="3374" spans="1:50" x14ac:dyDescent="0.3">
      <c r="A3374" s="19">
        <f t="shared" si="264"/>
        <v>50637</v>
      </c>
      <c r="B3374">
        <f t="shared" ca="1" si="260"/>
        <v>-12.458333333333334</v>
      </c>
      <c r="C3374" t="str">
        <f ca="1">IF(currency="USD",'Future et co'!D3374,IF(currency="EUR",'Future et co'!E3374,IF(currency="GBP",'Future et co'!F3374,FALSE)))</f>
        <v>RFR USD</v>
      </c>
      <c r="D3374" t="str">
        <f t="shared" ca="1" si="261"/>
        <v>RFR USD</v>
      </c>
      <c r="E3374" t="str">
        <f t="shared" ca="1" si="262"/>
        <v>RFR EUR</v>
      </c>
      <c r="F3374" t="str">
        <f t="shared" ca="1" si="263"/>
        <v>RFR GBP</v>
      </c>
      <c r="J3374" s="1"/>
      <c r="N3374" s="1"/>
      <c r="R3374" s="1"/>
      <c r="V3374" s="1"/>
      <c r="AB3374" s="1"/>
      <c r="AF3374" s="1"/>
      <c r="AJ3374" s="1"/>
      <c r="AN3374" s="1"/>
      <c r="AS3374" s="1"/>
      <c r="AX3374" s="1"/>
    </row>
    <row r="3375" spans="1:50" x14ac:dyDescent="0.3">
      <c r="A3375" s="19">
        <f t="shared" si="264"/>
        <v>50640</v>
      </c>
      <c r="B3375">
        <f t="shared" ca="1" si="260"/>
        <v>-12.466666666666667</v>
      </c>
      <c r="C3375" t="str">
        <f ca="1">IF(currency="USD",'Future et co'!D3375,IF(currency="EUR",'Future et co'!E3375,IF(currency="GBP",'Future et co'!F3375,FALSE)))</f>
        <v>RFR USD</v>
      </c>
      <c r="D3375" t="str">
        <f t="shared" ca="1" si="261"/>
        <v>RFR USD</v>
      </c>
      <c r="E3375" t="str">
        <f t="shared" ca="1" si="262"/>
        <v>RFR EUR</v>
      </c>
      <c r="F3375" t="str">
        <f t="shared" ca="1" si="263"/>
        <v>RFR GBP</v>
      </c>
      <c r="J3375" s="1"/>
      <c r="N3375" s="1"/>
      <c r="R3375" s="1"/>
      <c r="V3375" s="1"/>
      <c r="AB3375" s="1"/>
      <c r="AF3375" s="1"/>
      <c r="AJ3375" s="1"/>
      <c r="AN3375" s="1"/>
      <c r="AS3375" s="1"/>
      <c r="AX3375" s="1"/>
    </row>
    <row r="3376" spans="1:50" x14ac:dyDescent="0.3">
      <c r="A3376" s="19">
        <f t="shared" si="264"/>
        <v>50641</v>
      </c>
      <c r="B3376">
        <f t="shared" ca="1" si="260"/>
        <v>-12.469444444444445</v>
      </c>
      <c r="C3376" t="str">
        <f ca="1">IF(currency="USD",'Future et co'!D3376,IF(currency="EUR",'Future et co'!E3376,IF(currency="GBP",'Future et co'!F3376,FALSE)))</f>
        <v>RFR USD</v>
      </c>
      <c r="D3376" t="str">
        <f t="shared" ca="1" si="261"/>
        <v>RFR USD</v>
      </c>
      <c r="E3376" t="str">
        <f t="shared" ca="1" si="262"/>
        <v>RFR EUR</v>
      </c>
      <c r="F3376" t="str">
        <f t="shared" ca="1" si="263"/>
        <v>RFR GBP</v>
      </c>
      <c r="J3376" s="1"/>
      <c r="N3376" s="1"/>
      <c r="R3376" s="1"/>
      <c r="V3376" s="1"/>
      <c r="AB3376" s="1"/>
      <c r="AF3376" s="1"/>
      <c r="AJ3376" s="1"/>
      <c r="AN3376" s="1"/>
      <c r="AS3376" s="1"/>
      <c r="AX3376" s="1"/>
    </row>
    <row r="3377" spans="1:50" x14ac:dyDescent="0.3">
      <c r="A3377" s="19">
        <f t="shared" si="264"/>
        <v>50642</v>
      </c>
      <c r="B3377">
        <f t="shared" ca="1" si="260"/>
        <v>-12.472222222222221</v>
      </c>
      <c r="C3377" t="str">
        <f ca="1">IF(currency="USD",'Future et co'!D3377,IF(currency="EUR",'Future et co'!E3377,IF(currency="GBP",'Future et co'!F3377,FALSE)))</f>
        <v>RFR USD</v>
      </c>
      <c r="D3377" t="str">
        <f t="shared" ca="1" si="261"/>
        <v>RFR USD</v>
      </c>
      <c r="E3377" t="str">
        <f t="shared" ca="1" si="262"/>
        <v>RFR EUR</v>
      </c>
      <c r="F3377" t="str">
        <f t="shared" ca="1" si="263"/>
        <v>RFR GBP</v>
      </c>
      <c r="J3377" s="1"/>
      <c r="N3377" s="1"/>
      <c r="R3377" s="1"/>
      <c r="V3377" s="1"/>
      <c r="AB3377" s="1"/>
      <c r="AF3377" s="1"/>
      <c r="AJ3377" s="1"/>
      <c r="AN3377" s="1"/>
      <c r="AS3377" s="1"/>
      <c r="AX3377" s="1"/>
    </row>
    <row r="3378" spans="1:50" x14ac:dyDescent="0.3">
      <c r="A3378" s="19">
        <f t="shared" si="264"/>
        <v>50643</v>
      </c>
      <c r="B3378">
        <f t="shared" ca="1" si="260"/>
        <v>-12.475</v>
      </c>
      <c r="C3378" t="str">
        <f ca="1">IF(currency="USD",'Future et co'!D3378,IF(currency="EUR",'Future et co'!E3378,IF(currency="GBP",'Future et co'!F3378,FALSE)))</f>
        <v>RFR USD</v>
      </c>
      <c r="D3378" t="str">
        <f t="shared" ca="1" si="261"/>
        <v>RFR USD</v>
      </c>
      <c r="E3378" t="str">
        <f t="shared" ca="1" si="262"/>
        <v>RFR EUR</v>
      </c>
      <c r="F3378" t="str">
        <f t="shared" ca="1" si="263"/>
        <v>RFR GBP</v>
      </c>
      <c r="J3378" s="1"/>
      <c r="N3378" s="1"/>
      <c r="R3378" s="1"/>
      <c r="V3378" s="1"/>
      <c r="AB3378" s="1"/>
      <c r="AF3378" s="1"/>
      <c r="AJ3378" s="1"/>
      <c r="AN3378" s="1"/>
      <c r="AS3378" s="1"/>
      <c r="AX3378" s="1"/>
    </row>
    <row r="3379" spans="1:50" x14ac:dyDescent="0.3">
      <c r="A3379" s="19">
        <f t="shared" si="264"/>
        <v>50644</v>
      </c>
      <c r="B3379">
        <f t="shared" ca="1" si="260"/>
        <v>-12.477777777777778</v>
      </c>
      <c r="C3379" t="str">
        <f ca="1">IF(currency="USD",'Future et co'!D3379,IF(currency="EUR",'Future et co'!E3379,IF(currency="GBP",'Future et co'!F3379,FALSE)))</f>
        <v>RFR USD</v>
      </c>
      <c r="D3379" t="str">
        <f t="shared" ca="1" si="261"/>
        <v>RFR USD</v>
      </c>
      <c r="E3379" t="str">
        <f t="shared" ca="1" si="262"/>
        <v>RFR EUR</v>
      </c>
      <c r="F3379" t="str">
        <f t="shared" ca="1" si="263"/>
        <v>RFR GBP</v>
      </c>
      <c r="J3379" s="1"/>
      <c r="N3379" s="1"/>
      <c r="R3379" s="1"/>
      <c r="V3379" s="1"/>
      <c r="AB3379" s="1"/>
      <c r="AF3379" s="1"/>
      <c r="AJ3379" s="1"/>
      <c r="AN3379" s="1"/>
      <c r="AS3379" s="1"/>
      <c r="AX3379" s="1"/>
    </row>
    <row r="3380" spans="1:50" x14ac:dyDescent="0.3">
      <c r="A3380" s="19">
        <f t="shared" si="264"/>
        <v>50647</v>
      </c>
      <c r="B3380">
        <f t="shared" ca="1" si="260"/>
        <v>-12.486111111111111</v>
      </c>
      <c r="C3380" t="str">
        <f ca="1">IF(currency="USD",'Future et co'!D3380,IF(currency="EUR",'Future et co'!E3380,IF(currency="GBP",'Future et co'!F3380,FALSE)))</f>
        <v>RFR USD</v>
      </c>
      <c r="D3380" t="str">
        <f t="shared" ca="1" si="261"/>
        <v>RFR USD</v>
      </c>
      <c r="E3380" t="str">
        <f t="shared" ca="1" si="262"/>
        <v>RFR EUR</v>
      </c>
      <c r="F3380" t="str">
        <f t="shared" ca="1" si="263"/>
        <v>RFR GBP</v>
      </c>
      <c r="J3380" s="1"/>
      <c r="N3380" s="1"/>
      <c r="R3380" s="1"/>
      <c r="V3380" s="1"/>
      <c r="AB3380" s="1"/>
      <c r="AF3380" s="1"/>
      <c r="AJ3380" s="1"/>
      <c r="AN3380" s="1"/>
      <c r="AS3380" s="1"/>
      <c r="AX3380" s="1"/>
    </row>
    <row r="3381" spans="1:50" x14ac:dyDescent="0.3">
      <c r="A3381" s="19">
        <f t="shared" si="264"/>
        <v>50648</v>
      </c>
      <c r="B3381">
        <f t="shared" ca="1" si="260"/>
        <v>-12.488888888888889</v>
      </c>
      <c r="C3381" t="str">
        <f ca="1">IF(currency="USD",'Future et co'!D3381,IF(currency="EUR",'Future et co'!E3381,IF(currency="GBP",'Future et co'!F3381,FALSE)))</f>
        <v>RFR USD</v>
      </c>
      <c r="D3381" t="str">
        <f t="shared" ca="1" si="261"/>
        <v>RFR USD</v>
      </c>
      <c r="E3381" t="str">
        <f t="shared" ca="1" si="262"/>
        <v>RFR EUR</v>
      </c>
      <c r="F3381" t="str">
        <f t="shared" ca="1" si="263"/>
        <v>RFR GBP</v>
      </c>
      <c r="J3381" s="1"/>
      <c r="N3381" s="1"/>
      <c r="R3381" s="1"/>
      <c r="V3381" s="1"/>
      <c r="AB3381" s="1"/>
      <c r="AF3381" s="1"/>
      <c r="AJ3381" s="1"/>
      <c r="AN3381" s="1"/>
      <c r="AS3381" s="1"/>
      <c r="AX3381" s="1"/>
    </row>
    <row r="3382" spans="1:50" x14ac:dyDescent="0.3">
      <c r="A3382" s="19">
        <f t="shared" si="264"/>
        <v>50649</v>
      </c>
      <c r="B3382">
        <f t="shared" ca="1" si="260"/>
        <v>-12.491666666666667</v>
      </c>
      <c r="C3382" t="str">
        <f ca="1">IF(currency="USD",'Future et co'!D3382,IF(currency="EUR",'Future et co'!E3382,IF(currency="GBP",'Future et co'!F3382,FALSE)))</f>
        <v>RFR USD</v>
      </c>
      <c r="D3382" t="str">
        <f t="shared" ca="1" si="261"/>
        <v>RFR USD</v>
      </c>
      <c r="E3382" t="str">
        <f t="shared" ca="1" si="262"/>
        <v>RFR EUR</v>
      </c>
      <c r="F3382" t="str">
        <f t="shared" ca="1" si="263"/>
        <v>RFR GBP</v>
      </c>
      <c r="J3382" s="1"/>
      <c r="N3382" s="1"/>
      <c r="R3382" s="1"/>
      <c r="V3382" s="1"/>
      <c r="AB3382" s="1"/>
      <c r="AF3382" s="1"/>
      <c r="AJ3382" s="1"/>
      <c r="AN3382" s="1"/>
      <c r="AS3382" s="1"/>
      <c r="AX3382" s="1"/>
    </row>
    <row r="3383" spans="1:50" x14ac:dyDescent="0.3">
      <c r="A3383" s="19">
        <f t="shared" si="264"/>
        <v>50650</v>
      </c>
      <c r="B3383">
        <f t="shared" ca="1" si="260"/>
        <v>-12.494444444444444</v>
      </c>
      <c r="C3383" t="str">
        <f ca="1">IF(currency="USD",'Future et co'!D3383,IF(currency="EUR",'Future et co'!E3383,IF(currency="GBP",'Future et co'!F3383,FALSE)))</f>
        <v>RFR USD</v>
      </c>
      <c r="D3383" t="str">
        <f t="shared" ca="1" si="261"/>
        <v>RFR USD</v>
      </c>
      <c r="E3383" t="str">
        <f t="shared" ca="1" si="262"/>
        <v>RFR EUR</v>
      </c>
      <c r="F3383" t="str">
        <f t="shared" ca="1" si="263"/>
        <v>RFR GBP</v>
      </c>
      <c r="J3383" s="1"/>
      <c r="N3383" s="1"/>
      <c r="R3383" s="1"/>
      <c r="V3383" s="1"/>
      <c r="AB3383" s="1"/>
      <c r="AF3383" s="1"/>
      <c r="AJ3383" s="1"/>
      <c r="AN3383" s="1"/>
      <c r="AS3383" s="1"/>
      <c r="AX3383" s="1"/>
    </row>
    <row r="3384" spans="1:50" x14ac:dyDescent="0.3">
      <c r="A3384" s="19">
        <f t="shared" si="264"/>
        <v>50651</v>
      </c>
      <c r="B3384">
        <f t="shared" ca="1" si="260"/>
        <v>-12.497222222222222</v>
      </c>
      <c r="C3384" t="str">
        <f ca="1">IF(currency="USD",'Future et co'!D3384,IF(currency="EUR",'Future et co'!E3384,IF(currency="GBP",'Future et co'!F3384,FALSE)))</f>
        <v>RFR USD</v>
      </c>
      <c r="D3384" t="str">
        <f t="shared" ca="1" si="261"/>
        <v>RFR USD</v>
      </c>
      <c r="E3384" t="str">
        <f t="shared" ca="1" si="262"/>
        <v>RFR EUR</v>
      </c>
      <c r="F3384" t="str">
        <f t="shared" ca="1" si="263"/>
        <v>RFR GBP</v>
      </c>
      <c r="J3384" s="1"/>
      <c r="N3384" s="1"/>
      <c r="R3384" s="1"/>
      <c r="V3384" s="1"/>
      <c r="AB3384" s="1"/>
      <c r="AF3384" s="1"/>
      <c r="AJ3384" s="1"/>
      <c r="AN3384" s="1"/>
      <c r="AS3384" s="1"/>
      <c r="AX3384" s="1"/>
    </row>
    <row r="3385" spans="1:50" x14ac:dyDescent="0.3">
      <c r="A3385" s="19">
        <f t="shared" si="264"/>
        <v>50654</v>
      </c>
      <c r="B3385">
        <f t="shared" ca="1" si="260"/>
        <v>-12.505555555555556</v>
      </c>
      <c r="C3385" t="str">
        <f ca="1">IF(currency="USD",'Future et co'!D3385,IF(currency="EUR",'Future et co'!E3385,IF(currency="GBP",'Future et co'!F3385,FALSE)))</f>
        <v>RFR USD</v>
      </c>
      <c r="D3385" t="str">
        <f t="shared" ca="1" si="261"/>
        <v>RFR USD</v>
      </c>
      <c r="E3385" t="str">
        <f t="shared" ca="1" si="262"/>
        <v>RFR EUR</v>
      </c>
      <c r="F3385" t="str">
        <f t="shared" ca="1" si="263"/>
        <v>RFR GBP</v>
      </c>
      <c r="J3385" s="1"/>
      <c r="N3385" s="1"/>
      <c r="R3385" s="1"/>
      <c r="V3385" s="1"/>
      <c r="AB3385" s="1"/>
      <c r="AF3385" s="1"/>
      <c r="AJ3385" s="1"/>
      <c r="AN3385" s="1"/>
      <c r="AS3385" s="1"/>
      <c r="AX3385" s="1"/>
    </row>
    <row r="3386" spans="1:50" x14ac:dyDescent="0.3">
      <c r="A3386" s="19">
        <f t="shared" si="264"/>
        <v>50655</v>
      </c>
      <c r="B3386">
        <f t="shared" ca="1" si="260"/>
        <v>-12.508333333333333</v>
      </c>
      <c r="C3386" t="str">
        <f ca="1">IF(currency="USD",'Future et co'!D3386,IF(currency="EUR",'Future et co'!E3386,IF(currency="GBP",'Future et co'!F3386,FALSE)))</f>
        <v>RFR USD</v>
      </c>
      <c r="D3386" t="str">
        <f t="shared" ca="1" si="261"/>
        <v>RFR USD</v>
      </c>
      <c r="E3386" t="str">
        <f t="shared" ca="1" si="262"/>
        <v>RFR EUR</v>
      </c>
      <c r="F3386" t="str">
        <f t="shared" ca="1" si="263"/>
        <v>RFR GBP</v>
      </c>
      <c r="J3386" s="1"/>
      <c r="N3386" s="1"/>
      <c r="R3386" s="1"/>
      <c r="V3386" s="1"/>
      <c r="AB3386" s="1"/>
      <c r="AF3386" s="1"/>
      <c r="AJ3386" s="1"/>
      <c r="AN3386" s="1"/>
      <c r="AS3386" s="1"/>
      <c r="AX3386" s="1"/>
    </row>
    <row r="3387" spans="1:50" x14ac:dyDescent="0.3">
      <c r="A3387" s="19">
        <f t="shared" si="264"/>
        <v>50656</v>
      </c>
      <c r="B3387">
        <f t="shared" ca="1" si="260"/>
        <v>-12.511111111111111</v>
      </c>
      <c r="C3387" t="str">
        <f ca="1">IF(currency="USD",'Future et co'!D3387,IF(currency="EUR",'Future et co'!E3387,IF(currency="GBP",'Future et co'!F3387,FALSE)))</f>
        <v>RFR USD</v>
      </c>
      <c r="D3387" t="str">
        <f t="shared" ca="1" si="261"/>
        <v>RFR USD</v>
      </c>
      <c r="E3387" t="str">
        <f t="shared" ca="1" si="262"/>
        <v>RFR EUR</v>
      </c>
      <c r="F3387" t="str">
        <f t="shared" ca="1" si="263"/>
        <v>RFR GBP</v>
      </c>
      <c r="J3387" s="1"/>
      <c r="N3387" s="1"/>
      <c r="R3387" s="1"/>
      <c r="V3387" s="1"/>
      <c r="AB3387" s="1"/>
      <c r="AF3387" s="1"/>
      <c r="AJ3387" s="1"/>
      <c r="AN3387" s="1"/>
      <c r="AS3387" s="1"/>
      <c r="AX3387" s="1"/>
    </row>
    <row r="3388" spans="1:50" x14ac:dyDescent="0.3">
      <c r="A3388" s="19">
        <f t="shared" si="264"/>
        <v>50657</v>
      </c>
      <c r="B3388">
        <f t="shared" ca="1" si="260"/>
        <v>-12.513888888888889</v>
      </c>
      <c r="C3388" t="str">
        <f ca="1">IF(currency="USD",'Future et co'!D3388,IF(currency="EUR",'Future et co'!E3388,IF(currency="GBP",'Future et co'!F3388,FALSE)))</f>
        <v>RFR USD</v>
      </c>
      <c r="D3388" t="str">
        <f t="shared" ca="1" si="261"/>
        <v>RFR USD</v>
      </c>
      <c r="E3388" t="str">
        <f t="shared" ca="1" si="262"/>
        <v>RFR EUR</v>
      </c>
      <c r="F3388" t="str">
        <f t="shared" ca="1" si="263"/>
        <v>RFR GBP</v>
      </c>
      <c r="J3388" s="1"/>
      <c r="N3388" s="1"/>
      <c r="R3388" s="1"/>
      <c r="V3388" s="1"/>
      <c r="AB3388" s="1"/>
      <c r="AF3388" s="1"/>
      <c r="AJ3388" s="1"/>
      <c r="AN3388" s="1"/>
      <c r="AS3388" s="1"/>
      <c r="AX3388" s="1"/>
    </row>
    <row r="3389" spans="1:50" x14ac:dyDescent="0.3">
      <c r="A3389" s="19">
        <f t="shared" si="264"/>
        <v>50658</v>
      </c>
      <c r="B3389">
        <f t="shared" ca="1" si="260"/>
        <v>-12.516666666666667</v>
      </c>
      <c r="C3389" t="str">
        <f ca="1">IF(currency="USD",'Future et co'!D3389,IF(currency="EUR",'Future et co'!E3389,IF(currency="GBP",'Future et co'!F3389,FALSE)))</f>
        <v>RFR USD</v>
      </c>
      <c r="D3389" t="str">
        <f t="shared" ca="1" si="261"/>
        <v>RFR USD</v>
      </c>
      <c r="E3389" t="str">
        <f t="shared" ca="1" si="262"/>
        <v>RFR EUR</v>
      </c>
      <c r="F3389" t="str">
        <f t="shared" ca="1" si="263"/>
        <v>RFR GBP</v>
      </c>
      <c r="J3389" s="1"/>
      <c r="N3389" s="1"/>
      <c r="R3389" s="1"/>
      <c r="V3389" s="1"/>
      <c r="AB3389" s="1"/>
      <c r="AF3389" s="1"/>
      <c r="AJ3389" s="1"/>
      <c r="AN3389" s="1"/>
      <c r="AS3389" s="1"/>
      <c r="AX3389" s="1"/>
    </row>
    <row r="3390" spans="1:50" x14ac:dyDescent="0.3">
      <c r="A3390" s="19">
        <f t="shared" si="264"/>
        <v>50661</v>
      </c>
      <c r="B3390">
        <f t="shared" ca="1" si="260"/>
        <v>-12.525</v>
      </c>
      <c r="C3390" t="str">
        <f ca="1">IF(currency="USD",'Future et co'!D3390,IF(currency="EUR",'Future et co'!E3390,IF(currency="GBP",'Future et co'!F3390,FALSE)))</f>
        <v>RFR USD</v>
      </c>
      <c r="D3390" t="str">
        <f t="shared" ca="1" si="261"/>
        <v>RFR USD</v>
      </c>
      <c r="E3390" t="str">
        <f t="shared" ca="1" si="262"/>
        <v>RFR EUR</v>
      </c>
      <c r="F3390" t="str">
        <f t="shared" ca="1" si="263"/>
        <v>RFR GBP</v>
      </c>
      <c r="J3390" s="1"/>
      <c r="N3390" s="1"/>
      <c r="R3390" s="1"/>
      <c r="V3390" s="1"/>
      <c r="AB3390" s="1"/>
      <c r="AF3390" s="1"/>
      <c r="AJ3390" s="1"/>
      <c r="AN3390" s="1"/>
      <c r="AS3390" s="1"/>
      <c r="AX3390" s="1"/>
    </row>
    <row r="3391" spans="1:50" x14ac:dyDescent="0.3">
      <c r="A3391" s="19">
        <f t="shared" si="264"/>
        <v>50662</v>
      </c>
      <c r="B3391">
        <f t="shared" ca="1" si="260"/>
        <v>-12.527777777777779</v>
      </c>
      <c r="C3391" t="str">
        <f ca="1">IF(currency="USD",'Future et co'!D3391,IF(currency="EUR",'Future et co'!E3391,IF(currency="GBP",'Future et co'!F3391,FALSE)))</f>
        <v>RFR USD</v>
      </c>
      <c r="D3391" t="str">
        <f t="shared" ca="1" si="261"/>
        <v>RFR USD</v>
      </c>
      <c r="E3391" t="str">
        <f t="shared" ca="1" si="262"/>
        <v>RFR EUR</v>
      </c>
      <c r="F3391" t="str">
        <f t="shared" ca="1" si="263"/>
        <v>RFR GBP</v>
      </c>
      <c r="J3391" s="1"/>
      <c r="N3391" s="1"/>
      <c r="R3391" s="1"/>
      <c r="V3391" s="1"/>
      <c r="AB3391" s="1"/>
      <c r="AF3391" s="1"/>
      <c r="AJ3391" s="1"/>
      <c r="AN3391" s="1"/>
      <c r="AS3391" s="1"/>
      <c r="AX3391" s="1"/>
    </row>
    <row r="3392" spans="1:50" x14ac:dyDescent="0.3">
      <c r="A3392" s="19">
        <f t="shared" si="264"/>
        <v>50663</v>
      </c>
      <c r="B3392">
        <f t="shared" ca="1" si="260"/>
        <v>-12.530555555555555</v>
      </c>
      <c r="C3392" t="str">
        <f ca="1">IF(currency="USD",'Future et co'!D3392,IF(currency="EUR",'Future et co'!E3392,IF(currency="GBP",'Future et co'!F3392,FALSE)))</f>
        <v>RFR USD</v>
      </c>
      <c r="D3392" t="str">
        <f t="shared" ca="1" si="261"/>
        <v>RFR USD</v>
      </c>
      <c r="E3392" t="str">
        <f t="shared" ca="1" si="262"/>
        <v>RFR EUR</v>
      </c>
      <c r="F3392" t="str">
        <f t="shared" ca="1" si="263"/>
        <v>RFR GBP</v>
      </c>
      <c r="J3392" s="1"/>
      <c r="N3392" s="1"/>
      <c r="R3392" s="1"/>
      <c r="V3392" s="1"/>
      <c r="AB3392" s="1"/>
      <c r="AF3392" s="1"/>
      <c r="AJ3392" s="1"/>
      <c r="AN3392" s="1"/>
      <c r="AS3392" s="1"/>
      <c r="AX3392" s="1"/>
    </row>
    <row r="3393" spans="1:50" x14ac:dyDescent="0.3">
      <c r="A3393" s="19">
        <f t="shared" si="264"/>
        <v>50664</v>
      </c>
      <c r="B3393">
        <f t="shared" ca="1" si="260"/>
        <v>-12.533333333333333</v>
      </c>
      <c r="C3393" t="str">
        <f ca="1">IF(currency="USD",'Future et co'!D3393,IF(currency="EUR",'Future et co'!E3393,IF(currency="GBP",'Future et co'!F3393,FALSE)))</f>
        <v>RFR USD</v>
      </c>
      <c r="D3393" t="str">
        <f t="shared" ca="1" si="261"/>
        <v>RFR USD</v>
      </c>
      <c r="E3393" t="str">
        <f t="shared" ca="1" si="262"/>
        <v>RFR EUR</v>
      </c>
      <c r="F3393" t="str">
        <f t="shared" ca="1" si="263"/>
        <v>RFR GBP</v>
      </c>
      <c r="J3393" s="1"/>
      <c r="N3393" s="1"/>
      <c r="R3393" s="1"/>
      <c r="V3393" s="1"/>
      <c r="AB3393" s="1"/>
      <c r="AF3393" s="1"/>
      <c r="AJ3393" s="1"/>
      <c r="AN3393" s="1"/>
      <c r="AS3393" s="1"/>
      <c r="AX3393" s="1"/>
    </row>
    <row r="3394" spans="1:50" x14ac:dyDescent="0.3">
      <c r="A3394" s="19">
        <f t="shared" si="264"/>
        <v>50665</v>
      </c>
      <c r="B3394">
        <f t="shared" ca="1" si="260"/>
        <v>-12.536111111111111</v>
      </c>
      <c r="C3394" t="str">
        <f ca="1">IF(currency="USD",'Future et co'!D3394,IF(currency="EUR",'Future et co'!E3394,IF(currency="GBP",'Future et co'!F3394,FALSE)))</f>
        <v>RFR USD</v>
      </c>
      <c r="D3394" t="str">
        <f t="shared" ca="1" si="261"/>
        <v>RFR USD</v>
      </c>
      <c r="E3394" t="str">
        <f t="shared" ca="1" si="262"/>
        <v>RFR EUR</v>
      </c>
      <c r="F3394" t="str">
        <f t="shared" ca="1" si="263"/>
        <v>RFR GBP</v>
      </c>
      <c r="J3394" s="1"/>
      <c r="N3394" s="1"/>
      <c r="R3394" s="1"/>
      <c r="V3394" s="1"/>
      <c r="AB3394" s="1"/>
      <c r="AF3394" s="1"/>
      <c r="AJ3394" s="1"/>
      <c r="AN3394" s="1"/>
      <c r="AS3394" s="1"/>
      <c r="AX3394" s="1"/>
    </row>
    <row r="3395" spans="1:50" x14ac:dyDescent="0.3">
      <c r="A3395" s="19">
        <f t="shared" si="264"/>
        <v>50668</v>
      </c>
      <c r="B3395">
        <f t="shared" ca="1" si="260"/>
        <v>-12.544444444444444</v>
      </c>
      <c r="C3395" t="str">
        <f ca="1">IF(currency="USD",'Future et co'!D3395,IF(currency="EUR",'Future et co'!E3395,IF(currency="GBP",'Future et co'!F3395,FALSE)))</f>
        <v>RFR USD</v>
      </c>
      <c r="D3395" t="str">
        <f t="shared" ca="1" si="261"/>
        <v>RFR USD</v>
      </c>
      <c r="E3395" t="str">
        <f t="shared" ca="1" si="262"/>
        <v>RFR EUR</v>
      </c>
      <c r="F3395" t="str">
        <f t="shared" ca="1" si="263"/>
        <v>RFR GBP</v>
      </c>
      <c r="J3395" s="1"/>
      <c r="N3395" s="1"/>
      <c r="R3395" s="1"/>
      <c r="V3395" s="1"/>
      <c r="AB3395" s="1"/>
      <c r="AF3395" s="1"/>
      <c r="AJ3395" s="1"/>
      <c r="AN3395" s="1"/>
      <c r="AS3395" s="1"/>
      <c r="AX3395" s="1"/>
    </row>
    <row r="3396" spans="1:50" x14ac:dyDescent="0.3">
      <c r="A3396" s="19">
        <f t="shared" si="264"/>
        <v>50669</v>
      </c>
      <c r="B3396">
        <f t="shared" ca="1" si="260"/>
        <v>-12.547222222222222</v>
      </c>
      <c r="C3396" t="str">
        <f ca="1">IF(currency="USD",'Future et co'!D3396,IF(currency="EUR",'Future et co'!E3396,IF(currency="GBP",'Future et co'!F3396,FALSE)))</f>
        <v>RFR USD</v>
      </c>
      <c r="D3396" t="str">
        <f t="shared" ca="1" si="261"/>
        <v>RFR USD</v>
      </c>
      <c r="E3396" t="str">
        <f t="shared" ca="1" si="262"/>
        <v>RFR EUR</v>
      </c>
      <c r="F3396" t="str">
        <f t="shared" ca="1" si="263"/>
        <v>RFR GBP</v>
      </c>
      <c r="J3396" s="1"/>
      <c r="N3396" s="1"/>
      <c r="R3396" s="1"/>
      <c r="V3396" s="1"/>
      <c r="AB3396" s="1"/>
      <c r="AF3396" s="1"/>
      <c r="AJ3396" s="1"/>
      <c r="AN3396" s="1"/>
      <c r="AS3396" s="1"/>
      <c r="AX3396" s="1"/>
    </row>
    <row r="3397" spans="1:50" x14ac:dyDescent="0.3">
      <c r="A3397" s="19">
        <f t="shared" si="264"/>
        <v>50670</v>
      </c>
      <c r="B3397">
        <f t="shared" ca="1" si="260"/>
        <v>-12.55</v>
      </c>
      <c r="C3397" t="str">
        <f ca="1">IF(currency="USD",'Future et co'!D3397,IF(currency="EUR",'Future et co'!E3397,IF(currency="GBP",'Future et co'!F3397,FALSE)))</f>
        <v>RFR USD</v>
      </c>
      <c r="D3397" t="str">
        <f t="shared" ca="1" si="261"/>
        <v>RFR USD</v>
      </c>
      <c r="E3397" t="str">
        <f t="shared" ca="1" si="262"/>
        <v>RFR EUR</v>
      </c>
      <c r="F3397" t="str">
        <f t="shared" ca="1" si="263"/>
        <v>RFR GBP</v>
      </c>
      <c r="J3397" s="1"/>
      <c r="N3397" s="1"/>
      <c r="R3397" s="1"/>
      <c r="V3397" s="1"/>
      <c r="AB3397" s="1"/>
      <c r="AF3397" s="1"/>
      <c r="AJ3397" s="1"/>
      <c r="AN3397" s="1"/>
      <c r="AS3397" s="1"/>
      <c r="AX3397" s="1"/>
    </row>
    <row r="3398" spans="1:50" x14ac:dyDescent="0.3">
      <c r="A3398" s="19">
        <f t="shared" si="264"/>
        <v>50671</v>
      </c>
      <c r="B3398">
        <f t="shared" ca="1" si="260"/>
        <v>-12.552777777777777</v>
      </c>
      <c r="C3398" t="str">
        <f ca="1">IF(currency="USD",'Future et co'!D3398,IF(currency="EUR",'Future et co'!E3398,IF(currency="GBP",'Future et co'!F3398,FALSE)))</f>
        <v>RFR USD</v>
      </c>
      <c r="D3398" t="str">
        <f t="shared" ca="1" si="261"/>
        <v>RFR USD</v>
      </c>
      <c r="E3398" t="str">
        <f t="shared" ca="1" si="262"/>
        <v>RFR EUR</v>
      </c>
      <c r="F3398" t="str">
        <f t="shared" ca="1" si="263"/>
        <v>RFR GBP</v>
      </c>
      <c r="J3398" s="1"/>
      <c r="N3398" s="1"/>
      <c r="R3398" s="1"/>
      <c r="V3398" s="1"/>
      <c r="AB3398" s="1"/>
      <c r="AF3398" s="1"/>
      <c r="AJ3398" s="1"/>
      <c r="AN3398" s="1"/>
      <c r="AS3398" s="1"/>
      <c r="AX3398" s="1"/>
    </row>
    <row r="3399" spans="1:50" x14ac:dyDescent="0.3">
      <c r="A3399" s="19">
        <f t="shared" si="264"/>
        <v>50672</v>
      </c>
      <c r="B3399">
        <f t="shared" ca="1" si="260"/>
        <v>-12.555555555555555</v>
      </c>
      <c r="C3399" t="str">
        <f ca="1">IF(currency="USD",'Future et co'!D3399,IF(currency="EUR",'Future et co'!E3399,IF(currency="GBP",'Future et co'!F3399,FALSE)))</f>
        <v>RFR USD</v>
      </c>
      <c r="D3399" t="str">
        <f t="shared" ca="1" si="261"/>
        <v>RFR USD</v>
      </c>
      <c r="E3399" t="str">
        <f t="shared" ca="1" si="262"/>
        <v>RFR EUR</v>
      </c>
      <c r="F3399" t="str">
        <f t="shared" ca="1" si="263"/>
        <v>RFR GBP</v>
      </c>
      <c r="J3399" s="1"/>
      <c r="N3399" s="1"/>
      <c r="R3399" s="1"/>
      <c r="V3399" s="1"/>
      <c r="AB3399" s="1"/>
      <c r="AF3399" s="1"/>
      <c r="AJ3399" s="1"/>
      <c r="AN3399" s="1"/>
      <c r="AS3399" s="1"/>
      <c r="AX3399" s="1"/>
    </row>
    <row r="3400" spans="1:50" x14ac:dyDescent="0.3">
      <c r="A3400" s="19">
        <f t="shared" si="264"/>
        <v>50675</v>
      </c>
      <c r="B3400">
        <f t="shared" ca="1" si="260"/>
        <v>-12.563888888888888</v>
      </c>
      <c r="C3400" t="str">
        <f ca="1">IF(currency="USD",'Future et co'!D3400,IF(currency="EUR",'Future et co'!E3400,IF(currency="GBP",'Future et co'!F3400,FALSE)))</f>
        <v>RFR USD</v>
      </c>
      <c r="D3400" t="str">
        <f t="shared" ca="1" si="261"/>
        <v>RFR USD</v>
      </c>
      <c r="E3400" t="str">
        <f t="shared" ca="1" si="262"/>
        <v>RFR EUR</v>
      </c>
      <c r="F3400" t="str">
        <f t="shared" ca="1" si="263"/>
        <v>RFR GBP</v>
      </c>
      <c r="J3400" s="1"/>
      <c r="N3400" s="1"/>
      <c r="R3400" s="1"/>
      <c r="V3400" s="1"/>
      <c r="AB3400" s="1"/>
      <c r="AF3400" s="1"/>
      <c r="AJ3400" s="1"/>
      <c r="AN3400" s="1"/>
      <c r="AS3400" s="1"/>
      <c r="AX3400" s="1"/>
    </row>
    <row r="3401" spans="1:50" x14ac:dyDescent="0.3">
      <c r="A3401" s="19">
        <f t="shared" si="264"/>
        <v>50676</v>
      </c>
      <c r="B3401">
        <f t="shared" ca="1" si="260"/>
        <v>-12.566666666666666</v>
      </c>
      <c r="C3401" t="str">
        <f ca="1">IF(currency="USD",'Future et co'!D3401,IF(currency="EUR",'Future et co'!E3401,IF(currency="GBP",'Future et co'!F3401,FALSE)))</f>
        <v>RFR USD</v>
      </c>
      <c r="D3401" t="str">
        <f t="shared" ca="1" si="261"/>
        <v>RFR USD</v>
      </c>
      <c r="E3401" t="str">
        <f t="shared" ca="1" si="262"/>
        <v>RFR EUR</v>
      </c>
      <c r="F3401" t="str">
        <f t="shared" ca="1" si="263"/>
        <v>RFR GBP</v>
      </c>
      <c r="J3401" s="1"/>
      <c r="N3401" s="1"/>
      <c r="R3401" s="1"/>
      <c r="V3401" s="1"/>
      <c r="AB3401" s="1"/>
      <c r="AF3401" s="1"/>
      <c r="AJ3401" s="1"/>
      <c r="AN3401" s="1"/>
      <c r="AS3401" s="1"/>
      <c r="AX3401" s="1"/>
    </row>
    <row r="3402" spans="1:50" x14ac:dyDescent="0.3">
      <c r="A3402" s="19">
        <f t="shared" si="264"/>
        <v>50677</v>
      </c>
      <c r="B3402">
        <f t="shared" ca="1" si="260"/>
        <v>-12.569444444444445</v>
      </c>
      <c r="C3402" t="str">
        <f ca="1">IF(currency="USD",'Future et co'!D3402,IF(currency="EUR",'Future et co'!E3402,IF(currency="GBP",'Future et co'!F3402,FALSE)))</f>
        <v>RFR USD</v>
      </c>
      <c r="D3402" t="str">
        <f t="shared" ca="1" si="261"/>
        <v>RFR USD</v>
      </c>
      <c r="E3402" t="str">
        <f t="shared" ca="1" si="262"/>
        <v>RFR EUR</v>
      </c>
      <c r="F3402" t="str">
        <f t="shared" ca="1" si="263"/>
        <v>RFR GBP</v>
      </c>
      <c r="J3402" s="1"/>
      <c r="N3402" s="1"/>
      <c r="R3402" s="1"/>
      <c r="V3402" s="1"/>
      <c r="AB3402" s="1"/>
      <c r="AF3402" s="1"/>
      <c r="AJ3402" s="1"/>
      <c r="AN3402" s="1"/>
      <c r="AS3402" s="1"/>
      <c r="AX3402" s="1"/>
    </row>
    <row r="3403" spans="1:50" x14ac:dyDescent="0.3">
      <c r="A3403" s="19">
        <f t="shared" si="264"/>
        <v>50678</v>
      </c>
      <c r="B3403">
        <f t="shared" ref="B3403:B3466" ca="1" si="265">($B$7-A3403)/360</f>
        <v>-12.572222222222223</v>
      </c>
      <c r="C3403" t="str">
        <f ca="1">IF(currency="USD",'Future et co'!D3403,IF(currency="EUR",'Future et co'!E3403,IF(currency="GBP",'Future et co'!F3403,FALSE)))</f>
        <v>RFR USD</v>
      </c>
      <c r="D3403" t="str">
        <f t="shared" ref="D3403:D3466" ca="1" si="266">IFERROR(IF(B3403&lt;0.25,VLOOKUP(A3403,$J$11:$L$5325,3,FALSE),IF(AND(B3403&gt;=0.25,B3403&lt;0.5),VLOOKUP(A3403,$N$11:$P$5325,3,FALSE),IF(AND(B3403&gt;=0.5,B3403&lt;1),VLOOKUP(A3403,$R$11:$T$5325,3,FALSE),VLOOKUP(A3403,$V$11:$X$5010,3,FALSE)))),D3402)</f>
        <v>RFR USD</v>
      </c>
      <c r="E3403" t="str">
        <f t="shared" ref="E3403:E3466" ca="1" si="267">IFERROR(IF(B3403&lt;0.25,VLOOKUP(A3403,$AF$11:$AH$5325,3,FALSE),IF(AND(B3403&gt;=0.25,B3403&lt;0.5),VLOOKUP(A3403,$AJ$11:$AL$5325,3,FALSE),VLOOKUP(A3403,$AN$11:$AP$5325,3,FALSE))),E3402)</f>
        <v>RFR EUR</v>
      </c>
      <c r="F3403" t="str">
        <f t="shared" ref="F3403:F3466" ca="1" si="268">IFERROR(VLOOKUP(A3403,$AS$11:$AU$9999,3,FALSE),F3402)</f>
        <v>RFR GBP</v>
      </c>
      <c r="J3403" s="1"/>
      <c r="N3403" s="1"/>
      <c r="R3403" s="1"/>
      <c r="V3403" s="1"/>
      <c r="AB3403" s="1"/>
      <c r="AF3403" s="1"/>
      <c r="AJ3403" s="1"/>
      <c r="AN3403" s="1"/>
      <c r="AS3403" s="1"/>
      <c r="AX3403" s="1"/>
    </row>
    <row r="3404" spans="1:50" x14ac:dyDescent="0.3">
      <c r="A3404" s="19">
        <f t="shared" si="264"/>
        <v>50679</v>
      </c>
      <c r="B3404">
        <f t="shared" ca="1" si="265"/>
        <v>-12.574999999999999</v>
      </c>
      <c r="C3404" t="str">
        <f ca="1">IF(currency="USD",'Future et co'!D3404,IF(currency="EUR",'Future et co'!E3404,IF(currency="GBP",'Future et co'!F3404,FALSE)))</f>
        <v>RFR USD</v>
      </c>
      <c r="D3404" t="str">
        <f t="shared" ca="1" si="266"/>
        <v>RFR USD</v>
      </c>
      <c r="E3404" t="str">
        <f t="shared" ca="1" si="267"/>
        <v>RFR EUR</v>
      </c>
      <c r="F3404" t="str">
        <f t="shared" ca="1" si="268"/>
        <v>RFR GBP</v>
      </c>
      <c r="J3404" s="1"/>
      <c r="N3404" s="1"/>
      <c r="R3404" s="1"/>
      <c r="V3404" s="1"/>
      <c r="AB3404" s="1"/>
      <c r="AF3404" s="1"/>
      <c r="AJ3404" s="1"/>
      <c r="AN3404" s="1"/>
      <c r="AS3404" s="1"/>
      <c r="AX3404" s="1"/>
    </row>
    <row r="3405" spans="1:50" x14ac:dyDescent="0.3">
      <c r="A3405" s="19">
        <f t="shared" ref="A3405:A3468" si="269">WORKDAY(A3404,1)</f>
        <v>50682</v>
      </c>
      <c r="B3405">
        <f t="shared" ca="1" si="265"/>
        <v>-12.583333333333334</v>
      </c>
      <c r="C3405" t="str">
        <f ca="1">IF(currency="USD",'Future et co'!D3405,IF(currency="EUR",'Future et co'!E3405,IF(currency="GBP",'Future et co'!F3405,FALSE)))</f>
        <v>RFR USD</v>
      </c>
      <c r="D3405" t="str">
        <f t="shared" ca="1" si="266"/>
        <v>RFR USD</v>
      </c>
      <c r="E3405" t="str">
        <f t="shared" ca="1" si="267"/>
        <v>RFR EUR</v>
      </c>
      <c r="F3405" t="str">
        <f t="shared" ca="1" si="268"/>
        <v>RFR GBP</v>
      </c>
      <c r="J3405" s="1"/>
      <c r="N3405" s="1"/>
      <c r="R3405" s="1"/>
      <c r="V3405" s="1"/>
      <c r="AB3405" s="1"/>
      <c r="AF3405" s="1"/>
      <c r="AJ3405" s="1"/>
      <c r="AN3405" s="1"/>
      <c r="AS3405" s="1"/>
      <c r="AX3405" s="1"/>
    </row>
    <row r="3406" spans="1:50" x14ac:dyDescent="0.3">
      <c r="A3406" s="19">
        <f t="shared" si="269"/>
        <v>50683</v>
      </c>
      <c r="B3406">
        <f t="shared" ca="1" si="265"/>
        <v>-12.58611111111111</v>
      </c>
      <c r="C3406" t="str">
        <f ca="1">IF(currency="USD",'Future et co'!D3406,IF(currency="EUR",'Future et co'!E3406,IF(currency="GBP",'Future et co'!F3406,FALSE)))</f>
        <v>RFR USD</v>
      </c>
      <c r="D3406" t="str">
        <f t="shared" ca="1" si="266"/>
        <v>RFR USD</v>
      </c>
      <c r="E3406" t="str">
        <f t="shared" ca="1" si="267"/>
        <v>RFR EUR</v>
      </c>
      <c r="F3406" t="str">
        <f t="shared" ca="1" si="268"/>
        <v>RFR GBP</v>
      </c>
      <c r="J3406" s="1"/>
      <c r="N3406" s="1"/>
      <c r="R3406" s="1"/>
      <c r="V3406" s="1"/>
      <c r="AB3406" s="1"/>
      <c r="AF3406" s="1"/>
      <c r="AJ3406" s="1"/>
      <c r="AN3406" s="1"/>
      <c r="AS3406" s="1"/>
      <c r="AX3406" s="1"/>
    </row>
    <row r="3407" spans="1:50" x14ac:dyDescent="0.3">
      <c r="A3407" s="19">
        <f t="shared" si="269"/>
        <v>50684</v>
      </c>
      <c r="B3407">
        <f t="shared" ca="1" si="265"/>
        <v>-12.588888888888889</v>
      </c>
      <c r="C3407" t="str">
        <f ca="1">IF(currency="USD",'Future et co'!D3407,IF(currency="EUR",'Future et co'!E3407,IF(currency="GBP",'Future et co'!F3407,FALSE)))</f>
        <v>RFR USD</v>
      </c>
      <c r="D3407" t="str">
        <f t="shared" ca="1" si="266"/>
        <v>RFR USD</v>
      </c>
      <c r="E3407" t="str">
        <f t="shared" ca="1" si="267"/>
        <v>RFR EUR</v>
      </c>
      <c r="F3407" t="str">
        <f t="shared" ca="1" si="268"/>
        <v>RFR GBP</v>
      </c>
      <c r="J3407" s="1"/>
      <c r="N3407" s="1"/>
      <c r="R3407" s="1"/>
      <c r="V3407" s="1"/>
      <c r="AB3407" s="1"/>
      <c r="AF3407" s="1"/>
      <c r="AJ3407" s="1"/>
      <c r="AN3407" s="1"/>
      <c r="AS3407" s="1"/>
      <c r="AX3407" s="1"/>
    </row>
    <row r="3408" spans="1:50" x14ac:dyDescent="0.3">
      <c r="A3408" s="19">
        <f t="shared" si="269"/>
        <v>50685</v>
      </c>
      <c r="B3408">
        <f t="shared" ca="1" si="265"/>
        <v>-12.591666666666667</v>
      </c>
      <c r="C3408" t="str">
        <f ca="1">IF(currency="USD",'Future et co'!D3408,IF(currency="EUR",'Future et co'!E3408,IF(currency="GBP",'Future et co'!F3408,FALSE)))</f>
        <v>RFR USD</v>
      </c>
      <c r="D3408" t="str">
        <f t="shared" ca="1" si="266"/>
        <v>RFR USD</v>
      </c>
      <c r="E3408" t="str">
        <f t="shared" ca="1" si="267"/>
        <v>RFR EUR</v>
      </c>
      <c r="F3408" t="str">
        <f t="shared" ca="1" si="268"/>
        <v>RFR GBP</v>
      </c>
      <c r="J3408" s="1"/>
      <c r="N3408" s="1"/>
      <c r="R3408" s="1"/>
      <c r="V3408" s="1"/>
      <c r="AB3408" s="1"/>
      <c r="AF3408" s="1"/>
      <c r="AJ3408" s="1"/>
      <c r="AN3408" s="1"/>
      <c r="AS3408" s="1"/>
      <c r="AX3408" s="1"/>
    </row>
    <row r="3409" spans="1:50" x14ac:dyDescent="0.3">
      <c r="A3409" s="19">
        <f t="shared" si="269"/>
        <v>50686</v>
      </c>
      <c r="B3409">
        <f t="shared" ca="1" si="265"/>
        <v>-12.594444444444445</v>
      </c>
      <c r="C3409" t="str">
        <f ca="1">IF(currency="USD",'Future et co'!D3409,IF(currency="EUR",'Future et co'!E3409,IF(currency="GBP",'Future et co'!F3409,FALSE)))</f>
        <v>RFR USD</v>
      </c>
      <c r="D3409" t="str">
        <f t="shared" ca="1" si="266"/>
        <v>RFR USD</v>
      </c>
      <c r="E3409" t="str">
        <f t="shared" ca="1" si="267"/>
        <v>RFR EUR</v>
      </c>
      <c r="F3409" t="str">
        <f t="shared" ca="1" si="268"/>
        <v>RFR GBP</v>
      </c>
      <c r="J3409" s="1"/>
      <c r="N3409" s="1"/>
      <c r="R3409" s="1"/>
      <c r="V3409" s="1"/>
      <c r="AB3409" s="1"/>
      <c r="AF3409" s="1"/>
      <c r="AJ3409" s="1"/>
      <c r="AN3409" s="1"/>
      <c r="AS3409" s="1"/>
      <c r="AX3409" s="1"/>
    </row>
    <row r="3410" spans="1:50" x14ac:dyDescent="0.3">
      <c r="A3410" s="19">
        <f t="shared" si="269"/>
        <v>50689</v>
      </c>
      <c r="B3410">
        <f t="shared" ca="1" si="265"/>
        <v>-12.602777777777778</v>
      </c>
      <c r="C3410" t="str">
        <f ca="1">IF(currency="USD",'Future et co'!D3410,IF(currency="EUR",'Future et co'!E3410,IF(currency="GBP",'Future et co'!F3410,FALSE)))</f>
        <v>RFR USD</v>
      </c>
      <c r="D3410" t="str">
        <f t="shared" ca="1" si="266"/>
        <v>RFR USD</v>
      </c>
      <c r="E3410" t="str">
        <f t="shared" ca="1" si="267"/>
        <v>RFR EUR</v>
      </c>
      <c r="F3410" t="str">
        <f t="shared" ca="1" si="268"/>
        <v>RFR GBP</v>
      </c>
      <c r="J3410" s="1"/>
      <c r="N3410" s="1"/>
      <c r="R3410" s="1"/>
      <c r="V3410" s="1"/>
      <c r="AB3410" s="1"/>
      <c r="AF3410" s="1"/>
      <c r="AJ3410" s="1"/>
      <c r="AN3410" s="1"/>
      <c r="AS3410" s="1"/>
      <c r="AX3410" s="1"/>
    </row>
    <row r="3411" spans="1:50" x14ac:dyDescent="0.3">
      <c r="A3411" s="19">
        <f t="shared" si="269"/>
        <v>50690</v>
      </c>
      <c r="B3411">
        <f t="shared" ca="1" si="265"/>
        <v>-12.605555555555556</v>
      </c>
      <c r="C3411" t="str">
        <f ca="1">IF(currency="USD",'Future et co'!D3411,IF(currency="EUR",'Future et co'!E3411,IF(currency="GBP",'Future et co'!F3411,FALSE)))</f>
        <v>RFR USD</v>
      </c>
      <c r="D3411" t="str">
        <f t="shared" ca="1" si="266"/>
        <v>RFR USD</v>
      </c>
      <c r="E3411" t="str">
        <f t="shared" ca="1" si="267"/>
        <v>RFR EUR</v>
      </c>
      <c r="F3411" t="str">
        <f t="shared" ca="1" si="268"/>
        <v>RFR GBP</v>
      </c>
      <c r="J3411" s="1"/>
      <c r="N3411" s="1"/>
      <c r="R3411" s="1"/>
      <c r="V3411" s="1"/>
      <c r="AB3411" s="1"/>
      <c r="AF3411" s="1"/>
      <c r="AJ3411" s="1"/>
      <c r="AN3411" s="1"/>
      <c r="AS3411" s="1"/>
      <c r="AX3411" s="1"/>
    </row>
    <row r="3412" spans="1:50" x14ac:dyDescent="0.3">
      <c r="A3412" s="19">
        <f t="shared" si="269"/>
        <v>50691</v>
      </c>
      <c r="B3412">
        <f t="shared" ca="1" si="265"/>
        <v>-12.608333333333333</v>
      </c>
      <c r="C3412" t="str">
        <f ca="1">IF(currency="USD",'Future et co'!D3412,IF(currency="EUR",'Future et co'!E3412,IF(currency="GBP",'Future et co'!F3412,FALSE)))</f>
        <v>RFR USD</v>
      </c>
      <c r="D3412" t="str">
        <f t="shared" ca="1" si="266"/>
        <v>RFR USD</v>
      </c>
      <c r="E3412" t="str">
        <f t="shared" ca="1" si="267"/>
        <v>RFR EUR</v>
      </c>
      <c r="F3412" t="str">
        <f t="shared" ca="1" si="268"/>
        <v>RFR GBP</v>
      </c>
      <c r="J3412" s="1"/>
      <c r="N3412" s="1"/>
      <c r="R3412" s="1"/>
      <c r="V3412" s="1"/>
      <c r="AB3412" s="1"/>
      <c r="AF3412" s="1"/>
      <c r="AJ3412" s="1"/>
      <c r="AN3412" s="1"/>
      <c r="AS3412" s="1"/>
      <c r="AX3412" s="1"/>
    </row>
    <row r="3413" spans="1:50" x14ac:dyDescent="0.3">
      <c r="A3413" s="19">
        <f t="shared" si="269"/>
        <v>50692</v>
      </c>
      <c r="B3413">
        <f t="shared" ca="1" si="265"/>
        <v>-12.611111111111111</v>
      </c>
      <c r="C3413" t="str">
        <f ca="1">IF(currency="USD",'Future et co'!D3413,IF(currency="EUR",'Future et co'!E3413,IF(currency="GBP",'Future et co'!F3413,FALSE)))</f>
        <v>RFR USD</v>
      </c>
      <c r="D3413" t="str">
        <f t="shared" ca="1" si="266"/>
        <v>RFR USD</v>
      </c>
      <c r="E3413" t="str">
        <f t="shared" ca="1" si="267"/>
        <v>RFR EUR</v>
      </c>
      <c r="F3413" t="str">
        <f t="shared" ca="1" si="268"/>
        <v>RFR GBP</v>
      </c>
      <c r="J3413" s="1"/>
      <c r="N3413" s="1"/>
      <c r="R3413" s="1"/>
      <c r="V3413" s="1"/>
      <c r="AB3413" s="1"/>
      <c r="AF3413" s="1"/>
      <c r="AJ3413" s="1"/>
      <c r="AN3413" s="1"/>
      <c r="AS3413" s="1"/>
      <c r="AX3413" s="1"/>
    </row>
    <row r="3414" spans="1:50" x14ac:dyDescent="0.3">
      <c r="A3414" s="19">
        <f t="shared" si="269"/>
        <v>50693</v>
      </c>
      <c r="B3414">
        <f t="shared" ca="1" si="265"/>
        <v>-12.613888888888889</v>
      </c>
      <c r="C3414" t="str">
        <f ca="1">IF(currency="USD",'Future et co'!D3414,IF(currency="EUR",'Future et co'!E3414,IF(currency="GBP",'Future et co'!F3414,FALSE)))</f>
        <v>RFR USD</v>
      </c>
      <c r="D3414" t="str">
        <f t="shared" ca="1" si="266"/>
        <v>RFR USD</v>
      </c>
      <c r="E3414" t="str">
        <f t="shared" ca="1" si="267"/>
        <v>RFR EUR</v>
      </c>
      <c r="F3414" t="str">
        <f t="shared" ca="1" si="268"/>
        <v>RFR GBP</v>
      </c>
      <c r="J3414" s="1"/>
      <c r="N3414" s="1"/>
      <c r="R3414" s="1"/>
      <c r="V3414" s="1"/>
      <c r="AB3414" s="1"/>
      <c r="AF3414" s="1"/>
      <c r="AJ3414" s="1"/>
      <c r="AN3414" s="1"/>
      <c r="AS3414" s="1"/>
      <c r="AX3414" s="1"/>
    </row>
    <row r="3415" spans="1:50" x14ac:dyDescent="0.3">
      <c r="A3415" s="19">
        <f t="shared" si="269"/>
        <v>50696</v>
      </c>
      <c r="B3415">
        <f t="shared" ca="1" si="265"/>
        <v>-12.622222222222222</v>
      </c>
      <c r="C3415" t="str">
        <f ca="1">IF(currency="USD",'Future et co'!D3415,IF(currency="EUR",'Future et co'!E3415,IF(currency="GBP",'Future et co'!F3415,FALSE)))</f>
        <v>RFR USD</v>
      </c>
      <c r="D3415" t="str">
        <f t="shared" ca="1" si="266"/>
        <v>RFR USD</v>
      </c>
      <c r="E3415" t="str">
        <f t="shared" ca="1" si="267"/>
        <v>RFR EUR</v>
      </c>
      <c r="F3415" t="str">
        <f t="shared" ca="1" si="268"/>
        <v>RFR GBP</v>
      </c>
      <c r="J3415" s="1"/>
      <c r="N3415" s="1"/>
      <c r="R3415" s="1"/>
      <c r="V3415" s="1"/>
      <c r="AB3415" s="1"/>
      <c r="AF3415" s="1"/>
      <c r="AJ3415" s="1"/>
      <c r="AN3415" s="1"/>
      <c r="AS3415" s="1"/>
      <c r="AX3415" s="1"/>
    </row>
    <row r="3416" spans="1:50" x14ac:dyDescent="0.3">
      <c r="A3416" s="19">
        <f t="shared" si="269"/>
        <v>50697</v>
      </c>
      <c r="B3416">
        <f t="shared" ca="1" si="265"/>
        <v>-12.625</v>
      </c>
      <c r="C3416" t="str">
        <f ca="1">IF(currency="USD",'Future et co'!D3416,IF(currency="EUR",'Future et co'!E3416,IF(currency="GBP",'Future et co'!F3416,FALSE)))</f>
        <v>RFR USD</v>
      </c>
      <c r="D3416" t="str">
        <f t="shared" ca="1" si="266"/>
        <v>RFR USD</v>
      </c>
      <c r="E3416" t="str">
        <f t="shared" ca="1" si="267"/>
        <v>RFR EUR</v>
      </c>
      <c r="F3416" t="str">
        <f t="shared" ca="1" si="268"/>
        <v>RFR GBP</v>
      </c>
      <c r="J3416" s="1"/>
      <c r="N3416" s="1"/>
      <c r="R3416" s="1"/>
      <c r="V3416" s="1"/>
      <c r="AB3416" s="1"/>
      <c r="AF3416" s="1"/>
      <c r="AJ3416" s="1"/>
      <c r="AN3416" s="1"/>
      <c r="AS3416" s="1"/>
      <c r="AX3416" s="1"/>
    </row>
    <row r="3417" spans="1:50" x14ac:dyDescent="0.3">
      <c r="A3417" s="19">
        <f t="shared" si="269"/>
        <v>50698</v>
      </c>
      <c r="B3417">
        <f t="shared" ca="1" si="265"/>
        <v>-12.627777777777778</v>
      </c>
      <c r="C3417" t="str">
        <f ca="1">IF(currency="USD",'Future et co'!D3417,IF(currency="EUR",'Future et co'!E3417,IF(currency="GBP",'Future et co'!F3417,FALSE)))</f>
        <v>RFR USD</v>
      </c>
      <c r="D3417" t="str">
        <f t="shared" ca="1" si="266"/>
        <v>RFR USD</v>
      </c>
      <c r="E3417" t="str">
        <f t="shared" ca="1" si="267"/>
        <v>RFR EUR</v>
      </c>
      <c r="F3417" t="str">
        <f t="shared" ca="1" si="268"/>
        <v>RFR GBP</v>
      </c>
      <c r="J3417" s="1"/>
      <c r="N3417" s="1"/>
      <c r="R3417" s="1"/>
      <c r="V3417" s="1"/>
      <c r="AB3417" s="1"/>
      <c r="AF3417" s="1"/>
      <c r="AJ3417" s="1"/>
      <c r="AN3417" s="1"/>
      <c r="AS3417" s="1"/>
      <c r="AX3417" s="1"/>
    </row>
    <row r="3418" spans="1:50" x14ac:dyDescent="0.3">
      <c r="A3418" s="19">
        <f t="shared" si="269"/>
        <v>50699</v>
      </c>
      <c r="B3418">
        <f t="shared" ca="1" si="265"/>
        <v>-12.630555555555556</v>
      </c>
      <c r="C3418" t="str">
        <f ca="1">IF(currency="USD",'Future et co'!D3418,IF(currency="EUR",'Future et co'!E3418,IF(currency="GBP",'Future et co'!F3418,FALSE)))</f>
        <v>RFR USD</v>
      </c>
      <c r="D3418" t="str">
        <f t="shared" ca="1" si="266"/>
        <v>RFR USD</v>
      </c>
      <c r="E3418" t="str">
        <f t="shared" ca="1" si="267"/>
        <v>RFR EUR</v>
      </c>
      <c r="F3418" t="str">
        <f t="shared" ca="1" si="268"/>
        <v>RFR GBP</v>
      </c>
      <c r="J3418" s="1"/>
      <c r="N3418" s="1"/>
      <c r="R3418" s="1"/>
      <c r="V3418" s="1"/>
      <c r="AB3418" s="1"/>
      <c r="AF3418" s="1"/>
      <c r="AJ3418" s="1"/>
      <c r="AN3418" s="1"/>
      <c r="AS3418" s="1"/>
      <c r="AX3418" s="1"/>
    </row>
    <row r="3419" spans="1:50" x14ac:dyDescent="0.3">
      <c r="A3419" s="19">
        <f t="shared" si="269"/>
        <v>50700</v>
      </c>
      <c r="B3419">
        <f t="shared" ca="1" si="265"/>
        <v>-12.633333333333333</v>
      </c>
      <c r="C3419" t="str">
        <f ca="1">IF(currency="USD",'Future et co'!D3419,IF(currency="EUR",'Future et co'!E3419,IF(currency="GBP",'Future et co'!F3419,FALSE)))</f>
        <v>RFR USD</v>
      </c>
      <c r="D3419" t="str">
        <f t="shared" ca="1" si="266"/>
        <v>RFR USD</v>
      </c>
      <c r="E3419" t="str">
        <f t="shared" ca="1" si="267"/>
        <v>RFR EUR</v>
      </c>
      <c r="F3419" t="str">
        <f t="shared" ca="1" si="268"/>
        <v>RFR GBP</v>
      </c>
      <c r="J3419" s="1"/>
      <c r="N3419" s="1"/>
      <c r="R3419" s="1"/>
      <c r="V3419" s="1"/>
      <c r="AB3419" s="1"/>
      <c r="AF3419" s="1"/>
      <c r="AJ3419" s="1"/>
      <c r="AN3419" s="1"/>
      <c r="AS3419" s="1"/>
      <c r="AX3419" s="1"/>
    </row>
    <row r="3420" spans="1:50" x14ac:dyDescent="0.3">
      <c r="A3420" s="19">
        <f t="shared" si="269"/>
        <v>50703</v>
      </c>
      <c r="B3420">
        <f t="shared" ca="1" si="265"/>
        <v>-12.641666666666667</v>
      </c>
      <c r="C3420" t="str">
        <f ca="1">IF(currency="USD",'Future et co'!D3420,IF(currency="EUR",'Future et co'!E3420,IF(currency="GBP",'Future et co'!F3420,FALSE)))</f>
        <v>RFR USD</v>
      </c>
      <c r="D3420" t="str">
        <f t="shared" ca="1" si="266"/>
        <v>RFR USD</v>
      </c>
      <c r="E3420" t="str">
        <f t="shared" ca="1" si="267"/>
        <v>RFR EUR</v>
      </c>
      <c r="F3420" t="str">
        <f t="shared" ca="1" si="268"/>
        <v>RFR GBP</v>
      </c>
      <c r="J3420" s="1"/>
      <c r="N3420" s="1"/>
      <c r="R3420" s="1"/>
      <c r="V3420" s="1"/>
      <c r="AB3420" s="1"/>
      <c r="AF3420" s="1"/>
      <c r="AJ3420" s="1"/>
      <c r="AN3420" s="1"/>
      <c r="AS3420" s="1"/>
      <c r="AX3420" s="1"/>
    </row>
    <row r="3421" spans="1:50" x14ac:dyDescent="0.3">
      <c r="A3421" s="19">
        <f t="shared" si="269"/>
        <v>50704</v>
      </c>
      <c r="B3421">
        <f t="shared" ca="1" si="265"/>
        <v>-12.644444444444444</v>
      </c>
      <c r="C3421" t="str">
        <f ca="1">IF(currency="USD",'Future et co'!D3421,IF(currency="EUR",'Future et co'!E3421,IF(currency="GBP",'Future et co'!F3421,FALSE)))</f>
        <v>RFR USD</v>
      </c>
      <c r="D3421" t="str">
        <f t="shared" ca="1" si="266"/>
        <v>RFR USD</v>
      </c>
      <c r="E3421" t="str">
        <f t="shared" ca="1" si="267"/>
        <v>RFR EUR</v>
      </c>
      <c r="F3421" t="str">
        <f t="shared" ca="1" si="268"/>
        <v>RFR GBP</v>
      </c>
      <c r="J3421" s="1"/>
      <c r="N3421" s="1"/>
      <c r="R3421" s="1"/>
      <c r="V3421" s="1"/>
      <c r="AB3421" s="1"/>
      <c r="AF3421" s="1"/>
      <c r="AJ3421" s="1"/>
      <c r="AN3421" s="1"/>
      <c r="AS3421" s="1"/>
      <c r="AX3421" s="1"/>
    </row>
    <row r="3422" spans="1:50" x14ac:dyDescent="0.3">
      <c r="A3422" s="19">
        <f t="shared" si="269"/>
        <v>50705</v>
      </c>
      <c r="B3422">
        <f t="shared" ca="1" si="265"/>
        <v>-12.647222222222222</v>
      </c>
      <c r="C3422" t="str">
        <f ca="1">IF(currency="USD",'Future et co'!D3422,IF(currency="EUR",'Future et co'!E3422,IF(currency="GBP",'Future et co'!F3422,FALSE)))</f>
        <v>RFR USD</v>
      </c>
      <c r="D3422" t="str">
        <f t="shared" ca="1" si="266"/>
        <v>RFR USD</v>
      </c>
      <c r="E3422" t="str">
        <f t="shared" ca="1" si="267"/>
        <v>RFR EUR</v>
      </c>
      <c r="F3422" t="str">
        <f t="shared" ca="1" si="268"/>
        <v>RFR GBP</v>
      </c>
      <c r="J3422" s="1"/>
      <c r="N3422" s="1"/>
      <c r="R3422" s="1"/>
      <c r="V3422" s="1"/>
      <c r="AB3422" s="1"/>
      <c r="AF3422" s="1"/>
      <c r="AJ3422" s="1"/>
      <c r="AN3422" s="1"/>
      <c r="AS3422" s="1"/>
      <c r="AX3422" s="1"/>
    </row>
    <row r="3423" spans="1:50" x14ac:dyDescent="0.3">
      <c r="A3423" s="19">
        <f t="shared" si="269"/>
        <v>50706</v>
      </c>
      <c r="B3423">
        <f t="shared" ca="1" si="265"/>
        <v>-12.65</v>
      </c>
      <c r="C3423" t="str">
        <f ca="1">IF(currency="USD",'Future et co'!D3423,IF(currency="EUR",'Future et co'!E3423,IF(currency="GBP",'Future et co'!F3423,FALSE)))</f>
        <v>RFR USD</v>
      </c>
      <c r="D3423" t="str">
        <f t="shared" ca="1" si="266"/>
        <v>RFR USD</v>
      </c>
      <c r="E3423" t="str">
        <f t="shared" ca="1" si="267"/>
        <v>RFR EUR</v>
      </c>
      <c r="F3423" t="str">
        <f t="shared" ca="1" si="268"/>
        <v>RFR GBP</v>
      </c>
      <c r="J3423" s="1"/>
      <c r="N3423" s="1"/>
      <c r="R3423" s="1"/>
      <c r="V3423" s="1"/>
      <c r="AB3423" s="1"/>
      <c r="AF3423" s="1"/>
      <c r="AJ3423" s="1"/>
      <c r="AN3423" s="1"/>
      <c r="AS3423" s="1"/>
      <c r="AX3423" s="1"/>
    </row>
    <row r="3424" spans="1:50" x14ac:dyDescent="0.3">
      <c r="A3424" s="19">
        <f t="shared" si="269"/>
        <v>50707</v>
      </c>
      <c r="B3424">
        <f t="shared" ca="1" si="265"/>
        <v>-12.652777777777779</v>
      </c>
      <c r="C3424" t="str">
        <f ca="1">IF(currency="USD",'Future et co'!D3424,IF(currency="EUR",'Future et co'!E3424,IF(currency="GBP",'Future et co'!F3424,FALSE)))</f>
        <v>RFR USD</v>
      </c>
      <c r="D3424" t="str">
        <f t="shared" ca="1" si="266"/>
        <v>RFR USD</v>
      </c>
      <c r="E3424" t="str">
        <f t="shared" ca="1" si="267"/>
        <v>RFR EUR</v>
      </c>
      <c r="F3424" t="str">
        <f t="shared" ca="1" si="268"/>
        <v>RFR GBP</v>
      </c>
      <c r="J3424" s="1"/>
      <c r="N3424" s="1"/>
      <c r="R3424" s="1"/>
      <c r="V3424" s="1"/>
      <c r="AB3424" s="1"/>
      <c r="AF3424" s="1"/>
      <c r="AJ3424" s="1"/>
      <c r="AN3424" s="1"/>
      <c r="AS3424" s="1"/>
      <c r="AX3424" s="1"/>
    </row>
    <row r="3425" spans="1:50" x14ac:dyDescent="0.3">
      <c r="A3425" s="19">
        <f t="shared" si="269"/>
        <v>50710</v>
      </c>
      <c r="B3425">
        <f t="shared" ca="1" si="265"/>
        <v>-12.661111111111111</v>
      </c>
      <c r="C3425" t="str">
        <f ca="1">IF(currency="USD",'Future et co'!D3425,IF(currency="EUR",'Future et co'!E3425,IF(currency="GBP",'Future et co'!F3425,FALSE)))</f>
        <v>RFR USD</v>
      </c>
      <c r="D3425" t="str">
        <f t="shared" ca="1" si="266"/>
        <v>RFR USD</v>
      </c>
      <c r="E3425" t="str">
        <f t="shared" ca="1" si="267"/>
        <v>RFR EUR</v>
      </c>
      <c r="F3425" t="str">
        <f t="shared" ca="1" si="268"/>
        <v>RFR GBP</v>
      </c>
      <c r="J3425" s="1"/>
      <c r="N3425" s="1"/>
      <c r="R3425" s="1"/>
      <c r="V3425" s="1"/>
      <c r="AB3425" s="1"/>
      <c r="AF3425" s="1"/>
      <c r="AJ3425" s="1"/>
      <c r="AN3425" s="1"/>
      <c r="AS3425" s="1"/>
      <c r="AX3425" s="1"/>
    </row>
    <row r="3426" spans="1:50" x14ac:dyDescent="0.3">
      <c r="A3426" s="19">
        <f t="shared" si="269"/>
        <v>50711</v>
      </c>
      <c r="B3426">
        <f t="shared" ca="1" si="265"/>
        <v>-12.66388888888889</v>
      </c>
      <c r="C3426" t="str">
        <f ca="1">IF(currency="USD",'Future et co'!D3426,IF(currency="EUR",'Future et co'!E3426,IF(currency="GBP",'Future et co'!F3426,FALSE)))</f>
        <v>RFR USD</v>
      </c>
      <c r="D3426" t="str">
        <f t="shared" ca="1" si="266"/>
        <v>RFR USD</v>
      </c>
      <c r="E3426" t="str">
        <f t="shared" ca="1" si="267"/>
        <v>RFR EUR</v>
      </c>
      <c r="F3426" t="str">
        <f t="shared" ca="1" si="268"/>
        <v>RFR GBP</v>
      </c>
      <c r="J3426" s="1"/>
      <c r="N3426" s="1"/>
      <c r="R3426" s="1"/>
      <c r="V3426" s="1"/>
      <c r="AB3426" s="1"/>
      <c r="AF3426" s="1"/>
      <c r="AJ3426" s="1"/>
      <c r="AN3426" s="1"/>
      <c r="AS3426" s="1"/>
      <c r="AX3426" s="1"/>
    </row>
    <row r="3427" spans="1:50" x14ac:dyDescent="0.3">
      <c r="A3427" s="19">
        <f t="shared" si="269"/>
        <v>50712</v>
      </c>
      <c r="B3427">
        <f t="shared" ca="1" si="265"/>
        <v>-12.666666666666666</v>
      </c>
      <c r="C3427" t="str">
        <f ca="1">IF(currency="USD",'Future et co'!D3427,IF(currency="EUR",'Future et co'!E3427,IF(currency="GBP",'Future et co'!F3427,FALSE)))</f>
        <v>RFR USD</v>
      </c>
      <c r="D3427" t="str">
        <f t="shared" ca="1" si="266"/>
        <v>RFR USD</v>
      </c>
      <c r="E3427" t="str">
        <f t="shared" ca="1" si="267"/>
        <v>RFR EUR</v>
      </c>
      <c r="F3427" t="str">
        <f t="shared" ca="1" si="268"/>
        <v>RFR GBP</v>
      </c>
      <c r="J3427" s="1"/>
      <c r="N3427" s="1"/>
      <c r="R3427" s="1"/>
      <c r="V3427" s="1"/>
      <c r="AB3427" s="1"/>
      <c r="AF3427" s="1"/>
      <c r="AJ3427" s="1"/>
      <c r="AN3427" s="1"/>
      <c r="AS3427" s="1"/>
      <c r="AX3427" s="1"/>
    </row>
    <row r="3428" spans="1:50" x14ac:dyDescent="0.3">
      <c r="A3428" s="19">
        <f t="shared" si="269"/>
        <v>50713</v>
      </c>
      <c r="B3428">
        <f t="shared" ca="1" si="265"/>
        <v>-12.669444444444444</v>
      </c>
      <c r="C3428" t="str">
        <f ca="1">IF(currency="USD",'Future et co'!D3428,IF(currency="EUR",'Future et co'!E3428,IF(currency="GBP",'Future et co'!F3428,FALSE)))</f>
        <v>RFR USD</v>
      </c>
      <c r="D3428" t="str">
        <f t="shared" ca="1" si="266"/>
        <v>RFR USD</v>
      </c>
      <c r="E3428" t="str">
        <f t="shared" ca="1" si="267"/>
        <v>RFR EUR</v>
      </c>
      <c r="F3428" t="str">
        <f t="shared" ca="1" si="268"/>
        <v>RFR GBP</v>
      </c>
      <c r="J3428" s="1"/>
      <c r="N3428" s="1"/>
      <c r="R3428" s="1"/>
      <c r="V3428" s="1"/>
      <c r="AB3428" s="1"/>
      <c r="AF3428" s="1"/>
      <c r="AJ3428" s="1"/>
      <c r="AN3428" s="1"/>
      <c r="AS3428" s="1"/>
      <c r="AX3428" s="1"/>
    </row>
    <row r="3429" spans="1:50" x14ac:dyDescent="0.3">
      <c r="A3429" s="19">
        <f t="shared" si="269"/>
        <v>50714</v>
      </c>
      <c r="B3429">
        <f t="shared" ca="1" si="265"/>
        <v>-12.672222222222222</v>
      </c>
      <c r="C3429" t="str">
        <f ca="1">IF(currency="USD",'Future et co'!D3429,IF(currency="EUR",'Future et co'!E3429,IF(currency="GBP",'Future et co'!F3429,FALSE)))</f>
        <v>RFR USD</v>
      </c>
      <c r="D3429" t="str">
        <f t="shared" ca="1" si="266"/>
        <v>RFR USD</v>
      </c>
      <c r="E3429" t="str">
        <f t="shared" ca="1" si="267"/>
        <v>RFR EUR</v>
      </c>
      <c r="F3429" t="str">
        <f t="shared" ca="1" si="268"/>
        <v>RFR GBP</v>
      </c>
      <c r="J3429" s="1"/>
      <c r="N3429" s="1"/>
      <c r="R3429" s="1"/>
      <c r="V3429" s="1"/>
      <c r="AB3429" s="1"/>
      <c r="AF3429" s="1"/>
      <c r="AJ3429" s="1"/>
      <c r="AN3429" s="1"/>
      <c r="AS3429" s="1"/>
      <c r="AX3429" s="1"/>
    </row>
    <row r="3430" spans="1:50" x14ac:dyDescent="0.3">
      <c r="A3430" s="19">
        <f t="shared" si="269"/>
        <v>50717</v>
      </c>
      <c r="B3430">
        <f t="shared" ca="1" si="265"/>
        <v>-12.680555555555555</v>
      </c>
      <c r="C3430" t="str">
        <f ca="1">IF(currency="USD",'Future et co'!D3430,IF(currency="EUR",'Future et co'!E3430,IF(currency="GBP",'Future et co'!F3430,FALSE)))</f>
        <v>RFR USD</v>
      </c>
      <c r="D3430" t="str">
        <f t="shared" ca="1" si="266"/>
        <v>RFR USD</v>
      </c>
      <c r="E3430" t="str">
        <f t="shared" ca="1" si="267"/>
        <v>RFR EUR</v>
      </c>
      <c r="F3430" t="str">
        <f t="shared" ca="1" si="268"/>
        <v>RFR GBP</v>
      </c>
      <c r="J3430" s="1"/>
      <c r="N3430" s="1"/>
      <c r="R3430" s="1"/>
      <c r="V3430" s="1"/>
      <c r="AB3430" s="1"/>
      <c r="AF3430" s="1"/>
      <c r="AJ3430" s="1"/>
      <c r="AN3430" s="1"/>
      <c r="AS3430" s="1"/>
      <c r="AX3430" s="1"/>
    </row>
    <row r="3431" spans="1:50" x14ac:dyDescent="0.3">
      <c r="A3431" s="19">
        <f t="shared" si="269"/>
        <v>50718</v>
      </c>
      <c r="B3431">
        <f t="shared" ca="1" si="265"/>
        <v>-12.683333333333334</v>
      </c>
      <c r="C3431" t="str">
        <f ca="1">IF(currency="USD",'Future et co'!D3431,IF(currency="EUR",'Future et co'!E3431,IF(currency="GBP",'Future et co'!F3431,FALSE)))</f>
        <v>RFR USD</v>
      </c>
      <c r="D3431" t="str">
        <f t="shared" ca="1" si="266"/>
        <v>RFR USD</v>
      </c>
      <c r="E3431" t="str">
        <f t="shared" ca="1" si="267"/>
        <v>RFR EUR</v>
      </c>
      <c r="F3431" t="str">
        <f t="shared" ca="1" si="268"/>
        <v>RFR GBP</v>
      </c>
      <c r="J3431" s="1"/>
      <c r="N3431" s="1"/>
      <c r="R3431" s="1"/>
      <c r="V3431" s="1"/>
      <c r="AB3431" s="1"/>
      <c r="AF3431" s="1"/>
      <c r="AJ3431" s="1"/>
      <c r="AN3431" s="1"/>
      <c r="AS3431" s="1"/>
      <c r="AX3431" s="1"/>
    </row>
    <row r="3432" spans="1:50" x14ac:dyDescent="0.3">
      <c r="A3432" s="19">
        <f t="shared" si="269"/>
        <v>50719</v>
      </c>
      <c r="B3432">
        <f t="shared" ca="1" si="265"/>
        <v>-12.686111111111112</v>
      </c>
      <c r="C3432" t="str">
        <f ca="1">IF(currency="USD",'Future et co'!D3432,IF(currency="EUR",'Future et co'!E3432,IF(currency="GBP",'Future et co'!F3432,FALSE)))</f>
        <v>RFR USD</v>
      </c>
      <c r="D3432" t="str">
        <f t="shared" ca="1" si="266"/>
        <v>RFR USD</v>
      </c>
      <c r="E3432" t="str">
        <f t="shared" ca="1" si="267"/>
        <v>RFR EUR</v>
      </c>
      <c r="F3432" t="str">
        <f t="shared" ca="1" si="268"/>
        <v>RFR GBP</v>
      </c>
      <c r="J3432" s="1"/>
      <c r="N3432" s="1"/>
      <c r="R3432" s="1"/>
      <c r="V3432" s="1"/>
      <c r="AB3432" s="1"/>
      <c r="AF3432" s="1"/>
      <c r="AJ3432" s="1"/>
      <c r="AN3432" s="1"/>
      <c r="AS3432" s="1"/>
      <c r="AX3432" s="1"/>
    </row>
    <row r="3433" spans="1:50" x14ac:dyDescent="0.3">
      <c r="A3433" s="19">
        <f t="shared" si="269"/>
        <v>50720</v>
      </c>
      <c r="B3433">
        <f t="shared" ca="1" si="265"/>
        <v>-12.688888888888888</v>
      </c>
      <c r="C3433" t="str">
        <f ca="1">IF(currency="USD",'Future et co'!D3433,IF(currency="EUR",'Future et co'!E3433,IF(currency="GBP",'Future et co'!F3433,FALSE)))</f>
        <v>RFR USD</v>
      </c>
      <c r="D3433" t="str">
        <f t="shared" ca="1" si="266"/>
        <v>RFR USD</v>
      </c>
      <c r="E3433" t="str">
        <f t="shared" ca="1" si="267"/>
        <v>RFR EUR</v>
      </c>
      <c r="F3433" t="str">
        <f t="shared" ca="1" si="268"/>
        <v>RFR GBP</v>
      </c>
      <c r="J3433" s="1"/>
      <c r="N3433" s="1"/>
      <c r="R3433" s="1"/>
      <c r="V3433" s="1"/>
      <c r="AB3433" s="1"/>
      <c r="AF3433" s="1"/>
      <c r="AJ3433" s="1"/>
      <c r="AN3433" s="1"/>
      <c r="AS3433" s="1"/>
      <c r="AX3433" s="1"/>
    </row>
    <row r="3434" spans="1:50" x14ac:dyDescent="0.3">
      <c r="A3434" s="19">
        <f t="shared" si="269"/>
        <v>50721</v>
      </c>
      <c r="B3434">
        <f t="shared" ca="1" si="265"/>
        <v>-12.691666666666666</v>
      </c>
      <c r="C3434" t="str">
        <f ca="1">IF(currency="USD",'Future et co'!D3434,IF(currency="EUR",'Future et co'!E3434,IF(currency="GBP",'Future et co'!F3434,FALSE)))</f>
        <v>RFR USD</v>
      </c>
      <c r="D3434" t="str">
        <f t="shared" ca="1" si="266"/>
        <v>RFR USD</v>
      </c>
      <c r="E3434" t="str">
        <f t="shared" ca="1" si="267"/>
        <v>RFR EUR</v>
      </c>
      <c r="F3434" t="str">
        <f t="shared" ca="1" si="268"/>
        <v>RFR GBP</v>
      </c>
      <c r="J3434" s="1"/>
      <c r="N3434" s="1"/>
      <c r="R3434" s="1"/>
      <c r="V3434" s="1"/>
      <c r="AB3434" s="1"/>
      <c r="AF3434" s="1"/>
      <c r="AJ3434" s="1"/>
      <c r="AN3434" s="1"/>
      <c r="AS3434" s="1"/>
      <c r="AX3434" s="1"/>
    </row>
    <row r="3435" spans="1:50" x14ac:dyDescent="0.3">
      <c r="A3435" s="19">
        <f t="shared" si="269"/>
        <v>50724</v>
      </c>
      <c r="B3435">
        <f t="shared" ca="1" si="265"/>
        <v>-12.7</v>
      </c>
      <c r="C3435" t="str">
        <f ca="1">IF(currency="USD",'Future et co'!D3435,IF(currency="EUR",'Future et co'!E3435,IF(currency="GBP",'Future et co'!F3435,FALSE)))</f>
        <v>RFR USD</v>
      </c>
      <c r="D3435" t="str">
        <f t="shared" ca="1" si="266"/>
        <v>RFR USD</v>
      </c>
      <c r="E3435" t="str">
        <f t="shared" ca="1" si="267"/>
        <v>RFR EUR</v>
      </c>
      <c r="F3435" t="str">
        <f t="shared" ca="1" si="268"/>
        <v>RFR GBP</v>
      </c>
      <c r="J3435" s="1"/>
      <c r="N3435" s="1"/>
      <c r="R3435" s="1"/>
      <c r="V3435" s="1"/>
      <c r="AB3435" s="1"/>
      <c r="AF3435" s="1"/>
      <c r="AJ3435" s="1"/>
      <c r="AN3435" s="1"/>
      <c r="AS3435" s="1"/>
      <c r="AX3435" s="1"/>
    </row>
    <row r="3436" spans="1:50" x14ac:dyDescent="0.3">
      <c r="A3436" s="19">
        <f t="shared" si="269"/>
        <v>50725</v>
      </c>
      <c r="B3436">
        <f t="shared" ca="1" si="265"/>
        <v>-12.702777777777778</v>
      </c>
      <c r="C3436" t="str">
        <f ca="1">IF(currency="USD",'Future et co'!D3436,IF(currency="EUR",'Future et co'!E3436,IF(currency="GBP",'Future et co'!F3436,FALSE)))</f>
        <v>RFR USD</v>
      </c>
      <c r="D3436" t="str">
        <f t="shared" ca="1" si="266"/>
        <v>RFR USD</v>
      </c>
      <c r="E3436" t="str">
        <f t="shared" ca="1" si="267"/>
        <v>RFR EUR</v>
      </c>
      <c r="F3436" t="str">
        <f t="shared" ca="1" si="268"/>
        <v>RFR GBP</v>
      </c>
      <c r="J3436" s="1"/>
      <c r="N3436" s="1"/>
      <c r="R3436" s="1"/>
      <c r="V3436" s="1"/>
      <c r="AB3436" s="1"/>
      <c r="AF3436" s="1"/>
      <c r="AJ3436" s="1"/>
      <c r="AN3436" s="1"/>
      <c r="AS3436" s="1"/>
      <c r="AX3436" s="1"/>
    </row>
    <row r="3437" spans="1:50" x14ac:dyDescent="0.3">
      <c r="A3437" s="19">
        <f t="shared" si="269"/>
        <v>50726</v>
      </c>
      <c r="B3437">
        <f t="shared" ca="1" si="265"/>
        <v>-12.705555555555556</v>
      </c>
      <c r="C3437" t="str">
        <f ca="1">IF(currency="USD",'Future et co'!D3437,IF(currency="EUR",'Future et co'!E3437,IF(currency="GBP",'Future et co'!F3437,FALSE)))</f>
        <v>RFR USD</v>
      </c>
      <c r="D3437" t="str">
        <f t="shared" ca="1" si="266"/>
        <v>RFR USD</v>
      </c>
      <c r="E3437" t="str">
        <f t="shared" ca="1" si="267"/>
        <v>RFR EUR</v>
      </c>
      <c r="F3437" t="str">
        <f t="shared" ca="1" si="268"/>
        <v>RFR GBP</v>
      </c>
      <c r="J3437" s="1"/>
      <c r="N3437" s="1"/>
      <c r="R3437" s="1"/>
      <c r="V3437" s="1"/>
      <c r="AB3437" s="1"/>
      <c r="AF3437" s="1"/>
      <c r="AJ3437" s="1"/>
      <c r="AN3437" s="1"/>
      <c r="AS3437" s="1"/>
      <c r="AX3437" s="1"/>
    </row>
    <row r="3438" spans="1:50" x14ac:dyDescent="0.3">
      <c r="A3438" s="19">
        <f t="shared" si="269"/>
        <v>50727</v>
      </c>
      <c r="B3438">
        <f t="shared" ca="1" si="265"/>
        <v>-12.708333333333334</v>
      </c>
      <c r="C3438" t="str">
        <f ca="1">IF(currency="USD",'Future et co'!D3438,IF(currency="EUR",'Future et co'!E3438,IF(currency="GBP",'Future et co'!F3438,FALSE)))</f>
        <v>RFR USD</v>
      </c>
      <c r="D3438" t="str">
        <f t="shared" ca="1" si="266"/>
        <v>RFR USD</v>
      </c>
      <c r="E3438" t="str">
        <f t="shared" ca="1" si="267"/>
        <v>RFR EUR</v>
      </c>
      <c r="F3438" t="str">
        <f t="shared" ca="1" si="268"/>
        <v>RFR GBP</v>
      </c>
      <c r="J3438" s="1"/>
      <c r="N3438" s="1"/>
      <c r="R3438" s="1"/>
      <c r="V3438" s="1"/>
      <c r="AB3438" s="1"/>
      <c r="AF3438" s="1"/>
      <c r="AJ3438" s="1"/>
      <c r="AN3438" s="1"/>
      <c r="AS3438" s="1"/>
      <c r="AX3438" s="1"/>
    </row>
    <row r="3439" spans="1:50" x14ac:dyDescent="0.3">
      <c r="A3439" s="19">
        <f t="shared" si="269"/>
        <v>50728</v>
      </c>
      <c r="B3439">
        <f t="shared" ca="1" si="265"/>
        <v>-12.71111111111111</v>
      </c>
      <c r="C3439" t="str">
        <f ca="1">IF(currency="USD",'Future et co'!D3439,IF(currency="EUR",'Future et co'!E3439,IF(currency="GBP",'Future et co'!F3439,FALSE)))</f>
        <v>RFR USD</v>
      </c>
      <c r="D3439" t="str">
        <f t="shared" ca="1" si="266"/>
        <v>RFR USD</v>
      </c>
      <c r="E3439" t="str">
        <f t="shared" ca="1" si="267"/>
        <v>RFR EUR</v>
      </c>
      <c r="F3439" t="str">
        <f t="shared" ca="1" si="268"/>
        <v>RFR GBP</v>
      </c>
      <c r="J3439" s="1"/>
      <c r="N3439" s="1"/>
      <c r="R3439" s="1"/>
      <c r="V3439" s="1"/>
      <c r="AB3439" s="1"/>
      <c r="AF3439" s="1"/>
      <c r="AJ3439" s="1"/>
      <c r="AN3439" s="1"/>
      <c r="AS3439" s="1"/>
      <c r="AX3439" s="1"/>
    </row>
    <row r="3440" spans="1:50" x14ac:dyDescent="0.3">
      <c r="A3440" s="19">
        <f t="shared" si="269"/>
        <v>50731</v>
      </c>
      <c r="B3440">
        <f t="shared" ca="1" si="265"/>
        <v>-12.719444444444445</v>
      </c>
      <c r="C3440" t="str">
        <f ca="1">IF(currency="USD",'Future et co'!D3440,IF(currency="EUR",'Future et co'!E3440,IF(currency="GBP",'Future et co'!F3440,FALSE)))</f>
        <v>RFR USD</v>
      </c>
      <c r="D3440" t="str">
        <f t="shared" ca="1" si="266"/>
        <v>RFR USD</v>
      </c>
      <c r="E3440" t="str">
        <f t="shared" ca="1" si="267"/>
        <v>RFR EUR</v>
      </c>
      <c r="F3440" t="str">
        <f t="shared" ca="1" si="268"/>
        <v>RFR GBP</v>
      </c>
      <c r="J3440" s="1"/>
      <c r="N3440" s="1"/>
      <c r="R3440" s="1"/>
      <c r="V3440" s="1"/>
      <c r="AB3440" s="1"/>
      <c r="AF3440" s="1"/>
      <c r="AJ3440" s="1"/>
      <c r="AN3440" s="1"/>
      <c r="AS3440" s="1"/>
      <c r="AX3440" s="1"/>
    </row>
    <row r="3441" spans="1:50" x14ac:dyDescent="0.3">
      <c r="A3441" s="19">
        <f t="shared" si="269"/>
        <v>50732</v>
      </c>
      <c r="B3441">
        <f t="shared" ca="1" si="265"/>
        <v>-12.722222222222221</v>
      </c>
      <c r="C3441" t="str">
        <f ca="1">IF(currency="USD",'Future et co'!D3441,IF(currency="EUR",'Future et co'!E3441,IF(currency="GBP",'Future et co'!F3441,FALSE)))</f>
        <v>RFR USD</v>
      </c>
      <c r="D3441" t="str">
        <f t="shared" ca="1" si="266"/>
        <v>RFR USD</v>
      </c>
      <c r="E3441" t="str">
        <f t="shared" ca="1" si="267"/>
        <v>RFR EUR</v>
      </c>
      <c r="F3441" t="str">
        <f t="shared" ca="1" si="268"/>
        <v>RFR GBP</v>
      </c>
      <c r="J3441" s="1"/>
      <c r="N3441" s="1"/>
      <c r="R3441" s="1"/>
      <c r="V3441" s="1"/>
      <c r="AB3441" s="1"/>
      <c r="AF3441" s="1"/>
      <c r="AJ3441" s="1"/>
      <c r="AN3441" s="1"/>
      <c r="AS3441" s="1"/>
      <c r="AX3441" s="1"/>
    </row>
    <row r="3442" spans="1:50" x14ac:dyDescent="0.3">
      <c r="A3442" s="19">
        <f t="shared" si="269"/>
        <v>50733</v>
      </c>
      <c r="B3442">
        <f t="shared" ca="1" si="265"/>
        <v>-12.725</v>
      </c>
      <c r="C3442" t="str">
        <f ca="1">IF(currency="USD",'Future et co'!D3442,IF(currency="EUR",'Future et co'!E3442,IF(currency="GBP",'Future et co'!F3442,FALSE)))</f>
        <v>RFR USD</v>
      </c>
      <c r="D3442" t="str">
        <f t="shared" ca="1" si="266"/>
        <v>RFR USD</v>
      </c>
      <c r="E3442" t="str">
        <f t="shared" ca="1" si="267"/>
        <v>RFR EUR</v>
      </c>
      <c r="F3442" t="str">
        <f t="shared" ca="1" si="268"/>
        <v>RFR GBP</v>
      </c>
      <c r="J3442" s="1"/>
      <c r="N3442" s="1"/>
      <c r="R3442" s="1"/>
      <c r="V3442" s="1"/>
      <c r="AB3442" s="1"/>
      <c r="AF3442" s="1"/>
      <c r="AJ3442" s="1"/>
      <c r="AN3442" s="1"/>
      <c r="AS3442" s="1"/>
      <c r="AX3442" s="1"/>
    </row>
    <row r="3443" spans="1:50" x14ac:dyDescent="0.3">
      <c r="A3443" s="19">
        <f t="shared" si="269"/>
        <v>50734</v>
      </c>
      <c r="B3443">
        <f t="shared" ca="1" si="265"/>
        <v>-12.727777777777778</v>
      </c>
      <c r="C3443" t="str">
        <f ca="1">IF(currency="USD",'Future et co'!D3443,IF(currency="EUR",'Future et co'!E3443,IF(currency="GBP",'Future et co'!F3443,FALSE)))</f>
        <v>RFR USD</v>
      </c>
      <c r="D3443" t="str">
        <f t="shared" ca="1" si="266"/>
        <v>RFR USD</v>
      </c>
      <c r="E3443" t="str">
        <f t="shared" ca="1" si="267"/>
        <v>RFR EUR</v>
      </c>
      <c r="F3443" t="str">
        <f t="shared" ca="1" si="268"/>
        <v>RFR GBP</v>
      </c>
      <c r="J3443" s="1"/>
      <c r="N3443" s="1"/>
      <c r="R3443" s="1"/>
      <c r="V3443" s="1"/>
      <c r="AB3443" s="1"/>
      <c r="AF3443" s="1"/>
      <c r="AJ3443" s="1"/>
      <c r="AN3443" s="1"/>
      <c r="AS3443" s="1"/>
      <c r="AX3443" s="1"/>
    </row>
    <row r="3444" spans="1:50" x14ac:dyDescent="0.3">
      <c r="A3444" s="19">
        <f t="shared" si="269"/>
        <v>50735</v>
      </c>
      <c r="B3444">
        <f t="shared" ca="1" si="265"/>
        <v>-12.730555555555556</v>
      </c>
      <c r="C3444" t="str">
        <f ca="1">IF(currency="USD",'Future et co'!D3444,IF(currency="EUR",'Future et co'!E3444,IF(currency="GBP",'Future et co'!F3444,FALSE)))</f>
        <v>RFR USD</v>
      </c>
      <c r="D3444" t="str">
        <f t="shared" ca="1" si="266"/>
        <v>RFR USD</v>
      </c>
      <c r="E3444" t="str">
        <f t="shared" ca="1" si="267"/>
        <v>RFR EUR</v>
      </c>
      <c r="F3444" t="str">
        <f t="shared" ca="1" si="268"/>
        <v>RFR GBP</v>
      </c>
      <c r="J3444" s="1"/>
      <c r="N3444" s="1"/>
      <c r="R3444" s="1"/>
      <c r="V3444" s="1"/>
      <c r="AB3444" s="1"/>
      <c r="AF3444" s="1"/>
      <c r="AJ3444" s="1"/>
      <c r="AN3444" s="1"/>
      <c r="AS3444" s="1"/>
      <c r="AX3444" s="1"/>
    </row>
    <row r="3445" spans="1:50" x14ac:dyDescent="0.3">
      <c r="A3445" s="19">
        <f t="shared" si="269"/>
        <v>50738</v>
      </c>
      <c r="B3445">
        <f t="shared" ca="1" si="265"/>
        <v>-12.738888888888889</v>
      </c>
      <c r="C3445" t="str">
        <f ca="1">IF(currency="USD",'Future et co'!D3445,IF(currency="EUR",'Future et co'!E3445,IF(currency="GBP",'Future et co'!F3445,FALSE)))</f>
        <v>RFR USD</v>
      </c>
      <c r="D3445" t="str">
        <f t="shared" ca="1" si="266"/>
        <v>RFR USD</v>
      </c>
      <c r="E3445" t="str">
        <f t="shared" ca="1" si="267"/>
        <v>RFR EUR</v>
      </c>
      <c r="F3445" t="str">
        <f t="shared" ca="1" si="268"/>
        <v>RFR GBP</v>
      </c>
      <c r="J3445" s="1"/>
      <c r="N3445" s="1"/>
      <c r="R3445" s="1"/>
      <c r="V3445" s="1"/>
      <c r="AB3445" s="1"/>
      <c r="AF3445" s="1"/>
      <c r="AJ3445" s="1"/>
      <c r="AN3445" s="1"/>
      <c r="AS3445" s="1"/>
      <c r="AX3445" s="1"/>
    </row>
    <row r="3446" spans="1:50" x14ac:dyDescent="0.3">
      <c r="A3446" s="19">
        <f t="shared" si="269"/>
        <v>50739</v>
      </c>
      <c r="B3446">
        <f t="shared" ca="1" si="265"/>
        <v>-12.741666666666667</v>
      </c>
      <c r="C3446" t="str">
        <f ca="1">IF(currency="USD",'Future et co'!D3446,IF(currency="EUR",'Future et co'!E3446,IF(currency="GBP",'Future et co'!F3446,FALSE)))</f>
        <v>RFR USD</v>
      </c>
      <c r="D3446" t="str">
        <f t="shared" ca="1" si="266"/>
        <v>RFR USD</v>
      </c>
      <c r="E3446" t="str">
        <f t="shared" ca="1" si="267"/>
        <v>RFR EUR</v>
      </c>
      <c r="F3446" t="str">
        <f t="shared" ca="1" si="268"/>
        <v>RFR GBP</v>
      </c>
      <c r="J3446" s="1"/>
      <c r="N3446" s="1"/>
      <c r="R3446" s="1"/>
      <c r="V3446" s="1"/>
      <c r="AB3446" s="1"/>
      <c r="AF3446" s="1"/>
      <c r="AJ3446" s="1"/>
      <c r="AN3446" s="1"/>
      <c r="AS3446" s="1"/>
      <c r="AX3446" s="1"/>
    </row>
    <row r="3447" spans="1:50" x14ac:dyDescent="0.3">
      <c r="A3447" s="19">
        <f t="shared" si="269"/>
        <v>50740</v>
      </c>
      <c r="B3447">
        <f t="shared" ca="1" si="265"/>
        <v>-12.744444444444444</v>
      </c>
      <c r="C3447" t="str">
        <f ca="1">IF(currency="USD",'Future et co'!D3447,IF(currency="EUR",'Future et co'!E3447,IF(currency="GBP",'Future et co'!F3447,FALSE)))</f>
        <v>RFR USD</v>
      </c>
      <c r="D3447" t="str">
        <f t="shared" ca="1" si="266"/>
        <v>RFR USD</v>
      </c>
      <c r="E3447" t="str">
        <f t="shared" ca="1" si="267"/>
        <v>RFR EUR</v>
      </c>
      <c r="F3447" t="str">
        <f t="shared" ca="1" si="268"/>
        <v>RFR GBP</v>
      </c>
      <c r="J3447" s="1"/>
      <c r="N3447" s="1"/>
      <c r="R3447" s="1"/>
      <c r="V3447" s="1"/>
      <c r="AB3447" s="1"/>
      <c r="AF3447" s="1"/>
      <c r="AJ3447" s="1"/>
      <c r="AN3447" s="1"/>
      <c r="AS3447" s="1"/>
      <c r="AX3447" s="1"/>
    </row>
    <row r="3448" spans="1:50" x14ac:dyDescent="0.3">
      <c r="A3448" s="19">
        <f t="shared" si="269"/>
        <v>50741</v>
      </c>
      <c r="B3448">
        <f t="shared" ca="1" si="265"/>
        <v>-12.747222222222222</v>
      </c>
      <c r="C3448" t="str">
        <f ca="1">IF(currency="USD",'Future et co'!D3448,IF(currency="EUR",'Future et co'!E3448,IF(currency="GBP",'Future et co'!F3448,FALSE)))</f>
        <v>RFR USD</v>
      </c>
      <c r="D3448" t="str">
        <f t="shared" ca="1" si="266"/>
        <v>RFR USD</v>
      </c>
      <c r="E3448" t="str">
        <f t="shared" ca="1" si="267"/>
        <v>RFR EUR</v>
      </c>
      <c r="F3448" t="str">
        <f t="shared" ca="1" si="268"/>
        <v>RFR GBP</v>
      </c>
      <c r="J3448" s="1"/>
      <c r="N3448" s="1"/>
      <c r="R3448" s="1"/>
      <c r="V3448" s="1"/>
      <c r="AB3448" s="1"/>
      <c r="AF3448" s="1"/>
      <c r="AJ3448" s="1"/>
      <c r="AN3448" s="1"/>
      <c r="AS3448" s="1"/>
      <c r="AX3448" s="1"/>
    </row>
    <row r="3449" spans="1:50" x14ac:dyDescent="0.3">
      <c r="A3449" s="19">
        <f t="shared" si="269"/>
        <v>50742</v>
      </c>
      <c r="B3449">
        <f t="shared" ca="1" si="265"/>
        <v>-12.75</v>
      </c>
      <c r="C3449" t="str">
        <f ca="1">IF(currency="USD",'Future et co'!D3449,IF(currency="EUR",'Future et co'!E3449,IF(currency="GBP",'Future et co'!F3449,FALSE)))</f>
        <v>RFR USD</v>
      </c>
      <c r="D3449" t="str">
        <f t="shared" ca="1" si="266"/>
        <v>RFR USD</v>
      </c>
      <c r="E3449" t="str">
        <f t="shared" ca="1" si="267"/>
        <v>RFR EUR</v>
      </c>
      <c r="F3449" t="str">
        <f t="shared" ca="1" si="268"/>
        <v>RFR GBP</v>
      </c>
      <c r="J3449" s="1"/>
      <c r="N3449" s="1"/>
      <c r="R3449" s="1"/>
      <c r="V3449" s="1"/>
      <c r="AB3449" s="1"/>
      <c r="AF3449" s="1"/>
      <c r="AJ3449" s="1"/>
      <c r="AN3449" s="1"/>
      <c r="AS3449" s="1"/>
      <c r="AX3449" s="1"/>
    </row>
    <row r="3450" spans="1:50" x14ac:dyDescent="0.3">
      <c r="A3450" s="19">
        <f t="shared" si="269"/>
        <v>50745</v>
      </c>
      <c r="B3450">
        <f t="shared" ca="1" si="265"/>
        <v>-12.758333333333333</v>
      </c>
      <c r="C3450" t="str">
        <f ca="1">IF(currency="USD",'Future et co'!D3450,IF(currency="EUR",'Future et co'!E3450,IF(currency="GBP",'Future et co'!F3450,FALSE)))</f>
        <v>RFR USD</v>
      </c>
      <c r="D3450" t="str">
        <f t="shared" ca="1" si="266"/>
        <v>RFR USD</v>
      </c>
      <c r="E3450" t="str">
        <f t="shared" ca="1" si="267"/>
        <v>RFR EUR</v>
      </c>
      <c r="F3450" t="str">
        <f t="shared" ca="1" si="268"/>
        <v>RFR GBP</v>
      </c>
      <c r="J3450" s="1"/>
      <c r="N3450" s="1"/>
      <c r="R3450" s="1"/>
      <c r="V3450" s="1"/>
      <c r="AB3450" s="1"/>
      <c r="AF3450" s="1"/>
      <c r="AJ3450" s="1"/>
      <c r="AN3450" s="1"/>
      <c r="AS3450" s="1"/>
      <c r="AX3450" s="1"/>
    </row>
    <row r="3451" spans="1:50" x14ac:dyDescent="0.3">
      <c r="A3451" s="19">
        <f t="shared" si="269"/>
        <v>50746</v>
      </c>
      <c r="B3451">
        <f t="shared" ca="1" si="265"/>
        <v>-12.761111111111111</v>
      </c>
      <c r="C3451" t="str">
        <f ca="1">IF(currency="USD",'Future et co'!D3451,IF(currency="EUR",'Future et co'!E3451,IF(currency="GBP",'Future et co'!F3451,FALSE)))</f>
        <v>RFR USD</v>
      </c>
      <c r="D3451" t="str">
        <f t="shared" ca="1" si="266"/>
        <v>RFR USD</v>
      </c>
      <c r="E3451" t="str">
        <f t="shared" ca="1" si="267"/>
        <v>RFR EUR</v>
      </c>
      <c r="F3451" t="str">
        <f t="shared" ca="1" si="268"/>
        <v>RFR GBP</v>
      </c>
      <c r="J3451" s="1"/>
      <c r="N3451" s="1"/>
      <c r="R3451" s="1"/>
      <c r="V3451" s="1"/>
      <c r="AB3451" s="1"/>
      <c r="AF3451" s="1"/>
      <c r="AJ3451" s="1"/>
      <c r="AN3451" s="1"/>
      <c r="AS3451" s="1"/>
      <c r="AX3451" s="1"/>
    </row>
    <row r="3452" spans="1:50" x14ac:dyDescent="0.3">
      <c r="A3452" s="19">
        <f t="shared" si="269"/>
        <v>50747</v>
      </c>
      <c r="B3452">
        <f t="shared" ca="1" si="265"/>
        <v>-12.763888888888889</v>
      </c>
      <c r="C3452" t="str">
        <f ca="1">IF(currency="USD",'Future et co'!D3452,IF(currency="EUR",'Future et co'!E3452,IF(currency="GBP",'Future et co'!F3452,FALSE)))</f>
        <v>RFR USD</v>
      </c>
      <c r="D3452" t="str">
        <f t="shared" ca="1" si="266"/>
        <v>RFR USD</v>
      </c>
      <c r="E3452" t="str">
        <f t="shared" ca="1" si="267"/>
        <v>RFR EUR</v>
      </c>
      <c r="F3452" t="str">
        <f t="shared" ca="1" si="268"/>
        <v>RFR GBP</v>
      </c>
      <c r="J3452" s="1"/>
      <c r="N3452" s="1"/>
      <c r="R3452" s="1"/>
      <c r="V3452" s="1"/>
      <c r="AB3452" s="1"/>
      <c r="AF3452" s="1"/>
      <c r="AJ3452" s="1"/>
      <c r="AN3452" s="1"/>
      <c r="AS3452" s="1"/>
      <c r="AX3452" s="1"/>
    </row>
    <row r="3453" spans="1:50" x14ac:dyDescent="0.3">
      <c r="A3453" s="19">
        <f t="shared" si="269"/>
        <v>50748</v>
      </c>
      <c r="B3453">
        <f t="shared" ca="1" si="265"/>
        <v>-12.766666666666667</v>
      </c>
      <c r="C3453" t="str">
        <f ca="1">IF(currency="USD",'Future et co'!D3453,IF(currency="EUR",'Future et co'!E3453,IF(currency="GBP",'Future et co'!F3453,FALSE)))</f>
        <v>RFR USD</v>
      </c>
      <c r="D3453" t="str">
        <f t="shared" ca="1" si="266"/>
        <v>RFR USD</v>
      </c>
      <c r="E3453" t="str">
        <f t="shared" ca="1" si="267"/>
        <v>RFR EUR</v>
      </c>
      <c r="F3453" t="str">
        <f t="shared" ca="1" si="268"/>
        <v>RFR GBP</v>
      </c>
      <c r="J3453" s="1"/>
      <c r="N3453" s="1"/>
      <c r="R3453" s="1"/>
      <c r="V3453" s="1"/>
      <c r="AB3453" s="1"/>
      <c r="AF3453" s="1"/>
      <c r="AJ3453" s="1"/>
      <c r="AN3453" s="1"/>
      <c r="AS3453" s="1"/>
      <c r="AX3453" s="1"/>
    </row>
    <row r="3454" spans="1:50" x14ac:dyDescent="0.3">
      <c r="A3454" s="19">
        <f t="shared" si="269"/>
        <v>50749</v>
      </c>
      <c r="B3454">
        <f t="shared" ca="1" si="265"/>
        <v>-12.769444444444444</v>
      </c>
      <c r="C3454" t="str">
        <f ca="1">IF(currency="USD",'Future et co'!D3454,IF(currency="EUR",'Future et co'!E3454,IF(currency="GBP",'Future et co'!F3454,FALSE)))</f>
        <v>RFR USD</v>
      </c>
      <c r="D3454" t="str">
        <f t="shared" ca="1" si="266"/>
        <v>RFR USD</v>
      </c>
      <c r="E3454" t="str">
        <f t="shared" ca="1" si="267"/>
        <v>RFR EUR</v>
      </c>
      <c r="F3454" t="str">
        <f t="shared" ca="1" si="268"/>
        <v>RFR GBP</v>
      </c>
      <c r="J3454" s="1"/>
      <c r="N3454" s="1"/>
      <c r="R3454" s="1"/>
      <c r="V3454" s="1"/>
      <c r="AB3454" s="1"/>
      <c r="AF3454" s="1"/>
      <c r="AJ3454" s="1"/>
      <c r="AN3454" s="1"/>
      <c r="AS3454" s="1"/>
      <c r="AX3454" s="1"/>
    </row>
    <row r="3455" spans="1:50" x14ac:dyDescent="0.3">
      <c r="A3455" s="19">
        <f t="shared" si="269"/>
        <v>50752</v>
      </c>
      <c r="B3455">
        <f t="shared" ca="1" si="265"/>
        <v>-12.777777777777779</v>
      </c>
      <c r="C3455" t="str">
        <f ca="1">IF(currency="USD",'Future et co'!D3455,IF(currency="EUR",'Future et co'!E3455,IF(currency="GBP",'Future et co'!F3455,FALSE)))</f>
        <v>RFR USD</v>
      </c>
      <c r="D3455" t="str">
        <f t="shared" ca="1" si="266"/>
        <v>RFR USD</v>
      </c>
      <c r="E3455" t="str">
        <f t="shared" ca="1" si="267"/>
        <v>RFR EUR</v>
      </c>
      <c r="F3455" t="str">
        <f t="shared" ca="1" si="268"/>
        <v>RFR GBP</v>
      </c>
      <c r="J3455" s="1"/>
      <c r="N3455" s="1"/>
      <c r="R3455" s="1"/>
      <c r="V3455" s="1"/>
      <c r="AB3455" s="1"/>
      <c r="AF3455" s="1"/>
      <c r="AJ3455" s="1"/>
      <c r="AN3455" s="1"/>
      <c r="AS3455" s="1"/>
      <c r="AX3455" s="1"/>
    </row>
    <row r="3456" spans="1:50" x14ac:dyDescent="0.3">
      <c r="A3456" s="19">
        <f t="shared" si="269"/>
        <v>50753</v>
      </c>
      <c r="B3456">
        <f t="shared" ca="1" si="265"/>
        <v>-12.780555555555555</v>
      </c>
      <c r="C3456" t="str">
        <f ca="1">IF(currency="USD",'Future et co'!D3456,IF(currency="EUR",'Future et co'!E3456,IF(currency="GBP",'Future et co'!F3456,FALSE)))</f>
        <v>RFR USD</v>
      </c>
      <c r="D3456" t="str">
        <f t="shared" ca="1" si="266"/>
        <v>RFR USD</v>
      </c>
      <c r="E3456" t="str">
        <f t="shared" ca="1" si="267"/>
        <v>RFR EUR</v>
      </c>
      <c r="F3456" t="str">
        <f t="shared" ca="1" si="268"/>
        <v>RFR GBP</v>
      </c>
      <c r="J3456" s="1"/>
      <c r="N3456" s="1"/>
      <c r="R3456" s="1"/>
      <c r="V3456" s="1"/>
      <c r="AB3456" s="1"/>
      <c r="AF3456" s="1"/>
      <c r="AJ3456" s="1"/>
      <c r="AN3456" s="1"/>
      <c r="AS3456" s="1"/>
      <c r="AX3456" s="1"/>
    </row>
    <row r="3457" spans="1:50" x14ac:dyDescent="0.3">
      <c r="A3457" s="19">
        <f t="shared" si="269"/>
        <v>50754</v>
      </c>
      <c r="B3457">
        <f t="shared" ca="1" si="265"/>
        <v>-12.783333333333333</v>
      </c>
      <c r="C3457" t="str">
        <f ca="1">IF(currency="USD",'Future et co'!D3457,IF(currency="EUR",'Future et co'!E3457,IF(currency="GBP",'Future et co'!F3457,FALSE)))</f>
        <v>RFR USD</v>
      </c>
      <c r="D3457" t="str">
        <f t="shared" ca="1" si="266"/>
        <v>RFR USD</v>
      </c>
      <c r="E3457" t="str">
        <f t="shared" ca="1" si="267"/>
        <v>RFR EUR</v>
      </c>
      <c r="F3457" t="str">
        <f t="shared" ca="1" si="268"/>
        <v>RFR GBP</v>
      </c>
      <c r="J3457" s="1"/>
      <c r="N3457" s="1"/>
      <c r="R3457" s="1"/>
      <c r="V3457" s="1"/>
      <c r="AB3457" s="1"/>
      <c r="AF3457" s="1"/>
      <c r="AJ3457" s="1"/>
      <c r="AN3457" s="1"/>
      <c r="AS3457" s="1"/>
      <c r="AX3457" s="1"/>
    </row>
    <row r="3458" spans="1:50" x14ac:dyDescent="0.3">
      <c r="A3458" s="19">
        <f t="shared" si="269"/>
        <v>50755</v>
      </c>
      <c r="B3458">
        <f t="shared" ca="1" si="265"/>
        <v>-12.786111111111111</v>
      </c>
      <c r="C3458" t="str">
        <f ca="1">IF(currency="USD",'Future et co'!D3458,IF(currency="EUR",'Future et co'!E3458,IF(currency="GBP",'Future et co'!F3458,FALSE)))</f>
        <v>RFR USD</v>
      </c>
      <c r="D3458" t="str">
        <f t="shared" ca="1" si="266"/>
        <v>RFR USD</v>
      </c>
      <c r="E3458" t="str">
        <f t="shared" ca="1" si="267"/>
        <v>RFR EUR</v>
      </c>
      <c r="F3458" t="str">
        <f t="shared" ca="1" si="268"/>
        <v>RFR GBP</v>
      </c>
      <c r="J3458" s="1"/>
      <c r="N3458" s="1"/>
      <c r="R3458" s="1"/>
      <c r="V3458" s="1"/>
      <c r="AB3458" s="1"/>
      <c r="AF3458" s="1"/>
      <c r="AJ3458" s="1"/>
      <c r="AN3458" s="1"/>
      <c r="AS3458" s="1"/>
      <c r="AX3458" s="1"/>
    </row>
    <row r="3459" spans="1:50" x14ac:dyDescent="0.3">
      <c r="A3459" s="19">
        <f t="shared" si="269"/>
        <v>50756</v>
      </c>
      <c r="B3459">
        <f t="shared" ca="1" si="265"/>
        <v>-12.78888888888889</v>
      </c>
      <c r="C3459" t="str">
        <f ca="1">IF(currency="USD",'Future et co'!D3459,IF(currency="EUR",'Future et co'!E3459,IF(currency="GBP",'Future et co'!F3459,FALSE)))</f>
        <v>RFR USD</v>
      </c>
      <c r="D3459" t="str">
        <f t="shared" ca="1" si="266"/>
        <v>RFR USD</v>
      </c>
      <c r="E3459" t="str">
        <f t="shared" ca="1" si="267"/>
        <v>RFR EUR</v>
      </c>
      <c r="F3459" t="str">
        <f t="shared" ca="1" si="268"/>
        <v>RFR GBP</v>
      </c>
      <c r="J3459" s="1"/>
      <c r="N3459" s="1"/>
      <c r="R3459" s="1"/>
      <c r="V3459" s="1"/>
      <c r="AB3459" s="1"/>
      <c r="AF3459" s="1"/>
      <c r="AJ3459" s="1"/>
      <c r="AN3459" s="1"/>
      <c r="AS3459" s="1"/>
      <c r="AX3459" s="1"/>
    </row>
    <row r="3460" spans="1:50" x14ac:dyDescent="0.3">
      <c r="A3460" s="19">
        <f t="shared" si="269"/>
        <v>50759</v>
      </c>
      <c r="B3460">
        <f t="shared" ca="1" si="265"/>
        <v>-12.797222222222222</v>
      </c>
      <c r="C3460" t="str">
        <f ca="1">IF(currency="USD",'Future et co'!D3460,IF(currency="EUR",'Future et co'!E3460,IF(currency="GBP",'Future et co'!F3460,FALSE)))</f>
        <v>RFR USD</v>
      </c>
      <c r="D3460" t="str">
        <f t="shared" ca="1" si="266"/>
        <v>RFR USD</v>
      </c>
      <c r="E3460" t="str">
        <f t="shared" ca="1" si="267"/>
        <v>RFR EUR</v>
      </c>
      <c r="F3460" t="str">
        <f t="shared" ca="1" si="268"/>
        <v>RFR GBP</v>
      </c>
      <c r="J3460" s="1"/>
      <c r="N3460" s="1"/>
      <c r="R3460" s="1"/>
      <c r="V3460" s="1"/>
      <c r="AB3460" s="1"/>
      <c r="AF3460" s="1"/>
      <c r="AJ3460" s="1"/>
      <c r="AN3460" s="1"/>
      <c r="AS3460" s="1"/>
      <c r="AX3460" s="1"/>
    </row>
    <row r="3461" spans="1:50" x14ac:dyDescent="0.3">
      <c r="A3461" s="19">
        <f t="shared" si="269"/>
        <v>50760</v>
      </c>
      <c r="B3461">
        <f t="shared" ca="1" si="265"/>
        <v>-12.8</v>
      </c>
      <c r="C3461" t="str">
        <f ca="1">IF(currency="USD",'Future et co'!D3461,IF(currency="EUR",'Future et co'!E3461,IF(currency="GBP",'Future et co'!F3461,FALSE)))</f>
        <v>RFR USD</v>
      </c>
      <c r="D3461" t="str">
        <f t="shared" ca="1" si="266"/>
        <v>RFR USD</v>
      </c>
      <c r="E3461" t="str">
        <f t="shared" ca="1" si="267"/>
        <v>RFR EUR</v>
      </c>
      <c r="F3461" t="str">
        <f t="shared" ca="1" si="268"/>
        <v>RFR GBP</v>
      </c>
      <c r="J3461" s="1"/>
      <c r="N3461" s="1"/>
      <c r="R3461" s="1"/>
      <c r="V3461" s="1"/>
      <c r="AB3461" s="1"/>
      <c r="AF3461" s="1"/>
      <c r="AJ3461" s="1"/>
      <c r="AN3461" s="1"/>
      <c r="AS3461" s="1"/>
      <c r="AX3461" s="1"/>
    </row>
    <row r="3462" spans="1:50" x14ac:dyDescent="0.3">
      <c r="A3462" s="19">
        <f t="shared" si="269"/>
        <v>50761</v>
      </c>
      <c r="B3462">
        <f t="shared" ca="1" si="265"/>
        <v>-12.802777777777777</v>
      </c>
      <c r="C3462" t="str">
        <f ca="1">IF(currency="USD",'Future et co'!D3462,IF(currency="EUR",'Future et co'!E3462,IF(currency="GBP",'Future et co'!F3462,FALSE)))</f>
        <v>RFR USD</v>
      </c>
      <c r="D3462" t="str">
        <f t="shared" ca="1" si="266"/>
        <v>RFR USD</v>
      </c>
      <c r="E3462" t="str">
        <f t="shared" ca="1" si="267"/>
        <v>RFR EUR</v>
      </c>
      <c r="F3462" t="str">
        <f t="shared" ca="1" si="268"/>
        <v>RFR GBP</v>
      </c>
      <c r="J3462" s="1"/>
      <c r="N3462" s="1"/>
      <c r="R3462" s="1"/>
      <c r="V3462" s="1"/>
      <c r="AB3462" s="1"/>
      <c r="AF3462" s="1"/>
      <c r="AJ3462" s="1"/>
      <c r="AN3462" s="1"/>
      <c r="AS3462" s="1"/>
      <c r="AX3462" s="1"/>
    </row>
    <row r="3463" spans="1:50" x14ac:dyDescent="0.3">
      <c r="A3463" s="19">
        <f t="shared" si="269"/>
        <v>50762</v>
      </c>
      <c r="B3463">
        <f t="shared" ca="1" si="265"/>
        <v>-12.805555555555555</v>
      </c>
      <c r="C3463" t="str">
        <f ca="1">IF(currency="USD",'Future et co'!D3463,IF(currency="EUR",'Future et co'!E3463,IF(currency="GBP",'Future et co'!F3463,FALSE)))</f>
        <v>RFR USD</v>
      </c>
      <c r="D3463" t="str">
        <f t="shared" ca="1" si="266"/>
        <v>RFR USD</v>
      </c>
      <c r="E3463" t="str">
        <f t="shared" ca="1" si="267"/>
        <v>RFR EUR</v>
      </c>
      <c r="F3463" t="str">
        <f t="shared" ca="1" si="268"/>
        <v>RFR GBP</v>
      </c>
      <c r="J3463" s="1"/>
      <c r="N3463" s="1"/>
      <c r="R3463" s="1"/>
      <c r="V3463" s="1"/>
      <c r="AB3463" s="1"/>
      <c r="AF3463" s="1"/>
      <c r="AJ3463" s="1"/>
      <c r="AN3463" s="1"/>
      <c r="AS3463" s="1"/>
      <c r="AX3463" s="1"/>
    </row>
    <row r="3464" spans="1:50" x14ac:dyDescent="0.3">
      <c r="A3464" s="19">
        <f t="shared" si="269"/>
        <v>50763</v>
      </c>
      <c r="B3464">
        <f t="shared" ca="1" si="265"/>
        <v>-12.808333333333334</v>
      </c>
      <c r="C3464" t="str">
        <f ca="1">IF(currency="USD",'Future et co'!D3464,IF(currency="EUR",'Future et co'!E3464,IF(currency="GBP",'Future et co'!F3464,FALSE)))</f>
        <v>RFR USD</v>
      </c>
      <c r="D3464" t="str">
        <f t="shared" ca="1" si="266"/>
        <v>RFR USD</v>
      </c>
      <c r="E3464" t="str">
        <f t="shared" ca="1" si="267"/>
        <v>RFR EUR</v>
      </c>
      <c r="F3464" t="str">
        <f t="shared" ca="1" si="268"/>
        <v>RFR GBP</v>
      </c>
      <c r="J3464" s="1"/>
      <c r="N3464" s="1"/>
      <c r="R3464" s="1"/>
      <c r="V3464" s="1"/>
      <c r="AB3464" s="1"/>
      <c r="AF3464" s="1"/>
      <c r="AJ3464" s="1"/>
      <c r="AN3464" s="1"/>
      <c r="AS3464" s="1"/>
      <c r="AX3464" s="1"/>
    </row>
    <row r="3465" spans="1:50" x14ac:dyDescent="0.3">
      <c r="A3465" s="19">
        <f t="shared" si="269"/>
        <v>50766</v>
      </c>
      <c r="B3465">
        <f t="shared" ca="1" si="265"/>
        <v>-12.816666666666666</v>
      </c>
      <c r="C3465" t="str">
        <f ca="1">IF(currency="USD",'Future et co'!D3465,IF(currency="EUR",'Future et co'!E3465,IF(currency="GBP",'Future et co'!F3465,FALSE)))</f>
        <v>RFR USD</v>
      </c>
      <c r="D3465" t="str">
        <f t="shared" ca="1" si="266"/>
        <v>RFR USD</v>
      </c>
      <c r="E3465" t="str">
        <f t="shared" ca="1" si="267"/>
        <v>RFR EUR</v>
      </c>
      <c r="F3465" t="str">
        <f t="shared" ca="1" si="268"/>
        <v>RFR GBP</v>
      </c>
      <c r="J3465" s="1"/>
      <c r="N3465" s="1"/>
      <c r="R3465" s="1"/>
      <c r="V3465" s="1"/>
      <c r="AB3465" s="1"/>
      <c r="AF3465" s="1"/>
      <c r="AJ3465" s="1"/>
      <c r="AN3465" s="1"/>
      <c r="AS3465" s="1"/>
      <c r="AX3465" s="1"/>
    </row>
    <row r="3466" spans="1:50" x14ac:dyDescent="0.3">
      <c r="A3466" s="19">
        <f t="shared" si="269"/>
        <v>50767</v>
      </c>
      <c r="B3466">
        <f t="shared" ca="1" si="265"/>
        <v>-12.819444444444445</v>
      </c>
      <c r="C3466" t="str">
        <f ca="1">IF(currency="USD",'Future et co'!D3466,IF(currency="EUR",'Future et co'!E3466,IF(currency="GBP",'Future et co'!F3466,FALSE)))</f>
        <v>RFR USD</v>
      </c>
      <c r="D3466" t="str">
        <f t="shared" ca="1" si="266"/>
        <v>RFR USD</v>
      </c>
      <c r="E3466" t="str">
        <f t="shared" ca="1" si="267"/>
        <v>RFR EUR</v>
      </c>
      <c r="F3466" t="str">
        <f t="shared" ca="1" si="268"/>
        <v>RFR GBP</v>
      </c>
      <c r="J3466" s="1"/>
      <c r="N3466" s="1"/>
      <c r="R3466" s="1"/>
      <c r="V3466" s="1"/>
      <c r="AB3466" s="1"/>
      <c r="AF3466" s="1"/>
      <c r="AJ3466" s="1"/>
      <c r="AN3466" s="1"/>
      <c r="AS3466" s="1"/>
      <c r="AX3466" s="1"/>
    </row>
    <row r="3467" spans="1:50" x14ac:dyDescent="0.3">
      <c r="A3467" s="19">
        <f t="shared" si="269"/>
        <v>50768</v>
      </c>
      <c r="B3467">
        <f t="shared" ref="B3467:B3530" ca="1" si="270">($B$7-A3467)/360</f>
        <v>-12.822222222222223</v>
      </c>
      <c r="C3467" t="str">
        <f ca="1">IF(currency="USD",'Future et co'!D3467,IF(currency="EUR",'Future et co'!E3467,IF(currency="GBP",'Future et co'!F3467,FALSE)))</f>
        <v>RFR USD</v>
      </c>
      <c r="D3467" t="str">
        <f t="shared" ref="D3467:D3530" ca="1" si="271">IFERROR(IF(B3467&lt;0.25,VLOOKUP(A3467,$J$11:$L$5325,3,FALSE),IF(AND(B3467&gt;=0.25,B3467&lt;0.5),VLOOKUP(A3467,$N$11:$P$5325,3,FALSE),IF(AND(B3467&gt;=0.5,B3467&lt;1),VLOOKUP(A3467,$R$11:$T$5325,3,FALSE),VLOOKUP(A3467,$V$11:$X$5010,3,FALSE)))),D3466)</f>
        <v>RFR USD</v>
      </c>
      <c r="E3467" t="str">
        <f t="shared" ref="E3467:E3530" ca="1" si="272">IFERROR(IF(B3467&lt;0.25,VLOOKUP(A3467,$AF$11:$AH$5325,3,FALSE),IF(AND(B3467&gt;=0.25,B3467&lt;0.5),VLOOKUP(A3467,$AJ$11:$AL$5325,3,FALSE),VLOOKUP(A3467,$AN$11:$AP$5325,3,FALSE))),E3466)</f>
        <v>RFR EUR</v>
      </c>
      <c r="F3467" t="str">
        <f t="shared" ref="F3467:F3530" ca="1" si="273">IFERROR(VLOOKUP(A3467,$AS$11:$AU$9999,3,FALSE),F3466)</f>
        <v>RFR GBP</v>
      </c>
      <c r="J3467" s="1"/>
      <c r="N3467" s="1"/>
      <c r="R3467" s="1"/>
      <c r="V3467" s="1"/>
      <c r="AB3467" s="1"/>
      <c r="AF3467" s="1"/>
      <c r="AJ3467" s="1"/>
      <c r="AN3467" s="1"/>
      <c r="AS3467" s="1"/>
      <c r="AX3467" s="1"/>
    </row>
    <row r="3468" spans="1:50" x14ac:dyDescent="0.3">
      <c r="A3468" s="19">
        <f t="shared" si="269"/>
        <v>50769</v>
      </c>
      <c r="B3468">
        <f t="shared" ca="1" si="270"/>
        <v>-12.824999999999999</v>
      </c>
      <c r="C3468" t="str">
        <f ca="1">IF(currency="USD",'Future et co'!D3468,IF(currency="EUR",'Future et co'!E3468,IF(currency="GBP",'Future et co'!F3468,FALSE)))</f>
        <v>RFR USD</v>
      </c>
      <c r="D3468" t="str">
        <f t="shared" ca="1" si="271"/>
        <v>RFR USD</v>
      </c>
      <c r="E3468" t="str">
        <f t="shared" ca="1" si="272"/>
        <v>RFR EUR</v>
      </c>
      <c r="F3468" t="str">
        <f t="shared" ca="1" si="273"/>
        <v>RFR GBP</v>
      </c>
      <c r="J3468" s="1"/>
      <c r="N3468" s="1"/>
      <c r="R3468" s="1"/>
      <c r="V3468" s="1"/>
      <c r="AB3468" s="1"/>
      <c r="AF3468" s="1"/>
      <c r="AJ3468" s="1"/>
      <c r="AN3468" s="1"/>
      <c r="AS3468" s="1"/>
      <c r="AX3468" s="1"/>
    </row>
    <row r="3469" spans="1:50" x14ac:dyDescent="0.3">
      <c r="A3469" s="19">
        <f t="shared" ref="A3469:A3532" si="274">WORKDAY(A3468,1)</f>
        <v>50770</v>
      </c>
      <c r="B3469">
        <f t="shared" ca="1" si="270"/>
        <v>-12.827777777777778</v>
      </c>
      <c r="C3469" t="str">
        <f ca="1">IF(currency="USD",'Future et co'!D3469,IF(currency="EUR",'Future et co'!E3469,IF(currency="GBP",'Future et co'!F3469,FALSE)))</f>
        <v>RFR USD</v>
      </c>
      <c r="D3469" t="str">
        <f t="shared" ca="1" si="271"/>
        <v>RFR USD</v>
      </c>
      <c r="E3469" t="str">
        <f t="shared" ca="1" si="272"/>
        <v>RFR EUR</v>
      </c>
      <c r="F3469" t="str">
        <f t="shared" ca="1" si="273"/>
        <v>RFR GBP</v>
      </c>
      <c r="J3469" s="1"/>
      <c r="N3469" s="1"/>
      <c r="R3469" s="1"/>
      <c r="V3469" s="1"/>
      <c r="AB3469" s="1"/>
      <c r="AF3469" s="1"/>
      <c r="AJ3469" s="1"/>
      <c r="AN3469" s="1"/>
      <c r="AS3469" s="1"/>
      <c r="AX3469" s="1"/>
    </row>
    <row r="3470" spans="1:50" x14ac:dyDescent="0.3">
      <c r="A3470" s="19">
        <f t="shared" si="274"/>
        <v>50773</v>
      </c>
      <c r="B3470">
        <f t="shared" ca="1" si="270"/>
        <v>-12.83611111111111</v>
      </c>
      <c r="C3470" t="str">
        <f ca="1">IF(currency="USD",'Future et co'!D3470,IF(currency="EUR",'Future et co'!E3470,IF(currency="GBP",'Future et co'!F3470,FALSE)))</f>
        <v>RFR USD</v>
      </c>
      <c r="D3470" t="str">
        <f t="shared" ca="1" si="271"/>
        <v>RFR USD</v>
      </c>
      <c r="E3470" t="str">
        <f t="shared" ca="1" si="272"/>
        <v>RFR EUR</v>
      </c>
      <c r="F3470" t="str">
        <f t="shared" ca="1" si="273"/>
        <v>RFR GBP</v>
      </c>
      <c r="J3470" s="1"/>
      <c r="N3470" s="1"/>
      <c r="R3470" s="1"/>
      <c r="V3470" s="1"/>
      <c r="AB3470" s="1"/>
      <c r="AF3470" s="1"/>
      <c r="AJ3470" s="1"/>
      <c r="AN3470" s="1"/>
      <c r="AS3470" s="1"/>
      <c r="AX3470" s="1"/>
    </row>
    <row r="3471" spans="1:50" x14ac:dyDescent="0.3">
      <c r="A3471" s="19">
        <f t="shared" si="274"/>
        <v>50774</v>
      </c>
      <c r="B3471">
        <f t="shared" ca="1" si="270"/>
        <v>-12.838888888888889</v>
      </c>
      <c r="C3471" t="str">
        <f ca="1">IF(currency="USD",'Future et co'!D3471,IF(currency="EUR",'Future et co'!E3471,IF(currency="GBP",'Future et co'!F3471,FALSE)))</f>
        <v>RFR USD</v>
      </c>
      <c r="D3471" t="str">
        <f t="shared" ca="1" si="271"/>
        <v>RFR USD</v>
      </c>
      <c r="E3471" t="str">
        <f t="shared" ca="1" si="272"/>
        <v>RFR EUR</v>
      </c>
      <c r="F3471" t="str">
        <f t="shared" ca="1" si="273"/>
        <v>RFR GBP</v>
      </c>
      <c r="J3471" s="1"/>
      <c r="N3471" s="1"/>
      <c r="R3471" s="1"/>
      <c r="V3471" s="1"/>
      <c r="AB3471" s="1"/>
      <c r="AF3471" s="1"/>
      <c r="AJ3471" s="1"/>
      <c r="AN3471" s="1"/>
      <c r="AS3471" s="1"/>
      <c r="AX3471" s="1"/>
    </row>
    <row r="3472" spans="1:50" x14ac:dyDescent="0.3">
      <c r="A3472" s="19">
        <f t="shared" si="274"/>
        <v>50775</v>
      </c>
      <c r="B3472">
        <f t="shared" ca="1" si="270"/>
        <v>-12.841666666666667</v>
      </c>
      <c r="C3472" t="str">
        <f ca="1">IF(currency="USD",'Future et co'!D3472,IF(currency="EUR",'Future et co'!E3472,IF(currency="GBP",'Future et co'!F3472,FALSE)))</f>
        <v>RFR USD</v>
      </c>
      <c r="D3472" t="str">
        <f t="shared" ca="1" si="271"/>
        <v>RFR USD</v>
      </c>
      <c r="E3472" t="str">
        <f t="shared" ca="1" si="272"/>
        <v>RFR EUR</v>
      </c>
      <c r="F3472" t="str">
        <f t="shared" ca="1" si="273"/>
        <v>RFR GBP</v>
      </c>
      <c r="J3472" s="1"/>
      <c r="N3472" s="1"/>
      <c r="R3472" s="1"/>
      <c r="V3472" s="1"/>
      <c r="AB3472" s="1"/>
      <c r="AF3472" s="1"/>
      <c r="AJ3472" s="1"/>
      <c r="AN3472" s="1"/>
      <c r="AS3472" s="1"/>
      <c r="AX3472" s="1"/>
    </row>
    <row r="3473" spans="1:50" x14ac:dyDescent="0.3">
      <c r="A3473" s="19">
        <f t="shared" si="274"/>
        <v>50776</v>
      </c>
      <c r="B3473">
        <f t="shared" ca="1" si="270"/>
        <v>-12.844444444444445</v>
      </c>
      <c r="C3473" t="str">
        <f ca="1">IF(currency="USD",'Future et co'!D3473,IF(currency="EUR",'Future et co'!E3473,IF(currency="GBP",'Future et co'!F3473,FALSE)))</f>
        <v>RFR USD</v>
      </c>
      <c r="D3473" t="str">
        <f t="shared" ca="1" si="271"/>
        <v>RFR USD</v>
      </c>
      <c r="E3473" t="str">
        <f t="shared" ca="1" si="272"/>
        <v>RFR EUR</v>
      </c>
      <c r="F3473" t="str">
        <f t="shared" ca="1" si="273"/>
        <v>RFR GBP</v>
      </c>
      <c r="J3473" s="1"/>
      <c r="N3473" s="1"/>
      <c r="R3473" s="1"/>
      <c r="V3473" s="1"/>
      <c r="AB3473" s="1"/>
      <c r="AF3473" s="1"/>
      <c r="AJ3473" s="1"/>
      <c r="AN3473" s="1"/>
      <c r="AS3473" s="1"/>
      <c r="AX3473" s="1"/>
    </row>
    <row r="3474" spans="1:50" x14ac:dyDescent="0.3">
      <c r="A3474" s="19">
        <f t="shared" si="274"/>
        <v>50777</v>
      </c>
      <c r="B3474">
        <f t="shared" ca="1" si="270"/>
        <v>-12.847222222222221</v>
      </c>
      <c r="C3474" t="str">
        <f ca="1">IF(currency="USD",'Future et co'!D3474,IF(currency="EUR",'Future et co'!E3474,IF(currency="GBP",'Future et co'!F3474,FALSE)))</f>
        <v>RFR USD</v>
      </c>
      <c r="D3474" t="str">
        <f t="shared" ca="1" si="271"/>
        <v>RFR USD</v>
      </c>
      <c r="E3474" t="str">
        <f t="shared" ca="1" si="272"/>
        <v>RFR EUR</v>
      </c>
      <c r="F3474" t="str">
        <f t="shared" ca="1" si="273"/>
        <v>RFR GBP</v>
      </c>
      <c r="J3474" s="1"/>
      <c r="N3474" s="1"/>
      <c r="R3474" s="1"/>
      <c r="V3474" s="1"/>
      <c r="AB3474" s="1"/>
      <c r="AF3474" s="1"/>
      <c r="AJ3474" s="1"/>
      <c r="AN3474" s="1"/>
      <c r="AS3474" s="1"/>
      <c r="AX3474" s="1"/>
    </row>
    <row r="3475" spans="1:50" x14ac:dyDescent="0.3">
      <c r="A3475" s="19">
        <f t="shared" si="274"/>
        <v>50780</v>
      </c>
      <c r="B3475">
        <f t="shared" ca="1" si="270"/>
        <v>-12.855555555555556</v>
      </c>
      <c r="C3475" t="str">
        <f ca="1">IF(currency="USD",'Future et co'!D3475,IF(currency="EUR",'Future et co'!E3475,IF(currency="GBP",'Future et co'!F3475,FALSE)))</f>
        <v>RFR USD</v>
      </c>
      <c r="D3475" t="str">
        <f t="shared" ca="1" si="271"/>
        <v>RFR USD</v>
      </c>
      <c r="E3475" t="str">
        <f t="shared" ca="1" si="272"/>
        <v>RFR EUR</v>
      </c>
      <c r="F3475" t="str">
        <f t="shared" ca="1" si="273"/>
        <v>RFR GBP</v>
      </c>
      <c r="J3475" s="1"/>
      <c r="N3475" s="1"/>
      <c r="R3475" s="1"/>
      <c r="V3475" s="1"/>
      <c r="AB3475" s="1"/>
      <c r="AF3475" s="1"/>
      <c r="AJ3475" s="1"/>
      <c r="AN3475" s="1"/>
      <c r="AS3475" s="1"/>
      <c r="AX3475" s="1"/>
    </row>
    <row r="3476" spans="1:50" x14ac:dyDescent="0.3">
      <c r="A3476" s="19">
        <f t="shared" si="274"/>
        <v>50781</v>
      </c>
      <c r="B3476">
        <f t="shared" ca="1" si="270"/>
        <v>-12.858333333333333</v>
      </c>
      <c r="C3476" t="str">
        <f ca="1">IF(currency="USD",'Future et co'!D3476,IF(currency="EUR",'Future et co'!E3476,IF(currency="GBP",'Future et co'!F3476,FALSE)))</f>
        <v>RFR USD</v>
      </c>
      <c r="D3476" t="str">
        <f t="shared" ca="1" si="271"/>
        <v>RFR USD</v>
      </c>
      <c r="E3476" t="str">
        <f t="shared" ca="1" si="272"/>
        <v>RFR EUR</v>
      </c>
      <c r="F3476" t="str">
        <f t="shared" ca="1" si="273"/>
        <v>RFR GBP</v>
      </c>
      <c r="J3476" s="1"/>
      <c r="N3476" s="1"/>
      <c r="R3476" s="1"/>
      <c r="V3476" s="1"/>
      <c r="AB3476" s="1"/>
      <c r="AF3476" s="1"/>
      <c r="AJ3476" s="1"/>
      <c r="AN3476" s="1"/>
      <c r="AS3476" s="1"/>
      <c r="AX3476" s="1"/>
    </row>
    <row r="3477" spans="1:50" x14ac:dyDescent="0.3">
      <c r="A3477" s="19">
        <f t="shared" si="274"/>
        <v>50782</v>
      </c>
      <c r="B3477">
        <f t="shared" ca="1" si="270"/>
        <v>-12.861111111111111</v>
      </c>
      <c r="C3477" t="str">
        <f ca="1">IF(currency="USD",'Future et co'!D3477,IF(currency="EUR",'Future et co'!E3477,IF(currency="GBP",'Future et co'!F3477,FALSE)))</f>
        <v>RFR USD</v>
      </c>
      <c r="D3477" t="str">
        <f t="shared" ca="1" si="271"/>
        <v>RFR USD</v>
      </c>
      <c r="E3477" t="str">
        <f t="shared" ca="1" si="272"/>
        <v>RFR EUR</v>
      </c>
      <c r="F3477" t="str">
        <f t="shared" ca="1" si="273"/>
        <v>RFR GBP</v>
      </c>
      <c r="J3477" s="1"/>
      <c r="N3477" s="1"/>
      <c r="R3477" s="1"/>
      <c r="V3477" s="1"/>
      <c r="AB3477" s="1"/>
      <c r="AF3477" s="1"/>
      <c r="AJ3477" s="1"/>
      <c r="AN3477" s="1"/>
      <c r="AS3477" s="1"/>
      <c r="AX3477" s="1"/>
    </row>
    <row r="3478" spans="1:50" x14ac:dyDescent="0.3">
      <c r="A3478" s="19">
        <f t="shared" si="274"/>
        <v>50783</v>
      </c>
      <c r="B3478">
        <f t="shared" ca="1" si="270"/>
        <v>-12.863888888888889</v>
      </c>
      <c r="C3478" t="str">
        <f ca="1">IF(currency="USD",'Future et co'!D3478,IF(currency="EUR",'Future et co'!E3478,IF(currency="GBP",'Future et co'!F3478,FALSE)))</f>
        <v>RFR USD</v>
      </c>
      <c r="D3478" t="str">
        <f t="shared" ca="1" si="271"/>
        <v>RFR USD</v>
      </c>
      <c r="E3478" t="str">
        <f t="shared" ca="1" si="272"/>
        <v>RFR EUR</v>
      </c>
      <c r="F3478" t="str">
        <f t="shared" ca="1" si="273"/>
        <v>RFR GBP</v>
      </c>
      <c r="J3478" s="1"/>
      <c r="N3478" s="1"/>
      <c r="R3478" s="1"/>
      <c r="V3478" s="1"/>
      <c r="AB3478" s="1"/>
      <c r="AF3478" s="1"/>
      <c r="AJ3478" s="1"/>
      <c r="AN3478" s="1"/>
      <c r="AS3478" s="1"/>
      <c r="AX3478" s="1"/>
    </row>
    <row r="3479" spans="1:50" x14ac:dyDescent="0.3">
      <c r="A3479" s="19">
        <f t="shared" si="274"/>
        <v>50784</v>
      </c>
      <c r="B3479">
        <f t="shared" ca="1" si="270"/>
        <v>-12.866666666666667</v>
      </c>
      <c r="C3479" t="str">
        <f ca="1">IF(currency="USD",'Future et co'!D3479,IF(currency="EUR",'Future et co'!E3479,IF(currency="GBP",'Future et co'!F3479,FALSE)))</f>
        <v>RFR USD</v>
      </c>
      <c r="D3479" t="str">
        <f t="shared" ca="1" si="271"/>
        <v>RFR USD</v>
      </c>
      <c r="E3479" t="str">
        <f t="shared" ca="1" si="272"/>
        <v>RFR EUR</v>
      </c>
      <c r="F3479" t="str">
        <f t="shared" ca="1" si="273"/>
        <v>RFR GBP</v>
      </c>
      <c r="J3479" s="1"/>
      <c r="N3479" s="1"/>
      <c r="R3479" s="1"/>
      <c r="V3479" s="1"/>
      <c r="AB3479" s="1"/>
      <c r="AF3479" s="1"/>
      <c r="AJ3479" s="1"/>
      <c r="AN3479" s="1"/>
      <c r="AS3479" s="1"/>
      <c r="AX3479" s="1"/>
    </row>
    <row r="3480" spans="1:50" x14ac:dyDescent="0.3">
      <c r="A3480" s="19">
        <f t="shared" si="274"/>
        <v>50787</v>
      </c>
      <c r="B3480">
        <f t="shared" ca="1" si="270"/>
        <v>-12.875</v>
      </c>
      <c r="C3480" t="str">
        <f ca="1">IF(currency="USD",'Future et co'!D3480,IF(currency="EUR",'Future et co'!E3480,IF(currency="GBP",'Future et co'!F3480,FALSE)))</f>
        <v>RFR USD</v>
      </c>
      <c r="D3480" t="str">
        <f t="shared" ca="1" si="271"/>
        <v>RFR USD</v>
      </c>
      <c r="E3480" t="str">
        <f t="shared" ca="1" si="272"/>
        <v>RFR EUR</v>
      </c>
      <c r="F3480" t="str">
        <f t="shared" ca="1" si="273"/>
        <v>RFR GBP</v>
      </c>
      <c r="J3480" s="1"/>
      <c r="N3480" s="1"/>
      <c r="R3480" s="1"/>
      <c r="V3480" s="1"/>
      <c r="AB3480" s="1"/>
      <c r="AF3480" s="1"/>
      <c r="AJ3480" s="1"/>
      <c r="AN3480" s="1"/>
      <c r="AS3480" s="1"/>
      <c r="AX3480" s="1"/>
    </row>
    <row r="3481" spans="1:50" x14ac:dyDescent="0.3">
      <c r="A3481" s="19">
        <f t="shared" si="274"/>
        <v>50788</v>
      </c>
      <c r="B3481">
        <f t="shared" ca="1" si="270"/>
        <v>-12.877777777777778</v>
      </c>
      <c r="C3481" t="str">
        <f ca="1">IF(currency="USD",'Future et co'!D3481,IF(currency="EUR",'Future et co'!E3481,IF(currency="GBP",'Future et co'!F3481,FALSE)))</f>
        <v>RFR USD</v>
      </c>
      <c r="D3481" t="str">
        <f t="shared" ca="1" si="271"/>
        <v>RFR USD</v>
      </c>
      <c r="E3481" t="str">
        <f t="shared" ca="1" si="272"/>
        <v>RFR EUR</v>
      </c>
      <c r="F3481" t="str">
        <f t="shared" ca="1" si="273"/>
        <v>RFR GBP</v>
      </c>
      <c r="J3481" s="1"/>
      <c r="N3481" s="1"/>
      <c r="R3481" s="1"/>
      <c r="V3481" s="1"/>
      <c r="AB3481" s="1"/>
      <c r="AF3481" s="1"/>
      <c r="AJ3481" s="1"/>
      <c r="AN3481" s="1"/>
      <c r="AS3481" s="1"/>
      <c r="AX3481" s="1"/>
    </row>
    <row r="3482" spans="1:50" x14ac:dyDescent="0.3">
      <c r="A3482" s="19">
        <f t="shared" si="274"/>
        <v>50789</v>
      </c>
      <c r="B3482">
        <f t="shared" ca="1" si="270"/>
        <v>-12.880555555555556</v>
      </c>
      <c r="C3482" t="str">
        <f ca="1">IF(currency="USD",'Future et co'!D3482,IF(currency="EUR",'Future et co'!E3482,IF(currency="GBP",'Future et co'!F3482,FALSE)))</f>
        <v>RFR USD</v>
      </c>
      <c r="D3482" t="str">
        <f t="shared" ca="1" si="271"/>
        <v>RFR USD</v>
      </c>
      <c r="E3482" t="str">
        <f t="shared" ca="1" si="272"/>
        <v>RFR EUR</v>
      </c>
      <c r="F3482" t="str">
        <f t="shared" ca="1" si="273"/>
        <v>RFR GBP</v>
      </c>
      <c r="J3482" s="1"/>
      <c r="N3482" s="1"/>
      <c r="R3482" s="1"/>
      <c r="V3482" s="1"/>
      <c r="AB3482" s="1"/>
      <c r="AF3482" s="1"/>
      <c r="AJ3482" s="1"/>
      <c r="AN3482" s="1"/>
      <c r="AS3482" s="1"/>
      <c r="AX3482" s="1"/>
    </row>
    <row r="3483" spans="1:50" x14ac:dyDescent="0.3">
      <c r="A3483" s="19">
        <f t="shared" si="274"/>
        <v>50790</v>
      </c>
      <c r="B3483">
        <f t="shared" ca="1" si="270"/>
        <v>-12.883333333333333</v>
      </c>
      <c r="C3483" t="str">
        <f ca="1">IF(currency="USD",'Future et co'!D3483,IF(currency="EUR",'Future et co'!E3483,IF(currency="GBP",'Future et co'!F3483,FALSE)))</f>
        <v>RFR USD</v>
      </c>
      <c r="D3483" t="str">
        <f t="shared" ca="1" si="271"/>
        <v>RFR USD</v>
      </c>
      <c r="E3483" t="str">
        <f t="shared" ca="1" si="272"/>
        <v>RFR EUR</v>
      </c>
      <c r="F3483" t="str">
        <f t="shared" ca="1" si="273"/>
        <v>RFR GBP</v>
      </c>
      <c r="J3483" s="1"/>
      <c r="N3483" s="1"/>
      <c r="R3483" s="1"/>
      <c r="V3483" s="1"/>
      <c r="AB3483" s="1"/>
      <c r="AF3483" s="1"/>
      <c r="AJ3483" s="1"/>
      <c r="AN3483" s="1"/>
      <c r="AS3483" s="1"/>
      <c r="AX3483" s="1"/>
    </row>
    <row r="3484" spans="1:50" x14ac:dyDescent="0.3">
      <c r="A3484" s="19">
        <f t="shared" si="274"/>
        <v>50791</v>
      </c>
      <c r="B3484">
        <f t="shared" ca="1" si="270"/>
        <v>-12.886111111111111</v>
      </c>
      <c r="C3484" t="str">
        <f ca="1">IF(currency="USD",'Future et co'!D3484,IF(currency="EUR",'Future et co'!E3484,IF(currency="GBP",'Future et co'!F3484,FALSE)))</f>
        <v>RFR USD</v>
      </c>
      <c r="D3484" t="str">
        <f t="shared" ca="1" si="271"/>
        <v>RFR USD</v>
      </c>
      <c r="E3484" t="str">
        <f t="shared" ca="1" si="272"/>
        <v>RFR EUR</v>
      </c>
      <c r="F3484" t="str">
        <f t="shared" ca="1" si="273"/>
        <v>RFR GBP</v>
      </c>
      <c r="J3484" s="1"/>
      <c r="N3484" s="1"/>
      <c r="R3484" s="1"/>
      <c r="V3484" s="1"/>
      <c r="AB3484" s="1"/>
      <c r="AF3484" s="1"/>
      <c r="AJ3484" s="1"/>
      <c r="AN3484" s="1"/>
      <c r="AS3484" s="1"/>
      <c r="AX3484" s="1"/>
    </row>
    <row r="3485" spans="1:50" x14ac:dyDescent="0.3">
      <c r="A3485" s="19">
        <f t="shared" si="274"/>
        <v>50794</v>
      </c>
      <c r="B3485">
        <f t="shared" ca="1" si="270"/>
        <v>-12.894444444444444</v>
      </c>
      <c r="C3485" t="str">
        <f ca="1">IF(currency="USD",'Future et co'!D3485,IF(currency="EUR",'Future et co'!E3485,IF(currency="GBP",'Future et co'!F3485,FALSE)))</f>
        <v>RFR USD</v>
      </c>
      <c r="D3485" t="str">
        <f t="shared" ca="1" si="271"/>
        <v>RFR USD</v>
      </c>
      <c r="E3485" t="str">
        <f t="shared" ca="1" si="272"/>
        <v>RFR EUR</v>
      </c>
      <c r="F3485" t="str">
        <f t="shared" ca="1" si="273"/>
        <v>RFR GBP</v>
      </c>
      <c r="J3485" s="1"/>
      <c r="N3485" s="1"/>
      <c r="R3485" s="1"/>
      <c r="V3485" s="1"/>
      <c r="AB3485" s="1"/>
      <c r="AF3485" s="1"/>
      <c r="AJ3485" s="1"/>
      <c r="AN3485" s="1"/>
      <c r="AS3485" s="1"/>
      <c r="AX3485" s="1"/>
    </row>
    <row r="3486" spans="1:50" x14ac:dyDescent="0.3">
      <c r="A3486" s="19">
        <f t="shared" si="274"/>
        <v>50795</v>
      </c>
      <c r="B3486">
        <f t="shared" ca="1" si="270"/>
        <v>-12.897222222222222</v>
      </c>
      <c r="C3486" t="str">
        <f ca="1">IF(currency="USD",'Future et co'!D3486,IF(currency="EUR",'Future et co'!E3486,IF(currency="GBP",'Future et co'!F3486,FALSE)))</f>
        <v>RFR USD</v>
      </c>
      <c r="D3486" t="str">
        <f t="shared" ca="1" si="271"/>
        <v>RFR USD</v>
      </c>
      <c r="E3486" t="str">
        <f t="shared" ca="1" si="272"/>
        <v>RFR EUR</v>
      </c>
      <c r="F3486" t="str">
        <f t="shared" ca="1" si="273"/>
        <v>RFR GBP</v>
      </c>
      <c r="J3486" s="1"/>
      <c r="N3486" s="1"/>
      <c r="R3486" s="1"/>
      <c r="V3486" s="1"/>
      <c r="AB3486" s="1"/>
      <c r="AF3486" s="1"/>
      <c r="AJ3486" s="1"/>
      <c r="AN3486" s="1"/>
      <c r="AS3486" s="1"/>
      <c r="AX3486" s="1"/>
    </row>
    <row r="3487" spans="1:50" x14ac:dyDescent="0.3">
      <c r="A3487" s="19">
        <f t="shared" si="274"/>
        <v>50796</v>
      </c>
      <c r="B3487">
        <f t="shared" ca="1" si="270"/>
        <v>-12.9</v>
      </c>
      <c r="C3487" t="str">
        <f ca="1">IF(currency="USD",'Future et co'!D3487,IF(currency="EUR",'Future et co'!E3487,IF(currency="GBP",'Future et co'!F3487,FALSE)))</f>
        <v>RFR USD</v>
      </c>
      <c r="D3487" t="str">
        <f t="shared" ca="1" si="271"/>
        <v>RFR USD</v>
      </c>
      <c r="E3487" t="str">
        <f t="shared" ca="1" si="272"/>
        <v>RFR EUR</v>
      </c>
      <c r="F3487" t="str">
        <f t="shared" ca="1" si="273"/>
        <v>RFR GBP</v>
      </c>
      <c r="J3487" s="1"/>
      <c r="N3487" s="1"/>
      <c r="R3487" s="1"/>
      <c r="V3487" s="1"/>
      <c r="AB3487" s="1"/>
      <c r="AF3487" s="1"/>
      <c r="AJ3487" s="1"/>
      <c r="AN3487" s="1"/>
      <c r="AS3487" s="1"/>
      <c r="AX3487" s="1"/>
    </row>
    <row r="3488" spans="1:50" x14ac:dyDescent="0.3">
      <c r="A3488" s="19">
        <f t="shared" si="274"/>
        <v>50797</v>
      </c>
      <c r="B3488">
        <f t="shared" ca="1" si="270"/>
        <v>-12.902777777777779</v>
      </c>
      <c r="C3488" t="str">
        <f ca="1">IF(currency="USD",'Future et co'!D3488,IF(currency="EUR",'Future et co'!E3488,IF(currency="GBP",'Future et co'!F3488,FALSE)))</f>
        <v>RFR USD</v>
      </c>
      <c r="D3488" t="str">
        <f t="shared" ca="1" si="271"/>
        <v>RFR USD</v>
      </c>
      <c r="E3488" t="str">
        <f t="shared" ca="1" si="272"/>
        <v>RFR EUR</v>
      </c>
      <c r="F3488" t="str">
        <f t="shared" ca="1" si="273"/>
        <v>RFR GBP</v>
      </c>
      <c r="J3488" s="1"/>
      <c r="N3488" s="1"/>
      <c r="R3488" s="1"/>
      <c r="V3488" s="1"/>
      <c r="AB3488" s="1"/>
      <c r="AF3488" s="1"/>
      <c r="AJ3488" s="1"/>
      <c r="AN3488" s="1"/>
      <c r="AS3488" s="1"/>
      <c r="AX3488" s="1"/>
    </row>
    <row r="3489" spans="1:50" x14ac:dyDescent="0.3">
      <c r="A3489" s="19">
        <f t="shared" si="274"/>
        <v>50798</v>
      </c>
      <c r="B3489">
        <f t="shared" ca="1" si="270"/>
        <v>-12.905555555555555</v>
      </c>
      <c r="C3489" t="str">
        <f ca="1">IF(currency="USD",'Future et co'!D3489,IF(currency="EUR",'Future et co'!E3489,IF(currency="GBP",'Future et co'!F3489,FALSE)))</f>
        <v>RFR USD</v>
      </c>
      <c r="D3489" t="str">
        <f t="shared" ca="1" si="271"/>
        <v>RFR USD</v>
      </c>
      <c r="E3489" t="str">
        <f t="shared" ca="1" si="272"/>
        <v>RFR EUR</v>
      </c>
      <c r="F3489" t="str">
        <f t="shared" ca="1" si="273"/>
        <v>RFR GBP</v>
      </c>
      <c r="J3489" s="1"/>
      <c r="N3489" s="1"/>
      <c r="R3489" s="1"/>
      <c r="V3489" s="1"/>
      <c r="AB3489" s="1"/>
      <c r="AF3489" s="1"/>
      <c r="AJ3489" s="1"/>
      <c r="AN3489" s="1"/>
      <c r="AS3489" s="1"/>
      <c r="AX3489" s="1"/>
    </row>
    <row r="3490" spans="1:50" x14ac:dyDescent="0.3">
      <c r="A3490" s="19">
        <f t="shared" si="274"/>
        <v>50801</v>
      </c>
      <c r="B3490">
        <f t="shared" ca="1" si="270"/>
        <v>-12.91388888888889</v>
      </c>
      <c r="C3490" t="str">
        <f ca="1">IF(currency="USD",'Future et co'!D3490,IF(currency="EUR",'Future et co'!E3490,IF(currency="GBP",'Future et co'!F3490,FALSE)))</f>
        <v>RFR USD</v>
      </c>
      <c r="D3490" t="str">
        <f t="shared" ca="1" si="271"/>
        <v>RFR USD</v>
      </c>
      <c r="E3490" t="str">
        <f t="shared" ca="1" si="272"/>
        <v>RFR EUR</v>
      </c>
      <c r="F3490" t="str">
        <f t="shared" ca="1" si="273"/>
        <v>RFR GBP</v>
      </c>
      <c r="J3490" s="1"/>
      <c r="N3490" s="1"/>
      <c r="R3490" s="1"/>
      <c r="V3490" s="1"/>
      <c r="AB3490" s="1"/>
      <c r="AF3490" s="1"/>
      <c r="AJ3490" s="1"/>
      <c r="AN3490" s="1"/>
      <c r="AS3490" s="1"/>
      <c r="AX3490" s="1"/>
    </row>
    <row r="3491" spans="1:50" x14ac:dyDescent="0.3">
      <c r="A3491" s="19">
        <f t="shared" si="274"/>
        <v>50802</v>
      </c>
      <c r="B3491">
        <f t="shared" ca="1" si="270"/>
        <v>-12.916666666666666</v>
      </c>
      <c r="C3491" t="str">
        <f ca="1">IF(currency="USD",'Future et co'!D3491,IF(currency="EUR",'Future et co'!E3491,IF(currency="GBP",'Future et co'!F3491,FALSE)))</f>
        <v>RFR USD</v>
      </c>
      <c r="D3491" t="str">
        <f t="shared" ca="1" si="271"/>
        <v>RFR USD</v>
      </c>
      <c r="E3491" t="str">
        <f t="shared" ca="1" si="272"/>
        <v>RFR EUR</v>
      </c>
      <c r="F3491" t="str">
        <f t="shared" ca="1" si="273"/>
        <v>RFR GBP</v>
      </c>
      <c r="J3491" s="1"/>
      <c r="N3491" s="1"/>
      <c r="R3491" s="1"/>
      <c r="V3491" s="1"/>
      <c r="AB3491" s="1"/>
      <c r="AF3491" s="1"/>
      <c r="AJ3491" s="1"/>
      <c r="AN3491" s="1"/>
      <c r="AS3491" s="1"/>
      <c r="AX3491" s="1"/>
    </row>
    <row r="3492" spans="1:50" x14ac:dyDescent="0.3">
      <c r="A3492" s="19">
        <f t="shared" si="274"/>
        <v>50803</v>
      </c>
      <c r="B3492">
        <f t="shared" ca="1" si="270"/>
        <v>-12.919444444444444</v>
      </c>
      <c r="C3492" t="str">
        <f ca="1">IF(currency="USD",'Future et co'!D3492,IF(currency="EUR",'Future et co'!E3492,IF(currency="GBP",'Future et co'!F3492,FALSE)))</f>
        <v>RFR USD</v>
      </c>
      <c r="D3492" t="str">
        <f t="shared" ca="1" si="271"/>
        <v>RFR USD</v>
      </c>
      <c r="E3492" t="str">
        <f t="shared" ca="1" si="272"/>
        <v>RFR EUR</v>
      </c>
      <c r="F3492" t="str">
        <f t="shared" ca="1" si="273"/>
        <v>RFR GBP</v>
      </c>
      <c r="J3492" s="1"/>
      <c r="N3492" s="1"/>
      <c r="R3492" s="1"/>
      <c r="V3492" s="1"/>
      <c r="AB3492" s="1"/>
      <c r="AF3492" s="1"/>
      <c r="AJ3492" s="1"/>
      <c r="AN3492" s="1"/>
      <c r="AS3492" s="1"/>
      <c r="AX3492" s="1"/>
    </row>
    <row r="3493" spans="1:50" x14ac:dyDescent="0.3">
      <c r="A3493" s="19">
        <f t="shared" si="274"/>
        <v>50804</v>
      </c>
      <c r="B3493">
        <f t="shared" ca="1" si="270"/>
        <v>-12.922222222222222</v>
      </c>
      <c r="C3493" t="str">
        <f ca="1">IF(currency="USD",'Future et co'!D3493,IF(currency="EUR",'Future et co'!E3493,IF(currency="GBP",'Future et co'!F3493,FALSE)))</f>
        <v>RFR USD</v>
      </c>
      <c r="D3493" t="str">
        <f t="shared" ca="1" si="271"/>
        <v>RFR USD</v>
      </c>
      <c r="E3493" t="str">
        <f t="shared" ca="1" si="272"/>
        <v>RFR EUR</v>
      </c>
      <c r="F3493" t="str">
        <f t="shared" ca="1" si="273"/>
        <v>RFR GBP</v>
      </c>
      <c r="J3493" s="1"/>
      <c r="N3493" s="1"/>
      <c r="R3493" s="1"/>
      <c r="V3493" s="1"/>
      <c r="AB3493" s="1"/>
      <c r="AF3493" s="1"/>
      <c r="AJ3493" s="1"/>
      <c r="AN3493" s="1"/>
      <c r="AS3493" s="1"/>
      <c r="AX3493" s="1"/>
    </row>
    <row r="3494" spans="1:50" x14ac:dyDescent="0.3">
      <c r="A3494" s="19">
        <f t="shared" si="274"/>
        <v>50805</v>
      </c>
      <c r="B3494">
        <f t="shared" ca="1" si="270"/>
        <v>-12.925000000000001</v>
      </c>
      <c r="C3494" t="str">
        <f ca="1">IF(currency="USD",'Future et co'!D3494,IF(currency="EUR",'Future et co'!E3494,IF(currency="GBP",'Future et co'!F3494,FALSE)))</f>
        <v>RFR USD</v>
      </c>
      <c r="D3494" t="str">
        <f t="shared" ca="1" si="271"/>
        <v>RFR USD</v>
      </c>
      <c r="E3494" t="str">
        <f t="shared" ca="1" si="272"/>
        <v>RFR EUR</v>
      </c>
      <c r="F3494" t="str">
        <f t="shared" ca="1" si="273"/>
        <v>RFR GBP</v>
      </c>
      <c r="J3494" s="1"/>
      <c r="N3494" s="1"/>
      <c r="R3494" s="1"/>
      <c r="V3494" s="1"/>
      <c r="AB3494" s="1"/>
      <c r="AF3494" s="1"/>
      <c r="AJ3494" s="1"/>
      <c r="AN3494" s="1"/>
      <c r="AS3494" s="1"/>
      <c r="AX3494" s="1"/>
    </row>
    <row r="3495" spans="1:50" x14ac:dyDescent="0.3">
      <c r="A3495" s="19">
        <f t="shared" si="274"/>
        <v>50808</v>
      </c>
      <c r="B3495">
        <f t="shared" ca="1" si="270"/>
        <v>-12.933333333333334</v>
      </c>
      <c r="C3495" t="str">
        <f ca="1">IF(currency="USD",'Future et co'!D3495,IF(currency="EUR",'Future et co'!E3495,IF(currency="GBP",'Future et co'!F3495,FALSE)))</f>
        <v>RFR USD</v>
      </c>
      <c r="D3495" t="str">
        <f t="shared" ca="1" si="271"/>
        <v>RFR USD</v>
      </c>
      <c r="E3495" t="str">
        <f t="shared" ca="1" si="272"/>
        <v>RFR EUR</v>
      </c>
      <c r="F3495" t="str">
        <f t="shared" ca="1" si="273"/>
        <v>RFR GBP</v>
      </c>
      <c r="J3495" s="1"/>
      <c r="N3495" s="1"/>
      <c r="R3495" s="1"/>
      <c r="V3495" s="1"/>
      <c r="AB3495" s="1"/>
      <c r="AF3495" s="1"/>
      <c r="AJ3495" s="1"/>
      <c r="AN3495" s="1"/>
      <c r="AS3495" s="1"/>
      <c r="AX3495" s="1"/>
    </row>
    <row r="3496" spans="1:50" x14ac:dyDescent="0.3">
      <c r="A3496" s="19">
        <f t="shared" si="274"/>
        <v>50809</v>
      </c>
      <c r="B3496">
        <f t="shared" ca="1" si="270"/>
        <v>-12.936111111111112</v>
      </c>
      <c r="C3496" t="str">
        <f ca="1">IF(currency="USD",'Future et co'!D3496,IF(currency="EUR",'Future et co'!E3496,IF(currency="GBP",'Future et co'!F3496,FALSE)))</f>
        <v>RFR USD</v>
      </c>
      <c r="D3496" t="str">
        <f t="shared" ca="1" si="271"/>
        <v>RFR USD</v>
      </c>
      <c r="E3496" t="str">
        <f t="shared" ca="1" si="272"/>
        <v>RFR EUR</v>
      </c>
      <c r="F3496" t="str">
        <f t="shared" ca="1" si="273"/>
        <v>RFR GBP</v>
      </c>
      <c r="J3496" s="1"/>
      <c r="N3496" s="1"/>
      <c r="R3496" s="1"/>
      <c r="V3496" s="1"/>
      <c r="AB3496" s="1"/>
      <c r="AF3496" s="1"/>
      <c r="AJ3496" s="1"/>
      <c r="AN3496" s="1"/>
      <c r="AS3496" s="1"/>
      <c r="AX3496" s="1"/>
    </row>
    <row r="3497" spans="1:50" x14ac:dyDescent="0.3">
      <c r="A3497" s="19">
        <f t="shared" si="274"/>
        <v>50810</v>
      </c>
      <c r="B3497">
        <f t="shared" ca="1" si="270"/>
        <v>-12.938888888888888</v>
      </c>
      <c r="C3497" t="str">
        <f ca="1">IF(currency="USD",'Future et co'!D3497,IF(currency="EUR",'Future et co'!E3497,IF(currency="GBP",'Future et co'!F3497,FALSE)))</f>
        <v>RFR USD</v>
      </c>
      <c r="D3497" t="str">
        <f t="shared" ca="1" si="271"/>
        <v>RFR USD</v>
      </c>
      <c r="E3497" t="str">
        <f t="shared" ca="1" si="272"/>
        <v>RFR EUR</v>
      </c>
      <c r="F3497" t="str">
        <f t="shared" ca="1" si="273"/>
        <v>RFR GBP</v>
      </c>
      <c r="J3497" s="1"/>
      <c r="N3497" s="1"/>
      <c r="R3497" s="1"/>
      <c r="V3497" s="1"/>
      <c r="AB3497" s="1"/>
      <c r="AF3497" s="1"/>
      <c r="AJ3497" s="1"/>
      <c r="AN3497" s="1"/>
      <c r="AS3497" s="1"/>
      <c r="AX3497" s="1"/>
    </row>
    <row r="3498" spans="1:50" x14ac:dyDescent="0.3">
      <c r="A3498" s="19">
        <f t="shared" si="274"/>
        <v>50811</v>
      </c>
      <c r="B3498">
        <f t="shared" ca="1" si="270"/>
        <v>-12.941666666666666</v>
      </c>
      <c r="C3498" t="str">
        <f ca="1">IF(currency="USD",'Future et co'!D3498,IF(currency="EUR",'Future et co'!E3498,IF(currency="GBP",'Future et co'!F3498,FALSE)))</f>
        <v>RFR USD</v>
      </c>
      <c r="D3498" t="str">
        <f t="shared" ca="1" si="271"/>
        <v>RFR USD</v>
      </c>
      <c r="E3498" t="str">
        <f t="shared" ca="1" si="272"/>
        <v>RFR EUR</v>
      </c>
      <c r="F3498" t="str">
        <f t="shared" ca="1" si="273"/>
        <v>RFR GBP</v>
      </c>
      <c r="J3498" s="1"/>
      <c r="N3498" s="1"/>
      <c r="R3498" s="1"/>
      <c r="V3498" s="1"/>
      <c r="AB3498" s="1"/>
      <c r="AF3498" s="1"/>
      <c r="AJ3498" s="1"/>
      <c r="AN3498" s="1"/>
      <c r="AS3498" s="1"/>
      <c r="AX3498" s="1"/>
    </row>
    <row r="3499" spans="1:50" x14ac:dyDescent="0.3">
      <c r="A3499" s="19">
        <f t="shared" si="274"/>
        <v>50812</v>
      </c>
      <c r="B3499">
        <f t="shared" ca="1" si="270"/>
        <v>-12.944444444444445</v>
      </c>
      <c r="C3499" t="str">
        <f ca="1">IF(currency="USD",'Future et co'!D3499,IF(currency="EUR",'Future et co'!E3499,IF(currency="GBP",'Future et co'!F3499,FALSE)))</f>
        <v>RFR USD</v>
      </c>
      <c r="D3499" t="str">
        <f t="shared" ca="1" si="271"/>
        <v>RFR USD</v>
      </c>
      <c r="E3499" t="str">
        <f t="shared" ca="1" si="272"/>
        <v>RFR EUR</v>
      </c>
      <c r="F3499" t="str">
        <f t="shared" ca="1" si="273"/>
        <v>RFR GBP</v>
      </c>
      <c r="J3499" s="1"/>
      <c r="N3499" s="1"/>
      <c r="R3499" s="1"/>
      <c r="V3499" s="1"/>
      <c r="AB3499" s="1"/>
      <c r="AF3499" s="1"/>
      <c r="AJ3499" s="1"/>
      <c r="AN3499" s="1"/>
      <c r="AS3499" s="1"/>
      <c r="AX3499" s="1"/>
    </row>
    <row r="3500" spans="1:50" x14ac:dyDescent="0.3">
      <c r="A3500" s="19">
        <f t="shared" si="274"/>
        <v>50815</v>
      </c>
      <c r="B3500">
        <f t="shared" ca="1" si="270"/>
        <v>-12.952777777777778</v>
      </c>
      <c r="C3500" t="str">
        <f ca="1">IF(currency="USD",'Future et co'!D3500,IF(currency="EUR",'Future et co'!E3500,IF(currency="GBP",'Future et co'!F3500,FALSE)))</f>
        <v>RFR USD</v>
      </c>
      <c r="D3500" t="str">
        <f t="shared" ca="1" si="271"/>
        <v>RFR USD</v>
      </c>
      <c r="E3500" t="str">
        <f t="shared" ca="1" si="272"/>
        <v>RFR EUR</v>
      </c>
      <c r="F3500" t="str">
        <f t="shared" ca="1" si="273"/>
        <v>RFR GBP</v>
      </c>
      <c r="J3500" s="1"/>
      <c r="N3500" s="1"/>
      <c r="R3500" s="1"/>
      <c r="V3500" s="1"/>
      <c r="AB3500" s="1"/>
      <c r="AF3500" s="1"/>
      <c r="AJ3500" s="1"/>
      <c r="AN3500" s="1"/>
      <c r="AS3500" s="1"/>
      <c r="AX3500" s="1"/>
    </row>
    <row r="3501" spans="1:50" x14ac:dyDescent="0.3">
      <c r="A3501" s="19">
        <f t="shared" si="274"/>
        <v>50816</v>
      </c>
      <c r="B3501">
        <f t="shared" ca="1" si="270"/>
        <v>-12.955555555555556</v>
      </c>
      <c r="C3501" t="str">
        <f ca="1">IF(currency="USD",'Future et co'!D3501,IF(currency="EUR",'Future et co'!E3501,IF(currency="GBP",'Future et co'!F3501,FALSE)))</f>
        <v>RFR USD</v>
      </c>
      <c r="D3501" t="str">
        <f t="shared" ca="1" si="271"/>
        <v>RFR USD</v>
      </c>
      <c r="E3501" t="str">
        <f t="shared" ca="1" si="272"/>
        <v>RFR EUR</v>
      </c>
      <c r="F3501" t="str">
        <f t="shared" ca="1" si="273"/>
        <v>RFR GBP</v>
      </c>
      <c r="J3501" s="1"/>
      <c r="N3501" s="1"/>
      <c r="R3501" s="1"/>
      <c r="V3501" s="1"/>
      <c r="AB3501" s="1"/>
      <c r="AF3501" s="1"/>
      <c r="AJ3501" s="1"/>
      <c r="AN3501" s="1"/>
      <c r="AS3501" s="1"/>
      <c r="AX3501" s="1"/>
    </row>
    <row r="3502" spans="1:50" x14ac:dyDescent="0.3">
      <c r="A3502" s="19">
        <f t="shared" si="274"/>
        <v>50817</v>
      </c>
      <c r="B3502">
        <f t="shared" ca="1" si="270"/>
        <v>-12.958333333333334</v>
      </c>
      <c r="C3502" t="str">
        <f ca="1">IF(currency="USD",'Future et co'!D3502,IF(currency="EUR",'Future et co'!E3502,IF(currency="GBP",'Future et co'!F3502,FALSE)))</f>
        <v>RFR USD</v>
      </c>
      <c r="D3502" t="str">
        <f t="shared" ca="1" si="271"/>
        <v>RFR USD</v>
      </c>
      <c r="E3502" t="str">
        <f t="shared" ca="1" si="272"/>
        <v>RFR EUR</v>
      </c>
      <c r="F3502" t="str">
        <f t="shared" ca="1" si="273"/>
        <v>RFR GBP</v>
      </c>
      <c r="J3502" s="1"/>
      <c r="N3502" s="1"/>
      <c r="R3502" s="1"/>
      <c r="V3502" s="1"/>
      <c r="AB3502" s="1"/>
      <c r="AF3502" s="1"/>
      <c r="AJ3502" s="1"/>
      <c r="AN3502" s="1"/>
      <c r="AS3502" s="1"/>
      <c r="AX3502" s="1"/>
    </row>
    <row r="3503" spans="1:50" x14ac:dyDescent="0.3">
      <c r="A3503" s="19">
        <f t="shared" si="274"/>
        <v>50818</v>
      </c>
      <c r="B3503">
        <f t="shared" ca="1" si="270"/>
        <v>-12.96111111111111</v>
      </c>
      <c r="C3503" t="str">
        <f ca="1">IF(currency="USD",'Future et co'!D3503,IF(currency="EUR",'Future et co'!E3503,IF(currency="GBP",'Future et co'!F3503,FALSE)))</f>
        <v>RFR USD</v>
      </c>
      <c r="D3503" t="str">
        <f t="shared" ca="1" si="271"/>
        <v>RFR USD</v>
      </c>
      <c r="E3503" t="str">
        <f t="shared" ca="1" si="272"/>
        <v>RFR EUR</v>
      </c>
      <c r="F3503" t="str">
        <f t="shared" ca="1" si="273"/>
        <v>RFR GBP</v>
      </c>
      <c r="J3503" s="1"/>
      <c r="N3503" s="1"/>
      <c r="R3503" s="1"/>
      <c r="V3503" s="1"/>
      <c r="AB3503" s="1"/>
      <c r="AF3503" s="1"/>
      <c r="AJ3503" s="1"/>
      <c r="AN3503" s="1"/>
      <c r="AS3503" s="1"/>
      <c r="AX3503" s="1"/>
    </row>
    <row r="3504" spans="1:50" x14ac:dyDescent="0.3">
      <c r="A3504" s="19">
        <f t="shared" si="274"/>
        <v>50819</v>
      </c>
      <c r="B3504">
        <f t="shared" ca="1" si="270"/>
        <v>-12.963888888888889</v>
      </c>
      <c r="C3504" t="str">
        <f ca="1">IF(currency="USD",'Future et co'!D3504,IF(currency="EUR",'Future et co'!E3504,IF(currency="GBP",'Future et co'!F3504,FALSE)))</f>
        <v>RFR USD</v>
      </c>
      <c r="D3504" t="str">
        <f t="shared" ca="1" si="271"/>
        <v>RFR USD</v>
      </c>
      <c r="E3504" t="str">
        <f t="shared" ca="1" si="272"/>
        <v>RFR EUR</v>
      </c>
      <c r="F3504" t="str">
        <f t="shared" ca="1" si="273"/>
        <v>RFR GBP</v>
      </c>
      <c r="J3504" s="1"/>
      <c r="N3504" s="1"/>
      <c r="R3504" s="1"/>
      <c r="V3504" s="1"/>
      <c r="AB3504" s="1"/>
      <c r="AF3504" s="1"/>
      <c r="AJ3504" s="1"/>
      <c r="AN3504" s="1"/>
      <c r="AS3504" s="1"/>
      <c r="AX3504" s="1"/>
    </row>
    <row r="3505" spans="1:50" x14ac:dyDescent="0.3">
      <c r="A3505" s="19">
        <f t="shared" si="274"/>
        <v>50822</v>
      </c>
      <c r="B3505">
        <f t="shared" ca="1" si="270"/>
        <v>-12.972222222222221</v>
      </c>
      <c r="C3505" t="str">
        <f ca="1">IF(currency="USD",'Future et co'!D3505,IF(currency="EUR",'Future et co'!E3505,IF(currency="GBP",'Future et co'!F3505,FALSE)))</f>
        <v>RFR USD</v>
      </c>
      <c r="D3505" t="str">
        <f t="shared" ca="1" si="271"/>
        <v>RFR USD</v>
      </c>
      <c r="E3505" t="str">
        <f t="shared" ca="1" si="272"/>
        <v>RFR EUR</v>
      </c>
      <c r="F3505" t="str">
        <f t="shared" ca="1" si="273"/>
        <v>RFR GBP</v>
      </c>
      <c r="J3505" s="1"/>
      <c r="N3505" s="1"/>
      <c r="R3505" s="1"/>
      <c r="V3505" s="1"/>
      <c r="AB3505" s="1"/>
      <c r="AF3505" s="1"/>
      <c r="AJ3505" s="1"/>
      <c r="AN3505" s="1"/>
      <c r="AS3505" s="1"/>
      <c r="AX3505" s="1"/>
    </row>
    <row r="3506" spans="1:50" x14ac:dyDescent="0.3">
      <c r="A3506" s="19">
        <f t="shared" si="274"/>
        <v>50823</v>
      </c>
      <c r="B3506">
        <f t="shared" ca="1" si="270"/>
        <v>-12.975</v>
      </c>
      <c r="C3506" t="str">
        <f ca="1">IF(currency="USD",'Future et co'!D3506,IF(currency="EUR",'Future et co'!E3506,IF(currency="GBP",'Future et co'!F3506,FALSE)))</f>
        <v>RFR USD</v>
      </c>
      <c r="D3506" t="str">
        <f t="shared" ca="1" si="271"/>
        <v>RFR USD</v>
      </c>
      <c r="E3506" t="str">
        <f t="shared" ca="1" si="272"/>
        <v>RFR EUR</v>
      </c>
      <c r="F3506" t="str">
        <f t="shared" ca="1" si="273"/>
        <v>RFR GBP</v>
      </c>
      <c r="J3506" s="1"/>
      <c r="N3506" s="1"/>
      <c r="R3506" s="1"/>
      <c r="V3506" s="1"/>
      <c r="AB3506" s="1"/>
      <c r="AF3506" s="1"/>
      <c r="AJ3506" s="1"/>
      <c r="AN3506" s="1"/>
      <c r="AS3506" s="1"/>
      <c r="AX3506" s="1"/>
    </row>
    <row r="3507" spans="1:50" x14ac:dyDescent="0.3">
      <c r="A3507" s="19">
        <f t="shared" si="274"/>
        <v>50824</v>
      </c>
      <c r="B3507">
        <f t="shared" ca="1" si="270"/>
        <v>-12.977777777777778</v>
      </c>
      <c r="C3507" t="str">
        <f ca="1">IF(currency="USD",'Future et co'!D3507,IF(currency="EUR",'Future et co'!E3507,IF(currency="GBP",'Future et co'!F3507,FALSE)))</f>
        <v>RFR USD</v>
      </c>
      <c r="D3507" t="str">
        <f t="shared" ca="1" si="271"/>
        <v>RFR USD</v>
      </c>
      <c r="E3507" t="str">
        <f t="shared" ca="1" si="272"/>
        <v>RFR EUR</v>
      </c>
      <c r="F3507" t="str">
        <f t="shared" ca="1" si="273"/>
        <v>RFR GBP</v>
      </c>
      <c r="J3507" s="1"/>
      <c r="N3507" s="1"/>
      <c r="R3507" s="1"/>
      <c r="V3507" s="1"/>
      <c r="AB3507" s="1"/>
      <c r="AF3507" s="1"/>
      <c r="AJ3507" s="1"/>
      <c r="AN3507" s="1"/>
      <c r="AS3507" s="1"/>
      <c r="AX3507" s="1"/>
    </row>
    <row r="3508" spans="1:50" x14ac:dyDescent="0.3">
      <c r="A3508" s="19">
        <f t="shared" si="274"/>
        <v>50825</v>
      </c>
      <c r="B3508">
        <f t="shared" ca="1" si="270"/>
        <v>-12.980555555555556</v>
      </c>
      <c r="C3508" t="str">
        <f ca="1">IF(currency="USD",'Future et co'!D3508,IF(currency="EUR",'Future et co'!E3508,IF(currency="GBP",'Future et co'!F3508,FALSE)))</f>
        <v>RFR USD</v>
      </c>
      <c r="D3508" t="str">
        <f t="shared" ca="1" si="271"/>
        <v>RFR USD</v>
      </c>
      <c r="E3508" t="str">
        <f t="shared" ca="1" si="272"/>
        <v>RFR EUR</v>
      </c>
      <c r="F3508" t="str">
        <f t="shared" ca="1" si="273"/>
        <v>RFR GBP</v>
      </c>
      <c r="J3508" s="1"/>
      <c r="N3508" s="1"/>
      <c r="R3508" s="1"/>
      <c r="V3508" s="1"/>
      <c r="AB3508" s="1"/>
      <c r="AF3508" s="1"/>
      <c r="AJ3508" s="1"/>
      <c r="AN3508" s="1"/>
      <c r="AS3508" s="1"/>
      <c r="AX3508" s="1"/>
    </row>
    <row r="3509" spans="1:50" x14ac:dyDescent="0.3">
      <c r="A3509" s="19">
        <f t="shared" si="274"/>
        <v>50826</v>
      </c>
      <c r="B3509">
        <f t="shared" ca="1" si="270"/>
        <v>-12.983333333333333</v>
      </c>
      <c r="C3509" t="str">
        <f ca="1">IF(currency="USD",'Future et co'!D3509,IF(currency="EUR",'Future et co'!E3509,IF(currency="GBP",'Future et co'!F3509,FALSE)))</f>
        <v>RFR USD</v>
      </c>
      <c r="D3509" t="str">
        <f t="shared" ca="1" si="271"/>
        <v>RFR USD</v>
      </c>
      <c r="E3509" t="str">
        <f t="shared" ca="1" si="272"/>
        <v>RFR EUR</v>
      </c>
      <c r="F3509" t="str">
        <f t="shared" ca="1" si="273"/>
        <v>RFR GBP</v>
      </c>
      <c r="J3509" s="1"/>
      <c r="N3509" s="1"/>
      <c r="R3509" s="1"/>
      <c r="V3509" s="1"/>
      <c r="AB3509" s="1"/>
      <c r="AF3509" s="1"/>
      <c r="AJ3509" s="1"/>
      <c r="AN3509" s="1"/>
      <c r="AS3509" s="1"/>
      <c r="AX3509" s="1"/>
    </row>
    <row r="3510" spans="1:50" x14ac:dyDescent="0.3">
      <c r="A3510" s="19">
        <f t="shared" si="274"/>
        <v>50829</v>
      </c>
      <c r="B3510">
        <f t="shared" ca="1" si="270"/>
        <v>-12.991666666666667</v>
      </c>
      <c r="C3510" t="str">
        <f ca="1">IF(currency="USD",'Future et co'!D3510,IF(currency="EUR",'Future et co'!E3510,IF(currency="GBP",'Future et co'!F3510,FALSE)))</f>
        <v>RFR USD</v>
      </c>
      <c r="D3510" t="str">
        <f t="shared" ca="1" si="271"/>
        <v>RFR USD</v>
      </c>
      <c r="E3510" t="str">
        <f t="shared" ca="1" si="272"/>
        <v>RFR EUR</v>
      </c>
      <c r="F3510" t="str">
        <f t="shared" ca="1" si="273"/>
        <v>RFR GBP</v>
      </c>
      <c r="J3510" s="1"/>
      <c r="N3510" s="1"/>
      <c r="R3510" s="1"/>
      <c r="V3510" s="1"/>
      <c r="AB3510" s="1"/>
      <c r="AF3510" s="1"/>
      <c r="AJ3510" s="1"/>
      <c r="AN3510" s="1"/>
      <c r="AS3510" s="1"/>
      <c r="AX3510" s="1"/>
    </row>
    <row r="3511" spans="1:50" x14ac:dyDescent="0.3">
      <c r="A3511" s="19">
        <f t="shared" si="274"/>
        <v>50830</v>
      </c>
      <c r="B3511">
        <f t="shared" ca="1" si="270"/>
        <v>-12.994444444444444</v>
      </c>
      <c r="C3511" t="str">
        <f ca="1">IF(currency="USD",'Future et co'!D3511,IF(currency="EUR",'Future et co'!E3511,IF(currency="GBP",'Future et co'!F3511,FALSE)))</f>
        <v>RFR USD</v>
      </c>
      <c r="D3511" t="str">
        <f t="shared" ca="1" si="271"/>
        <v>RFR USD</v>
      </c>
      <c r="E3511" t="str">
        <f t="shared" ca="1" si="272"/>
        <v>RFR EUR</v>
      </c>
      <c r="F3511" t="str">
        <f t="shared" ca="1" si="273"/>
        <v>RFR GBP</v>
      </c>
      <c r="J3511" s="1"/>
      <c r="N3511" s="1"/>
      <c r="R3511" s="1"/>
      <c r="V3511" s="1"/>
      <c r="AB3511" s="1"/>
      <c r="AF3511" s="1"/>
      <c r="AJ3511" s="1"/>
      <c r="AN3511" s="1"/>
      <c r="AS3511" s="1"/>
      <c r="AX3511" s="1"/>
    </row>
    <row r="3512" spans="1:50" x14ac:dyDescent="0.3">
      <c r="A3512" s="19">
        <f t="shared" si="274"/>
        <v>50831</v>
      </c>
      <c r="B3512">
        <f t="shared" ca="1" si="270"/>
        <v>-12.997222222222222</v>
      </c>
      <c r="C3512" t="str">
        <f ca="1">IF(currency="USD",'Future et co'!D3512,IF(currency="EUR",'Future et co'!E3512,IF(currency="GBP",'Future et co'!F3512,FALSE)))</f>
        <v>RFR USD</v>
      </c>
      <c r="D3512" t="str">
        <f t="shared" ca="1" si="271"/>
        <v>RFR USD</v>
      </c>
      <c r="E3512" t="str">
        <f t="shared" ca="1" si="272"/>
        <v>RFR EUR</v>
      </c>
      <c r="F3512" t="str">
        <f t="shared" ca="1" si="273"/>
        <v>RFR GBP</v>
      </c>
      <c r="J3512" s="1"/>
      <c r="N3512" s="1"/>
      <c r="R3512" s="1"/>
      <c r="V3512" s="1"/>
      <c r="AB3512" s="1"/>
      <c r="AF3512" s="1"/>
      <c r="AJ3512" s="1"/>
      <c r="AN3512" s="1"/>
      <c r="AS3512" s="1"/>
      <c r="AX3512" s="1"/>
    </row>
    <row r="3513" spans="1:50" x14ac:dyDescent="0.3">
      <c r="A3513" s="19">
        <f t="shared" si="274"/>
        <v>50832</v>
      </c>
      <c r="B3513">
        <f t="shared" ca="1" si="270"/>
        <v>-13</v>
      </c>
      <c r="C3513" t="str">
        <f ca="1">IF(currency="USD",'Future et co'!D3513,IF(currency="EUR",'Future et co'!E3513,IF(currency="GBP",'Future et co'!F3513,FALSE)))</f>
        <v>RFR USD</v>
      </c>
      <c r="D3513" t="str">
        <f t="shared" ca="1" si="271"/>
        <v>RFR USD</v>
      </c>
      <c r="E3513" t="str">
        <f t="shared" ca="1" si="272"/>
        <v>RFR EUR</v>
      </c>
      <c r="F3513" t="str">
        <f t="shared" ca="1" si="273"/>
        <v>RFR GBP</v>
      </c>
      <c r="J3513" s="1"/>
      <c r="N3513" s="1"/>
      <c r="R3513" s="1"/>
      <c r="V3513" s="1"/>
      <c r="AB3513" s="1"/>
      <c r="AF3513" s="1"/>
      <c r="AJ3513" s="1"/>
      <c r="AN3513" s="1"/>
      <c r="AS3513" s="1"/>
      <c r="AX3513" s="1"/>
    </row>
    <row r="3514" spans="1:50" x14ac:dyDescent="0.3">
      <c r="A3514" s="19">
        <f t="shared" si="274"/>
        <v>50833</v>
      </c>
      <c r="B3514">
        <f t="shared" ca="1" si="270"/>
        <v>-13.002777777777778</v>
      </c>
      <c r="C3514" t="str">
        <f ca="1">IF(currency="USD",'Future et co'!D3514,IF(currency="EUR",'Future et co'!E3514,IF(currency="GBP",'Future et co'!F3514,FALSE)))</f>
        <v>RFR USD</v>
      </c>
      <c r="D3514" t="str">
        <f t="shared" ca="1" si="271"/>
        <v>RFR USD</v>
      </c>
      <c r="E3514" t="str">
        <f t="shared" ca="1" si="272"/>
        <v>RFR EUR</v>
      </c>
      <c r="F3514" t="str">
        <f t="shared" ca="1" si="273"/>
        <v>RFR GBP</v>
      </c>
      <c r="J3514" s="1"/>
      <c r="N3514" s="1"/>
      <c r="R3514" s="1"/>
      <c r="V3514" s="1"/>
      <c r="AB3514" s="1"/>
      <c r="AF3514" s="1"/>
      <c r="AJ3514" s="1"/>
      <c r="AN3514" s="1"/>
      <c r="AS3514" s="1"/>
      <c r="AX3514" s="1"/>
    </row>
    <row r="3515" spans="1:50" x14ac:dyDescent="0.3">
      <c r="A3515" s="19">
        <f t="shared" si="274"/>
        <v>50836</v>
      </c>
      <c r="B3515">
        <f t="shared" ca="1" si="270"/>
        <v>-13.011111111111111</v>
      </c>
      <c r="C3515" t="str">
        <f ca="1">IF(currency="USD",'Future et co'!D3515,IF(currency="EUR",'Future et co'!E3515,IF(currency="GBP",'Future et co'!F3515,FALSE)))</f>
        <v>RFR USD</v>
      </c>
      <c r="D3515" t="str">
        <f t="shared" ca="1" si="271"/>
        <v>RFR USD</v>
      </c>
      <c r="E3515" t="str">
        <f t="shared" ca="1" si="272"/>
        <v>RFR EUR</v>
      </c>
      <c r="F3515" t="str">
        <f t="shared" ca="1" si="273"/>
        <v>RFR GBP</v>
      </c>
      <c r="J3515" s="1"/>
      <c r="N3515" s="1"/>
      <c r="R3515" s="1"/>
      <c r="V3515" s="1"/>
      <c r="AB3515" s="1"/>
      <c r="AF3515" s="1"/>
      <c r="AJ3515" s="1"/>
      <c r="AN3515" s="1"/>
      <c r="AS3515" s="1"/>
      <c r="AX3515" s="1"/>
    </row>
    <row r="3516" spans="1:50" x14ac:dyDescent="0.3">
      <c r="A3516" s="19">
        <f t="shared" si="274"/>
        <v>50837</v>
      </c>
      <c r="B3516">
        <f t="shared" ca="1" si="270"/>
        <v>-13.013888888888889</v>
      </c>
      <c r="C3516" t="str">
        <f ca="1">IF(currency="USD",'Future et co'!D3516,IF(currency="EUR",'Future et co'!E3516,IF(currency="GBP",'Future et co'!F3516,FALSE)))</f>
        <v>RFR USD</v>
      </c>
      <c r="D3516" t="str">
        <f t="shared" ca="1" si="271"/>
        <v>RFR USD</v>
      </c>
      <c r="E3516" t="str">
        <f t="shared" ca="1" si="272"/>
        <v>RFR EUR</v>
      </c>
      <c r="F3516" t="str">
        <f t="shared" ca="1" si="273"/>
        <v>RFR GBP</v>
      </c>
      <c r="J3516" s="1"/>
      <c r="N3516" s="1"/>
      <c r="R3516" s="1"/>
      <c r="V3516" s="1"/>
      <c r="AB3516" s="1"/>
      <c r="AF3516" s="1"/>
      <c r="AJ3516" s="1"/>
      <c r="AN3516" s="1"/>
      <c r="AS3516" s="1"/>
      <c r="AX3516" s="1"/>
    </row>
    <row r="3517" spans="1:50" x14ac:dyDescent="0.3">
      <c r="A3517" s="19">
        <f t="shared" si="274"/>
        <v>50838</v>
      </c>
      <c r="B3517">
        <f t="shared" ca="1" si="270"/>
        <v>-13.016666666666667</v>
      </c>
      <c r="C3517" t="str">
        <f ca="1">IF(currency="USD",'Future et co'!D3517,IF(currency="EUR",'Future et co'!E3517,IF(currency="GBP",'Future et co'!F3517,FALSE)))</f>
        <v>RFR USD</v>
      </c>
      <c r="D3517" t="str">
        <f t="shared" ca="1" si="271"/>
        <v>RFR USD</v>
      </c>
      <c r="E3517" t="str">
        <f t="shared" ca="1" si="272"/>
        <v>RFR EUR</v>
      </c>
      <c r="F3517" t="str">
        <f t="shared" ca="1" si="273"/>
        <v>RFR GBP</v>
      </c>
      <c r="J3517" s="1"/>
      <c r="N3517" s="1"/>
      <c r="R3517" s="1"/>
      <c r="V3517" s="1"/>
      <c r="AB3517" s="1"/>
      <c r="AF3517" s="1"/>
      <c r="AJ3517" s="1"/>
      <c r="AN3517" s="1"/>
      <c r="AS3517" s="1"/>
      <c r="AX3517" s="1"/>
    </row>
    <row r="3518" spans="1:50" x14ac:dyDescent="0.3">
      <c r="A3518" s="19">
        <f t="shared" si="274"/>
        <v>50839</v>
      </c>
      <c r="B3518">
        <f t="shared" ca="1" si="270"/>
        <v>-13.019444444444444</v>
      </c>
      <c r="C3518" t="str">
        <f ca="1">IF(currency="USD",'Future et co'!D3518,IF(currency="EUR",'Future et co'!E3518,IF(currency="GBP",'Future et co'!F3518,FALSE)))</f>
        <v>RFR USD</v>
      </c>
      <c r="D3518" t="str">
        <f t="shared" ca="1" si="271"/>
        <v>RFR USD</v>
      </c>
      <c r="E3518" t="str">
        <f t="shared" ca="1" si="272"/>
        <v>RFR EUR</v>
      </c>
      <c r="F3518" t="str">
        <f t="shared" ca="1" si="273"/>
        <v>RFR GBP</v>
      </c>
      <c r="J3518" s="1"/>
      <c r="N3518" s="1"/>
      <c r="R3518" s="1"/>
      <c r="V3518" s="1"/>
      <c r="AB3518" s="1"/>
      <c r="AF3518" s="1"/>
      <c r="AJ3518" s="1"/>
      <c r="AN3518" s="1"/>
      <c r="AS3518" s="1"/>
      <c r="AX3518" s="1"/>
    </row>
    <row r="3519" spans="1:50" x14ac:dyDescent="0.3">
      <c r="A3519" s="19">
        <f t="shared" si="274"/>
        <v>50840</v>
      </c>
      <c r="B3519">
        <f t="shared" ca="1" si="270"/>
        <v>-13.022222222222222</v>
      </c>
      <c r="C3519" t="str">
        <f ca="1">IF(currency="USD",'Future et co'!D3519,IF(currency="EUR",'Future et co'!E3519,IF(currency="GBP",'Future et co'!F3519,FALSE)))</f>
        <v>RFR USD</v>
      </c>
      <c r="D3519" t="str">
        <f t="shared" ca="1" si="271"/>
        <v>RFR USD</v>
      </c>
      <c r="E3519" t="str">
        <f t="shared" ca="1" si="272"/>
        <v>RFR EUR</v>
      </c>
      <c r="F3519" t="str">
        <f t="shared" ca="1" si="273"/>
        <v>RFR GBP</v>
      </c>
      <c r="J3519" s="1"/>
      <c r="N3519" s="1"/>
      <c r="R3519" s="1"/>
      <c r="V3519" s="1"/>
      <c r="AB3519" s="1"/>
      <c r="AF3519" s="1"/>
      <c r="AJ3519" s="1"/>
      <c r="AN3519" s="1"/>
      <c r="AS3519" s="1"/>
      <c r="AX3519" s="1"/>
    </row>
    <row r="3520" spans="1:50" x14ac:dyDescent="0.3">
      <c r="A3520" s="19">
        <f t="shared" si="274"/>
        <v>50843</v>
      </c>
      <c r="B3520">
        <f t="shared" ca="1" si="270"/>
        <v>-13.030555555555555</v>
      </c>
      <c r="C3520" t="str">
        <f ca="1">IF(currency="USD",'Future et co'!D3520,IF(currency="EUR",'Future et co'!E3520,IF(currency="GBP",'Future et co'!F3520,FALSE)))</f>
        <v>RFR USD</v>
      </c>
      <c r="D3520" t="str">
        <f t="shared" ca="1" si="271"/>
        <v>RFR USD</v>
      </c>
      <c r="E3520" t="str">
        <f t="shared" ca="1" si="272"/>
        <v>RFR EUR</v>
      </c>
      <c r="F3520" t="str">
        <f t="shared" ca="1" si="273"/>
        <v>RFR GBP</v>
      </c>
      <c r="J3520" s="1"/>
      <c r="N3520" s="1"/>
      <c r="R3520" s="1"/>
      <c r="V3520" s="1"/>
      <c r="AB3520" s="1"/>
      <c r="AF3520" s="1"/>
      <c r="AJ3520" s="1"/>
      <c r="AN3520" s="1"/>
      <c r="AS3520" s="1"/>
      <c r="AX3520" s="1"/>
    </row>
    <row r="3521" spans="1:50" x14ac:dyDescent="0.3">
      <c r="A3521" s="19">
        <f t="shared" si="274"/>
        <v>50844</v>
      </c>
      <c r="B3521">
        <f t="shared" ca="1" si="270"/>
        <v>-13.033333333333333</v>
      </c>
      <c r="C3521" t="str">
        <f ca="1">IF(currency="USD",'Future et co'!D3521,IF(currency="EUR",'Future et co'!E3521,IF(currency="GBP",'Future et co'!F3521,FALSE)))</f>
        <v>RFR USD</v>
      </c>
      <c r="D3521" t="str">
        <f t="shared" ca="1" si="271"/>
        <v>RFR USD</v>
      </c>
      <c r="E3521" t="str">
        <f t="shared" ca="1" si="272"/>
        <v>RFR EUR</v>
      </c>
      <c r="F3521" t="str">
        <f t="shared" ca="1" si="273"/>
        <v>RFR GBP</v>
      </c>
      <c r="J3521" s="1"/>
      <c r="N3521" s="1"/>
      <c r="R3521" s="1"/>
      <c r="V3521" s="1"/>
      <c r="AB3521" s="1"/>
      <c r="AF3521" s="1"/>
      <c r="AJ3521" s="1"/>
      <c r="AN3521" s="1"/>
      <c r="AS3521" s="1"/>
      <c r="AX3521" s="1"/>
    </row>
    <row r="3522" spans="1:50" x14ac:dyDescent="0.3">
      <c r="A3522" s="19">
        <f t="shared" si="274"/>
        <v>50845</v>
      </c>
      <c r="B3522">
        <f t="shared" ca="1" si="270"/>
        <v>-13.036111111111111</v>
      </c>
      <c r="C3522" t="str">
        <f ca="1">IF(currency="USD",'Future et co'!D3522,IF(currency="EUR",'Future et co'!E3522,IF(currency="GBP",'Future et co'!F3522,FALSE)))</f>
        <v>RFR USD</v>
      </c>
      <c r="D3522" t="str">
        <f t="shared" ca="1" si="271"/>
        <v>RFR USD</v>
      </c>
      <c r="E3522" t="str">
        <f t="shared" ca="1" si="272"/>
        <v>RFR EUR</v>
      </c>
      <c r="F3522" t="str">
        <f t="shared" ca="1" si="273"/>
        <v>RFR GBP</v>
      </c>
      <c r="J3522" s="1"/>
      <c r="N3522" s="1"/>
      <c r="R3522" s="1"/>
      <c r="V3522" s="1"/>
      <c r="AB3522" s="1"/>
      <c r="AF3522" s="1"/>
      <c r="AJ3522" s="1"/>
      <c r="AN3522" s="1"/>
      <c r="AS3522" s="1"/>
      <c r="AX3522" s="1"/>
    </row>
    <row r="3523" spans="1:50" x14ac:dyDescent="0.3">
      <c r="A3523" s="19">
        <f t="shared" si="274"/>
        <v>50846</v>
      </c>
      <c r="B3523">
        <f t="shared" ca="1" si="270"/>
        <v>-13.03888888888889</v>
      </c>
      <c r="C3523" t="str">
        <f ca="1">IF(currency="USD",'Future et co'!D3523,IF(currency="EUR",'Future et co'!E3523,IF(currency="GBP",'Future et co'!F3523,FALSE)))</f>
        <v>RFR USD</v>
      </c>
      <c r="D3523" t="str">
        <f t="shared" ca="1" si="271"/>
        <v>RFR USD</v>
      </c>
      <c r="E3523" t="str">
        <f t="shared" ca="1" si="272"/>
        <v>RFR EUR</v>
      </c>
      <c r="F3523" t="str">
        <f t="shared" ca="1" si="273"/>
        <v>RFR GBP</v>
      </c>
      <c r="J3523" s="1"/>
      <c r="N3523" s="1"/>
      <c r="R3523" s="1"/>
      <c r="V3523" s="1"/>
      <c r="AB3523" s="1"/>
      <c r="AF3523" s="1"/>
      <c r="AJ3523" s="1"/>
      <c r="AN3523" s="1"/>
      <c r="AS3523" s="1"/>
      <c r="AX3523" s="1"/>
    </row>
    <row r="3524" spans="1:50" x14ac:dyDescent="0.3">
      <c r="A3524" s="19">
        <f t="shared" si="274"/>
        <v>50847</v>
      </c>
      <c r="B3524">
        <f t="shared" ca="1" si="270"/>
        <v>-13.041666666666666</v>
      </c>
      <c r="C3524" t="str">
        <f ca="1">IF(currency="USD",'Future et co'!D3524,IF(currency="EUR",'Future et co'!E3524,IF(currency="GBP",'Future et co'!F3524,FALSE)))</f>
        <v>RFR USD</v>
      </c>
      <c r="D3524" t="str">
        <f t="shared" ca="1" si="271"/>
        <v>RFR USD</v>
      </c>
      <c r="E3524" t="str">
        <f t="shared" ca="1" si="272"/>
        <v>RFR EUR</v>
      </c>
      <c r="F3524" t="str">
        <f t="shared" ca="1" si="273"/>
        <v>RFR GBP</v>
      </c>
      <c r="J3524" s="1"/>
      <c r="N3524" s="1"/>
      <c r="R3524" s="1"/>
      <c r="V3524" s="1"/>
      <c r="AB3524" s="1"/>
      <c r="AF3524" s="1"/>
      <c r="AJ3524" s="1"/>
      <c r="AN3524" s="1"/>
      <c r="AS3524" s="1"/>
      <c r="AX3524" s="1"/>
    </row>
    <row r="3525" spans="1:50" x14ac:dyDescent="0.3">
      <c r="A3525" s="19">
        <f t="shared" si="274"/>
        <v>50850</v>
      </c>
      <c r="B3525">
        <f t="shared" ca="1" si="270"/>
        <v>-13.05</v>
      </c>
      <c r="C3525" t="str">
        <f ca="1">IF(currency="USD",'Future et co'!D3525,IF(currency="EUR",'Future et co'!E3525,IF(currency="GBP",'Future et co'!F3525,FALSE)))</f>
        <v>RFR USD</v>
      </c>
      <c r="D3525" t="str">
        <f t="shared" ca="1" si="271"/>
        <v>RFR USD</v>
      </c>
      <c r="E3525" t="str">
        <f t="shared" ca="1" si="272"/>
        <v>RFR EUR</v>
      </c>
      <c r="F3525" t="str">
        <f t="shared" ca="1" si="273"/>
        <v>RFR GBP</v>
      </c>
      <c r="J3525" s="1"/>
      <c r="N3525" s="1"/>
      <c r="R3525" s="1"/>
      <c r="V3525" s="1"/>
      <c r="AB3525" s="1"/>
      <c r="AF3525" s="1"/>
      <c r="AJ3525" s="1"/>
      <c r="AN3525" s="1"/>
      <c r="AS3525" s="1"/>
      <c r="AX3525" s="1"/>
    </row>
    <row r="3526" spans="1:50" x14ac:dyDescent="0.3">
      <c r="A3526" s="19">
        <f t="shared" si="274"/>
        <v>50851</v>
      </c>
      <c r="B3526">
        <f t="shared" ca="1" si="270"/>
        <v>-13.052777777777777</v>
      </c>
      <c r="C3526" t="str">
        <f ca="1">IF(currency="USD",'Future et co'!D3526,IF(currency="EUR",'Future et co'!E3526,IF(currency="GBP",'Future et co'!F3526,FALSE)))</f>
        <v>RFR USD</v>
      </c>
      <c r="D3526" t="str">
        <f t="shared" ca="1" si="271"/>
        <v>RFR USD</v>
      </c>
      <c r="E3526" t="str">
        <f t="shared" ca="1" si="272"/>
        <v>RFR EUR</v>
      </c>
      <c r="F3526" t="str">
        <f t="shared" ca="1" si="273"/>
        <v>RFR GBP</v>
      </c>
      <c r="J3526" s="1"/>
      <c r="N3526" s="1"/>
      <c r="R3526" s="1"/>
      <c r="V3526" s="1"/>
      <c r="AB3526" s="1"/>
      <c r="AF3526" s="1"/>
      <c r="AJ3526" s="1"/>
      <c r="AN3526" s="1"/>
      <c r="AS3526" s="1"/>
      <c r="AX3526" s="1"/>
    </row>
    <row r="3527" spans="1:50" x14ac:dyDescent="0.3">
      <c r="A3527" s="19">
        <f t="shared" si="274"/>
        <v>50852</v>
      </c>
      <c r="B3527">
        <f t="shared" ca="1" si="270"/>
        <v>-13.055555555555555</v>
      </c>
      <c r="C3527" t="str">
        <f ca="1">IF(currency="USD",'Future et co'!D3527,IF(currency="EUR",'Future et co'!E3527,IF(currency="GBP",'Future et co'!F3527,FALSE)))</f>
        <v>RFR USD</v>
      </c>
      <c r="D3527" t="str">
        <f t="shared" ca="1" si="271"/>
        <v>RFR USD</v>
      </c>
      <c r="E3527" t="str">
        <f t="shared" ca="1" si="272"/>
        <v>RFR EUR</v>
      </c>
      <c r="F3527" t="str">
        <f t="shared" ca="1" si="273"/>
        <v>RFR GBP</v>
      </c>
      <c r="J3527" s="1"/>
      <c r="N3527" s="1"/>
      <c r="R3527" s="1"/>
      <c r="V3527" s="1"/>
      <c r="AB3527" s="1"/>
      <c r="AF3527" s="1"/>
      <c r="AJ3527" s="1"/>
      <c r="AN3527" s="1"/>
      <c r="AS3527" s="1"/>
      <c r="AX3527" s="1"/>
    </row>
    <row r="3528" spans="1:50" x14ac:dyDescent="0.3">
      <c r="A3528" s="19">
        <f t="shared" si="274"/>
        <v>50853</v>
      </c>
      <c r="B3528">
        <f t="shared" ca="1" si="270"/>
        <v>-13.058333333333334</v>
      </c>
      <c r="C3528" t="str">
        <f ca="1">IF(currency="USD",'Future et co'!D3528,IF(currency="EUR",'Future et co'!E3528,IF(currency="GBP",'Future et co'!F3528,FALSE)))</f>
        <v>RFR USD</v>
      </c>
      <c r="D3528" t="str">
        <f t="shared" ca="1" si="271"/>
        <v>RFR USD</v>
      </c>
      <c r="E3528" t="str">
        <f t="shared" ca="1" si="272"/>
        <v>RFR EUR</v>
      </c>
      <c r="F3528" t="str">
        <f t="shared" ca="1" si="273"/>
        <v>RFR GBP</v>
      </c>
      <c r="J3528" s="1"/>
      <c r="N3528" s="1"/>
      <c r="R3528" s="1"/>
      <c r="V3528" s="1"/>
      <c r="AB3528" s="1"/>
      <c r="AF3528" s="1"/>
      <c r="AJ3528" s="1"/>
      <c r="AN3528" s="1"/>
      <c r="AS3528" s="1"/>
      <c r="AX3528" s="1"/>
    </row>
    <row r="3529" spans="1:50" x14ac:dyDescent="0.3">
      <c r="A3529" s="19">
        <f t="shared" si="274"/>
        <v>50854</v>
      </c>
      <c r="B3529">
        <f t="shared" ca="1" si="270"/>
        <v>-13.061111111111112</v>
      </c>
      <c r="C3529" t="str">
        <f ca="1">IF(currency="USD",'Future et co'!D3529,IF(currency="EUR",'Future et co'!E3529,IF(currency="GBP",'Future et co'!F3529,FALSE)))</f>
        <v>RFR USD</v>
      </c>
      <c r="D3529" t="str">
        <f t="shared" ca="1" si="271"/>
        <v>RFR USD</v>
      </c>
      <c r="E3529" t="str">
        <f t="shared" ca="1" si="272"/>
        <v>RFR EUR</v>
      </c>
      <c r="F3529" t="str">
        <f t="shared" ca="1" si="273"/>
        <v>RFR GBP</v>
      </c>
      <c r="J3529" s="1"/>
      <c r="N3529" s="1"/>
      <c r="R3529" s="1"/>
      <c r="V3529" s="1"/>
      <c r="AB3529" s="1"/>
      <c r="AF3529" s="1"/>
      <c r="AJ3529" s="1"/>
      <c r="AN3529" s="1"/>
      <c r="AS3529" s="1"/>
      <c r="AX3529" s="1"/>
    </row>
    <row r="3530" spans="1:50" x14ac:dyDescent="0.3">
      <c r="A3530" s="19">
        <f t="shared" si="274"/>
        <v>50857</v>
      </c>
      <c r="B3530">
        <f t="shared" ca="1" si="270"/>
        <v>-13.069444444444445</v>
      </c>
      <c r="C3530" t="str">
        <f ca="1">IF(currency="USD",'Future et co'!D3530,IF(currency="EUR",'Future et co'!E3530,IF(currency="GBP",'Future et co'!F3530,FALSE)))</f>
        <v>RFR USD</v>
      </c>
      <c r="D3530" t="str">
        <f t="shared" ca="1" si="271"/>
        <v>RFR USD</v>
      </c>
      <c r="E3530" t="str">
        <f t="shared" ca="1" si="272"/>
        <v>RFR EUR</v>
      </c>
      <c r="F3530" t="str">
        <f t="shared" ca="1" si="273"/>
        <v>RFR GBP</v>
      </c>
      <c r="J3530" s="1"/>
      <c r="N3530" s="1"/>
      <c r="R3530" s="1"/>
      <c r="V3530" s="1"/>
      <c r="AB3530" s="1"/>
      <c r="AF3530" s="1"/>
      <c r="AJ3530" s="1"/>
      <c r="AN3530" s="1"/>
      <c r="AS3530" s="1"/>
      <c r="AX3530" s="1"/>
    </row>
    <row r="3531" spans="1:50" x14ac:dyDescent="0.3">
      <c r="A3531" s="19">
        <f t="shared" si="274"/>
        <v>50858</v>
      </c>
      <c r="B3531">
        <f t="shared" ref="B3531:B3594" ca="1" si="275">($B$7-A3531)/360</f>
        <v>-13.072222222222223</v>
      </c>
      <c r="C3531" t="str">
        <f ca="1">IF(currency="USD",'Future et co'!D3531,IF(currency="EUR",'Future et co'!E3531,IF(currency="GBP",'Future et co'!F3531,FALSE)))</f>
        <v>RFR USD</v>
      </c>
      <c r="D3531" t="str">
        <f t="shared" ref="D3531:D3594" ca="1" si="276">IFERROR(IF(B3531&lt;0.25,VLOOKUP(A3531,$J$11:$L$5325,3,FALSE),IF(AND(B3531&gt;=0.25,B3531&lt;0.5),VLOOKUP(A3531,$N$11:$P$5325,3,FALSE),IF(AND(B3531&gt;=0.5,B3531&lt;1),VLOOKUP(A3531,$R$11:$T$5325,3,FALSE),VLOOKUP(A3531,$V$11:$X$5010,3,FALSE)))),D3530)</f>
        <v>RFR USD</v>
      </c>
      <c r="E3531" t="str">
        <f t="shared" ref="E3531:E3594" ca="1" si="277">IFERROR(IF(B3531&lt;0.25,VLOOKUP(A3531,$AF$11:$AH$5325,3,FALSE),IF(AND(B3531&gt;=0.25,B3531&lt;0.5),VLOOKUP(A3531,$AJ$11:$AL$5325,3,FALSE),VLOOKUP(A3531,$AN$11:$AP$5325,3,FALSE))),E3530)</f>
        <v>RFR EUR</v>
      </c>
      <c r="F3531" t="str">
        <f t="shared" ref="F3531:F3594" ca="1" si="278">IFERROR(VLOOKUP(A3531,$AS$11:$AU$9999,3,FALSE),F3530)</f>
        <v>RFR GBP</v>
      </c>
      <c r="J3531" s="1"/>
      <c r="N3531" s="1"/>
      <c r="R3531" s="1"/>
      <c r="V3531" s="1"/>
      <c r="AB3531" s="1"/>
      <c r="AF3531" s="1"/>
      <c r="AJ3531" s="1"/>
      <c r="AN3531" s="1"/>
      <c r="AS3531" s="1"/>
      <c r="AX3531" s="1"/>
    </row>
    <row r="3532" spans="1:50" x14ac:dyDescent="0.3">
      <c r="A3532" s="19">
        <f t="shared" si="274"/>
        <v>50859</v>
      </c>
      <c r="B3532">
        <f t="shared" ca="1" si="275"/>
        <v>-13.074999999999999</v>
      </c>
      <c r="C3532" t="str">
        <f ca="1">IF(currency="USD",'Future et co'!D3532,IF(currency="EUR",'Future et co'!E3532,IF(currency="GBP",'Future et co'!F3532,FALSE)))</f>
        <v>RFR USD</v>
      </c>
      <c r="D3532" t="str">
        <f t="shared" ca="1" si="276"/>
        <v>RFR USD</v>
      </c>
      <c r="E3532" t="str">
        <f t="shared" ca="1" si="277"/>
        <v>RFR EUR</v>
      </c>
      <c r="F3532" t="str">
        <f t="shared" ca="1" si="278"/>
        <v>RFR GBP</v>
      </c>
      <c r="J3532" s="1"/>
      <c r="N3532" s="1"/>
      <c r="R3532" s="1"/>
      <c r="V3532" s="1"/>
      <c r="AB3532" s="1"/>
      <c r="AF3532" s="1"/>
      <c r="AJ3532" s="1"/>
      <c r="AN3532" s="1"/>
      <c r="AS3532" s="1"/>
      <c r="AX3532" s="1"/>
    </row>
    <row r="3533" spans="1:50" x14ac:dyDescent="0.3">
      <c r="A3533" s="19">
        <f t="shared" ref="A3533:A3596" si="279">WORKDAY(A3532,1)</f>
        <v>50860</v>
      </c>
      <c r="B3533">
        <f t="shared" ca="1" si="275"/>
        <v>-13.077777777777778</v>
      </c>
      <c r="C3533" t="str">
        <f ca="1">IF(currency="USD",'Future et co'!D3533,IF(currency="EUR",'Future et co'!E3533,IF(currency="GBP",'Future et co'!F3533,FALSE)))</f>
        <v>RFR USD</v>
      </c>
      <c r="D3533" t="str">
        <f t="shared" ca="1" si="276"/>
        <v>RFR USD</v>
      </c>
      <c r="E3533" t="str">
        <f t="shared" ca="1" si="277"/>
        <v>RFR EUR</v>
      </c>
      <c r="F3533" t="str">
        <f t="shared" ca="1" si="278"/>
        <v>RFR GBP</v>
      </c>
      <c r="J3533" s="1"/>
      <c r="N3533" s="1"/>
      <c r="R3533" s="1"/>
      <c r="V3533" s="1"/>
      <c r="AB3533" s="1"/>
      <c r="AF3533" s="1"/>
      <c r="AJ3533" s="1"/>
      <c r="AN3533" s="1"/>
      <c r="AS3533" s="1"/>
      <c r="AX3533" s="1"/>
    </row>
    <row r="3534" spans="1:50" x14ac:dyDescent="0.3">
      <c r="A3534" s="19">
        <f t="shared" si="279"/>
        <v>50861</v>
      </c>
      <c r="B3534">
        <f t="shared" ca="1" si="275"/>
        <v>-13.080555555555556</v>
      </c>
      <c r="C3534" t="str">
        <f ca="1">IF(currency="USD",'Future et co'!D3534,IF(currency="EUR",'Future et co'!E3534,IF(currency="GBP",'Future et co'!F3534,FALSE)))</f>
        <v>RFR USD</v>
      </c>
      <c r="D3534" t="str">
        <f t="shared" ca="1" si="276"/>
        <v>RFR USD</v>
      </c>
      <c r="E3534" t="str">
        <f t="shared" ca="1" si="277"/>
        <v>RFR EUR</v>
      </c>
      <c r="F3534" t="str">
        <f t="shared" ca="1" si="278"/>
        <v>RFR GBP</v>
      </c>
      <c r="J3534" s="1"/>
      <c r="N3534" s="1"/>
      <c r="R3534" s="1"/>
      <c r="V3534" s="1"/>
      <c r="AB3534" s="1"/>
      <c r="AF3534" s="1"/>
      <c r="AJ3534" s="1"/>
      <c r="AN3534" s="1"/>
      <c r="AS3534" s="1"/>
      <c r="AX3534" s="1"/>
    </row>
    <row r="3535" spans="1:50" x14ac:dyDescent="0.3">
      <c r="A3535" s="19">
        <f t="shared" si="279"/>
        <v>50864</v>
      </c>
      <c r="B3535">
        <f t="shared" ca="1" si="275"/>
        <v>-13.088888888888889</v>
      </c>
      <c r="C3535" t="str">
        <f ca="1">IF(currency="USD",'Future et co'!D3535,IF(currency="EUR",'Future et co'!E3535,IF(currency="GBP",'Future et co'!F3535,FALSE)))</f>
        <v>RFR USD</v>
      </c>
      <c r="D3535" t="str">
        <f t="shared" ca="1" si="276"/>
        <v>RFR USD</v>
      </c>
      <c r="E3535" t="str">
        <f t="shared" ca="1" si="277"/>
        <v>RFR EUR</v>
      </c>
      <c r="F3535" t="str">
        <f t="shared" ca="1" si="278"/>
        <v>RFR GBP</v>
      </c>
      <c r="J3535" s="1"/>
      <c r="N3535" s="1"/>
      <c r="R3535" s="1"/>
      <c r="V3535" s="1"/>
      <c r="AB3535" s="1"/>
      <c r="AF3535" s="1"/>
      <c r="AJ3535" s="1"/>
      <c r="AN3535" s="1"/>
      <c r="AS3535" s="1"/>
      <c r="AX3535" s="1"/>
    </row>
    <row r="3536" spans="1:50" x14ac:dyDescent="0.3">
      <c r="A3536" s="19">
        <f t="shared" si="279"/>
        <v>50865</v>
      </c>
      <c r="B3536">
        <f t="shared" ca="1" si="275"/>
        <v>-13.091666666666667</v>
      </c>
      <c r="C3536" t="str">
        <f ca="1">IF(currency="USD",'Future et co'!D3536,IF(currency="EUR",'Future et co'!E3536,IF(currency="GBP",'Future et co'!F3536,FALSE)))</f>
        <v>RFR USD</v>
      </c>
      <c r="D3536" t="str">
        <f t="shared" ca="1" si="276"/>
        <v>RFR USD</v>
      </c>
      <c r="E3536" t="str">
        <f t="shared" ca="1" si="277"/>
        <v>RFR EUR</v>
      </c>
      <c r="F3536" t="str">
        <f t="shared" ca="1" si="278"/>
        <v>RFR GBP</v>
      </c>
      <c r="J3536" s="1"/>
      <c r="N3536" s="1"/>
      <c r="R3536" s="1"/>
      <c r="V3536" s="1"/>
      <c r="AB3536" s="1"/>
      <c r="AF3536" s="1"/>
      <c r="AJ3536" s="1"/>
      <c r="AN3536" s="1"/>
      <c r="AS3536" s="1"/>
      <c r="AX3536" s="1"/>
    </row>
    <row r="3537" spans="1:50" x14ac:dyDescent="0.3">
      <c r="A3537" s="19">
        <f t="shared" si="279"/>
        <v>50866</v>
      </c>
      <c r="B3537">
        <f t="shared" ca="1" si="275"/>
        <v>-13.094444444444445</v>
      </c>
      <c r="C3537" t="str">
        <f ca="1">IF(currency="USD",'Future et co'!D3537,IF(currency="EUR",'Future et co'!E3537,IF(currency="GBP",'Future et co'!F3537,FALSE)))</f>
        <v>RFR USD</v>
      </c>
      <c r="D3537" t="str">
        <f t="shared" ca="1" si="276"/>
        <v>RFR USD</v>
      </c>
      <c r="E3537" t="str">
        <f t="shared" ca="1" si="277"/>
        <v>RFR EUR</v>
      </c>
      <c r="F3537" t="str">
        <f t="shared" ca="1" si="278"/>
        <v>RFR GBP</v>
      </c>
      <c r="J3537" s="1"/>
      <c r="N3537" s="1"/>
      <c r="R3537" s="1"/>
      <c r="V3537" s="1"/>
      <c r="AB3537" s="1"/>
      <c r="AF3537" s="1"/>
      <c r="AJ3537" s="1"/>
      <c r="AN3537" s="1"/>
      <c r="AS3537" s="1"/>
      <c r="AX3537" s="1"/>
    </row>
    <row r="3538" spans="1:50" x14ac:dyDescent="0.3">
      <c r="A3538" s="19">
        <f t="shared" si="279"/>
        <v>50867</v>
      </c>
      <c r="B3538">
        <f t="shared" ca="1" si="275"/>
        <v>-13.097222222222221</v>
      </c>
      <c r="C3538" t="str">
        <f ca="1">IF(currency="USD",'Future et co'!D3538,IF(currency="EUR",'Future et co'!E3538,IF(currency="GBP",'Future et co'!F3538,FALSE)))</f>
        <v>RFR USD</v>
      </c>
      <c r="D3538" t="str">
        <f t="shared" ca="1" si="276"/>
        <v>RFR USD</v>
      </c>
      <c r="E3538" t="str">
        <f t="shared" ca="1" si="277"/>
        <v>RFR EUR</v>
      </c>
      <c r="F3538" t="str">
        <f t="shared" ca="1" si="278"/>
        <v>RFR GBP</v>
      </c>
      <c r="J3538" s="1"/>
      <c r="N3538" s="1"/>
      <c r="R3538" s="1"/>
      <c r="V3538" s="1"/>
      <c r="AB3538" s="1"/>
      <c r="AF3538" s="1"/>
      <c r="AJ3538" s="1"/>
      <c r="AN3538" s="1"/>
      <c r="AS3538" s="1"/>
      <c r="AX3538" s="1"/>
    </row>
    <row r="3539" spans="1:50" x14ac:dyDescent="0.3">
      <c r="A3539" s="19">
        <f t="shared" si="279"/>
        <v>50868</v>
      </c>
      <c r="B3539">
        <f t="shared" ca="1" si="275"/>
        <v>-13.1</v>
      </c>
      <c r="C3539" t="str">
        <f ca="1">IF(currency="USD",'Future et co'!D3539,IF(currency="EUR",'Future et co'!E3539,IF(currency="GBP",'Future et co'!F3539,FALSE)))</f>
        <v>RFR USD</v>
      </c>
      <c r="D3539" t="str">
        <f t="shared" ca="1" si="276"/>
        <v>RFR USD</v>
      </c>
      <c r="E3539" t="str">
        <f t="shared" ca="1" si="277"/>
        <v>RFR EUR</v>
      </c>
      <c r="F3539" t="str">
        <f t="shared" ca="1" si="278"/>
        <v>RFR GBP</v>
      </c>
      <c r="J3539" s="1"/>
      <c r="N3539" s="1"/>
      <c r="R3539" s="1"/>
      <c r="V3539" s="1"/>
      <c r="AB3539" s="1"/>
      <c r="AF3539" s="1"/>
      <c r="AJ3539" s="1"/>
      <c r="AN3539" s="1"/>
      <c r="AS3539" s="1"/>
      <c r="AX3539" s="1"/>
    </row>
    <row r="3540" spans="1:50" x14ac:dyDescent="0.3">
      <c r="A3540" s="19">
        <f t="shared" si="279"/>
        <v>50871</v>
      </c>
      <c r="B3540">
        <f t="shared" ca="1" si="275"/>
        <v>-13.108333333333333</v>
      </c>
      <c r="C3540" t="str">
        <f ca="1">IF(currency="USD",'Future et co'!D3540,IF(currency="EUR",'Future et co'!E3540,IF(currency="GBP",'Future et co'!F3540,FALSE)))</f>
        <v>RFR USD</v>
      </c>
      <c r="D3540" t="str">
        <f t="shared" ca="1" si="276"/>
        <v>RFR USD</v>
      </c>
      <c r="E3540" t="str">
        <f t="shared" ca="1" si="277"/>
        <v>RFR EUR</v>
      </c>
      <c r="F3540" t="str">
        <f t="shared" ca="1" si="278"/>
        <v>RFR GBP</v>
      </c>
      <c r="J3540" s="1"/>
      <c r="N3540" s="1"/>
      <c r="R3540" s="1"/>
      <c r="V3540" s="1"/>
      <c r="AB3540" s="1"/>
      <c r="AF3540" s="1"/>
      <c r="AJ3540" s="1"/>
      <c r="AN3540" s="1"/>
      <c r="AS3540" s="1"/>
      <c r="AX3540" s="1"/>
    </row>
    <row r="3541" spans="1:50" x14ac:dyDescent="0.3">
      <c r="A3541" s="19">
        <f t="shared" si="279"/>
        <v>50872</v>
      </c>
      <c r="B3541">
        <f t="shared" ca="1" si="275"/>
        <v>-13.111111111111111</v>
      </c>
      <c r="C3541" t="str">
        <f ca="1">IF(currency="USD",'Future et co'!D3541,IF(currency="EUR",'Future et co'!E3541,IF(currency="GBP",'Future et co'!F3541,FALSE)))</f>
        <v>RFR USD</v>
      </c>
      <c r="D3541" t="str">
        <f t="shared" ca="1" si="276"/>
        <v>RFR USD</v>
      </c>
      <c r="E3541" t="str">
        <f t="shared" ca="1" si="277"/>
        <v>RFR EUR</v>
      </c>
      <c r="F3541" t="str">
        <f t="shared" ca="1" si="278"/>
        <v>RFR GBP</v>
      </c>
      <c r="J3541" s="1"/>
      <c r="N3541" s="1"/>
      <c r="R3541" s="1"/>
      <c r="V3541" s="1"/>
      <c r="AB3541" s="1"/>
      <c r="AF3541" s="1"/>
      <c r="AJ3541" s="1"/>
      <c r="AN3541" s="1"/>
      <c r="AS3541" s="1"/>
      <c r="AX3541" s="1"/>
    </row>
    <row r="3542" spans="1:50" x14ac:dyDescent="0.3">
      <c r="A3542" s="19">
        <f t="shared" si="279"/>
        <v>50873</v>
      </c>
      <c r="B3542">
        <f t="shared" ca="1" si="275"/>
        <v>-13.113888888888889</v>
      </c>
      <c r="C3542" t="str">
        <f ca="1">IF(currency="USD",'Future et co'!D3542,IF(currency="EUR",'Future et co'!E3542,IF(currency="GBP",'Future et co'!F3542,FALSE)))</f>
        <v>RFR USD</v>
      </c>
      <c r="D3542" t="str">
        <f t="shared" ca="1" si="276"/>
        <v>RFR USD</v>
      </c>
      <c r="E3542" t="str">
        <f t="shared" ca="1" si="277"/>
        <v>RFR EUR</v>
      </c>
      <c r="F3542" t="str">
        <f t="shared" ca="1" si="278"/>
        <v>RFR GBP</v>
      </c>
      <c r="J3542" s="1"/>
      <c r="N3542" s="1"/>
      <c r="R3542" s="1"/>
      <c r="V3542" s="1"/>
      <c r="AB3542" s="1"/>
      <c r="AF3542" s="1"/>
      <c r="AJ3542" s="1"/>
      <c r="AN3542" s="1"/>
      <c r="AS3542" s="1"/>
      <c r="AX3542" s="1"/>
    </row>
    <row r="3543" spans="1:50" x14ac:dyDescent="0.3">
      <c r="A3543" s="19">
        <f t="shared" si="279"/>
        <v>50874</v>
      </c>
      <c r="B3543">
        <f t="shared" ca="1" si="275"/>
        <v>-13.116666666666667</v>
      </c>
      <c r="C3543" t="str">
        <f ca="1">IF(currency="USD",'Future et co'!D3543,IF(currency="EUR",'Future et co'!E3543,IF(currency="GBP",'Future et co'!F3543,FALSE)))</f>
        <v>RFR USD</v>
      </c>
      <c r="D3543" t="str">
        <f t="shared" ca="1" si="276"/>
        <v>RFR USD</v>
      </c>
      <c r="E3543" t="str">
        <f t="shared" ca="1" si="277"/>
        <v>RFR EUR</v>
      </c>
      <c r="F3543" t="str">
        <f t="shared" ca="1" si="278"/>
        <v>RFR GBP</v>
      </c>
      <c r="J3543" s="1"/>
      <c r="N3543" s="1"/>
      <c r="R3543" s="1"/>
      <c r="V3543" s="1"/>
      <c r="AB3543" s="1"/>
      <c r="AF3543" s="1"/>
      <c r="AJ3543" s="1"/>
      <c r="AN3543" s="1"/>
      <c r="AS3543" s="1"/>
      <c r="AX3543" s="1"/>
    </row>
    <row r="3544" spans="1:50" x14ac:dyDescent="0.3">
      <c r="A3544" s="19">
        <f t="shared" si="279"/>
        <v>50875</v>
      </c>
      <c r="B3544">
        <f t="shared" ca="1" si="275"/>
        <v>-13.119444444444444</v>
      </c>
      <c r="C3544" t="str">
        <f ca="1">IF(currency="USD",'Future et co'!D3544,IF(currency="EUR",'Future et co'!E3544,IF(currency="GBP",'Future et co'!F3544,FALSE)))</f>
        <v>RFR USD</v>
      </c>
      <c r="D3544" t="str">
        <f t="shared" ca="1" si="276"/>
        <v>RFR USD</v>
      </c>
      <c r="E3544" t="str">
        <f t="shared" ca="1" si="277"/>
        <v>RFR EUR</v>
      </c>
      <c r="F3544" t="str">
        <f t="shared" ca="1" si="278"/>
        <v>RFR GBP</v>
      </c>
      <c r="J3544" s="1"/>
      <c r="N3544" s="1"/>
      <c r="R3544" s="1"/>
      <c r="V3544" s="1"/>
      <c r="AB3544" s="1"/>
      <c r="AF3544" s="1"/>
      <c r="AJ3544" s="1"/>
      <c r="AN3544" s="1"/>
      <c r="AS3544" s="1"/>
      <c r="AX3544" s="1"/>
    </row>
    <row r="3545" spans="1:50" x14ac:dyDescent="0.3">
      <c r="A3545" s="19">
        <f t="shared" si="279"/>
        <v>50878</v>
      </c>
      <c r="B3545">
        <f t="shared" ca="1" si="275"/>
        <v>-13.127777777777778</v>
      </c>
      <c r="C3545" t="str">
        <f ca="1">IF(currency="USD",'Future et co'!D3545,IF(currency="EUR",'Future et co'!E3545,IF(currency="GBP",'Future et co'!F3545,FALSE)))</f>
        <v>RFR USD</v>
      </c>
      <c r="D3545" t="str">
        <f t="shared" ca="1" si="276"/>
        <v>RFR USD</v>
      </c>
      <c r="E3545" t="str">
        <f t="shared" ca="1" si="277"/>
        <v>RFR EUR</v>
      </c>
      <c r="F3545" t="str">
        <f t="shared" ca="1" si="278"/>
        <v>RFR GBP</v>
      </c>
      <c r="J3545" s="1"/>
      <c r="N3545" s="1"/>
      <c r="R3545" s="1"/>
      <c r="V3545" s="1"/>
      <c r="AB3545" s="1"/>
      <c r="AF3545" s="1"/>
      <c r="AJ3545" s="1"/>
      <c r="AN3545" s="1"/>
      <c r="AS3545" s="1"/>
      <c r="AX3545" s="1"/>
    </row>
    <row r="3546" spans="1:50" x14ac:dyDescent="0.3">
      <c r="A3546" s="19">
        <f t="shared" si="279"/>
        <v>50879</v>
      </c>
      <c r="B3546">
        <f t="shared" ca="1" si="275"/>
        <v>-13.130555555555556</v>
      </c>
      <c r="C3546" t="str">
        <f ca="1">IF(currency="USD",'Future et co'!D3546,IF(currency="EUR",'Future et co'!E3546,IF(currency="GBP",'Future et co'!F3546,FALSE)))</f>
        <v>RFR USD</v>
      </c>
      <c r="D3546" t="str">
        <f t="shared" ca="1" si="276"/>
        <v>RFR USD</v>
      </c>
      <c r="E3546" t="str">
        <f t="shared" ca="1" si="277"/>
        <v>RFR EUR</v>
      </c>
      <c r="F3546" t="str">
        <f t="shared" ca="1" si="278"/>
        <v>RFR GBP</v>
      </c>
      <c r="J3546" s="1"/>
      <c r="N3546" s="1"/>
      <c r="R3546" s="1"/>
      <c r="V3546" s="1"/>
      <c r="AB3546" s="1"/>
      <c r="AF3546" s="1"/>
      <c r="AJ3546" s="1"/>
      <c r="AN3546" s="1"/>
      <c r="AS3546" s="1"/>
      <c r="AX3546" s="1"/>
    </row>
    <row r="3547" spans="1:50" x14ac:dyDescent="0.3">
      <c r="A3547" s="19">
        <f t="shared" si="279"/>
        <v>50880</v>
      </c>
      <c r="B3547">
        <f t="shared" ca="1" si="275"/>
        <v>-13.133333333333333</v>
      </c>
      <c r="C3547" t="str">
        <f ca="1">IF(currency="USD",'Future et co'!D3547,IF(currency="EUR",'Future et co'!E3547,IF(currency="GBP",'Future et co'!F3547,FALSE)))</f>
        <v>RFR USD</v>
      </c>
      <c r="D3547" t="str">
        <f t="shared" ca="1" si="276"/>
        <v>RFR USD</v>
      </c>
      <c r="E3547" t="str">
        <f t="shared" ca="1" si="277"/>
        <v>RFR EUR</v>
      </c>
      <c r="F3547" t="str">
        <f t="shared" ca="1" si="278"/>
        <v>RFR GBP</v>
      </c>
      <c r="J3547" s="1"/>
      <c r="N3547" s="1"/>
      <c r="R3547" s="1"/>
      <c r="V3547" s="1"/>
      <c r="AB3547" s="1"/>
      <c r="AF3547" s="1"/>
      <c r="AJ3547" s="1"/>
      <c r="AN3547" s="1"/>
      <c r="AS3547" s="1"/>
      <c r="AX3547" s="1"/>
    </row>
    <row r="3548" spans="1:50" x14ac:dyDescent="0.3">
      <c r="A3548" s="19">
        <f t="shared" si="279"/>
        <v>50881</v>
      </c>
      <c r="B3548">
        <f t="shared" ca="1" si="275"/>
        <v>-13.136111111111111</v>
      </c>
      <c r="C3548" t="str">
        <f ca="1">IF(currency="USD",'Future et co'!D3548,IF(currency="EUR",'Future et co'!E3548,IF(currency="GBP",'Future et co'!F3548,FALSE)))</f>
        <v>RFR USD</v>
      </c>
      <c r="D3548" t="str">
        <f t="shared" ca="1" si="276"/>
        <v>RFR USD</v>
      </c>
      <c r="E3548" t="str">
        <f t="shared" ca="1" si="277"/>
        <v>RFR EUR</v>
      </c>
      <c r="F3548" t="str">
        <f t="shared" ca="1" si="278"/>
        <v>RFR GBP</v>
      </c>
      <c r="J3548" s="1"/>
      <c r="N3548" s="1"/>
      <c r="R3548" s="1"/>
      <c r="V3548" s="1"/>
      <c r="AB3548" s="1"/>
      <c r="AF3548" s="1"/>
      <c r="AJ3548" s="1"/>
      <c r="AN3548" s="1"/>
      <c r="AS3548" s="1"/>
      <c r="AX3548" s="1"/>
    </row>
    <row r="3549" spans="1:50" x14ac:dyDescent="0.3">
      <c r="A3549" s="19">
        <f t="shared" si="279"/>
        <v>50882</v>
      </c>
      <c r="B3549">
        <f t="shared" ca="1" si="275"/>
        <v>-13.138888888888889</v>
      </c>
      <c r="C3549" t="str">
        <f ca="1">IF(currency="USD",'Future et co'!D3549,IF(currency="EUR",'Future et co'!E3549,IF(currency="GBP",'Future et co'!F3549,FALSE)))</f>
        <v>RFR USD</v>
      </c>
      <c r="D3549" t="str">
        <f t="shared" ca="1" si="276"/>
        <v>RFR USD</v>
      </c>
      <c r="E3549" t="str">
        <f t="shared" ca="1" si="277"/>
        <v>RFR EUR</v>
      </c>
      <c r="F3549" t="str">
        <f t="shared" ca="1" si="278"/>
        <v>RFR GBP</v>
      </c>
      <c r="J3549" s="1"/>
      <c r="N3549" s="1"/>
      <c r="R3549" s="1"/>
      <c r="V3549" s="1"/>
      <c r="AB3549" s="1"/>
      <c r="AF3549" s="1"/>
      <c r="AJ3549" s="1"/>
      <c r="AN3549" s="1"/>
      <c r="AS3549" s="1"/>
      <c r="AX3549" s="1"/>
    </row>
    <row r="3550" spans="1:50" x14ac:dyDescent="0.3">
      <c r="A3550" s="19">
        <f t="shared" si="279"/>
        <v>50885</v>
      </c>
      <c r="B3550">
        <f t="shared" ca="1" si="275"/>
        <v>-13.147222222222222</v>
      </c>
      <c r="C3550" t="str">
        <f ca="1">IF(currency="USD",'Future et co'!D3550,IF(currency="EUR",'Future et co'!E3550,IF(currency="GBP",'Future et co'!F3550,FALSE)))</f>
        <v>RFR USD</v>
      </c>
      <c r="D3550" t="str">
        <f t="shared" ca="1" si="276"/>
        <v>RFR USD</v>
      </c>
      <c r="E3550" t="str">
        <f t="shared" ca="1" si="277"/>
        <v>RFR EUR</v>
      </c>
      <c r="F3550" t="str">
        <f t="shared" ca="1" si="278"/>
        <v>RFR GBP</v>
      </c>
      <c r="J3550" s="1"/>
      <c r="N3550" s="1"/>
      <c r="R3550" s="1"/>
      <c r="V3550" s="1"/>
      <c r="AB3550" s="1"/>
      <c r="AF3550" s="1"/>
      <c r="AJ3550" s="1"/>
      <c r="AN3550" s="1"/>
      <c r="AS3550" s="1"/>
      <c r="AX3550" s="1"/>
    </row>
    <row r="3551" spans="1:50" x14ac:dyDescent="0.3">
      <c r="A3551" s="19">
        <f t="shared" si="279"/>
        <v>50886</v>
      </c>
      <c r="B3551">
        <f t="shared" ca="1" si="275"/>
        <v>-13.15</v>
      </c>
      <c r="C3551" t="str">
        <f ca="1">IF(currency="USD",'Future et co'!D3551,IF(currency="EUR",'Future et co'!E3551,IF(currency="GBP",'Future et co'!F3551,FALSE)))</f>
        <v>RFR USD</v>
      </c>
      <c r="D3551" t="str">
        <f t="shared" ca="1" si="276"/>
        <v>RFR USD</v>
      </c>
      <c r="E3551" t="str">
        <f t="shared" ca="1" si="277"/>
        <v>RFR EUR</v>
      </c>
      <c r="F3551" t="str">
        <f t="shared" ca="1" si="278"/>
        <v>RFR GBP</v>
      </c>
      <c r="J3551" s="1"/>
      <c r="N3551" s="1"/>
      <c r="R3551" s="1"/>
      <c r="V3551" s="1"/>
      <c r="AB3551" s="1"/>
      <c r="AF3551" s="1"/>
      <c r="AJ3551" s="1"/>
      <c r="AN3551" s="1"/>
      <c r="AS3551" s="1"/>
      <c r="AX3551" s="1"/>
    </row>
    <row r="3552" spans="1:50" x14ac:dyDescent="0.3">
      <c r="A3552" s="19">
        <f t="shared" si="279"/>
        <v>50887</v>
      </c>
      <c r="B3552">
        <f t="shared" ca="1" si="275"/>
        <v>-13.152777777777779</v>
      </c>
      <c r="C3552" t="str">
        <f ca="1">IF(currency="USD",'Future et co'!D3552,IF(currency="EUR",'Future et co'!E3552,IF(currency="GBP",'Future et co'!F3552,FALSE)))</f>
        <v>RFR USD</v>
      </c>
      <c r="D3552" t="str">
        <f t="shared" ca="1" si="276"/>
        <v>RFR USD</v>
      </c>
      <c r="E3552" t="str">
        <f t="shared" ca="1" si="277"/>
        <v>RFR EUR</v>
      </c>
      <c r="F3552" t="str">
        <f t="shared" ca="1" si="278"/>
        <v>RFR GBP</v>
      </c>
      <c r="J3552" s="1"/>
      <c r="N3552" s="1"/>
      <c r="R3552" s="1"/>
      <c r="V3552" s="1"/>
      <c r="AB3552" s="1"/>
      <c r="AF3552" s="1"/>
      <c r="AJ3552" s="1"/>
      <c r="AN3552" s="1"/>
      <c r="AS3552" s="1"/>
      <c r="AX3552" s="1"/>
    </row>
    <row r="3553" spans="1:50" x14ac:dyDescent="0.3">
      <c r="A3553" s="19">
        <f t="shared" si="279"/>
        <v>50888</v>
      </c>
      <c r="B3553">
        <f t="shared" ca="1" si="275"/>
        <v>-13.155555555555555</v>
      </c>
      <c r="C3553" t="str">
        <f ca="1">IF(currency="USD",'Future et co'!D3553,IF(currency="EUR",'Future et co'!E3553,IF(currency="GBP",'Future et co'!F3553,FALSE)))</f>
        <v>RFR USD</v>
      </c>
      <c r="D3553" t="str">
        <f t="shared" ca="1" si="276"/>
        <v>RFR USD</v>
      </c>
      <c r="E3553" t="str">
        <f t="shared" ca="1" si="277"/>
        <v>RFR EUR</v>
      </c>
      <c r="F3553" t="str">
        <f t="shared" ca="1" si="278"/>
        <v>RFR GBP</v>
      </c>
      <c r="J3553" s="1"/>
      <c r="N3553" s="1"/>
      <c r="R3553" s="1"/>
      <c r="V3553" s="1"/>
      <c r="AB3553" s="1"/>
      <c r="AF3553" s="1"/>
      <c r="AJ3553" s="1"/>
      <c r="AN3553" s="1"/>
      <c r="AS3553" s="1"/>
      <c r="AX3553" s="1"/>
    </row>
    <row r="3554" spans="1:50" x14ac:dyDescent="0.3">
      <c r="A3554" s="19">
        <f t="shared" si="279"/>
        <v>50889</v>
      </c>
      <c r="B3554">
        <f t="shared" ca="1" si="275"/>
        <v>-13.158333333333333</v>
      </c>
      <c r="C3554" t="str">
        <f ca="1">IF(currency="USD",'Future et co'!D3554,IF(currency="EUR",'Future et co'!E3554,IF(currency="GBP",'Future et co'!F3554,FALSE)))</f>
        <v>RFR USD</v>
      </c>
      <c r="D3554" t="str">
        <f t="shared" ca="1" si="276"/>
        <v>RFR USD</v>
      </c>
      <c r="E3554" t="str">
        <f t="shared" ca="1" si="277"/>
        <v>RFR EUR</v>
      </c>
      <c r="F3554" t="str">
        <f t="shared" ca="1" si="278"/>
        <v>RFR GBP</v>
      </c>
      <c r="J3554" s="1"/>
      <c r="N3554" s="1"/>
      <c r="R3554" s="1"/>
      <c r="V3554" s="1"/>
      <c r="AB3554" s="1"/>
      <c r="AF3554" s="1"/>
      <c r="AJ3554" s="1"/>
      <c r="AN3554" s="1"/>
      <c r="AS3554" s="1"/>
      <c r="AX3554" s="1"/>
    </row>
    <row r="3555" spans="1:50" x14ac:dyDescent="0.3">
      <c r="A3555" s="19">
        <f t="shared" si="279"/>
        <v>50892</v>
      </c>
      <c r="B3555">
        <f t="shared" ca="1" si="275"/>
        <v>-13.166666666666666</v>
      </c>
      <c r="C3555" t="str">
        <f ca="1">IF(currency="USD",'Future et co'!D3555,IF(currency="EUR",'Future et co'!E3555,IF(currency="GBP",'Future et co'!F3555,FALSE)))</f>
        <v>RFR USD</v>
      </c>
      <c r="D3555" t="str">
        <f t="shared" ca="1" si="276"/>
        <v>RFR USD</v>
      </c>
      <c r="E3555" t="str">
        <f t="shared" ca="1" si="277"/>
        <v>RFR EUR</v>
      </c>
      <c r="F3555" t="str">
        <f t="shared" ca="1" si="278"/>
        <v>RFR GBP</v>
      </c>
      <c r="J3555" s="1"/>
      <c r="N3555" s="1"/>
      <c r="R3555" s="1"/>
      <c r="V3555" s="1"/>
      <c r="AB3555" s="1"/>
      <c r="AF3555" s="1"/>
      <c r="AJ3555" s="1"/>
      <c r="AN3555" s="1"/>
      <c r="AS3555" s="1"/>
      <c r="AX3555" s="1"/>
    </row>
    <row r="3556" spans="1:50" x14ac:dyDescent="0.3">
      <c r="A3556" s="19">
        <f t="shared" si="279"/>
        <v>50893</v>
      </c>
      <c r="B3556">
        <f t="shared" ca="1" si="275"/>
        <v>-13.169444444444444</v>
      </c>
      <c r="C3556" t="str">
        <f ca="1">IF(currency="USD",'Future et co'!D3556,IF(currency="EUR",'Future et co'!E3556,IF(currency="GBP",'Future et co'!F3556,FALSE)))</f>
        <v>RFR USD</v>
      </c>
      <c r="D3556" t="str">
        <f t="shared" ca="1" si="276"/>
        <v>RFR USD</v>
      </c>
      <c r="E3556" t="str">
        <f t="shared" ca="1" si="277"/>
        <v>RFR EUR</v>
      </c>
      <c r="F3556" t="str">
        <f t="shared" ca="1" si="278"/>
        <v>RFR GBP</v>
      </c>
      <c r="J3556" s="1"/>
      <c r="N3556" s="1"/>
      <c r="R3556" s="1"/>
      <c r="V3556" s="1"/>
      <c r="AB3556" s="1"/>
      <c r="AF3556" s="1"/>
      <c r="AJ3556" s="1"/>
      <c r="AN3556" s="1"/>
      <c r="AS3556" s="1"/>
      <c r="AX3556" s="1"/>
    </row>
    <row r="3557" spans="1:50" x14ac:dyDescent="0.3">
      <c r="A3557" s="19">
        <f t="shared" si="279"/>
        <v>50894</v>
      </c>
      <c r="B3557">
        <f t="shared" ca="1" si="275"/>
        <v>-13.172222222222222</v>
      </c>
      <c r="C3557" t="str">
        <f ca="1">IF(currency="USD",'Future et co'!D3557,IF(currency="EUR",'Future et co'!E3557,IF(currency="GBP",'Future et co'!F3557,FALSE)))</f>
        <v>RFR USD</v>
      </c>
      <c r="D3557" t="str">
        <f t="shared" ca="1" si="276"/>
        <v>RFR USD</v>
      </c>
      <c r="E3557" t="str">
        <f t="shared" ca="1" si="277"/>
        <v>RFR EUR</v>
      </c>
      <c r="F3557" t="str">
        <f t="shared" ca="1" si="278"/>
        <v>RFR GBP</v>
      </c>
      <c r="J3557" s="1"/>
      <c r="N3557" s="1"/>
      <c r="R3557" s="1"/>
      <c r="V3557" s="1"/>
      <c r="AB3557" s="1"/>
      <c r="AF3557" s="1"/>
      <c r="AJ3557" s="1"/>
      <c r="AN3557" s="1"/>
      <c r="AS3557" s="1"/>
      <c r="AX3557" s="1"/>
    </row>
    <row r="3558" spans="1:50" x14ac:dyDescent="0.3">
      <c r="A3558" s="19">
        <f t="shared" si="279"/>
        <v>50895</v>
      </c>
      <c r="B3558">
        <f t="shared" ca="1" si="275"/>
        <v>-13.175000000000001</v>
      </c>
      <c r="C3558" t="str">
        <f ca="1">IF(currency="USD",'Future et co'!D3558,IF(currency="EUR",'Future et co'!E3558,IF(currency="GBP",'Future et co'!F3558,FALSE)))</f>
        <v>RFR USD</v>
      </c>
      <c r="D3558" t="str">
        <f t="shared" ca="1" si="276"/>
        <v>RFR USD</v>
      </c>
      <c r="E3558" t="str">
        <f t="shared" ca="1" si="277"/>
        <v>RFR EUR</v>
      </c>
      <c r="F3558" t="str">
        <f t="shared" ca="1" si="278"/>
        <v>RFR GBP</v>
      </c>
      <c r="J3558" s="1"/>
      <c r="N3558" s="1"/>
      <c r="R3558" s="1"/>
      <c r="V3558" s="1"/>
      <c r="AB3558" s="1"/>
      <c r="AF3558" s="1"/>
      <c r="AJ3558" s="1"/>
      <c r="AN3558" s="1"/>
      <c r="AS3558" s="1"/>
      <c r="AX3558" s="1"/>
    </row>
    <row r="3559" spans="1:50" x14ac:dyDescent="0.3">
      <c r="A3559" s="19">
        <f t="shared" si="279"/>
        <v>50896</v>
      </c>
      <c r="B3559">
        <f t="shared" ca="1" si="275"/>
        <v>-13.177777777777777</v>
      </c>
      <c r="C3559" t="str">
        <f ca="1">IF(currency="USD",'Future et co'!D3559,IF(currency="EUR",'Future et co'!E3559,IF(currency="GBP",'Future et co'!F3559,FALSE)))</f>
        <v>RFR USD</v>
      </c>
      <c r="D3559" t="str">
        <f t="shared" ca="1" si="276"/>
        <v>RFR USD</v>
      </c>
      <c r="E3559" t="str">
        <f t="shared" ca="1" si="277"/>
        <v>RFR EUR</v>
      </c>
      <c r="F3559" t="str">
        <f t="shared" ca="1" si="278"/>
        <v>RFR GBP</v>
      </c>
      <c r="J3559" s="1"/>
      <c r="N3559" s="1"/>
      <c r="R3559" s="1"/>
      <c r="V3559" s="1"/>
      <c r="AB3559" s="1"/>
      <c r="AF3559" s="1"/>
      <c r="AJ3559" s="1"/>
      <c r="AN3559" s="1"/>
      <c r="AS3559" s="1"/>
      <c r="AX3559" s="1"/>
    </row>
    <row r="3560" spans="1:50" x14ac:dyDescent="0.3">
      <c r="A3560" s="19">
        <f t="shared" si="279"/>
        <v>50899</v>
      </c>
      <c r="B3560">
        <f t="shared" ca="1" si="275"/>
        <v>-13.186111111111112</v>
      </c>
      <c r="C3560" t="str">
        <f ca="1">IF(currency="USD",'Future et co'!D3560,IF(currency="EUR",'Future et co'!E3560,IF(currency="GBP",'Future et co'!F3560,FALSE)))</f>
        <v>RFR USD</v>
      </c>
      <c r="D3560" t="str">
        <f t="shared" ca="1" si="276"/>
        <v>RFR USD</v>
      </c>
      <c r="E3560" t="str">
        <f t="shared" ca="1" si="277"/>
        <v>RFR EUR</v>
      </c>
      <c r="F3560" t="str">
        <f t="shared" ca="1" si="278"/>
        <v>RFR GBP</v>
      </c>
      <c r="J3560" s="1"/>
      <c r="N3560" s="1"/>
      <c r="R3560" s="1"/>
      <c r="V3560" s="1"/>
      <c r="AB3560" s="1"/>
      <c r="AF3560" s="1"/>
      <c r="AJ3560" s="1"/>
      <c r="AN3560" s="1"/>
      <c r="AS3560" s="1"/>
      <c r="AX3560" s="1"/>
    </row>
    <row r="3561" spans="1:50" x14ac:dyDescent="0.3">
      <c r="A3561" s="19">
        <f t="shared" si="279"/>
        <v>50900</v>
      </c>
      <c r="B3561">
        <f t="shared" ca="1" si="275"/>
        <v>-13.188888888888888</v>
      </c>
      <c r="C3561" t="str">
        <f ca="1">IF(currency="USD",'Future et co'!D3561,IF(currency="EUR",'Future et co'!E3561,IF(currency="GBP",'Future et co'!F3561,FALSE)))</f>
        <v>RFR USD</v>
      </c>
      <c r="D3561" t="str">
        <f t="shared" ca="1" si="276"/>
        <v>RFR USD</v>
      </c>
      <c r="E3561" t="str">
        <f t="shared" ca="1" si="277"/>
        <v>RFR EUR</v>
      </c>
      <c r="F3561" t="str">
        <f t="shared" ca="1" si="278"/>
        <v>RFR GBP</v>
      </c>
      <c r="J3561" s="1"/>
      <c r="N3561" s="1"/>
      <c r="R3561" s="1"/>
      <c r="V3561" s="1"/>
      <c r="AB3561" s="1"/>
      <c r="AF3561" s="1"/>
      <c r="AJ3561" s="1"/>
      <c r="AN3561" s="1"/>
      <c r="AS3561" s="1"/>
      <c r="AX3561" s="1"/>
    </row>
    <row r="3562" spans="1:50" x14ac:dyDescent="0.3">
      <c r="A3562" s="19">
        <f t="shared" si="279"/>
        <v>50901</v>
      </c>
      <c r="B3562">
        <f t="shared" ca="1" si="275"/>
        <v>-13.191666666666666</v>
      </c>
      <c r="C3562" t="str">
        <f ca="1">IF(currency="USD",'Future et co'!D3562,IF(currency="EUR",'Future et co'!E3562,IF(currency="GBP",'Future et co'!F3562,FALSE)))</f>
        <v>RFR USD</v>
      </c>
      <c r="D3562" t="str">
        <f t="shared" ca="1" si="276"/>
        <v>RFR USD</v>
      </c>
      <c r="E3562" t="str">
        <f t="shared" ca="1" si="277"/>
        <v>RFR EUR</v>
      </c>
      <c r="F3562" t="str">
        <f t="shared" ca="1" si="278"/>
        <v>RFR GBP</v>
      </c>
      <c r="J3562" s="1"/>
      <c r="N3562" s="1"/>
      <c r="R3562" s="1"/>
      <c r="V3562" s="1"/>
      <c r="AB3562" s="1"/>
      <c r="AF3562" s="1"/>
      <c r="AJ3562" s="1"/>
      <c r="AN3562" s="1"/>
      <c r="AS3562" s="1"/>
      <c r="AX3562" s="1"/>
    </row>
    <row r="3563" spans="1:50" x14ac:dyDescent="0.3">
      <c r="A3563" s="19">
        <f t="shared" si="279"/>
        <v>50902</v>
      </c>
      <c r="B3563">
        <f t="shared" ca="1" si="275"/>
        <v>-13.194444444444445</v>
      </c>
      <c r="C3563" t="str">
        <f ca="1">IF(currency="USD",'Future et co'!D3563,IF(currency="EUR",'Future et co'!E3563,IF(currency="GBP",'Future et co'!F3563,FALSE)))</f>
        <v>RFR USD</v>
      </c>
      <c r="D3563" t="str">
        <f t="shared" ca="1" si="276"/>
        <v>RFR USD</v>
      </c>
      <c r="E3563" t="str">
        <f t="shared" ca="1" si="277"/>
        <v>RFR EUR</v>
      </c>
      <c r="F3563" t="str">
        <f t="shared" ca="1" si="278"/>
        <v>RFR GBP</v>
      </c>
      <c r="J3563" s="1"/>
      <c r="N3563" s="1"/>
      <c r="R3563" s="1"/>
      <c r="V3563" s="1"/>
      <c r="AB3563" s="1"/>
      <c r="AF3563" s="1"/>
      <c r="AJ3563" s="1"/>
      <c r="AN3563" s="1"/>
      <c r="AS3563" s="1"/>
      <c r="AX3563" s="1"/>
    </row>
    <row r="3564" spans="1:50" x14ac:dyDescent="0.3">
      <c r="A3564" s="19">
        <f t="shared" si="279"/>
        <v>50903</v>
      </c>
      <c r="B3564">
        <f t="shared" ca="1" si="275"/>
        <v>-13.197222222222223</v>
      </c>
      <c r="C3564" t="str">
        <f ca="1">IF(currency="USD",'Future et co'!D3564,IF(currency="EUR",'Future et co'!E3564,IF(currency="GBP",'Future et co'!F3564,FALSE)))</f>
        <v>RFR USD</v>
      </c>
      <c r="D3564" t="str">
        <f t="shared" ca="1" si="276"/>
        <v>RFR USD</v>
      </c>
      <c r="E3564" t="str">
        <f t="shared" ca="1" si="277"/>
        <v>RFR EUR</v>
      </c>
      <c r="F3564" t="str">
        <f t="shared" ca="1" si="278"/>
        <v>RFR GBP</v>
      </c>
      <c r="J3564" s="1"/>
      <c r="N3564" s="1"/>
      <c r="R3564" s="1"/>
      <c r="V3564" s="1"/>
      <c r="AB3564" s="1"/>
      <c r="AF3564" s="1"/>
      <c r="AJ3564" s="1"/>
      <c r="AN3564" s="1"/>
      <c r="AS3564" s="1"/>
      <c r="AX3564" s="1"/>
    </row>
    <row r="3565" spans="1:50" x14ac:dyDescent="0.3">
      <c r="A3565" s="19">
        <f t="shared" si="279"/>
        <v>50906</v>
      </c>
      <c r="B3565">
        <f t="shared" ca="1" si="275"/>
        <v>-13.205555555555556</v>
      </c>
      <c r="C3565" t="str">
        <f ca="1">IF(currency="USD",'Future et co'!D3565,IF(currency="EUR",'Future et co'!E3565,IF(currency="GBP",'Future et co'!F3565,FALSE)))</f>
        <v>RFR USD</v>
      </c>
      <c r="D3565" t="str">
        <f t="shared" ca="1" si="276"/>
        <v>RFR USD</v>
      </c>
      <c r="E3565" t="str">
        <f t="shared" ca="1" si="277"/>
        <v>RFR EUR</v>
      </c>
      <c r="F3565" t="str">
        <f t="shared" ca="1" si="278"/>
        <v>RFR GBP</v>
      </c>
      <c r="J3565" s="1"/>
      <c r="N3565" s="1"/>
      <c r="R3565" s="1"/>
      <c r="V3565" s="1"/>
      <c r="AB3565" s="1"/>
      <c r="AF3565" s="1"/>
      <c r="AJ3565" s="1"/>
      <c r="AN3565" s="1"/>
      <c r="AS3565" s="1"/>
      <c r="AX3565" s="1"/>
    </row>
    <row r="3566" spans="1:50" x14ac:dyDescent="0.3">
      <c r="A3566" s="19">
        <f t="shared" si="279"/>
        <v>50907</v>
      </c>
      <c r="B3566">
        <f t="shared" ca="1" si="275"/>
        <v>-13.208333333333334</v>
      </c>
      <c r="C3566" t="str">
        <f ca="1">IF(currency="USD",'Future et co'!D3566,IF(currency="EUR",'Future et co'!E3566,IF(currency="GBP",'Future et co'!F3566,FALSE)))</f>
        <v>RFR USD</v>
      </c>
      <c r="D3566" t="str">
        <f t="shared" ca="1" si="276"/>
        <v>RFR USD</v>
      </c>
      <c r="E3566" t="str">
        <f t="shared" ca="1" si="277"/>
        <v>RFR EUR</v>
      </c>
      <c r="F3566" t="str">
        <f t="shared" ca="1" si="278"/>
        <v>RFR GBP</v>
      </c>
      <c r="J3566" s="1"/>
      <c r="N3566" s="1"/>
      <c r="R3566" s="1"/>
      <c r="V3566" s="1"/>
      <c r="AB3566" s="1"/>
      <c r="AF3566" s="1"/>
      <c r="AJ3566" s="1"/>
      <c r="AN3566" s="1"/>
      <c r="AS3566" s="1"/>
      <c r="AX3566" s="1"/>
    </row>
    <row r="3567" spans="1:50" x14ac:dyDescent="0.3">
      <c r="A3567" s="19">
        <f t="shared" si="279"/>
        <v>50908</v>
      </c>
      <c r="B3567">
        <f t="shared" ca="1" si="275"/>
        <v>-13.21111111111111</v>
      </c>
      <c r="C3567" t="str">
        <f ca="1">IF(currency="USD",'Future et co'!D3567,IF(currency="EUR",'Future et co'!E3567,IF(currency="GBP",'Future et co'!F3567,FALSE)))</f>
        <v>RFR USD</v>
      </c>
      <c r="D3567" t="str">
        <f t="shared" ca="1" si="276"/>
        <v>RFR USD</v>
      </c>
      <c r="E3567" t="str">
        <f t="shared" ca="1" si="277"/>
        <v>RFR EUR</v>
      </c>
      <c r="F3567" t="str">
        <f t="shared" ca="1" si="278"/>
        <v>RFR GBP</v>
      </c>
      <c r="J3567" s="1"/>
      <c r="N3567" s="1"/>
      <c r="R3567" s="1"/>
      <c r="V3567" s="1"/>
      <c r="AB3567" s="1"/>
      <c r="AF3567" s="1"/>
      <c r="AJ3567" s="1"/>
      <c r="AN3567" s="1"/>
      <c r="AS3567" s="1"/>
      <c r="AX3567" s="1"/>
    </row>
    <row r="3568" spans="1:50" x14ac:dyDescent="0.3">
      <c r="A3568" s="19">
        <f t="shared" si="279"/>
        <v>50909</v>
      </c>
      <c r="B3568">
        <f t="shared" ca="1" si="275"/>
        <v>-13.213888888888889</v>
      </c>
      <c r="C3568" t="str">
        <f ca="1">IF(currency="USD",'Future et co'!D3568,IF(currency="EUR",'Future et co'!E3568,IF(currency="GBP",'Future et co'!F3568,FALSE)))</f>
        <v>RFR USD</v>
      </c>
      <c r="D3568" t="str">
        <f t="shared" ca="1" si="276"/>
        <v>RFR USD</v>
      </c>
      <c r="E3568" t="str">
        <f t="shared" ca="1" si="277"/>
        <v>RFR EUR</v>
      </c>
      <c r="F3568" t="str">
        <f t="shared" ca="1" si="278"/>
        <v>RFR GBP</v>
      </c>
      <c r="J3568" s="1"/>
      <c r="N3568" s="1"/>
      <c r="R3568" s="1"/>
      <c r="V3568" s="1"/>
      <c r="AB3568" s="1"/>
      <c r="AF3568" s="1"/>
      <c r="AJ3568" s="1"/>
      <c r="AN3568" s="1"/>
      <c r="AS3568" s="1"/>
      <c r="AX3568" s="1"/>
    </row>
    <row r="3569" spans="1:50" x14ac:dyDescent="0.3">
      <c r="A3569" s="19">
        <f t="shared" si="279"/>
        <v>50910</v>
      </c>
      <c r="B3569">
        <f t="shared" ca="1" si="275"/>
        <v>-13.216666666666667</v>
      </c>
      <c r="C3569" t="str">
        <f ca="1">IF(currency="USD",'Future et co'!D3569,IF(currency="EUR",'Future et co'!E3569,IF(currency="GBP",'Future et co'!F3569,FALSE)))</f>
        <v>RFR USD</v>
      </c>
      <c r="D3569" t="str">
        <f t="shared" ca="1" si="276"/>
        <v>RFR USD</v>
      </c>
      <c r="E3569" t="str">
        <f t="shared" ca="1" si="277"/>
        <v>RFR EUR</v>
      </c>
      <c r="F3569" t="str">
        <f t="shared" ca="1" si="278"/>
        <v>RFR GBP</v>
      </c>
      <c r="J3569" s="1"/>
      <c r="N3569" s="1"/>
      <c r="R3569" s="1"/>
      <c r="V3569" s="1"/>
      <c r="AB3569" s="1"/>
      <c r="AF3569" s="1"/>
      <c r="AJ3569" s="1"/>
      <c r="AN3569" s="1"/>
      <c r="AS3569" s="1"/>
      <c r="AX3569" s="1"/>
    </row>
    <row r="3570" spans="1:50" x14ac:dyDescent="0.3">
      <c r="A3570" s="19">
        <f t="shared" si="279"/>
        <v>50913</v>
      </c>
      <c r="B3570">
        <f t="shared" ca="1" si="275"/>
        <v>-13.225</v>
      </c>
      <c r="C3570" t="str">
        <f ca="1">IF(currency="USD",'Future et co'!D3570,IF(currency="EUR",'Future et co'!E3570,IF(currency="GBP",'Future et co'!F3570,FALSE)))</f>
        <v>RFR USD</v>
      </c>
      <c r="D3570" t="str">
        <f t="shared" ca="1" si="276"/>
        <v>RFR USD</v>
      </c>
      <c r="E3570" t="str">
        <f t="shared" ca="1" si="277"/>
        <v>RFR EUR</v>
      </c>
      <c r="F3570" t="str">
        <f t="shared" ca="1" si="278"/>
        <v>RFR GBP</v>
      </c>
      <c r="J3570" s="1"/>
      <c r="N3570" s="1"/>
      <c r="R3570" s="1"/>
      <c r="V3570" s="1"/>
      <c r="AB3570" s="1"/>
      <c r="AF3570" s="1"/>
      <c r="AJ3570" s="1"/>
      <c r="AN3570" s="1"/>
      <c r="AS3570" s="1"/>
      <c r="AX3570" s="1"/>
    </row>
    <row r="3571" spans="1:50" x14ac:dyDescent="0.3">
      <c r="A3571" s="19">
        <f t="shared" si="279"/>
        <v>50914</v>
      </c>
      <c r="B3571">
        <f t="shared" ca="1" si="275"/>
        <v>-13.227777777777778</v>
      </c>
      <c r="C3571" t="str">
        <f ca="1">IF(currency="USD",'Future et co'!D3571,IF(currency="EUR",'Future et co'!E3571,IF(currency="GBP",'Future et co'!F3571,FALSE)))</f>
        <v>RFR USD</v>
      </c>
      <c r="D3571" t="str">
        <f t="shared" ca="1" si="276"/>
        <v>RFR USD</v>
      </c>
      <c r="E3571" t="str">
        <f t="shared" ca="1" si="277"/>
        <v>RFR EUR</v>
      </c>
      <c r="F3571" t="str">
        <f t="shared" ca="1" si="278"/>
        <v>RFR GBP</v>
      </c>
      <c r="J3571" s="1"/>
      <c r="N3571" s="1"/>
      <c r="R3571" s="1"/>
      <c r="V3571" s="1"/>
      <c r="AB3571" s="1"/>
      <c r="AF3571" s="1"/>
      <c r="AJ3571" s="1"/>
      <c r="AN3571" s="1"/>
      <c r="AS3571" s="1"/>
      <c r="AX3571" s="1"/>
    </row>
    <row r="3572" spans="1:50" x14ac:dyDescent="0.3">
      <c r="A3572" s="19">
        <f t="shared" si="279"/>
        <v>50915</v>
      </c>
      <c r="B3572">
        <f t="shared" ca="1" si="275"/>
        <v>-13.230555555555556</v>
      </c>
      <c r="C3572" t="str">
        <f ca="1">IF(currency="USD",'Future et co'!D3572,IF(currency="EUR",'Future et co'!E3572,IF(currency="GBP",'Future et co'!F3572,FALSE)))</f>
        <v>RFR USD</v>
      </c>
      <c r="D3572" t="str">
        <f t="shared" ca="1" si="276"/>
        <v>RFR USD</v>
      </c>
      <c r="E3572" t="str">
        <f t="shared" ca="1" si="277"/>
        <v>RFR EUR</v>
      </c>
      <c r="F3572" t="str">
        <f t="shared" ca="1" si="278"/>
        <v>RFR GBP</v>
      </c>
      <c r="J3572" s="1"/>
      <c r="N3572" s="1"/>
      <c r="R3572" s="1"/>
      <c r="V3572" s="1"/>
      <c r="AB3572" s="1"/>
      <c r="AF3572" s="1"/>
      <c r="AJ3572" s="1"/>
      <c r="AN3572" s="1"/>
      <c r="AS3572" s="1"/>
      <c r="AX3572" s="1"/>
    </row>
    <row r="3573" spans="1:50" x14ac:dyDescent="0.3">
      <c r="A3573" s="19">
        <f t="shared" si="279"/>
        <v>50916</v>
      </c>
      <c r="B3573">
        <f t="shared" ca="1" si="275"/>
        <v>-13.233333333333333</v>
      </c>
      <c r="C3573" t="str">
        <f ca="1">IF(currency="USD",'Future et co'!D3573,IF(currency="EUR",'Future et co'!E3573,IF(currency="GBP",'Future et co'!F3573,FALSE)))</f>
        <v>RFR USD</v>
      </c>
      <c r="D3573" t="str">
        <f t="shared" ca="1" si="276"/>
        <v>RFR USD</v>
      </c>
      <c r="E3573" t="str">
        <f t="shared" ca="1" si="277"/>
        <v>RFR EUR</v>
      </c>
      <c r="F3573" t="str">
        <f t="shared" ca="1" si="278"/>
        <v>RFR GBP</v>
      </c>
      <c r="J3573" s="1"/>
      <c r="N3573" s="1"/>
      <c r="R3573" s="1"/>
      <c r="V3573" s="1"/>
      <c r="AB3573" s="1"/>
      <c r="AF3573" s="1"/>
      <c r="AJ3573" s="1"/>
      <c r="AN3573" s="1"/>
      <c r="AS3573" s="1"/>
      <c r="AX3573" s="1"/>
    </row>
    <row r="3574" spans="1:50" x14ac:dyDescent="0.3">
      <c r="A3574" s="19">
        <f t="shared" si="279"/>
        <v>50917</v>
      </c>
      <c r="B3574">
        <f t="shared" ca="1" si="275"/>
        <v>-13.236111111111111</v>
      </c>
      <c r="C3574" t="str">
        <f ca="1">IF(currency="USD",'Future et co'!D3574,IF(currency="EUR",'Future et co'!E3574,IF(currency="GBP",'Future et co'!F3574,FALSE)))</f>
        <v>RFR USD</v>
      </c>
      <c r="D3574" t="str">
        <f t="shared" ca="1" si="276"/>
        <v>RFR USD</v>
      </c>
      <c r="E3574" t="str">
        <f t="shared" ca="1" si="277"/>
        <v>RFR EUR</v>
      </c>
      <c r="F3574" t="str">
        <f t="shared" ca="1" si="278"/>
        <v>RFR GBP</v>
      </c>
      <c r="J3574" s="1"/>
      <c r="N3574" s="1"/>
      <c r="R3574" s="1"/>
      <c r="V3574" s="1"/>
      <c r="AB3574" s="1"/>
      <c r="AF3574" s="1"/>
      <c r="AJ3574" s="1"/>
      <c r="AN3574" s="1"/>
      <c r="AS3574" s="1"/>
      <c r="AX3574" s="1"/>
    </row>
    <row r="3575" spans="1:50" x14ac:dyDescent="0.3">
      <c r="A3575" s="19">
        <f t="shared" si="279"/>
        <v>50920</v>
      </c>
      <c r="B3575">
        <f t="shared" ca="1" si="275"/>
        <v>-13.244444444444444</v>
      </c>
      <c r="C3575" t="str">
        <f ca="1">IF(currency="USD",'Future et co'!D3575,IF(currency="EUR",'Future et co'!E3575,IF(currency="GBP",'Future et co'!F3575,FALSE)))</f>
        <v>RFR USD</v>
      </c>
      <c r="D3575" t="str">
        <f t="shared" ca="1" si="276"/>
        <v>RFR USD</v>
      </c>
      <c r="E3575" t="str">
        <f t="shared" ca="1" si="277"/>
        <v>RFR EUR</v>
      </c>
      <c r="F3575" t="str">
        <f t="shared" ca="1" si="278"/>
        <v>RFR GBP</v>
      </c>
      <c r="J3575" s="1"/>
      <c r="N3575" s="1"/>
      <c r="R3575" s="1"/>
      <c r="V3575" s="1"/>
      <c r="AB3575" s="1"/>
      <c r="AF3575" s="1"/>
      <c r="AJ3575" s="1"/>
      <c r="AN3575" s="1"/>
      <c r="AS3575" s="1"/>
      <c r="AX3575" s="1"/>
    </row>
    <row r="3576" spans="1:50" x14ac:dyDescent="0.3">
      <c r="A3576" s="19">
        <f t="shared" si="279"/>
        <v>50921</v>
      </c>
      <c r="B3576">
        <f t="shared" ca="1" si="275"/>
        <v>-13.247222222222222</v>
      </c>
      <c r="C3576" t="str">
        <f ca="1">IF(currency="USD",'Future et co'!D3576,IF(currency="EUR",'Future et co'!E3576,IF(currency="GBP",'Future et co'!F3576,FALSE)))</f>
        <v>RFR USD</v>
      </c>
      <c r="D3576" t="str">
        <f t="shared" ca="1" si="276"/>
        <v>RFR USD</v>
      </c>
      <c r="E3576" t="str">
        <f t="shared" ca="1" si="277"/>
        <v>RFR EUR</v>
      </c>
      <c r="F3576" t="str">
        <f t="shared" ca="1" si="278"/>
        <v>RFR GBP</v>
      </c>
      <c r="J3576" s="1"/>
      <c r="N3576" s="1"/>
      <c r="R3576" s="1"/>
      <c r="V3576" s="1"/>
      <c r="AB3576" s="1"/>
      <c r="AF3576" s="1"/>
      <c r="AJ3576" s="1"/>
      <c r="AN3576" s="1"/>
      <c r="AS3576" s="1"/>
      <c r="AX3576" s="1"/>
    </row>
    <row r="3577" spans="1:50" x14ac:dyDescent="0.3">
      <c r="A3577" s="19">
        <f t="shared" si="279"/>
        <v>50922</v>
      </c>
      <c r="B3577">
        <f t="shared" ca="1" si="275"/>
        <v>-13.25</v>
      </c>
      <c r="C3577" t="str">
        <f ca="1">IF(currency="USD",'Future et co'!D3577,IF(currency="EUR",'Future et co'!E3577,IF(currency="GBP",'Future et co'!F3577,FALSE)))</f>
        <v>RFR USD</v>
      </c>
      <c r="D3577" t="str">
        <f t="shared" ca="1" si="276"/>
        <v>RFR USD</v>
      </c>
      <c r="E3577" t="str">
        <f t="shared" ca="1" si="277"/>
        <v>RFR EUR</v>
      </c>
      <c r="F3577" t="str">
        <f t="shared" ca="1" si="278"/>
        <v>RFR GBP</v>
      </c>
      <c r="J3577" s="1"/>
      <c r="N3577" s="1"/>
      <c r="R3577" s="1"/>
      <c r="V3577" s="1"/>
      <c r="AB3577" s="1"/>
      <c r="AF3577" s="1"/>
      <c r="AJ3577" s="1"/>
      <c r="AN3577" s="1"/>
      <c r="AS3577" s="1"/>
      <c r="AX3577" s="1"/>
    </row>
    <row r="3578" spans="1:50" x14ac:dyDescent="0.3">
      <c r="A3578" s="19">
        <f t="shared" si="279"/>
        <v>50923</v>
      </c>
      <c r="B3578">
        <f t="shared" ca="1" si="275"/>
        <v>-13.252777777777778</v>
      </c>
      <c r="C3578" t="str">
        <f ca="1">IF(currency="USD",'Future et co'!D3578,IF(currency="EUR",'Future et co'!E3578,IF(currency="GBP",'Future et co'!F3578,FALSE)))</f>
        <v>RFR USD</v>
      </c>
      <c r="D3578" t="str">
        <f t="shared" ca="1" si="276"/>
        <v>RFR USD</v>
      </c>
      <c r="E3578" t="str">
        <f t="shared" ca="1" si="277"/>
        <v>RFR EUR</v>
      </c>
      <c r="F3578" t="str">
        <f t="shared" ca="1" si="278"/>
        <v>RFR GBP</v>
      </c>
      <c r="J3578" s="1"/>
      <c r="N3578" s="1"/>
      <c r="R3578" s="1"/>
      <c r="V3578" s="1"/>
      <c r="AB3578" s="1"/>
      <c r="AF3578" s="1"/>
      <c r="AJ3578" s="1"/>
      <c r="AN3578" s="1"/>
      <c r="AS3578" s="1"/>
      <c r="AX3578" s="1"/>
    </row>
    <row r="3579" spans="1:50" x14ac:dyDescent="0.3">
      <c r="A3579" s="19">
        <f t="shared" si="279"/>
        <v>50924</v>
      </c>
      <c r="B3579">
        <f t="shared" ca="1" si="275"/>
        <v>-13.255555555555556</v>
      </c>
      <c r="C3579" t="str">
        <f ca="1">IF(currency="USD",'Future et co'!D3579,IF(currency="EUR",'Future et co'!E3579,IF(currency="GBP",'Future et co'!F3579,FALSE)))</f>
        <v>RFR USD</v>
      </c>
      <c r="D3579" t="str">
        <f t="shared" ca="1" si="276"/>
        <v>RFR USD</v>
      </c>
      <c r="E3579" t="str">
        <f t="shared" ca="1" si="277"/>
        <v>RFR EUR</v>
      </c>
      <c r="F3579" t="str">
        <f t="shared" ca="1" si="278"/>
        <v>RFR GBP</v>
      </c>
      <c r="J3579" s="1"/>
      <c r="N3579" s="1"/>
      <c r="R3579" s="1"/>
      <c r="V3579" s="1"/>
      <c r="AB3579" s="1"/>
      <c r="AF3579" s="1"/>
      <c r="AJ3579" s="1"/>
      <c r="AN3579" s="1"/>
      <c r="AS3579" s="1"/>
      <c r="AX3579" s="1"/>
    </row>
    <row r="3580" spans="1:50" x14ac:dyDescent="0.3">
      <c r="A3580" s="19">
        <f t="shared" si="279"/>
        <v>50927</v>
      </c>
      <c r="B3580">
        <f t="shared" ca="1" si="275"/>
        <v>-13.263888888888889</v>
      </c>
      <c r="C3580" t="str">
        <f ca="1">IF(currency="USD",'Future et co'!D3580,IF(currency="EUR",'Future et co'!E3580,IF(currency="GBP",'Future et co'!F3580,FALSE)))</f>
        <v>RFR USD</v>
      </c>
      <c r="D3580" t="str">
        <f t="shared" ca="1" si="276"/>
        <v>RFR USD</v>
      </c>
      <c r="E3580" t="str">
        <f t="shared" ca="1" si="277"/>
        <v>RFR EUR</v>
      </c>
      <c r="F3580" t="str">
        <f t="shared" ca="1" si="278"/>
        <v>RFR GBP</v>
      </c>
      <c r="J3580" s="1"/>
      <c r="N3580" s="1"/>
      <c r="R3580" s="1"/>
      <c r="V3580" s="1"/>
      <c r="AB3580" s="1"/>
      <c r="AF3580" s="1"/>
      <c r="AJ3580" s="1"/>
      <c r="AN3580" s="1"/>
      <c r="AS3580" s="1"/>
      <c r="AX3580" s="1"/>
    </row>
    <row r="3581" spans="1:50" x14ac:dyDescent="0.3">
      <c r="A3581" s="19">
        <f t="shared" si="279"/>
        <v>50928</v>
      </c>
      <c r="B3581">
        <f t="shared" ca="1" si="275"/>
        <v>-13.266666666666667</v>
      </c>
      <c r="C3581" t="str">
        <f ca="1">IF(currency="USD",'Future et co'!D3581,IF(currency="EUR",'Future et co'!E3581,IF(currency="GBP",'Future et co'!F3581,FALSE)))</f>
        <v>RFR USD</v>
      </c>
      <c r="D3581" t="str">
        <f t="shared" ca="1" si="276"/>
        <v>RFR USD</v>
      </c>
      <c r="E3581" t="str">
        <f t="shared" ca="1" si="277"/>
        <v>RFR EUR</v>
      </c>
      <c r="F3581" t="str">
        <f t="shared" ca="1" si="278"/>
        <v>RFR GBP</v>
      </c>
      <c r="J3581" s="1"/>
      <c r="N3581" s="1"/>
      <c r="R3581" s="1"/>
      <c r="V3581" s="1"/>
      <c r="AB3581" s="1"/>
      <c r="AF3581" s="1"/>
      <c r="AJ3581" s="1"/>
      <c r="AN3581" s="1"/>
      <c r="AS3581" s="1"/>
      <c r="AX3581" s="1"/>
    </row>
    <row r="3582" spans="1:50" x14ac:dyDescent="0.3">
      <c r="A3582" s="19">
        <f t="shared" si="279"/>
        <v>50929</v>
      </c>
      <c r="B3582">
        <f t="shared" ca="1" si="275"/>
        <v>-13.269444444444444</v>
      </c>
      <c r="C3582" t="str">
        <f ca="1">IF(currency="USD",'Future et co'!D3582,IF(currency="EUR",'Future et co'!E3582,IF(currency="GBP",'Future et co'!F3582,FALSE)))</f>
        <v>RFR USD</v>
      </c>
      <c r="D3582" t="str">
        <f t="shared" ca="1" si="276"/>
        <v>RFR USD</v>
      </c>
      <c r="E3582" t="str">
        <f t="shared" ca="1" si="277"/>
        <v>RFR EUR</v>
      </c>
      <c r="F3582" t="str">
        <f t="shared" ca="1" si="278"/>
        <v>RFR GBP</v>
      </c>
      <c r="J3582" s="1"/>
      <c r="N3582" s="1"/>
      <c r="R3582" s="1"/>
      <c r="V3582" s="1"/>
      <c r="AB3582" s="1"/>
      <c r="AF3582" s="1"/>
      <c r="AJ3582" s="1"/>
      <c r="AN3582" s="1"/>
      <c r="AS3582" s="1"/>
      <c r="AX3582" s="1"/>
    </row>
    <row r="3583" spans="1:50" x14ac:dyDescent="0.3">
      <c r="A3583" s="19">
        <f t="shared" si="279"/>
        <v>50930</v>
      </c>
      <c r="B3583">
        <f t="shared" ca="1" si="275"/>
        <v>-13.272222222222222</v>
      </c>
      <c r="C3583" t="str">
        <f ca="1">IF(currency="USD",'Future et co'!D3583,IF(currency="EUR",'Future et co'!E3583,IF(currency="GBP",'Future et co'!F3583,FALSE)))</f>
        <v>RFR USD</v>
      </c>
      <c r="D3583" t="str">
        <f t="shared" ca="1" si="276"/>
        <v>RFR USD</v>
      </c>
      <c r="E3583" t="str">
        <f t="shared" ca="1" si="277"/>
        <v>RFR EUR</v>
      </c>
      <c r="F3583" t="str">
        <f t="shared" ca="1" si="278"/>
        <v>RFR GBP</v>
      </c>
      <c r="J3583" s="1"/>
      <c r="N3583" s="1"/>
      <c r="R3583" s="1"/>
      <c r="V3583" s="1"/>
      <c r="AB3583" s="1"/>
      <c r="AF3583" s="1"/>
      <c r="AJ3583" s="1"/>
      <c r="AN3583" s="1"/>
      <c r="AS3583" s="1"/>
      <c r="AX3583" s="1"/>
    </row>
    <row r="3584" spans="1:50" x14ac:dyDescent="0.3">
      <c r="A3584" s="19">
        <f t="shared" si="279"/>
        <v>50931</v>
      </c>
      <c r="B3584">
        <f t="shared" ca="1" si="275"/>
        <v>-13.275</v>
      </c>
      <c r="C3584" t="str">
        <f ca="1">IF(currency="USD",'Future et co'!D3584,IF(currency="EUR",'Future et co'!E3584,IF(currency="GBP",'Future et co'!F3584,FALSE)))</f>
        <v>RFR USD</v>
      </c>
      <c r="D3584" t="str">
        <f t="shared" ca="1" si="276"/>
        <v>RFR USD</v>
      </c>
      <c r="E3584" t="str">
        <f t="shared" ca="1" si="277"/>
        <v>RFR EUR</v>
      </c>
      <c r="F3584" t="str">
        <f t="shared" ca="1" si="278"/>
        <v>RFR GBP</v>
      </c>
      <c r="J3584" s="1"/>
      <c r="N3584" s="1"/>
      <c r="R3584" s="1"/>
      <c r="V3584" s="1"/>
      <c r="AB3584" s="1"/>
      <c r="AF3584" s="1"/>
      <c r="AJ3584" s="1"/>
      <c r="AN3584" s="1"/>
      <c r="AS3584" s="1"/>
      <c r="AX3584" s="1"/>
    </row>
    <row r="3585" spans="1:50" x14ac:dyDescent="0.3">
      <c r="A3585" s="19">
        <f t="shared" si="279"/>
        <v>50934</v>
      </c>
      <c r="B3585">
        <f t="shared" ca="1" si="275"/>
        <v>-13.283333333333333</v>
      </c>
      <c r="C3585" t="str">
        <f ca="1">IF(currency="USD",'Future et co'!D3585,IF(currency="EUR",'Future et co'!E3585,IF(currency="GBP",'Future et co'!F3585,FALSE)))</f>
        <v>RFR USD</v>
      </c>
      <c r="D3585" t="str">
        <f t="shared" ca="1" si="276"/>
        <v>RFR USD</v>
      </c>
      <c r="E3585" t="str">
        <f t="shared" ca="1" si="277"/>
        <v>RFR EUR</v>
      </c>
      <c r="F3585" t="str">
        <f t="shared" ca="1" si="278"/>
        <v>RFR GBP</v>
      </c>
      <c r="J3585" s="1"/>
      <c r="N3585" s="1"/>
      <c r="R3585" s="1"/>
      <c r="V3585" s="1"/>
      <c r="AB3585" s="1"/>
      <c r="AF3585" s="1"/>
      <c r="AJ3585" s="1"/>
      <c r="AN3585" s="1"/>
      <c r="AS3585" s="1"/>
      <c r="AX3585" s="1"/>
    </row>
    <row r="3586" spans="1:50" x14ac:dyDescent="0.3">
      <c r="A3586" s="19">
        <f t="shared" si="279"/>
        <v>50935</v>
      </c>
      <c r="B3586">
        <f t="shared" ca="1" si="275"/>
        <v>-13.286111111111111</v>
      </c>
      <c r="C3586" t="str">
        <f ca="1">IF(currency="USD",'Future et co'!D3586,IF(currency="EUR",'Future et co'!E3586,IF(currency="GBP",'Future et co'!F3586,FALSE)))</f>
        <v>RFR USD</v>
      </c>
      <c r="D3586" t="str">
        <f t="shared" ca="1" si="276"/>
        <v>RFR USD</v>
      </c>
      <c r="E3586" t="str">
        <f t="shared" ca="1" si="277"/>
        <v>RFR EUR</v>
      </c>
      <c r="F3586" t="str">
        <f t="shared" ca="1" si="278"/>
        <v>RFR GBP</v>
      </c>
      <c r="J3586" s="1"/>
      <c r="N3586" s="1"/>
      <c r="R3586" s="1"/>
      <c r="V3586" s="1"/>
      <c r="AB3586" s="1"/>
      <c r="AF3586" s="1"/>
      <c r="AJ3586" s="1"/>
      <c r="AN3586" s="1"/>
      <c r="AS3586" s="1"/>
      <c r="AX3586" s="1"/>
    </row>
    <row r="3587" spans="1:50" x14ac:dyDescent="0.3">
      <c r="A3587" s="19">
        <f t="shared" si="279"/>
        <v>50936</v>
      </c>
      <c r="B3587">
        <f t="shared" ca="1" si="275"/>
        <v>-13.28888888888889</v>
      </c>
      <c r="C3587" t="str">
        <f ca="1">IF(currency="USD",'Future et co'!D3587,IF(currency="EUR",'Future et co'!E3587,IF(currency="GBP",'Future et co'!F3587,FALSE)))</f>
        <v>RFR USD</v>
      </c>
      <c r="D3587" t="str">
        <f t="shared" ca="1" si="276"/>
        <v>RFR USD</v>
      </c>
      <c r="E3587" t="str">
        <f t="shared" ca="1" si="277"/>
        <v>RFR EUR</v>
      </c>
      <c r="F3587" t="str">
        <f t="shared" ca="1" si="278"/>
        <v>RFR GBP</v>
      </c>
      <c r="J3587" s="1"/>
      <c r="N3587" s="1"/>
      <c r="R3587" s="1"/>
      <c r="V3587" s="1"/>
      <c r="AB3587" s="1"/>
      <c r="AF3587" s="1"/>
      <c r="AJ3587" s="1"/>
      <c r="AN3587" s="1"/>
      <c r="AS3587" s="1"/>
      <c r="AX3587" s="1"/>
    </row>
    <row r="3588" spans="1:50" x14ac:dyDescent="0.3">
      <c r="A3588" s="19">
        <f t="shared" si="279"/>
        <v>50937</v>
      </c>
      <c r="B3588">
        <f t="shared" ca="1" si="275"/>
        <v>-13.291666666666666</v>
      </c>
      <c r="C3588" t="str">
        <f ca="1">IF(currency="USD",'Future et co'!D3588,IF(currency="EUR",'Future et co'!E3588,IF(currency="GBP",'Future et co'!F3588,FALSE)))</f>
        <v>RFR USD</v>
      </c>
      <c r="D3588" t="str">
        <f t="shared" ca="1" si="276"/>
        <v>RFR USD</v>
      </c>
      <c r="E3588" t="str">
        <f t="shared" ca="1" si="277"/>
        <v>RFR EUR</v>
      </c>
      <c r="F3588" t="str">
        <f t="shared" ca="1" si="278"/>
        <v>RFR GBP</v>
      </c>
      <c r="J3588" s="1"/>
      <c r="N3588" s="1"/>
      <c r="R3588" s="1"/>
      <c r="V3588" s="1"/>
      <c r="AB3588" s="1"/>
      <c r="AF3588" s="1"/>
      <c r="AJ3588" s="1"/>
      <c r="AN3588" s="1"/>
      <c r="AS3588" s="1"/>
      <c r="AX3588" s="1"/>
    </row>
    <row r="3589" spans="1:50" x14ac:dyDescent="0.3">
      <c r="A3589" s="19">
        <f t="shared" si="279"/>
        <v>50938</v>
      </c>
      <c r="B3589">
        <f t="shared" ca="1" si="275"/>
        <v>-13.294444444444444</v>
      </c>
      <c r="C3589" t="str">
        <f ca="1">IF(currency="USD",'Future et co'!D3589,IF(currency="EUR",'Future et co'!E3589,IF(currency="GBP",'Future et co'!F3589,FALSE)))</f>
        <v>RFR USD</v>
      </c>
      <c r="D3589" t="str">
        <f t="shared" ca="1" si="276"/>
        <v>RFR USD</v>
      </c>
      <c r="E3589" t="str">
        <f t="shared" ca="1" si="277"/>
        <v>RFR EUR</v>
      </c>
      <c r="F3589" t="str">
        <f t="shared" ca="1" si="278"/>
        <v>RFR GBP</v>
      </c>
      <c r="J3589" s="1"/>
      <c r="N3589" s="1"/>
      <c r="R3589" s="1"/>
      <c r="V3589" s="1"/>
      <c r="AB3589" s="1"/>
      <c r="AF3589" s="1"/>
      <c r="AJ3589" s="1"/>
      <c r="AN3589" s="1"/>
      <c r="AS3589" s="1"/>
      <c r="AX3589" s="1"/>
    </row>
    <row r="3590" spans="1:50" x14ac:dyDescent="0.3">
      <c r="A3590" s="19">
        <f t="shared" si="279"/>
        <v>50941</v>
      </c>
      <c r="B3590">
        <f t="shared" ca="1" si="275"/>
        <v>-13.302777777777777</v>
      </c>
      <c r="C3590" t="str">
        <f ca="1">IF(currency="USD",'Future et co'!D3590,IF(currency="EUR",'Future et co'!E3590,IF(currency="GBP",'Future et co'!F3590,FALSE)))</f>
        <v>RFR USD</v>
      </c>
      <c r="D3590" t="str">
        <f t="shared" ca="1" si="276"/>
        <v>RFR USD</v>
      </c>
      <c r="E3590" t="str">
        <f t="shared" ca="1" si="277"/>
        <v>RFR EUR</v>
      </c>
      <c r="F3590" t="str">
        <f t="shared" ca="1" si="278"/>
        <v>RFR GBP</v>
      </c>
      <c r="J3590" s="1"/>
      <c r="N3590" s="1"/>
      <c r="R3590" s="1"/>
      <c r="V3590" s="1"/>
      <c r="AB3590" s="1"/>
      <c r="AF3590" s="1"/>
      <c r="AJ3590" s="1"/>
      <c r="AN3590" s="1"/>
      <c r="AS3590" s="1"/>
      <c r="AX3590" s="1"/>
    </row>
    <row r="3591" spans="1:50" x14ac:dyDescent="0.3">
      <c r="A3591" s="19">
        <f t="shared" si="279"/>
        <v>50942</v>
      </c>
      <c r="B3591">
        <f t="shared" ca="1" si="275"/>
        <v>-13.305555555555555</v>
      </c>
      <c r="C3591" t="str">
        <f ca="1">IF(currency="USD",'Future et co'!D3591,IF(currency="EUR",'Future et co'!E3591,IF(currency="GBP",'Future et co'!F3591,FALSE)))</f>
        <v>RFR USD</v>
      </c>
      <c r="D3591" t="str">
        <f t="shared" ca="1" si="276"/>
        <v>RFR USD</v>
      </c>
      <c r="E3591" t="str">
        <f t="shared" ca="1" si="277"/>
        <v>RFR EUR</v>
      </c>
      <c r="F3591" t="str">
        <f t="shared" ca="1" si="278"/>
        <v>RFR GBP</v>
      </c>
      <c r="J3591" s="1"/>
      <c r="N3591" s="1"/>
      <c r="R3591" s="1"/>
      <c r="V3591" s="1"/>
      <c r="AB3591" s="1"/>
      <c r="AF3591" s="1"/>
      <c r="AJ3591" s="1"/>
      <c r="AN3591" s="1"/>
      <c r="AS3591" s="1"/>
      <c r="AX3591" s="1"/>
    </row>
    <row r="3592" spans="1:50" x14ac:dyDescent="0.3">
      <c r="A3592" s="19">
        <f t="shared" si="279"/>
        <v>50943</v>
      </c>
      <c r="B3592">
        <f t="shared" ca="1" si="275"/>
        <v>-13.308333333333334</v>
      </c>
      <c r="C3592" t="str">
        <f ca="1">IF(currency="USD",'Future et co'!D3592,IF(currency="EUR",'Future et co'!E3592,IF(currency="GBP",'Future et co'!F3592,FALSE)))</f>
        <v>RFR USD</v>
      </c>
      <c r="D3592" t="str">
        <f t="shared" ca="1" si="276"/>
        <v>RFR USD</v>
      </c>
      <c r="E3592" t="str">
        <f t="shared" ca="1" si="277"/>
        <v>RFR EUR</v>
      </c>
      <c r="F3592" t="str">
        <f t="shared" ca="1" si="278"/>
        <v>RFR GBP</v>
      </c>
      <c r="J3592" s="1"/>
      <c r="N3592" s="1"/>
      <c r="R3592" s="1"/>
      <c r="V3592" s="1"/>
      <c r="AB3592" s="1"/>
      <c r="AF3592" s="1"/>
      <c r="AJ3592" s="1"/>
      <c r="AN3592" s="1"/>
      <c r="AS3592" s="1"/>
      <c r="AX3592" s="1"/>
    </row>
    <row r="3593" spans="1:50" x14ac:dyDescent="0.3">
      <c r="A3593" s="19">
        <f t="shared" si="279"/>
        <v>50944</v>
      </c>
      <c r="B3593">
        <f t="shared" ca="1" si="275"/>
        <v>-13.311111111111112</v>
      </c>
      <c r="C3593" t="str">
        <f ca="1">IF(currency="USD",'Future et co'!D3593,IF(currency="EUR",'Future et co'!E3593,IF(currency="GBP",'Future et co'!F3593,FALSE)))</f>
        <v>RFR USD</v>
      </c>
      <c r="D3593" t="str">
        <f t="shared" ca="1" si="276"/>
        <v>RFR USD</v>
      </c>
      <c r="E3593" t="str">
        <f t="shared" ca="1" si="277"/>
        <v>RFR EUR</v>
      </c>
      <c r="F3593" t="str">
        <f t="shared" ca="1" si="278"/>
        <v>RFR GBP</v>
      </c>
      <c r="J3593" s="1"/>
      <c r="N3593" s="1"/>
      <c r="R3593" s="1"/>
      <c r="V3593" s="1"/>
      <c r="AB3593" s="1"/>
      <c r="AF3593" s="1"/>
      <c r="AJ3593" s="1"/>
      <c r="AN3593" s="1"/>
      <c r="AS3593" s="1"/>
      <c r="AX3593" s="1"/>
    </row>
    <row r="3594" spans="1:50" x14ac:dyDescent="0.3">
      <c r="A3594" s="19">
        <f t="shared" si="279"/>
        <v>50945</v>
      </c>
      <c r="B3594">
        <f t="shared" ca="1" si="275"/>
        <v>-13.313888888888888</v>
      </c>
      <c r="C3594" t="str">
        <f ca="1">IF(currency="USD",'Future et co'!D3594,IF(currency="EUR",'Future et co'!E3594,IF(currency="GBP",'Future et co'!F3594,FALSE)))</f>
        <v>RFR USD</v>
      </c>
      <c r="D3594" t="str">
        <f t="shared" ca="1" si="276"/>
        <v>RFR USD</v>
      </c>
      <c r="E3594" t="str">
        <f t="shared" ca="1" si="277"/>
        <v>RFR EUR</v>
      </c>
      <c r="F3594" t="str">
        <f t="shared" ca="1" si="278"/>
        <v>RFR GBP</v>
      </c>
      <c r="J3594" s="1"/>
      <c r="N3594" s="1"/>
      <c r="R3594" s="1"/>
      <c r="V3594" s="1"/>
      <c r="AB3594" s="1"/>
      <c r="AF3594" s="1"/>
      <c r="AJ3594" s="1"/>
      <c r="AN3594" s="1"/>
      <c r="AS3594" s="1"/>
      <c r="AX3594" s="1"/>
    </row>
    <row r="3595" spans="1:50" x14ac:dyDescent="0.3">
      <c r="A3595" s="19">
        <f t="shared" si="279"/>
        <v>50948</v>
      </c>
      <c r="B3595">
        <f t="shared" ref="B3595:B3658" ca="1" si="280">($B$7-A3595)/360</f>
        <v>-13.322222222222223</v>
      </c>
      <c r="C3595" t="str">
        <f ca="1">IF(currency="USD",'Future et co'!D3595,IF(currency="EUR",'Future et co'!E3595,IF(currency="GBP",'Future et co'!F3595,FALSE)))</f>
        <v>RFR USD</v>
      </c>
      <c r="D3595" t="str">
        <f t="shared" ref="D3595:D3658" ca="1" si="281">IFERROR(IF(B3595&lt;0.25,VLOOKUP(A3595,$J$11:$L$5325,3,FALSE),IF(AND(B3595&gt;=0.25,B3595&lt;0.5),VLOOKUP(A3595,$N$11:$P$5325,3,FALSE),IF(AND(B3595&gt;=0.5,B3595&lt;1),VLOOKUP(A3595,$R$11:$T$5325,3,FALSE),VLOOKUP(A3595,$V$11:$X$5010,3,FALSE)))),D3594)</f>
        <v>RFR USD</v>
      </c>
      <c r="E3595" t="str">
        <f t="shared" ref="E3595:E3658" ca="1" si="282">IFERROR(IF(B3595&lt;0.25,VLOOKUP(A3595,$AF$11:$AH$5325,3,FALSE),IF(AND(B3595&gt;=0.25,B3595&lt;0.5),VLOOKUP(A3595,$AJ$11:$AL$5325,3,FALSE),VLOOKUP(A3595,$AN$11:$AP$5325,3,FALSE))),E3594)</f>
        <v>RFR EUR</v>
      </c>
      <c r="F3595" t="str">
        <f t="shared" ref="F3595:F3658" ca="1" si="283">IFERROR(VLOOKUP(A3595,$AS$11:$AU$9999,3,FALSE),F3594)</f>
        <v>RFR GBP</v>
      </c>
      <c r="J3595" s="1"/>
      <c r="N3595" s="1"/>
      <c r="R3595" s="1"/>
      <c r="V3595" s="1"/>
      <c r="AB3595" s="1"/>
      <c r="AF3595" s="1"/>
      <c r="AJ3595" s="1"/>
      <c r="AN3595" s="1"/>
      <c r="AS3595" s="1"/>
      <c r="AX3595" s="1"/>
    </row>
    <row r="3596" spans="1:50" x14ac:dyDescent="0.3">
      <c r="A3596" s="19">
        <f t="shared" si="279"/>
        <v>50949</v>
      </c>
      <c r="B3596">
        <f t="shared" ca="1" si="280"/>
        <v>-13.324999999999999</v>
      </c>
      <c r="C3596" t="str">
        <f ca="1">IF(currency="USD",'Future et co'!D3596,IF(currency="EUR",'Future et co'!E3596,IF(currency="GBP",'Future et co'!F3596,FALSE)))</f>
        <v>RFR USD</v>
      </c>
      <c r="D3596" t="str">
        <f t="shared" ca="1" si="281"/>
        <v>RFR USD</v>
      </c>
      <c r="E3596" t="str">
        <f t="shared" ca="1" si="282"/>
        <v>RFR EUR</v>
      </c>
      <c r="F3596" t="str">
        <f t="shared" ca="1" si="283"/>
        <v>RFR GBP</v>
      </c>
      <c r="J3596" s="1"/>
      <c r="N3596" s="1"/>
      <c r="R3596" s="1"/>
      <c r="V3596" s="1"/>
      <c r="AB3596" s="1"/>
      <c r="AF3596" s="1"/>
      <c r="AJ3596" s="1"/>
      <c r="AN3596" s="1"/>
      <c r="AS3596" s="1"/>
      <c r="AX3596" s="1"/>
    </row>
    <row r="3597" spans="1:50" x14ac:dyDescent="0.3">
      <c r="A3597" s="19">
        <f t="shared" ref="A3597:A3660" si="284">WORKDAY(A3596,1)</f>
        <v>50950</v>
      </c>
      <c r="B3597">
        <f t="shared" ca="1" si="280"/>
        <v>-13.327777777777778</v>
      </c>
      <c r="C3597" t="str">
        <f ca="1">IF(currency="USD",'Future et co'!D3597,IF(currency="EUR",'Future et co'!E3597,IF(currency="GBP",'Future et co'!F3597,FALSE)))</f>
        <v>RFR USD</v>
      </c>
      <c r="D3597" t="str">
        <f t="shared" ca="1" si="281"/>
        <v>RFR USD</v>
      </c>
      <c r="E3597" t="str">
        <f t="shared" ca="1" si="282"/>
        <v>RFR EUR</v>
      </c>
      <c r="F3597" t="str">
        <f t="shared" ca="1" si="283"/>
        <v>RFR GBP</v>
      </c>
      <c r="J3597" s="1"/>
      <c r="N3597" s="1"/>
      <c r="R3597" s="1"/>
      <c r="V3597" s="1"/>
      <c r="AB3597" s="1"/>
      <c r="AF3597" s="1"/>
      <c r="AJ3597" s="1"/>
      <c r="AN3597" s="1"/>
      <c r="AS3597" s="1"/>
      <c r="AX3597" s="1"/>
    </row>
    <row r="3598" spans="1:50" x14ac:dyDescent="0.3">
      <c r="A3598" s="19">
        <f t="shared" si="284"/>
        <v>50951</v>
      </c>
      <c r="B3598">
        <f t="shared" ca="1" si="280"/>
        <v>-13.330555555555556</v>
      </c>
      <c r="C3598" t="str">
        <f ca="1">IF(currency="USD",'Future et co'!D3598,IF(currency="EUR",'Future et co'!E3598,IF(currency="GBP",'Future et co'!F3598,FALSE)))</f>
        <v>RFR USD</v>
      </c>
      <c r="D3598" t="str">
        <f t="shared" ca="1" si="281"/>
        <v>RFR USD</v>
      </c>
      <c r="E3598" t="str">
        <f t="shared" ca="1" si="282"/>
        <v>RFR EUR</v>
      </c>
      <c r="F3598" t="str">
        <f t="shared" ca="1" si="283"/>
        <v>RFR GBP</v>
      </c>
      <c r="J3598" s="1"/>
      <c r="N3598" s="1"/>
      <c r="R3598" s="1"/>
      <c r="V3598" s="1"/>
      <c r="AB3598" s="1"/>
      <c r="AF3598" s="1"/>
      <c r="AJ3598" s="1"/>
      <c r="AN3598" s="1"/>
      <c r="AS3598" s="1"/>
      <c r="AX3598" s="1"/>
    </row>
    <row r="3599" spans="1:50" x14ac:dyDescent="0.3">
      <c r="A3599" s="19">
        <f t="shared" si="284"/>
        <v>50952</v>
      </c>
      <c r="B3599">
        <f t="shared" ca="1" si="280"/>
        <v>-13.333333333333334</v>
      </c>
      <c r="C3599" t="str">
        <f ca="1">IF(currency="USD",'Future et co'!D3599,IF(currency="EUR",'Future et co'!E3599,IF(currency="GBP",'Future et co'!F3599,FALSE)))</f>
        <v>RFR USD</v>
      </c>
      <c r="D3599" t="str">
        <f t="shared" ca="1" si="281"/>
        <v>RFR USD</v>
      </c>
      <c r="E3599" t="str">
        <f t="shared" ca="1" si="282"/>
        <v>RFR EUR</v>
      </c>
      <c r="F3599" t="str">
        <f t="shared" ca="1" si="283"/>
        <v>RFR GBP</v>
      </c>
      <c r="J3599" s="1"/>
      <c r="N3599" s="1"/>
      <c r="R3599" s="1"/>
      <c r="V3599" s="1"/>
      <c r="AB3599" s="1"/>
      <c r="AF3599" s="1"/>
      <c r="AJ3599" s="1"/>
      <c r="AN3599" s="1"/>
      <c r="AS3599" s="1"/>
      <c r="AX3599" s="1"/>
    </row>
    <row r="3600" spans="1:50" x14ac:dyDescent="0.3">
      <c r="A3600" s="19">
        <f t="shared" si="284"/>
        <v>50955</v>
      </c>
      <c r="B3600">
        <f t="shared" ca="1" si="280"/>
        <v>-13.341666666666667</v>
      </c>
      <c r="C3600" t="str">
        <f ca="1">IF(currency="USD",'Future et co'!D3600,IF(currency="EUR",'Future et co'!E3600,IF(currency="GBP",'Future et co'!F3600,FALSE)))</f>
        <v>RFR USD</v>
      </c>
      <c r="D3600" t="str">
        <f t="shared" ca="1" si="281"/>
        <v>RFR USD</v>
      </c>
      <c r="E3600" t="str">
        <f t="shared" ca="1" si="282"/>
        <v>RFR EUR</v>
      </c>
      <c r="F3600" t="str">
        <f t="shared" ca="1" si="283"/>
        <v>RFR GBP</v>
      </c>
      <c r="J3600" s="1"/>
      <c r="N3600" s="1"/>
      <c r="R3600" s="1"/>
      <c r="V3600" s="1"/>
      <c r="AB3600" s="1"/>
      <c r="AF3600" s="1"/>
      <c r="AJ3600" s="1"/>
      <c r="AN3600" s="1"/>
      <c r="AS3600" s="1"/>
      <c r="AX3600" s="1"/>
    </row>
    <row r="3601" spans="1:50" x14ac:dyDescent="0.3">
      <c r="A3601" s="19">
        <f t="shared" si="284"/>
        <v>50956</v>
      </c>
      <c r="B3601">
        <f t="shared" ca="1" si="280"/>
        <v>-13.344444444444445</v>
      </c>
      <c r="C3601" t="str">
        <f ca="1">IF(currency="USD",'Future et co'!D3601,IF(currency="EUR",'Future et co'!E3601,IF(currency="GBP",'Future et co'!F3601,FALSE)))</f>
        <v>RFR USD</v>
      </c>
      <c r="D3601" t="str">
        <f t="shared" ca="1" si="281"/>
        <v>RFR USD</v>
      </c>
      <c r="E3601" t="str">
        <f t="shared" ca="1" si="282"/>
        <v>RFR EUR</v>
      </c>
      <c r="F3601" t="str">
        <f t="shared" ca="1" si="283"/>
        <v>RFR GBP</v>
      </c>
      <c r="J3601" s="1"/>
      <c r="N3601" s="1"/>
      <c r="R3601" s="1"/>
      <c r="V3601" s="1"/>
      <c r="AB3601" s="1"/>
      <c r="AF3601" s="1"/>
      <c r="AJ3601" s="1"/>
      <c r="AN3601" s="1"/>
      <c r="AS3601" s="1"/>
      <c r="AX3601" s="1"/>
    </row>
    <row r="3602" spans="1:50" x14ac:dyDescent="0.3">
      <c r="A3602" s="19">
        <f t="shared" si="284"/>
        <v>50957</v>
      </c>
      <c r="B3602">
        <f t="shared" ca="1" si="280"/>
        <v>-13.347222222222221</v>
      </c>
      <c r="C3602" t="str">
        <f ca="1">IF(currency="USD",'Future et co'!D3602,IF(currency="EUR",'Future et co'!E3602,IF(currency="GBP",'Future et co'!F3602,FALSE)))</f>
        <v>RFR USD</v>
      </c>
      <c r="D3602" t="str">
        <f t="shared" ca="1" si="281"/>
        <v>RFR USD</v>
      </c>
      <c r="E3602" t="str">
        <f t="shared" ca="1" si="282"/>
        <v>RFR EUR</v>
      </c>
      <c r="F3602" t="str">
        <f t="shared" ca="1" si="283"/>
        <v>RFR GBP</v>
      </c>
      <c r="J3602" s="1"/>
      <c r="N3602" s="1"/>
      <c r="R3602" s="1"/>
      <c r="V3602" s="1"/>
      <c r="AB3602" s="1"/>
      <c r="AF3602" s="1"/>
      <c r="AJ3602" s="1"/>
      <c r="AN3602" s="1"/>
      <c r="AS3602" s="1"/>
      <c r="AX3602" s="1"/>
    </row>
    <row r="3603" spans="1:50" x14ac:dyDescent="0.3">
      <c r="A3603" s="19">
        <f t="shared" si="284"/>
        <v>50958</v>
      </c>
      <c r="B3603">
        <f t="shared" ca="1" si="280"/>
        <v>-13.35</v>
      </c>
      <c r="C3603" t="str">
        <f ca="1">IF(currency="USD",'Future et co'!D3603,IF(currency="EUR",'Future et co'!E3603,IF(currency="GBP",'Future et co'!F3603,FALSE)))</f>
        <v>RFR USD</v>
      </c>
      <c r="D3603" t="str">
        <f t="shared" ca="1" si="281"/>
        <v>RFR USD</v>
      </c>
      <c r="E3603" t="str">
        <f t="shared" ca="1" si="282"/>
        <v>RFR EUR</v>
      </c>
      <c r="F3603" t="str">
        <f t="shared" ca="1" si="283"/>
        <v>RFR GBP</v>
      </c>
      <c r="J3603" s="1"/>
      <c r="N3603" s="1"/>
      <c r="R3603" s="1"/>
      <c r="V3603" s="1"/>
      <c r="AB3603" s="1"/>
      <c r="AF3603" s="1"/>
      <c r="AJ3603" s="1"/>
      <c r="AN3603" s="1"/>
      <c r="AS3603" s="1"/>
      <c r="AX3603" s="1"/>
    </row>
    <row r="3604" spans="1:50" x14ac:dyDescent="0.3">
      <c r="A3604" s="19">
        <f t="shared" si="284"/>
        <v>50959</v>
      </c>
      <c r="B3604">
        <f t="shared" ca="1" si="280"/>
        <v>-13.352777777777778</v>
      </c>
      <c r="C3604" t="str">
        <f ca="1">IF(currency="USD",'Future et co'!D3604,IF(currency="EUR",'Future et co'!E3604,IF(currency="GBP",'Future et co'!F3604,FALSE)))</f>
        <v>RFR USD</v>
      </c>
      <c r="D3604" t="str">
        <f t="shared" ca="1" si="281"/>
        <v>RFR USD</v>
      </c>
      <c r="E3604" t="str">
        <f t="shared" ca="1" si="282"/>
        <v>RFR EUR</v>
      </c>
      <c r="F3604" t="str">
        <f t="shared" ca="1" si="283"/>
        <v>RFR GBP</v>
      </c>
      <c r="J3604" s="1"/>
      <c r="N3604" s="1"/>
      <c r="R3604" s="1"/>
      <c r="V3604" s="1"/>
      <c r="AB3604" s="1"/>
      <c r="AF3604" s="1"/>
      <c r="AJ3604" s="1"/>
      <c r="AN3604" s="1"/>
      <c r="AS3604" s="1"/>
      <c r="AX3604" s="1"/>
    </row>
    <row r="3605" spans="1:50" x14ac:dyDescent="0.3">
      <c r="A3605" s="19">
        <f t="shared" si="284"/>
        <v>50962</v>
      </c>
      <c r="B3605">
        <f t="shared" ca="1" si="280"/>
        <v>-13.361111111111111</v>
      </c>
      <c r="C3605" t="str">
        <f ca="1">IF(currency="USD",'Future et co'!D3605,IF(currency="EUR",'Future et co'!E3605,IF(currency="GBP",'Future et co'!F3605,FALSE)))</f>
        <v>RFR USD</v>
      </c>
      <c r="D3605" t="str">
        <f t="shared" ca="1" si="281"/>
        <v>RFR USD</v>
      </c>
      <c r="E3605" t="str">
        <f t="shared" ca="1" si="282"/>
        <v>RFR EUR</v>
      </c>
      <c r="F3605" t="str">
        <f t="shared" ca="1" si="283"/>
        <v>RFR GBP</v>
      </c>
      <c r="J3605" s="1"/>
      <c r="N3605" s="1"/>
      <c r="R3605" s="1"/>
      <c r="V3605" s="1"/>
      <c r="AB3605" s="1"/>
      <c r="AF3605" s="1"/>
      <c r="AJ3605" s="1"/>
      <c r="AN3605" s="1"/>
      <c r="AS3605" s="1"/>
      <c r="AX3605" s="1"/>
    </row>
    <row r="3606" spans="1:50" x14ac:dyDescent="0.3">
      <c r="A3606" s="19">
        <f t="shared" si="284"/>
        <v>50963</v>
      </c>
      <c r="B3606">
        <f t="shared" ca="1" si="280"/>
        <v>-13.363888888888889</v>
      </c>
      <c r="C3606" t="str">
        <f ca="1">IF(currency="USD",'Future et co'!D3606,IF(currency="EUR",'Future et co'!E3606,IF(currency="GBP",'Future et co'!F3606,FALSE)))</f>
        <v>RFR USD</v>
      </c>
      <c r="D3606" t="str">
        <f t="shared" ca="1" si="281"/>
        <v>RFR USD</v>
      </c>
      <c r="E3606" t="str">
        <f t="shared" ca="1" si="282"/>
        <v>RFR EUR</v>
      </c>
      <c r="F3606" t="str">
        <f t="shared" ca="1" si="283"/>
        <v>RFR GBP</v>
      </c>
      <c r="J3606" s="1"/>
      <c r="N3606" s="1"/>
      <c r="R3606" s="1"/>
      <c r="V3606" s="1"/>
      <c r="AB3606" s="1"/>
      <c r="AF3606" s="1"/>
      <c r="AJ3606" s="1"/>
      <c r="AN3606" s="1"/>
      <c r="AS3606" s="1"/>
      <c r="AX3606" s="1"/>
    </row>
    <row r="3607" spans="1:50" x14ac:dyDescent="0.3">
      <c r="A3607" s="19">
        <f t="shared" si="284"/>
        <v>50964</v>
      </c>
      <c r="B3607">
        <f t="shared" ca="1" si="280"/>
        <v>-13.366666666666667</v>
      </c>
      <c r="C3607" t="str">
        <f ca="1">IF(currency="USD",'Future et co'!D3607,IF(currency="EUR",'Future et co'!E3607,IF(currency="GBP",'Future et co'!F3607,FALSE)))</f>
        <v>RFR USD</v>
      </c>
      <c r="D3607" t="str">
        <f t="shared" ca="1" si="281"/>
        <v>RFR USD</v>
      </c>
      <c r="E3607" t="str">
        <f t="shared" ca="1" si="282"/>
        <v>RFR EUR</v>
      </c>
      <c r="F3607" t="str">
        <f t="shared" ca="1" si="283"/>
        <v>RFR GBP</v>
      </c>
      <c r="J3607" s="1"/>
      <c r="N3607" s="1"/>
      <c r="R3607" s="1"/>
      <c r="V3607" s="1"/>
      <c r="AB3607" s="1"/>
      <c r="AF3607" s="1"/>
      <c r="AJ3607" s="1"/>
      <c r="AN3607" s="1"/>
      <c r="AS3607" s="1"/>
      <c r="AX3607" s="1"/>
    </row>
    <row r="3608" spans="1:50" x14ac:dyDescent="0.3">
      <c r="A3608" s="19">
        <f t="shared" si="284"/>
        <v>50965</v>
      </c>
      <c r="B3608">
        <f t="shared" ca="1" si="280"/>
        <v>-13.369444444444444</v>
      </c>
      <c r="C3608" t="str">
        <f ca="1">IF(currency="USD",'Future et co'!D3608,IF(currency="EUR",'Future et co'!E3608,IF(currency="GBP",'Future et co'!F3608,FALSE)))</f>
        <v>RFR USD</v>
      </c>
      <c r="D3608" t="str">
        <f t="shared" ca="1" si="281"/>
        <v>RFR USD</v>
      </c>
      <c r="E3608" t="str">
        <f t="shared" ca="1" si="282"/>
        <v>RFR EUR</v>
      </c>
      <c r="F3608" t="str">
        <f t="shared" ca="1" si="283"/>
        <v>RFR GBP</v>
      </c>
      <c r="J3608" s="1"/>
      <c r="N3608" s="1"/>
      <c r="R3608" s="1"/>
      <c r="V3608" s="1"/>
      <c r="AB3608" s="1"/>
      <c r="AF3608" s="1"/>
      <c r="AJ3608" s="1"/>
      <c r="AN3608" s="1"/>
      <c r="AS3608" s="1"/>
      <c r="AX3608" s="1"/>
    </row>
    <row r="3609" spans="1:50" x14ac:dyDescent="0.3">
      <c r="A3609" s="19">
        <f t="shared" si="284"/>
        <v>50966</v>
      </c>
      <c r="B3609">
        <f t="shared" ca="1" si="280"/>
        <v>-13.372222222222222</v>
      </c>
      <c r="C3609" t="str">
        <f ca="1">IF(currency="USD",'Future et co'!D3609,IF(currency="EUR",'Future et co'!E3609,IF(currency="GBP",'Future et co'!F3609,FALSE)))</f>
        <v>RFR USD</v>
      </c>
      <c r="D3609" t="str">
        <f t="shared" ca="1" si="281"/>
        <v>RFR USD</v>
      </c>
      <c r="E3609" t="str">
        <f t="shared" ca="1" si="282"/>
        <v>RFR EUR</v>
      </c>
      <c r="F3609" t="str">
        <f t="shared" ca="1" si="283"/>
        <v>RFR GBP</v>
      </c>
      <c r="J3609" s="1"/>
      <c r="N3609" s="1"/>
      <c r="R3609" s="1"/>
      <c r="V3609" s="1"/>
      <c r="AB3609" s="1"/>
      <c r="AF3609" s="1"/>
      <c r="AJ3609" s="1"/>
      <c r="AN3609" s="1"/>
      <c r="AS3609" s="1"/>
      <c r="AX3609" s="1"/>
    </row>
    <row r="3610" spans="1:50" x14ac:dyDescent="0.3">
      <c r="A3610" s="19">
        <f t="shared" si="284"/>
        <v>50969</v>
      </c>
      <c r="B3610">
        <f t="shared" ca="1" si="280"/>
        <v>-13.380555555555556</v>
      </c>
      <c r="C3610" t="str">
        <f ca="1">IF(currency="USD",'Future et co'!D3610,IF(currency="EUR",'Future et co'!E3610,IF(currency="GBP",'Future et co'!F3610,FALSE)))</f>
        <v>RFR USD</v>
      </c>
      <c r="D3610" t="str">
        <f t="shared" ca="1" si="281"/>
        <v>RFR USD</v>
      </c>
      <c r="E3610" t="str">
        <f t="shared" ca="1" si="282"/>
        <v>RFR EUR</v>
      </c>
      <c r="F3610" t="str">
        <f t="shared" ca="1" si="283"/>
        <v>RFR GBP</v>
      </c>
      <c r="J3610" s="1"/>
      <c r="N3610" s="1"/>
      <c r="R3610" s="1"/>
      <c r="V3610" s="1"/>
      <c r="AB3610" s="1"/>
      <c r="AF3610" s="1"/>
      <c r="AJ3610" s="1"/>
      <c r="AN3610" s="1"/>
      <c r="AS3610" s="1"/>
      <c r="AX3610" s="1"/>
    </row>
    <row r="3611" spans="1:50" x14ac:dyDescent="0.3">
      <c r="A3611" s="19">
        <f t="shared" si="284"/>
        <v>50970</v>
      </c>
      <c r="B3611">
        <f t="shared" ca="1" si="280"/>
        <v>-13.383333333333333</v>
      </c>
      <c r="C3611" t="str">
        <f ca="1">IF(currency="USD",'Future et co'!D3611,IF(currency="EUR",'Future et co'!E3611,IF(currency="GBP",'Future et co'!F3611,FALSE)))</f>
        <v>RFR USD</v>
      </c>
      <c r="D3611" t="str">
        <f t="shared" ca="1" si="281"/>
        <v>RFR USD</v>
      </c>
      <c r="E3611" t="str">
        <f t="shared" ca="1" si="282"/>
        <v>RFR EUR</v>
      </c>
      <c r="F3611" t="str">
        <f t="shared" ca="1" si="283"/>
        <v>RFR GBP</v>
      </c>
      <c r="J3611" s="1"/>
      <c r="N3611" s="1"/>
      <c r="R3611" s="1"/>
      <c r="V3611" s="1"/>
      <c r="AB3611" s="1"/>
      <c r="AF3611" s="1"/>
      <c r="AJ3611" s="1"/>
      <c r="AN3611" s="1"/>
      <c r="AS3611" s="1"/>
      <c r="AX3611" s="1"/>
    </row>
    <row r="3612" spans="1:50" x14ac:dyDescent="0.3">
      <c r="A3612" s="19">
        <f t="shared" si="284"/>
        <v>50971</v>
      </c>
      <c r="B3612">
        <f t="shared" ca="1" si="280"/>
        <v>-13.386111111111111</v>
      </c>
      <c r="C3612" t="str">
        <f ca="1">IF(currency="USD",'Future et co'!D3612,IF(currency="EUR",'Future et co'!E3612,IF(currency="GBP",'Future et co'!F3612,FALSE)))</f>
        <v>RFR USD</v>
      </c>
      <c r="D3612" t="str">
        <f t="shared" ca="1" si="281"/>
        <v>RFR USD</v>
      </c>
      <c r="E3612" t="str">
        <f t="shared" ca="1" si="282"/>
        <v>RFR EUR</v>
      </c>
      <c r="F3612" t="str">
        <f t="shared" ca="1" si="283"/>
        <v>RFR GBP</v>
      </c>
      <c r="J3612" s="1"/>
      <c r="N3612" s="1"/>
      <c r="R3612" s="1"/>
      <c r="V3612" s="1"/>
      <c r="AB3612" s="1"/>
      <c r="AF3612" s="1"/>
      <c r="AJ3612" s="1"/>
      <c r="AN3612" s="1"/>
      <c r="AS3612" s="1"/>
      <c r="AX3612" s="1"/>
    </row>
    <row r="3613" spans="1:50" x14ac:dyDescent="0.3">
      <c r="A3613" s="19">
        <f t="shared" si="284"/>
        <v>50972</v>
      </c>
      <c r="B3613">
        <f t="shared" ca="1" si="280"/>
        <v>-13.388888888888889</v>
      </c>
      <c r="C3613" t="str">
        <f ca="1">IF(currency="USD",'Future et co'!D3613,IF(currency="EUR",'Future et co'!E3613,IF(currency="GBP",'Future et co'!F3613,FALSE)))</f>
        <v>RFR USD</v>
      </c>
      <c r="D3613" t="str">
        <f t="shared" ca="1" si="281"/>
        <v>RFR USD</v>
      </c>
      <c r="E3613" t="str">
        <f t="shared" ca="1" si="282"/>
        <v>RFR EUR</v>
      </c>
      <c r="F3613" t="str">
        <f t="shared" ca="1" si="283"/>
        <v>RFR GBP</v>
      </c>
      <c r="J3613" s="1"/>
      <c r="N3613" s="1"/>
      <c r="R3613" s="1"/>
      <c r="V3613" s="1"/>
      <c r="AB3613" s="1"/>
      <c r="AF3613" s="1"/>
      <c r="AJ3613" s="1"/>
      <c r="AN3613" s="1"/>
      <c r="AS3613" s="1"/>
      <c r="AX3613" s="1"/>
    </row>
    <row r="3614" spans="1:50" x14ac:dyDescent="0.3">
      <c r="A3614" s="19">
        <f t="shared" si="284"/>
        <v>50973</v>
      </c>
      <c r="B3614">
        <f t="shared" ca="1" si="280"/>
        <v>-13.391666666666667</v>
      </c>
      <c r="C3614" t="str">
        <f ca="1">IF(currency="USD",'Future et co'!D3614,IF(currency="EUR",'Future et co'!E3614,IF(currency="GBP",'Future et co'!F3614,FALSE)))</f>
        <v>RFR USD</v>
      </c>
      <c r="D3614" t="str">
        <f t="shared" ca="1" si="281"/>
        <v>RFR USD</v>
      </c>
      <c r="E3614" t="str">
        <f t="shared" ca="1" si="282"/>
        <v>RFR EUR</v>
      </c>
      <c r="F3614" t="str">
        <f t="shared" ca="1" si="283"/>
        <v>RFR GBP</v>
      </c>
      <c r="J3614" s="1"/>
      <c r="N3614" s="1"/>
      <c r="R3614" s="1"/>
      <c r="V3614" s="1"/>
      <c r="AB3614" s="1"/>
      <c r="AF3614" s="1"/>
      <c r="AJ3614" s="1"/>
      <c r="AN3614" s="1"/>
      <c r="AS3614" s="1"/>
      <c r="AX3614" s="1"/>
    </row>
    <row r="3615" spans="1:50" x14ac:dyDescent="0.3">
      <c r="A3615" s="19">
        <f t="shared" si="284"/>
        <v>50976</v>
      </c>
      <c r="B3615">
        <f t="shared" ca="1" si="280"/>
        <v>-13.4</v>
      </c>
      <c r="C3615" t="str">
        <f ca="1">IF(currency="USD",'Future et co'!D3615,IF(currency="EUR",'Future et co'!E3615,IF(currency="GBP",'Future et co'!F3615,FALSE)))</f>
        <v>RFR USD</v>
      </c>
      <c r="D3615" t="str">
        <f t="shared" ca="1" si="281"/>
        <v>RFR USD</v>
      </c>
      <c r="E3615" t="str">
        <f t="shared" ca="1" si="282"/>
        <v>RFR EUR</v>
      </c>
      <c r="F3615" t="str">
        <f t="shared" ca="1" si="283"/>
        <v>RFR GBP</v>
      </c>
      <c r="J3615" s="1"/>
      <c r="N3615" s="1"/>
      <c r="R3615" s="1"/>
      <c r="V3615" s="1"/>
      <c r="AB3615" s="1"/>
      <c r="AF3615" s="1"/>
      <c r="AJ3615" s="1"/>
      <c r="AN3615" s="1"/>
      <c r="AS3615" s="1"/>
      <c r="AX3615" s="1"/>
    </row>
    <row r="3616" spans="1:50" x14ac:dyDescent="0.3">
      <c r="A3616" s="19">
        <f t="shared" si="284"/>
        <v>50977</v>
      </c>
      <c r="B3616">
        <f t="shared" ca="1" si="280"/>
        <v>-13.402777777777779</v>
      </c>
      <c r="C3616" t="str">
        <f ca="1">IF(currency="USD",'Future et co'!D3616,IF(currency="EUR",'Future et co'!E3616,IF(currency="GBP",'Future et co'!F3616,FALSE)))</f>
        <v>RFR USD</v>
      </c>
      <c r="D3616" t="str">
        <f t="shared" ca="1" si="281"/>
        <v>RFR USD</v>
      </c>
      <c r="E3616" t="str">
        <f t="shared" ca="1" si="282"/>
        <v>RFR EUR</v>
      </c>
      <c r="F3616" t="str">
        <f t="shared" ca="1" si="283"/>
        <v>RFR GBP</v>
      </c>
      <c r="J3616" s="1"/>
      <c r="N3616" s="1"/>
      <c r="R3616" s="1"/>
      <c r="V3616" s="1"/>
      <c r="AB3616" s="1"/>
      <c r="AF3616" s="1"/>
      <c r="AJ3616" s="1"/>
      <c r="AN3616" s="1"/>
      <c r="AS3616" s="1"/>
      <c r="AX3616" s="1"/>
    </row>
    <row r="3617" spans="1:50" x14ac:dyDescent="0.3">
      <c r="A3617" s="19">
        <f t="shared" si="284"/>
        <v>50978</v>
      </c>
      <c r="B3617">
        <f t="shared" ca="1" si="280"/>
        <v>-13.405555555555555</v>
      </c>
      <c r="C3617" t="str">
        <f ca="1">IF(currency="USD",'Future et co'!D3617,IF(currency="EUR",'Future et co'!E3617,IF(currency="GBP",'Future et co'!F3617,FALSE)))</f>
        <v>RFR USD</v>
      </c>
      <c r="D3617" t="str">
        <f t="shared" ca="1" si="281"/>
        <v>RFR USD</v>
      </c>
      <c r="E3617" t="str">
        <f t="shared" ca="1" si="282"/>
        <v>RFR EUR</v>
      </c>
      <c r="F3617" t="str">
        <f t="shared" ca="1" si="283"/>
        <v>RFR GBP</v>
      </c>
      <c r="J3617" s="1"/>
      <c r="N3617" s="1"/>
      <c r="R3617" s="1"/>
      <c r="V3617" s="1"/>
      <c r="AB3617" s="1"/>
      <c r="AF3617" s="1"/>
      <c r="AJ3617" s="1"/>
      <c r="AN3617" s="1"/>
      <c r="AS3617" s="1"/>
      <c r="AX3617" s="1"/>
    </row>
    <row r="3618" spans="1:50" x14ac:dyDescent="0.3">
      <c r="A3618" s="19">
        <f t="shared" si="284"/>
        <v>50979</v>
      </c>
      <c r="B3618">
        <f t="shared" ca="1" si="280"/>
        <v>-13.408333333333333</v>
      </c>
      <c r="C3618" t="str">
        <f ca="1">IF(currency="USD",'Future et co'!D3618,IF(currency="EUR",'Future et co'!E3618,IF(currency="GBP",'Future et co'!F3618,FALSE)))</f>
        <v>RFR USD</v>
      </c>
      <c r="D3618" t="str">
        <f t="shared" ca="1" si="281"/>
        <v>RFR USD</v>
      </c>
      <c r="E3618" t="str">
        <f t="shared" ca="1" si="282"/>
        <v>RFR EUR</v>
      </c>
      <c r="F3618" t="str">
        <f t="shared" ca="1" si="283"/>
        <v>RFR GBP</v>
      </c>
      <c r="J3618" s="1"/>
      <c r="N3618" s="1"/>
      <c r="R3618" s="1"/>
      <c r="V3618" s="1"/>
      <c r="AB3618" s="1"/>
      <c r="AF3618" s="1"/>
      <c r="AJ3618" s="1"/>
      <c r="AN3618" s="1"/>
      <c r="AS3618" s="1"/>
      <c r="AX3618" s="1"/>
    </row>
    <row r="3619" spans="1:50" x14ac:dyDescent="0.3">
      <c r="A3619" s="19">
        <f t="shared" si="284"/>
        <v>50980</v>
      </c>
      <c r="B3619">
        <f t="shared" ca="1" si="280"/>
        <v>-13.411111111111111</v>
      </c>
      <c r="C3619" t="str">
        <f ca="1">IF(currency="USD",'Future et co'!D3619,IF(currency="EUR",'Future et co'!E3619,IF(currency="GBP",'Future et co'!F3619,FALSE)))</f>
        <v>RFR USD</v>
      </c>
      <c r="D3619" t="str">
        <f t="shared" ca="1" si="281"/>
        <v>RFR USD</v>
      </c>
      <c r="E3619" t="str">
        <f t="shared" ca="1" si="282"/>
        <v>RFR EUR</v>
      </c>
      <c r="F3619" t="str">
        <f t="shared" ca="1" si="283"/>
        <v>RFR GBP</v>
      </c>
      <c r="J3619" s="1"/>
      <c r="N3619" s="1"/>
      <c r="R3619" s="1"/>
      <c r="V3619" s="1"/>
      <c r="AB3619" s="1"/>
      <c r="AF3619" s="1"/>
      <c r="AJ3619" s="1"/>
      <c r="AN3619" s="1"/>
      <c r="AS3619" s="1"/>
      <c r="AX3619" s="1"/>
    </row>
    <row r="3620" spans="1:50" x14ac:dyDescent="0.3">
      <c r="A3620" s="19">
        <f t="shared" si="284"/>
        <v>50983</v>
      </c>
      <c r="B3620">
        <f t="shared" ca="1" si="280"/>
        <v>-13.419444444444444</v>
      </c>
      <c r="C3620" t="str">
        <f ca="1">IF(currency="USD",'Future et co'!D3620,IF(currency="EUR",'Future et co'!E3620,IF(currency="GBP",'Future et co'!F3620,FALSE)))</f>
        <v>RFR USD</v>
      </c>
      <c r="D3620" t="str">
        <f t="shared" ca="1" si="281"/>
        <v>RFR USD</v>
      </c>
      <c r="E3620" t="str">
        <f t="shared" ca="1" si="282"/>
        <v>RFR EUR</v>
      </c>
      <c r="F3620" t="str">
        <f t="shared" ca="1" si="283"/>
        <v>RFR GBP</v>
      </c>
      <c r="J3620" s="1"/>
      <c r="N3620" s="1"/>
      <c r="R3620" s="1"/>
      <c r="V3620" s="1"/>
      <c r="AB3620" s="1"/>
      <c r="AF3620" s="1"/>
      <c r="AJ3620" s="1"/>
      <c r="AN3620" s="1"/>
      <c r="AS3620" s="1"/>
      <c r="AX3620" s="1"/>
    </row>
    <row r="3621" spans="1:50" x14ac:dyDescent="0.3">
      <c r="A3621" s="19">
        <f t="shared" si="284"/>
        <v>50984</v>
      </c>
      <c r="B3621">
        <f t="shared" ca="1" si="280"/>
        <v>-13.422222222222222</v>
      </c>
      <c r="C3621" t="str">
        <f ca="1">IF(currency="USD",'Future et co'!D3621,IF(currency="EUR",'Future et co'!E3621,IF(currency="GBP",'Future et co'!F3621,FALSE)))</f>
        <v>RFR USD</v>
      </c>
      <c r="D3621" t="str">
        <f t="shared" ca="1" si="281"/>
        <v>RFR USD</v>
      </c>
      <c r="E3621" t="str">
        <f t="shared" ca="1" si="282"/>
        <v>RFR EUR</v>
      </c>
      <c r="F3621" t="str">
        <f t="shared" ca="1" si="283"/>
        <v>RFR GBP</v>
      </c>
      <c r="J3621" s="1"/>
      <c r="N3621" s="1"/>
      <c r="R3621" s="1"/>
      <c r="V3621" s="1"/>
      <c r="AB3621" s="1"/>
      <c r="AF3621" s="1"/>
      <c r="AJ3621" s="1"/>
      <c r="AN3621" s="1"/>
      <c r="AS3621" s="1"/>
      <c r="AX3621" s="1"/>
    </row>
    <row r="3622" spans="1:50" x14ac:dyDescent="0.3">
      <c r="A3622" s="19">
        <f t="shared" si="284"/>
        <v>50985</v>
      </c>
      <c r="B3622">
        <f t="shared" ca="1" si="280"/>
        <v>-13.425000000000001</v>
      </c>
      <c r="C3622" t="str">
        <f ca="1">IF(currency="USD",'Future et co'!D3622,IF(currency="EUR",'Future et co'!E3622,IF(currency="GBP",'Future et co'!F3622,FALSE)))</f>
        <v>RFR USD</v>
      </c>
      <c r="D3622" t="str">
        <f t="shared" ca="1" si="281"/>
        <v>RFR USD</v>
      </c>
      <c r="E3622" t="str">
        <f t="shared" ca="1" si="282"/>
        <v>RFR EUR</v>
      </c>
      <c r="F3622" t="str">
        <f t="shared" ca="1" si="283"/>
        <v>RFR GBP</v>
      </c>
      <c r="J3622" s="1"/>
      <c r="N3622" s="1"/>
      <c r="R3622" s="1"/>
      <c r="V3622" s="1"/>
      <c r="AB3622" s="1"/>
      <c r="AF3622" s="1"/>
      <c r="AJ3622" s="1"/>
      <c r="AN3622" s="1"/>
      <c r="AS3622" s="1"/>
      <c r="AX3622" s="1"/>
    </row>
    <row r="3623" spans="1:50" x14ac:dyDescent="0.3">
      <c r="A3623" s="19">
        <f t="shared" si="284"/>
        <v>50986</v>
      </c>
      <c r="B3623">
        <f t="shared" ca="1" si="280"/>
        <v>-13.427777777777777</v>
      </c>
      <c r="C3623" t="str">
        <f ca="1">IF(currency="USD",'Future et co'!D3623,IF(currency="EUR",'Future et co'!E3623,IF(currency="GBP",'Future et co'!F3623,FALSE)))</f>
        <v>RFR USD</v>
      </c>
      <c r="D3623" t="str">
        <f t="shared" ca="1" si="281"/>
        <v>RFR USD</v>
      </c>
      <c r="E3623" t="str">
        <f t="shared" ca="1" si="282"/>
        <v>RFR EUR</v>
      </c>
      <c r="F3623" t="str">
        <f t="shared" ca="1" si="283"/>
        <v>RFR GBP</v>
      </c>
      <c r="J3623" s="1"/>
      <c r="N3623" s="1"/>
      <c r="R3623" s="1"/>
      <c r="V3623" s="1"/>
      <c r="AB3623" s="1"/>
      <c r="AF3623" s="1"/>
      <c r="AJ3623" s="1"/>
      <c r="AN3623" s="1"/>
      <c r="AS3623" s="1"/>
      <c r="AX3623" s="1"/>
    </row>
    <row r="3624" spans="1:50" x14ac:dyDescent="0.3">
      <c r="A3624" s="19">
        <f t="shared" si="284"/>
        <v>50987</v>
      </c>
      <c r="B3624">
        <f t="shared" ca="1" si="280"/>
        <v>-13.430555555555555</v>
      </c>
      <c r="C3624" t="str">
        <f ca="1">IF(currency="USD",'Future et co'!D3624,IF(currency="EUR",'Future et co'!E3624,IF(currency="GBP",'Future et co'!F3624,FALSE)))</f>
        <v>RFR USD</v>
      </c>
      <c r="D3624" t="str">
        <f t="shared" ca="1" si="281"/>
        <v>RFR USD</v>
      </c>
      <c r="E3624" t="str">
        <f t="shared" ca="1" si="282"/>
        <v>RFR EUR</v>
      </c>
      <c r="F3624" t="str">
        <f t="shared" ca="1" si="283"/>
        <v>RFR GBP</v>
      </c>
      <c r="J3624" s="1"/>
      <c r="N3624" s="1"/>
      <c r="R3624" s="1"/>
      <c r="V3624" s="1"/>
      <c r="AB3624" s="1"/>
      <c r="AF3624" s="1"/>
      <c r="AJ3624" s="1"/>
      <c r="AN3624" s="1"/>
      <c r="AS3624" s="1"/>
      <c r="AX3624" s="1"/>
    </row>
    <row r="3625" spans="1:50" x14ac:dyDescent="0.3">
      <c r="A3625" s="19">
        <f t="shared" si="284"/>
        <v>50990</v>
      </c>
      <c r="B3625">
        <f t="shared" ca="1" si="280"/>
        <v>-13.438888888888888</v>
      </c>
      <c r="C3625" t="str">
        <f ca="1">IF(currency="USD",'Future et co'!D3625,IF(currency="EUR",'Future et co'!E3625,IF(currency="GBP",'Future et co'!F3625,FALSE)))</f>
        <v>RFR USD</v>
      </c>
      <c r="D3625" t="str">
        <f t="shared" ca="1" si="281"/>
        <v>RFR USD</v>
      </c>
      <c r="E3625" t="str">
        <f t="shared" ca="1" si="282"/>
        <v>RFR EUR</v>
      </c>
      <c r="F3625" t="str">
        <f t="shared" ca="1" si="283"/>
        <v>RFR GBP</v>
      </c>
      <c r="J3625" s="1"/>
      <c r="N3625" s="1"/>
      <c r="R3625" s="1"/>
      <c r="V3625" s="1"/>
      <c r="AB3625" s="1"/>
      <c r="AF3625" s="1"/>
      <c r="AJ3625" s="1"/>
      <c r="AN3625" s="1"/>
      <c r="AS3625" s="1"/>
      <c r="AX3625" s="1"/>
    </row>
    <row r="3626" spans="1:50" x14ac:dyDescent="0.3">
      <c r="A3626" s="19">
        <f t="shared" si="284"/>
        <v>50991</v>
      </c>
      <c r="B3626">
        <f t="shared" ca="1" si="280"/>
        <v>-13.441666666666666</v>
      </c>
      <c r="C3626" t="str">
        <f ca="1">IF(currency="USD",'Future et co'!D3626,IF(currency="EUR",'Future et co'!E3626,IF(currency="GBP",'Future et co'!F3626,FALSE)))</f>
        <v>RFR USD</v>
      </c>
      <c r="D3626" t="str">
        <f t="shared" ca="1" si="281"/>
        <v>RFR USD</v>
      </c>
      <c r="E3626" t="str">
        <f t="shared" ca="1" si="282"/>
        <v>RFR EUR</v>
      </c>
      <c r="F3626" t="str">
        <f t="shared" ca="1" si="283"/>
        <v>RFR GBP</v>
      </c>
      <c r="J3626" s="1"/>
      <c r="N3626" s="1"/>
      <c r="R3626" s="1"/>
      <c r="V3626" s="1"/>
      <c r="AB3626" s="1"/>
      <c r="AF3626" s="1"/>
      <c r="AJ3626" s="1"/>
      <c r="AN3626" s="1"/>
      <c r="AS3626" s="1"/>
      <c r="AX3626" s="1"/>
    </row>
    <row r="3627" spans="1:50" x14ac:dyDescent="0.3">
      <c r="A3627" s="19">
        <f t="shared" si="284"/>
        <v>50992</v>
      </c>
      <c r="B3627">
        <f t="shared" ca="1" si="280"/>
        <v>-13.444444444444445</v>
      </c>
      <c r="C3627" t="str">
        <f ca="1">IF(currency="USD",'Future et co'!D3627,IF(currency="EUR",'Future et co'!E3627,IF(currency="GBP",'Future et co'!F3627,FALSE)))</f>
        <v>RFR USD</v>
      </c>
      <c r="D3627" t="str">
        <f t="shared" ca="1" si="281"/>
        <v>RFR USD</v>
      </c>
      <c r="E3627" t="str">
        <f t="shared" ca="1" si="282"/>
        <v>RFR EUR</v>
      </c>
      <c r="F3627" t="str">
        <f t="shared" ca="1" si="283"/>
        <v>RFR GBP</v>
      </c>
      <c r="J3627" s="1"/>
      <c r="N3627" s="1"/>
      <c r="R3627" s="1"/>
      <c r="V3627" s="1"/>
      <c r="AB3627" s="1"/>
      <c r="AF3627" s="1"/>
      <c r="AJ3627" s="1"/>
      <c r="AN3627" s="1"/>
      <c r="AS3627" s="1"/>
      <c r="AX3627" s="1"/>
    </row>
    <row r="3628" spans="1:50" x14ac:dyDescent="0.3">
      <c r="A3628" s="19">
        <f t="shared" si="284"/>
        <v>50993</v>
      </c>
      <c r="B3628">
        <f t="shared" ca="1" si="280"/>
        <v>-13.447222222222223</v>
      </c>
      <c r="C3628" t="str">
        <f ca="1">IF(currency="USD",'Future et co'!D3628,IF(currency="EUR",'Future et co'!E3628,IF(currency="GBP",'Future et co'!F3628,FALSE)))</f>
        <v>RFR USD</v>
      </c>
      <c r="D3628" t="str">
        <f t="shared" ca="1" si="281"/>
        <v>RFR USD</v>
      </c>
      <c r="E3628" t="str">
        <f t="shared" ca="1" si="282"/>
        <v>RFR EUR</v>
      </c>
      <c r="F3628" t="str">
        <f t="shared" ca="1" si="283"/>
        <v>RFR GBP</v>
      </c>
      <c r="J3628" s="1"/>
      <c r="N3628" s="1"/>
      <c r="R3628" s="1"/>
      <c r="V3628" s="1"/>
      <c r="AB3628" s="1"/>
      <c r="AF3628" s="1"/>
      <c r="AJ3628" s="1"/>
      <c r="AN3628" s="1"/>
      <c r="AS3628" s="1"/>
      <c r="AX3628" s="1"/>
    </row>
    <row r="3629" spans="1:50" x14ac:dyDescent="0.3">
      <c r="A3629" s="19">
        <f t="shared" si="284"/>
        <v>50994</v>
      </c>
      <c r="B3629">
        <f t="shared" ca="1" si="280"/>
        <v>-13.45</v>
      </c>
      <c r="C3629" t="str">
        <f ca="1">IF(currency="USD",'Future et co'!D3629,IF(currency="EUR",'Future et co'!E3629,IF(currency="GBP",'Future et co'!F3629,FALSE)))</f>
        <v>RFR USD</v>
      </c>
      <c r="D3629" t="str">
        <f t="shared" ca="1" si="281"/>
        <v>RFR USD</v>
      </c>
      <c r="E3629" t="str">
        <f t="shared" ca="1" si="282"/>
        <v>RFR EUR</v>
      </c>
      <c r="F3629" t="str">
        <f t="shared" ca="1" si="283"/>
        <v>RFR GBP</v>
      </c>
      <c r="J3629" s="1"/>
      <c r="N3629" s="1"/>
      <c r="R3629" s="1"/>
      <c r="V3629" s="1"/>
      <c r="AB3629" s="1"/>
      <c r="AF3629" s="1"/>
      <c r="AJ3629" s="1"/>
      <c r="AN3629" s="1"/>
      <c r="AS3629" s="1"/>
      <c r="AX3629" s="1"/>
    </row>
    <row r="3630" spans="1:50" x14ac:dyDescent="0.3">
      <c r="A3630" s="19">
        <f t="shared" si="284"/>
        <v>50997</v>
      </c>
      <c r="B3630">
        <f t="shared" ca="1" si="280"/>
        <v>-13.458333333333334</v>
      </c>
      <c r="C3630" t="str">
        <f ca="1">IF(currency="USD",'Future et co'!D3630,IF(currency="EUR",'Future et co'!E3630,IF(currency="GBP",'Future et co'!F3630,FALSE)))</f>
        <v>RFR USD</v>
      </c>
      <c r="D3630" t="str">
        <f t="shared" ca="1" si="281"/>
        <v>RFR USD</v>
      </c>
      <c r="E3630" t="str">
        <f t="shared" ca="1" si="282"/>
        <v>RFR EUR</v>
      </c>
      <c r="F3630" t="str">
        <f t="shared" ca="1" si="283"/>
        <v>RFR GBP</v>
      </c>
      <c r="J3630" s="1"/>
      <c r="N3630" s="1"/>
      <c r="R3630" s="1"/>
      <c r="V3630" s="1"/>
      <c r="AB3630" s="1"/>
      <c r="AF3630" s="1"/>
      <c r="AJ3630" s="1"/>
      <c r="AN3630" s="1"/>
      <c r="AS3630" s="1"/>
      <c r="AX3630" s="1"/>
    </row>
    <row r="3631" spans="1:50" x14ac:dyDescent="0.3">
      <c r="A3631" s="19">
        <f t="shared" si="284"/>
        <v>50998</v>
      </c>
      <c r="B3631">
        <f t="shared" ca="1" si="280"/>
        <v>-13.46111111111111</v>
      </c>
      <c r="C3631" t="str">
        <f ca="1">IF(currency="USD",'Future et co'!D3631,IF(currency="EUR",'Future et co'!E3631,IF(currency="GBP",'Future et co'!F3631,FALSE)))</f>
        <v>RFR USD</v>
      </c>
      <c r="D3631" t="str">
        <f t="shared" ca="1" si="281"/>
        <v>RFR USD</v>
      </c>
      <c r="E3631" t="str">
        <f t="shared" ca="1" si="282"/>
        <v>RFR EUR</v>
      </c>
      <c r="F3631" t="str">
        <f t="shared" ca="1" si="283"/>
        <v>RFR GBP</v>
      </c>
      <c r="J3631" s="1"/>
      <c r="N3631" s="1"/>
      <c r="R3631" s="1"/>
      <c r="V3631" s="1"/>
      <c r="AB3631" s="1"/>
      <c r="AF3631" s="1"/>
      <c r="AJ3631" s="1"/>
      <c r="AN3631" s="1"/>
      <c r="AS3631" s="1"/>
      <c r="AX3631" s="1"/>
    </row>
    <row r="3632" spans="1:50" x14ac:dyDescent="0.3">
      <c r="A3632" s="19">
        <f t="shared" si="284"/>
        <v>50999</v>
      </c>
      <c r="B3632">
        <f t="shared" ca="1" si="280"/>
        <v>-13.463888888888889</v>
      </c>
      <c r="C3632" t="str">
        <f ca="1">IF(currency="USD",'Future et co'!D3632,IF(currency="EUR",'Future et co'!E3632,IF(currency="GBP",'Future et co'!F3632,FALSE)))</f>
        <v>RFR USD</v>
      </c>
      <c r="D3632" t="str">
        <f t="shared" ca="1" si="281"/>
        <v>RFR USD</v>
      </c>
      <c r="E3632" t="str">
        <f t="shared" ca="1" si="282"/>
        <v>RFR EUR</v>
      </c>
      <c r="F3632" t="str">
        <f t="shared" ca="1" si="283"/>
        <v>RFR GBP</v>
      </c>
      <c r="J3632" s="1"/>
      <c r="N3632" s="1"/>
      <c r="R3632" s="1"/>
      <c r="V3632" s="1"/>
      <c r="AB3632" s="1"/>
      <c r="AF3632" s="1"/>
      <c r="AJ3632" s="1"/>
      <c r="AN3632" s="1"/>
      <c r="AS3632" s="1"/>
      <c r="AX3632" s="1"/>
    </row>
    <row r="3633" spans="1:50" x14ac:dyDescent="0.3">
      <c r="A3633" s="19">
        <f t="shared" si="284"/>
        <v>51000</v>
      </c>
      <c r="B3633">
        <f t="shared" ca="1" si="280"/>
        <v>-13.466666666666667</v>
      </c>
      <c r="C3633" t="str">
        <f ca="1">IF(currency="USD",'Future et co'!D3633,IF(currency="EUR",'Future et co'!E3633,IF(currency="GBP",'Future et co'!F3633,FALSE)))</f>
        <v>RFR USD</v>
      </c>
      <c r="D3633" t="str">
        <f t="shared" ca="1" si="281"/>
        <v>RFR USD</v>
      </c>
      <c r="E3633" t="str">
        <f t="shared" ca="1" si="282"/>
        <v>RFR EUR</v>
      </c>
      <c r="F3633" t="str">
        <f t="shared" ca="1" si="283"/>
        <v>RFR GBP</v>
      </c>
      <c r="J3633" s="1"/>
      <c r="N3633" s="1"/>
      <c r="R3633" s="1"/>
      <c r="V3633" s="1"/>
      <c r="AB3633" s="1"/>
      <c r="AF3633" s="1"/>
      <c r="AJ3633" s="1"/>
      <c r="AN3633" s="1"/>
      <c r="AS3633" s="1"/>
      <c r="AX3633" s="1"/>
    </row>
    <row r="3634" spans="1:50" x14ac:dyDescent="0.3">
      <c r="A3634" s="19">
        <f t="shared" si="284"/>
        <v>51001</v>
      </c>
      <c r="B3634">
        <f t="shared" ca="1" si="280"/>
        <v>-13.469444444444445</v>
      </c>
      <c r="C3634" t="str">
        <f ca="1">IF(currency="USD",'Future et co'!D3634,IF(currency="EUR",'Future et co'!E3634,IF(currency="GBP",'Future et co'!F3634,FALSE)))</f>
        <v>RFR USD</v>
      </c>
      <c r="D3634" t="str">
        <f t="shared" ca="1" si="281"/>
        <v>RFR USD</v>
      </c>
      <c r="E3634" t="str">
        <f t="shared" ca="1" si="282"/>
        <v>RFR EUR</v>
      </c>
      <c r="F3634" t="str">
        <f t="shared" ca="1" si="283"/>
        <v>RFR GBP</v>
      </c>
      <c r="J3634" s="1"/>
      <c r="N3634" s="1"/>
      <c r="R3634" s="1"/>
      <c r="V3634" s="1"/>
      <c r="AB3634" s="1"/>
      <c r="AF3634" s="1"/>
      <c r="AJ3634" s="1"/>
      <c r="AN3634" s="1"/>
      <c r="AS3634" s="1"/>
      <c r="AX3634" s="1"/>
    </row>
    <row r="3635" spans="1:50" x14ac:dyDescent="0.3">
      <c r="A3635" s="19">
        <f t="shared" si="284"/>
        <v>51004</v>
      </c>
      <c r="B3635">
        <f t="shared" ca="1" si="280"/>
        <v>-13.477777777777778</v>
      </c>
      <c r="C3635" t="str">
        <f ca="1">IF(currency="USD",'Future et co'!D3635,IF(currency="EUR",'Future et co'!E3635,IF(currency="GBP",'Future et co'!F3635,FALSE)))</f>
        <v>RFR USD</v>
      </c>
      <c r="D3635" t="str">
        <f t="shared" ca="1" si="281"/>
        <v>RFR USD</v>
      </c>
      <c r="E3635" t="str">
        <f t="shared" ca="1" si="282"/>
        <v>RFR EUR</v>
      </c>
      <c r="F3635" t="str">
        <f t="shared" ca="1" si="283"/>
        <v>RFR GBP</v>
      </c>
      <c r="J3635" s="1"/>
      <c r="N3635" s="1"/>
      <c r="R3635" s="1"/>
      <c r="V3635" s="1"/>
      <c r="AB3635" s="1"/>
      <c r="AF3635" s="1"/>
      <c r="AJ3635" s="1"/>
      <c r="AN3635" s="1"/>
      <c r="AS3635" s="1"/>
      <c r="AX3635" s="1"/>
    </row>
    <row r="3636" spans="1:50" x14ac:dyDescent="0.3">
      <c r="A3636" s="19">
        <f t="shared" si="284"/>
        <v>51005</v>
      </c>
      <c r="B3636">
        <f t="shared" ca="1" si="280"/>
        <v>-13.480555555555556</v>
      </c>
      <c r="C3636" t="str">
        <f ca="1">IF(currency="USD",'Future et co'!D3636,IF(currency="EUR",'Future et co'!E3636,IF(currency="GBP",'Future et co'!F3636,FALSE)))</f>
        <v>RFR USD</v>
      </c>
      <c r="D3636" t="str">
        <f t="shared" ca="1" si="281"/>
        <v>RFR USD</v>
      </c>
      <c r="E3636" t="str">
        <f t="shared" ca="1" si="282"/>
        <v>RFR EUR</v>
      </c>
      <c r="F3636" t="str">
        <f t="shared" ca="1" si="283"/>
        <v>RFR GBP</v>
      </c>
      <c r="J3636" s="1"/>
      <c r="N3636" s="1"/>
      <c r="R3636" s="1"/>
      <c r="V3636" s="1"/>
      <c r="AB3636" s="1"/>
      <c r="AF3636" s="1"/>
      <c r="AJ3636" s="1"/>
      <c r="AN3636" s="1"/>
      <c r="AS3636" s="1"/>
      <c r="AX3636" s="1"/>
    </row>
    <row r="3637" spans="1:50" x14ac:dyDescent="0.3">
      <c r="A3637" s="19">
        <f t="shared" si="284"/>
        <v>51006</v>
      </c>
      <c r="B3637">
        <f t="shared" ca="1" si="280"/>
        <v>-13.483333333333333</v>
      </c>
      <c r="C3637" t="str">
        <f ca="1">IF(currency="USD",'Future et co'!D3637,IF(currency="EUR",'Future et co'!E3637,IF(currency="GBP",'Future et co'!F3637,FALSE)))</f>
        <v>RFR USD</v>
      </c>
      <c r="D3637" t="str">
        <f t="shared" ca="1" si="281"/>
        <v>RFR USD</v>
      </c>
      <c r="E3637" t="str">
        <f t="shared" ca="1" si="282"/>
        <v>RFR EUR</v>
      </c>
      <c r="F3637" t="str">
        <f t="shared" ca="1" si="283"/>
        <v>RFR GBP</v>
      </c>
      <c r="J3637" s="1"/>
      <c r="N3637" s="1"/>
      <c r="R3637" s="1"/>
      <c r="V3637" s="1"/>
      <c r="AB3637" s="1"/>
      <c r="AF3637" s="1"/>
      <c r="AJ3637" s="1"/>
      <c r="AN3637" s="1"/>
      <c r="AS3637" s="1"/>
      <c r="AX3637" s="1"/>
    </row>
    <row r="3638" spans="1:50" x14ac:dyDescent="0.3">
      <c r="A3638" s="19">
        <f t="shared" si="284"/>
        <v>51007</v>
      </c>
      <c r="B3638">
        <f t="shared" ca="1" si="280"/>
        <v>-13.486111111111111</v>
      </c>
      <c r="C3638" t="str">
        <f ca="1">IF(currency="USD",'Future et co'!D3638,IF(currency="EUR",'Future et co'!E3638,IF(currency="GBP",'Future et co'!F3638,FALSE)))</f>
        <v>RFR USD</v>
      </c>
      <c r="D3638" t="str">
        <f t="shared" ca="1" si="281"/>
        <v>RFR USD</v>
      </c>
      <c r="E3638" t="str">
        <f t="shared" ca="1" si="282"/>
        <v>RFR EUR</v>
      </c>
      <c r="F3638" t="str">
        <f t="shared" ca="1" si="283"/>
        <v>RFR GBP</v>
      </c>
      <c r="J3638" s="1"/>
      <c r="N3638" s="1"/>
      <c r="R3638" s="1"/>
      <c r="V3638" s="1"/>
      <c r="AB3638" s="1"/>
      <c r="AF3638" s="1"/>
      <c r="AJ3638" s="1"/>
      <c r="AN3638" s="1"/>
      <c r="AS3638" s="1"/>
      <c r="AX3638" s="1"/>
    </row>
    <row r="3639" spans="1:50" x14ac:dyDescent="0.3">
      <c r="A3639" s="19">
        <f t="shared" si="284"/>
        <v>51008</v>
      </c>
      <c r="B3639">
        <f t="shared" ca="1" si="280"/>
        <v>-13.488888888888889</v>
      </c>
      <c r="C3639" t="str">
        <f ca="1">IF(currency="USD",'Future et co'!D3639,IF(currency="EUR",'Future et co'!E3639,IF(currency="GBP",'Future et co'!F3639,FALSE)))</f>
        <v>RFR USD</v>
      </c>
      <c r="D3639" t="str">
        <f t="shared" ca="1" si="281"/>
        <v>RFR USD</v>
      </c>
      <c r="E3639" t="str">
        <f t="shared" ca="1" si="282"/>
        <v>RFR EUR</v>
      </c>
      <c r="F3639" t="str">
        <f t="shared" ca="1" si="283"/>
        <v>RFR GBP</v>
      </c>
      <c r="J3639" s="1"/>
      <c r="N3639" s="1"/>
      <c r="R3639" s="1"/>
      <c r="V3639" s="1"/>
      <c r="AB3639" s="1"/>
      <c r="AF3639" s="1"/>
      <c r="AJ3639" s="1"/>
      <c r="AN3639" s="1"/>
      <c r="AS3639" s="1"/>
      <c r="AX3639" s="1"/>
    </row>
    <row r="3640" spans="1:50" x14ac:dyDescent="0.3">
      <c r="A3640" s="19">
        <f t="shared" si="284"/>
        <v>51011</v>
      </c>
      <c r="B3640">
        <f t="shared" ca="1" si="280"/>
        <v>-13.497222222222222</v>
      </c>
      <c r="C3640" t="str">
        <f ca="1">IF(currency="USD",'Future et co'!D3640,IF(currency="EUR",'Future et co'!E3640,IF(currency="GBP",'Future et co'!F3640,FALSE)))</f>
        <v>RFR USD</v>
      </c>
      <c r="D3640" t="str">
        <f t="shared" ca="1" si="281"/>
        <v>RFR USD</v>
      </c>
      <c r="E3640" t="str">
        <f t="shared" ca="1" si="282"/>
        <v>RFR EUR</v>
      </c>
      <c r="F3640" t="str">
        <f t="shared" ca="1" si="283"/>
        <v>RFR GBP</v>
      </c>
      <c r="J3640" s="1"/>
      <c r="N3640" s="1"/>
      <c r="R3640" s="1"/>
      <c r="V3640" s="1"/>
      <c r="AB3640" s="1"/>
      <c r="AF3640" s="1"/>
      <c r="AJ3640" s="1"/>
      <c r="AN3640" s="1"/>
      <c r="AS3640" s="1"/>
      <c r="AX3640" s="1"/>
    </row>
    <row r="3641" spans="1:50" x14ac:dyDescent="0.3">
      <c r="A3641" s="19">
        <f t="shared" si="284"/>
        <v>51012</v>
      </c>
      <c r="B3641">
        <f t="shared" ca="1" si="280"/>
        <v>-13.5</v>
      </c>
      <c r="C3641" t="str">
        <f ca="1">IF(currency="USD",'Future et co'!D3641,IF(currency="EUR",'Future et co'!E3641,IF(currency="GBP",'Future et co'!F3641,FALSE)))</f>
        <v>RFR USD</v>
      </c>
      <c r="D3641" t="str">
        <f t="shared" ca="1" si="281"/>
        <v>RFR USD</v>
      </c>
      <c r="E3641" t="str">
        <f t="shared" ca="1" si="282"/>
        <v>RFR EUR</v>
      </c>
      <c r="F3641" t="str">
        <f t="shared" ca="1" si="283"/>
        <v>RFR GBP</v>
      </c>
      <c r="J3641" s="1"/>
      <c r="N3641" s="1"/>
      <c r="R3641" s="1"/>
      <c r="V3641" s="1"/>
      <c r="AB3641" s="1"/>
      <c r="AF3641" s="1"/>
      <c r="AJ3641" s="1"/>
      <c r="AN3641" s="1"/>
      <c r="AS3641" s="1"/>
      <c r="AX3641" s="1"/>
    </row>
    <row r="3642" spans="1:50" x14ac:dyDescent="0.3">
      <c r="A3642" s="19">
        <f t="shared" si="284"/>
        <v>51013</v>
      </c>
      <c r="B3642">
        <f t="shared" ca="1" si="280"/>
        <v>-13.502777777777778</v>
      </c>
      <c r="C3642" t="str">
        <f ca="1">IF(currency="USD",'Future et co'!D3642,IF(currency="EUR",'Future et co'!E3642,IF(currency="GBP",'Future et co'!F3642,FALSE)))</f>
        <v>RFR USD</v>
      </c>
      <c r="D3642" t="str">
        <f t="shared" ca="1" si="281"/>
        <v>RFR USD</v>
      </c>
      <c r="E3642" t="str">
        <f t="shared" ca="1" si="282"/>
        <v>RFR EUR</v>
      </c>
      <c r="F3642" t="str">
        <f t="shared" ca="1" si="283"/>
        <v>RFR GBP</v>
      </c>
      <c r="J3642" s="1"/>
      <c r="N3642" s="1"/>
      <c r="R3642" s="1"/>
      <c r="V3642" s="1"/>
      <c r="AB3642" s="1"/>
      <c r="AF3642" s="1"/>
      <c r="AJ3642" s="1"/>
      <c r="AN3642" s="1"/>
      <c r="AS3642" s="1"/>
      <c r="AX3642" s="1"/>
    </row>
    <row r="3643" spans="1:50" x14ac:dyDescent="0.3">
      <c r="A3643" s="19">
        <f t="shared" si="284"/>
        <v>51014</v>
      </c>
      <c r="B3643">
        <f t="shared" ca="1" si="280"/>
        <v>-13.505555555555556</v>
      </c>
      <c r="C3643" t="str">
        <f ca="1">IF(currency="USD",'Future et co'!D3643,IF(currency="EUR",'Future et co'!E3643,IF(currency="GBP",'Future et co'!F3643,FALSE)))</f>
        <v>RFR USD</v>
      </c>
      <c r="D3643" t="str">
        <f t="shared" ca="1" si="281"/>
        <v>RFR USD</v>
      </c>
      <c r="E3643" t="str">
        <f t="shared" ca="1" si="282"/>
        <v>RFR EUR</v>
      </c>
      <c r="F3643" t="str">
        <f t="shared" ca="1" si="283"/>
        <v>RFR GBP</v>
      </c>
      <c r="J3643" s="1"/>
      <c r="N3643" s="1"/>
      <c r="R3643" s="1"/>
      <c r="V3643" s="1"/>
      <c r="AB3643" s="1"/>
      <c r="AF3643" s="1"/>
      <c r="AJ3643" s="1"/>
      <c r="AN3643" s="1"/>
      <c r="AS3643" s="1"/>
      <c r="AX3643" s="1"/>
    </row>
    <row r="3644" spans="1:50" x14ac:dyDescent="0.3">
      <c r="A3644" s="19">
        <f t="shared" si="284"/>
        <v>51015</v>
      </c>
      <c r="B3644">
        <f t="shared" ca="1" si="280"/>
        <v>-13.508333333333333</v>
      </c>
      <c r="C3644" t="str">
        <f ca="1">IF(currency="USD",'Future et co'!D3644,IF(currency="EUR",'Future et co'!E3644,IF(currency="GBP",'Future et co'!F3644,FALSE)))</f>
        <v>RFR USD</v>
      </c>
      <c r="D3644" t="str">
        <f t="shared" ca="1" si="281"/>
        <v>RFR USD</v>
      </c>
      <c r="E3644" t="str">
        <f t="shared" ca="1" si="282"/>
        <v>RFR EUR</v>
      </c>
      <c r="F3644" t="str">
        <f t="shared" ca="1" si="283"/>
        <v>RFR GBP</v>
      </c>
      <c r="J3644" s="1"/>
      <c r="N3644" s="1"/>
      <c r="R3644" s="1"/>
      <c r="V3644" s="1"/>
      <c r="AB3644" s="1"/>
      <c r="AF3644" s="1"/>
      <c r="AJ3644" s="1"/>
      <c r="AN3644" s="1"/>
      <c r="AS3644" s="1"/>
      <c r="AX3644" s="1"/>
    </row>
    <row r="3645" spans="1:50" x14ac:dyDescent="0.3">
      <c r="A3645" s="19">
        <f t="shared" si="284"/>
        <v>51018</v>
      </c>
      <c r="B3645">
        <f t="shared" ca="1" si="280"/>
        <v>-13.516666666666667</v>
      </c>
      <c r="C3645" t="str">
        <f ca="1">IF(currency="USD",'Future et co'!D3645,IF(currency="EUR",'Future et co'!E3645,IF(currency="GBP",'Future et co'!F3645,FALSE)))</f>
        <v>RFR USD</v>
      </c>
      <c r="D3645" t="str">
        <f t="shared" ca="1" si="281"/>
        <v>RFR USD</v>
      </c>
      <c r="E3645" t="str">
        <f t="shared" ca="1" si="282"/>
        <v>RFR EUR</v>
      </c>
      <c r="F3645" t="str">
        <f t="shared" ca="1" si="283"/>
        <v>RFR GBP</v>
      </c>
      <c r="J3645" s="1"/>
      <c r="N3645" s="1"/>
      <c r="R3645" s="1"/>
      <c r="V3645" s="1"/>
      <c r="AB3645" s="1"/>
      <c r="AF3645" s="1"/>
      <c r="AJ3645" s="1"/>
      <c r="AN3645" s="1"/>
      <c r="AS3645" s="1"/>
      <c r="AX3645" s="1"/>
    </row>
    <row r="3646" spans="1:50" x14ac:dyDescent="0.3">
      <c r="A3646" s="19">
        <f t="shared" si="284"/>
        <v>51019</v>
      </c>
      <c r="B3646">
        <f t="shared" ca="1" si="280"/>
        <v>-13.519444444444444</v>
      </c>
      <c r="C3646" t="str">
        <f ca="1">IF(currency="USD",'Future et co'!D3646,IF(currency="EUR",'Future et co'!E3646,IF(currency="GBP",'Future et co'!F3646,FALSE)))</f>
        <v>RFR USD</v>
      </c>
      <c r="D3646" t="str">
        <f t="shared" ca="1" si="281"/>
        <v>RFR USD</v>
      </c>
      <c r="E3646" t="str">
        <f t="shared" ca="1" si="282"/>
        <v>RFR EUR</v>
      </c>
      <c r="F3646" t="str">
        <f t="shared" ca="1" si="283"/>
        <v>RFR GBP</v>
      </c>
      <c r="J3646" s="1"/>
      <c r="N3646" s="1"/>
      <c r="R3646" s="1"/>
      <c r="V3646" s="1"/>
      <c r="AB3646" s="1"/>
      <c r="AF3646" s="1"/>
      <c r="AJ3646" s="1"/>
      <c r="AN3646" s="1"/>
      <c r="AS3646" s="1"/>
      <c r="AX3646" s="1"/>
    </row>
    <row r="3647" spans="1:50" x14ac:dyDescent="0.3">
      <c r="A3647" s="19">
        <f t="shared" si="284"/>
        <v>51020</v>
      </c>
      <c r="B3647">
        <f t="shared" ca="1" si="280"/>
        <v>-13.522222222222222</v>
      </c>
      <c r="C3647" t="str">
        <f ca="1">IF(currency="USD",'Future et co'!D3647,IF(currency="EUR",'Future et co'!E3647,IF(currency="GBP",'Future et co'!F3647,FALSE)))</f>
        <v>RFR USD</v>
      </c>
      <c r="D3647" t="str">
        <f t="shared" ca="1" si="281"/>
        <v>RFR USD</v>
      </c>
      <c r="E3647" t="str">
        <f t="shared" ca="1" si="282"/>
        <v>RFR EUR</v>
      </c>
      <c r="F3647" t="str">
        <f t="shared" ca="1" si="283"/>
        <v>RFR GBP</v>
      </c>
      <c r="J3647" s="1"/>
      <c r="N3647" s="1"/>
      <c r="R3647" s="1"/>
      <c r="V3647" s="1"/>
      <c r="AB3647" s="1"/>
      <c r="AF3647" s="1"/>
      <c r="AJ3647" s="1"/>
      <c r="AN3647" s="1"/>
      <c r="AS3647" s="1"/>
      <c r="AX3647" s="1"/>
    </row>
    <row r="3648" spans="1:50" x14ac:dyDescent="0.3">
      <c r="A3648" s="19">
        <f t="shared" si="284"/>
        <v>51021</v>
      </c>
      <c r="B3648">
        <f t="shared" ca="1" si="280"/>
        <v>-13.525</v>
      </c>
      <c r="C3648" t="str">
        <f ca="1">IF(currency="USD",'Future et co'!D3648,IF(currency="EUR",'Future et co'!E3648,IF(currency="GBP",'Future et co'!F3648,FALSE)))</f>
        <v>RFR USD</v>
      </c>
      <c r="D3648" t="str">
        <f t="shared" ca="1" si="281"/>
        <v>RFR USD</v>
      </c>
      <c r="E3648" t="str">
        <f t="shared" ca="1" si="282"/>
        <v>RFR EUR</v>
      </c>
      <c r="F3648" t="str">
        <f t="shared" ca="1" si="283"/>
        <v>RFR GBP</v>
      </c>
      <c r="J3648" s="1"/>
      <c r="N3648" s="1"/>
      <c r="R3648" s="1"/>
      <c r="V3648" s="1"/>
      <c r="AB3648" s="1"/>
      <c r="AF3648" s="1"/>
      <c r="AJ3648" s="1"/>
      <c r="AN3648" s="1"/>
      <c r="AS3648" s="1"/>
      <c r="AX3648" s="1"/>
    </row>
    <row r="3649" spans="1:50" x14ac:dyDescent="0.3">
      <c r="A3649" s="19">
        <f t="shared" si="284"/>
        <v>51022</v>
      </c>
      <c r="B3649">
        <f t="shared" ca="1" si="280"/>
        <v>-13.527777777777779</v>
      </c>
      <c r="C3649" t="str">
        <f ca="1">IF(currency="USD",'Future et co'!D3649,IF(currency="EUR",'Future et co'!E3649,IF(currency="GBP",'Future et co'!F3649,FALSE)))</f>
        <v>RFR USD</v>
      </c>
      <c r="D3649" t="str">
        <f t="shared" ca="1" si="281"/>
        <v>RFR USD</v>
      </c>
      <c r="E3649" t="str">
        <f t="shared" ca="1" si="282"/>
        <v>RFR EUR</v>
      </c>
      <c r="F3649" t="str">
        <f t="shared" ca="1" si="283"/>
        <v>RFR GBP</v>
      </c>
      <c r="J3649" s="1"/>
      <c r="N3649" s="1"/>
      <c r="R3649" s="1"/>
      <c r="V3649" s="1"/>
      <c r="AB3649" s="1"/>
      <c r="AF3649" s="1"/>
      <c r="AJ3649" s="1"/>
      <c r="AN3649" s="1"/>
      <c r="AS3649" s="1"/>
      <c r="AX3649" s="1"/>
    </row>
    <row r="3650" spans="1:50" x14ac:dyDescent="0.3">
      <c r="A3650" s="19">
        <f t="shared" si="284"/>
        <v>51025</v>
      </c>
      <c r="B3650">
        <f t="shared" ca="1" si="280"/>
        <v>-13.536111111111111</v>
      </c>
      <c r="C3650" t="str">
        <f ca="1">IF(currency="USD",'Future et co'!D3650,IF(currency="EUR",'Future et co'!E3650,IF(currency="GBP",'Future et co'!F3650,FALSE)))</f>
        <v>RFR USD</v>
      </c>
      <c r="D3650" t="str">
        <f t="shared" ca="1" si="281"/>
        <v>RFR USD</v>
      </c>
      <c r="E3650" t="str">
        <f t="shared" ca="1" si="282"/>
        <v>RFR EUR</v>
      </c>
      <c r="F3650" t="str">
        <f t="shared" ca="1" si="283"/>
        <v>RFR GBP</v>
      </c>
      <c r="J3650" s="1"/>
      <c r="N3650" s="1"/>
      <c r="R3650" s="1"/>
      <c r="V3650" s="1"/>
      <c r="AB3650" s="1"/>
      <c r="AF3650" s="1"/>
      <c r="AJ3650" s="1"/>
      <c r="AN3650" s="1"/>
      <c r="AS3650" s="1"/>
      <c r="AX3650" s="1"/>
    </row>
    <row r="3651" spans="1:50" x14ac:dyDescent="0.3">
      <c r="A3651" s="19">
        <f t="shared" si="284"/>
        <v>51026</v>
      </c>
      <c r="B3651">
        <f t="shared" ca="1" si="280"/>
        <v>-13.53888888888889</v>
      </c>
      <c r="C3651" t="str">
        <f ca="1">IF(currency="USD",'Future et co'!D3651,IF(currency="EUR",'Future et co'!E3651,IF(currency="GBP",'Future et co'!F3651,FALSE)))</f>
        <v>RFR USD</v>
      </c>
      <c r="D3651" t="str">
        <f t="shared" ca="1" si="281"/>
        <v>RFR USD</v>
      </c>
      <c r="E3651" t="str">
        <f t="shared" ca="1" si="282"/>
        <v>RFR EUR</v>
      </c>
      <c r="F3651" t="str">
        <f t="shared" ca="1" si="283"/>
        <v>RFR GBP</v>
      </c>
      <c r="J3651" s="1"/>
      <c r="N3651" s="1"/>
      <c r="R3651" s="1"/>
      <c r="V3651" s="1"/>
      <c r="AB3651" s="1"/>
      <c r="AF3651" s="1"/>
      <c r="AJ3651" s="1"/>
      <c r="AN3651" s="1"/>
      <c r="AS3651" s="1"/>
      <c r="AX3651" s="1"/>
    </row>
    <row r="3652" spans="1:50" x14ac:dyDescent="0.3">
      <c r="A3652" s="19">
        <f t="shared" si="284"/>
        <v>51027</v>
      </c>
      <c r="B3652">
        <f t="shared" ca="1" si="280"/>
        <v>-13.541666666666666</v>
      </c>
      <c r="C3652" t="str">
        <f ca="1">IF(currency="USD",'Future et co'!D3652,IF(currency="EUR",'Future et co'!E3652,IF(currency="GBP",'Future et co'!F3652,FALSE)))</f>
        <v>RFR USD</v>
      </c>
      <c r="D3652" t="str">
        <f t="shared" ca="1" si="281"/>
        <v>RFR USD</v>
      </c>
      <c r="E3652" t="str">
        <f t="shared" ca="1" si="282"/>
        <v>RFR EUR</v>
      </c>
      <c r="F3652" t="str">
        <f t="shared" ca="1" si="283"/>
        <v>RFR GBP</v>
      </c>
      <c r="J3652" s="1"/>
      <c r="N3652" s="1"/>
      <c r="R3652" s="1"/>
      <c r="V3652" s="1"/>
      <c r="AB3652" s="1"/>
      <c r="AF3652" s="1"/>
      <c r="AJ3652" s="1"/>
      <c r="AN3652" s="1"/>
      <c r="AS3652" s="1"/>
      <c r="AX3652" s="1"/>
    </row>
    <row r="3653" spans="1:50" x14ac:dyDescent="0.3">
      <c r="A3653" s="19">
        <f t="shared" si="284"/>
        <v>51028</v>
      </c>
      <c r="B3653">
        <f t="shared" ca="1" si="280"/>
        <v>-13.544444444444444</v>
      </c>
      <c r="C3653" t="str">
        <f ca="1">IF(currency="USD",'Future et co'!D3653,IF(currency="EUR",'Future et co'!E3653,IF(currency="GBP",'Future et co'!F3653,FALSE)))</f>
        <v>RFR USD</v>
      </c>
      <c r="D3653" t="str">
        <f t="shared" ca="1" si="281"/>
        <v>RFR USD</v>
      </c>
      <c r="E3653" t="str">
        <f t="shared" ca="1" si="282"/>
        <v>RFR EUR</v>
      </c>
      <c r="F3653" t="str">
        <f t="shared" ca="1" si="283"/>
        <v>RFR GBP</v>
      </c>
      <c r="J3653" s="1"/>
      <c r="N3653" s="1"/>
      <c r="R3653" s="1"/>
      <c r="V3653" s="1"/>
      <c r="AB3653" s="1"/>
      <c r="AF3653" s="1"/>
      <c r="AJ3653" s="1"/>
      <c r="AN3653" s="1"/>
      <c r="AS3653" s="1"/>
      <c r="AX3653" s="1"/>
    </row>
    <row r="3654" spans="1:50" x14ac:dyDescent="0.3">
      <c r="A3654" s="19">
        <f t="shared" si="284"/>
        <v>51029</v>
      </c>
      <c r="B3654">
        <f t="shared" ca="1" si="280"/>
        <v>-13.547222222222222</v>
      </c>
      <c r="C3654" t="str">
        <f ca="1">IF(currency="USD",'Future et co'!D3654,IF(currency="EUR",'Future et co'!E3654,IF(currency="GBP",'Future et co'!F3654,FALSE)))</f>
        <v>RFR USD</v>
      </c>
      <c r="D3654" t="str">
        <f t="shared" ca="1" si="281"/>
        <v>RFR USD</v>
      </c>
      <c r="E3654" t="str">
        <f t="shared" ca="1" si="282"/>
        <v>RFR EUR</v>
      </c>
      <c r="F3654" t="str">
        <f t="shared" ca="1" si="283"/>
        <v>RFR GBP</v>
      </c>
      <c r="J3654" s="1"/>
      <c r="N3654" s="1"/>
      <c r="R3654" s="1"/>
      <c r="V3654" s="1"/>
      <c r="AB3654" s="1"/>
      <c r="AF3654" s="1"/>
      <c r="AJ3654" s="1"/>
      <c r="AN3654" s="1"/>
      <c r="AS3654" s="1"/>
      <c r="AX3654" s="1"/>
    </row>
    <row r="3655" spans="1:50" x14ac:dyDescent="0.3">
      <c r="A3655" s="19">
        <f t="shared" si="284"/>
        <v>51032</v>
      </c>
      <c r="B3655">
        <f t="shared" ca="1" si="280"/>
        <v>-13.555555555555555</v>
      </c>
      <c r="C3655" t="str">
        <f ca="1">IF(currency="USD",'Future et co'!D3655,IF(currency="EUR",'Future et co'!E3655,IF(currency="GBP",'Future et co'!F3655,FALSE)))</f>
        <v>RFR USD</v>
      </c>
      <c r="D3655" t="str">
        <f t="shared" ca="1" si="281"/>
        <v>RFR USD</v>
      </c>
      <c r="E3655" t="str">
        <f t="shared" ca="1" si="282"/>
        <v>RFR EUR</v>
      </c>
      <c r="F3655" t="str">
        <f t="shared" ca="1" si="283"/>
        <v>RFR GBP</v>
      </c>
      <c r="J3655" s="1"/>
      <c r="N3655" s="1"/>
      <c r="R3655" s="1"/>
      <c r="V3655" s="1"/>
      <c r="AB3655" s="1"/>
      <c r="AF3655" s="1"/>
      <c r="AJ3655" s="1"/>
      <c r="AN3655" s="1"/>
      <c r="AS3655" s="1"/>
      <c r="AX3655" s="1"/>
    </row>
    <row r="3656" spans="1:50" x14ac:dyDescent="0.3">
      <c r="A3656" s="19">
        <f t="shared" si="284"/>
        <v>51033</v>
      </c>
      <c r="B3656">
        <f t="shared" ca="1" si="280"/>
        <v>-13.558333333333334</v>
      </c>
      <c r="C3656" t="str">
        <f ca="1">IF(currency="USD",'Future et co'!D3656,IF(currency="EUR",'Future et co'!E3656,IF(currency="GBP",'Future et co'!F3656,FALSE)))</f>
        <v>RFR USD</v>
      </c>
      <c r="D3656" t="str">
        <f t="shared" ca="1" si="281"/>
        <v>RFR USD</v>
      </c>
      <c r="E3656" t="str">
        <f t="shared" ca="1" si="282"/>
        <v>RFR EUR</v>
      </c>
      <c r="F3656" t="str">
        <f t="shared" ca="1" si="283"/>
        <v>RFR GBP</v>
      </c>
      <c r="J3656" s="1"/>
      <c r="N3656" s="1"/>
      <c r="R3656" s="1"/>
      <c r="V3656" s="1"/>
      <c r="AB3656" s="1"/>
      <c r="AF3656" s="1"/>
      <c r="AJ3656" s="1"/>
      <c r="AN3656" s="1"/>
      <c r="AS3656" s="1"/>
      <c r="AX3656" s="1"/>
    </row>
    <row r="3657" spans="1:50" x14ac:dyDescent="0.3">
      <c r="A3657" s="19">
        <f t="shared" si="284"/>
        <v>51034</v>
      </c>
      <c r="B3657">
        <f t="shared" ca="1" si="280"/>
        <v>-13.561111111111112</v>
      </c>
      <c r="C3657" t="str">
        <f ca="1">IF(currency="USD",'Future et co'!D3657,IF(currency="EUR",'Future et co'!E3657,IF(currency="GBP",'Future et co'!F3657,FALSE)))</f>
        <v>RFR USD</v>
      </c>
      <c r="D3657" t="str">
        <f t="shared" ca="1" si="281"/>
        <v>RFR USD</v>
      </c>
      <c r="E3657" t="str">
        <f t="shared" ca="1" si="282"/>
        <v>RFR EUR</v>
      </c>
      <c r="F3657" t="str">
        <f t="shared" ca="1" si="283"/>
        <v>RFR GBP</v>
      </c>
      <c r="J3657" s="1"/>
      <c r="N3657" s="1"/>
      <c r="R3657" s="1"/>
      <c r="V3657" s="1"/>
      <c r="AB3657" s="1"/>
      <c r="AF3657" s="1"/>
      <c r="AJ3657" s="1"/>
      <c r="AN3657" s="1"/>
      <c r="AS3657" s="1"/>
      <c r="AX3657" s="1"/>
    </row>
    <row r="3658" spans="1:50" x14ac:dyDescent="0.3">
      <c r="A3658" s="19">
        <f t="shared" si="284"/>
        <v>51035</v>
      </c>
      <c r="B3658">
        <f t="shared" ca="1" si="280"/>
        <v>-13.563888888888888</v>
      </c>
      <c r="C3658" t="str">
        <f ca="1">IF(currency="USD",'Future et co'!D3658,IF(currency="EUR",'Future et co'!E3658,IF(currency="GBP",'Future et co'!F3658,FALSE)))</f>
        <v>RFR USD</v>
      </c>
      <c r="D3658" t="str">
        <f t="shared" ca="1" si="281"/>
        <v>RFR USD</v>
      </c>
      <c r="E3658" t="str">
        <f t="shared" ca="1" si="282"/>
        <v>RFR EUR</v>
      </c>
      <c r="F3658" t="str">
        <f t="shared" ca="1" si="283"/>
        <v>RFR GBP</v>
      </c>
      <c r="J3658" s="1"/>
      <c r="N3658" s="1"/>
      <c r="R3658" s="1"/>
      <c r="V3658" s="1"/>
      <c r="AB3658" s="1"/>
      <c r="AF3658" s="1"/>
      <c r="AJ3658" s="1"/>
      <c r="AN3658" s="1"/>
      <c r="AS3658" s="1"/>
      <c r="AX3658" s="1"/>
    </row>
    <row r="3659" spans="1:50" x14ac:dyDescent="0.3">
      <c r="A3659" s="19">
        <f t="shared" si="284"/>
        <v>51036</v>
      </c>
      <c r="B3659">
        <f t="shared" ref="B3659:B3722" ca="1" si="285">($B$7-A3659)/360</f>
        <v>-13.566666666666666</v>
      </c>
      <c r="C3659" t="str">
        <f ca="1">IF(currency="USD",'Future et co'!D3659,IF(currency="EUR",'Future et co'!E3659,IF(currency="GBP",'Future et co'!F3659,FALSE)))</f>
        <v>RFR USD</v>
      </c>
      <c r="D3659" t="str">
        <f t="shared" ref="D3659:D3722" ca="1" si="286">IFERROR(IF(B3659&lt;0.25,VLOOKUP(A3659,$J$11:$L$5325,3,FALSE),IF(AND(B3659&gt;=0.25,B3659&lt;0.5),VLOOKUP(A3659,$N$11:$P$5325,3,FALSE),IF(AND(B3659&gt;=0.5,B3659&lt;1),VLOOKUP(A3659,$R$11:$T$5325,3,FALSE),VLOOKUP(A3659,$V$11:$X$5010,3,FALSE)))),D3658)</f>
        <v>RFR USD</v>
      </c>
      <c r="E3659" t="str">
        <f t="shared" ref="E3659:E3722" ca="1" si="287">IFERROR(IF(B3659&lt;0.25,VLOOKUP(A3659,$AF$11:$AH$5325,3,FALSE),IF(AND(B3659&gt;=0.25,B3659&lt;0.5),VLOOKUP(A3659,$AJ$11:$AL$5325,3,FALSE),VLOOKUP(A3659,$AN$11:$AP$5325,3,FALSE))),E3658)</f>
        <v>RFR EUR</v>
      </c>
      <c r="F3659" t="str">
        <f t="shared" ref="F3659:F3722" ca="1" si="288">IFERROR(VLOOKUP(A3659,$AS$11:$AU$9999,3,FALSE),F3658)</f>
        <v>RFR GBP</v>
      </c>
      <c r="J3659" s="1"/>
      <c r="N3659" s="1"/>
      <c r="R3659" s="1"/>
      <c r="V3659" s="1"/>
      <c r="AB3659" s="1"/>
      <c r="AF3659" s="1"/>
      <c r="AJ3659" s="1"/>
      <c r="AN3659" s="1"/>
      <c r="AS3659" s="1"/>
      <c r="AX3659" s="1"/>
    </row>
    <row r="3660" spans="1:50" x14ac:dyDescent="0.3">
      <c r="A3660" s="19">
        <f t="shared" si="284"/>
        <v>51039</v>
      </c>
      <c r="B3660">
        <f t="shared" ca="1" si="285"/>
        <v>-13.574999999999999</v>
      </c>
      <c r="C3660" t="str">
        <f ca="1">IF(currency="USD",'Future et co'!D3660,IF(currency="EUR",'Future et co'!E3660,IF(currency="GBP",'Future et co'!F3660,FALSE)))</f>
        <v>RFR USD</v>
      </c>
      <c r="D3660" t="str">
        <f t="shared" ca="1" si="286"/>
        <v>RFR USD</v>
      </c>
      <c r="E3660" t="str">
        <f t="shared" ca="1" si="287"/>
        <v>RFR EUR</v>
      </c>
      <c r="F3660" t="str">
        <f t="shared" ca="1" si="288"/>
        <v>RFR GBP</v>
      </c>
      <c r="J3660" s="1"/>
      <c r="N3660" s="1"/>
      <c r="R3660" s="1"/>
      <c r="V3660" s="1"/>
      <c r="AB3660" s="1"/>
      <c r="AF3660" s="1"/>
      <c r="AJ3660" s="1"/>
      <c r="AN3660" s="1"/>
      <c r="AS3660" s="1"/>
      <c r="AX3660" s="1"/>
    </row>
    <row r="3661" spans="1:50" x14ac:dyDescent="0.3">
      <c r="A3661" s="19">
        <f t="shared" ref="A3661:A3724" si="289">WORKDAY(A3660,1)</f>
        <v>51040</v>
      </c>
      <c r="B3661">
        <f t="shared" ca="1" si="285"/>
        <v>-13.577777777777778</v>
      </c>
      <c r="C3661" t="str">
        <f ca="1">IF(currency="USD",'Future et co'!D3661,IF(currency="EUR",'Future et co'!E3661,IF(currency="GBP",'Future et co'!F3661,FALSE)))</f>
        <v>RFR USD</v>
      </c>
      <c r="D3661" t="str">
        <f t="shared" ca="1" si="286"/>
        <v>RFR USD</v>
      </c>
      <c r="E3661" t="str">
        <f t="shared" ca="1" si="287"/>
        <v>RFR EUR</v>
      </c>
      <c r="F3661" t="str">
        <f t="shared" ca="1" si="288"/>
        <v>RFR GBP</v>
      </c>
      <c r="J3661" s="1"/>
      <c r="N3661" s="1"/>
      <c r="R3661" s="1"/>
      <c r="V3661" s="1"/>
      <c r="AB3661" s="1"/>
      <c r="AF3661" s="1"/>
      <c r="AJ3661" s="1"/>
      <c r="AN3661" s="1"/>
      <c r="AS3661" s="1"/>
      <c r="AX3661" s="1"/>
    </row>
    <row r="3662" spans="1:50" x14ac:dyDescent="0.3">
      <c r="A3662" s="19">
        <f t="shared" si="289"/>
        <v>51041</v>
      </c>
      <c r="B3662">
        <f t="shared" ca="1" si="285"/>
        <v>-13.580555555555556</v>
      </c>
      <c r="C3662" t="str">
        <f ca="1">IF(currency="USD",'Future et co'!D3662,IF(currency="EUR",'Future et co'!E3662,IF(currency="GBP",'Future et co'!F3662,FALSE)))</f>
        <v>RFR USD</v>
      </c>
      <c r="D3662" t="str">
        <f t="shared" ca="1" si="286"/>
        <v>RFR USD</v>
      </c>
      <c r="E3662" t="str">
        <f t="shared" ca="1" si="287"/>
        <v>RFR EUR</v>
      </c>
      <c r="F3662" t="str">
        <f t="shared" ca="1" si="288"/>
        <v>RFR GBP</v>
      </c>
      <c r="J3662" s="1"/>
      <c r="N3662" s="1"/>
      <c r="R3662" s="1"/>
      <c r="V3662" s="1"/>
      <c r="AB3662" s="1"/>
      <c r="AF3662" s="1"/>
      <c r="AJ3662" s="1"/>
      <c r="AN3662" s="1"/>
      <c r="AS3662" s="1"/>
      <c r="AX3662" s="1"/>
    </row>
    <row r="3663" spans="1:50" x14ac:dyDescent="0.3">
      <c r="A3663" s="19">
        <f t="shared" si="289"/>
        <v>51042</v>
      </c>
      <c r="B3663">
        <f t="shared" ca="1" si="285"/>
        <v>-13.583333333333334</v>
      </c>
      <c r="C3663" t="str">
        <f ca="1">IF(currency="USD",'Future et co'!D3663,IF(currency="EUR",'Future et co'!E3663,IF(currency="GBP",'Future et co'!F3663,FALSE)))</f>
        <v>RFR USD</v>
      </c>
      <c r="D3663" t="str">
        <f t="shared" ca="1" si="286"/>
        <v>RFR USD</v>
      </c>
      <c r="E3663" t="str">
        <f t="shared" ca="1" si="287"/>
        <v>RFR EUR</v>
      </c>
      <c r="F3663" t="str">
        <f t="shared" ca="1" si="288"/>
        <v>RFR GBP</v>
      </c>
      <c r="J3663" s="1"/>
      <c r="N3663" s="1"/>
      <c r="R3663" s="1"/>
      <c r="V3663" s="1"/>
      <c r="AB3663" s="1"/>
      <c r="AF3663" s="1"/>
      <c r="AJ3663" s="1"/>
      <c r="AN3663" s="1"/>
      <c r="AS3663" s="1"/>
      <c r="AX3663" s="1"/>
    </row>
    <row r="3664" spans="1:50" x14ac:dyDescent="0.3">
      <c r="A3664" s="19">
        <f t="shared" si="289"/>
        <v>51043</v>
      </c>
      <c r="B3664">
        <f t="shared" ca="1" si="285"/>
        <v>-13.58611111111111</v>
      </c>
      <c r="C3664" t="str">
        <f ca="1">IF(currency="USD",'Future et co'!D3664,IF(currency="EUR",'Future et co'!E3664,IF(currency="GBP",'Future et co'!F3664,FALSE)))</f>
        <v>RFR USD</v>
      </c>
      <c r="D3664" t="str">
        <f t="shared" ca="1" si="286"/>
        <v>RFR USD</v>
      </c>
      <c r="E3664" t="str">
        <f t="shared" ca="1" si="287"/>
        <v>RFR EUR</v>
      </c>
      <c r="F3664" t="str">
        <f t="shared" ca="1" si="288"/>
        <v>RFR GBP</v>
      </c>
      <c r="J3664" s="1"/>
      <c r="N3664" s="1"/>
      <c r="R3664" s="1"/>
      <c r="V3664" s="1"/>
      <c r="AB3664" s="1"/>
      <c r="AF3664" s="1"/>
      <c r="AJ3664" s="1"/>
      <c r="AN3664" s="1"/>
      <c r="AS3664" s="1"/>
      <c r="AX3664" s="1"/>
    </row>
    <row r="3665" spans="1:50" x14ac:dyDescent="0.3">
      <c r="A3665" s="19">
        <f t="shared" si="289"/>
        <v>51046</v>
      </c>
      <c r="B3665">
        <f t="shared" ca="1" si="285"/>
        <v>-13.594444444444445</v>
      </c>
      <c r="C3665" t="str">
        <f ca="1">IF(currency="USD",'Future et co'!D3665,IF(currency="EUR",'Future et co'!E3665,IF(currency="GBP",'Future et co'!F3665,FALSE)))</f>
        <v>RFR USD</v>
      </c>
      <c r="D3665" t="str">
        <f t="shared" ca="1" si="286"/>
        <v>RFR USD</v>
      </c>
      <c r="E3665" t="str">
        <f t="shared" ca="1" si="287"/>
        <v>RFR EUR</v>
      </c>
      <c r="F3665" t="str">
        <f t="shared" ca="1" si="288"/>
        <v>RFR GBP</v>
      </c>
      <c r="J3665" s="1"/>
      <c r="N3665" s="1"/>
      <c r="R3665" s="1"/>
      <c r="V3665" s="1"/>
      <c r="AB3665" s="1"/>
      <c r="AF3665" s="1"/>
      <c r="AJ3665" s="1"/>
      <c r="AN3665" s="1"/>
      <c r="AS3665" s="1"/>
      <c r="AX3665" s="1"/>
    </row>
    <row r="3666" spans="1:50" x14ac:dyDescent="0.3">
      <c r="A3666" s="19">
        <f t="shared" si="289"/>
        <v>51047</v>
      </c>
      <c r="B3666">
        <f t="shared" ca="1" si="285"/>
        <v>-13.597222222222221</v>
      </c>
      <c r="C3666" t="str">
        <f ca="1">IF(currency="USD",'Future et co'!D3666,IF(currency="EUR",'Future et co'!E3666,IF(currency="GBP",'Future et co'!F3666,FALSE)))</f>
        <v>RFR USD</v>
      </c>
      <c r="D3666" t="str">
        <f t="shared" ca="1" si="286"/>
        <v>RFR USD</v>
      </c>
      <c r="E3666" t="str">
        <f t="shared" ca="1" si="287"/>
        <v>RFR EUR</v>
      </c>
      <c r="F3666" t="str">
        <f t="shared" ca="1" si="288"/>
        <v>RFR GBP</v>
      </c>
      <c r="J3666" s="1"/>
      <c r="N3666" s="1"/>
      <c r="R3666" s="1"/>
      <c r="V3666" s="1"/>
      <c r="AB3666" s="1"/>
      <c r="AF3666" s="1"/>
      <c r="AJ3666" s="1"/>
      <c r="AN3666" s="1"/>
      <c r="AS3666" s="1"/>
      <c r="AX3666" s="1"/>
    </row>
    <row r="3667" spans="1:50" x14ac:dyDescent="0.3">
      <c r="A3667" s="19">
        <f t="shared" si="289"/>
        <v>51048</v>
      </c>
      <c r="B3667">
        <f t="shared" ca="1" si="285"/>
        <v>-13.6</v>
      </c>
      <c r="C3667" t="str">
        <f ca="1">IF(currency="USD",'Future et co'!D3667,IF(currency="EUR",'Future et co'!E3667,IF(currency="GBP",'Future et co'!F3667,FALSE)))</f>
        <v>RFR USD</v>
      </c>
      <c r="D3667" t="str">
        <f t="shared" ca="1" si="286"/>
        <v>RFR USD</v>
      </c>
      <c r="E3667" t="str">
        <f t="shared" ca="1" si="287"/>
        <v>RFR EUR</v>
      </c>
      <c r="F3667" t="str">
        <f t="shared" ca="1" si="288"/>
        <v>RFR GBP</v>
      </c>
      <c r="J3667" s="1"/>
      <c r="N3667" s="1"/>
      <c r="R3667" s="1"/>
      <c r="V3667" s="1"/>
      <c r="AB3667" s="1"/>
      <c r="AF3667" s="1"/>
      <c r="AJ3667" s="1"/>
      <c r="AN3667" s="1"/>
      <c r="AS3667" s="1"/>
      <c r="AX3667" s="1"/>
    </row>
    <row r="3668" spans="1:50" x14ac:dyDescent="0.3">
      <c r="A3668" s="19">
        <f t="shared" si="289"/>
        <v>51049</v>
      </c>
      <c r="B3668">
        <f t="shared" ca="1" si="285"/>
        <v>-13.602777777777778</v>
      </c>
      <c r="C3668" t="str">
        <f ca="1">IF(currency="USD",'Future et co'!D3668,IF(currency="EUR",'Future et co'!E3668,IF(currency="GBP",'Future et co'!F3668,FALSE)))</f>
        <v>RFR USD</v>
      </c>
      <c r="D3668" t="str">
        <f t="shared" ca="1" si="286"/>
        <v>RFR USD</v>
      </c>
      <c r="E3668" t="str">
        <f t="shared" ca="1" si="287"/>
        <v>RFR EUR</v>
      </c>
      <c r="F3668" t="str">
        <f t="shared" ca="1" si="288"/>
        <v>RFR GBP</v>
      </c>
      <c r="J3668" s="1"/>
      <c r="N3668" s="1"/>
      <c r="R3668" s="1"/>
      <c r="V3668" s="1"/>
      <c r="AB3668" s="1"/>
      <c r="AF3668" s="1"/>
      <c r="AJ3668" s="1"/>
      <c r="AN3668" s="1"/>
      <c r="AS3668" s="1"/>
      <c r="AX3668" s="1"/>
    </row>
    <row r="3669" spans="1:50" x14ac:dyDescent="0.3">
      <c r="A3669" s="19">
        <f t="shared" si="289"/>
        <v>51050</v>
      </c>
      <c r="B3669">
        <f t="shared" ca="1" si="285"/>
        <v>-13.605555555555556</v>
      </c>
      <c r="C3669" t="str">
        <f ca="1">IF(currency="USD",'Future et co'!D3669,IF(currency="EUR",'Future et co'!E3669,IF(currency="GBP",'Future et co'!F3669,FALSE)))</f>
        <v>RFR USD</v>
      </c>
      <c r="D3669" t="str">
        <f t="shared" ca="1" si="286"/>
        <v>RFR USD</v>
      </c>
      <c r="E3669" t="str">
        <f t="shared" ca="1" si="287"/>
        <v>RFR EUR</v>
      </c>
      <c r="F3669" t="str">
        <f t="shared" ca="1" si="288"/>
        <v>RFR GBP</v>
      </c>
      <c r="J3669" s="1"/>
      <c r="N3669" s="1"/>
      <c r="R3669" s="1"/>
      <c r="V3669" s="1"/>
      <c r="AB3669" s="1"/>
      <c r="AF3669" s="1"/>
      <c r="AJ3669" s="1"/>
      <c r="AN3669" s="1"/>
      <c r="AS3669" s="1"/>
      <c r="AX3669" s="1"/>
    </row>
    <row r="3670" spans="1:50" x14ac:dyDescent="0.3">
      <c r="A3670" s="19">
        <f t="shared" si="289"/>
        <v>51053</v>
      </c>
      <c r="B3670">
        <f t="shared" ca="1" si="285"/>
        <v>-13.613888888888889</v>
      </c>
      <c r="C3670" t="str">
        <f ca="1">IF(currency="USD",'Future et co'!D3670,IF(currency="EUR",'Future et co'!E3670,IF(currency="GBP",'Future et co'!F3670,FALSE)))</f>
        <v>RFR USD</v>
      </c>
      <c r="D3670" t="str">
        <f t="shared" ca="1" si="286"/>
        <v>RFR USD</v>
      </c>
      <c r="E3670" t="str">
        <f t="shared" ca="1" si="287"/>
        <v>RFR EUR</v>
      </c>
      <c r="F3670" t="str">
        <f t="shared" ca="1" si="288"/>
        <v>RFR GBP</v>
      </c>
      <c r="J3670" s="1"/>
      <c r="N3670" s="1"/>
      <c r="R3670" s="1"/>
      <c r="V3670" s="1"/>
      <c r="AB3670" s="1"/>
      <c r="AF3670" s="1"/>
      <c r="AJ3670" s="1"/>
      <c r="AN3670" s="1"/>
      <c r="AS3670" s="1"/>
      <c r="AX3670" s="1"/>
    </row>
    <row r="3671" spans="1:50" x14ac:dyDescent="0.3">
      <c r="A3671" s="19">
        <f t="shared" si="289"/>
        <v>51054</v>
      </c>
      <c r="B3671">
        <f t="shared" ca="1" si="285"/>
        <v>-13.616666666666667</v>
      </c>
      <c r="C3671" t="str">
        <f ca="1">IF(currency="USD",'Future et co'!D3671,IF(currency="EUR",'Future et co'!E3671,IF(currency="GBP",'Future et co'!F3671,FALSE)))</f>
        <v>RFR USD</v>
      </c>
      <c r="D3671" t="str">
        <f t="shared" ca="1" si="286"/>
        <v>RFR USD</v>
      </c>
      <c r="E3671" t="str">
        <f t="shared" ca="1" si="287"/>
        <v>RFR EUR</v>
      </c>
      <c r="F3671" t="str">
        <f t="shared" ca="1" si="288"/>
        <v>RFR GBP</v>
      </c>
      <c r="J3671" s="1"/>
      <c r="N3671" s="1"/>
      <c r="R3671" s="1"/>
      <c r="V3671" s="1"/>
      <c r="AB3671" s="1"/>
      <c r="AF3671" s="1"/>
      <c r="AJ3671" s="1"/>
      <c r="AN3671" s="1"/>
      <c r="AS3671" s="1"/>
      <c r="AX3671" s="1"/>
    </row>
    <row r="3672" spans="1:50" x14ac:dyDescent="0.3">
      <c r="A3672" s="19">
        <f t="shared" si="289"/>
        <v>51055</v>
      </c>
      <c r="B3672">
        <f t="shared" ca="1" si="285"/>
        <v>-13.619444444444444</v>
      </c>
      <c r="C3672" t="str">
        <f ca="1">IF(currency="USD",'Future et co'!D3672,IF(currency="EUR",'Future et co'!E3672,IF(currency="GBP",'Future et co'!F3672,FALSE)))</f>
        <v>RFR USD</v>
      </c>
      <c r="D3672" t="str">
        <f t="shared" ca="1" si="286"/>
        <v>RFR USD</v>
      </c>
      <c r="E3672" t="str">
        <f t="shared" ca="1" si="287"/>
        <v>RFR EUR</v>
      </c>
      <c r="F3672" t="str">
        <f t="shared" ca="1" si="288"/>
        <v>RFR GBP</v>
      </c>
      <c r="J3672" s="1"/>
      <c r="N3672" s="1"/>
      <c r="R3672" s="1"/>
      <c r="V3672" s="1"/>
      <c r="AB3672" s="1"/>
      <c r="AF3672" s="1"/>
      <c r="AJ3672" s="1"/>
      <c r="AN3672" s="1"/>
      <c r="AS3672" s="1"/>
      <c r="AX3672" s="1"/>
    </row>
    <row r="3673" spans="1:50" x14ac:dyDescent="0.3">
      <c r="A3673" s="19">
        <f t="shared" si="289"/>
        <v>51056</v>
      </c>
      <c r="B3673">
        <f t="shared" ca="1" si="285"/>
        <v>-13.622222222222222</v>
      </c>
      <c r="C3673" t="str">
        <f ca="1">IF(currency="USD",'Future et co'!D3673,IF(currency="EUR",'Future et co'!E3673,IF(currency="GBP",'Future et co'!F3673,FALSE)))</f>
        <v>RFR USD</v>
      </c>
      <c r="D3673" t="str">
        <f t="shared" ca="1" si="286"/>
        <v>RFR USD</v>
      </c>
      <c r="E3673" t="str">
        <f t="shared" ca="1" si="287"/>
        <v>RFR EUR</v>
      </c>
      <c r="F3673" t="str">
        <f t="shared" ca="1" si="288"/>
        <v>RFR GBP</v>
      </c>
      <c r="J3673" s="1"/>
      <c r="N3673" s="1"/>
      <c r="R3673" s="1"/>
      <c r="V3673" s="1"/>
      <c r="AB3673" s="1"/>
      <c r="AF3673" s="1"/>
      <c r="AJ3673" s="1"/>
      <c r="AN3673" s="1"/>
      <c r="AS3673" s="1"/>
      <c r="AX3673" s="1"/>
    </row>
    <row r="3674" spans="1:50" x14ac:dyDescent="0.3">
      <c r="A3674" s="19">
        <f t="shared" si="289"/>
        <v>51057</v>
      </c>
      <c r="B3674">
        <f t="shared" ca="1" si="285"/>
        <v>-13.625</v>
      </c>
      <c r="C3674" t="str">
        <f ca="1">IF(currency="USD",'Future et co'!D3674,IF(currency="EUR",'Future et co'!E3674,IF(currency="GBP",'Future et co'!F3674,FALSE)))</f>
        <v>RFR USD</v>
      </c>
      <c r="D3674" t="str">
        <f t="shared" ca="1" si="286"/>
        <v>RFR USD</v>
      </c>
      <c r="E3674" t="str">
        <f t="shared" ca="1" si="287"/>
        <v>RFR EUR</v>
      </c>
      <c r="F3674" t="str">
        <f t="shared" ca="1" si="288"/>
        <v>RFR GBP</v>
      </c>
      <c r="J3674" s="1"/>
      <c r="N3674" s="1"/>
      <c r="R3674" s="1"/>
      <c r="V3674" s="1"/>
      <c r="AB3674" s="1"/>
      <c r="AF3674" s="1"/>
      <c r="AJ3674" s="1"/>
      <c r="AN3674" s="1"/>
      <c r="AS3674" s="1"/>
      <c r="AX3674" s="1"/>
    </row>
    <row r="3675" spans="1:50" x14ac:dyDescent="0.3">
      <c r="A3675" s="19">
        <f t="shared" si="289"/>
        <v>51060</v>
      </c>
      <c r="B3675">
        <f t="shared" ca="1" si="285"/>
        <v>-13.633333333333333</v>
      </c>
      <c r="C3675" t="str">
        <f ca="1">IF(currency="USD",'Future et co'!D3675,IF(currency="EUR",'Future et co'!E3675,IF(currency="GBP",'Future et co'!F3675,FALSE)))</f>
        <v>RFR USD</v>
      </c>
      <c r="D3675" t="str">
        <f t="shared" ca="1" si="286"/>
        <v>RFR USD</v>
      </c>
      <c r="E3675" t="str">
        <f t="shared" ca="1" si="287"/>
        <v>RFR EUR</v>
      </c>
      <c r="F3675" t="str">
        <f t="shared" ca="1" si="288"/>
        <v>RFR GBP</v>
      </c>
      <c r="J3675" s="1"/>
      <c r="N3675" s="1"/>
      <c r="R3675" s="1"/>
      <c r="V3675" s="1"/>
      <c r="AB3675" s="1"/>
      <c r="AF3675" s="1"/>
      <c r="AJ3675" s="1"/>
      <c r="AN3675" s="1"/>
      <c r="AS3675" s="1"/>
      <c r="AX3675" s="1"/>
    </row>
    <row r="3676" spans="1:50" x14ac:dyDescent="0.3">
      <c r="A3676" s="19">
        <f t="shared" si="289"/>
        <v>51061</v>
      </c>
      <c r="B3676">
        <f t="shared" ca="1" si="285"/>
        <v>-13.636111111111111</v>
      </c>
      <c r="C3676" t="str">
        <f ca="1">IF(currency="USD",'Future et co'!D3676,IF(currency="EUR",'Future et co'!E3676,IF(currency="GBP",'Future et co'!F3676,FALSE)))</f>
        <v>RFR USD</v>
      </c>
      <c r="D3676" t="str">
        <f t="shared" ca="1" si="286"/>
        <v>RFR USD</v>
      </c>
      <c r="E3676" t="str">
        <f t="shared" ca="1" si="287"/>
        <v>RFR EUR</v>
      </c>
      <c r="F3676" t="str">
        <f t="shared" ca="1" si="288"/>
        <v>RFR GBP</v>
      </c>
      <c r="J3676" s="1"/>
      <c r="N3676" s="1"/>
      <c r="R3676" s="1"/>
      <c r="V3676" s="1"/>
      <c r="AB3676" s="1"/>
      <c r="AF3676" s="1"/>
      <c r="AJ3676" s="1"/>
      <c r="AN3676" s="1"/>
      <c r="AS3676" s="1"/>
      <c r="AX3676" s="1"/>
    </row>
    <row r="3677" spans="1:50" x14ac:dyDescent="0.3">
      <c r="A3677" s="19">
        <f t="shared" si="289"/>
        <v>51062</v>
      </c>
      <c r="B3677">
        <f t="shared" ca="1" si="285"/>
        <v>-13.638888888888889</v>
      </c>
      <c r="C3677" t="str">
        <f ca="1">IF(currency="USD",'Future et co'!D3677,IF(currency="EUR",'Future et co'!E3677,IF(currency="GBP",'Future et co'!F3677,FALSE)))</f>
        <v>RFR USD</v>
      </c>
      <c r="D3677" t="str">
        <f t="shared" ca="1" si="286"/>
        <v>RFR USD</v>
      </c>
      <c r="E3677" t="str">
        <f t="shared" ca="1" si="287"/>
        <v>RFR EUR</v>
      </c>
      <c r="F3677" t="str">
        <f t="shared" ca="1" si="288"/>
        <v>RFR GBP</v>
      </c>
      <c r="J3677" s="1"/>
      <c r="N3677" s="1"/>
      <c r="R3677" s="1"/>
      <c r="V3677" s="1"/>
      <c r="AB3677" s="1"/>
      <c r="AF3677" s="1"/>
      <c r="AJ3677" s="1"/>
      <c r="AN3677" s="1"/>
      <c r="AS3677" s="1"/>
      <c r="AX3677" s="1"/>
    </row>
    <row r="3678" spans="1:50" x14ac:dyDescent="0.3">
      <c r="A3678" s="19">
        <f t="shared" si="289"/>
        <v>51063</v>
      </c>
      <c r="B3678">
        <f t="shared" ca="1" si="285"/>
        <v>-13.641666666666667</v>
      </c>
      <c r="C3678" t="str">
        <f ca="1">IF(currency="USD",'Future et co'!D3678,IF(currency="EUR",'Future et co'!E3678,IF(currency="GBP",'Future et co'!F3678,FALSE)))</f>
        <v>RFR USD</v>
      </c>
      <c r="D3678" t="str">
        <f t="shared" ca="1" si="286"/>
        <v>RFR USD</v>
      </c>
      <c r="E3678" t="str">
        <f t="shared" ca="1" si="287"/>
        <v>RFR EUR</v>
      </c>
      <c r="F3678" t="str">
        <f t="shared" ca="1" si="288"/>
        <v>RFR GBP</v>
      </c>
      <c r="J3678" s="1"/>
      <c r="N3678" s="1"/>
      <c r="R3678" s="1"/>
      <c r="V3678" s="1"/>
      <c r="AB3678" s="1"/>
      <c r="AF3678" s="1"/>
      <c r="AJ3678" s="1"/>
      <c r="AN3678" s="1"/>
      <c r="AS3678" s="1"/>
      <c r="AX3678" s="1"/>
    </row>
    <row r="3679" spans="1:50" x14ac:dyDescent="0.3">
      <c r="A3679" s="19">
        <f t="shared" si="289"/>
        <v>51064</v>
      </c>
      <c r="B3679">
        <f t="shared" ca="1" si="285"/>
        <v>-13.644444444444444</v>
      </c>
      <c r="C3679" t="str">
        <f ca="1">IF(currency="USD",'Future et co'!D3679,IF(currency="EUR",'Future et co'!E3679,IF(currency="GBP",'Future et co'!F3679,FALSE)))</f>
        <v>RFR USD</v>
      </c>
      <c r="D3679" t="str">
        <f t="shared" ca="1" si="286"/>
        <v>RFR USD</v>
      </c>
      <c r="E3679" t="str">
        <f t="shared" ca="1" si="287"/>
        <v>RFR EUR</v>
      </c>
      <c r="F3679" t="str">
        <f t="shared" ca="1" si="288"/>
        <v>RFR GBP</v>
      </c>
      <c r="J3679" s="1"/>
      <c r="N3679" s="1"/>
      <c r="R3679" s="1"/>
      <c r="V3679" s="1"/>
      <c r="AB3679" s="1"/>
      <c r="AF3679" s="1"/>
      <c r="AJ3679" s="1"/>
      <c r="AN3679" s="1"/>
      <c r="AS3679" s="1"/>
      <c r="AX3679" s="1"/>
    </row>
    <row r="3680" spans="1:50" x14ac:dyDescent="0.3">
      <c r="A3680" s="19">
        <f t="shared" si="289"/>
        <v>51067</v>
      </c>
      <c r="B3680">
        <f t="shared" ca="1" si="285"/>
        <v>-13.652777777777779</v>
      </c>
      <c r="C3680" t="str">
        <f ca="1">IF(currency="USD",'Future et co'!D3680,IF(currency="EUR",'Future et co'!E3680,IF(currency="GBP",'Future et co'!F3680,FALSE)))</f>
        <v>RFR USD</v>
      </c>
      <c r="D3680" t="str">
        <f t="shared" ca="1" si="286"/>
        <v>RFR USD</v>
      </c>
      <c r="E3680" t="str">
        <f t="shared" ca="1" si="287"/>
        <v>RFR EUR</v>
      </c>
      <c r="F3680" t="str">
        <f t="shared" ca="1" si="288"/>
        <v>RFR GBP</v>
      </c>
      <c r="J3680" s="1"/>
      <c r="N3680" s="1"/>
      <c r="R3680" s="1"/>
      <c r="V3680" s="1"/>
      <c r="AB3680" s="1"/>
      <c r="AF3680" s="1"/>
      <c r="AJ3680" s="1"/>
      <c r="AN3680" s="1"/>
      <c r="AS3680" s="1"/>
      <c r="AX3680" s="1"/>
    </row>
    <row r="3681" spans="1:50" x14ac:dyDescent="0.3">
      <c r="A3681" s="19">
        <f t="shared" si="289"/>
        <v>51068</v>
      </c>
      <c r="B3681">
        <f t="shared" ca="1" si="285"/>
        <v>-13.655555555555555</v>
      </c>
      <c r="C3681" t="str">
        <f ca="1">IF(currency="USD",'Future et co'!D3681,IF(currency="EUR",'Future et co'!E3681,IF(currency="GBP",'Future et co'!F3681,FALSE)))</f>
        <v>RFR USD</v>
      </c>
      <c r="D3681" t="str">
        <f t="shared" ca="1" si="286"/>
        <v>RFR USD</v>
      </c>
      <c r="E3681" t="str">
        <f t="shared" ca="1" si="287"/>
        <v>RFR EUR</v>
      </c>
      <c r="F3681" t="str">
        <f t="shared" ca="1" si="288"/>
        <v>RFR GBP</v>
      </c>
      <c r="J3681" s="1"/>
      <c r="N3681" s="1"/>
      <c r="R3681" s="1"/>
      <c r="V3681" s="1"/>
      <c r="AB3681" s="1"/>
      <c r="AF3681" s="1"/>
      <c r="AJ3681" s="1"/>
      <c r="AN3681" s="1"/>
      <c r="AS3681" s="1"/>
      <c r="AX3681" s="1"/>
    </row>
    <row r="3682" spans="1:50" x14ac:dyDescent="0.3">
      <c r="A3682" s="19">
        <f t="shared" si="289"/>
        <v>51069</v>
      </c>
      <c r="B3682">
        <f t="shared" ca="1" si="285"/>
        <v>-13.658333333333333</v>
      </c>
      <c r="C3682" t="str">
        <f ca="1">IF(currency="USD",'Future et co'!D3682,IF(currency="EUR",'Future et co'!E3682,IF(currency="GBP",'Future et co'!F3682,FALSE)))</f>
        <v>RFR USD</v>
      </c>
      <c r="D3682" t="str">
        <f t="shared" ca="1" si="286"/>
        <v>RFR USD</v>
      </c>
      <c r="E3682" t="str">
        <f t="shared" ca="1" si="287"/>
        <v>RFR EUR</v>
      </c>
      <c r="F3682" t="str">
        <f t="shared" ca="1" si="288"/>
        <v>RFR GBP</v>
      </c>
      <c r="J3682" s="1"/>
      <c r="N3682" s="1"/>
      <c r="R3682" s="1"/>
      <c r="V3682" s="1"/>
      <c r="AB3682" s="1"/>
      <c r="AF3682" s="1"/>
      <c r="AJ3682" s="1"/>
      <c r="AN3682" s="1"/>
      <c r="AS3682" s="1"/>
      <c r="AX3682" s="1"/>
    </row>
    <row r="3683" spans="1:50" x14ac:dyDescent="0.3">
      <c r="A3683" s="19">
        <f t="shared" si="289"/>
        <v>51070</v>
      </c>
      <c r="B3683">
        <f t="shared" ca="1" si="285"/>
        <v>-13.661111111111111</v>
      </c>
      <c r="C3683" t="str">
        <f ca="1">IF(currency="USD",'Future et co'!D3683,IF(currency="EUR",'Future et co'!E3683,IF(currency="GBP",'Future et co'!F3683,FALSE)))</f>
        <v>RFR USD</v>
      </c>
      <c r="D3683" t="str">
        <f t="shared" ca="1" si="286"/>
        <v>RFR USD</v>
      </c>
      <c r="E3683" t="str">
        <f t="shared" ca="1" si="287"/>
        <v>RFR EUR</v>
      </c>
      <c r="F3683" t="str">
        <f t="shared" ca="1" si="288"/>
        <v>RFR GBP</v>
      </c>
      <c r="J3683" s="1"/>
      <c r="N3683" s="1"/>
      <c r="R3683" s="1"/>
      <c r="V3683" s="1"/>
      <c r="AB3683" s="1"/>
      <c r="AF3683" s="1"/>
      <c r="AJ3683" s="1"/>
      <c r="AN3683" s="1"/>
      <c r="AS3683" s="1"/>
      <c r="AX3683" s="1"/>
    </row>
    <row r="3684" spans="1:50" x14ac:dyDescent="0.3">
      <c r="A3684" s="19">
        <f t="shared" si="289"/>
        <v>51071</v>
      </c>
      <c r="B3684">
        <f t="shared" ca="1" si="285"/>
        <v>-13.66388888888889</v>
      </c>
      <c r="C3684" t="str">
        <f ca="1">IF(currency="USD",'Future et co'!D3684,IF(currency="EUR",'Future et co'!E3684,IF(currency="GBP",'Future et co'!F3684,FALSE)))</f>
        <v>RFR USD</v>
      </c>
      <c r="D3684" t="str">
        <f t="shared" ca="1" si="286"/>
        <v>RFR USD</v>
      </c>
      <c r="E3684" t="str">
        <f t="shared" ca="1" si="287"/>
        <v>RFR EUR</v>
      </c>
      <c r="F3684" t="str">
        <f t="shared" ca="1" si="288"/>
        <v>RFR GBP</v>
      </c>
      <c r="J3684" s="1"/>
      <c r="N3684" s="1"/>
      <c r="R3684" s="1"/>
      <c r="V3684" s="1"/>
      <c r="AB3684" s="1"/>
      <c r="AF3684" s="1"/>
      <c r="AJ3684" s="1"/>
      <c r="AN3684" s="1"/>
      <c r="AS3684" s="1"/>
      <c r="AX3684" s="1"/>
    </row>
    <row r="3685" spans="1:50" x14ac:dyDescent="0.3">
      <c r="A3685" s="19">
        <f t="shared" si="289"/>
        <v>51074</v>
      </c>
      <c r="B3685">
        <f t="shared" ca="1" si="285"/>
        <v>-13.672222222222222</v>
      </c>
      <c r="C3685" t="str">
        <f ca="1">IF(currency="USD",'Future et co'!D3685,IF(currency="EUR",'Future et co'!E3685,IF(currency="GBP",'Future et co'!F3685,FALSE)))</f>
        <v>RFR USD</v>
      </c>
      <c r="D3685" t="str">
        <f t="shared" ca="1" si="286"/>
        <v>RFR USD</v>
      </c>
      <c r="E3685" t="str">
        <f t="shared" ca="1" si="287"/>
        <v>RFR EUR</v>
      </c>
      <c r="F3685" t="str">
        <f t="shared" ca="1" si="288"/>
        <v>RFR GBP</v>
      </c>
      <c r="J3685" s="1"/>
      <c r="N3685" s="1"/>
      <c r="R3685" s="1"/>
      <c r="V3685" s="1"/>
      <c r="AB3685" s="1"/>
      <c r="AF3685" s="1"/>
      <c r="AJ3685" s="1"/>
      <c r="AN3685" s="1"/>
      <c r="AS3685" s="1"/>
      <c r="AX3685" s="1"/>
    </row>
    <row r="3686" spans="1:50" x14ac:dyDescent="0.3">
      <c r="A3686" s="19">
        <f t="shared" si="289"/>
        <v>51075</v>
      </c>
      <c r="B3686">
        <f t="shared" ca="1" si="285"/>
        <v>-13.675000000000001</v>
      </c>
      <c r="C3686" t="str">
        <f ca="1">IF(currency="USD",'Future et co'!D3686,IF(currency="EUR",'Future et co'!E3686,IF(currency="GBP",'Future et co'!F3686,FALSE)))</f>
        <v>RFR USD</v>
      </c>
      <c r="D3686" t="str">
        <f t="shared" ca="1" si="286"/>
        <v>RFR USD</v>
      </c>
      <c r="E3686" t="str">
        <f t="shared" ca="1" si="287"/>
        <v>RFR EUR</v>
      </c>
      <c r="F3686" t="str">
        <f t="shared" ca="1" si="288"/>
        <v>RFR GBP</v>
      </c>
      <c r="J3686" s="1"/>
      <c r="N3686" s="1"/>
      <c r="R3686" s="1"/>
      <c r="V3686" s="1"/>
      <c r="AB3686" s="1"/>
      <c r="AF3686" s="1"/>
      <c r="AJ3686" s="1"/>
      <c r="AN3686" s="1"/>
      <c r="AS3686" s="1"/>
      <c r="AX3686" s="1"/>
    </row>
    <row r="3687" spans="1:50" x14ac:dyDescent="0.3">
      <c r="A3687" s="19">
        <f t="shared" si="289"/>
        <v>51076</v>
      </c>
      <c r="B3687">
        <f t="shared" ca="1" si="285"/>
        <v>-13.677777777777777</v>
      </c>
      <c r="C3687" t="str">
        <f ca="1">IF(currency="USD",'Future et co'!D3687,IF(currency="EUR",'Future et co'!E3687,IF(currency="GBP",'Future et co'!F3687,FALSE)))</f>
        <v>RFR USD</v>
      </c>
      <c r="D3687" t="str">
        <f t="shared" ca="1" si="286"/>
        <v>RFR USD</v>
      </c>
      <c r="E3687" t="str">
        <f t="shared" ca="1" si="287"/>
        <v>RFR EUR</v>
      </c>
      <c r="F3687" t="str">
        <f t="shared" ca="1" si="288"/>
        <v>RFR GBP</v>
      </c>
      <c r="J3687" s="1"/>
      <c r="N3687" s="1"/>
      <c r="R3687" s="1"/>
      <c r="V3687" s="1"/>
      <c r="AB3687" s="1"/>
      <c r="AF3687" s="1"/>
      <c r="AJ3687" s="1"/>
      <c r="AN3687" s="1"/>
      <c r="AS3687" s="1"/>
      <c r="AX3687" s="1"/>
    </row>
    <row r="3688" spans="1:50" x14ac:dyDescent="0.3">
      <c r="A3688" s="19">
        <f t="shared" si="289"/>
        <v>51077</v>
      </c>
      <c r="B3688">
        <f t="shared" ca="1" si="285"/>
        <v>-13.680555555555555</v>
      </c>
      <c r="C3688" t="str">
        <f ca="1">IF(currency="USD",'Future et co'!D3688,IF(currency="EUR",'Future et co'!E3688,IF(currency="GBP",'Future et co'!F3688,FALSE)))</f>
        <v>RFR USD</v>
      </c>
      <c r="D3688" t="str">
        <f t="shared" ca="1" si="286"/>
        <v>RFR USD</v>
      </c>
      <c r="E3688" t="str">
        <f t="shared" ca="1" si="287"/>
        <v>RFR EUR</v>
      </c>
      <c r="F3688" t="str">
        <f t="shared" ca="1" si="288"/>
        <v>RFR GBP</v>
      </c>
      <c r="J3688" s="1"/>
      <c r="N3688" s="1"/>
      <c r="R3688" s="1"/>
      <c r="V3688" s="1"/>
      <c r="AB3688" s="1"/>
      <c r="AF3688" s="1"/>
      <c r="AJ3688" s="1"/>
      <c r="AN3688" s="1"/>
      <c r="AS3688" s="1"/>
      <c r="AX3688" s="1"/>
    </row>
    <row r="3689" spans="1:50" x14ac:dyDescent="0.3">
      <c r="A3689" s="19">
        <f t="shared" si="289"/>
        <v>51078</v>
      </c>
      <c r="B3689">
        <f t="shared" ca="1" si="285"/>
        <v>-13.683333333333334</v>
      </c>
      <c r="C3689" t="str">
        <f ca="1">IF(currency="USD",'Future et co'!D3689,IF(currency="EUR",'Future et co'!E3689,IF(currency="GBP",'Future et co'!F3689,FALSE)))</f>
        <v>RFR USD</v>
      </c>
      <c r="D3689" t="str">
        <f t="shared" ca="1" si="286"/>
        <v>RFR USD</v>
      </c>
      <c r="E3689" t="str">
        <f t="shared" ca="1" si="287"/>
        <v>RFR EUR</v>
      </c>
      <c r="F3689" t="str">
        <f t="shared" ca="1" si="288"/>
        <v>RFR GBP</v>
      </c>
      <c r="J3689" s="1"/>
      <c r="N3689" s="1"/>
      <c r="R3689" s="1"/>
      <c r="V3689" s="1"/>
      <c r="AB3689" s="1"/>
      <c r="AF3689" s="1"/>
      <c r="AJ3689" s="1"/>
      <c r="AN3689" s="1"/>
      <c r="AS3689" s="1"/>
      <c r="AX3689" s="1"/>
    </row>
    <row r="3690" spans="1:50" x14ac:dyDescent="0.3">
      <c r="A3690" s="19">
        <f t="shared" si="289"/>
        <v>51081</v>
      </c>
      <c r="B3690">
        <f t="shared" ca="1" si="285"/>
        <v>-13.691666666666666</v>
      </c>
      <c r="C3690" t="str">
        <f ca="1">IF(currency="USD",'Future et co'!D3690,IF(currency="EUR",'Future et co'!E3690,IF(currency="GBP",'Future et co'!F3690,FALSE)))</f>
        <v>RFR USD</v>
      </c>
      <c r="D3690" t="str">
        <f t="shared" ca="1" si="286"/>
        <v>RFR USD</v>
      </c>
      <c r="E3690" t="str">
        <f t="shared" ca="1" si="287"/>
        <v>RFR EUR</v>
      </c>
      <c r="F3690" t="str">
        <f t="shared" ca="1" si="288"/>
        <v>RFR GBP</v>
      </c>
      <c r="J3690" s="1"/>
      <c r="N3690" s="1"/>
      <c r="R3690" s="1"/>
      <c r="V3690" s="1"/>
      <c r="AB3690" s="1"/>
      <c r="AF3690" s="1"/>
      <c r="AJ3690" s="1"/>
      <c r="AN3690" s="1"/>
      <c r="AS3690" s="1"/>
      <c r="AX3690" s="1"/>
    </row>
    <row r="3691" spans="1:50" x14ac:dyDescent="0.3">
      <c r="A3691" s="19">
        <f t="shared" si="289"/>
        <v>51082</v>
      </c>
      <c r="B3691">
        <f t="shared" ca="1" si="285"/>
        <v>-13.694444444444445</v>
      </c>
      <c r="C3691" t="str">
        <f ca="1">IF(currency="USD",'Future et co'!D3691,IF(currency="EUR",'Future et co'!E3691,IF(currency="GBP",'Future et co'!F3691,FALSE)))</f>
        <v>RFR USD</v>
      </c>
      <c r="D3691" t="str">
        <f t="shared" ca="1" si="286"/>
        <v>RFR USD</v>
      </c>
      <c r="E3691" t="str">
        <f t="shared" ca="1" si="287"/>
        <v>RFR EUR</v>
      </c>
      <c r="F3691" t="str">
        <f t="shared" ca="1" si="288"/>
        <v>RFR GBP</v>
      </c>
      <c r="J3691" s="1"/>
      <c r="N3691" s="1"/>
      <c r="R3691" s="1"/>
      <c r="V3691" s="1"/>
      <c r="AB3691" s="1"/>
      <c r="AF3691" s="1"/>
      <c r="AJ3691" s="1"/>
      <c r="AN3691" s="1"/>
      <c r="AS3691" s="1"/>
      <c r="AX3691" s="1"/>
    </row>
    <row r="3692" spans="1:50" x14ac:dyDescent="0.3">
      <c r="A3692" s="19">
        <f t="shared" si="289"/>
        <v>51083</v>
      </c>
      <c r="B3692">
        <f t="shared" ca="1" si="285"/>
        <v>-13.697222222222223</v>
      </c>
      <c r="C3692" t="str">
        <f ca="1">IF(currency="USD",'Future et co'!D3692,IF(currency="EUR",'Future et co'!E3692,IF(currency="GBP",'Future et co'!F3692,FALSE)))</f>
        <v>RFR USD</v>
      </c>
      <c r="D3692" t="str">
        <f t="shared" ca="1" si="286"/>
        <v>RFR USD</v>
      </c>
      <c r="E3692" t="str">
        <f t="shared" ca="1" si="287"/>
        <v>RFR EUR</v>
      </c>
      <c r="F3692" t="str">
        <f t="shared" ca="1" si="288"/>
        <v>RFR GBP</v>
      </c>
      <c r="J3692" s="1"/>
      <c r="N3692" s="1"/>
      <c r="R3692" s="1"/>
      <c r="V3692" s="1"/>
      <c r="AB3692" s="1"/>
      <c r="AF3692" s="1"/>
      <c r="AJ3692" s="1"/>
      <c r="AN3692" s="1"/>
      <c r="AS3692" s="1"/>
      <c r="AX3692" s="1"/>
    </row>
    <row r="3693" spans="1:50" x14ac:dyDescent="0.3">
      <c r="A3693" s="19">
        <f t="shared" si="289"/>
        <v>51084</v>
      </c>
      <c r="B3693">
        <f t="shared" ca="1" si="285"/>
        <v>-13.7</v>
      </c>
      <c r="C3693" t="str">
        <f ca="1">IF(currency="USD",'Future et co'!D3693,IF(currency="EUR",'Future et co'!E3693,IF(currency="GBP",'Future et co'!F3693,FALSE)))</f>
        <v>RFR USD</v>
      </c>
      <c r="D3693" t="str">
        <f t="shared" ca="1" si="286"/>
        <v>RFR USD</v>
      </c>
      <c r="E3693" t="str">
        <f t="shared" ca="1" si="287"/>
        <v>RFR EUR</v>
      </c>
      <c r="F3693" t="str">
        <f t="shared" ca="1" si="288"/>
        <v>RFR GBP</v>
      </c>
      <c r="J3693" s="1"/>
      <c r="N3693" s="1"/>
      <c r="R3693" s="1"/>
      <c r="V3693" s="1"/>
      <c r="AB3693" s="1"/>
      <c r="AF3693" s="1"/>
      <c r="AJ3693" s="1"/>
      <c r="AN3693" s="1"/>
      <c r="AS3693" s="1"/>
      <c r="AX3693" s="1"/>
    </row>
    <row r="3694" spans="1:50" x14ac:dyDescent="0.3">
      <c r="A3694" s="19">
        <f t="shared" si="289"/>
        <v>51085</v>
      </c>
      <c r="B3694">
        <f t="shared" ca="1" si="285"/>
        <v>-13.702777777777778</v>
      </c>
      <c r="C3694" t="str">
        <f ca="1">IF(currency="USD",'Future et co'!D3694,IF(currency="EUR",'Future et co'!E3694,IF(currency="GBP",'Future et co'!F3694,FALSE)))</f>
        <v>RFR USD</v>
      </c>
      <c r="D3694" t="str">
        <f t="shared" ca="1" si="286"/>
        <v>RFR USD</v>
      </c>
      <c r="E3694" t="str">
        <f t="shared" ca="1" si="287"/>
        <v>RFR EUR</v>
      </c>
      <c r="F3694" t="str">
        <f t="shared" ca="1" si="288"/>
        <v>RFR GBP</v>
      </c>
      <c r="J3694" s="1"/>
      <c r="N3694" s="1"/>
      <c r="R3694" s="1"/>
      <c r="V3694" s="1"/>
      <c r="AB3694" s="1"/>
      <c r="AF3694" s="1"/>
      <c r="AJ3694" s="1"/>
      <c r="AN3694" s="1"/>
      <c r="AS3694" s="1"/>
      <c r="AX3694" s="1"/>
    </row>
    <row r="3695" spans="1:50" x14ac:dyDescent="0.3">
      <c r="A3695" s="19">
        <f t="shared" si="289"/>
        <v>51088</v>
      </c>
      <c r="B3695">
        <f t="shared" ca="1" si="285"/>
        <v>-13.71111111111111</v>
      </c>
      <c r="C3695" t="str">
        <f ca="1">IF(currency="USD",'Future et co'!D3695,IF(currency="EUR",'Future et co'!E3695,IF(currency="GBP",'Future et co'!F3695,FALSE)))</f>
        <v>RFR USD</v>
      </c>
      <c r="D3695" t="str">
        <f t="shared" ca="1" si="286"/>
        <v>RFR USD</v>
      </c>
      <c r="E3695" t="str">
        <f t="shared" ca="1" si="287"/>
        <v>RFR EUR</v>
      </c>
      <c r="F3695" t="str">
        <f t="shared" ca="1" si="288"/>
        <v>RFR GBP</v>
      </c>
      <c r="J3695" s="1"/>
      <c r="N3695" s="1"/>
      <c r="R3695" s="1"/>
      <c r="V3695" s="1"/>
      <c r="AB3695" s="1"/>
      <c r="AF3695" s="1"/>
      <c r="AJ3695" s="1"/>
      <c r="AN3695" s="1"/>
      <c r="AS3695" s="1"/>
      <c r="AX3695" s="1"/>
    </row>
    <row r="3696" spans="1:50" x14ac:dyDescent="0.3">
      <c r="A3696" s="19">
        <f t="shared" si="289"/>
        <v>51089</v>
      </c>
      <c r="B3696">
        <f t="shared" ca="1" si="285"/>
        <v>-13.713888888888889</v>
      </c>
      <c r="C3696" t="str">
        <f ca="1">IF(currency="USD",'Future et co'!D3696,IF(currency="EUR",'Future et co'!E3696,IF(currency="GBP",'Future et co'!F3696,FALSE)))</f>
        <v>RFR USD</v>
      </c>
      <c r="D3696" t="str">
        <f t="shared" ca="1" si="286"/>
        <v>RFR USD</v>
      </c>
      <c r="E3696" t="str">
        <f t="shared" ca="1" si="287"/>
        <v>RFR EUR</v>
      </c>
      <c r="F3696" t="str">
        <f t="shared" ca="1" si="288"/>
        <v>RFR GBP</v>
      </c>
      <c r="J3696" s="1"/>
      <c r="N3696" s="1"/>
      <c r="R3696" s="1"/>
      <c r="V3696" s="1"/>
      <c r="AB3696" s="1"/>
      <c r="AF3696" s="1"/>
      <c r="AJ3696" s="1"/>
      <c r="AN3696" s="1"/>
      <c r="AS3696" s="1"/>
      <c r="AX3696" s="1"/>
    </row>
    <row r="3697" spans="1:50" x14ac:dyDescent="0.3">
      <c r="A3697" s="19">
        <f t="shared" si="289"/>
        <v>51090</v>
      </c>
      <c r="B3697">
        <f t="shared" ca="1" si="285"/>
        <v>-13.716666666666667</v>
      </c>
      <c r="C3697" t="str">
        <f ca="1">IF(currency="USD",'Future et co'!D3697,IF(currency="EUR",'Future et co'!E3697,IF(currency="GBP",'Future et co'!F3697,FALSE)))</f>
        <v>RFR USD</v>
      </c>
      <c r="D3697" t="str">
        <f t="shared" ca="1" si="286"/>
        <v>RFR USD</v>
      </c>
      <c r="E3697" t="str">
        <f t="shared" ca="1" si="287"/>
        <v>RFR EUR</v>
      </c>
      <c r="F3697" t="str">
        <f t="shared" ca="1" si="288"/>
        <v>RFR GBP</v>
      </c>
      <c r="J3697" s="1"/>
      <c r="N3697" s="1"/>
      <c r="R3697" s="1"/>
      <c r="V3697" s="1"/>
      <c r="AB3697" s="1"/>
      <c r="AF3697" s="1"/>
      <c r="AJ3697" s="1"/>
      <c r="AN3697" s="1"/>
      <c r="AS3697" s="1"/>
      <c r="AX3697" s="1"/>
    </row>
    <row r="3698" spans="1:50" x14ac:dyDescent="0.3">
      <c r="A3698" s="19">
        <f t="shared" si="289"/>
        <v>51091</v>
      </c>
      <c r="B3698">
        <f t="shared" ca="1" si="285"/>
        <v>-13.719444444444445</v>
      </c>
      <c r="C3698" t="str">
        <f ca="1">IF(currency="USD",'Future et co'!D3698,IF(currency="EUR",'Future et co'!E3698,IF(currency="GBP",'Future et co'!F3698,FALSE)))</f>
        <v>RFR USD</v>
      </c>
      <c r="D3698" t="str">
        <f t="shared" ca="1" si="286"/>
        <v>RFR USD</v>
      </c>
      <c r="E3698" t="str">
        <f t="shared" ca="1" si="287"/>
        <v>RFR EUR</v>
      </c>
      <c r="F3698" t="str">
        <f t="shared" ca="1" si="288"/>
        <v>RFR GBP</v>
      </c>
      <c r="J3698" s="1"/>
      <c r="N3698" s="1"/>
      <c r="R3698" s="1"/>
      <c r="V3698" s="1"/>
      <c r="AB3698" s="1"/>
      <c r="AF3698" s="1"/>
      <c r="AJ3698" s="1"/>
      <c r="AN3698" s="1"/>
      <c r="AS3698" s="1"/>
      <c r="AX3698" s="1"/>
    </row>
    <row r="3699" spans="1:50" x14ac:dyDescent="0.3">
      <c r="A3699" s="19">
        <f t="shared" si="289"/>
        <v>51092</v>
      </c>
      <c r="B3699">
        <f t="shared" ca="1" si="285"/>
        <v>-13.722222222222221</v>
      </c>
      <c r="C3699" t="str">
        <f ca="1">IF(currency="USD",'Future et co'!D3699,IF(currency="EUR",'Future et co'!E3699,IF(currency="GBP",'Future et co'!F3699,FALSE)))</f>
        <v>RFR USD</v>
      </c>
      <c r="D3699" t="str">
        <f t="shared" ca="1" si="286"/>
        <v>RFR USD</v>
      </c>
      <c r="E3699" t="str">
        <f t="shared" ca="1" si="287"/>
        <v>RFR EUR</v>
      </c>
      <c r="F3699" t="str">
        <f t="shared" ca="1" si="288"/>
        <v>RFR GBP</v>
      </c>
      <c r="J3699" s="1"/>
      <c r="N3699" s="1"/>
      <c r="R3699" s="1"/>
      <c r="V3699" s="1"/>
      <c r="AB3699" s="1"/>
      <c r="AF3699" s="1"/>
      <c r="AJ3699" s="1"/>
      <c r="AN3699" s="1"/>
      <c r="AS3699" s="1"/>
      <c r="AX3699" s="1"/>
    </row>
    <row r="3700" spans="1:50" x14ac:dyDescent="0.3">
      <c r="A3700" s="19">
        <f t="shared" si="289"/>
        <v>51095</v>
      </c>
      <c r="B3700">
        <f t="shared" ca="1" si="285"/>
        <v>-13.730555555555556</v>
      </c>
      <c r="C3700" t="str">
        <f ca="1">IF(currency="USD",'Future et co'!D3700,IF(currency="EUR",'Future et co'!E3700,IF(currency="GBP",'Future et co'!F3700,FALSE)))</f>
        <v>RFR USD</v>
      </c>
      <c r="D3700" t="str">
        <f t="shared" ca="1" si="286"/>
        <v>RFR USD</v>
      </c>
      <c r="E3700" t="str">
        <f t="shared" ca="1" si="287"/>
        <v>RFR EUR</v>
      </c>
      <c r="F3700" t="str">
        <f t="shared" ca="1" si="288"/>
        <v>RFR GBP</v>
      </c>
      <c r="J3700" s="1"/>
      <c r="N3700" s="1"/>
      <c r="R3700" s="1"/>
      <c r="V3700" s="1"/>
      <c r="AB3700" s="1"/>
      <c r="AF3700" s="1"/>
      <c r="AJ3700" s="1"/>
      <c r="AN3700" s="1"/>
      <c r="AS3700" s="1"/>
      <c r="AX3700" s="1"/>
    </row>
    <row r="3701" spans="1:50" x14ac:dyDescent="0.3">
      <c r="A3701" s="19">
        <f t="shared" si="289"/>
        <v>51096</v>
      </c>
      <c r="B3701">
        <f t="shared" ca="1" si="285"/>
        <v>-13.733333333333333</v>
      </c>
      <c r="C3701" t="str">
        <f ca="1">IF(currency="USD",'Future et co'!D3701,IF(currency="EUR",'Future et co'!E3701,IF(currency="GBP",'Future et co'!F3701,FALSE)))</f>
        <v>RFR USD</v>
      </c>
      <c r="D3701" t="str">
        <f t="shared" ca="1" si="286"/>
        <v>RFR USD</v>
      </c>
      <c r="E3701" t="str">
        <f t="shared" ca="1" si="287"/>
        <v>RFR EUR</v>
      </c>
      <c r="F3701" t="str">
        <f t="shared" ca="1" si="288"/>
        <v>RFR GBP</v>
      </c>
      <c r="J3701" s="1"/>
      <c r="N3701" s="1"/>
      <c r="R3701" s="1"/>
      <c r="V3701" s="1"/>
      <c r="AB3701" s="1"/>
      <c r="AF3701" s="1"/>
      <c r="AJ3701" s="1"/>
      <c r="AN3701" s="1"/>
      <c r="AS3701" s="1"/>
      <c r="AX3701" s="1"/>
    </row>
    <row r="3702" spans="1:50" x14ac:dyDescent="0.3">
      <c r="A3702" s="19">
        <f t="shared" si="289"/>
        <v>51097</v>
      </c>
      <c r="B3702">
        <f t="shared" ca="1" si="285"/>
        <v>-13.736111111111111</v>
      </c>
      <c r="C3702" t="str">
        <f ca="1">IF(currency="USD",'Future et co'!D3702,IF(currency="EUR",'Future et co'!E3702,IF(currency="GBP",'Future et co'!F3702,FALSE)))</f>
        <v>RFR USD</v>
      </c>
      <c r="D3702" t="str">
        <f t="shared" ca="1" si="286"/>
        <v>RFR USD</v>
      </c>
      <c r="E3702" t="str">
        <f t="shared" ca="1" si="287"/>
        <v>RFR EUR</v>
      </c>
      <c r="F3702" t="str">
        <f t="shared" ca="1" si="288"/>
        <v>RFR GBP</v>
      </c>
      <c r="J3702" s="1"/>
      <c r="N3702" s="1"/>
      <c r="R3702" s="1"/>
      <c r="V3702" s="1"/>
      <c r="AB3702" s="1"/>
      <c r="AF3702" s="1"/>
      <c r="AJ3702" s="1"/>
      <c r="AN3702" s="1"/>
      <c r="AS3702" s="1"/>
      <c r="AX3702" s="1"/>
    </row>
    <row r="3703" spans="1:50" x14ac:dyDescent="0.3">
      <c r="A3703" s="19">
        <f t="shared" si="289"/>
        <v>51098</v>
      </c>
      <c r="B3703">
        <f t="shared" ca="1" si="285"/>
        <v>-13.738888888888889</v>
      </c>
      <c r="C3703" t="str">
        <f ca="1">IF(currency="USD",'Future et co'!D3703,IF(currency="EUR",'Future et co'!E3703,IF(currency="GBP",'Future et co'!F3703,FALSE)))</f>
        <v>RFR USD</v>
      </c>
      <c r="D3703" t="str">
        <f t="shared" ca="1" si="286"/>
        <v>RFR USD</v>
      </c>
      <c r="E3703" t="str">
        <f t="shared" ca="1" si="287"/>
        <v>RFR EUR</v>
      </c>
      <c r="F3703" t="str">
        <f t="shared" ca="1" si="288"/>
        <v>RFR GBP</v>
      </c>
      <c r="J3703" s="1"/>
      <c r="N3703" s="1"/>
      <c r="R3703" s="1"/>
      <c r="V3703" s="1"/>
      <c r="AB3703" s="1"/>
      <c r="AF3703" s="1"/>
      <c r="AJ3703" s="1"/>
      <c r="AN3703" s="1"/>
      <c r="AS3703" s="1"/>
      <c r="AX3703" s="1"/>
    </row>
    <row r="3704" spans="1:50" x14ac:dyDescent="0.3">
      <c r="A3704" s="19">
        <f t="shared" si="289"/>
        <v>51099</v>
      </c>
      <c r="B3704">
        <f t="shared" ca="1" si="285"/>
        <v>-13.741666666666667</v>
      </c>
      <c r="C3704" t="str">
        <f ca="1">IF(currency="USD",'Future et co'!D3704,IF(currency="EUR",'Future et co'!E3704,IF(currency="GBP",'Future et co'!F3704,FALSE)))</f>
        <v>RFR USD</v>
      </c>
      <c r="D3704" t="str">
        <f t="shared" ca="1" si="286"/>
        <v>RFR USD</v>
      </c>
      <c r="E3704" t="str">
        <f t="shared" ca="1" si="287"/>
        <v>RFR EUR</v>
      </c>
      <c r="F3704" t="str">
        <f t="shared" ca="1" si="288"/>
        <v>RFR GBP</v>
      </c>
      <c r="J3704" s="1"/>
      <c r="N3704" s="1"/>
      <c r="R3704" s="1"/>
      <c r="V3704" s="1"/>
      <c r="AB3704" s="1"/>
      <c r="AF3704" s="1"/>
      <c r="AJ3704" s="1"/>
      <c r="AN3704" s="1"/>
      <c r="AS3704" s="1"/>
      <c r="AX3704" s="1"/>
    </row>
    <row r="3705" spans="1:50" x14ac:dyDescent="0.3">
      <c r="A3705" s="19">
        <f t="shared" si="289"/>
        <v>51102</v>
      </c>
      <c r="B3705">
        <f t="shared" ca="1" si="285"/>
        <v>-13.75</v>
      </c>
      <c r="C3705" t="str">
        <f ca="1">IF(currency="USD",'Future et co'!D3705,IF(currency="EUR",'Future et co'!E3705,IF(currency="GBP",'Future et co'!F3705,FALSE)))</f>
        <v>RFR USD</v>
      </c>
      <c r="D3705" t="str">
        <f t="shared" ca="1" si="286"/>
        <v>RFR USD</v>
      </c>
      <c r="E3705" t="str">
        <f t="shared" ca="1" si="287"/>
        <v>RFR EUR</v>
      </c>
      <c r="F3705" t="str">
        <f t="shared" ca="1" si="288"/>
        <v>RFR GBP</v>
      </c>
      <c r="J3705" s="1"/>
      <c r="N3705" s="1"/>
      <c r="R3705" s="1"/>
      <c r="V3705" s="1"/>
      <c r="AB3705" s="1"/>
      <c r="AF3705" s="1"/>
      <c r="AJ3705" s="1"/>
      <c r="AN3705" s="1"/>
      <c r="AS3705" s="1"/>
      <c r="AX3705" s="1"/>
    </row>
    <row r="3706" spans="1:50" x14ac:dyDescent="0.3">
      <c r="A3706" s="19">
        <f t="shared" si="289"/>
        <v>51103</v>
      </c>
      <c r="B3706">
        <f t="shared" ca="1" si="285"/>
        <v>-13.752777777777778</v>
      </c>
      <c r="C3706" t="str">
        <f ca="1">IF(currency="USD",'Future et co'!D3706,IF(currency="EUR",'Future et co'!E3706,IF(currency="GBP",'Future et co'!F3706,FALSE)))</f>
        <v>RFR USD</v>
      </c>
      <c r="D3706" t="str">
        <f t="shared" ca="1" si="286"/>
        <v>RFR USD</v>
      </c>
      <c r="E3706" t="str">
        <f t="shared" ca="1" si="287"/>
        <v>RFR EUR</v>
      </c>
      <c r="F3706" t="str">
        <f t="shared" ca="1" si="288"/>
        <v>RFR GBP</v>
      </c>
      <c r="J3706" s="1"/>
      <c r="N3706" s="1"/>
      <c r="R3706" s="1"/>
      <c r="V3706" s="1"/>
      <c r="AB3706" s="1"/>
      <c r="AF3706" s="1"/>
      <c r="AJ3706" s="1"/>
      <c r="AN3706" s="1"/>
      <c r="AS3706" s="1"/>
      <c r="AX3706" s="1"/>
    </row>
    <row r="3707" spans="1:50" x14ac:dyDescent="0.3">
      <c r="A3707" s="19">
        <f t="shared" si="289"/>
        <v>51104</v>
      </c>
      <c r="B3707">
        <f t="shared" ca="1" si="285"/>
        <v>-13.755555555555556</v>
      </c>
      <c r="C3707" t="str">
        <f ca="1">IF(currency="USD",'Future et co'!D3707,IF(currency="EUR",'Future et co'!E3707,IF(currency="GBP",'Future et co'!F3707,FALSE)))</f>
        <v>RFR USD</v>
      </c>
      <c r="D3707" t="str">
        <f t="shared" ca="1" si="286"/>
        <v>RFR USD</v>
      </c>
      <c r="E3707" t="str">
        <f t="shared" ca="1" si="287"/>
        <v>RFR EUR</v>
      </c>
      <c r="F3707" t="str">
        <f t="shared" ca="1" si="288"/>
        <v>RFR GBP</v>
      </c>
      <c r="J3707" s="1"/>
      <c r="N3707" s="1"/>
      <c r="R3707" s="1"/>
      <c r="V3707" s="1"/>
      <c r="AB3707" s="1"/>
      <c r="AF3707" s="1"/>
      <c r="AJ3707" s="1"/>
      <c r="AN3707" s="1"/>
      <c r="AS3707" s="1"/>
      <c r="AX3707" s="1"/>
    </row>
    <row r="3708" spans="1:50" x14ac:dyDescent="0.3">
      <c r="A3708" s="19">
        <f t="shared" si="289"/>
        <v>51105</v>
      </c>
      <c r="B3708">
        <f t="shared" ca="1" si="285"/>
        <v>-13.758333333333333</v>
      </c>
      <c r="C3708" t="str">
        <f ca="1">IF(currency="USD",'Future et co'!D3708,IF(currency="EUR",'Future et co'!E3708,IF(currency="GBP",'Future et co'!F3708,FALSE)))</f>
        <v>RFR USD</v>
      </c>
      <c r="D3708" t="str">
        <f t="shared" ca="1" si="286"/>
        <v>RFR USD</v>
      </c>
      <c r="E3708" t="str">
        <f t="shared" ca="1" si="287"/>
        <v>RFR EUR</v>
      </c>
      <c r="F3708" t="str">
        <f t="shared" ca="1" si="288"/>
        <v>RFR GBP</v>
      </c>
      <c r="J3708" s="1"/>
      <c r="N3708" s="1"/>
      <c r="R3708" s="1"/>
      <c r="V3708" s="1"/>
      <c r="AB3708" s="1"/>
      <c r="AF3708" s="1"/>
      <c r="AJ3708" s="1"/>
      <c r="AN3708" s="1"/>
      <c r="AS3708" s="1"/>
      <c r="AX3708" s="1"/>
    </row>
    <row r="3709" spans="1:50" x14ac:dyDescent="0.3">
      <c r="A3709" s="19">
        <f t="shared" si="289"/>
        <v>51106</v>
      </c>
      <c r="B3709">
        <f t="shared" ca="1" si="285"/>
        <v>-13.761111111111111</v>
      </c>
      <c r="C3709" t="str">
        <f ca="1">IF(currency="USD",'Future et co'!D3709,IF(currency="EUR",'Future et co'!E3709,IF(currency="GBP",'Future et co'!F3709,FALSE)))</f>
        <v>RFR USD</v>
      </c>
      <c r="D3709" t="str">
        <f t="shared" ca="1" si="286"/>
        <v>RFR USD</v>
      </c>
      <c r="E3709" t="str">
        <f t="shared" ca="1" si="287"/>
        <v>RFR EUR</v>
      </c>
      <c r="F3709" t="str">
        <f t="shared" ca="1" si="288"/>
        <v>RFR GBP</v>
      </c>
      <c r="J3709" s="1"/>
      <c r="N3709" s="1"/>
      <c r="R3709" s="1"/>
      <c r="V3709" s="1"/>
      <c r="AB3709" s="1"/>
      <c r="AF3709" s="1"/>
      <c r="AJ3709" s="1"/>
      <c r="AN3709" s="1"/>
      <c r="AS3709" s="1"/>
      <c r="AX3709" s="1"/>
    </row>
    <row r="3710" spans="1:50" x14ac:dyDescent="0.3">
      <c r="A3710" s="19">
        <f t="shared" si="289"/>
        <v>51109</v>
      </c>
      <c r="B3710">
        <f t="shared" ca="1" si="285"/>
        <v>-13.769444444444444</v>
      </c>
      <c r="C3710" t="str">
        <f ca="1">IF(currency="USD",'Future et co'!D3710,IF(currency="EUR",'Future et co'!E3710,IF(currency="GBP",'Future et co'!F3710,FALSE)))</f>
        <v>RFR USD</v>
      </c>
      <c r="D3710" t="str">
        <f t="shared" ca="1" si="286"/>
        <v>RFR USD</v>
      </c>
      <c r="E3710" t="str">
        <f t="shared" ca="1" si="287"/>
        <v>RFR EUR</v>
      </c>
      <c r="F3710" t="str">
        <f t="shared" ca="1" si="288"/>
        <v>RFR GBP</v>
      </c>
      <c r="J3710" s="1"/>
      <c r="N3710" s="1"/>
      <c r="R3710" s="1"/>
      <c r="V3710" s="1"/>
      <c r="AB3710" s="1"/>
      <c r="AF3710" s="1"/>
      <c r="AJ3710" s="1"/>
      <c r="AN3710" s="1"/>
      <c r="AS3710" s="1"/>
      <c r="AX3710" s="1"/>
    </row>
    <row r="3711" spans="1:50" x14ac:dyDescent="0.3">
      <c r="A3711" s="19">
        <f t="shared" si="289"/>
        <v>51110</v>
      </c>
      <c r="B3711">
        <f t="shared" ca="1" si="285"/>
        <v>-13.772222222222222</v>
      </c>
      <c r="C3711" t="str">
        <f ca="1">IF(currency="USD",'Future et co'!D3711,IF(currency="EUR",'Future et co'!E3711,IF(currency="GBP",'Future et co'!F3711,FALSE)))</f>
        <v>RFR USD</v>
      </c>
      <c r="D3711" t="str">
        <f t="shared" ca="1" si="286"/>
        <v>RFR USD</v>
      </c>
      <c r="E3711" t="str">
        <f t="shared" ca="1" si="287"/>
        <v>RFR EUR</v>
      </c>
      <c r="F3711" t="str">
        <f t="shared" ca="1" si="288"/>
        <v>RFR GBP</v>
      </c>
      <c r="J3711" s="1"/>
      <c r="N3711" s="1"/>
      <c r="R3711" s="1"/>
      <c r="V3711" s="1"/>
      <c r="AB3711" s="1"/>
      <c r="AF3711" s="1"/>
      <c r="AJ3711" s="1"/>
      <c r="AN3711" s="1"/>
      <c r="AS3711" s="1"/>
      <c r="AX3711" s="1"/>
    </row>
    <row r="3712" spans="1:50" x14ac:dyDescent="0.3">
      <c r="A3712" s="19">
        <f t="shared" si="289"/>
        <v>51111</v>
      </c>
      <c r="B3712">
        <f t="shared" ca="1" si="285"/>
        <v>-13.775</v>
      </c>
      <c r="C3712" t="str">
        <f ca="1">IF(currency="USD",'Future et co'!D3712,IF(currency="EUR",'Future et co'!E3712,IF(currency="GBP",'Future et co'!F3712,FALSE)))</f>
        <v>RFR USD</v>
      </c>
      <c r="D3712" t="str">
        <f t="shared" ca="1" si="286"/>
        <v>RFR USD</v>
      </c>
      <c r="E3712" t="str">
        <f t="shared" ca="1" si="287"/>
        <v>RFR EUR</v>
      </c>
      <c r="F3712" t="str">
        <f t="shared" ca="1" si="288"/>
        <v>RFR GBP</v>
      </c>
      <c r="J3712" s="1"/>
      <c r="N3712" s="1"/>
      <c r="R3712" s="1"/>
      <c r="V3712" s="1"/>
      <c r="AB3712" s="1"/>
      <c r="AF3712" s="1"/>
      <c r="AJ3712" s="1"/>
      <c r="AN3712" s="1"/>
      <c r="AS3712" s="1"/>
      <c r="AX3712" s="1"/>
    </row>
    <row r="3713" spans="1:50" x14ac:dyDescent="0.3">
      <c r="A3713" s="19">
        <f t="shared" si="289"/>
        <v>51112</v>
      </c>
      <c r="B3713">
        <f t="shared" ca="1" si="285"/>
        <v>-13.777777777777779</v>
      </c>
      <c r="C3713" t="str">
        <f ca="1">IF(currency="USD",'Future et co'!D3713,IF(currency="EUR",'Future et co'!E3713,IF(currency="GBP",'Future et co'!F3713,FALSE)))</f>
        <v>RFR USD</v>
      </c>
      <c r="D3713" t="str">
        <f t="shared" ca="1" si="286"/>
        <v>RFR USD</v>
      </c>
      <c r="E3713" t="str">
        <f t="shared" ca="1" si="287"/>
        <v>RFR EUR</v>
      </c>
      <c r="F3713" t="str">
        <f t="shared" ca="1" si="288"/>
        <v>RFR GBP</v>
      </c>
      <c r="J3713" s="1"/>
      <c r="N3713" s="1"/>
      <c r="R3713" s="1"/>
      <c r="V3713" s="1"/>
      <c r="AB3713" s="1"/>
      <c r="AF3713" s="1"/>
      <c r="AJ3713" s="1"/>
      <c r="AN3713" s="1"/>
      <c r="AS3713" s="1"/>
      <c r="AX3713" s="1"/>
    </row>
    <row r="3714" spans="1:50" x14ac:dyDescent="0.3">
      <c r="A3714" s="19">
        <f t="shared" si="289"/>
        <v>51113</v>
      </c>
      <c r="B3714">
        <f t="shared" ca="1" si="285"/>
        <v>-13.780555555555555</v>
      </c>
      <c r="C3714" t="str">
        <f ca="1">IF(currency="USD",'Future et co'!D3714,IF(currency="EUR",'Future et co'!E3714,IF(currency="GBP",'Future et co'!F3714,FALSE)))</f>
        <v>RFR USD</v>
      </c>
      <c r="D3714" t="str">
        <f t="shared" ca="1" si="286"/>
        <v>RFR USD</v>
      </c>
      <c r="E3714" t="str">
        <f t="shared" ca="1" si="287"/>
        <v>RFR EUR</v>
      </c>
      <c r="F3714" t="str">
        <f t="shared" ca="1" si="288"/>
        <v>RFR GBP</v>
      </c>
      <c r="J3714" s="1"/>
      <c r="N3714" s="1"/>
      <c r="R3714" s="1"/>
      <c r="V3714" s="1"/>
      <c r="AB3714" s="1"/>
      <c r="AF3714" s="1"/>
      <c r="AJ3714" s="1"/>
      <c r="AN3714" s="1"/>
      <c r="AS3714" s="1"/>
      <c r="AX3714" s="1"/>
    </row>
    <row r="3715" spans="1:50" x14ac:dyDescent="0.3">
      <c r="A3715" s="19">
        <f t="shared" si="289"/>
        <v>51116</v>
      </c>
      <c r="B3715">
        <f t="shared" ca="1" si="285"/>
        <v>-13.78888888888889</v>
      </c>
      <c r="C3715" t="str">
        <f ca="1">IF(currency="USD",'Future et co'!D3715,IF(currency="EUR",'Future et co'!E3715,IF(currency="GBP",'Future et co'!F3715,FALSE)))</f>
        <v>RFR USD</v>
      </c>
      <c r="D3715" t="str">
        <f t="shared" ca="1" si="286"/>
        <v>RFR USD</v>
      </c>
      <c r="E3715" t="str">
        <f t="shared" ca="1" si="287"/>
        <v>RFR EUR</v>
      </c>
      <c r="F3715" t="str">
        <f t="shared" ca="1" si="288"/>
        <v>RFR GBP</v>
      </c>
      <c r="J3715" s="1"/>
      <c r="N3715" s="1"/>
      <c r="R3715" s="1"/>
      <c r="V3715" s="1"/>
      <c r="AB3715" s="1"/>
      <c r="AF3715" s="1"/>
      <c r="AJ3715" s="1"/>
      <c r="AN3715" s="1"/>
      <c r="AS3715" s="1"/>
      <c r="AX3715" s="1"/>
    </row>
    <row r="3716" spans="1:50" x14ac:dyDescent="0.3">
      <c r="A3716" s="19">
        <f t="shared" si="289"/>
        <v>51117</v>
      </c>
      <c r="B3716">
        <f t="shared" ca="1" si="285"/>
        <v>-13.791666666666666</v>
      </c>
      <c r="C3716" t="str">
        <f ca="1">IF(currency="USD",'Future et co'!D3716,IF(currency="EUR",'Future et co'!E3716,IF(currency="GBP",'Future et co'!F3716,FALSE)))</f>
        <v>RFR USD</v>
      </c>
      <c r="D3716" t="str">
        <f t="shared" ca="1" si="286"/>
        <v>RFR USD</v>
      </c>
      <c r="E3716" t="str">
        <f t="shared" ca="1" si="287"/>
        <v>RFR EUR</v>
      </c>
      <c r="F3716" t="str">
        <f t="shared" ca="1" si="288"/>
        <v>RFR GBP</v>
      </c>
      <c r="J3716" s="1"/>
      <c r="N3716" s="1"/>
      <c r="R3716" s="1"/>
      <c r="V3716" s="1"/>
      <c r="AB3716" s="1"/>
      <c r="AF3716" s="1"/>
      <c r="AJ3716" s="1"/>
      <c r="AN3716" s="1"/>
      <c r="AS3716" s="1"/>
      <c r="AX3716" s="1"/>
    </row>
    <row r="3717" spans="1:50" x14ac:dyDescent="0.3">
      <c r="A3717" s="19">
        <f t="shared" si="289"/>
        <v>51118</v>
      </c>
      <c r="B3717">
        <f t="shared" ca="1" si="285"/>
        <v>-13.794444444444444</v>
      </c>
      <c r="C3717" t="str">
        <f ca="1">IF(currency="USD",'Future et co'!D3717,IF(currency="EUR",'Future et co'!E3717,IF(currency="GBP",'Future et co'!F3717,FALSE)))</f>
        <v>RFR USD</v>
      </c>
      <c r="D3717" t="str">
        <f t="shared" ca="1" si="286"/>
        <v>RFR USD</v>
      </c>
      <c r="E3717" t="str">
        <f t="shared" ca="1" si="287"/>
        <v>RFR EUR</v>
      </c>
      <c r="F3717" t="str">
        <f t="shared" ca="1" si="288"/>
        <v>RFR GBP</v>
      </c>
      <c r="J3717" s="1"/>
      <c r="N3717" s="1"/>
      <c r="R3717" s="1"/>
      <c r="V3717" s="1"/>
      <c r="AB3717" s="1"/>
      <c r="AF3717" s="1"/>
      <c r="AJ3717" s="1"/>
      <c r="AN3717" s="1"/>
      <c r="AS3717" s="1"/>
      <c r="AX3717" s="1"/>
    </row>
    <row r="3718" spans="1:50" x14ac:dyDescent="0.3">
      <c r="A3718" s="19">
        <f t="shared" si="289"/>
        <v>51119</v>
      </c>
      <c r="B3718">
        <f t="shared" ca="1" si="285"/>
        <v>-13.797222222222222</v>
      </c>
      <c r="C3718" t="str">
        <f ca="1">IF(currency="USD",'Future et co'!D3718,IF(currency="EUR",'Future et co'!E3718,IF(currency="GBP",'Future et co'!F3718,FALSE)))</f>
        <v>RFR USD</v>
      </c>
      <c r="D3718" t="str">
        <f t="shared" ca="1" si="286"/>
        <v>RFR USD</v>
      </c>
      <c r="E3718" t="str">
        <f t="shared" ca="1" si="287"/>
        <v>RFR EUR</v>
      </c>
      <c r="F3718" t="str">
        <f t="shared" ca="1" si="288"/>
        <v>RFR GBP</v>
      </c>
      <c r="J3718" s="1"/>
      <c r="N3718" s="1"/>
      <c r="R3718" s="1"/>
      <c r="V3718" s="1"/>
      <c r="AB3718" s="1"/>
      <c r="AF3718" s="1"/>
      <c r="AJ3718" s="1"/>
      <c r="AN3718" s="1"/>
      <c r="AS3718" s="1"/>
      <c r="AX3718" s="1"/>
    </row>
    <row r="3719" spans="1:50" x14ac:dyDescent="0.3">
      <c r="A3719" s="19">
        <f t="shared" si="289"/>
        <v>51120</v>
      </c>
      <c r="B3719">
        <f t="shared" ca="1" si="285"/>
        <v>-13.8</v>
      </c>
      <c r="C3719" t="str">
        <f ca="1">IF(currency="USD",'Future et co'!D3719,IF(currency="EUR",'Future et co'!E3719,IF(currency="GBP",'Future et co'!F3719,FALSE)))</f>
        <v>RFR USD</v>
      </c>
      <c r="D3719" t="str">
        <f t="shared" ca="1" si="286"/>
        <v>RFR USD</v>
      </c>
      <c r="E3719" t="str">
        <f t="shared" ca="1" si="287"/>
        <v>RFR EUR</v>
      </c>
      <c r="F3719" t="str">
        <f t="shared" ca="1" si="288"/>
        <v>RFR GBP</v>
      </c>
      <c r="J3719" s="1"/>
      <c r="N3719" s="1"/>
      <c r="R3719" s="1"/>
      <c r="V3719" s="1"/>
      <c r="AB3719" s="1"/>
      <c r="AF3719" s="1"/>
      <c r="AJ3719" s="1"/>
      <c r="AN3719" s="1"/>
      <c r="AS3719" s="1"/>
      <c r="AX3719" s="1"/>
    </row>
    <row r="3720" spans="1:50" x14ac:dyDescent="0.3">
      <c r="A3720" s="19">
        <f t="shared" si="289"/>
        <v>51123</v>
      </c>
      <c r="B3720">
        <f t="shared" ca="1" si="285"/>
        <v>-13.808333333333334</v>
      </c>
      <c r="C3720" t="str">
        <f ca="1">IF(currency="USD",'Future et co'!D3720,IF(currency="EUR",'Future et co'!E3720,IF(currency="GBP",'Future et co'!F3720,FALSE)))</f>
        <v>RFR USD</v>
      </c>
      <c r="D3720" t="str">
        <f t="shared" ca="1" si="286"/>
        <v>RFR USD</v>
      </c>
      <c r="E3720" t="str">
        <f t="shared" ca="1" si="287"/>
        <v>RFR EUR</v>
      </c>
      <c r="F3720" t="str">
        <f t="shared" ca="1" si="288"/>
        <v>RFR GBP</v>
      </c>
      <c r="J3720" s="1"/>
      <c r="N3720" s="1"/>
      <c r="R3720" s="1"/>
      <c r="V3720" s="1"/>
      <c r="AB3720" s="1"/>
      <c r="AF3720" s="1"/>
      <c r="AJ3720" s="1"/>
      <c r="AN3720" s="1"/>
      <c r="AS3720" s="1"/>
      <c r="AX3720" s="1"/>
    </row>
    <row r="3721" spans="1:50" x14ac:dyDescent="0.3">
      <c r="A3721" s="19">
        <f t="shared" si="289"/>
        <v>51124</v>
      </c>
      <c r="B3721">
        <f t="shared" ca="1" si="285"/>
        <v>-13.811111111111112</v>
      </c>
      <c r="C3721" t="str">
        <f ca="1">IF(currency="USD",'Future et co'!D3721,IF(currency="EUR",'Future et co'!E3721,IF(currency="GBP",'Future et co'!F3721,FALSE)))</f>
        <v>RFR USD</v>
      </c>
      <c r="D3721" t="str">
        <f t="shared" ca="1" si="286"/>
        <v>RFR USD</v>
      </c>
      <c r="E3721" t="str">
        <f t="shared" ca="1" si="287"/>
        <v>RFR EUR</v>
      </c>
      <c r="F3721" t="str">
        <f t="shared" ca="1" si="288"/>
        <v>RFR GBP</v>
      </c>
      <c r="J3721" s="1"/>
      <c r="N3721" s="1"/>
      <c r="R3721" s="1"/>
      <c r="V3721" s="1"/>
      <c r="AB3721" s="1"/>
      <c r="AF3721" s="1"/>
      <c r="AJ3721" s="1"/>
      <c r="AN3721" s="1"/>
      <c r="AS3721" s="1"/>
      <c r="AX3721" s="1"/>
    </row>
    <row r="3722" spans="1:50" x14ac:dyDescent="0.3">
      <c r="A3722" s="19">
        <f t="shared" si="289"/>
        <v>51125</v>
      </c>
      <c r="B3722">
        <f t="shared" ca="1" si="285"/>
        <v>-13.813888888888888</v>
      </c>
      <c r="C3722" t="str">
        <f ca="1">IF(currency="USD",'Future et co'!D3722,IF(currency="EUR",'Future et co'!E3722,IF(currency="GBP",'Future et co'!F3722,FALSE)))</f>
        <v>RFR USD</v>
      </c>
      <c r="D3722" t="str">
        <f t="shared" ca="1" si="286"/>
        <v>RFR USD</v>
      </c>
      <c r="E3722" t="str">
        <f t="shared" ca="1" si="287"/>
        <v>RFR EUR</v>
      </c>
      <c r="F3722" t="str">
        <f t="shared" ca="1" si="288"/>
        <v>RFR GBP</v>
      </c>
      <c r="J3722" s="1"/>
      <c r="N3722" s="1"/>
      <c r="R3722" s="1"/>
      <c r="V3722" s="1"/>
      <c r="AB3722" s="1"/>
      <c r="AF3722" s="1"/>
      <c r="AJ3722" s="1"/>
      <c r="AN3722" s="1"/>
      <c r="AS3722" s="1"/>
      <c r="AX3722" s="1"/>
    </row>
    <row r="3723" spans="1:50" x14ac:dyDescent="0.3">
      <c r="A3723" s="19">
        <f t="shared" si="289"/>
        <v>51126</v>
      </c>
      <c r="B3723">
        <f t="shared" ref="B3723:B3786" ca="1" si="290">($B$7-A3723)/360</f>
        <v>-13.816666666666666</v>
      </c>
      <c r="C3723" t="str">
        <f ca="1">IF(currency="USD",'Future et co'!D3723,IF(currency="EUR",'Future et co'!E3723,IF(currency="GBP",'Future et co'!F3723,FALSE)))</f>
        <v>RFR USD</v>
      </c>
      <c r="D3723" t="str">
        <f t="shared" ref="D3723:D3786" ca="1" si="291">IFERROR(IF(B3723&lt;0.25,VLOOKUP(A3723,$J$11:$L$5325,3,FALSE),IF(AND(B3723&gt;=0.25,B3723&lt;0.5),VLOOKUP(A3723,$N$11:$P$5325,3,FALSE),IF(AND(B3723&gt;=0.5,B3723&lt;1),VLOOKUP(A3723,$R$11:$T$5325,3,FALSE),VLOOKUP(A3723,$V$11:$X$5010,3,FALSE)))),D3722)</f>
        <v>RFR USD</v>
      </c>
      <c r="E3723" t="str">
        <f t="shared" ref="E3723:E3786" ca="1" si="292">IFERROR(IF(B3723&lt;0.25,VLOOKUP(A3723,$AF$11:$AH$5325,3,FALSE),IF(AND(B3723&gt;=0.25,B3723&lt;0.5),VLOOKUP(A3723,$AJ$11:$AL$5325,3,FALSE),VLOOKUP(A3723,$AN$11:$AP$5325,3,FALSE))),E3722)</f>
        <v>RFR EUR</v>
      </c>
      <c r="F3723" t="str">
        <f t="shared" ref="F3723:F3786" ca="1" si="293">IFERROR(VLOOKUP(A3723,$AS$11:$AU$9999,3,FALSE),F3722)</f>
        <v>RFR GBP</v>
      </c>
      <c r="J3723" s="1"/>
      <c r="N3723" s="1"/>
      <c r="R3723" s="1"/>
      <c r="V3723" s="1"/>
      <c r="AB3723" s="1"/>
      <c r="AF3723" s="1"/>
      <c r="AJ3723" s="1"/>
      <c r="AN3723" s="1"/>
      <c r="AS3723" s="1"/>
      <c r="AX3723" s="1"/>
    </row>
    <row r="3724" spans="1:50" x14ac:dyDescent="0.3">
      <c r="A3724" s="19">
        <f t="shared" si="289"/>
        <v>51127</v>
      </c>
      <c r="B3724">
        <f t="shared" ca="1" si="290"/>
        <v>-13.819444444444445</v>
      </c>
      <c r="C3724" t="str">
        <f ca="1">IF(currency="USD",'Future et co'!D3724,IF(currency="EUR",'Future et co'!E3724,IF(currency="GBP",'Future et co'!F3724,FALSE)))</f>
        <v>RFR USD</v>
      </c>
      <c r="D3724" t="str">
        <f t="shared" ca="1" si="291"/>
        <v>RFR USD</v>
      </c>
      <c r="E3724" t="str">
        <f t="shared" ca="1" si="292"/>
        <v>RFR EUR</v>
      </c>
      <c r="F3724" t="str">
        <f t="shared" ca="1" si="293"/>
        <v>RFR GBP</v>
      </c>
      <c r="J3724" s="1"/>
      <c r="N3724" s="1"/>
      <c r="R3724" s="1"/>
      <c r="V3724" s="1"/>
      <c r="AB3724" s="1"/>
      <c r="AF3724" s="1"/>
      <c r="AJ3724" s="1"/>
      <c r="AN3724" s="1"/>
      <c r="AS3724" s="1"/>
      <c r="AX3724" s="1"/>
    </row>
    <row r="3725" spans="1:50" x14ac:dyDescent="0.3">
      <c r="A3725" s="19">
        <f t="shared" ref="A3725:A3788" si="294">WORKDAY(A3724,1)</f>
        <v>51130</v>
      </c>
      <c r="B3725">
        <f t="shared" ca="1" si="290"/>
        <v>-13.827777777777778</v>
      </c>
      <c r="C3725" t="str">
        <f ca="1">IF(currency="USD",'Future et co'!D3725,IF(currency="EUR",'Future et co'!E3725,IF(currency="GBP",'Future et co'!F3725,FALSE)))</f>
        <v>RFR USD</v>
      </c>
      <c r="D3725" t="str">
        <f t="shared" ca="1" si="291"/>
        <v>RFR USD</v>
      </c>
      <c r="E3725" t="str">
        <f t="shared" ca="1" si="292"/>
        <v>RFR EUR</v>
      </c>
      <c r="F3725" t="str">
        <f t="shared" ca="1" si="293"/>
        <v>RFR GBP</v>
      </c>
      <c r="J3725" s="1"/>
      <c r="N3725" s="1"/>
      <c r="R3725" s="1"/>
      <c r="V3725" s="1"/>
      <c r="AB3725" s="1"/>
      <c r="AF3725" s="1"/>
      <c r="AJ3725" s="1"/>
      <c r="AN3725" s="1"/>
      <c r="AS3725" s="1"/>
      <c r="AX3725" s="1"/>
    </row>
    <row r="3726" spans="1:50" x14ac:dyDescent="0.3">
      <c r="A3726" s="19">
        <f t="shared" si="294"/>
        <v>51131</v>
      </c>
      <c r="B3726">
        <f t="shared" ca="1" si="290"/>
        <v>-13.830555555555556</v>
      </c>
      <c r="C3726" t="str">
        <f ca="1">IF(currency="USD",'Future et co'!D3726,IF(currency="EUR",'Future et co'!E3726,IF(currency="GBP",'Future et co'!F3726,FALSE)))</f>
        <v>RFR USD</v>
      </c>
      <c r="D3726" t="str">
        <f t="shared" ca="1" si="291"/>
        <v>RFR USD</v>
      </c>
      <c r="E3726" t="str">
        <f t="shared" ca="1" si="292"/>
        <v>RFR EUR</v>
      </c>
      <c r="F3726" t="str">
        <f t="shared" ca="1" si="293"/>
        <v>RFR GBP</v>
      </c>
      <c r="J3726" s="1"/>
      <c r="N3726" s="1"/>
      <c r="R3726" s="1"/>
      <c r="V3726" s="1"/>
      <c r="AB3726" s="1"/>
      <c r="AF3726" s="1"/>
      <c r="AJ3726" s="1"/>
      <c r="AN3726" s="1"/>
      <c r="AS3726" s="1"/>
      <c r="AX3726" s="1"/>
    </row>
    <row r="3727" spans="1:50" x14ac:dyDescent="0.3">
      <c r="A3727" s="19">
        <f t="shared" si="294"/>
        <v>51132</v>
      </c>
      <c r="B3727">
        <f t="shared" ca="1" si="290"/>
        <v>-13.833333333333334</v>
      </c>
      <c r="C3727" t="str">
        <f ca="1">IF(currency="USD",'Future et co'!D3727,IF(currency="EUR",'Future et co'!E3727,IF(currency="GBP",'Future et co'!F3727,FALSE)))</f>
        <v>RFR USD</v>
      </c>
      <c r="D3727" t="str">
        <f t="shared" ca="1" si="291"/>
        <v>RFR USD</v>
      </c>
      <c r="E3727" t="str">
        <f t="shared" ca="1" si="292"/>
        <v>RFR EUR</v>
      </c>
      <c r="F3727" t="str">
        <f t="shared" ca="1" si="293"/>
        <v>RFR GBP</v>
      </c>
      <c r="J3727" s="1"/>
      <c r="N3727" s="1"/>
      <c r="R3727" s="1"/>
      <c r="V3727" s="1"/>
      <c r="AB3727" s="1"/>
      <c r="AF3727" s="1"/>
      <c r="AJ3727" s="1"/>
      <c r="AN3727" s="1"/>
      <c r="AS3727" s="1"/>
      <c r="AX3727" s="1"/>
    </row>
    <row r="3728" spans="1:50" x14ac:dyDescent="0.3">
      <c r="A3728" s="19">
        <f t="shared" si="294"/>
        <v>51133</v>
      </c>
      <c r="B3728">
        <f t="shared" ca="1" si="290"/>
        <v>-13.83611111111111</v>
      </c>
      <c r="C3728" t="str">
        <f ca="1">IF(currency="USD",'Future et co'!D3728,IF(currency="EUR",'Future et co'!E3728,IF(currency="GBP",'Future et co'!F3728,FALSE)))</f>
        <v>RFR USD</v>
      </c>
      <c r="D3728" t="str">
        <f t="shared" ca="1" si="291"/>
        <v>RFR USD</v>
      </c>
      <c r="E3728" t="str">
        <f t="shared" ca="1" si="292"/>
        <v>RFR EUR</v>
      </c>
      <c r="F3728" t="str">
        <f t="shared" ca="1" si="293"/>
        <v>RFR GBP</v>
      </c>
      <c r="J3728" s="1"/>
      <c r="N3728" s="1"/>
      <c r="R3728" s="1"/>
      <c r="V3728" s="1"/>
      <c r="AB3728" s="1"/>
      <c r="AF3728" s="1"/>
      <c r="AJ3728" s="1"/>
      <c r="AN3728" s="1"/>
      <c r="AS3728" s="1"/>
      <c r="AX3728" s="1"/>
    </row>
    <row r="3729" spans="1:50" x14ac:dyDescent="0.3">
      <c r="A3729" s="19">
        <f t="shared" si="294"/>
        <v>51134</v>
      </c>
      <c r="B3729">
        <f t="shared" ca="1" si="290"/>
        <v>-13.838888888888889</v>
      </c>
      <c r="C3729" t="str">
        <f ca="1">IF(currency="USD",'Future et co'!D3729,IF(currency="EUR",'Future et co'!E3729,IF(currency="GBP",'Future et co'!F3729,FALSE)))</f>
        <v>RFR USD</v>
      </c>
      <c r="D3729" t="str">
        <f t="shared" ca="1" si="291"/>
        <v>RFR USD</v>
      </c>
      <c r="E3729" t="str">
        <f t="shared" ca="1" si="292"/>
        <v>RFR EUR</v>
      </c>
      <c r="F3729" t="str">
        <f t="shared" ca="1" si="293"/>
        <v>RFR GBP</v>
      </c>
      <c r="J3729" s="1"/>
      <c r="N3729" s="1"/>
      <c r="R3729" s="1"/>
      <c r="V3729" s="1"/>
      <c r="AB3729" s="1"/>
      <c r="AF3729" s="1"/>
      <c r="AJ3729" s="1"/>
      <c r="AN3729" s="1"/>
      <c r="AS3729" s="1"/>
      <c r="AX3729" s="1"/>
    </row>
    <row r="3730" spans="1:50" x14ac:dyDescent="0.3">
      <c r="A3730" s="19">
        <f t="shared" si="294"/>
        <v>51137</v>
      </c>
      <c r="B3730">
        <f t="shared" ca="1" si="290"/>
        <v>-13.847222222222221</v>
      </c>
      <c r="C3730" t="str">
        <f ca="1">IF(currency="USD",'Future et co'!D3730,IF(currency="EUR",'Future et co'!E3730,IF(currency="GBP",'Future et co'!F3730,FALSE)))</f>
        <v>RFR USD</v>
      </c>
      <c r="D3730" t="str">
        <f t="shared" ca="1" si="291"/>
        <v>RFR USD</v>
      </c>
      <c r="E3730" t="str">
        <f t="shared" ca="1" si="292"/>
        <v>RFR EUR</v>
      </c>
      <c r="F3730" t="str">
        <f t="shared" ca="1" si="293"/>
        <v>RFR GBP</v>
      </c>
      <c r="J3730" s="1"/>
      <c r="N3730" s="1"/>
      <c r="R3730" s="1"/>
      <c r="V3730" s="1"/>
      <c r="AB3730" s="1"/>
      <c r="AF3730" s="1"/>
      <c r="AJ3730" s="1"/>
      <c r="AN3730" s="1"/>
      <c r="AS3730" s="1"/>
      <c r="AX3730" s="1"/>
    </row>
    <row r="3731" spans="1:50" x14ac:dyDescent="0.3">
      <c r="A3731" s="19">
        <f t="shared" si="294"/>
        <v>51138</v>
      </c>
      <c r="B3731">
        <f t="shared" ca="1" si="290"/>
        <v>-13.85</v>
      </c>
      <c r="C3731" t="str">
        <f ca="1">IF(currency="USD",'Future et co'!D3731,IF(currency="EUR",'Future et co'!E3731,IF(currency="GBP",'Future et co'!F3731,FALSE)))</f>
        <v>RFR USD</v>
      </c>
      <c r="D3731" t="str">
        <f t="shared" ca="1" si="291"/>
        <v>RFR USD</v>
      </c>
      <c r="E3731" t="str">
        <f t="shared" ca="1" si="292"/>
        <v>RFR EUR</v>
      </c>
      <c r="F3731" t="str">
        <f t="shared" ca="1" si="293"/>
        <v>RFR GBP</v>
      </c>
      <c r="J3731" s="1"/>
      <c r="N3731" s="1"/>
      <c r="R3731" s="1"/>
      <c r="V3731" s="1"/>
      <c r="AB3731" s="1"/>
      <c r="AF3731" s="1"/>
      <c r="AJ3731" s="1"/>
      <c r="AN3731" s="1"/>
      <c r="AS3731" s="1"/>
      <c r="AX3731" s="1"/>
    </row>
    <row r="3732" spans="1:50" x14ac:dyDescent="0.3">
      <c r="A3732" s="19">
        <f t="shared" si="294"/>
        <v>51139</v>
      </c>
      <c r="B3732">
        <f t="shared" ca="1" si="290"/>
        <v>-13.852777777777778</v>
      </c>
      <c r="C3732" t="str">
        <f ca="1">IF(currency="USD",'Future et co'!D3732,IF(currency="EUR",'Future et co'!E3732,IF(currency="GBP",'Future et co'!F3732,FALSE)))</f>
        <v>RFR USD</v>
      </c>
      <c r="D3732" t="str">
        <f t="shared" ca="1" si="291"/>
        <v>RFR USD</v>
      </c>
      <c r="E3732" t="str">
        <f t="shared" ca="1" si="292"/>
        <v>RFR EUR</v>
      </c>
      <c r="F3732" t="str">
        <f t="shared" ca="1" si="293"/>
        <v>RFR GBP</v>
      </c>
      <c r="J3732" s="1"/>
      <c r="N3732" s="1"/>
      <c r="R3732" s="1"/>
      <c r="V3732" s="1"/>
      <c r="AB3732" s="1"/>
      <c r="AF3732" s="1"/>
      <c r="AJ3732" s="1"/>
      <c r="AN3732" s="1"/>
      <c r="AS3732" s="1"/>
      <c r="AX3732" s="1"/>
    </row>
    <row r="3733" spans="1:50" x14ac:dyDescent="0.3">
      <c r="A3733" s="19">
        <f t="shared" si="294"/>
        <v>51140</v>
      </c>
      <c r="B3733">
        <f t="shared" ca="1" si="290"/>
        <v>-13.855555555555556</v>
      </c>
      <c r="C3733" t="str">
        <f ca="1">IF(currency="USD",'Future et co'!D3733,IF(currency="EUR",'Future et co'!E3733,IF(currency="GBP",'Future et co'!F3733,FALSE)))</f>
        <v>RFR USD</v>
      </c>
      <c r="D3733" t="str">
        <f t="shared" ca="1" si="291"/>
        <v>RFR USD</v>
      </c>
      <c r="E3733" t="str">
        <f t="shared" ca="1" si="292"/>
        <v>RFR EUR</v>
      </c>
      <c r="F3733" t="str">
        <f t="shared" ca="1" si="293"/>
        <v>RFR GBP</v>
      </c>
      <c r="J3733" s="1"/>
      <c r="N3733" s="1"/>
      <c r="R3733" s="1"/>
      <c r="V3733" s="1"/>
      <c r="AB3733" s="1"/>
      <c r="AF3733" s="1"/>
      <c r="AJ3733" s="1"/>
      <c r="AN3733" s="1"/>
      <c r="AS3733" s="1"/>
      <c r="AX3733" s="1"/>
    </row>
    <row r="3734" spans="1:50" x14ac:dyDescent="0.3">
      <c r="A3734" s="19">
        <f t="shared" si="294"/>
        <v>51141</v>
      </c>
      <c r="B3734">
        <f t="shared" ca="1" si="290"/>
        <v>-13.858333333333333</v>
      </c>
      <c r="C3734" t="str">
        <f ca="1">IF(currency="USD",'Future et co'!D3734,IF(currency="EUR",'Future et co'!E3734,IF(currency="GBP",'Future et co'!F3734,FALSE)))</f>
        <v>RFR USD</v>
      </c>
      <c r="D3734" t="str">
        <f t="shared" ca="1" si="291"/>
        <v>RFR USD</v>
      </c>
      <c r="E3734" t="str">
        <f t="shared" ca="1" si="292"/>
        <v>RFR EUR</v>
      </c>
      <c r="F3734" t="str">
        <f t="shared" ca="1" si="293"/>
        <v>RFR GBP</v>
      </c>
      <c r="J3734" s="1"/>
      <c r="N3734" s="1"/>
      <c r="R3734" s="1"/>
      <c r="V3734" s="1"/>
      <c r="AB3734" s="1"/>
      <c r="AF3734" s="1"/>
      <c r="AJ3734" s="1"/>
      <c r="AN3734" s="1"/>
      <c r="AS3734" s="1"/>
      <c r="AX3734" s="1"/>
    </row>
    <row r="3735" spans="1:50" x14ac:dyDescent="0.3">
      <c r="A3735" s="19">
        <f t="shared" si="294"/>
        <v>51144</v>
      </c>
      <c r="B3735">
        <f t="shared" ca="1" si="290"/>
        <v>-13.866666666666667</v>
      </c>
      <c r="C3735" t="str">
        <f ca="1">IF(currency="USD",'Future et co'!D3735,IF(currency="EUR",'Future et co'!E3735,IF(currency="GBP",'Future et co'!F3735,FALSE)))</f>
        <v>RFR USD</v>
      </c>
      <c r="D3735" t="str">
        <f t="shared" ca="1" si="291"/>
        <v>RFR USD</v>
      </c>
      <c r="E3735" t="str">
        <f t="shared" ca="1" si="292"/>
        <v>RFR EUR</v>
      </c>
      <c r="F3735" t="str">
        <f t="shared" ca="1" si="293"/>
        <v>RFR GBP</v>
      </c>
      <c r="J3735" s="1"/>
      <c r="N3735" s="1"/>
      <c r="R3735" s="1"/>
      <c r="V3735" s="1"/>
      <c r="AB3735" s="1"/>
      <c r="AF3735" s="1"/>
      <c r="AJ3735" s="1"/>
      <c r="AN3735" s="1"/>
      <c r="AS3735" s="1"/>
      <c r="AX3735" s="1"/>
    </row>
    <row r="3736" spans="1:50" x14ac:dyDescent="0.3">
      <c r="A3736" s="19">
        <f t="shared" si="294"/>
        <v>51145</v>
      </c>
      <c r="B3736">
        <f t="shared" ca="1" si="290"/>
        <v>-13.869444444444444</v>
      </c>
      <c r="C3736" t="str">
        <f ca="1">IF(currency="USD",'Future et co'!D3736,IF(currency="EUR",'Future et co'!E3736,IF(currency="GBP",'Future et co'!F3736,FALSE)))</f>
        <v>RFR USD</v>
      </c>
      <c r="D3736" t="str">
        <f t="shared" ca="1" si="291"/>
        <v>RFR USD</v>
      </c>
      <c r="E3736" t="str">
        <f t="shared" ca="1" si="292"/>
        <v>RFR EUR</v>
      </c>
      <c r="F3736" t="str">
        <f t="shared" ca="1" si="293"/>
        <v>RFR GBP</v>
      </c>
      <c r="J3736" s="1"/>
      <c r="N3736" s="1"/>
      <c r="R3736" s="1"/>
      <c r="V3736" s="1"/>
      <c r="AB3736" s="1"/>
      <c r="AF3736" s="1"/>
      <c r="AJ3736" s="1"/>
      <c r="AN3736" s="1"/>
      <c r="AS3736" s="1"/>
      <c r="AX3736" s="1"/>
    </row>
    <row r="3737" spans="1:50" x14ac:dyDescent="0.3">
      <c r="A3737" s="19">
        <f t="shared" si="294"/>
        <v>51146</v>
      </c>
      <c r="B3737">
        <f t="shared" ca="1" si="290"/>
        <v>-13.872222222222222</v>
      </c>
      <c r="C3737" t="str">
        <f ca="1">IF(currency="USD",'Future et co'!D3737,IF(currency="EUR",'Future et co'!E3737,IF(currency="GBP",'Future et co'!F3737,FALSE)))</f>
        <v>RFR USD</v>
      </c>
      <c r="D3737" t="str">
        <f t="shared" ca="1" si="291"/>
        <v>RFR USD</v>
      </c>
      <c r="E3737" t="str">
        <f t="shared" ca="1" si="292"/>
        <v>RFR EUR</v>
      </c>
      <c r="F3737" t="str">
        <f t="shared" ca="1" si="293"/>
        <v>RFR GBP</v>
      </c>
      <c r="J3737" s="1"/>
      <c r="N3737" s="1"/>
      <c r="R3737" s="1"/>
      <c r="V3737" s="1"/>
      <c r="AB3737" s="1"/>
      <c r="AF3737" s="1"/>
      <c r="AJ3737" s="1"/>
      <c r="AN3737" s="1"/>
      <c r="AS3737" s="1"/>
      <c r="AX3737" s="1"/>
    </row>
    <row r="3738" spans="1:50" x14ac:dyDescent="0.3">
      <c r="A3738" s="19">
        <f t="shared" si="294"/>
        <v>51147</v>
      </c>
      <c r="B3738">
        <f t="shared" ca="1" si="290"/>
        <v>-13.875</v>
      </c>
      <c r="C3738" t="str">
        <f ca="1">IF(currency="USD",'Future et co'!D3738,IF(currency="EUR",'Future et co'!E3738,IF(currency="GBP",'Future et co'!F3738,FALSE)))</f>
        <v>RFR USD</v>
      </c>
      <c r="D3738" t="str">
        <f t="shared" ca="1" si="291"/>
        <v>RFR USD</v>
      </c>
      <c r="E3738" t="str">
        <f t="shared" ca="1" si="292"/>
        <v>RFR EUR</v>
      </c>
      <c r="F3738" t="str">
        <f t="shared" ca="1" si="293"/>
        <v>RFR GBP</v>
      </c>
      <c r="J3738" s="1"/>
      <c r="N3738" s="1"/>
      <c r="R3738" s="1"/>
      <c r="V3738" s="1"/>
      <c r="AB3738" s="1"/>
      <c r="AF3738" s="1"/>
      <c r="AJ3738" s="1"/>
      <c r="AN3738" s="1"/>
      <c r="AS3738" s="1"/>
      <c r="AX3738" s="1"/>
    </row>
    <row r="3739" spans="1:50" x14ac:dyDescent="0.3">
      <c r="A3739" s="19">
        <f t="shared" si="294"/>
        <v>51148</v>
      </c>
      <c r="B3739">
        <f t="shared" ca="1" si="290"/>
        <v>-13.877777777777778</v>
      </c>
      <c r="C3739" t="str">
        <f ca="1">IF(currency="USD",'Future et co'!D3739,IF(currency="EUR",'Future et co'!E3739,IF(currency="GBP",'Future et co'!F3739,FALSE)))</f>
        <v>RFR USD</v>
      </c>
      <c r="D3739" t="str">
        <f t="shared" ca="1" si="291"/>
        <v>RFR USD</v>
      </c>
      <c r="E3739" t="str">
        <f t="shared" ca="1" si="292"/>
        <v>RFR EUR</v>
      </c>
      <c r="F3739" t="str">
        <f t="shared" ca="1" si="293"/>
        <v>RFR GBP</v>
      </c>
      <c r="J3739" s="1"/>
      <c r="N3739" s="1"/>
      <c r="R3739" s="1"/>
      <c r="V3739" s="1"/>
      <c r="AB3739" s="1"/>
      <c r="AF3739" s="1"/>
      <c r="AJ3739" s="1"/>
      <c r="AN3739" s="1"/>
      <c r="AS3739" s="1"/>
      <c r="AX3739" s="1"/>
    </row>
    <row r="3740" spans="1:50" x14ac:dyDescent="0.3">
      <c r="A3740" s="19">
        <f t="shared" si="294"/>
        <v>51151</v>
      </c>
      <c r="B3740">
        <f t="shared" ca="1" si="290"/>
        <v>-13.886111111111111</v>
      </c>
      <c r="C3740" t="str">
        <f ca="1">IF(currency="USD",'Future et co'!D3740,IF(currency="EUR",'Future et co'!E3740,IF(currency="GBP",'Future et co'!F3740,FALSE)))</f>
        <v>RFR USD</v>
      </c>
      <c r="D3740" t="str">
        <f t="shared" ca="1" si="291"/>
        <v>RFR USD</v>
      </c>
      <c r="E3740" t="str">
        <f t="shared" ca="1" si="292"/>
        <v>RFR EUR</v>
      </c>
      <c r="F3740" t="str">
        <f t="shared" ca="1" si="293"/>
        <v>RFR GBP</v>
      </c>
      <c r="J3740" s="1"/>
      <c r="N3740" s="1"/>
      <c r="R3740" s="1"/>
      <c r="V3740" s="1"/>
      <c r="AB3740" s="1"/>
      <c r="AF3740" s="1"/>
      <c r="AJ3740" s="1"/>
      <c r="AN3740" s="1"/>
      <c r="AS3740" s="1"/>
      <c r="AX3740" s="1"/>
    </row>
    <row r="3741" spans="1:50" x14ac:dyDescent="0.3">
      <c r="A3741" s="19">
        <f t="shared" si="294"/>
        <v>51152</v>
      </c>
      <c r="B3741">
        <f t="shared" ca="1" si="290"/>
        <v>-13.888888888888889</v>
      </c>
      <c r="C3741" t="str">
        <f ca="1">IF(currency="USD",'Future et co'!D3741,IF(currency="EUR",'Future et co'!E3741,IF(currency="GBP",'Future et co'!F3741,FALSE)))</f>
        <v>RFR USD</v>
      </c>
      <c r="D3741" t="str">
        <f t="shared" ca="1" si="291"/>
        <v>RFR USD</v>
      </c>
      <c r="E3741" t="str">
        <f t="shared" ca="1" si="292"/>
        <v>RFR EUR</v>
      </c>
      <c r="F3741" t="str">
        <f t="shared" ca="1" si="293"/>
        <v>RFR GBP</v>
      </c>
      <c r="J3741" s="1"/>
      <c r="N3741" s="1"/>
      <c r="R3741" s="1"/>
      <c r="V3741" s="1"/>
      <c r="AB3741" s="1"/>
      <c r="AF3741" s="1"/>
      <c r="AJ3741" s="1"/>
      <c r="AN3741" s="1"/>
      <c r="AS3741" s="1"/>
      <c r="AX3741" s="1"/>
    </row>
    <row r="3742" spans="1:50" x14ac:dyDescent="0.3">
      <c r="A3742" s="19">
        <f t="shared" si="294"/>
        <v>51153</v>
      </c>
      <c r="B3742">
        <f t="shared" ca="1" si="290"/>
        <v>-13.891666666666667</v>
      </c>
      <c r="C3742" t="str">
        <f ca="1">IF(currency="USD",'Future et co'!D3742,IF(currency="EUR",'Future et co'!E3742,IF(currency="GBP",'Future et co'!F3742,FALSE)))</f>
        <v>RFR USD</v>
      </c>
      <c r="D3742" t="str">
        <f t="shared" ca="1" si="291"/>
        <v>RFR USD</v>
      </c>
      <c r="E3742" t="str">
        <f t="shared" ca="1" si="292"/>
        <v>RFR EUR</v>
      </c>
      <c r="F3742" t="str">
        <f t="shared" ca="1" si="293"/>
        <v>RFR GBP</v>
      </c>
      <c r="J3742" s="1"/>
      <c r="N3742" s="1"/>
      <c r="R3742" s="1"/>
      <c r="V3742" s="1"/>
      <c r="AB3742" s="1"/>
      <c r="AF3742" s="1"/>
      <c r="AJ3742" s="1"/>
      <c r="AN3742" s="1"/>
      <c r="AS3742" s="1"/>
      <c r="AX3742" s="1"/>
    </row>
    <row r="3743" spans="1:50" x14ac:dyDescent="0.3">
      <c r="A3743" s="19">
        <f t="shared" si="294"/>
        <v>51154</v>
      </c>
      <c r="B3743">
        <f t="shared" ca="1" si="290"/>
        <v>-13.894444444444444</v>
      </c>
      <c r="C3743" t="str">
        <f ca="1">IF(currency="USD",'Future et co'!D3743,IF(currency="EUR",'Future et co'!E3743,IF(currency="GBP",'Future et co'!F3743,FALSE)))</f>
        <v>RFR USD</v>
      </c>
      <c r="D3743" t="str">
        <f t="shared" ca="1" si="291"/>
        <v>RFR USD</v>
      </c>
      <c r="E3743" t="str">
        <f t="shared" ca="1" si="292"/>
        <v>RFR EUR</v>
      </c>
      <c r="F3743" t="str">
        <f t="shared" ca="1" si="293"/>
        <v>RFR GBP</v>
      </c>
      <c r="J3743" s="1"/>
      <c r="N3743" s="1"/>
      <c r="R3743" s="1"/>
      <c r="V3743" s="1"/>
      <c r="AB3743" s="1"/>
      <c r="AF3743" s="1"/>
      <c r="AJ3743" s="1"/>
      <c r="AN3743" s="1"/>
      <c r="AS3743" s="1"/>
      <c r="AX3743" s="1"/>
    </row>
    <row r="3744" spans="1:50" x14ac:dyDescent="0.3">
      <c r="A3744" s="19">
        <f t="shared" si="294"/>
        <v>51155</v>
      </c>
      <c r="B3744">
        <f t="shared" ca="1" si="290"/>
        <v>-13.897222222222222</v>
      </c>
      <c r="C3744" t="str">
        <f ca="1">IF(currency="USD",'Future et co'!D3744,IF(currency="EUR",'Future et co'!E3744,IF(currency="GBP",'Future et co'!F3744,FALSE)))</f>
        <v>RFR USD</v>
      </c>
      <c r="D3744" t="str">
        <f t="shared" ca="1" si="291"/>
        <v>RFR USD</v>
      </c>
      <c r="E3744" t="str">
        <f t="shared" ca="1" si="292"/>
        <v>RFR EUR</v>
      </c>
      <c r="F3744" t="str">
        <f t="shared" ca="1" si="293"/>
        <v>RFR GBP</v>
      </c>
      <c r="J3744" s="1"/>
      <c r="N3744" s="1"/>
      <c r="R3744" s="1"/>
      <c r="V3744" s="1"/>
      <c r="AB3744" s="1"/>
      <c r="AF3744" s="1"/>
      <c r="AJ3744" s="1"/>
      <c r="AN3744" s="1"/>
      <c r="AS3744" s="1"/>
      <c r="AX3744" s="1"/>
    </row>
    <row r="3745" spans="1:50" x14ac:dyDescent="0.3">
      <c r="A3745" s="19">
        <f t="shared" si="294"/>
        <v>51158</v>
      </c>
      <c r="B3745">
        <f t="shared" ca="1" si="290"/>
        <v>-13.905555555555555</v>
      </c>
      <c r="C3745" t="str">
        <f ca="1">IF(currency="USD",'Future et co'!D3745,IF(currency="EUR",'Future et co'!E3745,IF(currency="GBP",'Future et co'!F3745,FALSE)))</f>
        <v>RFR USD</v>
      </c>
      <c r="D3745" t="str">
        <f t="shared" ca="1" si="291"/>
        <v>RFR USD</v>
      </c>
      <c r="E3745" t="str">
        <f t="shared" ca="1" si="292"/>
        <v>RFR EUR</v>
      </c>
      <c r="F3745" t="str">
        <f t="shared" ca="1" si="293"/>
        <v>RFR GBP</v>
      </c>
      <c r="J3745" s="1"/>
      <c r="N3745" s="1"/>
      <c r="R3745" s="1"/>
      <c r="V3745" s="1"/>
      <c r="AB3745" s="1"/>
      <c r="AF3745" s="1"/>
      <c r="AJ3745" s="1"/>
      <c r="AN3745" s="1"/>
      <c r="AS3745" s="1"/>
      <c r="AX3745" s="1"/>
    </row>
    <row r="3746" spans="1:50" x14ac:dyDescent="0.3">
      <c r="A3746" s="19">
        <f t="shared" si="294"/>
        <v>51159</v>
      </c>
      <c r="B3746">
        <f t="shared" ca="1" si="290"/>
        <v>-13.908333333333333</v>
      </c>
      <c r="C3746" t="str">
        <f ca="1">IF(currency="USD",'Future et co'!D3746,IF(currency="EUR",'Future et co'!E3746,IF(currency="GBP",'Future et co'!F3746,FALSE)))</f>
        <v>RFR USD</v>
      </c>
      <c r="D3746" t="str">
        <f t="shared" ca="1" si="291"/>
        <v>RFR USD</v>
      </c>
      <c r="E3746" t="str">
        <f t="shared" ca="1" si="292"/>
        <v>RFR EUR</v>
      </c>
      <c r="F3746" t="str">
        <f t="shared" ca="1" si="293"/>
        <v>RFR GBP</v>
      </c>
      <c r="J3746" s="1"/>
      <c r="N3746" s="1"/>
      <c r="R3746" s="1"/>
      <c r="V3746" s="1"/>
      <c r="AB3746" s="1"/>
      <c r="AF3746" s="1"/>
      <c r="AJ3746" s="1"/>
      <c r="AN3746" s="1"/>
      <c r="AS3746" s="1"/>
      <c r="AX3746" s="1"/>
    </row>
    <row r="3747" spans="1:50" x14ac:dyDescent="0.3">
      <c r="A3747" s="19">
        <f t="shared" si="294"/>
        <v>51160</v>
      </c>
      <c r="B3747">
        <f t="shared" ca="1" si="290"/>
        <v>-13.911111111111111</v>
      </c>
      <c r="C3747" t="str">
        <f ca="1">IF(currency="USD",'Future et co'!D3747,IF(currency="EUR",'Future et co'!E3747,IF(currency="GBP",'Future et co'!F3747,FALSE)))</f>
        <v>RFR USD</v>
      </c>
      <c r="D3747" t="str">
        <f t="shared" ca="1" si="291"/>
        <v>RFR USD</v>
      </c>
      <c r="E3747" t="str">
        <f t="shared" ca="1" si="292"/>
        <v>RFR EUR</v>
      </c>
      <c r="F3747" t="str">
        <f t="shared" ca="1" si="293"/>
        <v>RFR GBP</v>
      </c>
      <c r="J3747" s="1"/>
      <c r="N3747" s="1"/>
      <c r="R3747" s="1"/>
      <c r="V3747" s="1"/>
      <c r="AB3747" s="1"/>
      <c r="AF3747" s="1"/>
      <c r="AJ3747" s="1"/>
      <c r="AN3747" s="1"/>
      <c r="AS3747" s="1"/>
      <c r="AX3747" s="1"/>
    </row>
    <row r="3748" spans="1:50" x14ac:dyDescent="0.3">
      <c r="A3748" s="19">
        <f t="shared" si="294"/>
        <v>51161</v>
      </c>
      <c r="B3748">
        <f t="shared" ca="1" si="290"/>
        <v>-13.91388888888889</v>
      </c>
      <c r="C3748" t="str">
        <f ca="1">IF(currency="USD",'Future et co'!D3748,IF(currency="EUR",'Future et co'!E3748,IF(currency="GBP",'Future et co'!F3748,FALSE)))</f>
        <v>RFR USD</v>
      </c>
      <c r="D3748" t="str">
        <f t="shared" ca="1" si="291"/>
        <v>RFR USD</v>
      </c>
      <c r="E3748" t="str">
        <f t="shared" ca="1" si="292"/>
        <v>RFR EUR</v>
      </c>
      <c r="F3748" t="str">
        <f t="shared" ca="1" si="293"/>
        <v>RFR GBP</v>
      </c>
      <c r="J3748" s="1"/>
      <c r="N3748" s="1"/>
      <c r="R3748" s="1"/>
      <c r="V3748" s="1"/>
      <c r="AB3748" s="1"/>
      <c r="AF3748" s="1"/>
      <c r="AJ3748" s="1"/>
      <c r="AN3748" s="1"/>
      <c r="AS3748" s="1"/>
      <c r="AX3748" s="1"/>
    </row>
    <row r="3749" spans="1:50" x14ac:dyDescent="0.3">
      <c r="A3749" s="19">
        <f t="shared" si="294"/>
        <v>51162</v>
      </c>
      <c r="B3749">
        <f t="shared" ca="1" si="290"/>
        <v>-13.916666666666666</v>
      </c>
      <c r="C3749" t="str">
        <f ca="1">IF(currency="USD",'Future et co'!D3749,IF(currency="EUR",'Future et co'!E3749,IF(currency="GBP",'Future et co'!F3749,FALSE)))</f>
        <v>RFR USD</v>
      </c>
      <c r="D3749" t="str">
        <f t="shared" ca="1" si="291"/>
        <v>RFR USD</v>
      </c>
      <c r="E3749" t="str">
        <f t="shared" ca="1" si="292"/>
        <v>RFR EUR</v>
      </c>
      <c r="F3749" t="str">
        <f t="shared" ca="1" si="293"/>
        <v>RFR GBP</v>
      </c>
      <c r="J3749" s="1"/>
      <c r="N3749" s="1"/>
      <c r="R3749" s="1"/>
      <c r="V3749" s="1"/>
      <c r="AB3749" s="1"/>
      <c r="AF3749" s="1"/>
      <c r="AJ3749" s="1"/>
      <c r="AN3749" s="1"/>
      <c r="AS3749" s="1"/>
      <c r="AX3749" s="1"/>
    </row>
    <row r="3750" spans="1:50" x14ac:dyDescent="0.3">
      <c r="A3750" s="19">
        <f t="shared" si="294"/>
        <v>51165</v>
      </c>
      <c r="B3750">
        <f t="shared" ca="1" si="290"/>
        <v>-13.925000000000001</v>
      </c>
      <c r="C3750" t="str">
        <f ca="1">IF(currency="USD",'Future et co'!D3750,IF(currency="EUR",'Future et co'!E3750,IF(currency="GBP",'Future et co'!F3750,FALSE)))</f>
        <v>RFR USD</v>
      </c>
      <c r="D3750" t="str">
        <f t="shared" ca="1" si="291"/>
        <v>RFR USD</v>
      </c>
      <c r="E3750" t="str">
        <f t="shared" ca="1" si="292"/>
        <v>RFR EUR</v>
      </c>
      <c r="F3750" t="str">
        <f t="shared" ca="1" si="293"/>
        <v>RFR GBP</v>
      </c>
      <c r="J3750" s="1"/>
      <c r="N3750" s="1"/>
      <c r="R3750" s="1"/>
      <c r="V3750" s="1"/>
      <c r="AB3750" s="1"/>
      <c r="AF3750" s="1"/>
      <c r="AJ3750" s="1"/>
      <c r="AN3750" s="1"/>
      <c r="AS3750" s="1"/>
      <c r="AX3750" s="1"/>
    </row>
    <row r="3751" spans="1:50" x14ac:dyDescent="0.3">
      <c r="A3751" s="19">
        <f t="shared" si="294"/>
        <v>51166</v>
      </c>
      <c r="B3751">
        <f t="shared" ca="1" si="290"/>
        <v>-13.927777777777777</v>
      </c>
      <c r="C3751" t="str">
        <f ca="1">IF(currency="USD",'Future et co'!D3751,IF(currency="EUR",'Future et co'!E3751,IF(currency="GBP",'Future et co'!F3751,FALSE)))</f>
        <v>RFR USD</v>
      </c>
      <c r="D3751" t="str">
        <f t="shared" ca="1" si="291"/>
        <v>RFR USD</v>
      </c>
      <c r="E3751" t="str">
        <f t="shared" ca="1" si="292"/>
        <v>RFR EUR</v>
      </c>
      <c r="F3751" t="str">
        <f t="shared" ca="1" si="293"/>
        <v>RFR GBP</v>
      </c>
      <c r="J3751" s="1"/>
      <c r="N3751" s="1"/>
      <c r="R3751" s="1"/>
      <c r="V3751" s="1"/>
      <c r="AB3751" s="1"/>
      <c r="AF3751" s="1"/>
      <c r="AJ3751" s="1"/>
      <c r="AN3751" s="1"/>
      <c r="AS3751" s="1"/>
      <c r="AX3751" s="1"/>
    </row>
    <row r="3752" spans="1:50" x14ac:dyDescent="0.3">
      <c r="A3752" s="19">
        <f t="shared" si="294"/>
        <v>51167</v>
      </c>
      <c r="B3752">
        <f t="shared" ca="1" si="290"/>
        <v>-13.930555555555555</v>
      </c>
      <c r="C3752" t="str">
        <f ca="1">IF(currency="USD",'Future et co'!D3752,IF(currency="EUR",'Future et co'!E3752,IF(currency="GBP",'Future et co'!F3752,FALSE)))</f>
        <v>RFR USD</v>
      </c>
      <c r="D3752" t="str">
        <f t="shared" ca="1" si="291"/>
        <v>RFR USD</v>
      </c>
      <c r="E3752" t="str">
        <f t="shared" ca="1" si="292"/>
        <v>RFR EUR</v>
      </c>
      <c r="F3752" t="str">
        <f t="shared" ca="1" si="293"/>
        <v>RFR GBP</v>
      </c>
      <c r="J3752" s="1"/>
      <c r="N3752" s="1"/>
      <c r="R3752" s="1"/>
      <c r="V3752" s="1"/>
      <c r="AB3752" s="1"/>
      <c r="AF3752" s="1"/>
      <c r="AJ3752" s="1"/>
      <c r="AN3752" s="1"/>
      <c r="AS3752" s="1"/>
      <c r="AX3752" s="1"/>
    </row>
    <row r="3753" spans="1:50" x14ac:dyDescent="0.3">
      <c r="A3753" s="19">
        <f t="shared" si="294"/>
        <v>51168</v>
      </c>
      <c r="B3753">
        <f t="shared" ca="1" si="290"/>
        <v>-13.933333333333334</v>
      </c>
      <c r="C3753" t="str">
        <f ca="1">IF(currency="USD",'Future et co'!D3753,IF(currency="EUR",'Future et co'!E3753,IF(currency="GBP",'Future et co'!F3753,FALSE)))</f>
        <v>RFR USD</v>
      </c>
      <c r="D3753" t="str">
        <f t="shared" ca="1" si="291"/>
        <v>RFR USD</v>
      </c>
      <c r="E3753" t="str">
        <f t="shared" ca="1" si="292"/>
        <v>RFR EUR</v>
      </c>
      <c r="F3753" t="str">
        <f t="shared" ca="1" si="293"/>
        <v>RFR GBP</v>
      </c>
      <c r="J3753" s="1"/>
      <c r="N3753" s="1"/>
      <c r="R3753" s="1"/>
      <c r="V3753" s="1"/>
      <c r="AB3753" s="1"/>
      <c r="AF3753" s="1"/>
      <c r="AJ3753" s="1"/>
      <c r="AN3753" s="1"/>
      <c r="AS3753" s="1"/>
      <c r="AX3753" s="1"/>
    </row>
    <row r="3754" spans="1:50" x14ac:dyDescent="0.3">
      <c r="A3754" s="19">
        <f t="shared" si="294"/>
        <v>51169</v>
      </c>
      <c r="B3754">
        <f t="shared" ca="1" si="290"/>
        <v>-13.936111111111112</v>
      </c>
      <c r="C3754" t="str">
        <f ca="1">IF(currency="USD",'Future et co'!D3754,IF(currency="EUR",'Future et co'!E3754,IF(currency="GBP",'Future et co'!F3754,FALSE)))</f>
        <v>RFR USD</v>
      </c>
      <c r="D3754" t="str">
        <f t="shared" ca="1" si="291"/>
        <v>RFR USD</v>
      </c>
      <c r="E3754" t="str">
        <f t="shared" ca="1" si="292"/>
        <v>RFR EUR</v>
      </c>
      <c r="F3754" t="str">
        <f t="shared" ca="1" si="293"/>
        <v>RFR GBP</v>
      </c>
      <c r="J3754" s="1"/>
      <c r="N3754" s="1"/>
      <c r="R3754" s="1"/>
      <c r="V3754" s="1"/>
      <c r="AB3754" s="1"/>
      <c r="AF3754" s="1"/>
      <c r="AJ3754" s="1"/>
      <c r="AN3754" s="1"/>
      <c r="AS3754" s="1"/>
      <c r="AX3754" s="1"/>
    </row>
    <row r="3755" spans="1:50" x14ac:dyDescent="0.3">
      <c r="A3755" s="19">
        <f t="shared" si="294"/>
        <v>51172</v>
      </c>
      <c r="B3755">
        <f t="shared" ca="1" si="290"/>
        <v>-13.944444444444445</v>
      </c>
      <c r="C3755" t="str">
        <f ca="1">IF(currency="USD",'Future et co'!D3755,IF(currency="EUR",'Future et co'!E3755,IF(currency="GBP",'Future et co'!F3755,FALSE)))</f>
        <v>RFR USD</v>
      </c>
      <c r="D3755" t="str">
        <f t="shared" ca="1" si="291"/>
        <v>RFR USD</v>
      </c>
      <c r="E3755" t="str">
        <f t="shared" ca="1" si="292"/>
        <v>RFR EUR</v>
      </c>
      <c r="F3755" t="str">
        <f t="shared" ca="1" si="293"/>
        <v>RFR GBP</v>
      </c>
      <c r="J3755" s="1"/>
      <c r="N3755" s="1"/>
      <c r="R3755" s="1"/>
      <c r="V3755" s="1"/>
      <c r="AB3755" s="1"/>
      <c r="AF3755" s="1"/>
      <c r="AJ3755" s="1"/>
      <c r="AN3755" s="1"/>
      <c r="AS3755" s="1"/>
      <c r="AX3755" s="1"/>
    </row>
    <row r="3756" spans="1:50" x14ac:dyDescent="0.3">
      <c r="A3756" s="19">
        <f t="shared" si="294"/>
        <v>51173</v>
      </c>
      <c r="B3756">
        <f t="shared" ca="1" si="290"/>
        <v>-13.947222222222223</v>
      </c>
      <c r="C3756" t="str">
        <f ca="1">IF(currency="USD",'Future et co'!D3756,IF(currency="EUR",'Future et co'!E3756,IF(currency="GBP",'Future et co'!F3756,FALSE)))</f>
        <v>RFR USD</v>
      </c>
      <c r="D3756" t="str">
        <f t="shared" ca="1" si="291"/>
        <v>RFR USD</v>
      </c>
      <c r="E3756" t="str">
        <f t="shared" ca="1" si="292"/>
        <v>RFR EUR</v>
      </c>
      <c r="F3756" t="str">
        <f t="shared" ca="1" si="293"/>
        <v>RFR GBP</v>
      </c>
      <c r="J3756" s="1"/>
      <c r="N3756" s="1"/>
      <c r="R3756" s="1"/>
      <c r="V3756" s="1"/>
      <c r="AB3756" s="1"/>
      <c r="AF3756" s="1"/>
      <c r="AJ3756" s="1"/>
      <c r="AN3756" s="1"/>
      <c r="AS3756" s="1"/>
      <c r="AX3756" s="1"/>
    </row>
    <row r="3757" spans="1:50" x14ac:dyDescent="0.3">
      <c r="A3757" s="19">
        <f t="shared" si="294"/>
        <v>51174</v>
      </c>
      <c r="B3757">
        <f t="shared" ca="1" si="290"/>
        <v>-13.95</v>
      </c>
      <c r="C3757" t="str">
        <f ca="1">IF(currency="USD",'Future et co'!D3757,IF(currency="EUR",'Future et co'!E3757,IF(currency="GBP",'Future et co'!F3757,FALSE)))</f>
        <v>RFR USD</v>
      </c>
      <c r="D3757" t="str">
        <f t="shared" ca="1" si="291"/>
        <v>RFR USD</v>
      </c>
      <c r="E3757" t="str">
        <f t="shared" ca="1" si="292"/>
        <v>RFR EUR</v>
      </c>
      <c r="F3757" t="str">
        <f t="shared" ca="1" si="293"/>
        <v>RFR GBP</v>
      </c>
      <c r="J3757" s="1"/>
      <c r="N3757" s="1"/>
      <c r="R3757" s="1"/>
      <c r="V3757" s="1"/>
      <c r="AB3757" s="1"/>
      <c r="AF3757" s="1"/>
      <c r="AJ3757" s="1"/>
      <c r="AN3757" s="1"/>
      <c r="AS3757" s="1"/>
      <c r="AX3757" s="1"/>
    </row>
    <row r="3758" spans="1:50" x14ac:dyDescent="0.3">
      <c r="A3758" s="19">
        <f t="shared" si="294"/>
        <v>51175</v>
      </c>
      <c r="B3758">
        <f t="shared" ca="1" si="290"/>
        <v>-13.952777777777778</v>
      </c>
      <c r="C3758" t="str">
        <f ca="1">IF(currency="USD",'Future et co'!D3758,IF(currency="EUR",'Future et co'!E3758,IF(currency="GBP",'Future et co'!F3758,FALSE)))</f>
        <v>RFR USD</v>
      </c>
      <c r="D3758" t="str">
        <f t="shared" ca="1" si="291"/>
        <v>RFR USD</v>
      </c>
      <c r="E3758" t="str">
        <f t="shared" ca="1" si="292"/>
        <v>RFR EUR</v>
      </c>
      <c r="F3758" t="str">
        <f t="shared" ca="1" si="293"/>
        <v>RFR GBP</v>
      </c>
      <c r="J3758" s="1"/>
      <c r="N3758" s="1"/>
      <c r="R3758" s="1"/>
      <c r="V3758" s="1"/>
      <c r="AB3758" s="1"/>
      <c r="AF3758" s="1"/>
      <c r="AJ3758" s="1"/>
      <c r="AN3758" s="1"/>
      <c r="AS3758" s="1"/>
      <c r="AX3758" s="1"/>
    </row>
    <row r="3759" spans="1:50" x14ac:dyDescent="0.3">
      <c r="A3759" s="19">
        <f t="shared" si="294"/>
        <v>51176</v>
      </c>
      <c r="B3759">
        <f t="shared" ca="1" si="290"/>
        <v>-13.955555555555556</v>
      </c>
      <c r="C3759" t="str">
        <f ca="1">IF(currency="USD",'Future et co'!D3759,IF(currency="EUR",'Future et co'!E3759,IF(currency="GBP",'Future et co'!F3759,FALSE)))</f>
        <v>RFR USD</v>
      </c>
      <c r="D3759" t="str">
        <f t="shared" ca="1" si="291"/>
        <v>RFR USD</v>
      </c>
      <c r="E3759" t="str">
        <f t="shared" ca="1" si="292"/>
        <v>RFR EUR</v>
      </c>
      <c r="F3759" t="str">
        <f t="shared" ca="1" si="293"/>
        <v>RFR GBP</v>
      </c>
      <c r="J3759" s="1"/>
      <c r="N3759" s="1"/>
      <c r="R3759" s="1"/>
      <c r="V3759" s="1"/>
      <c r="AB3759" s="1"/>
      <c r="AF3759" s="1"/>
      <c r="AJ3759" s="1"/>
      <c r="AN3759" s="1"/>
      <c r="AS3759" s="1"/>
      <c r="AX3759" s="1"/>
    </row>
    <row r="3760" spans="1:50" x14ac:dyDescent="0.3">
      <c r="A3760" s="19">
        <f t="shared" si="294"/>
        <v>51179</v>
      </c>
      <c r="B3760">
        <f t="shared" ca="1" si="290"/>
        <v>-13.963888888888889</v>
      </c>
      <c r="C3760" t="str">
        <f ca="1">IF(currency="USD",'Future et co'!D3760,IF(currency="EUR",'Future et co'!E3760,IF(currency="GBP",'Future et co'!F3760,FALSE)))</f>
        <v>RFR USD</v>
      </c>
      <c r="D3760" t="str">
        <f t="shared" ca="1" si="291"/>
        <v>RFR USD</v>
      </c>
      <c r="E3760" t="str">
        <f t="shared" ca="1" si="292"/>
        <v>RFR EUR</v>
      </c>
      <c r="F3760" t="str">
        <f t="shared" ca="1" si="293"/>
        <v>RFR GBP</v>
      </c>
      <c r="J3760" s="1"/>
      <c r="N3760" s="1"/>
      <c r="R3760" s="1"/>
      <c r="V3760" s="1"/>
      <c r="AB3760" s="1"/>
      <c r="AF3760" s="1"/>
      <c r="AJ3760" s="1"/>
      <c r="AN3760" s="1"/>
      <c r="AS3760" s="1"/>
      <c r="AX3760" s="1"/>
    </row>
    <row r="3761" spans="1:50" x14ac:dyDescent="0.3">
      <c r="A3761" s="19">
        <f t="shared" si="294"/>
        <v>51180</v>
      </c>
      <c r="B3761">
        <f t="shared" ca="1" si="290"/>
        <v>-13.966666666666667</v>
      </c>
      <c r="C3761" t="str">
        <f ca="1">IF(currency="USD",'Future et co'!D3761,IF(currency="EUR",'Future et co'!E3761,IF(currency="GBP",'Future et co'!F3761,FALSE)))</f>
        <v>RFR USD</v>
      </c>
      <c r="D3761" t="str">
        <f t="shared" ca="1" si="291"/>
        <v>RFR USD</v>
      </c>
      <c r="E3761" t="str">
        <f t="shared" ca="1" si="292"/>
        <v>RFR EUR</v>
      </c>
      <c r="F3761" t="str">
        <f t="shared" ca="1" si="293"/>
        <v>RFR GBP</v>
      </c>
      <c r="J3761" s="1"/>
      <c r="N3761" s="1"/>
      <c r="R3761" s="1"/>
      <c r="V3761" s="1"/>
      <c r="AB3761" s="1"/>
      <c r="AF3761" s="1"/>
      <c r="AJ3761" s="1"/>
      <c r="AN3761" s="1"/>
      <c r="AS3761" s="1"/>
      <c r="AX3761" s="1"/>
    </row>
    <row r="3762" spans="1:50" x14ac:dyDescent="0.3">
      <c r="A3762" s="19">
        <f t="shared" si="294"/>
        <v>51181</v>
      </c>
      <c r="B3762">
        <f t="shared" ca="1" si="290"/>
        <v>-13.969444444444445</v>
      </c>
      <c r="C3762" t="str">
        <f ca="1">IF(currency="USD",'Future et co'!D3762,IF(currency="EUR",'Future et co'!E3762,IF(currency="GBP",'Future et co'!F3762,FALSE)))</f>
        <v>RFR USD</v>
      </c>
      <c r="D3762" t="str">
        <f t="shared" ca="1" si="291"/>
        <v>RFR USD</v>
      </c>
      <c r="E3762" t="str">
        <f t="shared" ca="1" si="292"/>
        <v>RFR EUR</v>
      </c>
      <c r="F3762" t="str">
        <f t="shared" ca="1" si="293"/>
        <v>RFR GBP</v>
      </c>
      <c r="J3762" s="1"/>
      <c r="N3762" s="1"/>
      <c r="R3762" s="1"/>
      <c r="V3762" s="1"/>
      <c r="AB3762" s="1"/>
      <c r="AF3762" s="1"/>
      <c r="AJ3762" s="1"/>
      <c r="AN3762" s="1"/>
      <c r="AS3762" s="1"/>
      <c r="AX3762" s="1"/>
    </row>
    <row r="3763" spans="1:50" x14ac:dyDescent="0.3">
      <c r="A3763" s="19">
        <f t="shared" si="294"/>
        <v>51182</v>
      </c>
      <c r="B3763">
        <f t="shared" ca="1" si="290"/>
        <v>-13.972222222222221</v>
      </c>
      <c r="C3763" t="str">
        <f ca="1">IF(currency="USD",'Future et co'!D3763,IF(currency="EUR",'Future et co'!E3763,IF(currency="GBP",'Future et co'!F3763,FALSE)))</f>
        <v>RFR USD</v>
      </c>
      <c r="D3763" t="str">
        <f t="shared" ca="1" si="291"/>
        <v>RFR USD</v>
      </c>
      <c r="E3763" t="str">
        <f t="shared" ca="1" si="292"/>
        <v>RFR EUR</v>
      </c>
      <c r="F3763" t="str">
        <f t="shared" ca="1" si="293"/>
        <v>RFR GBP</v>
      </c>
      <c r="J3763" s="1"/>
      <c r="N3763" s="1"/>
      <c r="R3763" s="1"/>
      <c r="V3763" s="1"/>
      <c r="AB3763" s="1"/>
      <c r="AF3763" s="1"/>
      <c r="AJ3763" s="1"/>
      <c r="AN3763" s="1"/>
      <c r="AS3763" s="1"/>
      <c r="AX3763" s="1"/>
    </row>
    <row r="3764" spans="1:50" x14ac:dyDescent="0.3">
      <c r="A3764" s="19">
        <f t="shared" si="294"/>
        <v>51183</v>
      </c>
      <c r="B3764">
        <f t="shared" ca="1" si="290"/>
        <v>-13.975</v>
      </c>
      <c r="C3764" t="str">
        <f ca="1">IF(currency="USD",'Future et co'!D3764,IF(currency="EUR",'Future et co'!E3764,IF(currency="GBP",'Future et co'!F3764,FALSE)))</f>
        <v>RFR USD</v>
      </c>
      <c r="D3764" t="str">
        <f t="shared" ca="1" si="291"/>
        <v>RFR USD</v>
      </c>
      <c r="E3764" t="str">
        <f t="shared" ca="1" si="292"/>
        <v>RFR EUR</v>
      </c>
      <c r="F3764" t="str">
        <f t="shared" ca="1" si="293"/>
        <v>RFR GBP</v>
      </c>
      <c r="J3764" s="1"/>
      <c r="N3764" s="1"/>
      <c r="R3764" s="1"/>
      <c r="V3764" s="1"/>
      <c r="AB3764" s="1"/>
      <c r="AF3764" s="1"/>
      <c r="AJ3764" s="1"/>
      <c r="AN3764" s="1"/>
      <c r="AS3764" s="1"/>
      <c r="AX3764" s="1"/>
    </row>
    <row r="3765" spans="1:50" x14ac:dyDescent="0.3">
      <c r="A3765" s="19">
        <f t="shared" si="294"/>
        <v>51186</v>
      </c>
      <c r="B3765">
        <f t="shared" ca="1" si="290"/>
        <v>-13.983333333333333</v>
      </c>
      <c r="C3765" t="str">
        <f ca="1">IF(currency="USD",'Future et co'!D3765,IF(currency="EUR",'Future et co'!E3765,IF(currency="GBP",'Future et co'!F3765,FALSE)))</f>
        <v>RFR USD</v>
      </c>
      <c r="D3765" t="str">
        <f t="shared" ca="1" si="291"/>
        <v>RFR USD</v>
      </c>
      <c r="E3765" t="str">
        <f t="shared" ca="1" si="292"/>
        <v>RFR EUR</v>
      </c>
      <c r="F3765" t="str">
        <f t="shared" ca="1" si="293"/>
        <v>RFR GBP</v>
      </c>
      <c r="J3765" s="1"/>
      <c r="N3765" s="1"/>
      <c r="R3765" s="1"/>
      <c r="V3765" s="1"/>
      <c r="AB3765" s="1"/>
      <c r="AF3765" s="1"/>
      <c r="AJ3765" s="1"/>
      <c r="AN3765" s="1"/>
      <c r="AS3765" s="1"/>
      <c r="AX3765" s="1"/>
    </row>
    <row r="3766" spans="1:50" x14ac:dyDescent="0.3">
      <c r="A3766" s="19">
        <f t="shared" si="294"/>
        <v>51187</v>
      </c>
      <c r="B3766">
        <f t="shared" ca="1" si="290"/>
        <v>-13.986111111111111</v>
      </c>
      <c r="C3766" t="str">
        <f ca="1">IF(currency="USD",'Future et co'!D3766,IF(currency="EUR",'Future et co'!E3766,IF(currency="GBP",'Future et co'!F3766,FALSE)))</f>
        <v>RFR USD</v>
      </c>
      <c r="D3766" t="str">
        <f t="shared" ca="1" si="291"/>
        <v>RFR USD</v>
      </c>
      <c r="E3766" t="str">
        <f t="shared" ca="1" si="292"/>
        <v>RFR EUR</v>
      </c>
      <c r="F3766" t="str">
        <f t="shared" ca="1" si="293"/>
        <v>RFR GBP</v>
      </c>
      <c r="J3766" s="1"/>
      <c r="N3766" s="1"/>
      <c r="R3766" s="1"/>
      <c r="V3766" s="1"/>
      <c r="AB3766" s="1"/>
      <c r="AF3766" s="1"/>
      <c r="AJ3766" s="1"/>
      <c r="AN3766" s="1"/>
      <c r="AS3766" s="1"/>
      <c r="AX3766" s="1"/>
    </row>
    <row r="3767" spans="1:50" x14ac:dyDescent="0.3">
      <c r="A3767" s="19">
        <f t="shared" si="294"/>
        <v>51188</v>
      </c>
      <c r="B3767">
        <f t="shared" ca="1" si="290"/>
        <v>-13.988888888888889</v>
      </c>
      <c r="C3767" t="str">
        <f ca="1">IF(currency="USD",'Future et co'!D3767,IF(currency="EUR",'Future et co'!E3767,IF(currency="GBP",'Future et co'!F3767,FALSE)))</f>
        <v>RFR USD</v>
      </c>
      <c r="D3767" t="str">
        <f t="shared" ca="1" si="291"/>
        <v>RFR USD</v>
      </c>
      <c r="E3767" t="str">
        <f t="shared" ca="1" si="292"/>
        <v>RFR EUR</v>
      </c>
      <c r="F3767" t="str">
        <f t="shared" ca="1" si="293"/>
        <v>RFR GBP</v>
      </c>
      <c r="J3767" s="1"/>
      <c r="N3767" s="1"/>
      <c r="R3767" s="1"/>
      <c r="V3767" s="1"/>
      <c r="AB3767" s="1"/>
      <c r="AF3767" s="1"/>
      <c r="AJ3767" s="1"/>
      <c r="AN3767" s="1"/>
      <c r="AS3767" s="1"/>
      <c r="AX3767" s="1"/>
    </row>
    <row r="3768" spans="1:50" x14ac:dyDescent="0.3">
      <c r="A3768" s="19">
        <f t="shared" si="294"/>
        <v>51189</v>
      </c>
      <c r="B3768">
        <f t="shared" ca="1" si="290"/>
        <v>-13.991666666666667</v>
      </c>
      <c r="C3768" t="str">
        <f ca="1">IF(currency="USD",'Future et co'!D3768,IF(currency="EUR",'Future et co'!E3768,IF(currency="GBP",'Future et co'!F3768,FALSE)))</f>
        <v>RFR USD</v>
      </c>
      <c r="D3768" t="str">
        <f t="shared" ca="1" si="291"/>
        <v>RFR USD</v>
      </c>
      <c r="E3768" t="str">
        <f t="shared" ca="1" si="292"/>
        <v>RFR EUR</v>
      </c>
      <c r="F3768" t="str">
        <f t="shared" ca="1" si="293"/>
        <v>RFR GBP</v>
      </c>
      <c r="J3768" s="1"/>
      <c r="N3768" s="1"/>
      <c r="R3768" s="1"/>
      <c r="V3768" s="1"/>
      <c r="AB3768" s="1"/>
      <c r="AF3768" s="1"/>
      <c r="AJ3768" s="1"/>
      <c r="AN3768" s="1"/>
      <c r="AS3768" s="1"/>
      <c r="AX3768" s="1"/>
    </row>
    <row r="3769" spans="1:50" x14ac:dyDescent="0.3">
      <c r="A3769" s="19">
        <f t="shared" si="294"/>
        <v>51190</v>
      </c>
      <c r="B3769">
        <f t="shared" ca="1" si="290"/>
        <v>-13.994444444444444</v>
      </c>
      <c r="C3769" t="str">
        <f ca="1">IF(currency="USD",'Future et co'!D3769,IF(currency="EUR",'Future et co'!E3769,IF(currency="GBP",'Future et co'!F3769,FALSE)))</f>
        <v>RFR USD</v>
      </c>
      <c r="D3769" t="str">
        <f t="shared" ca="1" si="291"/>
        <v>RFR USD</v>
      </c>
      <c r="E3769" t="str">
        <f t="shared" ca="1" si="292"/>
        <v>RFR EUR</v>
      </c>
      <c r="F3769" t="str">
        <f t="shared" ca="1" si="293"/>
        <v>RFR GBP</v>
      </c>
      <c r="J3769" s="1"/>
      <c r="N3769" s="1"/>
      <c r="R3769" s="1"/>
      <c r="V3769" s="1"/>
      <c r="AB3769" s="1"/>
      <c r="AF3769" s="1"/>
      <c r="AJ3769" s="1"/>
      <c r="AN3769" s="1"/>
      <c r="AS3769" s="1"/>
      <c r="AX3769" s="1"/>
    </row>
    <row r="3770" spans="1:50" x14ac:dyDescent="0.3">
      <c r="A3770" s="19">
        <f t="shared" si="294"/>
        <v>51193</v>
      </c>
      <c r="B3770">
        <f t="shared" ca="1" si="290"/>
        <v>-14.002777777777778</v>
      </c>
      <c r="C3770" t="str">
        <f ca="1">IF(currency="USD",'Future et co'!D3770,IF(currency="EUR",'Future et co'!E3770,IF(currency="GBP",'Future et co'!F3770,FALSE)))</f>
        <v>RFR USD</v>
      </c>
      <c r="D3770" t="str">
        <f t="shared" ca="1" si="291"/>
        <v>RFR USD</v>
      </c>
      <c r="E3770" t="str">
        <f t="shared" ca="1" si="292"/>
        <v>RFR EUR</v>
      </c>
      <c r="F3770" t="str">
        <f t="shared" ca="1" si="293"/>
        <v>RFR GBP</v>
      </c>
      <c r="J3770" s="1"/>
      <c r="N3770" s="1"/>
      <c r="R3770" s="1"/>
      <c r="V3770" s="1"/>
      <c r="AB3770" s="1"/>
      <c r="AF3770" s="1"/>
      <c r="AJ3770" s="1"/>
      <c r="AN3770" s="1"/>
      <c r="AS3770" s="1"/>
      <c r="AX3770" s="1"/>
    </row>
    <row r="3771" spans="1:50" x14ac:dyDescent="0.3">
      <c r="A3771" s="19">
        <f t="shared" si="294"/>
        <v>51194</v>
      </c>
      <c r="B3771">
        <f t="shared" ca="1" si="290"/>
        <v>-14.005555555555556</v>
      </c>
      <c r="C3771" t="str">
        <f ca="1">IF(currency="USD",'Future et co'!D3771,IF(currency="EUR",'Future et co'!E3771,IF(currency="GBP",'Future et co'!F3771,FALSE)))</f>
        <v>RFR USD</v>
      </c>
      <c r="D3771" t="str">
        <f t="shared" ca="1" si="291"/>
        <v>RFR USD</v>
      </c>
      <c r="E3771" t="str">
        <f t="shared" ca="1" si="292"/>
        <v>RFR EUR</v>
      </c>
      <c r="F3771" t="str">
        <f t="shared" ca="1" si="293"/>
        <v>RFR GBP</v>
      </c>
      <c r="J3771" s="1"/>
      <c r="N3771" s="1"/>
      <c r="R3771" s="1"/>
      <c r="V3771" s="1"/>
      <c r="AB3771" s="1"/>
      <c r="AF3771" s="1"/>
      <c r="AJ3771" s="1"/>
      <c r="AN3771" s="1"/>
      <c r="AS3771" s="1"/>
      <c r="AX3771" s="1"/>
    </row>
    <row r="3772" spans="1:50" x14ac:dyDescent="0.3">
      <c r="A3772" s="19">
        <f t="shared" si="294"/>
        <v>51195</v>
      </c>
      <c r="B3772">
        <f t="shared" ca="1" si="290"/>
        <v>-14.008333333333333</v>
      </c>
      <c r="C3772" t="str">
        <f ca="1">IF(currency="USD",'Future et co'!D3772,IF(currency="EUR",'Future et co'!E3772,IF(currency="GBP",'Future et co'!F3772,FALSE)))</f>
        <v>RFR USD</v>
      </c>
      <c r="D3772" t="str">
        <f t="shared" ca="1" si="291"/>
        <v>RFR USD</v>
      </c>
      <c r="E3772" t="str">
        <f t="shared" ca="1" si="292"/>
        <v>RFR EUR</v>
      </c>
      <c r="F3772" t="str">
        <f t="shared" ca="1" si="293"/>
        <v>RFR GBP</v>
      </c>
      <c r="J3772" s="1"/>
      <c r="N3772" s="1"/>
      <c r="R3772" s="1"/>
      <c r="V3772" s="1"/>
      <c r="AB3772" s="1"/>
      <c r="AF3772" s="1"/>
      <c r="AJ3772" s="1"/>
      <c r="AN3772" s="1"/>
      <c r="AS3772" s="1"/>
      <c r="AX3772" s="1"/>
    </row>
    <row r="3773" spans="1:50" x14ac:dyDescent="0.3">
      <c r="A3773" s="19">
        <f t="shared" si="294"/>
        <v>51196</v>
      </c>
      <c r="B3773">
        <f t="shared" ca="1" si="290"/>
        <v>-14.011111111111111</v>
      </c>
      <c r="C3773" t="str">
        <f ca="1">IF(currency="USD",'Future et co'!D3773,IF(currency="EUR",'Future et co'!E3773,IF(currency="GBP",'Future et co'!F3773,FALSE)))</f>
        <v>RFR USD</v>
      </c>
      <c r="D3773" t="str">
        <f t="shared" ca="1" si="291"/>
        <v>RFR USD</v>
      </c>
      <c r="E3773" t="str">
        <f t="shared" ca="1" si="292"/>
        <v>RFR EUR</v>
      </c>
      <c r="F3773" t="str">
        <f t="shared" ca="1" si="293"/>
        <v>RFR GBP</v>
      </c>
      <c r="J3773" s="1"/>
      <c r="N3773" s="1"/>
      <c r="R3773" s="1"/>
      <c r="V3773" s="1"/>
      <c r="AB3773" s="1"/>
      <c r="AF3773" s="1"/>
      <c r="AJ3773" s="1"/>
      <c r="AN3773" s="1"/>
      <c r="AS3773" s="1"/>
      <c r="AX3773" s="1"/>
    </row>
    <row r="3774" spans="1:50" x14ac:dyDescent="0.3">
      <c r="A3774" s="19">
        <f t="shared" si="294"/>
        <v>51197</v>
      </c>
      <c r="B3774">
        <f t="shared" ca="1" si="290"/>
        <v>-14.013888888888889</v>
      </c>
      <c r="C3774" t="str">
        <f ca="1">IF(currency="USD",'Future et co'!D3774,IF(currency="EUR",'Future et co'!E3774,IF(currency="GBP",'Future et co'!F3774,FALSE)))</f>
        <v>RFR USD</v>
      </c>
      <c r="D3774" t="str">
        <f t="shared" ca="1" si="291"/>
        <v>RFR USD</v>
      </c>
      <c r="E3774" t="str">
        <f t="shared" ca="1" si="292"/>
        <v>RFR EUR</v>
      </c>
      <c r="F3774" t="str">
        <f t="shared" ca="1" si="293"/>
        <v>RFR GBP</v>
      </c>
      <c r="J3774" s="1"/>
      <c r="N3774" s="1"/>
      <c r="R3774" s="1"/>
      <c r="V3774" s="1"/>
      <c r="AB3774" s="1"/>
      <c r="AF3774" s="1"/>
      <c r="AJ3774" s="1"/>
      <c r="AN3774" s="1"/>
      <c r="AS3774" s="1"/>
      <c r="AX3774" s="1"/>
    </row>
    <row r="3775" spans="1:50" x14ac:dyDescent="0.3">
      <c r="A3775" s="19">
        <f t="shared" si="294"/>
        <v>51200</v>
      </c>
      <c r="B3775">
        <f t="shared" ca="1" si="290"/>
        <v>-14.022222222222222</v>
      </c>
      <c r="C3775" t="str">
        <f ca="1">IF(currency="USD",'Future et co'!D3775,IF(currency="EUR",'Future et co'!E3775,IF(currency="GBP",'Future et co'!F3775,FALSE)))</f>
        <v>RFR USD</v>
      </c>
      <c r="D3775" t="str">
        <f t="shared" ca="1" si="291"/>
        <v>RFR USD</v>
      </c>
      <c r="E3775" t="str">
        <f t="shared" ca="1" si="292"/>
        <v>RFR EUR</v>
      </c>
      <c r="F3775" t="str">
        <f t="shared" ca="1" si="293"/>
        <v>RFR GBP</v>
      </c>
      <c r="J3775" s="1"/>
      <c r="N3775" s="1"/>
      <c r="R3775" s="1"/>
      <c r="V3775" s="1"/>
      <c r="AB3775" s="1"/>
      <c r="AF3775" s="1"/>
      <c r="AJ3775" s="1"/>
      <c r="AN3775" s="1"/>
      <c r="AS3775" s="1"/>
      <c r="AX3775" s="1"/>
    </row>
    <row r="3776" spans="1:50" x14ac:dyDescent="0.3">
      <c r="A3776" s="19">
        <f t="shared" si="294"/>
        <v>51201</v>
      </c>
      <c r="B3776">
        <f t="shared" ca="1" si="290"/>
        <v>-14.025</v>
      </c>
      <c r="C3776" t="str">
        <f ca="1">IF(currency="USD",'Future et co'!D3776,IF(currency="EUR",'Future et co'!E3776,IF(currency="GBP",'Future et co'!F3776,FALSE)))</f>
        <v>RFR USD</v>
      </c>
      <c r="D3776" t="str">
        <f t="shared" ca="1" si="291"/>
        <v>RFR USD</v>
      </c>
      <c r="E3776" t="str">
        <f t="shared" ca="1" si="292"/>
        <v>RFR EUR</v>
      </c>
      <c r="F3776" t="str">
        <f t="shared" ca="1" si="293"/>
        <v>RFR GBP</v>
      </c>
      <c r="J3776" s="1"/>
      <c r="N3776" s="1"/>
      <c r="R3776" s="1"/>
      <c r="V3776" s="1"/>
      <c r="AB3776" s="1"/>
      <c r="AF3776" s="1"/>
      <c r="AJ3776" s="1"/>
      <c r="AN3776" s="1"/>
      <c r="AS3776" s="1"/>
      <c r="AX3776" s="1"/>
    </row>
    <row r="3777" spans="1:50" x14ac:dyDescent="0.3">
      <c r="A3777" s="19">
        <f t="shared" si="294"/>
        <v>51202</v>
      </c>
      <c r="B3777">
        <f t="shared" ca="1" si="290"/>
        <v>-14.027777777777779</v>
      </c>
      <c r="C3777" t="str">
        <f ca="1">IF(currency="USD",'Future et co'!D3777,IF(currency="EUR",'Future et co'!E3777,IF(currency="GBP",'Future et co'!F3777,FALSE)))</f>
        <v>RFR USD</v>
      </c>
      <c r="D3777" t="str">
        <f t="shared" ca="1" si="291"/>
        <v>RFR USD</v>
      </c>
      <c r="E3777" t="str">
        <f t="shared" ca="1" si="292"/>
        <v>RFR EUR</v>
      </c>
      <c r="F3777" t="str">
        <f t="shared" ca="1" si="293"/>
        <v>RFR GBP</v>
      </c>
      <c r="J3777" s="1"/>
      <c r="N3777" s="1"/>
      <c r="R3777" s="1"/>
      <c r="V3777" s="1"/>
      <c r="AB3777" s="1"/>
      <c r="AF3777" s="1"/>
      <c r="AJ3777" s="1"/>
      <c r="AN3777" s="1"/>
      <c r="AS3777" s="1"/>
      <c r="AX3777" s="1"/>
    </row>
    <row r="3778" spans="1:50" x14ac:dyDescent="0.3">
      <c r="A3778" s="19">
        <f t="shared" si="294"/>
        <v>51203</v>
      </c>
      <c r="B3778">
        <f t="shared" ca="1" si="290"/>
        <v>-14.030555555555555</v>
      </c>
      <c r="C3778" t="str">
        <f ca="1">IF(currency="USD",'Future et co'!D3778,IF(currency="EUR",'Future et co'!E3778,IF(currency="GBP",'Future et co'!F3778,FALSE)))</f>
        <v>RFR USD</v>
      </c>
      <c r="D3778" t="str">
        <f t="shared" ca="1" si="291"/>
        <v>RFR USD</v>
      </c>
      <c r="E3778" t="str">
        <f t="shared" ca="1" si="292"/>
        <v>RFR EUR</v>
      </c>
      <c r="F3778" t="str">
        <f t="shared" ca="1" si="293"/>
        <v>RFR GBP</v>
      </c>
      <c r="J3778" s="1"/>
      <c r="N3778" s="1"/>
      <c r="R3778" s="1"/>
      <c r="V3778" s="1"/>
      <c r="AB3778" s="1"/>
      <c r="AF3778" s="1"/>
      <c r="AJ3778" s="1"/>
      <c r="AN3778" s="1"/>
      <c r="AS3778" s="1"/>
      <c r="AX3778" s="1"/>
    </row>
    <row r="3779" spans="1:50" x14ac:dyDescent="0.3">
      <c r="A3779" s="19">
        <f t="shared" si="294"/>
        <v>51204</v>
      </c>
      <c r="B3779">
        <f t="shared" ca="1" si="290"/>
        <v>-14.033333333333333</v>
      </c>
      <c r="C3779" t="str">
        <f ca="1">IF(currency="USD",'Future et co'!D3779,IF(currency="EUR",'Future et co'!E3779,IF(currency="GBP",'Future et co'!F3779,FALSE)))</f>
        <v>RFR USD</v>
      </c>
      <c r="D3779" t="str">
        <f t="shared" ca="1" si="291"/>
        <v>RFR USD</v>
      </c>
      <c r="E3779" t="str">
        <f t="shared" ca="1" si="292"/>
        <v>RFR EUR</v>
      </c>
      <c r="F3779" t="str">
        <f t="shared" ca="1" si="293"/>
        <v>RFR GBP</v>
      </c>
      <c r="J3779" s="1"/>
      <c r="N3779" s="1"/>
      <c r="R3779" s="1"/>
      <c r="V3779" s="1"/>
      <c r="AB3779" s="1"/>
      <c r="AF3779" s="1"/>
      <c r="AJ3779" s="1"/>
      <c r="AN3779" s="1"/>
      <c r="AS3779" s="1"/>
      <c r="AX3779" s="1"/>
    </row>
    <row r="3780" spans="1:50" x14ac:dyDescent="0.3">
      <c r="A3780" s="19">
        <f t="shared" si="294"/>
        <v>51207</v>
      </c>
      <c r="B3780">
        <f t="shared" ca="1" si="290"/>
        <v>-14.041666666666666</v>
      </c>
      <c r="C3780" t="str">
        <f ca="1">IF(currency="USD",'Future et co'!D3780,IF(currency="EUR",'Future et co'!E3780,IF(currency="GBP",'Future et co'!F3780,FALSE)))</f>
        <v>RFR USD</v>
      </c>
      <c r="D3780" t="str">
        <f t="shared" ca="1" si="291"/>
        <v>RFR USD</v>
      </c>
      <c r="E3780" t="str">
        <f t="shared" ca="1" si="292"/>
        <v>RFR EUR</v>
      </c>
      <c r="F3780" t="str">
        <f t="shared" ca="1" si="293"/>
        <v>RFR GBP</v>
      </c>
      <c r="J3780" s="1"/>
      <c r="N3780" s="1"/>
      <c r="R3780" s="1"/>
      <c r="V3780" s="1"/>
      <c r="AB3780" s="1"/>
      <c r="AF3780" s="1"/>
      <c r="AJ3780" s="1"/>
      <c r="AN3780" s="1"/>
      <c r="AS3780" s="1"/>
      <c r="AX3780" s="1"/>
    </row>
    <row r="3781" spans="1:50" x14ac:dyDescent="0.3">
      <c r="A3781" s="19">
        <f t="shared" si="294"/>
        <v>51208</v>
      </c>
      <c r="B3781">
        <f t="shared" ca="1" si="290"/>
        <v>-14.044444444444444</v>
      </c>
      <c r="C3781" t="str">
        <f ca="1">IF(currency="USD",'Future et co'!D3781,IF(currency="EUR",'Future et co'!E3781,IF(currency="GBP",'Future et co'!F3781,FALSE)))</f>
        <v>RFR USD</v>
      </c>
      <c r="D3781" t="str">
        <f t="shared" ca="1" si="291"/>
        <v>RFR USD</v>
      </c>
      <c r="E3781" t="str">
        <f t="shared" ca="1" si="292"/>
        <v>RFR EUR</v>
      </c>
      <c r="F3781" t="str">
        <f t="shared" ca="1" si="293"/>
        <v>RFR GBP</v>
      </c>
      <c r="J3781" s="1"/>
      <c r="N3781" s="1"/>
      <c r="R3781" s="1"/>
      <c r="V3781" s="1"/>
      <c r="AB3781" s="1"/>
      <c r="AF3781" s="1"/>
      <c r="AJ3781" s="1"/>
      <c r="AN3781" s="1"/>
      <c r="AS3781" s="1"/>
      <c r="AX3781" s="1"/>
    </row>
    <row r="3782" spans="1:50" x14ac:dyDescent="0.3">
      <c r="A3782" s="19">
        <f t="shared" si="294"/>
        <v>51209</v>
      </c>
      <c r="B3782">
        <f t="shared" ca="1" si="290"/>
        <v>-14.047222222222222</v>
      </c>
      <c r="C3782" t="str">
        <f ca="1">IF(currency="USD",'Future et co'!D3782,IF(currency="EUR",'Future et co'!E3782,IF(currency="GBP",'Future et co'!F3782,FALSE)))</f>
        <v>RFR USD</v>
      </c>
      <c r="D3782" t="str">
        <f t="shared" ca="1" si="291"/>
        <v>RFR USD</v>
      </c>
      <c r="E3782" t="str">
        <f t="shared" ca="1" si="292"/>
        <v>RFR EUR</v>
      </c>
      <c r="F3782" t="str">
        <f t="shared" ca="1" si="293"/>
        <v>RFR GBP</v>
      </c>
      <c r="J3782" s="1"/>
      <c r="N3782" s="1"/>
      <c r="R3782" s="1"/>
      <c r="V3782" s="1"/>
      <c r="AB3782" s="1"/>
      <c r="AF3782" s="1"/>
      <c r="AJ3782" s="1"/>
      <c r="AN3782" s="1"/>
      <c r="AS3782" s="1"/>
      <c r="AX3782" s="1"/>
    </row>
    <row r="3783" spans="1:50" x14ac:dyDescent="0.3">
      <c r="A3783" s="19">
        <f t="shared" si="294"/>
        <v>51210</v>
      </c>
      <c r="B3783">
        <f t="shared" ca="1" si="290"/>
        <v>-14.05</v>
      </c>
      <c r="C3783" t="str">
        <f ca="1">IF(currency="USD",'Future et co'!D3783,IF(currency="EUR",'Future et co'!E3783,IF(currency="GBP",'Future et co'!F3783,FALSE)))</f>
        <v>RFR USD</v>
      </c>
      <c r="D3783" t="str">
        <f t="shared" ca="1" si="291"/>
        <v>RFR USD</v>
      </c>
      <c r="E3783" t="str">
        <f t="shared" ca="1" si="292"/>
        <v>RFR EUR</v>
      </c>
      <c r="F3783" t="str">
        <f t="shared" ca="1" si="293"/>
        <v>RFR GBP</v>
      </c>
      <c r="J3783" s="1"/>
      <c r="N3783" s="1"/>
      <c r="R3783" s="1"/>
      <c r="V3783" s="1"/>
      <c r="AB3783" s="1"/>
      <c r="AF3783" s="1"/>
      <c r="AJ3783" s="1"/>
      <c r="AN3783" s="1"/>
      <c r="AS3783" s="1"/>
      <c r="AX3783" s="1"/>
    </row>
    <row r="3784" spans="1:50" x14ac:dyDescent="0.3">
      <c r="A3784" s="19">
        <f t="shared" si="294"/>
        <v>51211</v>
      </c>
      <c r="B3784">
        <f t="shared" ca="1" si="290"/>
        <v>-14.052777777777777</v>
      </c>
      <c r="C3784" t="str">
        <f ca="1">IF(currency="USD",'Future et co'!D3784,IF(currency="EUR",'Future et co'!E3784,IF(currency="GBP",'Future et co'!F3784,FALSE)))</f>
        <v>RFR USD</v>
      </c>
      <c r="D3784" t="str">
        <f t="shared" ca="1" si="291"/>
        <v>RFR USD</v>
      </c>
      <c r="E3784" t="str">
        <f t="shared" ca="1" si="292"/>
        <v>RFR EUR</v>
      </c>
      <c r="F3784" t="str">
        <f t="shared" ca="1" si="293"/>
        <v>RFR GBP</v>
      </c>
      <c r="J3784" s="1"/>
      <c r="N3784" s="1"/>
      <c r="R3784" s="1"/>
      <c r="V3784" s="1"/>
      <c r="AB3784" s="1"/>
      <c r="AF3784" s="1"/>
      <c r="AJ3784" s="1"/>
      <c r="AN3784" s="1"/>
      <c r="AS3784" s="1"/>
      <c r="AX3784" s="1"/>
    </row>
    <row r="3785" spans="1:50" x14ac:dyDescent="0.3">
      <c r="A3785" s="19">
        <f t="shared" si="294"/>
        <v>51214</v>
      </c>
      <c r="B3785">
        <f t="shared" ca="1" si="290"/>
        <v>-14.061111111111112</v>
      </c>
      <c r="C3785" t="str">
        <f ca="1">IF(currency="USD",'Future et co'!D3785,IF(currency="EUR",'Future et co'!E3785,IF(currency="GBP",'Future et co'!F3785,FALSE)))</f>
        <v>RFR USD</v>
      </c>
      <c r="D3785" t="str">
        <f t="shared" ca="1" si="291"/>
        <v>RFR USD</v>
      </c>
      <c r="E3785" t="str">
        <f t="shared" ca="1" si="292"/>
        <v>RFR EUR</v>
      </c>
      <c r="F3785" t="str">
        <f t="shared" ca="1" si="293"/>
        <v>RFR GBP</v>
      </c>
      <c r="J3785" s="1"/>
      <c r="N3785" s="1"/>
      <c r="R3785" s="1"/>
      <c r="V3785" s="1"/>
      <c r="AB3785" s="1"/>
      <c r="AF3785" s="1"/>
      <c r="AJ3785" s="1"/>
      <c r="AN3785" s="1"/>
      <c r="AS3785" s="1"/>
      <c r="AX3785" s="1"/>
    </row>
    <row r="3786" spans="1:50" x14ac:dyDescent="0.3">
      <c r="A3786" s="19">
        <f t="shared" si="294"/>
        <v>51215</v>
      </c>
      <c r="B3786">
        <f t="shared" ca="1" si="290"/>
        <v>-14.063888888888888</v>
      </c>
      <c r="C3786" t="str">
        <f ca="1">IF(currency="USD",'Future et co'!D3786,IF(currency="EUR",'Future et co'!E3786,IF(currency="GBP",'Future et co'!F3786,FALSE)))</f>
        <v>RFR USD</v>
      </c>
      <c r="D3786" t="str">
        <f t="shared" ca="1" si="291"/>
        <v>RFR USD</v>
      </c>
      <c r="E3786" t="str">
        <f t="shared" ca="1" si="292"/>
        <v>RFR EUR</v>
      </c>
      <c r="F3786" t="str">
        <f t="shared" ca="1" si="293"/>
        <v>RFR GBP</v>
      </c>
      <c r="J3786" s="1"/>
      <c r="N3786" s="1"/>
      <c r="R3786" s="1"/>
      <c r="V3786" s="1"/>
      <c r="AB3786" s="1"/>
      <c r="AF3786" s="1"/>
      <c r="AJ3786" s="1"/>
      <c r="AN3786" s="1"/>
      <c r="AS3786" s="1"/>
      <c r="AX3786" s="1"/>
    </row>
    <row r="3787" spans="1:50" x14ac:dyDescent="0.3">
      <c r="A3787" s="19">
        <f t="shared" si="294"/>
        <v>51216</v>
      </c>
      <c r="B3787">
        <f t="shared" ref="B3787:B3850" ca="1" si="295">($B$7-A3787)/360</f>
        <v>-14.066666666666666</v>
      </c>
      <c r="C3787" t="str">
        <f ca="1">IF(currency="USD",'Future et co'!D3787,IF(currency="EUR",'Future et co'!E3787,IF(currency="GBP",'Future et co'!F3787,FALSE)))</f>
        <v>RFR USD</v>
      </c>
      <c r="D3787" t="str">
        <f t="shared" ref="D3787:D3850" ca="1" si="296">IFERROR(IF(B3787&lt;0.25,VLOOKUP(A3787,$J$11:$L$5325,3,FALSE),IF(AND(B3787&gt;=0.25,B3787&lt;0.5),VLOOKUP(A3787,$N$11:$P$5325,3,FALSE),IF(AND(B3787&gt;=0.5,B3787&lt;1),VLOOKUP(A3787,$R$11:$T$5325,3,FALSE),VLOOKUP(A3787,$V$11:$X$5010,3,FALSE)))),D3786)</f>
        <v>RFR USD</v>
      </c>
      <c r="E3787" t="str">
        <f t="shared" ref="E3787:E3850" ca="1" si="297">IFERROR(IF(B3787&lt;0.25,VLOOKUP(A3787,$AF$11:$AH$5325,3,FALSE),IF(AND(B3787&gt;=0.25,B3787&lt;0.5),VLOOKUP(A3787,$AJ$11:$AL$5325,3,FALSE),VLOOKUP(A3787,$AN$11:$AP$5325,3,FALSE))),E3786)</f>
        <v>RFR EUR</v>
      </c>
      <c r="F3787" t="str">
        <f t="shared" ref="F3787:F3850" ca="1" si="298">IFERROR(VLOOKUP(A3787,$AS$11:$AU$9999,3,FALSE),F3786)</f>
        <v>RFR GBP</v>
      </c>
      <c r="J3787" s="1"/>
      <c r="N3787" s="1"/>
      <c r="R3787" s="1"/>
      <c r="V3787" s="1"/>
      <c r="AB3787" s="1"/>
      <c r="AF3787" s="1"/>
      <c r="AJ3787" s="1"/>
      <c r="AN3787" s="1"/>
      <c r="AS3787" s="1"/>
      <c r="AX3787" s="1"/>
    </row>
    <row r="3788" spans="1:50" x14ac:dyDescent="0.3">
      <c r="A3788" s="19">
        <f t="shared" si="294"/>
        <v>51217</v>
      </c>
      <c r="B3788">
        <f t="shared" ca="1" si="295"/>
        <v>-14.069444444444445</v>
      </c>
      <c r="C3788" t="str">
        <f ca="1">IF(currency="USD",'Future et co'!D3788,IF(currency="EUR",'Future et co'!E3788,IF(currency="GBP",'Future et co'!F3788,FALSE)))</f>
        <v>RFR USD</v>
      </c>
      <c r="D3788" t="str">
        <f t="shared" ca="1" si="296"/>
        <v>RFR USD</v>
      </c>
      <c r="E3788" t="str">
        <f t="shared" ca="1" si="297"/>
        <v>RFR EUR</v>
      </c>
      <c r="F3788" t="str">
        <f t="shared" ca="1" si="298"/>
        <v>RFR GBP</v>
      </c>
      <c r="J3788" s="1"/>
      <c r="N3788" s="1"/>
      <c r="R3788" s="1"/>
      <c r="V3788" s="1"/>
      <c r="AB3788" s="1"/>
      <c r="AF3788" s="1"/>
      <c r="AJ3788" s="1"/>
      <c r="AN3788" s="1"/>
      <c r="AS3788" s="1"/>
      <c r="AX3788" s="1"/>
    </row>
    <row r="3789" spans="1:50" x14ac:dyDescent="0.3">
      <c r="A3789" s="19">
        <f t="shared" ref="A3789:A3852" si="299">WORKDAY(A3788,1)</f>
        <v>51218</v>
      </c>
      <c r="B3789">
        <f t="shared" ca="1" si="295"/>
        <v>-14.072222222222223</v>
      </c>
      <c r="C3789" t="str">
        <f ca="1">IF(currency="USD",'Future et co'!D3789,IF(currency="EUR",'Future et co'!E3789,IF(currency="GBP",'Future et co'!F3789,FALSE)))</f>
        <v>RFR USD</v>
      </c>
      <c r="D3789" t="str">
        <f t="shared" ca="1" si="296"/>
        <v>RFR USD</v>
      </c>
      <c r="E3789" t="str">
        <f t="shared" ca="1" si="297"/>
        <v>RFR EUR</v>
      </c>
      <c r="F3789" t="str">
        <f t="shared" ca="1" si="298"/>
        <v>RFR GBP</v>
      </c>
      <c r="J3789" s="1"/>
      <c r="N3789" s="1"/>
      <c r="R3789" s="1"/>
      <c r="V3789" s="1"/>
      <c r="AB3789" s="1"/>
      <c r="AF3789" s="1"/>
      <c r="AJ3789" s="1"/>
      <c r="AN3789" s="1"/>
      <c r="AS3789" s="1"/>
      <c r="AX3789" s="1"/>
    </row>
    <row r="3790" spans="1:50" x14ac:dyDescent="0.3">
      <c r="A3790" s="19">
        <f t="shared" si="299"/>
        <v>51221</v>
      </c>
      <c r="B3790">
        <f t="shared" ca="1" si="295"/>
        <v>-14.080555555555556</v>
      </c>
      <c r="C3790" t="str">
        <f ca="1">IF(currency="USD",'Future et co'!D3790,IF(currency="EUR",'Future et co'!E3790,IF(currency="GBP",'Future et co'!F3790,FALSE)))</f>
        <v>RFR USD</v>
      </c>
      <c r="D3790" t="str">
        <f t="shared" ca="1" si="296"/>
        <v>RFR USD</v>
      </c>
      <c r="E3790" t="str">
        <f t="shared" ca="1" si="297"/>
        <v>RFR EUR</v>
      </c>
      <c r="F3790" t="str">
        <f t="shared" ca="1" si="298"/>
        <v>RFR GBP</v>
      </c>
      <c r="J3790" s="1"/>
      <c r="N3790" s="1"/>
      <c r="R3790" s="1"/>
      <c r="V3790" s="1"/>
      <c r="AB3790" s="1"/>
      <c r="AF3790" s="1"/>
      <c r="AJ3790" s="1"/>
      <c r="AN3790" s="1"/>
      <c r="AS3790" s="1"/>
      <c r="AX3790" s="1"/>
    </row>
    <row r="3791" spans="1:50" x14ac:dyDescent="0.3">
      <c r="A3791" s="19">
        <f t="shared" si="299"/>
        <v>51222</v>
      </c>
      <c r="B3791">
        <f t="shared" ca="1" si="295"/>
        <v>-14.083333333333334</v>
      </c>
      <c r="C3791" t="str">
        <f ca="1">IF(currency="USD",'Future et co'!D3791,IF(currency="EUR",'Future et co'!E3791,IF(currency="GBP",'Future et co'!F3791,FALSE)))</f>
        <v>RFR USD</v>
      </c>
      <c r="D3791" t="str">
        <f t="shared" ca="1" si="296"/>
        <v>RFR USD</v>
      </c>
      <c r="E3791" t="str">
        <f t="shared" ca="1" si="297"/>
        <v>RFR EUR</v>
      </c>
      <c r="F3791" t="str">
        <f t="shared" ca="1" si="298"/>
        <v>RFR GBP</v>
      </c>
      <c r="J3791" s="1"/>
      <c r="N3791" s="1"/>
      <c r="R3791" s="1"/>
      <c r="V3791" s="1"/>
      <c r="AB3791" s="1"/>
      <c r="AF3791" s="1"/>
      <c r="AJ3791" s="1"/>
      <c r="AN3791" s="1"/>
      <c r="AS3791" s="1"/>
      <c r="AX3791" s="1"/>
    </row>
    <row r="3792" spans="1:50" x14ac:dyDescent="0.3">
      <c r="A3792" s="19">
        <f t="shared" si="299"/>
        <v>51223</v>
      </c>
      <c r="B3792">
        <f t="shared" ca="1" si="295"/>
        <v>-14.08611111111111</v>
      </c>
      <c r="C3792" t="str">
        <f ca="1">IF(currency="USD",'Future et co'!D3792,IF(currency="EUR",'Future et co'!E3792,IF(currency="GBP",'Future et co'!F3792,FALSE)))</f>
        <v>RFR USD</v>
      </c>
      <c r="D3792" t="str">
        <f t="shared" ca="1" si="296"/>
        <v>RFR USD</v>
      </c>
      <c r="E3792" t="str">
        <f t="shared" ca="1" si="297"/>
        <v>RFR EUR</v>
      </c>
      <c r="F3792" t="str">
        <f t="shared" ca="1" si="298"/>
        <v>RFR GBP</v>
      </c>
      <c r="J3792" s="1"/>
      <c r="N3792" s="1"/>
      <c r="R3792" s="1"/>
      <c r="V3792" s="1"/>
      <c r="AB3792" s="1"/>
      <c r="AF3792" s="1"/>
      <c r="AJ3792" s="1"/>
      <c r="AN3792" s="1"/>
      <c r="AS3792" s="1"/>
      <c r="AX3792" s="1"/>
    </row>
    <row r="3793" spans="1:50" x14ac:dyDescent="0.3">
      <c r="A3793" s="19">
        <f t="shared" si="299"/>
        <v>51224</v>
      </c>
      <c r="B3793">
        <f t="shared" ca="1" si="295"/>
        <v>-14.088888888888889</v>
      </c>
      <c r="C3793" t="str">
        <f ca="1">IF(currency="USD",'Future et co'!D3793,IF(currency="EUR",'Future et co'!E3793,IF(currency="GBP",'Future et co'!F3793,FALSE)))</f>
        <v>RFR USD</v>
      </c>
      <c r="D3793" t="str">
        <f t="shared" ca="1" si="296"/>
        <v>RFR USD</v>
      </c>
      <c r="E3793" t="str">
        <f t="shared" ca="1" si="297"/>
        <v>RFR EUR</v>
      </c>
      <c r="F3793" t="str">
        <f t="shared" ca="1" si="298"/>
        <v>RFR GBP</v>
      </c>
      <c r="J3793" s="1"/>
      <c r="N3793" s="1"/>
      <c r="R3793" s="1"/>
      <c r="V3793" s="1"/>
      <c r="AB3793" s="1"/>
      <c r="AF3793" s="1"/>
      <c r="AJ3793" s="1"/>
      <c r="AN3793" s="1"/>
      <c r="AS3793" s="1"/>
      <c r="AX3793" s="1"/>
    </row>
    <row r="3794" spans="1:50" x14ac:dyDescent="0.3">
      <c r="A3794" s="19">
        <f t="shared" si="299"/>
        <v>51225</v>
      </c>
      <c r="B3794">
        <f t="shared" ca="1" si="295"/>
        <v>-14.091666666666667</v>
      </c>
      <c r="C3794" t="str">
        <f ca="1">IF(currency="USD",'Future et co'!D3794,IF(currency="EUR",'Future et co'!E3794,IF(currency="GBP",'Future et co'!F3794,FALSE)))</f>
        <v>RFR USD</v>
      </c>
      <c r="D3794" t="str">
        <f t="shared" ca="1" si="296"/>
        <v>RFR USD</v>
      </c>
      <c r="E3794" t="str">
        <f t="shared" ca="1" si="297"/>
        <v>RFR EUR</v>
      </c>
      <c r="F3794" t="str">
        <f t="shared" ca="1" si="298"/>
        <v>RFR GBP</v>
      </c>
      <c r="J3794" s="1"/>
      <c r="N3794" s="1"/>
      <c r="R3794" s="1"/>
      <c r="V3794" s="1"/>
      <c r="AB3794" s="1"/>
      <c r="AF3794" s="1"/>
      <c r="AJ3794" s="1"/>
      <c r="AN3794" s="1"/>
      <c r="AS3794" s="1"/>
      <c r="AX3794" s="1"/>
    </row>
    <row r="3795" spans="1:50" x14ac:dyDescent="0.3">
      <c r="A3795" s="19">
        <f t="shared" si="299"/>
        <v>51228</v>
      </c>
      <c r="B3795">
        <f t="shared" ca="1" si="295"/>
        <v>-14.1</v>
      </c>
      <c r="C3795" t="str">
        <f ca="1">IF(currency="USD",'Future et co'!D3795,IF(currency="EUR",'Future et co'!E3795,IF(currency="GBP",'Future et co'!F3795,FALSE)))</f>
        <v>RFR USD</v>
      </c>
      <c r="D3795" t="str">
        <f t="shared" ca="1" si="296"/>
        <v>RFR USD</v>
      </c>
      <c r="E3795" t="str">
        <f t="shared" ca="1" si="297"/>
        <v>RFR EUR</v>
      </c>
      <c r="F3795" t="str">
        <f t="shared" ca="1" si="298"/>
        <v>RFR GBP</v>
      </c>
      <c r="J3795" s="1"/>
      <c r="N3795" s="1"/>
      <c r="R3795" s="1"/>
      <c r="V3795" s="1"/>
      <c r="AB3795" s="1"/>
      <c r="AF3795" s="1"/>
      <c r="AJ3795" s="1"/>
      <c r="AN3795" s="1"/>
      <c r="AS3795" s="1"/>
      <c r="AX3795" s="1"/>
    </row>
    <row r="3796" spans="1:50" x14ac:dyDescent="0.3">
      <c r="A3796" s="19">
        <f t="shared" si="299"/>
        <v>51229</v>
      </c>
      <c r="B3796">
        <f t="shared" ca="1" si="295"/>
        <v>-14.102777777777778</v>
      </c>
      <c r="C3796" t="str">
        <f ca="1">IF(currency="USD",'Future et co'!D3796,IF(currency="EUR",'Future et co'!E3796,IF(currency="GBP",'Future et co'!F3796,FALSE)))</f>
        <v>RFR USD</v>
      </c>
      <c r="D3796" t="str">
        <f t="shared" ca="1" si="296"/>
        <v>RFR USD</v>
      </c>
      <c r="E3796" t="str">
        <f t="shared" ca="1" si="297"/>
        <v>RFR EUR</v>
      </c>
      <c r="F3796" t="str">
        <f t="shared" ca="1" si="298"/>
        <v>RFR GBP</v>
      </c>
      <c r="J3796" s="1"/>
      <c r="N3796" s="1"/>
      <c r="R3796" s="1"/>
      <c r="V3796" s="1"/>
      <c r="AB3796" s="1"/>
      <c r="AF3796" s="1"/>
      <c r="AJ3796" s="1"/>
      <c r="AN3796" s="1"/>
      <c r="AS3796" s="1"/>
      <c r="AX3796" s="1"/>
    </row>
    <row r="3797" spans="1:50" x14ac:dyDescent="0.3">
      <c r="A3797" s="19">
        <f t="shared" si="299"/>
        <v>51230</v>
      </c>
      <c r="B3797">
        <f t="shared" ca="1" si="295"/>
        <v>-14.105555555555556</v>
      </c>
      <c r="C3797" t="str">
        <f ca="1">IF(currency="USD",'Future et co'!D3797,IF(currency="EUR",'Future et co'!E3797,IF(currency="GBP",'Future et co'!F3797,FALSE)))</f>
        <v>RFR USD</v>
      </c>
      <c r="D3797" t="str">
        <f t="shared" ca="1" si="296"/>
        <v>RFR USD</v>
      </c>
      <c r="E3797" t="str">
        <f t="shared" ca="1" si="297"/>
        <v>RFR EUR</v>
      </c>
      <c r="F3797" t="str">
        <f t="shared" ca="1" si="298"/>
        <v>RFR GBP</v>
      </c>
      <c r="J3797" s="1"/>
      <c r="N3797" s="1"/>
      <c r="R3797" s="1"/>
      <c r="V3797" s="1"/>
      <c r="AB3797" s="1"/>
      <c r="AF3797" s="1"/>
      <c r="AJ3797" s="1"/>
      <c r="AN3797" s="1"/>
      <c r="AS3797" s="1"/>
      <c r="AX3797" s="1"/>
    </row>
    <row r="3798" spans="1:50" x14ac:dyDescent="0.3">
      <c r="A3798" s="19">
        <f t="shared" si="299"/>
        <v>51231</v>
      </c>
      <c r="B3798">
        <f t="shared" ca="1" si="295"/>
        <v>-14.108333333333333</v>
      </c>
      <c r="C3798" t="str">
        <f ca="1">IF(currency="USD",'Future et co'!D3798,IF(currency="EUR",'Future et co'!E3798,IF(currency="GBP",'Future et co'!F3798,FALSE)))</f>
        <v>RFR USD</v>
      </c>
      <c r="D3798" t="str">
        <f t="shared" ca="1" si="296"/>
        <v>RFR USD</v>
      </c>
      <c r="E3798" t="str">
        <f t="shared" ca="1" si="297"/>
        <v>RFR EUR</v>
      </c>
      <c r="F3798" t="str">
        <f t="shared" ca="1" si="298"/>
        <v>RFR GBP</v>
      </c>
      <c r="J3798" s="1"/>
      <c r="N3798" s="1"/>
      <c r="R3798" s="1"/>
      <c r="V3798" s="1"/>
      <c r="AB3798" s="1"/>
      <c r="AF3798" s="1"/>
      <c r="AJ3798" s="1"/>
      <c r="AN3798" s="1"/>
      <c r="AS3798" s="1"/>
      <c r="AX3798" s="1"/>
    </row>
    <row r="3799" spans="1:50" x14ac:dyDescent="0.3">
      <c r="A3799" s="19">
        <f t="shared" si="299"/>
        <v>51232</v>
      </c>
      <c r="B3799">
        <f t="shared" ca="1" si="295"/>
        <v>-14.111111111111111</v>
      </c>
      <c r="C3799" t="str">
        <f ca="1">IF(currency="USD",'Future et co'!D3799,IF(currency="EUR",'Future et co'!E3799,IF(currency="GBP",'Future et co'!F3799,FALSE)))</f>
        <v>RFR USD</v>
      </c>
      <c r="D3799" t="str">
        <f t="shared" ca="1" si="296"/>
        <v>RFR USD</v>
      </c>
      <c r="E3799" t="str">
        <f t="shared" ca="1" si="297"/>
        <v>RFR EUR</v>
      </c>
      <c r="F3799" t="str">
        <f t="shared" ca="1" si="298"/>
        <v>RFR GBP</v>
      </c>
      <c r="J3799" s="1"/>
      <c r="N3799" s="1"/>
      <c r="R3799" s="1"/>
      <c r="V3799" s="1"/>
      <c r="AB3799" s="1"/>
      <c r="AF3799" s="1"/>
      <c r="AJ3799" s="1"/>
      <c r="AN3799" s="1"/>
      <c r="AS3799" s="1"/>
      <c r="AX3799" s="1"/>
    </row>
    <row r="3800" spans="1:50" x14ac:dyDescent="0.3">
      <c r="A3800" s="19">
        <f t="shared" si="299"/>
        <v>51235</v>
      </c>
      <c r="B3800">
        <f t="shared" ca="1" si="295"/>
        <v>-14.119444444444444</v>
      </c>
      <c r="C3800" t="str">
        <f ca="1">IF(currency="USD",'Future et co'!D3800,IF(currency="EUR",'Future et co'!E3800,IF(currency="GBP",'Future et co'!F3800,FALSE)))</f>
        <v>RFR USD</v>
      </c>
      <c r="D3800" t="str">
        <f t="shared" ca="1" si="296"/>
        <v>RFR USD</v>
      </c>
      <c r="E3800" t="str">
        <f t="shared" ca="1" si="297"/>
        <v>RFR EUR</v>
      </c>
      <c r="F3800" t="str">
        <f t="shared" ca="1" si="298"/>
        <v>RFR GBP</v>
      </c>
      <c r="J3800" s="1"/>
      <c r="N3800" s="1"/>
      <c r="R3800" s="1"/>
      <c r="V3800" s="1"/>
      <c r="AB3800" s="1"/>
      <c r="AF3800" s="1"/>
      <c r="AJ3800" s="1"/>
      <c r="AN3800" s="1"/>
      <c r="AS3800" s="1"/>
      <c r="AX3800" s="1"/>
    </row>
    <row r="3801" spans="1:50" x14ac:dyDescent="0.3">
      <c r="A3801" s="19">
        <f t="shared" si="299"/>
        <v>51236</v>
      </c>
      <c r="B3801">
        <f t="shared" ca="1" si="295"/>
        <v>-14.122222222222222</v>
      </c>
      <c r="C3801" t="str">
        <f ca="1">IF(currency="USD",'Future et co'!D3801,IF(currency="EUR",'Future et co'!E3801,IF(currency="GBP",'Future et co'!F3801,FALSE)))</f>
        <v>RFR USD</v>
      </c>
      <c r="D3801" t="str">
        <f t="shared" ca="1" si="296"/>
        <v>RFR USD</v>
      </c>
      <c r="E3801" t="str">
        <f t="shared" ca="1" si="297"/>
        <v>RFR EUR</v>
      </c>
      <c r="F3801" t="str">
        <f t="shared" ca="1" si="298"/>
        <v>RFR GBP</v>
      </c>
      <c r="J3801" s="1"/>
      <c r="N3801" s="1"/>
      <c r="R3801" s="1"/>
      <c r="V3801" s="1"/>
      <c r="AB3801" s="1"/>
      <c r="AF3801" s="1"/>
      <c r="AJ3801" s="1"/>
      <c r="AN3801" s="1"/>
      <c r="AS3801" s="1"/>
      <c r="AX3801" s="1"/>
    </row>
    <row r="3802" spans="1:50" x14ac:dyDescent="0.3">
      <c r="A3802" s="19">
        <f t="shared" si="299"/>
        <v>51237</v>
      </c>
      <c r="B3802">
        <f t="shared" ca="1" si="295"/>
        <v>-14.125</v>
      </c>
      <c r="C3802" t="str">
        <f ca="1">IF(currency="USD",'Future et co'!D3802,IF(currency="EUR",'Future et co'!E3802,IF(currency="GBP",'Future et co'!F3802,FALSE)))</f>
        <v>RFR USD</v>
      </c>
      <c r="D3802" t="str">
        <f t="shared" ca="1" si="296"/>
        <v>RFR USD</v>
      </c>
      <c r="E3802" t="str">
        <f t="shared" ca="1" si="297"/>
        <v>RFR EUR</v>
      </c>
      <c r="F3802" t="str">
        <f t="shared" ca="1" si="298"/>
        <v>RFR GBP</v>
      </c>
      <c r="J3802" s="1"/>
      <c r="N3802" s="1"/>
      <c r="R3802" s="1"/>
      <c r="V3802" s="1"/>
      <c r="AB3802" s="1"/>
      <c r="AF3802" s="1"/>
      <c r="AJ3802" s="1"/>
      <c r="AN3802" s="1"/>
      <c r="AS3802" s="1"/>
      <c r="AX3802" s="1"/>
    </row>
    <row r="3803" spans="1:50" x14ac:dyDescent="0.3">
      <c r="A3803" s="19">
        <f t="shared" si="299"/>
        <v>51238</v>
      </c>
      <c r="B3803">
        <f t="shared" ca="1" si="295"/>
        <v>-14.127777777777778</v>
      </c>
      <c r="C3803" t="str">
        <f ca="1">IF(currency="USD",'Future et co'!D3803,IF(currency="EUR",'Future et co'!E3803,IF(currency="GBP",'Future et co'!F3803,FALSE)))</f>
        <v>RFR USD</v>
      </c>
      <c r="D3803" t="str">
        <f t="shared" ca="1" si="296"/>
        <v>RFR USD</v>
      </c>
      <c r="E3803" t="str">
        <f t="shared" ca="1" si="297"/>
        <v>RFR EUR</v>
      </c>
      <c r="F3803" t="str">
        <f t="shared" ca="1" si="298"/>
        <v>RFR GBP</v>
      </c>
      <c r="J3803" s="1"/>
      <c r="N3803" s="1"/>
      <c r="R3803" s="1"/>
      <c r="V3803" s="1"/>
      <c r="AB3803" s="1"/>
      <c r="AF3803" s="1"/>
      <c r="AJ3803" s="1"/>
      <c r="AN3803" s="1"/>
      <c r="AS3803" s="1"/>
      <c r="AX3803" s="1"/>
    </row>
    <row r="3804" spans="1:50" x14ac:dyDescent="0.3">
      <c r="A3804" s="19">
        <f t="shared" si="299"/>
        <v>51239</v>
      </c>
      <c r="B3804">
        <f t="shared" ca="1" si="295"/>
        <v>-14.130555555555556</v>
      </c>
      <c r="C3804" t="str">
        <f ca="1">IF(currency="USD",'Future et co'!D3804,IF(currency="EUR",'Future et co'!E3804,IF(currency="GBP",'Future et co'!F3804,FALSE)))</f>
        <v>RFR USD</v>
      </c>
      <c r="D3804" t="str">
        <f t="shared" ca="1" si="296"/>
        <v>RFR USD</v>
      </c>
      <c r="E3804" t="str">
        <f t="shared" ca="1" si="297"/>
        <v>RFR EUR</v>
      </c>
      <c r="F3804" t="str">
        <f t="shared" ca="1" si="298"/>
        <v>RFR GBP</v>
      </c>
      <c r="J3804" s="1"/>
      <c r="N3804" s="1"/>
      <c r="R3804" s="1"/>
      <c r="V3804" s="1"/>
      <c r="AB3804" s="1"/>
      <c r="AF3804" s="1"/>
      <c r="AJ3804" s="1"/>
      <c r="AN3804" s="1"/>
      <c r="AS3804" s="1"/>
      <c r="AX3804" s="1"/>
    </row>
    <row r="3805" spans="1:50" x14ac:dyDescent="0.3">
      <c r="A3805" s="19">
        <f t="shared" si="299"/>
        <v>51242</v>
      </c>
      <c r="B3805">
        <f t="shared" ca="1" si="295"/>
        <v>-14.138888888888889</v>
      </c>
      <c r="C3805" t="str">
        <f ca="1">IF(currency="USD",'Future et co'!D3805,IF(currency="EUR",'Future et co'!E3805,IF(currency="GBP",'Future et co'!F3805,FALSE)))</f>
        <v>RFR USD</v>
      </c>
      <c r="D3805" t="str">
        <f t="shared" ca="1" si="296"/>
        <v>RFR USD</v>
      </c>
      <c r="E3805" t="str">
        <f t="shared" ca="1" si="297"/>
        <v>RFR EUR</v>
      </c>
      <c r="F3805" t="str">
        <f t="shared" ca="1" si="298"/>
        <v>RFR GBP</v>
      </c>
      <c r="J3805" s="1"/>
      <c r="N3805" s="1"/>
      <c r="R3805" s="1"/>
      <c r="V3805" s="1"/>
      <c r="AB3805" s="1"/>
      <c r="AF3805" s="1"/>
      <c r="AJ3805" s="1"/>
      <c r="AN3805" s="1"/>
      <c r="AS3805" s="1"/>
      <c r="AX3805" s="1"/>
    </row>
    <row r="3806" spans="1:50" x14ac:dyDescent="0.3">
      <c r="A3806" s="19">
        <f t="shared" si="299"/>
        <v>51243</v>
      </c>
      <c r="B3806">
        <f t="shared" ca="1" si="295"/>
        <v>-14.141666666666667</v>
      </c>
      <c r="C3806" t="str">
        <f ca="1">IF(currency="USD",'Future et co'!D3806,IF(currency="EUR",'Future et co'!E3806,IF(currency="GBP",'Future et co'!F3806,FALSE)))</f>
        <v>RFR USD</v>
      </c>
      <c r="D3806" t="str">
        <f t="shared" ca="1" si="296"/>
        <v>RFR USD</v>
      </c>
      <c r="E3806" t="str">
        <f t="shared" ca="1" si="297"/>
        <v>RFR EUR</v>
      </c>
      <c r="F3806" t="str">
        <f t="shared" ca="1" si="298"/>
        <v>RFR GBP</v>
      </c>
      <c r="J3806" s="1"/>
      <c r="N3806" s="1"/>
      <c r="R3806" s="1"/>
      <c r="V3806" s="1"/>
      <c r="AB3806" s="1"/>
      <c r="AF3806" s="1"/>
      <c r="AJ3806" s="1"/>
      <c r="AN3806" s="1"/>
      <c r="AS3806" s="1"/>
      <c r="AX3806" s="1"/>
    </row>
    <row r="3807" spans="1:50" x14ac:dyDescent="0.3">
      <c r="A3807" s="19">
        <f t="shared" si="299"/>
        <v>51244</v>
      </c>
      <c r="B3807">
        <f t="shared" ca="1" si="295"/>
        <v>-14.144444444444444</v>
      </c>
      <c r="C3807" t="str">
        <f ca="1">IF(currency="USD",'Future et co'!D3807,IF(currency="EUR",'Future et co'!E3807,IF(currency="GBP",'Future et co'!F3807,FALSE)))</f>
        <v>RFR USD</v>
      </c>
      <c r="D3807" t="str">
        <f t="shared" ca="1" si="296"/>
        <v>RFR USD</v>
      </c>
      <c r="E3807" t="str">
        <f t="shared" ca="1" si="297"/>
        <v>RFR EUR</v>
      </c>
      <c r="F3807" t="str">
        <f t="shared" ca="1" si="298"/>
        <v>RFR GBP</v>
      </c>
      <c r="J3807" s="1"/>
      <c r="N3807" s="1"/>
      <c r="R3807" s="1"/>
      <c r="V3807" s="1"/>
      <c r="AB3807" s="1"/>
      <c r="AF3807" s="1"/>
      <c r="AJ3807" s="1"/>
      <c r="AN3807" s="1"/>
      <c r="AS3807" s="1"/>
      <c r="AX3807" s="1"/>
    </row>
    <row r="3808" spans="1:50" x14ac:dyDescent="0.3">
      <c r="A3808" s="19">
        <f t="shared" si="299"/>
        <v>51245</v>
      </c>
      <c r="B3808">
        <f t="shared" ca="1" si="295"/>
        <v>-14.147222222222222</v>
      </c>
      <c r="C3808" t="str">
        <f ca="1">IF(currency="USD",'Future et co'!D3808,IF(currency="EUR",'Future et co'!E3808,IF(currency="GBP",'Future et co'!F3808,FALSE)))</f>
        <v>RFR USD</v>
      </c>
      <c r="D3808" t="str">
        <f t="shared" ca="1" si="296"/>
        <v>RFR USD</v>
      </c>
      <c r="E3808" t="str">
        <f t="shared" ca="1" si="297"/>
        <v>RFR EUR</v>
      </c>
      <c r="F3808" t="str">
        <f t="shared" ca="1" si="298"/>
        <v>RFR GBP</v>
      </c>
      <c r="J3808" s="1"/>
      <c r="N3808" s="1"/>
      <c r="R3808" s="1"/>
      <c r="V3808" s="1"/>
      <c r="AB3808" s="1"/>
      <c r="AF3808" s="1"/>
      <c r="AJ3808" s="1"/>
      <c r="AN3808" s="1"/>
      <c r="AS3808" s="1"/>
      <c r="AX3808" s="1"/>
    </row>
    <row r="3809" spans="1:50" x14ac:dyDescent="0.3">
      <c r="A3809" s="19">
        <f t="shared" si="299"/>
        <v>51246</v>
      </c>
      <c r="B3809">
        <f t="shared" ca="1" si="295"/>
        <v>-14.15</v>
      </c>
      <c r="C3809" t="str">
        <f ca="1">IF(currency="USD",'Future et co'!D3809,IF(currency="EUR",'Future et co'!E3809,IF(currency="GBP",'Future et co'!F3809,FALSE)))</f>
        <v>RFR USD</v>
      </c>
      <c r="D3809" t="str">
        <f t="shared" ca="1" si="296"/>
        <v>RFR USD</v>
      </c>
      <c r="E3809" t="str">
        <f t="shared" ca="1" si="297"/>
        <v>RFR EUR</v>
      </c>
      <c r="F3809" t="str">
        <f t="shared" ca="1" si="298"/>
        <v>RFR GBP</v>
      </c>
      <c r="J3809" s="1"/>
      <c r="N3809" s="1"/>
      <c r="R3809" s="1"/>
      <c r="V3809" s="1"/>
      <c r="AB3809" s="1"/>
      <c r="AF3809" s="1"/>
      <c r="AJ3809" s="1"/>
      <c r="AN3809" s="1"/>
      <c r="AS3809" s="1"/>
      <c r="AX3809" s="1"/>
    </row>
    <row r="3810" spans="1:50" x14ac:dyDescent="0.3">
      <c r="A3810" s="19">
        <f t="shared" si="299"/>
        <v>51249</v>
      </c>
      <c r="B3810">
        <f t="shared" ca="1" si="295"/>
        <v>-14.158333333333333</v>
      </c>
      <c r="C3810" t="str">
        <f ca="1">IF(currency="USD",'Future et co'!D3810,IF(currency="EUR",'Future et co'!E3810,IF(currency="GBP",'Future et co'!F3810,FALSE)))</f>
        <v>RFR USD</v>
      </c>
      <c r="D3810" t="str">
        <f t="shared" ca="1" si="296"/>
        <v>RFR USD</v>
      </c>
      <c r="E3810" t="str">
        <f t="shared" ca="1" si="297"/>
        <v>RFR EUR</v>
      </c>
      <c r="F3810" t="str">
        <f t="shared" ca="1" si="298"/>
        <v>RFR GBP</v>
      </c>
      <c r="J3810" s="1"/>
      <c r="N3810" s="1"/>
      <c r="R3810" s="1"/>
      <c r="V3810" s="1"/>
      <c r="AB3810" s="1"/>
      <c r="AF3810" s="1"/>
      <c r="AJ3810" s="1"/>
      <c r="AN3810" s="1"/>
      <c r="AS3810" s="1"/>
      <c r="AX3810" s="1"/>
    </row>
    <row r="3811" spans="1:50" x14ac:dyDescent="0.3">
      <c r="A3811" s="19">
        <f t="shared" si="299"/>
        <v>51250</v>
      </c>
      <c r="B3811">
        <f t="shared" ca="1" si="295"/>
        <v>-14.161111111111111</v>
      </c>
      <c r="C3811" t="str">
        <f ca="1">IF(currency="USD",'Future et co'!D3811,IF(currency="EUR",'Future et co'!E3811,IF(currency="GBP",'Future et co'!F3811,FALSE)))</f>
        <v>RFR USD</v>
      </c>
      <c r="D3811" t="str">
        <f t="shared" ca="1" si="296"/>
        <v>RFR USD</v>
      </c>
      <c r="E3811" t="str">
        <f t="shared" ca="1" si="297"/>
        <v>RFR EUR</v>
      </c>
      <c r="F3811" t="str">
        <f t="shared" ca="1" si="298"/>
        <v>RFR GBP</v>
      </c>
      <c r="J3811" s="1"/>
      <c r="N3811" s="1"/>
      <c r="R3811" s="1"/>
      <c r="V3811" s="1"/>
      <c r="AB3811" s="1"/>
      <c r="AF3811" s="1"/>
      <c r="AJ3811" s="1"/>
      <c r="AN3811" s="1"/>
      <c r="AS3811" s="1"/>
      <c r="AX3811" s="1"/>
    </row>
    <row r="3812" spans="1:50" x14ac:dyDescent="0.3">
      <c r="A3812" s="19">
        <f t="shared" si="299"/>
        <v>51251</v>
      </c>
      <c r="B3812">
        <f t="shared" ca="1" si="295"/>
        <v>-14.16388888888889</v>
      </c>
      <c r="C3812" t="str">
        <f ca="1">IF(currency="USD",'Future et co'!D3812,IF(currency="EUR",'Future et co'!E3812,IF(currency="GBP",'Future et co'!F3812,FALSE)))</f>
        <v>RFR USD</v>
      </c>
      <c r="D3812" t="str">
        <f t="shared" ca="1" si="296"/>
        <v>RFR USD</v>
      </c>
      <c r="E3812" t="str">
        <f t="shared" ca="1" si="297"/>
        <v>RFR EUR</v>
      </c>
      <c r="F3812" t="str">
        <f t="shared" ca="1" si="298"/>
        <v>RFR GBP</v>
      </c>
      <c r="J3812" s="1"/>
      <c r="N3812" s="1"/>
      <c r="R3812" s="1"/>
      <c r="V3812" s="1"/>
      <c r="AB3812" s="1"/>
      <c r="AF3812" s="1"/>
      <c r="AJ3812" s="1"/>
      <c r="AN3812" s="1"/>
      <c r="AS3812" s="1"/>
      <c r="AX3812" s="1"/>
    </row>
    <row r="3813" spans="1:50" x14ac:dyDescent="0.3">
      <c r="A3813" s="19">
        <f t="shared" si="299"/>
        <v>51252</v>
      </c>
      <c r="B3813">
        <f t="shared" ca="1" si="295"/>
        <v>-14.166666666666666</v>
      </c>
      <c r="C3813" t="str">
        <f ca="1">IF(currency="USD",'Future et co'!D3813,IF(currency="EUR",'Future et co'!E3813,IF(currency="GBP",'Future et co'!F3813,FALSE)))</f>
        <v>RFR USD</v>
      </c>
      <c r="D3813" t="str">
        <f t="shared" ca="1" si="296"/>
        <v>RFR USD</v>
      </c>
      <c r="E3813" t="str">
        <f t="shared" ca="1" si="297"/>
        <v>RFR EUR</v>
      </c>
      <c r="F3813" t="str">
        <f t="shared" ca="1" si="298"/>
        <v>RFR GBP</v>
      </c>
      <c r="J3813" s="1"/>
      <c r="N3813" s="1"/>
      <c r="R3813" s="1"/>
      <c r="V3813" s="1"/>
      <c r="AB3813" s="1"/>
      <c r="AF3813" s="1"/>
      <c r="AJ3813" s="1"/>
      <c r="AN3813" s="1"/>
      <c r="AS3813" s="1"/>
      <c r="AX3813" s="1"/>
    </row>
    <row r="3814" spans="1:50" x14ac:dyDescent="0.3">
      <c r="A3814" s="19">
        <f t="shared" si="299"/>
        <v>51253</v>
      </c>
      <c r="B3814">
        <f t="shared" ca="1" si="295"/>
        <v>-14.169444444444444</v>
      </c>
      <c r="C3814" t="str">
        <f ca="1">IF(currency="USD",'Future et co'!D3814,IF(currency="EUR",'Future et co'!E3814,IF(currency="GBP",'Future et co'!F3814,FALSE)))</f>
        <v>RFR USD</v>
      </c>
      <c r="D3814" t="str">
        <f t="shared" ca="1" si="296"/>
        <v>RFR USD</v>
      </c>
      <c r="E3814" t="str">
        <f t="shared" ca="1" si="297"/>
        <v>RFR EUR</v>
      </c>
      <c r="F3814" t="str">
        <f t="shared" ca="1" si="298"/>
        <v>RFR GBP</v>
      </c>
      <c r="J3814" s="1"/>
      <c r="N3814" s="1"/>
      <c r="R3814" s="1"/>
      <c r="V3814" s="1"/>
      <c r="AB3814" s="1"/>
      <c r="AF3814" s="1"/>
      <c r="AJ3814" s="1"/>
      <c r="AN3814" s="1"/>
      <c r="AS3814" s="1"/>
      <c r="AX3814" s="1"/>
    </row>
    <row r="3815" spans="1:50" x14ac:dyDescent="0.3">
      <c r="A3815" s="19">
        <f t="shared" si="299"/>
        <v>51256</v>
      </c>
      <c r="B3815">
        <f t="shared" ca="1" si="295"/>
        <v>-14.177777777777777</v>
      </c>
      <c r="C3815" t="str">
        <f ca="1">IF(currency="USD",'Future et co'!D3815,IF(currency="EUR",'Future et co'!E3815,IF(currency="GBP",'Future et co'!F3815,FALSE)))</f>
        <v>RFR USD</v>
      </c>
      <c r="D3815" t="str">
        <f t="shared" ca="1" si="296"/>
        <v>RFR USD</v>
      </c>
      <c r="E3815" t="str">
        <f t="shared" ca="1" si="297"/>
        <v>RFR EUR</v>
      </c>
      <c r="F3815" t="str">
        <f t="shared" ca="1" si="298"/>
        <v>RFR GBP</v>
      </c>
      <c r="J3815" s="1"/>
      <c r="N3815" s="1"/>
      <c r="R3815" s="1"/>
      <c r="V3815" s="1"/>
      <c r="AB3815" s="1"/>
      <c r="AF3815" s="1"/>
      <c r="AJ3815" s="1"/>
      <c r="AN3815" s="1"/>
      <c r="AS3815" s="1"/>
      <c r="AX3815" s="1"/>
    </row>
    <row r="3816" spans="1:50" x14ac:dyDescent="0.3">
      <c r="A3816" s="19">
        <f t="shared" si="299"/>
        <v>51257</v>
      </c>
      <c r="B3816">
        <f t="shared" ca="1" si="295"/>
        <v>-14.180555555555555</v>
      </c>
      <c r="C3816" t="str">
        <f ca="1">IF(currency="USD",'Future et co'!D3816,IF(currency="EUR",'Future et co'!E3816,IF(currency="GBP",'Future et co'!F3816,FALSE)))</f>
        <v>RFR USD</v>
      </c>
      <c r="D3816" t="str">
        <f t="shared" ca="1" si="296"/>
        <v>RFR USD</v>
      </c>
      <c r="E3816" t="str">
        <f t="shared" ca="1" si="297"/>
        <v>RFR EUR</v>
      </c>
      <c r="F3816" t="str">
        <f t="shared" ca="1" si="298"/>
        <v>RFR GBP</v>
      </c>
      <c r="J3816" s="1"/>
      <c r="N3816" s="1"/>
      <c r="R3816" s="1"/>
      <c r="V3816" s="1"/>
      <c r="AB3816" s="1"/>
      <c r="AF3816" s="1"/>
      <c r="AJ3816" s="1"/>
      <c r="AN3816" s="1"/>
      <c r="AS3816" s="1"/>
      <c r="AX3816" s="1"/>
    </row>
    <row r="3817" spans="1:50" x14ac:dyDescent="0.3">
      <c r="A3817" s="19">
        <f t="shared" si="299"/>
        <v>51258</v>
      </c>
      <c r="B3817">
        <f t="shared" ca="1" si="295"/>
        <v>-14.183333333333334</v>
      </c>
      <c r="C3817" t="str">
        <f ca="1">IF(currency="USD",'Future et co'!D3817,IF(currency="EUR",'Future et co'!E3817,IF(currency="GBP",'Future et co'!F3817,FALSE)))</f>
        <v>RFR USD</v>
      </c>
      <c r="D3817" t="str">
        <f t="shared" ca="1" si="296"/>
        <v>RFR USD</v>
      </c>
      <c r="E3817" t="str">
        <f t="shared" ca="1" si="297"/>
        <v>RFR EUR</v>
      </c>
      <c r="F3817" t="str">
        <f t="shared" ca="1" si="298"/>
        <v>RFR GBP</v>
      </c>
      <c r="J3817" s="1"/>
      <c r="N3817" s="1"/>
      <c r="R3817" s="1"/>
      <c r="V3817" s="1"/>
      <c r="AB3817" s="1"/>
      <c r="AF3817" s="1"/>
      <c r="AJ3817" s="1"/>
      <c r="AN3817" s="1"/>
      <c r="AS3817" s="1"/>
      <c r="AX3817" s="1"/>
    </row>
    <row r="3818" spans="1:50" x14ac:dyDescent="0.3">
      <c r="A3818" s="19">
        <f t="shared" si="299"/>
        <v>51259</v>
      </c>
      <c r="B3818">
        <f t="shared" ca="1" si="295"/>
        <v>-14.186111111111112</v>
      </c>
      <c r="C3818" t="str">
        <f ca="1">IF(currency="USD",'Future et co'!D3818,IF(currency="EUR",'Future et co'!E3818,IF(currency="GBP",'Future et co'!F3818,FALSE)))</f>
        <v>RFR USD</v>
      </c>
      <c r="D3818" t="str">
        <f t="shared" ca="1" si="296"/>
        <v>RFR USD</v>
      </c>
      <c r="E3818" t="str">
        <f t="shared" ca="1" si="297"/>
        <v>RFR EUR</v>
      </c>
      <c r="F3818" t="str">
        <f t="shared" ca="1" si="298"/>
        <v>RFR GBP</v>
      </c>
      <c r="J3818" s="1"/>
      <c r="N3818" s="1"/>
      <c r="R3818" s="1"/>
      <c r="V3818" s="1"/>
      <c r="AB3818" s="1"/>
      <c r="AF3818" s="1"/>
      <c r="AJ3818" s="1"/>
      <c r="AN3818" s="1"/>
      <c r="AS3818" s="1"/>
      <c r="AX3818" s="1"/>
    </row>
    <row r="3819" spans="1:50" x14ac:dyDescent="0.3">
      <c r="A3819" s="19">
        <f t="shared" si="299"/>
        <v>51260</v>
      </c>
      <c r="B3819">
        <f t="shared" ca="1" si="295"/>
        <v>-14.188888888888888</v>
      </c>
      <c r="C3819" t="str">
        <f ca="1">IF(currency="USD",'Future et co'!D3819,IF(currency="EUR",'Future et co'!E3819,IF(currency="GBP",'Future et co'!F3819,FALSE)))</f>
        <v>RFR USD</v>
      </c>
      <c r="D3819" t="str">
        <f t="shared" ca="1" si="296"/>
        <v>RFR USD</v>
      </c>
      <c r="E3819" t="str">
        <f t="shared" ca="1" si="297"/>
        <v>RFR EUR</v>
      </c>
      <c r="F3819" t="str">
        <f t="shared" ca="1" si="298"/>
        <v>RFR GBP</v>
      </c>
      <c r="J3819" s="1"/>
      <c r="N3819" s="1"/>
      <c r="R3819" s="1"/>
      <c r="V3819" s="1"/>
      <c r="AB3819" s="1"/>
      <c r="AF3819" s="1"/>
      <c r="AJ3819" s="1"/>
      <c r="AN3819" s="1"/>
      <c r="AS3819" s="1"/>
      <c r="AX3819" s="1"/>
    </row>
    <row r="3820" spans="1:50" x14ac:dyDescent="0.3">
      <c r="A3820" s="19">
        <f t="shared" si="299"/>
        <v>51263</v>
      </c>
      <c r="B3820">
        <f t="shared" ca="1" si="295"/>
        <v>-14.197222222222223</v>
      </c>
      <c r="C3820" t="str">
        <f ca="1">IF(currency="USD",'Future et co'!D3820,IF(currency="EUR",'Future et co'!E3820,IF(currency="GBP",'Future et co'!F3820,FALSE)))</f>
        <v>RFR USD</v>
      </c>
      <c r="D3820" t="str">
        <f t="shared" ca="1" si="296"/>
        <v>RFR USD</v>
      </c>
      <c r="E3820" t="str">
        <f t="shared" ca="1" si="297"/>
        <v>RFR EUR</v>
      </c>
      <c r="F3820" t="str">
        <f t="shared" ca="1" si="298"/>
        <v>RFR GBP</v>
      </c>
      <c r="J3820" s="1"/>
      <c r="N3820" s="1"/>
      <c r="R3820" s="1"/>
      <c r="V3820" s="1"/>
      <c r="AB3820" s="1"/>
      <c r="AF3820" s="1"/>
      <c r="AJ3820" s="1"/>
      <c r="AN3820" s="1"/>
      <c r="AS3820" s="1"/>
      <c r="AX3820" s="1"/>
    </row>
    <row r="3821" spans="1:50" x14ac:dyDescent="0.3">
      <c r="A3821" s="19">
        <f t="shared" si="299"/>
        <v>51264</v>
      </c>
      <c r="B3821">
        <f t="shared" ca="1" si="295"/>
        <v>-14.2</v>
      </c>
      <c r="C3821" t="str">
        <f ca="1">IF(currency="USD",'Future et co'!D3821,IF(currency="EUR",'Future et co'!E3821,IF(currency="GBP",'Future et co'!F3821,FALSE)))</f>
        <v>RFR USD</v>
      </c>
      <c r="D3821" t="str">
        <f t="shared" ca="1" si="296"/>
        <v>RFR USD</v>
      </c>
      <c r="E3821" t="str">
        <f t="shared" ca="1" si="297"/>
        <v>RFR EUR</v>
      </c>
      <c r="F3821" t="str">
        <f t="shared" ca="1" si="298"/>
        <v>RFR GBP</v>
      </c>
      <c r="J3821" s="1"/>
      <c r="N3821" s="1"/>
      <c r="R3821" s="1"/>
      <c r="V3821" s="1"/>
      <c r="AB3821" s="1"/>
      <c r="AF3821" s="1"/>
      <c r="AJ3821" s="1"/>
      <c r="AN3821" s="1"/>
      <c r="AS3821" s="1"/>
      <c r="AX3821" s="1"/>
    </row>
    <row r="3822" spans="1:50" x14ac:dyDescent="0.3">
      <c r="A3822" s="19">
        <f t="shared" si="299"/>
        <v>51265</v>
      </c>
      <c r="B3822">
        <f t="shared" ca="1" si="295"/>
        <v>-14.202777777777778</v>
      </c>
      <c r="C3822" t="str">
        <f ca="1">IF(currency="USD",'Future et co'!D3822,IF(currency="EUR",'Future et co'!E3822,IF(currency="GBP",'Future et co'!F3822,FALSE)))</f>
        <v>RFR USD</v>
      </c>
      <c r="D3822" t="str">
        <f t="shared" ca="1" si="296"/>
        <v>RFR USD</v>
      </c>
      <c r="E3822" t="str">
        <f t="shared" ca="1" si="297"/>
        <v>RFR EUR</v>
      </c>
      <c r="F3822" t="str">
        <f t="shared" ca="1" si="298"/>
        <v>RFR GBP</v>
      </c>
      <c r="J3822" s="1"/>
      <c r="N3822" s="1"/>
      <c r="R3822" s="1"/>
      <c r="V3822" s="1"/>
      <c r="AB3822" s="1"/>
      <c r="AF3822" s="1"/>
      <c r="AJ3822" s="1"/>
      <c r="AN3822" s="1"/>
      <c r="AS3822" s="1"/>
      <c r="AX3822" s="1"/>
    </row>
    <row r="3823" spans="1:50" x14ac:dyDescent="0.3">
      <c r="A3823" s="19">
        <f t="shared" si="299"/>
        <v>51266</v>
      </c>
      <c r="B3823">
        <f t="shared" ca="1" si="295"/>
        <v>-14.205555555555556</v>
      </c>
      <c r="C3823" t="str">
        <f ca="1">IF(currency="USD",'Future et co'!D3823,IF(currency="EUR",'Future et co'!E3823,IF(currency="GBP",'Future et co'!F3823,FALSE)))</f>
        <v>RFR USD</v>
      </c>
      <c r="D3823" t="str">
        <f t="shared" ca="1" si="296"/>
        <v>RFR USD</v>
      </c>
      <c r="E3823" t="str">
        <f t="shared" ca="1" si="297"/>
        <v>RFR EUR</v>
      </c>
      <c r="F3823" t="str">
        <f t="shared" ca="1" si="298"/>
        <v>RFR GBP</v>
      </c>
      <c r="J3823" s="1"/>
      <c r="N3823" s="1"/>
      <c r="R3823" s="1"/>
      <c r="V3823" s="1"/>
      <c r="AB3823" s="1"/>
      <c r="AF3823" s="1"/>
      <c r="AJ3823" s="1"/>
      <c r="AN3823" s="1"/>
      <c r="AS3823" s="1"/>
      <c r="AX3823" s="1"/>
    </row>
    <row r="3824" spans="1:50" x14ac:dyDescent="0.3">
      <c r="A3824" s="19">
        <f t="shared" si="299"/>
        <v>51267</v>
      </c>
      <c r="B3824">
        <f t="shared" ca="1" si="295"/>
        <v>-14.208333333333334</v>
      </c>
      <c r="C3824" t="str">
        <f ca="1">IF(currency="USD",'Future et co'!D3824,IF(currency="EUR",'Future et co'!E3824,IF(currency="GBP",'Future et co'!F3824,FALSE)))</f>
        <v>RFR USD</v>
      </c>
      <c r="D3824" t="str">
        <f t="shared" ca="1" si="296"/>
        <v>RFR USD</v>
      </c>
      <c r="E3824" t="str">
        <f t="shared" ca="1" si="297"/>
        <v>RFR EUR</v>
      </c>
      <c r="F3824" t="str">
        <f t="shared" ca="1" si="298"/>
        <v>RFR GBP</v>
      </c>
      <c r="J3824" s="1"/>
      <c r="N3824" s="1"/>
      <c r="R3824" s="1"/>
      <c r="V3824" s="1"/>
      <c r="AB3824" s="1"/>
      <c r="AF3824" s="1"/>
      <c r="AJ3824" s="1"/>
      <c r="AN3824" s="1"/>
      <c r="AS3824" s="1"/>
      <c r="AX3824" s="1"/>
    </row>
    <row r="3825" spans="1:50" x14ac:dyDescent="0.3">
      <c r="A3825" s="19">
        <f t="shared" si="299"/>
        <v>51270</v>
      </c>
      <c r="B3825">
        <f t="shared" ca="1" si="295"/>
        <v>-14.216666666666667</v>
      </c>
      <c r="C3825" t="str">
        <f ca="1">IF(currency="USD",'Future et co'!D3825,IF(currency="EUR",'Future et co'!E3825,IF(currency="GBP",'Future et co'!F3825,FALSE)))</f>
        <v>RFR USD</v>
      </c>
      <c r="D3825" t="str">
        <f t="shared" ca="1" si="296"/>
        <v>RFR USD</v>
      </c>
      <c r="E3825" t="str">
        <f t="shared" ca="1" si="297"/>
        <v>RFR EUR</v>
      </c>
      <c r="F3825" t="str">
        <f t="shared" ca="1" si="298"/>
        <v>RFR GBP</v>
      </c>
      <c r="J3825" s="1"/>
      <c r="N3825" s="1"/>
      <c r="R3825" s="1"/>
      <c r="V3825" s="1"/>
      <c r="AB3825" s="1"/>
      <c r="AF3825" s="1"/>
      <c r="AJ3825" s="1"/>
      <c r="AN3825" s="1"/>
      <c r="AS3825" s="1"/>
      <c r="AX3825" s="1"/>
    </row>
    <row r="3826" spans="1:50" x14ac:dyDescent="0.3">
      <c r="A3826" s="19">
        <f t="shared" si="299"/>
        <v>51271</v>
      </c>
      <c r="B3826">
        <f t="shared" ca="1" si="295"/>
        <v>-14.219444444444445</v>
      </c>
      <c r="C3826" t="str">
        <f ca="1">IF(currency="USD",'Future et co'!D3826,IF(currency="EUR",'Future et co'!E3826,IF(currency="GBP",'Future et co'!F3826,FALSE)))</f>
        <v>RFR USD</v>
      </c>
      <c r="D3826" t="str">
        <f t="shared" ca="1" si="296"/>
        <v>RFR USD</v>
      </c>
      <c r="E3826" t="str">
        <f t="shared" ca="1" si="297"/>
        <v>RFR EUR</v>
      </c>
      <c r="F3826" t="str">
        <f t="shared" ca="1" si="298"/>
        <v>RFR GBP</v>
      </c>
      <c r="J3826" s="1"/>
      <c r="N3826" s="1"/>
      <c r="R3826" s="1"/>
      <c r="V3826" s="1"/>
      <c r="AB3826" s="1"/>
      <c r="AF3826" s="1"/>
      <c r="AJ3826" s="1"/>
      <c r="AN3826" s="1"/>
      <c r="AS3826" s="1"/>
      <c r="AX3826" s="1"/>
    </row>
    <row r="3827" spans="1:50" x14ac:dyDescent="0.3">
      <c r="A3827" s="19">
        <f t="shared" si="299"/>
        <v>51272</v>
      </c>
      <c r="B3827">
        <f t="shared" ca="1" si="295"/>
        <v>-14.222222222222221</v>
      </c>
      <c r="C3827" t="str">
        <f ca="1">IF(currency="USD",'Future et co'!D3827,IF(currency="EUR",'Future et co'!E3827,IF(currency="GBP",'Future et co'!F3827,FALSE)))</f>
        <v>RFR USD</v>
      </c>
      <c r="D3827" t="str">
        <f t="shared" ca="1" si="296"/>
        <v>RFR USD</v>
      </c>
      <c r="E3827" t="str">
        <f t="shared" ca="1" si="297"/>
        <v>RFR EUR</v>
      </c>
      <c r="F3827" t="str">
        <f t="shared" ca="1" si="298"/>
        <v>RFR GBP</v>
      </c>
      <c r="J3827" s="1"/>
      <c r="N3827" s="1"/>
      <c r="R3827" s="1"/>
      <c r="V3827" s="1"/>
      <c r="AB3827" s="1"/>
      <c r="AF3827" s="1"/>
      <c r="AJ3827" s="1"/>
      <c r="AN3827" s="1"/>
      <c r="AS3827" s="1"/>
      <c r="AX3827" s="1"/>
    </row>
    <row r="3828" spans="1:50" x14ac:dyDescent="0.3">
      <c r="A3828" s="19">
        <f t="shared" si="299"/>
        <v>51273</v>
      </c>
      <c r="B3828">
        <f t="shared" ca="1" si="295"/>
        <v>-14.225</v>
      </c>
      <c r="C3828" t="str">
        <f ca="1">IF(currency="USD",'Future et co'!D3828,IF(currency="EUR",'Future et co'!E3828,IF(currency="GBP",'Future et co'!F3828,FALSE)))</f>
        <v>RFR USD</v>
      </c>
      <c r="D3828" t="str">
        <f t="shared" ca="1" si="296"/>
        <v>RFR USD</v>
      </c>
      <c r="E3828" t="str">
        <f t="shared" ca="1" si="297"/>
        <v>RFR EUR</v>
      </c>
      <c r="F3828" t="str">
        <f t="shared" ca="1" si="298"/>
        <v>RFR GBP</v>
      </c>
      <c r="J3828" s="1"/>
      <c r="N3828" s="1"/>
      <c r="R3828" s="1"/>
      <c r="V3828" s="1"/>
      <c r="AB3828" s="1"/>
      <c r="AF3828" s="1"/>
      <c r="AJ3828" s="1"/>
      <c r="AN3828" s="1"/>
      <c r="AS3828" s="1"/>
      <c r="AX3828" s="1"/>
    </row>
    <row r="3829" spans="1:50" x14ac:dyDescent="0.3">
      <c r="A3829" s="19">
        <f t="shared" si="299"/>
        <v>51274</v>
      </c>
      <c r="B3829">
        <f t="shared" ca="1" si="295"/>
        <v>-14.227777777777778</v>
      </c>
      <c r="C3829" t="str">
        <f ca="1">IF(currency="USD",'Future et co'!D3829,IF(currency="EUR",'Future et co'!E3829,IF(currency="GBP",'Future et co'!F3829,FALSE)))</f>
        <v>RFR USD</v>
      </c>
      <c r="D3829" t="str">
        <f t="shared" ca="1" si="296"/>
        <v>RFR USD</v>
      </c>
      <c r="E3829" t="str">
        <f t="shared" ca="1" si="297"/>
        <v>RFR EUR</v>
      </c>
      <c r="F3829" t="str">
        <f t="shared" ca="1" si="298"/>
        <v>RFR GBP</v>
      </c>
      <c r="J3829" s="1"/>
      <c r="N3829" s="1"/>
      <c r="R3829" s="1"/>
      <c r="V3829" s="1"/>
      <c r="AB3829" s="1"/>
      <c r="AF3829" s="1"/>
      <c r="AJ3829" s="1"/>
      <c r="AN3829" s="1"/>
      <c r="AS3829" s="1"/>
      <c r="AX3829" s="1"/>
    </row>
    <row r="3830" spans="1:50" x14ac:dyDescent="0.3">
      <c r="A3830" s="19">
        <f t="shared" si="299"/>
        <v>51277</v>
      </c>
      <c r="B3830">
        <f t="shared" ca="1" si="295"/>
        <v>-14.236111111111111</v>
      </c>
      <c r="C3830" t="str">
        <f ca="1">IF(currency="USD",'Future et co'!D3830,IF(currency="EUR",'Future et co'!E3830,IF(currency="GBP",'Future et co'!F3830,FALSE)))</f>
        <v>RFR USD</v>
      </c>
      <c r="D3830" t="str">
        <f t="shared" ca="1" si="296"/>
        <v>RFR USD</v>
      </c>
      <c r="E3830" t="str">
        <f t="shared" ca="1" si="297"/>
        <v>RFR EUR</v>
      </c>
      <c r="F3830" t="str">
        <f t="shared" ca="1" si="298"/>
        <v>RFR GBP</v>
      </c>
      <c r="J3830" s="1"/>
      <c r="N3830" s="1"/>
      <c r="R3830" s="1"/>
      <c r="V3830" s="1"/>
      <c r="AB3830" s="1"/>
      <c r="AF3830" s="1"/>
      <c r="AJ3830" s="1"/>
      <c r="AN3830" s="1"/>
      <c r="AS3830" s="1"/>
      <c r="AX3830" s="1"/>
    </row>
    <row r="3831" spans="1:50" x14ac:dyDescent="0.3">
      <c r="A3831" s="19">
        <f t="shared" si="299"/>
        <v>51278</v>
      </c>
      <c r="B3831">
        <f t="shared" ca="1" si="295"/>
        <v>-14.238888888888889</v>
      </c>
      <c r="C3831" t="str">
        <f ca="1">IF(currency="USD",'Future et co'!D3831,IF(currency="EUR",'Future et co'!E3831,IF(currency="GBP",'Future et co'!F3831,FALSE)))</f>
        <v>RFR USD</v>
      </c>
      <c r="D3831" t="str">
        <f t="shared" ca="1" si="296"/>
        <v>RFR USD</v>
      </c>
      <c r="E3831" t="str">
        <f t="shared" ca="1" si="297"/>
        <v>RFR EUR</v>
      </c>
      <c r="F3831" t="str">
        <f t="shared" ca="1" si="298"/>
        <v>RFR GBP</v>
      </c>
      <c r="J3831" s="1"/>
      <c r="N3831" s="1"/>
      <c r="R3831" s="1"/>
      <c r="V3831" s="1"/>
      <c r="AB3831" s="1"/>
      <c r="AF3831" s="1"/>
      <c r="AJ3831" s="1"/>
      <c r="AN3831" s="1"/>
      <c r="AS3831" s="1"/>
      <c r="AX3831" s="1"/>
    </row>
    <row r="3832" spans="1:50" x14ac:dyDescent="0.3">
      <c r="A3832" s="19">
        <f t="shared" si="299"/>
        <v>51279</v>
      </c>
      <c r="B3832">
        <f t="shared" ca="1" si="295"/>
        <v>-14.241666666666667</v>
      </c>
      <c r="C3832" t="str">
        <f ca="1">IF(currency="USD",'Future et co'!D3832,IF(currency="EUR",'Future et co'!E3832,IF(currency="GBP",'Future et co'!F3832,FALSE)))</f>
        <v>RFR USD</v>
      </c>
      <c r="D3832" t="str">
        <f t="shared" ca="1" si="296"/>
        <v>RFR USD</v>
      </c>
      <c r="E3832" t="str">
        <f t="shared" ca="1" si="297"/>
        <v>RFR EUR</v>
      </c>
      <c r="F3832" t="str">
        <f t="shared" ca="1" si="298"/>
        <v>RFR GBP</v>
      </c>
      <c r="J3832" s="1"/>
      <c r="N3832" s="1"/>
      <c r="R3832" s="1"/>
      <c r="V3832" s="1"/>
      <c r="AB3832" s="1"/>
      <c r="AF3832" s="1"/>
      <c r="AJ3832" s="1"/>
      <c r="AN3832" s="1"/>
      <c r="AS3832" s="1"/>
      <c r="AX3832" s="1"/>
    </row>
    <row r="3833" spans="1:50" x14ac:dyDescent="0.3">
      <c r="A3833" s="19">
        <f t="shared" si="299"/>
        <v>51280</v>
      </c>
      <c r="B3833">
        <f t="shared" ca="1" si="295"/>
        <v>-14.244444444444444</v>
      </c>
      <c r="C3833" t="str">
        <f ca="1">IF(currency="USD",'Future et co'!D3833,IF(currency="EUR",'Future et co'!E3833,IF(currency="GBP",'Future et co'!F3833,FALSE)))</f>
        <v>RFR USD</v>
      </c>
      <c r="D3833" t="str">
        <f t="shared" ca="1" si="296"/>
        <v>RFR USD</v>
      </c>
      <c r="E3833" t="str">
        <f t="shared" ca="1" si="297"/>
        <v>RFR EUR</v>
      </c>
      <c r="F3833" t="str">
        <f t="shared" ca="1" si="298"/>
        <v>RFR GBP</v>
      </c>
      <c r="J3833" s="1"/>
      <c r="N3833" s="1"/>
      <c r="R3833" s="1"/>
      <c r="V3833" s="1"/>
      <c r="AB3833" s="1"/>
      <c r="AF3833" s="1"/>
      <c r="AJ3833" s="1"/>
      <c r="AN3833" s="1"/>
      <c r="AS3833" s="1"/>
      <c r="AX3833" s="1"/>
    </row>
    <row r="3834" spans="1:50" x14ac:dyDescent="0.3">
      <c r="A3834" s="19">
        <f t="shared" si="299"/>
        <v>51281</v>
      </c>
      <c r="B3834">
        <f t="shared" ca="1" si="295"/>
        <v>-14.247222222222222</v>
      </c>
      <c r="C3834" t="str">
        <f ca="1">IF(currency="USD",'Future et co'!D3834,IF(currency="EUR",'Future et co'!E3834,IF(currency="GBP",'Future et co'!F3834,FALSE)))</f>
        <v>RFR USD</v>
      </c>
      <c r="D3834" t="str">
        <f t="shared" ca="1" si="296"/>
        <v>RFR USD</v>
      </c>
      <c r="E3834" t="str">
        <f t="shared" ca="1" si="297"/>
        <v>RFR EUR</v>
      </c>
      <c r="F3834" t="str">
        <f t="shared" ca="1" si="298"/>
        <v>RFR GBP</v>
      </c>
      <c r="J3834" s="1"/>
      <c r="N3834" s="1"/>
      <c r="R3834" s="1"/>
      <c r="V3834" s="1"/>
      <c r="AB3834" s="1"/>
      <c r="AF3834" s="1"/>
      <c r="AJ3834" s="1"/>
      <c r="AN3834" s="1"/>
      <c r="AS3834" s="1"/>
      <c r="AX3834" s="1"/>
    </row>
    <row r="3835" spans="1:50" x14ac:dyDescent="0.3">
      <c r="A3835" s="19">
        <f t="shared" si="299"/>
        <v>51284</v>
      </c>
      <c r="B3835">
        <f t="shared" ca="1" si="295"/>
        <v>-14.255555555555556</v>
      </c>
      <c r="C3835" t="str">
        <f ca="1">IF(currency="USD",'Future et co'!D3835,IF(currency="EUR",'Future et co'!E3835,IF(currency="GBP",'Future et co'!F3835,FALSE)))</f>
        <v>RFR USD</v>
      </c>
      <c r="D3835" t="str">
        <f t="shared" ca="1" si="296"/>
        <v>RFR USD</v>
      </c>
      <c r="E3835" t="str">
        <f t="shared" ca="1" si="297"/>
        <v>RFR EUR</v>
      </c>
      <c r="F3835" t="str">
        <f t="shared" ca="1" si="298"/>
        <v>RFR GBP</v>
      </c>
      <c r="J3835" s="1"/>
      <c r="N3835" s="1"/>
      <c r="R3835" s="1"/>
      <c r="V3835" s="1"/>
      <c r="AB3835" s="1"/>
      <c r="AF3835" s="1"/>
      <c r="AJ3835" s="1"/>
      <c r="AN3835" s="1"/>
      <c r="AS3835" s="1"/>
      <c r="AX3835" s="1"/>
    </row>
    <row r="3836" spans="1:50" x14ac:dyDescent="0.3">
      <c r="A3836" s="19">
        <f t="shared" si="299"/>
        <v>51285</v>
      </c>
      <c r="B3836">
        <f t="shared" ca="1" si="295"/>
        <v>-14.258333333333333</v>
      </c>
      <c r="C3836" t="str">
        <f ca="1">IF(currency="USD",'Future et co'!D3836,IF(currency="EUR",'Future et co'!E3836,IF(currency="GBP",'Future et co'!F3836,FALSE)))</f>
        <v>RFR USD</v>
      </c>
      <c r="D3836" t="str">
        <f t="shared" ca="1" si="296"/>
        <v>RFR USD</v>
      </c>
      <c r="E3836" t="str">
        <f t="shared" ca="1" si="297"/>
        <v>RFR EUR</v>
      </c>
      <c r="F3836" t="str">
        <f t="shared" ca="1" si="298"/>
        <v>RFR GBP</v>
      </c>
      <c r="J3836" s="1"/>
      <c r="N3836" s="1"/>
      <c r="R3836" s="1"/>
      <c r="V3836" s="1"/>
      <c r="AB3836" s="1"/>
      <c r="AF3836" s="1"/>
      <c r="AJ3836" s="1"/>
      <c r="AN3836" s="1"/>
      <c r="AS3836" s="1"/>
      <c r="AX3836" s="1"/>
    </row>
    <row r="3837" spans="1:50" x14ac:dyDescent="0.3">
      <c r="A3837" s="19">
        <f t="shared" si="299"/>
        <v>51286</v>
      </c>
      <c r="B3837">
        <f t="shared" ca="1" si="295"/>
        <v>-14.261111111111111</v>
      </c>
      <c r="C3837" t="str">
        <f ca="1">IF(currency="USD",'Future et co'!D3837,IF(currency="EUR",'Future et co'!E3837,IF(currency="GBP",'Future et co'!F3837,FALSE)))</f>
        <v>RFR USD</v>
      </c>
      <c r="D3837" t="str">
        <f t="shared" ca="1" si="296"/>
        <v>RFR USD</v>
      </c>
      <c r="E3837" t="str">
        <f t="shared" ca="1" si="297"/>
        <v>RFR EUR</v>
      </c>
      <c r="F3837" t="str">
        <f t="shared" ca="1" si="298"/>
        <v>RFR GBP</v>
      </c>
      <c r="J3837" s="1"/>
      <c r="N3837" s="1"/>
      <c r="R3837" s="1"/>
      <c r="V3837" s="1"/>
      <c r="AB3837" s="1"/>
      <c r="AF3837" s="1"/>
      <c r="AJ3837" s="1"/>
      <c r="AN3837" s="1"/>
      <c r="AS3837" s="1"/>
      <c r="AX3837" s="1"/>
    </row>
    <row r="3838" spans="1:50" x14ac:dyDescent="0.3">
      <c r="A3838" s="19">
        <f t="shared" si="299"/>
        <v>51287</v>
      </c>
      <c r="B3838">
        <f t="shared" ca="1" si="295"/>
        <v>-14.263888888888889</v>
      </c>
      <c r="C3838" t="str">
        <f ca="1">IF(currency="USD",'Future et co'!D3838,IF(currency="EUR",'Future et co'!E3838,IF(currency="GBP",'Future et co'!F3838,FALSE)))</f>
        <v>RFR USD</v>
      </c>
      <c r="D3838" t="str">
        <f t="shared" ca="1" si="296"/>
        <v>RFR USD</v>
      </c>
      <c r="E3838" t="str">
        <f t="shared" ca="1" si="297"/>
        <v>RFR EUR</v>
      </c>
      <c r="F3838" t="str">
        <f t="shared" ca="1" si="298"/>
        <v>RFR GBP</v>
      </c>
      <c r="J3838" s="1"/>
      <c r="N3838" s="1"/>
      <c r="R3838" s="1"/>
      <c r="V3838" s="1"/>
      <c r="AB3838" s="1"/>
      <c r="AF3838" s="1"/>
      <c r="AJ3838" s="1"/>
      <c r="AN3838" s="1"/>
      <c r="AS3838" s="1"/>
      <c r="AX3838" s="1"/>
    </row>
    <row r="3839" spans="1:50" x14ac:dyDescent="0.3">
      <c r="A3839" s="19">
        <f t="shared" si="299"/>
        <v>51288</v>
      </c>
      <c r="B3839">
        <f t="shared" ca="1" si="295"/>
        <v>-14.266666666666667</v>
      </c>
      <c r="C3839" t="str">
        <f ca="1">IF(currency="USD",'Future et co'!D3839,IF(currency="EUR",'Future et co'!E3839,IF(currency="GBP",'Future et co'!F3839,FALSE)))</f>
        <v>RFR USD</v>
      </c>
      <c r="D3839" t="str">
        <f t="shared" ca="1" si="296"/>
        <v>RFR USD</v>
      </c>
      <c r="E3839" t="str">
        <f t="shared" ca="1" si="297"/>
        <v>RFR EUR</v>
      </c>
      <c r="F3839" t="str">
        <f t="shared" ca="1" si="298"/>
        <v>RFR GBP</v>
      </c>
      <c r="J3839" s="1"/>
      <c r="N3839" s="1"/>
      <c r="R3839" s="1"/>
      <c r="V3839" s="1"/>
      <c r="AB3839" s="1"/>
      <c r="AF3839" s="1"/>
      <c r="AJ3839" s="1"/>
      <c r="AN3839" s="1"/>
      <c r="AS3839" s="1"/>
      <c r="AX3839" s="1"/>
    </row>
    <row r="3840" spans="1:50" x14ac:dyDescent="0.3">
      <c r="A3840" s="19">
        <f t="shared" si="299"/>
        <v>51291</v>
      </c>
      <c r="B3840">
        <f t="shared" ca="1" si="295"/>
        <v>-14.275</v>
      </c>
      <c r="C3840" t="str">
        <f ca="1">IF(currency="USD",'Future et co'!D3840,IF(currency="EUR",'Future et co'!E3840,IF(currency="GBP",'Future et co'!F3840,FALSE)))</f>
        <v>RFR USD</v>
      </c>
      <c r="D3840" t="str">
        <f t="shared" ca="1" si="296"/>
        <v>RFR USD</v>
      </c>
      <c r="E3840" t="str">
        <f t="shared" ca="1" si="297"/>
        <v>RFR EUR</v>
      </c>
      <c r="F3840" t="str">
        <f t="shared" ca="1" si="298"/>
        <v>RFR GBP</v>
      </c>
      <c r="J3840" s="1"/>
      <c r="N3840" s="1"/>
      <c r="R3840" s="1"/>
      <c r="V3840" s="1"/>
      <c r="AB3840" s="1"/>
      <c r="AF3840" s="1"/>
      <c r="AJ3840" s="1"/>
      <c r="AN3840" s="1"/>
      <c r="AS3840" s="1"/>
      <c r="AX3840" s="1"/>
    </row>
    <row r="3841" spans="1:50" x14ac:dyDescent="0.3">
      <c r="A3841" s="19">
        <f t="shared" si="299"/>
        <v>51292</v>
      </c>
      <c r="B3841">
        <f t="shared" ca="1" si="295"/>
        <v>-14.277777777777779</v>
      </c>
      <c r="C3841" t="str">
        <f ca="1">IF(currency="USD",'Future et co'!D3841,IF(currency="EUR",'Future et co'!E3841,IF(currency="GBP",'Future et co'!F3841,FALSE)))</f>
        <v>RFR USD</v>
      </c>
      <c r="D3841" t="str">
        <f t="shared" ca="1" si="296"/>
        <v>RFR USD</v>
      </c>
      <c r="E3841" t="str">
        <f t="shared" ca="1" si="297"/>
        <v>RFR EUR</v>
      </c>
      <c r="F3841" t="str">
        <f t="shared" ca="1" si="298"/>
        <v>RFR GBP</v>
      </c>
      <c r="J3841" s="1"/>
      <c r="N3841" s="1"/>
      <c r="R3841" s="1"/>
      <c r="V3841" s="1"/>
      <c r="AB3841" s="1"/>
      <c r="AF3841" s="1"/>
      <c r="AJ3841" s="1"/>
      <c r="AN3841" s="1"/>
      <c r="AS3841" s="1"/>
      <c r="AX3841" s="1"/>
    </row>
    <row r="3842" spans="1:50" x14ac:dyDescent="0.3">
      <c r="A3842" s="19">
        <f t="shared" si="299"/>
        <v>51293</v>
      </c>
      <c r="B3842">
        <f t="shared" ca="1" si="295"/>
        <v>-14.280555555555555</v>
      </c>
      <c r="C3842" t="str">
        <f ca="1">IF(currency="USD",'Future et co'!D3842,IF(currency="EUR",'Future et co'!E3842,IF(currency="GBP",'Future et co'!F3842,FALSE)))</f>
        <v>RFR USD</v>
      </c>
      <c r="D3842" t="str">
        <f t="shared" ca="1" si="296"/>
        <v>RFR USD</v>
      </c>
      <c r="E3842" t="str">
        <f t="shared" ca="1" si="297"/>
        <v>RFR EUR</v>
      </c>
      <c r="F3842" t="str">
        <f t="shared" ca="1" si="298"/>
        <v>RFR GBP</v>
      </c>
      <c r="J3842" s="1"/>
      <c r="N3842" s="1"/>
      <c r="R3842" s="1"/>
      <c r="V3842" s="1"/>
      <c r="AB3842" s="1"/>
      <c r="AF3842" s="1"/>
      <c r="AJ3842" s="1"/>
      <c r="AN3842" s="1"/>
      <c r="AS3842" s="1"/>
      <c r="AX3842" s="1"/>
    </row>
    <row r="3843" spans="1:50" x14ac:dyDescent="0.3">
      <c r="A3843" s="19">
        <f t="shared" si="299"/>
        <v>51294</v>
      </c>
      <c r="B3843">
        <f t="shared" ca="1" si="295"/>
        <v>-14.283333333333333</v>
      </c>
      <c r="C3843" t="str">
        <f ca="1">IF(currency="USD",'Future et co'!D3843,IF(currency="EUR",'Future et co'!E3843,IF(currency="GBP",'Future et co'!F3843,FALSE)))</f>
        <v>RFR USD</v>
      </c>
      <c r="D3843" t="str">
        <f t="shared" ca="1" si="296"/>
        <v>RFR USD</v>
      </c>
      <c r="E3843" t="str">
        <f t="shared" ca="1" si="297"/>
        <v>RFR EUR</v>
      </c>
      <c r="F3843" t="str">
        <f t="shared" ca="1" si="298"/>
        <v>RFR GBP</v>
      </c>
      <c r="J3843" s="1"/>
      <c r="N3843" s="1"/>
      <c r="R3843" s="1"/>
      <c r="V3843" s="1"/>
      <c r="AB3843" s="1"/>
      <c r="AF3843" s="1"/>
      <c r="AJ3843" s="1"/>
      <c r="AN3843" s="1"/>
      <c r="AS3843" s="1"/>
      <c r="AX3843" s="1"/>
    </row>
    <row r="3844" spans="1:50" x14ac:dyDescent="0.3">
      <c r="A3844" s="19">
        <f t="shared" si="299"/>
        <v>51295</v>
      </c>
      <c r="B3844">
        <f t="shared" ca="1" si="295"/>
        <v>-14.286111111111111</v>
      </c>
      <c r="C3844" t="str">
        <f ca="1">IF(currency="USD",'Future et co'!D3844,IF(currency="EUR",'Future et co'!E3844,IF(currency="GBP",'Future et co'!F3844,FALSE)))</f>
        <v>RFR USD</v>
      </c>
      <c r="D3844" t="str">
        <f t="shared" ca="1" si="296"/>
        <v>RFR USD</v>
      </c>
      <c r="E3844" t="str">
        <f t="shared" ca="1" si="297"/>
        <v>RFR EUR</v>
      </c>
      <c r="F3844" t="str">
        <f t="shared" ca="1" si="298"/>
        <v>RFR GBP</v>
      </c>
      <c r="J3844" s="1"/>
      <c r="N3844" s="1"/>
      <c r="R3844" s="1"/>
      <c r="V3844" s="1"/>
      <c r="AB3844" s="1"/>
      <c r="AF3844" s="1"/>
      <c r="AJ3844" s="1"/>
      <c r="AN3844" s="1"/>
      <c r="AS3844" s="1"/>
      <c r="AX3844" s="1"/>
    </row>
    <row r="3845" spans="1:50" x14ac:dyDescent="0.3">
      <c r="A3845" s="19">
        <f t="shared" si="299"/>
        <v>51298</v>
      </c>
      <c r="B3845">
        <f t="shared" ca="1" si="295"/>
        <v>-14.294444444444444</v>
      </c>
      <c r="C3845" t="str">
        <f ca="1">IF(currency="USD",'Future et co'!D3845,IF(currency="EUR",'Future et co'!E3845,IF(currency="GBP",'Future et co'!F3845,FALSE)))</f>
        <v>RFR USD</v>
      </c>
      <c r="D3845" t="str">
        <f t="shared" ca="1" si="296"/>
        <v>RFR USD</v>
      </c>
      <c r="E3845" t="str">
        <f t="shared" ca="1" si="297"/>
        <v>RFR EUR</v>
      </c>
      <c r="F3845" t="str">
        <f t="shared" ca="1" si="298"/>
        <v>RFR GBP</v>
      </c>
      <c r="J3845" s="1"/>
      <c r="N3845" s="1"/>
      <c r="R3845" s="1"/>
      <c r="V3845" s="1"/>
      <c r="AB3845" s="1"/>
      <c r="AF3845" s="1"/>
      <c r="AJ3845" s="1"/>
      <c r="AN3845" s="1"/>
      <c r="AS3845" s="1"/>
      <c r="AX3845" s="1"/>
    </row>
    <row r="3846" spans="1:50" x14ac:dyDescent="0.3">
      <c r="A3846" s="19">
        <f t="shared" si="299"/>
        <v>51299</v>
      </c>
      <c r="B3846">
        <f t="shared" ca="1" si="295"/>
        <v>-14.297222222222222</v>
      </c>
      <c r="C3846" t="str">
        <f ca="1">IF(currency="USD",'Future et co'!D3846,IF(currency="EUR",'Future et co'!E3846,IF(currency="GBP",'Future et co'!F3846,FALSE)))</f>
        <v>RFR USD</v>
      </c>
      <c r="D3846" t="str">
        <f t="shared" ca="1" si="296"/>
        <v>RFR USD</v>
      </c>
      <c r="E3846" t="str">
        <f t="shared" ca="1" si="297"/>
        <v>RFR EUR</v>
      </c>
      <c r="F3846" t="str">
        <f t="shared" ca="1" si="298"/>
        <v>RFR GBP</v>
      </c>
      <c r="J3846" s="1"/>
      <c r="N3846" s="1"/>
      <c r="R3846" s="1"/>
      <c r="V3846" s="1"/>
      <c r="AB3846" s="1"/>
      <c r="AF3846" s="1"/>
      <c r="AJ3846" s="1"/>
      <c r="AN3846" s="1"/>
      <c r="AS3846" s="1"/>
      <c r="AX3846" s="1"/>
    </row>
    <row r="3847" spans="1:50" x14ac:dyDescent="0.3">
      <c r="A3847" s="19">
        <f t="shared" si="299"/>
        <v>51300</v>
      </c>
      <c r="B3847">
        <f t="shared" ca="1" si="295"/>
        <v>-14.3</v>
      </c>
      <c r="C3847" t="str">
        <f ca="1">IF(currency="USD",'Future et co'!D3847,IF(currency="EUR",'Future et co'!E3847,IF(currency="GBP",'Future et co'!F3847,FALSE)))</f>
        <v>RFR USD</v>
      </c>
      <c r="D3847" t="str">
        <f t="shared" ca="1" si="296"/>
        <v>RFR USD</v>
      </c>
      <c r="E3847" t="str">
        <f t="shared" ca="1" si="297"/>
        <v>RFR EUR</v>
      </c>
      <c r="F3847" t="str">
        <f t="shared" ca="1" si="298"/>
        <v>RFR GBP</v>
      </c>
      <c r="J3847" s="1"/>
      <c r="N3847" s="1"/>
      <c r="R3847" s="1"/>
      <c r="V3847" s="1"/>
      <c r="AB3847" s="1"/>
      <c r="AF3847" s="1"/>
      <c r="AJ3847" s="1"/>
      <c r="AN3847" s="1"/>
      <c r="AS3847" s="1"/>
      <c r="AX3847" s="1"/>
    </row>
    <row r="3848" spans="1:50" x14ac:dyDescent="0.3">
      <c r="A3848" s="19">
        <f t="shared" si="299"/>
        <v>51301</v>
      </c>
      <c r="B3848">
        <f t="shared" ca="1" si="295"/>
        <v>-14.302777777777777</v>
      </c>
      <c r="C3848" t="str">
        <f ca="1">IF(currency="USD",'Future et co'!D3848,IF(currency="EUR",'Future et co'!E3848,IF(currency="GBP",'Future et co'!F3848,FALSE)))</f>
        <v>RFR USD</v>
      </c>
      <c r="D3848" t="str">
        <f t="shared" ca="1" si="296"/>
        <v>RFR USD</v>
      </c>
      <c r="E3848" t="str">
        <f t="shared" ca="1" si="297"/>
        <v>RFR EUR</v>
      </c>
      <c r="F3848" t="str">
        <f t="shared" ca="1" si="298"/>
        <v>RFR GBP</v>
      </c>
      <c r="J3848" s="1"/>
      <c r="N3848" s="1"/>
      <c r="R3848" s="1"/>
      <c r="V3848" s="1"/>
      <c r="AB3848" s="1"/>
      <c r="AF3848" s="1"/>
      <c r="AJ3848" s="1"/>
      <c r="AN3848" s="1"/>
      <c r="AS3848" s="1"/>
      <c r="AX3848" s="1"/>
    </row>
    <row r="3849" spans="1:50" x14ac:dyDescent="0.3">
      <c r="A3849" s="19">
        <f t="shared" si="299"/>
        <v>51302</v>
      </c>
      <c r="B3849">
        <f t="shared" ca="1" si="295"/>
        <v>-14.305555555555555</v>
      </c>
      <c r="C3849" t="str">
        <f ca="1">IF(currency="USD",'Future et co'!D3849,IF(currency="EUR",'Future et co'!E3849,IF(currency="GBP",'Future et co'!F3849,FALSE)))</f>
        <v>RFR USD</v>
      </c>
      <c r="D3849" t="str">
        <f t="shared" ca="1" si="296"/>
        <v>RFR USD</v>
      </c>
      <c r="E3849" t="str">
        <f t="shared" ca="1" si="297"/>
        <v>RFR EUR</v>
      </c>
      <c r="F3849" t="str">
        <f t="shared" ca="1" si="298"/>
        <v>RFR GBP</v>
      </c>
      <c r="J3849" s="1"/>
      <c r="N3849" s="1"/>
      <c r="R3849" s="1"/>
      <c r="V3849" s="1"/>
      <c r="AB3849" s="1"/>
      <c r="AF3849" s="1"/>
      <c r="AJ3849" s="1"/>
      <c r="AN3849" s="1"/>
      <c r="AS3849" s="1"/>
      <c r="AX3849" s="1"/>
    </row>
    <row r="3850" spans="1:50" x14ac:dyDescent="0.3">
      <c r="A3850" s="19">
        <f t="shared" si="299"/>
        <v>51305</v>
      </c>
      <c r="B3850">
        <f t="shared" ca="1" si="295"/>
        <v>-14.313888888888888</v>
      </c>
      <c r="C3850" t="str">
        <f ca="1">IF(currency="USD",'Future et co'!D3850,IF(currency="EUR",'Future et co'!E3850,IF(currency="GBP",'Future et co'!F3850,FALSE)))</f>
        <v>RFR USD</v>
      </c>
      <c r="D3850" t="str">
        <f t="shared" ca="1" si="296"/>
        <v>RFR USD</v>
      </c>
      <c r="E3850" t="str">
        <f t="shared" ca="1" si="297"/>
        <v>RFR EUR</v>
      </c>
      <c r="F3850" t="str">
        <f t="shared" ca="1" si="298"/>
        <v>RFR GBP</v>
      </c>
      <c r="J3850" s="1"/>
      <c r="N3850" s="1"/>
      <c r="R3850" s="1"/>
      <c r="V3850" s="1"/>
      <c r="AB3850" s="1"/>
      <c r="AF3850" s="1"/>
      <c r="AJ3850" s="1"/>
      <c r="AN3850" s="1"/>
      <c r="AS3850" s="1"/>
      <c r="AX3850" s="1"/>
    </row>
    <row r="3851" spans="1:50" x14ac:dyDescent="0.3">
      <c r="A3851" s="19">
        <f t="shared" si="299"/>
        <v>51306</v>
      </c>
      <c r="B3851">
        <f t="shared" ref="B3851:B3914" ca="1" si="300">($B$7-A3851)/360</f>
        <v>-14.316666666666666</v>
      </c>
      <c r="C3851" t="str">
        <f ca="1">IF(currency="USD",'Future et co'!D3851,IF(currency="EUR",'Future et co'!E3851,IF(currency="GBP",'Future et co'!F3851,FALSE)))</f>
        <v>RFR USD</v>
      </c>
      <c r="D3851" t="str">
        <f t="shared" ref="D3851:D3914" ca="1" si="301">IFERROR(IF(B3851&lt;0.25,VLOOKUP(A3851,$J$11:$L$5325,3,FALSE),IF(AND(B3851&gt;=0.25,B3851&lt;0.5),VLOOKUP(A3851,$N$11:$P$5325,3,FALSE),IF(AND(B3851&gt;=0.5,B3851&lt;1),VLOOKUP(A3851,$R$11:$T$5325,3,FALSE),VLOOKUP(A3851,$V$11:$X$5010,3,FALSE)))),D3850)</f>
        <v>RFR USD</v>
      </c>
      <c r="E3851" t="str">
        <f t="shared" ref="E3851:E3914" ca="1" si="302">IFERROR(IF(B3851&lt;0.25,VLOOKUP(A3851,$AF$11:$AH$5325,3,FALSE),IF(AND(B3851&gt;=0.25,B3851&lt;0.5),VLOOKUP(A3851,$AJ$11:$AL$5325,3,FALSE),VLOOKUP(A3851,$AN$11:$AP$5325,3,FALSE))),E3850)</f>
        <v>RFR EUR</v>
      </c>
      <c r="F3851" t="str">
        <f t="shared" ref="F3851:F3914" ca="1" si="303">IFERROR(VLOOKUP(A3851,$AS$11:$AU$9999,3,FALSE),F3850)</f>
        <v>RFR GBP</v>
      </c>
      <c r="J3851" s="1"/>
      <c r="N3851" s="1"/>
      <c r="R3851" s="1"/>
      <c r="V3851" s="1"/>
      <c r="AB3851" s="1"/>
      <c r="AF3851" s="1"/>
      <c r="AJ3851" s="1"/>
      <c r="AN3851" s="1"/>
      <c r="AS3851" s="1"/>
      <c r="AX3851" s="1"/>
    </row>
    <row r="3852" spans="1:50" x14ac:dyDescent="0.3">
      <c r="A3852" s="19">
        <f t="shared" si="299"/>
        <v>51307</v>
      </c>
      <c r="B3852">
        <f t="shared" ca="1" si="300"/>
        <v>-14.319444444444445</v>
      </c>
      <c r="C3852" t="str">
        <f ca="1">IF(currency="USD",'Future et co'!D3852,IF(currency="EUR",'Future et co'!E3852,IF(currency="GBP",'Future et co'!F3852,FALSE)))</f>
        <v>RFR USD</v>
      </c>
      <c r="D3852" t="str">
        <f t="shared" ca="1" si="301"/>
        <v>RFR USD</v>
      </c>
      <c r="E3852" t="str">
        <f t="shared" ca="1" si="302"/>
        <v>RFR EUR</v>
      </c>
      <c r="F3852" t="str">
        <f t="shared" ca="1" si="303"/>
        <v>RFR GBP</v>
      </c>
      <c r="J3852" s="1"/>
      <c r="N3852" s="1"/>
      <c r="R3852" s="1"/>
      <c r="V3852" s="1"/>
      <c r="AB3852" s="1"/>
      <c r="AF3852" s="1"/>
      <c r="AJ3852" s="1"/>
      <c r="AN3852" s="1"/>
      <c r="AS3852" s="1"/>
      <c r="AX3852" s="1"/>
    </row>
    <row r="3853" spans="1:50" x14ac:dyDescent="0.3">
      <c r="A3853" s="19">
        <f t="shared" ref="A3853:A3916" si="304">WORKDAY(A3852,1)</f>
        <v>51308</v>
      </c>
      <c r="B3853">
        <f t="shared" ca="1" si="300"/>
        <v>-14.322222222222223</v>
      </c>
      <c r="C3853" t="str">
        <f ca="1">IF(currency="USD",'Future et co'!D3853,IF(currency="EUR",'Future et co'!E3853,IF(currency="GBP",'Future et co'!F3853,FALSE)))</f>
        <v>RFR USD</v>
      </c>
      <c r="D3853" t="str">
        <f t="shared" ca="1" si="301"/>
        <v>RFR USD</v>
      </c>
      <c r="E3853" t="str">
        <f t="shared" ca="1" si="302"/>
        <v>RFR EUR</v>
      </c>
      <c r="F3853" t="str">
        <f t="shared" ca="1" si="303"/>
        <v>RFR GBP</v>
      </c>
      <c r="J3853" s="1"/>
      <c r="N3853" s="1"/>
      <c r="R3853" s="1"/>
      <c r="V3853" s="1"/>
      <c r="AB3853" s="1"/>
      <c r="AF3853" s="1"/>
      <c r="AJ3853" s="1"/>
      <c r="AN3853" s="1"/>
      <c r="AS3853" s="1"/>
      <c r="AX3853" s="1"/>
    </row>
    <row r="3854" spans="1:50" x14ac:dyDescent="0.3">
      <c r="A3854" s="19">
        <f t="shared" si="304"/>
        <v>51309</v>
      </c>
      <c r="B3854">
        <f t="shared" ca="1" si="300"/>
        <v>-14.324999999999999</v>
      </c>
      <c r="C3854" t="str">
        <f ca="1">IF(currency="USD",'Future et co'!D3854,IF(currency="EUR",'Future et co'!E3854,IF(currency="GBP",'Future et co'!F3854,FALSE)))</f>
        <v>RFR USD</v>
      </c>
      <c r="D3854" t="str">
        <f t="shared" ca="1" si="301"/>
        <v>RFR USD</v>
      </c>
      <c r="E3854" t="str">
        <f t="shared" ca="1" si="302"/>
        <v>RFR EUR</v>
      </c>
      <c r="F3854" t="str">
        <f t="shared" ca="1" si="303"/>
        <v>RFR GBP</v>
      </c>
      <c r="J3854" s="1"/>
      <c r="N3854" s="1"/>
      <c r="R3854" s="1"/>
      <c r="V3854" s="1"/>
      <c r="AB3854" s="1"/>
      <c r="AF3854" s="1"/>
      <c r="AJ3854" s="1"/>
      <c r="AN3854" s="1"/>
      <c r="AS3854" s="1"/>
      <c r="AX3854" s="1"/>
    </row>
    <row r="3855" spans="1:50" x14ac:dyDescent="0.3">
      <c r="A3855" s="19">
        <f t="shared" si="304"/>
        <v>51312</v>
      </c>
      <c r="B3855">
        <f t="shared" ca="1" si="300"/>
        <v>-14.333333333333334</v>
      </c>
      <c r="C3855" t="str">
        <f ca="1">IF(currency="USD",'Future et co'!D3855,IF(currency="EUR",'Future et co'!E3855,IF(currency="GBP",'Future et co'!F3855,FALSE)))</f>
        <v>RFR USD</v>
      </c>
      <c r="D3855" t="str">
        <f t="shared" ca="1" si="301"/>
        <v>RFR USD</v>
      </c>
      <c r="E3855" t="str">
        <f t="shared" ca="1" si="302"/>
        <v>RFR EUR</v>
      </c>
      <c r="F3855" t="str">
        <f t="shared" ca="1" si="303"/>
        <v>RFR GBP</v>
      </c>
      <c r="J3855" s="1"/>
      <c r="N3855" s="1"/>
      <c r="R3855" s="1"/>
      <c r="V3855" s="1"/>
      <c r="AB3855" s="1"/>
      <c r="AF3855" s="1"/>
      <c r="AJ3855" s="1"/>
      <c r="AN3855" s="1"/>
      <c r="AS3855" s="1"/>
      <c r="AX3855" s="1"/>
    </row>
    <row r="3856" spans="1:50" x14ac:dyDescent="0.3">
      <c r="A3856" s="19">
        <f t="shared" si="304"/>
        <v>51313</v>
      </c>
      <c r="B3856">
        <f t="shared" ca="1" si="300"/>
        <v>-14.33611111111111</v>
      </c>
      <c r="C3856" t="str">
        <f ca="1">IF(currency="USD",'Future et co'!D3856,IF(currency="EUR",'Future et co'!E3856,IF(currency="GBP",'Future et co'!F3856,FALSE)))</f>
        <v>RFR USD</v>
      </c>
      <c r="D3856" t="str">
        <f t="shared" ca="1" si="301"/>
        <v>RFR USD</v>
      </c>
      <c r="E3856" t="str">
        <f t="shared" ca="1" si="302"/>
        <v>RFR EUR</v>
      </c>
      <c r="F3856" t="str">
        <f t="shared" ca="1" si="303"/>
        <v>RFR GBP</v>
      </c>
      <c r="J3856" s="1"/>
      <c r="N3856" s="1"/>
      <c r="R3856" s="1"/>
      <c r="V3856" s="1"/>
      <c r="AB3856" s="1"/>
      <c r="AF3856" s="1"/>
      <c r="AJ3856" s="1"/>
      <c r="AN3856" s="1"/>
      <c r="AS3856" s="1"/>
      <c r="AX3856" s="1"/>
    </row>
    <row r="3857" spans="1:50" x14ac:dyDescent="0.3">
      <c r="A3857" s="19">
        <f t="shared" si="304"/>
        <v>51314</v>
      </c>
      <c r="B3857">
        <f t="shared" ca="1" si="300"/>
        <v>-14.338888888888889</v>
      </c>
      <c r="C3857" t="str">
        <f ca="1">IF(currency="USD",'Future et co'!D3857,IF(currency="EUR",'Future et co'!E3857,IF(currency="GBP",'Future et co'!F3857,FALSE)))</f>
        <v>RFR USD</v>
      </c>
      <c r="D3857" t="str">
        <f t="shared" ca="1" si="301"/>
        <v>RFR USD</v>
      </c>
      <c r="E3857" t="str">
        <f t="shared" ca="1" si="302"/>
        <v>RFR EUR</v>
      </c>
      <c r="F3857" t="str">
        <f t="shared" ca="1" si="303"/>
        <v>RFR GBP</v>
      </c>
      <c r="J3857" s="1"/>
      <c r="N3857" s="1"/>
      <c r="R3857" s="1"/>
      <c r="V3857" s="1"/>
      <c r="AB3857" s="1"/>
      <c r="AF3857" s="1"/>
      <c r="AJ3857" s="1"/>
      <c r="AN3857" s="1"/>
      <c r="AS3857" s="1"/>
      <c r="AX3857" s="1"/>
    </row>
    <row r="3858" spans="1:50" x14ac:dyDescent="0.3">
      <c r="A3858" s="19">
        <f t="shared" si="304"/>
        <v>51315</v>
      </c>
      <c r="B3858">
        <f t="shared" ca="1" si="300"/>
        <v>-14.341666666666667</v>
      </c>
      <c r="C3858" t="str">
        <f ca="1">IF(currency="USD",'Future et co'!D3858,IF(currency="EUR",'Future et co'!E3858,IF(currency="GBP",'Future et co'!F3858,FALSE)))</f>
        <v>RFR USD</v>
      </c>
      <c r="D3858" t="str">
        <f t="shared" ca="1" si="301"/>
        <v>RFR USD</v>
      </c>
      <c r="E3858" t="str">
        <f t="shared" ca="1" si="302"/>
        <v>RFR EUR</v>
      </c>
      <c r="F3858" t="str">
        <f t="shared" ca="1" si="303"/>
        <v>RFR GBP</v>
      </c>
      <c r="J3858" s="1"/>
      <c r="N3858" s="1"/>
      <c r="R3858" s="1"/>
      <c r="V3858" s="1"/>
      <c r="AB3858" s="1"/>
      <c r="AF3858" s="1"/>
      <c r="AJ3858" s="1"/>
      <c r="AN3858" s="1"/>
      <c r="AS3858" s="1"/>
      <c r="AX3858" s="1"/>
    </row>
    <row r="3859" spans="1:50" x14ac:dyDescent="0.3">
      <c r="A3859" s="19">
        <f t="shared" si="304"/>
        <v>51316</v>
      </c>
      <c r="B3859">
        <f t="shared" ca="1" si="300"/>
        <v>-14.344444444444445</v>
      </c>
      <c r="C3859" t="str">
        <f ca="1">IF(currency="USD",'Future et co'!D3859,IF(currency="EUR",'Future et co'!E3859,IF(currency="GBP",'Future et co'!F3859,FALSE)))</f>
        <v>RFR USD</v>
      </c>
      <c r="D3859" t="str">
        <f t="shared" ca="1" si="301"/>
        <v>RFR USD</v>
      </c>
      <c r="E3859" t="str">
        <f t="shared" ca="1" si="302"/>
        <v>RFR EUR</v>
      </c>
      <c r="F3859" t="str">
        <f t="shared" ca="1" si="303"/>
        <v>RFR GBP</v>
      </c>
      <c r="J3859" s="1"/>
      <c r="N3859" s="1"/>
      <c r="R3859" s="1"/>
      <c r="V3859" s="1"/>
      <c r="AB3859" s="1"/>
      <c r="AF3859" s="1"/>
      <c r="AJ3859" s="1"/>
      <c r="AN3859" s="1"/>
      <c r="AS3859" s="1"/>
      <c r="AX3859" s="1"/>
    </row>
    <row r="3860" spans="1:50" x14ac:dyDescent="0.3">
      <c r="A3860" s="19">
        <f t="shared" si="304"/>
        <v>51319</v>
      </c>
      <c r="B3860">
        <f t="shared" ca="1" si="300"/>
        <v>-14.352777777777778</v>
      </c>
      <c r="C3860" t="str">
        <f ca="1">IF(currency="USD",'Future et co'!D3860,IF(currency="EUR",'Future et co'!E3860,IF(currency="GBP",'Future et co'!F3860,FALSE)))</f>
        <v>RFR USD</v>
      </c>
      <c r="D3860" t="str">
        <f t="shared" ca="1" si="301"/>
        <v>RFR USD</v>
      </c>
      <c r="E3860" t="str">
        <f t="shared" ca="1" si="302"/>
        <v>RFR EUR</v>
      </c>
      <c r="F3860" t="str">
        <f t="shared" ca="1" si="303"/>
        <v>RFR GBP</v>
      </c>
      <c r="J3860" s="1"/>
      <c r="N3860" s="1"/>
      <c r="R3860" s="1"/>
      <c r="V3860" s="1"/>
      <c r="AB3860" s="1"/>
      <c r="AF3860" s="1"/>
      <c r="AJ3860" s="1"/>
      <c r="AN3860" s="1"/>
      <c r="AS3860" s="1"/>
      <c r="AX3860" s="1"/>
    </row>
    <row r="3861" spans="1:50" x14ac:dyDescent="0.3">
      <c r="A3861" s="19">
        <f t="shared" si="304"/>
        <v>51320</v>
      </c>
      <c r="B3861">
        <f t="shared" ca="1" si="300"/>
        <v>-14.355555555555556</v>
      </c>
      <c r="C3861" t="str">
        <f ca="1">IF(currency="USD",'Future et co'!D3861,IF(currency="EUR",'Future et co'!E3861,IF(currency="GBP",'Future et co'!F3861,FALSE)))</f>
        <v>RFR USD</v>
      </c>
      <c r="D3861" t="str">
        <f t="shared" ca="1" si="301"/>
        <v>RFR USD</v>
      </c>
      <c r="E3861" t="str">
        <f t="shared" ca="1" si="302"/>
        <v>RFR EUR</v>
      </c>
      <c r="F3861" t="str">
        <f t="shared" ca="1" si="303"/>
        <v>RFR GBP</v>
      </c>
      <c r="J3861" s="1"/>
      <c r="N3861" s="1"/>
      <c r="R3861" s="1"/>
      <c r="V3861" s="1"/>
      <c r="AB3861" s="1"/>
      <c r="AF3861" s="1"/>
      <c r="AJ3861" s="1"/>
      <c r="AN3861" s="1"/>
      <c r="AS3861" s="1"/>
      <c r="AX3861" s="1"/>
    </row>
    <row r="3862" spans="1:50" x14ac:dyDescent="0.3">
      <c r="A3862" s="19">
        <f t="shared" si="304"/>
        <v>51321</v>
      </c>
      <c r="B3862">
        <f t="shared" ca="1" si="300"/>
        <v>-14.358333333333333</v>
      </c>
      <c r="C3862" t="str">
        <f ca="1">IF(currency="USD",'Future et co'!D3862,IF(currency="EUR",'Future et co'!E3862,IF(currency="GBP",'Future et co'!F3862,FALSE)))</f>
        <v>RFR USD</v>
      </c>
      <c r="D3862" t="str">
        <f t="shared" ca="1" si="301"/>
        <v>RFR USD</v>
      </c>
      <c r="E3862" t="str">
        <f t="shared" ca="1" si="302"/>
        <v>RFR EUR</v>
      </c>
      <c r="F3862" t="str">
        <f t="shared" ca="1" si="303"/>
        <v>RFR GBP</v>
      </c>
      <c r="J3862" s="1"/>
      <c r="N3862" s="1"/>
      <c r="R3862" s="1"/>
      <c r="V3862" s="1"/>
      <c r="AB3862" s="1"/>
      <c r="AF3862" s="1"/>
      <c r="AJ3862" s="1"/>
      <c r="AN3862" s="1"/>
      <c r="AS3862" s="1"/>
      <c r="AX3862" s="1"/>
    </row>
    <row r="3863" spans="1:50" x14ac:dyDescent="0.3">
      <c r="A3863" s="19">
        <f t="shared" si="304"/>
        <v>51322</v>
      </c>
      <c r="B3863">
        <f t="shared" ca="1" si="300"/>
        <v>-14.361111111111111</v>
      </c>
      <c r="C3863" t="str">
        <f ca="1">IF(currency="USD",'Future et co'!D3863,IF(currency="EUR",'Future et co'!E3863,IF(currency="GBP",'Future et co'!F3863,FALSE)))</f>
        <v>RFR USD</v>
      </c>
      <c r="D3863" t="str">
        <f t="shared" ca="1" si="301"/>
        <v>RFR USD</v>
      </c>
      <c r="E3863" t="str">
        <f t="shared" ca="1" si="302"/>
        <v>RFR EUR</v>
      </c>
      <c r="F3863" t="str">
        <f t="shared" ca="1" si="303"/>
        <v>RFR GBP</v>
      </c>
      <c r="J3863" s="1"/>
      <c r="N3863" s="1"/>
      <c r="R3863" s="1"/>
      <c r="V3863" s="1"/>
      <c r="AB3863" s="1"/>
      <c r="AF3863" s="1"/>
      <c r="AJ3863" s="1"/>
      <c r="AN3863" s="1"/>
      <c r="AS3863" s="1"/>
      <c r="AX3863" s="1"/>
    </row>
    <row r="3864" spans="1:50" x14ac:dyDescent="0.3">
      <c r="A3864" s="19">
        <f t="shared" si="304"/>
        <v>51323</v>
      </c>
      <c r="B3864">
        <f t="shared" ca="1" si="300"/>
        <v>-14.363888888888889</v>
      </c>
      <c r="C3864" t="str">
        <f ca="1">IF(currency="USD",'Future et co'!D3864,IF(currency="EUR",'Future et co'!E3864,IF(currency="GBP",'Future et co'!F3864,FALSE)))</f>
        <v>RFR USD</v>
      </c>
      <c r="D3864" t="str">
        <f t="shared" ca="1" si="301"/>
        <v>RFR USD</v>
      </c>
      <c r="E3864" t="str">
        <f t="shared" ca="1" si="302"/>
        <v>RFR EUR</v>
      </c>
      <c r="F3864" t="str">
        <f t="shared" ca="1" si="303"/>
        <v>RFR GBP</v>
      </c>
      <c r="J3864" s="1"/>
      <c r="N3864" s="1"/>
      <c r="R3864" s="1"/>
      <c r="V3864" s="1"/>
      <c r="AB3864" s="1"/>
      <c r="AF3864" s="1"/>
      <c r="AJ3864" s="1"/>
      <c r="AN3864" s="1"/>
      <c r="AS3864" s="1"/>
      <c r="AX3864" s="1"/>
    </row>
    <row r="3865" spans="1:50" x14ac:dyDescent="0.3">
      <c r="A3865" s="19">
        <f t="shared" si="304"/>
        <v>51326</v>
      </c>
      <c r="B3865">
        <f t="shared" ca="1" si="300"/>
        <v>-14.372222222222222</v>
      </c>
      <c r="C3865" t="str">
        <f ca="1">IF(currency="USD",'Future et co'!D3865,IF(currency="EUR",'Future et co'!E3865,IF(currency="GBP",'Future et co'!F3865,FALSE)))</f>
        <v>RFR USD</v>
      </c>
      <c r="D3865" t="str">
        <f t="shared" ca="1" si="301"/>
        <v>RFR USD</v>
      </c>
      <c r="E3865" t="str">
        <f t="shared" ca="1" si="302"/>
        <v>RFR EUR</v>
      </c>
      <c r="F3865" t="str">
        <f t="shared" ca="1" si="303"/>
        <v>RFR GBP</v>
      </c>
      <c r="J3865" s="1"/>
      <c r="N3865" s="1"/>
      <c r="R3865" s="1"/>
      <c r="V3865" s="1"/>
      <c r="AB3865" s="1"/>
      <c r="AF3865" s="1"/>
      <c r="AJ3865" s="1"/>
      <c r="AN3865" s="1"/>
      <c r="AS3865" s="1"/>
      <c r="AX3865" s="1"/>
    </row>
    <row r="3866" spans="1:50" x14ac:dyDescent="0.3">
      <c r="A3866" s="19">
        <f t="shared" si="304"/>
        <v>51327</v>
      </c>
      <c r="B3866">
        <f t="shared" ca="1" si="300"/>
        <v>-14.375</v>
      </c>
      <c r="C3866" t="str">
        <f ca="1">IF(currency="USD",'Future et co'!D3866,IF(currency="EUR",'Future et co'!E3866,IF(currency="GBP",'Future et co'!F3866,FALSE)))</f>
        <v>RFR USD</v>
      </c>
      <c r="D3866" t="str">
        <f t="shared" ca="1" si="301"/>
        <v>RFR USD</v>
      </c>
      <c r="E3866" t="str">
        <f t="shared" ca="1" si="302"/>
        <v>RFR EUR</v>
      </c>
      <c r="F3866" t="str">
        <f t="shared" ca="1" si="303"/>
        <v>RFR GBP</v>
      </c>
      <c r="J3866" s="1"/>
      <c r="N3866" s="1"/>
      <c r="R3866" s="1"/>
      <c r="V3866" s="1"/>
      <c r="AB3866" s="1"/>
      <c r="AF3866" s="1"/>
      <c r="AJ3866" s="1"/>
      <c r="AN3866" s="1"/>
      <c r="AS3866" s="1"/>
      <c r="AX3866" s="1"/>
    </row>
    <row r="3867" spans="1:50" x14ac:dyDescent="0.3">
      <c r="A3867" s="19">
        <f t="shared" si="304"/>
        <v>51328</v>
      </c>
      <c r="B3867">
        <f t="shared" ca="1" si="300"/>
        <v>-14.377777777777778</v>
      </c>
      <c r="C3867" t="str">
        <f ca="1">IF(currency="USD",'Future et co'!D3867,IF(currency="EUR",'Future et co'!E3867,IF(currency="GBP",'Future et co'!F3867,FALSE)))</f>
        <v>RFR USD</v>
      </c>
      <c r="D3867" t="str">
        <f t="shared" ca="1" si="301"/>
        <v>RFR USD</v>
      </c>
      <c r="E3867" t="str">
        <f t="shared" ca="1" si="302"/>
        <v>RFR EUR</v>
      </c>
      <c r="F3867" t="str">
        <f t="shared" ca="1" si="303"/>
        <v>RFR GBP</v>
      </c>
      <c r="J3867" s="1"/>
      <c r="N3867" s="1"/>
      <c r="R3867" s="1"/>
      <c r="V3867" s="1"/>
      <c r="AB3867" s="1"/>
      <c r="AF3867" s="1"/>
      <c r="AJ3867" s="1"/>
      <c r="AN3867" s="1"/>
      <c r="AS3867" s="1"/>
      <c r="AX3867" s="1"/>
    </row>
    <row r="3868" spans="1:50" x14ac:dyDescent="0.3">
      <c r="A3868" s="19">
        <f t="shared" si="304"/>
        <v>51329</v>
      </c>
      <c r="B3868">
        <f t="shared" ca="1" si="300"/>
        <v>-14.380555555555556</v>
      </c>
      <c r="C3868" t="str">
        <f ca="1">IF(currency="USD",'Future et co'!D3868,IF(currency="EUR",'Future et co'!E3868,IF(currency="GBP",'Future et co'!F3868,FALSE)))</f>
        <v>RFR USD</v>
      </c>
      <c r="D3868" t="str">
        <f t="shared" ca="1" si="301"/>
        <v>RFR USD</v>
      </c>
      <c r="E3868" t="str">
        <f t="shared" ca="1" si="302"/>
        <v>RFR EUR</v>
      </c>
      <c r="F3868" t="str">
        <f t="shared" ca="1" si="303"/>
        <v>RFR GBP</v>
      </c>
      <c r="J3868" s="1"/>
      <c r="N3868" s="1"/>
      <c r="R3868" s="1"/>
      <c r="V3868" s="1"/>
      <c r="AB3868" s="1"/>
      <c r="AF3868" s="1"/>
      <c r="AJ3868" s="1"/>
      <c r="AN3868" s="1"/>
      <c r="AS3868" s="1"/>
      <c r="AX3868" s="1"/>
    </row>
    <row r="3869" spans="1:50" x14ac:dyDescent="0.3">
      <c r="A3869" s="19">
        <f t="shared" si="304"/>
        <v>51330</v>
      </c>
      <c r="B3869">
        <f t="shared" ca="1" si="300"/>
        <v>-14.383333333333333</v>
      </c>
      <c r="C3869" t="str">
        <f ca="1">IF(currency="USD",'Future et co'!D3869,IF(currency="EUR",'Future et co'!E3869,IF(currency="GBP",'Future et co'!F3869,FALSE)))</f>
        <v>RFR USD</v>
      </c>
      <c r="D3869" t="str">
        <f t="shared" ca="1" si="301"/>
        <v>RFR USD</v>
      </c>
      <c r="E3869" t="str">
        <f t="shared" ca="1" si="302"/>
        <v>RFR EUR</v>
      </c>
      <c r="F3869" t="str">
        <f t="shared" ca="1" si="303"/>
        <v>RFR GBP</v>
      </c>
      <c r="J3869" s="1"/>
      <c r="N3869" s="1"/>
      <c r="R3869" s="1"/>
      <c r="V3869" s="1"/>
      <c r="AB3869" s="1"/>
      <c r="AF3869" s="1"/>
      <c r="AJ3869" s="1"/>
      <c r="AN3869" s="1"/>
      <c r="AS3869" s="1"/>
      <c r="AX3869" s="1"/>
    </row>
    <row r="3870" spans="1:50" x14ac:dyDescent="0.3">
      <c r="A3870" s="19">
        <f t="shared" si="304"/>
        <v>51333</v>
      </c>
      <c r="B3870">
        <f t="shared" ca="1" si="300"/>
        <v>-14.391666666666667</v>
      </c>
      <c r="C3870" t="str">
        <f ca="1">IF(currency="USD",'Future et co'!D3870,IF(currency="EUR",'Future et co'!E3870,IF(currency="GBP",'Future et co'!F3870,FALSE)))</f>
        <v>RFR USD</v>
      </c>
      <c r="D3870" t="str">
        <f t="shared" ca="1" si="301"/>
        <v>RFR USD</v>
      </c>
      <c r="E3870" t="str">
        <f t="shared" ca="1" si="302"/>
        <v>RFR EUR</v>
      </c>
      <c r="F3870" t="str">
        <f t="shared" ca="1" si="303"/>
        <v>RFR GBP</v>
      </c>
      <c r="J3870" s="1"/>
      <c r="N3870" s="1"/>
      <c r="R3870" s="1"/>
      <c r="V3870" s="1"/>
      <c r="AB3870" s="1"/>
      <c r="AF3870" s="1"/>
      <c r="AJ3870" s="1"/>
      <c r="AN3870" s="1"/>
      <c r="AS3870" s="1"/>
      <c r="AX3870" s="1"/>
    </row>
    <row r="3871" spans="1:50" x14ac:dyDescent="0.3">
      <c r="A3871" s="19">
        <f t="shared" si="304"/>
        <v>51334</v>
      </c>
      <c r="B3871">
        <f t="shared" ca="1" si="300"/>
        <v>-14.394444444444444</v>
      </c>
      <c r="C3871" t="str">
        <f ca="1">IF(currency="USD",'Future et co'!D3871,IF(currency="EUR",'Future et co'!E3871,IF(currency="GBP",'Future et co'!F3871,FALSE)))</f>
        <v>RFR USD</v>
      </c>
      <c r="D3871" t="str">
        <f t="shared" ca="1" si="301"/>
        <v>RFR USD</v>
      </c>
      <c r="E3871" t="str">
        <f t="shared" ca="1" si="302"/>
        <v>RFR EUR</v>
      </c>
      <c r="F3871" t="str">
        <f t="shared" ca="1" si="303"/>
        <v>RFR GBP</v>
      </c>
      <c r="J3871" s="1"/>
      <c r="N3871" s="1"/>
      <c r="R3871" s="1"/>
      <c r="V3871" s="1"/>
      <c r="AB3871" s="1"/>
      <c r="AF3871" s="1"/>
      <c r="AJ3871" s="1"/>
      <c r="AN3871" s="1"/>
      <c r="AS3871" s="1"/>
      <c r="AX3871" s="1"/>
    </row>
    <row r="3872" spans="1:50" x14ac:dyDescent="0.3">
      <c r="A3872" s="19">
        <f t="shared" si="304"/>
        <v>51335</v>
      </c>
      <c r="B3872">
        <f t="shared" ca="1" si="300"/>
        <v>-14.397222222222222</v>
      </c>
      <c r="C3872" t="str">
        <f ca="1">IF(currency="USD",'Future et co'!D3872,IF(currency="EUR",'Future et co'!E3872,IF(currency="GBP",'Future et co'!F3872,FALSE)))</f>
        <v>RFR USD</v>
      </c>
      <c r="D3872" t="str">
        <f t="shared" ca="1" si="301"/>
        <v>RFR USD</v>
      </c>
      <c r="E3872" t="str">
        <f t="shared" ca="1" si="302"/>
        <v>RFR EUR</v>
      </c>
      <c r="F3872" t="str">
        <f t="shared" ca="1" si="303"/>
        <v>RFR GBP</v>
      </c>
      <c r="J3872" s="1"/>
      <c r="N3872" s="1"/>
      <c r="R3872" s="1"/>
      <c r="V3872" s="1"/>
      <c r="AB3872" s="1"/>
      <c r="AF3872" s="1"/>
      <c r="AJ3872" s="1"/>
      <c r="AN3872" s="1"/>
      <c r="AS3872" s="1"/>
      <c r="AX3872" s="1"/>
    </row>
    <row r="3873" spans="1:50" x14ac:dyDescent="0.3">
      <c r="A3873" s="19">
        <f t="shared" si="304"/>
        <v>51336</v>
      </c>
      <c r="B3873">
        <f t="shared" ca="1" si="300"/>
        <v>-14.4</v>
      </c>
      <c r="C3873" t="str">
        <f ca="1">IF(currency="USD",'Future et co'!D3873,IF(currency="EUR",'Future et co'!E3873,IF(currency="GBP",'Future et co'!F3873,FALSE)))</f>
        <v>RFR USD</v>
      </c>
      <c r="D3873" t="str">
        <f t="shared" ca="1" si="301"/>
        <v>RFR USD</v>
      </c>
      <c r="E3873" t="str">
        <f t="shared" ca="1" si="302"/>
        <v>RFR EUR</v>
      </c>
      <c r="F3873" t="str">
        <f t="shared" ca="1" si="303"/>
        <v>RFR GBP</v>
      </c>
      <c r="J3873" s="1"/>
      <c r="N3873" s="1"/>
      <c r="R3873" s="1"/>
      <c r="V3873" s="1"/>
      <c r="AB3873" s="1"/>
      <c r="AF3873" s="1"/>
      <c r="AJ3873" s="1"/>
      <c r="AN3873" s="1"/>
      <c r="AS3873" s="1"/>
      <c r="AX3873" s="1"/>
    </row>
    <row r="3874" spans="1:50" x14ac:dyDescent="0.3">
      <c r="A3874" s="19">
        <f t="shared" si="304"/>
        <v>51337</v>
      </c>
      <c r="B3874">
        <f t="shared" ca="1" si="300"/>
        <v>-14.402777777777779</v>
      </c>
      <c r="C3874" t="str">
        <f ca="1">IF(currency="USD",'Future et co'!D3874,IF(currency="EUR",'Future et co'!E3874,IF(currency="GBP",'Future et co'!F3874,FALSE)))</f>
        <v>RFR USD</v>
      </c>
      <c r="D3874" t="str">
        <f t="shared" ca="1" si="301"/>
        <v>RFR USD</v>
      </c>
      <c r="E3874" t="str">
        <f t="shared" ca="1" si="302"/>
        <v>RFR EUR</v>
      </c>
      <c r="F3874" t="str">
        <f t="shared" ca="1" si="303"/>
        <v>RFR GBP</v>
      </c>
      <c r="J3874" s="1"/>
      <c r="N3874" s="1"/>
      <c r="R3874" s="1"/>
      <c r="V3874" s="1"/>
      <c r="AB3874" s="1"/>
      <c r="AF3874" s="1"/>
      <c r="AJ3874" s="1"/>
      <c r="AN3874" s="1"/>
      <c r="AS3874" s="1"/>
      <c r="AX3874" s="1"/>
    </row>
    <row r="3875" spans="1:50" x14ac:dyDescent="0.3">
      <c r="A3875" s="19">
        <f t="shared" si="304"/>
        <v>51340</v>
      </c>
      <c r="B3875">
        <f t="shared" ca="1" si="300"/>
        <v>-14.411111111111111</v>
      </c>
      <c r="C3875" t="str">
        <f ca="1">IF(currency="USD",'Future et co'!D3875,IF(currency="EUR",'Future et co'!E3875,IF(currency="GBP",'Future et co'!F3875,FALSE)))</f>
        <v>RFR USD</v>
      </c>
      <c r="D3875" t="str">
        <f t="shared" ca="1" si="301"/>
        <v>RFR USD</v>
      </c>
      <c r="E3875" t="str">
        <f t="shared" ca="1" si="302"/>
        <v>RFR EUR</v>
      </c>
      <c r="F3875" t="str">
        <f t="shared" ca="1" si="303"/>
        <v>RFR GBP</v>
      </c>
      <c r="J3875" s="1"/>
      <c r="N3875" s="1"/>
      <c r="R3875" s="1"/>
      <c r="V3875" s="1"/>
      <c r="AB3875" s="1"/>
      <c r="AF3875" s="1"/>
      <c r="AJ3875" s="1"/>
      <c r="AN3875" s="1"/>
      <c r="AS3875" s="1"/>
      <c r="AX3875" s="1"/>
    </row>
    <row r="3876" spans="1:50" x14ac:dyDescent="0.3">
      <c r="A3876" s="19">
        <f t="shared" si="304"/>
        <v>51341</v>
      </c>
      <c r="B3876">
        <f t="shared" ca="1" si="300"/>
        <v>-14.41388888888889</v>
      </c>
      <c r="C3876" t="str">
        <f ca="1">IF(currency="USD",'Future et co'!D3876,IF(currency="EUR",'Future et co'!E3876,IF(currency="GBP",'Future et co'!F3876,FALSE)))</f>
        <v>RFR USD</v>
      </c>
      <c r="D3876" t="str">
        <f t="shared" ca="1" si="301"/>
        <v>RFR USD</v>
      </c>
      <c r="E3876" t="str">
        <f t="shared" ca="1" si="302"/>
        <v>RFR EUR</v>
      </c>
      <c r="F3876" t="str">
        <f t="shared" ca="1" si="303"/>
        <v>RFR GBP</v>
      </c>
      <c r="J3876" s="1"/>
      <c r="N3876" s="1"/>
      <c r="R3876" s="1"/>
      <c r="V3876" s="1"/>
      <c r="AB3876" s="1"/>
      <c r="AF3876" s="1"/>
      <c r="AJ3876" s="1"/>
      <c r="AN3876" s="1"/>
      <c r="AS3876" s="1"/>
      <c r="AX3876" s="1"/>
    </row>
    <row r="3877" spans="1:50" x14ac:dyDescent="0.3">
      <c r="A3877" s="19">
        <f t="shared" si="304"/>
        <v>51342</v>
      </c>
      <c r="B3877">
        <f t="shared" ca="1" si="300"/>
        <v>-14.416666666666666</v>
      </c>
      <c r="C3877" t="str">
        <f ca="1">IF(currency="USD",'Future et co'!D3877,IF(currency="EUR",'Future et co'!E3877,IF(currency="GBP",'Future et co'!F3877,FALSE)))</f>
        <v>RFR USD</v>
      </c>
      <c r="D3877" t="str">
        <f t="shared" ca="1" si="301"/>
        <v>RFR USD</v>
      </c>
      <c r="E3877" t="str">
        <f t="shared" ca="1" si="302"/>
        <v>RFR EUR</v>
      </c>
      <c r="F3877" t="str">
        <f t="shared" ca="1" si="303"/>
        <v>RFR GBP</v>
      </c>
      <c r="J3877" s="1"/>
      <c r="N3877" s="1"/>
      <c r="R3877" s="1"/>
      <c r="V3877" s="1"/>
      <c r="AB3877" s="1"/>
      <c r="AF3877" s="1"/>
      <c r="AJ3877" s="1"/>
      <c r="AN3877" s="1"/>
      <c r="AS3877" s="1"/>
      <c r="AX3877" s="1"/>
    </row>
    <row r="3878" spans="1:50" x14ac:dyDescent="0.3">
      <c r="A3878" s="19">
        <f t="shared" si="304"/>
        <v>51343</v>
      </c>
      <c r="B3878">
        <f t="shared" ca="1" si="300"/>
        <v>-14.419444444444444</v>
      </c>
      <c r="C3878" t="str">
        <f ca="1">IF(currency="USD",'Future et co'!D3878,IF(currency="EUR",'Future et co'!E3878,IF(currency="GBP",'Future et co'!F3878,FALSE)))</f>
        <v>RFR USD</v>
      </c>
      <c r="D3878" t="str">
        <f t="shared" ca="1" si="301"/>
        <v>RFR USD</v>
      </c>
      <c r="E3878" t="str">
        <f t="shared" ca="1" si="302"/>
        <v>RFR EUR</v>
      </c>
      <c r="F3878" t="str">
        <f t="shared" ca="1" si="303"/>
        <v>RFR GBP</v>
      </c>
      <c r="J3878" s="1"/>
      <c r="N3878" s="1"/>
      <c r="R3878" s="1"/>
      <c r="V3878" s="1"/>
      <c r="AB3878" s="1"/>
      <c r="AF3878" s="1"/>
      <c r="AJ3878" s="1"/>
      <c r="AN3878" s="1"/>
      <c r="AS3878" s="1"/>
      <c r="AX3878" s="1"/>
    </row>
    <row r="3879" spans="1:50" x14ac:dyDescent="0.3">
      <c r="A3879" s="19">
        <f t="shared" si="304"/>
        <v>51344</v>
      </c>
      <c r="B3879">
        <f t="shared" ca="1" si="300"/>
        <v>-14.422222222222222</v>
      </c>
      <c r="C3879" t="str">
        <f ca="1">IF(currency="USD",'Future et co'!D3879,IF(currency="EUR",'Future et co'!E3879,IF(currency="GBP",'Future et co'!F3879,FALSE)))</f>
        <v>RFR USD</v>
      </c>
      <c r="D3879" t="str">
        <f t="shared" ca="1" si="301"/>
        <v>RFR USD</v>
      </c>
      <c r="E3879" t="str">
        <f t="shared" ca="1" si="302"/>
        <v>RFR EUR</v>
      </c>
      <c r="F3879" t="str">
        <f t="shared" ca="1" si="303"/>
        <v>RFR GBP</v>
      </c>
      <c r="J3879" s="1"/>
      <c r="N3879" s="1"/>
      <c r="R3879" s="1"/>
      <c r="V3879" s="1"/>
      <c r="AB3879" s="1"/>
      <c r="AF3879" s="1"/>
      <c r="AJ3879" s="1"/>
      <c r="AN3879" s="1"/>
      <c r="AS3879" s="1"/>
      <c r="AX3879" s="1"/>
    </row>
    <row r="3880" spans="1:50" x14ac:dyDescent="0.3">
      <c r="A3880" s="19">
        <f t="shared" si="304"/>
        <v>51347</v>
      </c>
      <c r="B3880">
        <f t="shared" ca="1" si="300"/>
        <v>-14.430555555555555</v>
      </c>
      <c r="C3880" t="str">
        <f ca="1">IF(currency="USD",'Future et co'!D3880,IF(currency="EUR",'Future et co'!E3880,IF(currency="GBP",'Future et co'!F3880,FALSE)))</f>
        <v>RFR USD</v>
      </c>
      <c r="D3880" t="str">
        <f t="shared" ca="1" si="301"/>
        <v>RFR USD</v>
      </c>
      <c r="E3880" t="str">
        <f t="shared" ca="1" si="302"/>
        <v>RFR EUR</v>
      </c>
      <c r="F3880" t="str">
        <f t="shared" ca="1" si="303"/>
        <v>RFR GBP</v>
      </c>
      <c r="J3880" s="1"/>
      <c r="N3880" s="1"/>
      <c r="R3880" s="1"/>
      <c r="V3880" s="1"/>
      <c r="AB3880" s="1"/>
      <c r="AF3880" s="1"/>
      <c r="AJ3880" s="1"/>
      <c r="AN3880" s="1"/>
      <c r="AS3880" s="1"/>
      <c r="AX3880" s="1"/>
    </row>
    <row r="3881" spans="1:50" x14ac:dyDescent="0.3">
      <c r="A3881" s="19">
        <f t="shared" si="304"/>
        <v>51348</v>
      </c>
      <c r="B3881">
        <f t="shared" ca="1" si="300"/>
        <v>-14.433333333333334</v>
      </c>
      <c r="C3881" t="str">
        <f ca="1">IF(currency="USD",'Future et co'!D3881,IF(currency="EUR",'Future et co'!E3881,IF(currency="GBP",'Future et co'!F3881,FALSE)))</f>
        <v>RFR USD</v>
      </c>
      <c r="D3881" t="str">
        <f t="shared" ca="1" si="301"/>
        <v>RFR USD</v>
      </c>
      <c r="E3881" t="str">
        <f t="shared" ca="1" si="302"/>
        <v>RFR EUR</v>
      </c>
      <c r="F3881" t="str">
        <f t="shared" ca="1" si="303"/>
        <v>RFR GBP</v>
      </c>
      <c r="J3881" s="1"/>
      <c r="N3881" s="1"/>
      <c r="R3881" s="1"/>
      <c r="V3881" s="1"/>
      <c r="AB3881" s="1"/>
      <c r="AF3881" s="1"/>
      <c r="AJ3881" s="1"/>
      <c r="AN3881" s="1"/>
      <c r="AS3881" s="1"/>
      <c r="AX3881" s="1"/>
    </row>
    <row r="3882" spans="1:50" x14ac:dyDescent="0.3">
      <c r="A3882" s="19">
        <f t="shared" si="304"/>
        <v>51349</v>
      </c>
      <c r="B3882">
        <f t="shared" ca="1" si="300"/>
        <v>-14.436111111111112</v>
      </c>
      <c r="C3882" t="str">
        <f ca="1">IF(currency="USD",'Future et co'!D3882,IF(currency="EUR",'Future et co'!E3882,IF(currency="GBP",'Future et co'!F3882,FALSE)))</f>
        <v>RFR USD</v>
      </c>
      <c r="D3882" t="str">
        <f t="shared" ca="1" si="301"/>
        <v>RFR USD</v>
      </c>
      <c r="E3882" t="str">
        <f t="shared" ca="1" si="302"/>
        <v>RFR EUR</v>
      </c>
      <c r="F3882" t="str">
        <f t="shared" ca="1" si="303"/>
        <v>RFR GBP</v>
      </c>
      <c r="J3882" s="1"/>
      <c r="N3882" s="1"/>
      <c r="R3882" s="1"/>
      <c r="V3882" s="1"/>
      <c r="AB3882" s="1"/>
      <c r="AF3882" s="1"/>
      <c r="AJ3882" s="1"/>
      <c r="AN3882" s="1"/>
      <c r="AS3882" s="1"/>
      <c r="AX3882" s="1"/>
    </row>
    <row r="3883" spans="1:50" x14ac:dyDescent="0.3">
      <c r="A3883" s="19">
        <f t="shared" si="304"/>
        <v>51350</v>
      </c>
      <c r="B3883">
        <f t="shared" ca="1" si="300"/>
        <v>-14.438888888888888</v>
      </c>
      <c r="C3883" t="str">
        <f ca="1">IF(currency="USD",'Future et co'!D3883,IF(currency="EUR",'Future et co'!E3883,IF(currency="GBP",'Future et co'!F3883,FALSE)))</f>
        <v>RFR USD</v>
      </c>
      <c r="D3883" t="str">
        <f t="shared" ca="1" si="301"/>
        <v>RFR USD</v>
      </c>
      <c r="E3883" t="str">
        <f t="shared" ca="1" si="302"/>
        <v>RFR EUR</v>
      </c>
      <c r="F3883" t="str">
        <f t="shared" ca="1" si="303"/>
        <v>RFR GBP</v>
      </c>
      <c r="J3883" s="1"/>
      <c r="N3883" s="1"/>
      <c r="R3883" s="1"/>
      <c r="V3883" s="1"/>
      <c r="AB3883" s="1"/>
      <c r="AF3883" s="1"/>
      <c r="AJ3883" s="1"/>
      <c r="AN3883" s="1"/>
      <c r="AS3883" s="1"/>
      <c r="AX3883" s="1"/>
    </row>
    <row r="3884" spans="1:50" x14ac:dyDescent="0.3">
      <c r="A3884" s="19">
        <f t="shared" si="304"/>
        <v>51351</v>
      </c>
      <c r="B3884">
        <f t="shared" ca="1" si="300"/>
        <v>-14.441666666666666</v>
      </c>
      <c r="C3884" t="str">
        <f ca="1">IF(currency="USD",'Future et co'!D3884,IF(currency="EUR",'Future et co'!E3884,IF(currency="GBP",'Future et co'!F3884,FALSE)))</f>
        <v>RFR USD</v>
      </c>
      <c r="D3884" t="str">
        <f t="shared" ca="1" si="301"/>
        <v>RFR USD</v>
      </c>
      <c r="E3884" t="str">
        <f t="shared" ca="1" si="302"/>
        <v>RFR EUR</v>
      </c>
      <c r="F3884" t="str">
        <f t="shared" ca="1" si="303"/>
        <v>RFR GBP</v>
      </c>
      <c r="J3884" s="1"/>
      <c r="N3884" s="1"/>
      <c r="R3884" s="1"/>
      <c r="V3884" s="1"/>
      <c r="AB3884" s="1"/>
      <c r="AF3884" s="1"/>
      <c r="AJ3884" s="1"/>
      <c r="AN3884" s="1"/>
      <c r="AS3884" s="1"/>
      <c r="AX3884" s="1"/>
    </row>
    <row r="3885" spans="1:50" x14ac:dyDescent="0.3">
      <c r="A3885" s="19">
        <f t="shared" si="304"/>
        <v>51354</v>
      </c>
      <c r="B3885">
        <f t="shared" ca="1" si="300"/>
        <v>-14.45</v>
      </c>
      <c r="C3885" t="str">
        <f ca="1">IF(currency="USD",'Future et co'!D3885,IF(currency="EUR",'Future et co'!E3885,IF(currency="GBP",'Future et co'!F3885,FALSE)))</f>
        <v>RFR USD</v>
      </c>
      <c r="D3885" t="str">
        <f t="shared" ca="1" si="301"/>
        <v>RFR USD</v>
      </c>
      <c r="E3885" t="str">
        <f t="shared" ca="1" si="302"/>
        <v>RFR EUR</v>
      </c>
      <c r="F3885" t="str">
        <f t="shared" ca="1" si="303"/>
        <v>RFR GBP</v>
      </c>
      <c r="J3885" s="1"/>
      <c r="N3885" s="1"/>
      <c r="R3885" s="1"/>
      <c r="V3885" s="1"/>
      <c r="AB3885" s="1"/>
      <c r="AF3885" s="1"/>
      <c r="AJ3885" s="1"/>
      <c r="AN3885" s="1"/>
      <c r="AS3885" s="1"/>
      <c r="AX3885" s="1"/>
    </row>
    <row r="3886" spans="1:50" x14ac:dyDescent="0.3">
      <c r="A3886" s="19">
        <f t="shared" si="304"/>
        <v>51355</v>
      </c>
      <c r="B3886">
        <f t="shared" ca="1" si="300"/>
        <v>-14.452777777777778</v>
      </c>
      <c r="C3886" t="str">
        <f ca="1">IF(currency="USD",'Future et co'!D3886,IF(currency="EUR",'Future et co'!E3886,IF(currency="GBP",'Future et co'!F3886,FALSE)))</f>
        <v>RFR USD</v>
      </c>
      <c r="D3886" t="str">
        <f t="shared" ca="1" si="301"/>
        <v>RFR USD</v>
      </c>
      <c r="E3886" t="str">
        <f t="shared" ca="1" si="302"/>
        <v>RFR EUR</v>
      </c>
      <c r="F3886" t="str">
        <f t="shared" ca="1" si="303"/>
        <v>RFR GBP</v>
      </c>
      <c r="J3886" s="1"/>
      <c r="N3886" s="1"/>
      <c r="R3886" s="1"/>
      <c r="V3886" s="1"/>
      <c r="AB3886" s="1"/>
      <c r="AF3886" s="1"/>
      <c r="AJ3886" s="1"/>
      <c r="AN3886" s="1"/>
      <c r="AS3886" s="1"/>
      <c r="AX3886" s="1"/>
    </row>
    <row r="3887" spans="1:50" x14ac:dyDescent="0.3">
      <c r="A3887" s="19">
        <f t="shared" si="304"/>
        <v>51356</v>
      </c>
      <c r="B3887">
        <f t="shared" ca="1" si="300"/>
        <v>-14.455555555555556</v>
      </c>
      <c r="C3887" t="str">
        <f ca="1">IF(currency="USD",'Future et co'!D3887,IF(currency="EUR",'Future et co'!E3887,IF(currency="GBP",'Future et co'!F3887,FALSE)))</f>
        <v>RFR USD</v>
      </c>
      <c r="D3887" t="str">
        <f t="shared" ca="1" si="301"/>
        <v>RFR USD</v>
      </c>
      <c r="E3887" t="str">
        <f t="shared" ca="1" si="302"/>
        <v>RFR EUR</v>
      </c>
      <c r="F3887" t="str">
        <f t="shared" ca="1" si="303"/>
        <v>RFR GBP</v>
      </c>
      <c r="J3887" s="1"/>
      <c r="N3887" s="1"/>
      <c r="R3887" s="1"/>
      <c r="V3887" s="1"/>
      <c r="AB3887" s="1"/>
      <c r="AF3887" s="1"/>
      <c r="AJ3887" s="1"/>
      <c r="AN3887" s="1"/>
      <c r="AS3887" s="1"/>
      <c r="AX3887" s="1"/>
    </row>
    <row r="3888" spans="1:50" x14ac:dyDescent="0.3">
      <c r="A3888" s="19">
        <f t="shared" si="304"/>
        <v>51357</v>
      </c>
      <c r="B3888">
        <f t="shared" ca="1" si="300"/>
        <v>-14.458333333333334</v>
      </c>
      <c r="C3888" t="str">
        <f ca="1">IF(currency="USD",'Future et co'!D3888,IF(currency="EUR",'Future et co'!E3888,IF(currency="GBP",'Future et co'!F3888,FALSE)))</f>
        <v>RFR USD</v>
      </c>
      <c r="D3888" t="str">
        <f t="shared" ca="1" si="301"/>
        <v>RFR USD</v>
      </c>
      <c r="E3888" t="str">
        <f t="shared" ca="1" si="302"/>
        <v>RFR EUR</v>
      </c>
      <c r="F3888" t="str">
        <f t="shared" ca="1" si="303"/>
        <v>RFR GBP</v>
      </c>
      <c r="J3888" s="1"/>
      <c r="N3888" s="1"/>
      <c r="R3888" s="1"/>
      <c r="V3888" s="1"/>
      <c r="AB3888" s="1"/>
      <c r="AF3888" s="1"/>
      <c r="AJ3888" s="1"/>
      <c r="AN3888" s="1"/>
      <c r="AS3888" s="1"/>
      <c r="AX3888" s="1"/>
    </row>
    <row r="3889" spans="1:50" x14ac:dyDescent="0.3">
      <c r="A3889" s="19">
        <f t="shared" si="304"/>
        <v>51358</v>
      </c>
      <c r="B3889">
        <f t="shared" ca="1" si="300"/>
        <v>-14.46111111111111</v>
      </c>
      <c r="C3889" t="str">
        <f ca="1">IF(currency="USD",'Future et co'!D3889,IF(currency="EUR",'Future et co'!E3889,IF(currency="GBP",'Future et co'!F3889,FALSE)))</f>
        <v>RFR USD</v>
      </c>
      <c r="D3889" t="str">
        <f t="shared" ca="1" si="301"/>
        <v>RFR USD</v>
      </c>
      <c r="E3889" t="str">
        <f t="shared" ca="1" si="302"/>
        <v>RFR EUR</v>
      </c>
      <c r="F3889" t="str">
        <f t="shared" ca="1" si="303"/>
        <v>RFR GBP</v>
      </c>
      <c r="J3889" s="1"/>
      <c r="N3889" s="1"/>
      <c r="R3889" s="1"/>
      <c r="V3889" s="1"/>
      <c r="AB3889" s="1"/>
      <c r="AF3889" s="1"/>
      <c r="AJ3889" s="1"/>
      <c r="AN3889" s="1"/>
      <c r="AS3889" s="1"/>
      <c r="AX3889" s="1"/>
    </row>
    <row r="3890" spans="1:50" x14ac:dyDescent="0.3">
      <c r="A3890" s="19">
        <f t="shared" si="304"/>
        <v>51361</v>
      </c>
      <c r="B3890">
        <f t="shared" ca="1" si="300"/>
        <v>-14.469444444444445</v>
      </c>
      <c r="C3890" t="str">
        <f ca="1">IF(currency="USD",'Future et co'!D3890,IF(currency="EUR",'Future et co'!E3890,IF(currency="GBP",'Future et co'!F3890,FALSE)))</f>
        <v>RFR USD</v>
      </c>
      <c r="D3890" t="str">
        <f t="shared" ca="1" si="301"/>
        <v>RFR USD</v>
      </c>
      <c r="E3890" t="str">
        <f t="shared" ca="1" si="302"/>
        <v>RFR EUR</v>
      </c>
      <c r="F3890" t="str">
        <f t="shared" ca="1" si="303"/>
        <v>RFR GBP</v>
      </c>
      <c r="J3890" s="1"/>
      <c r="N3890" s="1"/>
      <c r="R3890" s="1"/>
      <c r="V3890" s="1"/>
      <c r="AB3890" s="1"/>
      <c r="AF3890" s="1"/>
      <c r="AJ3890" s="1"/>
      <c r="AN3890" s="1"/>
      <c r="AS3890" s="1"/>
      <c r="AX3890" s="1"/>
    </row>
    <row r="3891" spans="1:50" x14ac:dyDescent="0.3">
      <c r="A3891" s="19">
        <f t="shared" si="304"/>
        <v>51362</v>
      </c>
      <c r="B3891">
        <f t="shared" ca="1" si="300"/>
        <v>-14.472222222222221</v>
      </c>
      <c r="C3891" t="str">
        <f ca="1">IF(currency="USD",'Future et co'!D3891,IF(currency="EUR",'Future et co'!E3891,IF(currency="GBP",'Future et co'!F3891,FALSE)))</f>
        <v>RFR USD</v>
      </c>
      <c r="D3891" t="str">
        <f t="shared" ca="1" si="301"/>
        <v>RFR USD</v>
      </c>
      <c r="E3891" t="str">
        <f t="shared" ca="1" si="302"/>
        <v>RFR EUR</v>
      </c>
      <c r="F3891" t="str">
        <f t="shared" ca="1" si="303"/>
        <v>RFR GBP</v>
      </c>
      <c r="J3891" s="1"/>
      <c r="N3891" s="1"/>
      <c r="R3891" s="1"/>
      <c r="V3891" s="1"/>
      <c r="AB3891" s="1"/>
      <c r="AF3891" s="1"/>
      <c r="AJ3891" s="1"/>
      <c r="AN3891" s="1"/>
      <c r="AS3891" s="1"/>
      <c r="AX3891" s="1"/>
    </row>
    <row r="3892" spans="1:50" x14ac:dyDescent="0.3">
      <c r="A3892" s="19">
        <f t="shared" si="304"/>
        <v>51363</v>
      </c>
      <c r="B3892">
        <f t="shared" ca="1" si="300"/>
        <v>-14.475</v>
      </c>
      <c r="C3892" t="str">
        <f ca="1">IF(currency="USD",'Future et co'!D3892,IF(currency="EUR",'Future et co'!E3892,IF(currency="GBP",'Future et co'!F3892,FALSE)))</f>
        <v>RFR USD</v>
      </c>
      <c r="D3892" t="str">
        <f t="shared" ca="1" si="301"/>
        <v>RFR USD</v>
      </c>
      <c r="E3892" t="str">
        <f t="shared" ca="1" si="302"/>
        <v>RFR EUR</v>
      </c>
      <c r="F3892" t="str">
        <f t="shared" ca="1" si="303"/>
        <v>RFR GBP</v>
      </c>
      <c r="J3892" s="1"/>
      <c r="N3892" s="1"/>
      <c r="R3892" s="1"/>
      <c r="V3892" s="1"/>
      <c r="AB3892" s="1"/>
      <c r="AF3892" s="1"/>
      <c r="AJ3892" s="1"/>
      <c r="AN3892" s="1"/>
      <c r="AS3892" s="1"/>
      <c r="AX3892" s="1"/>
    </row>
    <row r="3893" spans="1:50" x14ac:dyDescent="0.3">
      <c r="A3893" s="19">
        <f t="shared" si="304"/>
        <v>51364</v>
      </c>
      <c r="B3893">
        <f t="shared" ca="1" si="300"/>
        <v>-14.477777777777778</v>
      </c>
      <c r="C3893" t="str">
        <f ca="1">IF(currency="USD",'Future et co'!D3893,IF(currency="EUR",'Future et co'!E3893,IF(currency="GBP",'Future et co'!F3893,FALSE)))</f>
        <v>RFR USD</v>
      </c>
      <c r="D3893" t="str">
        <f t="shared" ca="1" si="301"/>
        <v>RFR USD</v>
      </c>
      <c r="E3893" t="str">
        <f t="shared" ca="1" si="302"/>
        <v>RFR EUR</v>
      </c>
      <c r="F3893" t="str">
        <f t="shared" ca="1" si="303"/>
        <v>RFR GBP</v>
      </c>
      <c r="J3893" s="1"/>
      <c r="N3893" s="1"/>
      <c r="R3893" s="1"/>
      <c r="V3893" s="1"/>
      <c r="AB3893" s="1"/>
      <c r="AF3893" s="1"/>
      <c r="AJ3893" s="1"/>
      <c r="AN3893" s="1"/>
      <c r="AS3893" s="1"/>
      <c r="AX3893" s="1"/>
    </row>
    <row r="3894" spans="1:50" x14ac:dyDescent="0.3">
      <c r="A3894" s="19">
        <f t="shared" si="304"/>
        <v>51365</v>
      </c>
      <c r="B3894">
        <f t="shared" ca="1" si="300"/>
        <v>-14.480555555555556</v>
      </c>
      <c r="C3894" t="str">
        <f ca="1">IF(currency="USD",'Future et co'!D3894,IF(currency="EUR",'Future et co'!E3894,IF(currency="GBP",'Future et co'!F3894,FALSE)))</f>
        <v>RFR USD</v>
      </c>
      <c r="D3894" t="str">
        <f t="shared" ca="1" si="301"/>
        <v>RFR USD</v>
      </c>
      <c r="E3894" t="str">
        <f t="shared" ca="1" si="302"/>
        <v>RFR EUR</v>
      </c>
      <c r="F3894" t="str">
        <f t="shared" ca="1" si="303"/>
        <v>RFR GBP</v>
      </c>
      <c r="J3894" s="1"/>
      <c r="N3894" s="1"/>
      <c r="R3894" s="1"/>
      <c r="V3894" s="1"/>
      <c r="AB3894" s="1"/>
      <c r="AF3894" s="1"/>
      <c r="AJ3894" s="1"/>
      <c r="AN3894" s="1"/>
      <c r="AS3894" s="1"/>
      <c r="AX3894" s="1"/>
    </row>
    <row r="3895" spans="1:50" x14ac:dyDescent="0.3">
      <c r="A3895" s="19">
        <f t="shared" si="304"/>
        <v>51368</v>
      </c>
      <c r="B3895">
        <f t="shared" ca="1" si="300"/>
        <v>-14.488888888888889</v>
      </c>
      <c r="C3895" t="str">
        <f ca="1">IF(currency="USD",'Future et co'!D3895,IF(currency="EUR",'Future et co'!E3895,IF(currency="GBP",'Future et co'!F3895,FALSE)))</f>
        <v>RFR USD</v>
      </c>
      <c r="D3895" t="str">
        <f t="shared" ca="1" si="301"/>
        <v>RFR USD</v>
      </c>
      <c r="E3895" t="str">
        <f t="shared" ca="1" si="302"/>
        <v>RFR EUR</v>
      </c>
      <c r="F3895" t="str">
        <f t="shared" ca="1" si="303"/>
        <v>RFR GBP</v>
      </c>
      <c r="J3895" s="1"/>
      <c r="N3895" s="1"/>
      <c r="R3895" s="1"/>
      <c r="V3895" s="1"/>
      <c r="AB3895" s="1"/>
      <c r="AF3895" s="1"/>
      <c r="AJ3895" s="1"/>
      <c r="AN3895" s="1"/>
      <c r="AS3895" s="1"/>
      <c r="AX3895" s="1"/>
    </row>
    <row r="3896" spans="1:50" x14ac:dyDescent="0.3">
      <c r="A3896" s="19">
        <f t="shared" si="304"/>
        <v>51369</v>
      </c>
      <c r="B3896">
        <f t="shared" ca="1" si="300"/>
        <v>-14.491666666666667</v>
      </c>
      <c r="C3896" t="str">
        <f ca="1">IF(currency="USD",'Future et co'!D3896,IF(currency="EUR",'Future et co'!E3896,IF(currency="GBP",'Future et co'!F3896,FALSE)))</f>
        <v>RFR USD</v>
      </c>
      <c r="D3896" t="str">
        <f t="shared" ca="1" si="301"/>
        <v>RFR USD</v>
      </c>
      <c r="E3896" t="str">
        <f t="shared" ca="1" si="302"/>
        <v>RFR EUR</v>
      </c>
      <c r="F3896" t="str">
        <f t="shared" ca="1" si="303"/>
        <v>RFR GBP</v>
      </c>
      <c r="J3896" s="1"/>
      <c r="N3896" s="1"/>
      <c r="R3896" s="1"/>
      <c r="V3896" s="1"/>
      <c r="AB3896" s="1"/>
      <c r="AF3896" s="1"/>
      <c r="AJ3896" s="1"/>
      <c r="AN3896" s="1"/>
      <c r="AS3896" s="1"/>
      <c r="AX3896" s="1"/>
    </row>
    <row r="3897" spans="1:50" x14ac:dyDescent="0.3">
      <c r="A3897" s="19">
        <f t="shared" si="304"/>
        <v>51370</v>
      </c>
      <c r="B3897">
        <f t="shared" ca="1" si="300"/>
        <v>-14.494444444444444</v>
      </c>
      <c r="C3897" t="str">
        <f ca="1">IF(currency="USD",'Future et co'!D3897,IF(currency="EUR",'Future et co'!E3897,IF(currency="GBP",'Future et co'!F3897,FALSE)))</f>
        <v>RFR USD</v>
      </c>
      <c r="D3897" t="str">
        <f t="shared" ca="1" si="301"/>
        <v>RFR USD</v>
      </c>
      <c r="E3897" t="str">
        <f t="shared" ca="1" si="302"/>
        <v>RFR EUR</v>
      </c>
      <c r="F3897" t="str">
        <f t="shared" ca="1" si="303"/>
        <v>RFR GBP</v>
      </c>
      <c r="J3897" s="1"/>
      <c r="N3897" s="1"/>
      <c r="R3897" s="1"/>
      <c r="V3897" s="1"/>
      <c r="AB3897" s="1"/>
      <c r="AF3897" s="1"/>
      <c r="AJ3897" s="1"/>
      <c r="AN3897" s="1"/>
      <c r="AS3897" s="1"/>
      <c r="AX3897" s="1"/>
    </row>
    <row r="3898" spans="1:50" x14ac:dyDescent="0.3">
      <c r="A3898" s="19">
        <f t="shared" si="304"/>
        <v>51371</v>
      </c>
      <c r="B3898">
        <f t="shared" ca="1" si="300"/>
        <v>-14.497222222222222</v>
      </c>
      <c r="C3898" t="str">
        <f ca="1">IF(currency="USD",'Future et co'!D3898,IF(currency="EUR",'Future et co'!E3898,IF(currency="GBP",'Future et co'!F3898,FALSE)))</f>
        <v>RFR USD</v>
      </c>
      <c r="D3898" t="str">
        <f t="shared" ca="1" si="301"/>
        <v>RFR USD</v>
      </c>
      <c r="E3898" t="str">
        <f t="shared" ca="1" si="302"/>
        <v>RFR EUR</v>
      </c>
      <c r="F3898" t="str">
        <f t="shared" ca="1" si="303"/>
        <v>RFR GBP</v>
      </c>
      <c r="J3898" s="1"/>
      <c r="N3898" s="1"/>
      <c r="R3898" s="1"/>
      <c r="V3898" s="1"/>
      <c r="AB3898" s="1"/>
      <c r="AF3898" s="1"/>
      <c r="AJ3898" s="1"/>
      <c r="AN3898" s="1"/>
      <c r="AS3898" s="1"/>
      <c r="AX3898" s="1"/>
    </row>
    <row r="3899" spans="1:50" x14ac:dyDescent="0.3">
      <c r="A3899" s="19">
        <f t="shared" si="304"/>
        <v>51372</v>
      </c>
      <c r="B3899">
        <f t="shared" ca="1" si="300"/>
        <v>-14.5</v>
      </c>
      <c r="C3899" t="str">
        <f ca="1">IF(currency="USD",'Future et co'!D3899,IF(currency="EUR",'Future et co'!E3899,IF(currency="GBP",'Future et co'!F3899,FALSE)))</f>
        <v>RFR USD</v>
      </c>
      <c r="D3899" t="str">
        <f t="shared" ca="1" si="301"/>
        <v>RFR USD</v>
      </c>
      <c r="E3899" t="str">
        <f t="shared" ca="1" si="302"/>
        <v>RFR EUR</v>
      </c>
      <c r="F3899" t="str">
        <f t="shared" ca="1" si="303"/>
        <v>RFR GBP</v>
      </c>
      <c r="J3899" s="1"/>
      <c r="N3899" s="1"/>
      <c r="R3899" s="1"/>
      <c r="V3899" s="1"/>
      <c r="AB3899" s="1"/>
      <c r="AF3899" s="1"/>
      <c r="AJ3899" s="1"/>
      <c r="AN3899" s="1"/>
      <c r="AS3899" s="1"/>
      <c r="AX3899" s="1"/>
    </row>
    <row r="3900" spans="1:50" x14ac:dyDescent="0.3">
      <c r="A3900" s="19">
        <f t="shared" si="304"/>
        <v>51375</v>
      </c>
      <c r="B3900">
        <f t="shared" ca="1" si="300"/>
        <v>-14.508333333333333</v>
      </c>
      <c r="C3900" t="str">
        <f ca="1">IF(currency="USD",'Future et co'!D3900,IF(currency="EUR",'Future et co'!E3900,IF(currency="GBP",'Future et co'!F3900,FALSE)))</f>
        <v>RFR USD</v>
      </c>
      <c r="D3900" t="str">
        <f t="shared" ca="1" si="301"/>
        <v>RFR USD</v>
      </c>
      <c r="E3900" t="str">
        <f t="shared" ca="1" si="302"/>
        <v>RFR EUR</v>
      </c>
      <c r="F3900" t="str">
        <f t="shared" ca="1" si="303"/>
        <v>RFR GBP</v>
      </c>
      <c r="J3900" s="1"/>
      <c r="N3900" s="1"/>
      <c r="R3900" s="1"/>
      <c r="V3900" s="1"/>
      <c r="AB3900" s="1"/>
      <c r="AF3900" s="1"/>
      <c r="AJ3900" s="1"/>
      <c r="AN3900" s="1"/>
      <c r="AS3900" s="1"/>
      <c r="AX3900" s="1"/>
    </row>
    <row r="3901" spans="1:50" x14ac:dyDescent="0.3">
      <c r="A3901" s="19">
        <f t="shared" si="304"/>
        <v>51376</v>
      </c>
      <c r="B3901">
        <f t="shared" ca="1" si="300"/>
        <v>-14.511111111111111</v>
      </c>
      <c r="C3901" t="str">
        <f ca="1">IF(currency="USD",'Future et co'!D3901,IF(currency="EUR",'Future et co'!E3901,IF(currency="GBP",'Future et co'!F3901,FALSE)))</f>
        <v>RFR USD</v>
      </c>
      <c r="D3901" t="str">
        <f t="shared" ca="1" si="301"/>
        <v>RFR USD</v>
      </c>
      <c r="E3901" t="str">
        <f t="shared" ca="1" si="302"/>
        <v>RFR EUR</v>
      </c>
      <c r="F3901" t="str">
        <f t="shared" ca="1" si="303"/>
        <v>RFR GBP</v>
      </c>
      <c r="J3901" s="1"/>
      <c r="N3901" s="1"/>
      <c r="R3901" s="1"/>
      <c r="V3901" s="1"/>
      <c r="AB3901" s="1"/>
      <c r="AF3901" s="1"/>
      <c r="AJ3901" s="1"/>
      <c r="AN3901" s="1"/>
      <c r="AS3901" s="1"/>
      <c r="AX3901" s="1"/>
    </row>
    <row r="3902" spans="1:50" x14ac:dyDescent="0.3">
      <c r="A3902" s="19">
        <f t="shared" si="304"/>
        <v>51377</v>
      </c>
      <c r="B3902">
        <f t="shared" ca="1" si="300"/>
        <v>-14.513888888888889</v>
      </c>
      <c r="C3902" t="str">
        <f ca="1">IF(currency="USD",'Future et co'!D3902,IF(currency="EUR",'Future et co'!E3902,IF(currency="GBP",'Future et co'!F3902,FALSE)))</f>
        <v>RFR USD</v>
      </c>
      <c r="D3902" t="str">
        <f t="shared" ca="1" si="301"/>
        <v>RFR USD</v>
      </c>
      <c r="E3902" t="str">
        <f t="shared" ca="1" si="302"/>
        <v>RFR EUR</v>
      </c>
      <c r="F3902" t="str">
        <f t="shared" ca="1" si="303"/>
        <v>RFR GBP</v>
      </c>
      <c r="J3902" s="1"/>
      <c r="N3902" s="1"/>
      <c r="R3902" s="1"/>
      <c r="V3902" s="1"/>
      <c r="AB3902" s="1"/>
      <c r="AF3902" s="1"/>
      <c r="AJ3902" s="1"/>
      <c r="AN3902" s="1"/>
      <c r="AS3902" s="1"/>
      <c r="AX3902" s="1"/>
    </row>
    <row r="3903" spans="1:50" x14ac:dyDescent="0.3">
      <c r="A3903" s="19">
        <f t="shared" si="304"/>
        <v>51378</v>
      </c>
      <c r="B3903">
        <f t="shared" ca="1" si="300"/>
        <v>-14.516666666666667</v>
      </c>
      <c r="C3903" t="str">
        <f ca="1">IF(currency="USD",'Future et co'!D3903,IF(currency="EUR",'Future et co'!E3903,IF(currency="GBP",'Future et co'!F3903,FALSE)))</f>
        <v>RFR USD</v>
      </c>
      <c r="D3903" t="str">
        <f t="shared" ca="1" si="301"/>
        <v>RFR USD</v>
      </c>
      <c r="E3903" t="str">
        <f t="shared" ca="1" si="302"/>
        <v>RFR EUR</v>
      </c>
      <c r="F3903" t="str">
        <f t="shared" ca="1" si="303"/>
        <v>RFR GBP</v>
      </c>
      <c r="J3903" s="1"/>
      <c r="N3903" s="1"/>
      <c r="R3903" s="1"/>
      <c r="V3903" s="1"/>
      <c r="AB3903" s="1"/>
      <c r="AF3903" s="1"/>
      <c r="AJ3903" s="1"/>
      <c r="AN3903" s="1"/>
      <c r="AS3903" s="1"/>
      <c r="AX3903" s="1"/>
    </row>
    <row r="3904" spans="1:50" x14ac:dyDescent="0.3">
      <c r="A3904" s="19">
        <f t="shared" si="304"/>
        <v>51379</v>
      </c>
      <c r="B3904">
        <f t="shared" ca="1" si="300"/>
        <v>-14.519444444444444</v>
      </c>
      <c r="C3904" t="str">
        <f ca="1">IF(currency="USD",'Future et co'!D3904,IF(currency="EUR",'Future et co'!E3904,IF(currency="GBP",'Future et co'!F3904,FALSE)))</f>
        <v>RFR USD</v>
      </c>
      <c r="D3904" t="str">
        <f t="shared" ca="1" si="301"/>
        <v>RFR USD</v>
      </c>
      <c r="E3904" t="str">
        <f t="shared" ca="1" si="302"/>
        <v>RFR EUR</v>
      </c>
      <c r="F3904" t="str">
        <f t="shared" ca="1" si="303"/>
        <v>RFR GBP</v>
      </c>
      <c r="J3904" s="1"/>
      <c r="N3904" s="1"/>
      <c r="R3904" s="1"/>
      <c r="V3904" s="1"/>
      <c r="AB3904" s="1"/>
      <c r="AF3904" s="1"/>
      <c r="AJ3904" s="1"/>
      <c r="AN3904" s="1"/>
      <c r="AS3904" s="1"/>
      <c r="AX3904" s="1"/>
    </row>
    <row r="3905" spans="1:50" x14ac:dyDescent="0.3">
      <c r="A3905" s="19">
        <f t="shared" si="304"/>
        <v>51382</v>
      </c>
      <c r="B3905">
        <f t="shared" ca="1" si="300"/>
        <v>-14.527777777777779</v>
      </c>
      <c r="C3905" t="str">
        <f ca="1">IF(currency="USD",'Future et co'!D3905,IF(currency="EUR",'Future et co'!E3905,IF(currency="GBP",'Future et co'!F3905,FALSE)))</f>
        <v>RFR USD</v>
      </c>
      <c r="D3905" t="str">
        <f t="shared" ca="1" si="301"/>
        <v>RFR USD</v>
      </c>
      <c r="E3905" t="str">
        <f t="shared" ca="1" si="302"/>
        <v>RFR EUR</v>
      </c>
      <c r="F3905" t="str">
        <f t="shared" ca="1" si="303"/>
        <v>RFR GBP</v>
      </c>
      <c r="J3905" s="1"/>
      <c r="N3905" s="1"/>
      <c r="R3905" s="1"/>
      <c r="V3905" s="1"/>
      <c r="AB3905" s="1"/>
      <c r="AF3905" s="1"/>
      <c r="AJ3905" s="1"/>
      <c r="AN3905" s="1"/>
      <c r="AS3905" s="1"/>
      <c r="AX3905" s="1"/>
    </row>
    <row r="3906" spans="1:50" x14ac:dyDescent="0.3">
      <c r="A3906" s="19">
        <f t="shared" si="304"/>
        <v>51383</v>
      </c>
      <c r="B3906">
        <f t="shared" ca="1" si="300"/>
        <v>-14.530555555555555</v>
      </c>
      <c r="C3906" t="str">
        <f ca="1">IF(currency="USD",'Future et co'!D3906,IF(currency="EUR",'Future et co'!E3906,IF(currency="GBP",'Future et co'!F3906,FALSE)))</f>
        <v>RFR USD</v>
      </c>
      <c r="D3906" t="str">
        <f t="shared" ca="1" si="301"/>
        <v>RFR USD</v>
      </c>
      <c r="E3906" t="str">
        <f t="shared" ca="1" si="302"/>
        <v>RFR EUR</v>
      </c>
      <c r="F3906" t="str">
        <f t="shared" ca="1" si="303"/>
        <v>RFR GBP</v>
      </c>
      <c r="J3906" s="1"/>
      <c r="N3906" s="1"/>
      <c r="R3906" s="1"/>
      <c r="V3906" s="1"/>
      <c r="AB3906" s="1"/>
      <c r="AF3906" s="1"/>
      <c r="AJ3906" s="1"/>
      <c r="AN3906" s="1"/>
      <c r="AS3906" s="1"/>
      <c r="AX3906" s="1"/>
    </row>
    <row r="3907" spans="1:50" x14ac:dyDescent="0.3">
      <c r="A3907" s="19">
        <f t="shared" si="304"/>
        <v>51384</v>
      </c>
      <c r="B3907">
        <f t="shared" ca="1" si="300"/>
        <v>-14.533333333333333</v>
      </c>
      <c r="C3907" t="str">
        <f ca="1">IF(currency="USD",'Future et co'!D3907,IF(currency="EUR",'Future et co'!E3907,IF(currency="GBP",'Future et co'!F3907,FALSE)))</f>
        <v>RFR USD</v>
      </c>
      <c r="D3907" t="str">
        <f t="shared" ca="1" si="301"/>
        <v>RFR USD</v>
      </c>
      <c r="E3907" t="str">
        <f t="shared" ca="1" si="302"/>
        <v>RFR EUR</v>
      </c>
      <c r="F3907" t="str">
        <f t="shared" ca="1" si="303"/>
        <v>RFR GBP</v>
      </c>
      <c r="J3907" s="1"/>
      <c r="N3907" s="1"/>
      <c r="R3907" s="1"/>
      <c r="V3907" s="1"/>
      <c r="AB3907" s="1"/>
      <c r="AF3907" s="1"/>
      <c r="AJ3907" s="1"/>
      <c r="AN3907" s="1"/>
      <c r="AS3907" s="1"/>
      <c r="AX3907" s="1"/>
    </row>
    <row r="3908" spans="1:50" x14ac:dyDescent="0.3">
      <c r="A3908" s="19">
        <f t="shared" si="304"/>
        <v>51385</v>
      </c>
      <c r="B3908">
        <f t="shared" ca="1" si="300"/>
        <v>-14.536111111111111</v>
      </c>
      <c r="C3908" t="str">
        <f ca="1">IF(currency="USD",'Future et co'!D3908,IF(currency="EUR",'Future et co'!E3908,IF(currency="GBP",'Future et co'!F3908,FALSE)))</f>
        <v>RFR USD</v>
      </c>
      <c r="D3908" t="str">
        <f t="shared" ca="1" si="301"/>
        <v>RFR USD</v>
      </c>
      <c r="E3908" t="str">
        <f t="shared" ca="1" si="302"/>
        <v>RFR EUR</v>
      </c>
      <c r="F3908" t="str">
        <f t="shared" ca="1" si="303"/>
        <v>RFR GBP</v>
      </c>
      <c r="J3908" s="1"/>
      <c r="N3908" s="1"/>
      <c r="R3908" s="1"/>
      <c r="V3908" s="1"/>
      <c r="AB3908" s="1"/>
      <c r="AF3908" s="1"/>
      <c r="AJ3908" s="1"/>
      <c r="AN3908" s="1"/>
      <c r="AS3908" s="1"/>
      <c r="AX3908" s="1"/>
    </row>
    <row r="3909" spans="1:50" x14ac:dyDescent="0.3">
      <c r="A3909" s="19">
        <f t="shared" si="304"/>
        <v>51386</v>
      </c>
      <c r="B3909">
        <f t="shared" ca="1" si="300"/>
        <v>-14.53888888888889</v>
      </c>
      <c r="C3909" t="str">
        <f ca="1">IF(currency="USD",'Future et co'!D3909,IF(currency="EUR",'Future et co'!E3909,IF(currency="GBP",'Future et co'!F3909,FALSE)))</f>
        <v>RFR USD</v>
      </c>
      <c r="D3909" t="str">
        <f t="shared" ca="1" si="301"/>
        <v>RFR USD</v>
      </c>
      <c r="E3909" t="str">
        <f t="shared" ca="1" si="302"/>
        <v>RFR EUR</v>
      </c>
      <c r="F3909" t="str">
        <f t="shared" ca="1" si="303"/>
        <v>RFR GBP</v>
      </c>
      <c r="J3909" s="1"/>
      <c r="N3909" s="1"/>
      <c r="R3909" s="1"/>
      <c r="V3909" s="1"/>
      <c r="AB3909" s="1"/>
      <c r="AF3909" s="1"/>
      <c r="AJ3909" s="1"/>
      <c r="AN3909" s="1"/>
      <c r="AS3909" s="1"/>
      <c r="AX3909" s="1"/>
    </row>
    <row r="3910" spans="1:50" x14ac:dyDescent="0.3">
      <c r="A3910" s="19">
        <f t="shared" si="304"/>
        <v>51389</v>
      </c>
      <c r="B3910">
        <f t="shared" ca="1" si="300"/>
        <v>-14.547222222222222</v>
      </c>
      <c r="C3910" t="str">
        <f ca="1">IF(currency="USD",'Future et co'!D3910,IF(currency="EUR",'Future et co'!E3910,IF(currency="GBP",'Future et co'!F3910,FALSE)))</f>
        <v>RFR USD</v>
      </c>
      <c r="D3910" t="str">
        <f t="shared" ca="1" si="301"/>
        <v>RFR USD</v>
      </c>
      <c r="E3910" t="str">
        <f t="shared" ca="1" si="302"/>
        <v>RFR EUR</v>
      </c>
      <c r="F3910" t="str">
        <f t="shared" ca="1" si="303"/>
        <v>RFR GBP</v>
      </c>
      <c r="J3910" s="1"/>
      <c r="N3910" s="1"/>
      <c r="R3910" s="1"/>
      <c r="V3910" s="1"/>
      <c r="AB3910" s="1"/>
      <c r="AF3910" s="1"/>
      <c r="AJ3910" s="1"/>
      <c r="AN3910" s="1"/>
      <c r="AS3910" s="1"/>
      <c r="AX3910" s="1"/>
    </row>
    <row r="3911" spans="1:50" x14ac:dyDescent="0.3">
      <c r="A3911" s="19">
        <f t="shared" si="304"/>
        <v>51390</v>
      </c>
      <c r="B3911">
        <f t="shared" ca="1" si="300"/>
        <v>-14.55</v>
      </c>
      <c r="C3911" t="str">
        <f ca="1">IF(currency="USD",'Future et co'!D3911,IF(currency="EUR",'Future et co'!E3911,IF(currency="GBP",'Future et co'!F3911,FALSE)))</f>
        <v>RFR USD</v>
      </c>
      <c r="D3911" t="str">
        <f t="shared" ca="1" si="301"/>
        <v>RFR USD</v>
      </c>
      <c r="E3911" t="str">
        <f t="shared" ca="1" si="302"/>
        <v>RFR EUR</v>
      </c>
      <c r="F3911" t="str">
        <f t="shared" ca="1" si="303"/>
        <v>RFR GBP</v>
      </c>
      <c r="J3911" s="1"/>
      <c r="N3911" s="1"/>
      <c r="R3911" s="1"/>
      <c r="V3911" s="1"/>
      <c r="AB3911" s="1"/>
      <c r="AF3911" s="1"/>
      <c r="AJ3911" s="1"/>
      <c r="AN3911" s="1"/>
      <c r="AS3911" s="1"/>
      <c r="AX3911" s="1"/>
    </row>
    <row r="3912" spans="1:50" x14ac:dyDescent="0.3">
      <c r="A3912" s="19">
        <f t="shared" si="304"/>
        <v>51391</v>
      </c>
      <c r="B3912">
        <f t="shared" ca="1" si="300"/>
        <v>-14.552777777777777</v>
      </c>
      <c r="C3912" t="str">
        <f ca="1">IF(currency="USD",'Future et co'!D3912,IF(currency="EUR",'Future et co'!E3912,IF(currency="GBP",'Future et co'!F3912,FALSE)))</f>
        <v>RFR USD</v>
      </c>
      <c r="D3912" t="str">
        <f t="shared" ca="1" si="301"/>
        <v>RFR USD</v>
      </c>
      <c r="E3912" t="str">
        <f t="shared" ca="1" si="302"/>
        <v>RFR EUR</v>
      </c>
      <c r="F3912" t="str">
        <f t="shared" ca="1" si="303"/>
        <v>RFR GBP</v>
      </c>
      <c r="J3912" s="1"/>
      <c r="N3912" s="1"/>
      <c r="R3912" s="1"/>
      <c r="V3912" s="1"/>
      <c r="AB3912" s="1"/>
      <c r="AF3912" s="1"/>
      <c r="AJ3912" s="1"/>
      <c r="AN3912" s="1"/>
      <c r="AS3912" s="1"/>
      <c r="AX3912" s="1"/>
    </row>
    <row r="3913" spans="1:50" x14ac:dyDescent="0.3">
      <c r="A3913" s="19">
        <f t="shared" si="304"/>
        <v>51392</v>
      </c>
      <c r="B3913">
        <f t="shared" ca="1" si="300"/>
        <v>-14.555555555555555</v>
      </c>
      <c r="C3913" t="str">
        <f ca="1">IF(currency="USD",'Future et co'!D3913,IF(currency="EUR",'Future et co'!E3913,IF(currency="GBP",'Future et co'!F3913,FALSE)))</f>
        <v>RFR USD</v>
      </c>
      <c r="D3913" t="str">
        <f t="shared" ca="1" si="301"/>
        <v>RFR USD</v>
      </c>
      <c r="E3913" t="str">
        <f t="shared" ca="1" si="302"/>
        <v>RFR EUR</v>
      </c>
      <c r="F3913" t="str">
        <f t="shared" ca="1" si="303"/>
        <v>RFR GBP</v>
      </c>
      <c r="J3913" s="1"/>
      <c r="N3913" s="1"/>
      <c r="R3913" s="1"/>
      <c r="V3913" s="1"/>
      <c r="AB3913" s="1"/>
      <c r="AF3913" s="1"/>
      <c r="AJ3913" s="1"/>
      <c r="AN3913" s="1"/>
      <c r="AS3913" s="1"/>
      <c r="AX3913" s="1"/>
    </row>
    <row r="3914" spans="1:50" x14ac:dyDescent="0.3">
      <c r="A3914" s="19">
        <f t="shared" si="304"/>
        <v>51393</v>
      </c>
      <c r="B3914">
        <f t="shared" ca="1" si="300"/>
        <v>-14.558333333333334</v>
      </c>
      <c r="C3914" t="str">
        <f ca="1">IF(currency="USD",'Future et co'!D3914,IF(currency="EUR",'Future et co'!E3914,IF(currency="GBP",'Future et co'!F3914,FALSE)))</f>
        <v>RFR USD</v>
      </c>
      <c r="D3914" t="str">
        <f t="shared" ca="1" si="301"/>
        <v>RFR USD</v>
      </c>
      <c r="E3914" t="str">
        <f t="shared" ca="1" si="302"/>
        <v>RFR EUR</v>
      </c>
      <c r="F3914" t="str">
        <f t="shared" ca="1" si="303"/>
        <v>RFR GBP</v>
      </c>
      <c r="J3914" s="1"/>
      <c r="N3914" s="1"/>
      <c r="R3914" s="1"/>
      <c r="V3914" s="1"/>
      <c r="AB3914" s="1"/>
      <c r="AF3914" s="1"/>
      <c r="AJ3914" s="1"/>
      <c r="AN3914" s="1"/>
      <c r="AS3914" s="1"/>
      <c r="AX3914" s="1"/>
    </row>
    <row r="3915" spans="1:50" x14ac:dyDescent="0.3">
      <c r="A3915" s="19">
        <f t="shared" si="304"/>
        <v>51396</v>
      </c>
      <c r="B3915">
        <f t="shared" ref="B3915:B3978" ca="1" si="305">($B$7-A3915)/360</f>
        <v>-14.566666666666666</v>
      </c>
      <c r="C3915" t="str">
        <f ca="1">IF(currency="USD",'Future et co'!D3915,IF(currency="EUR",'Future et co'!E3915,IF(currency="GBP",'Future et co'!F3915,FALSE)))</f>
        <v>RFR USD</v>
      </c>
      <c r="D3915" t="str">
        <f t="shared" ref="D3915:D3978" ca="1" si="306">IFERROR(IF(B3915&lt;0.25,VLOOKUP(A3915,$J$11:$L$5325,3,FALSE),IF(AND(B3915&gt;=0.25,B3915&lt;0.5),VLOOKUP(A3915,$N$11:$P$5325,3,FALSE),IF(AND(B3915&gt;=0.5,B3915&lt;1),VLOOKUP(A3915,$R$11:$T$5325,3,FALSE),VLOOKUP(A3915,$V$11:$X$5010,3,FALSE)))),D3914)</f>
        <v>RFR USD</v>
      </c>
      <c r="E3915" t="str">
        <f t="shared" ref="E3915:E3978" ca="1" si="307">IFERROR(IF(B3915&lt;0.25,VLOOKUP(A3915,$AF$11:$AH$5325,3,FALSE),IF(AND(B3915&gt;=0.25,B3915&lt;0.5),VLOOKUP(A3915,$AJ$11:$AL$5325,3,FALSE),VLOOKUP(A3915,$AN$11:$AP$5325,3,FALSE))),E3914)</f>
        <v>RFR EUR</v>
      </c>
      <c r="F3915" t="str">
        <f t="shared" ref="F3915:F3978" ca="1" si="308">IFERROR(VLOOKUP(A3915,$AS$11:$AU$9999,3,FALSE),F3914)</f>
        <v>RFR GBP</v>
      </c>
      <c r="J3915" s="1"/>
      <c r="N3915" s="1"/>
      <c r="R3915" s="1"/>
      <c r="V3915" s="1"/>
      <c r="AB3915" s="1"/>
      <c r="AF3915" s="1"/>
      <c r="AJ3915" s="1"/>
      <c r="AN3915" s="1"/>
      <c r="AS3915" s="1"/>
      <c r="AX3915" s="1"/>
    </row>
    <row r="3916" spans="1:50" x14ac:dyDescent="0.3">
      <c r="A3916" s="19">
        <f t="shared" si="304"/>
        <v>51397</v>
      </c>
      <c r="B3916">
        <f t="shared" ca="1" si="305"/>
        <v>-14.569444444444445</v>
      </c>
      <c r="C3916" t="str">
        <f ca="1">IF(currency="USD",'Future et co'!D3916,IF(currency="EUR",'Future et co'!E3916,IF(currency="GBP",'Future et co'!F3916,FALSE)))</f>
        <v>RFR USD</v>
      </c>
      <c r="D3916" t="str">
        <f t="shared" ca="1" si="306"/>
        <v>RFR USD</v>
      </c>
      <c r="E3916" t="str">
        <f t="shared" ca="1" si="307"/>
        <v>RFR EUR</v>
      </c>
      <c r="F3916" t="str">
        <f t="shared" ca="1" si="308"/>
        <v>RFR GBP</v>
      </c>
      <c r="J3916" s="1"/>
      <c r="N3916" s="1"/>
      <c r="R3916" s="1"/>
      <c r="V3916" s="1"/>
      <c r="AB3916" s="1"/>
      <c r="AF3916" s="1"/>
      <c r="AJ3916" s="1"/>
      <c r="AN3916" s="1"/>
      <c r="AS3916" s="1"/>
      <c r="AX3916" s="1"/>
    </row>
    <row r="3917" spans="1:50" x14ac:dyDescent="0.3">
      <c r="A3917" s="19">
        <f t="shared" ref="A3917:A3980" si="309">WORKDAY(A3916,1)</f>
        <v>51398</v>
      </c>
      <c r="B3917">
        <f t="shared" ca="1" si="305"/>
        <v>-14.572222222222223</v>
      </c>
      <c r="C3917" t="str">
        <f ca="1">IF(currency="USD",'Future et co'!D3917,IF(currency="EUR",'Future et co'!E3917,IF(currency="GBP",'Future et co'!F3917,FALSE)))</f>
        <v>RFR USD</v>
      </c>
      <c r="D3917" t="str">
        <f t="shared" ca="1" si="306"/>
        <v>RFR USD</v>
      </c>
      <c r="E3917" t="str">
        <f t="shared" ca="1" si="307"/>
        <v>RFR EUR</v>
      </c>
      <c r="F3917" t="str">
        <f t="shared" ca="1" si="308"/>
        <v>RFR GBP</v>
      </c>
      <c r="J3917" s="1"/>
      <c r="N3917" s="1"/>
      <c r="R3917" s="1"/>
      <c r="V3917" s="1"/>
      <c r="AB3917" s="1"/>
      <c r="AF3917" s="1"/>
      <c r="AJ3917" s="1"/>
      <c r="AN3917" s="1"/>
      <c r="AS3917" s="1"/>
      <c r="AX3917" s="1"/>
    </row>
    <row r="3918" spans="1:50" x14ac:dyDescent="0.3">
      <c r="A3918" s="19">
        <f t="shared" si="309"/>
        <v>51399</v>
      </c>
      <c r="B3918">
        <f t="shared" ca="1" si="305"/>
        <v>-14.574999999999999</v>
      </c>
      <c r="C3918" t="str">
        <f ca="1">IF(currency="USD",'Future et co'!D3918,IF(currency="EUR",'Future et co'!E3918,IF(currency="GBP",'Future et co'!F3918,FALSE)))</f>
        <v>RFR USD</v>
      </c>
      <c r="D3918" t="str">
        <f t="shared" ca="1" si="306"/>
        <v>RFR USD</v>
      </c>
      <c r="E3918" t="str">
        <f t="shared" ca="1" si="307"/>
        <v>RFR EUR</v>
      </c>
      <c r="F3918" t="str">
        <f t="shared" ca="1" si="308"/>
        <v>RFR GBP</v>
      </c>
      <c r="J3918" s="1"/>
      <c r="N3918" s="1"/>
      <c r="R3918" s="1"/>
      <c r="V3918" s="1"/>
      <c r="AB3918" s="1"/>
      <c r="AF3918" s="1"/>
      <c r="AJ3918" s="1"/>
      <c r="AN3918" s="1"/>
      <c r="AS3918" s="1"/>
      <c r="AX3918" s="1"/>
    </row>
    <row r="3919" spans="1:50" x14ac:dyDescent="0.3">
      <c r="A3919" s="19">
        <f t="shared" si="309"/>
        <v>51400</v>
      </c>
      <c r="B3919">
        <f t="shared" ca="1" si="305"/>
        <v>-14.577777777777778</v>
      </c>
      <c r="C3919" t="str">
        <f ca="1">IF(currency="USD",'Future et co'!D3919,IF(currency="EUR",'Future et co'!E3919,IF(currency="GBP",'Future et co'!F3919,FALSE)))</f>
        <v>RFR USD</v>
      </c>
      <c r="D3919" t="str">
        <f t="shared" ca="1" si="306"/>
        <v>RFR USD</v>
      </c>
      <c r="E3919" t="str">
        <f t="shared" ca="1" si="307"/>
        <v>RFR EUR</v>
      </c>
      <c r="F3919" t="str">
        <f t="shared" ca="1" si="308"/>
        <v>RFR GBP</v>
      </c>
      <c r="J3919" s="1"/>
      <c r="N3919" s="1"/>
      <c r="R3919" s="1"/>
      <c r="V3919" s="1"/>
      <c r="AB3919" s="1"/>
      <c r="AF3919" s="1"/>
      <c r="AJ3919" s="1"/>
      <c r="AN3919" s="1"/>
      <c r="AS3919" s="1"/>
      <c r="AX3919" s="1"/>
    </row>
    <row r="3920" spans="1:50" x14ac:dyDescent="0.3">
      <c r="A3920" s="19">
        <f t="shared" si="309"/>
        <v>51403</v>
      </c>
      <c r="B3920">
        <f t="shared" ca="1" si="305"/>
        <v>-14.58611111111111</v>
      </c>
      <c r="C3920" t="str">
        <f ca="1">IF(currency="USD",'Future et co'!D3920,IF(currency="EUR",'Future et co'!E3920,IF(currency="GBP",'Future et co'!F3920,FALSE)))</f>
        <v>RFR USD</v>
      </c>
      <c r="D3920" t="str">
        <f t="shared" ca="1" si="306"/>
        <v>RFR USD</v>
      </c>
      <c r="E3920" t="str">
        <f t="shared" ca="1" si="307"/>
        <v>RFR EUR</v>
      </c>
      <c r="F3920" t="str">
        <f t="shared" ca="1" si="308"/>
        <v>RFR GBP</v>
      </c>
      <c r="J3920" s="1"/>
      <c r="N3920" s="1"/>
      <c r="R3920" s="1"/>
      <c r="V3920" s="1"/>
      <c r="AB3920" s="1"/>
      <c r="AF3920" s="1"/>
      <c r="AJ3920" s="1"/>
      <c r="AN3920" s="1"/>
      <c r="AS3920" s="1"/>
      <c r="AX3920" s="1"/>
    </row>
    <row r="3921" spans="1:50" x14ac:dyDescent="0.3">
      <c r="A3921" s="19">
        <f t="shared" si="309"/>
        <v>51404</v>
      </c>
      <c r="B3921">
        <f t="shared" ca="1" si="305"/>
        <v>-14.588888888888889</v>
      </c>
      <c r="C3921" t="str">
        <f ca="1">IF(currency="USD",'Future et co'!D3921,IF(currency="EUR",'Future et co'!E3921,IF(currency="GBP",'Future et co'!F3921,FALSE)))</f>
        <v>RFR USD</v>
      </c>
      <c r="D3921" t="str">
        <f t="shared" ca="1" si="306"/>
        <v>RFR USD</v>
      </c>
      <c r="E3921" t="str">
        <f t="shared" ca="1" si="307"/>
        <v>RFR EUR</v>
      </c>
      <c r="F3921" t="str">
        <f t="shared" ca="1" si="308"/>
        <v>RFR GBP</v>
      </c>
      <c r="J3921" s="1"/>
      <c r="N3921" s="1"/>
      <c r="R3921" s="1"/>
      <c r="V3921" s="1"/>
      <c r="AB3921" s="1"/>
      <c r="AF3921" s="1"/>
      <c r="AJ3921" s="1"/>
      <c r="AN3921" s="1"/>
      <c r="AS3921" s="1"/>
      <c r="AX3921" s="1"/>
    </row>
    <row r="3922" spans="1:50" x14ac:dyDescent="0.3">
      <c r="A3922" s="19">
        <f t="shared" si="309"/>
        <v>51405</v>
      </c>
      <c r="B3922">
        <f t="shared" ca="1" si="305"/>
        <v>-14.591666666666667</v>
      </c>
      <c r="C3922" t="str">
        <f ca="1">IF(currency="USD",'Future et co'!D3922,IF(currency="EUR",'Future et co'!E3922,IF(currency="GBP",'Future et co'!F3922,FALSE)))</f>
        <v>RFR USD</v>
      </c>
      <c r="D3922" t="str">
        <f t="shared" ca="1" si="306"/>
        <v>RFR USD</v>
      </c>
      <c r="E3922" t="str">
        <f t="shared" ca="1" si="307"/>
        <v>RFR EUR</v>
      </c>
      <c r="F3922" t="str">
        <f t="shared" ca="1" si="308"/>
        <v>RFR GBP</v>
      </c>
      <c r="J3922" s="1"/>
      <c r="N3922" s="1"/>
      <c r="R3922" s="1"/>
      <c r="V3922" s="1"/>
      <c r="AB3922" s="1"/>
      <c r="AF3922" s="1"/>
      <c r="AJ3922" s="1"/>
      <c r="AN3922" s="1"/>
      <c r="AS3922" s="1"/>
      <c r="AX3922" s="1"/>
    </row>
    <row r="3923" spans="1:50" x14ac:dyDescent="0.3">
      <c r="A3923" s="19">
        <f t="shared" si="309"/>
        <v>51406</v>
      </c>
      <c r="B3923">
        <f t="shared" ca="1" si="305"/>
        <v>-14.594444444444445</v>
      </c>
      <c r="C3923" t="str">
        <f ca="1">IF(currency="USD",'Future et co'!D3923,IF(currency="EUR",'Future et co'!E3923,IF(currency="GBP",'Future et co'!F3923,FALSE)))</f>
        <v>RFR USD</v>
      </c>
      <c r="D3923" t="str">
        <f t="shared" ca="1" si="306"/>
        <v>RFR USD</v>
      </c>
      <c r="E3923" t="str">
        <f t="shared" ca="1" si="307"/>
        <v>RFR EUR</v>
      </c>
      <c r="F3923" t="str">
        <f t="shared" ca="1" si="308"/>
        <v>RFR GBP</v>
      </c>
      <c r="J3923" s="1"/>
      <c r="N3923" s="1"/>
      <c r="R3923" s="1"/>
      <c r="V3923" s="1"/>
      <c r="AB3923" s="1"/>
      <c r="AF3923" s="1"/>
      <c r="AJ3923" s="1"/>
      <c r="AN3923" s="1"/>
      <c r="AS3923" s="1"/>
      <c r="AX3923" s="1"/>
    </row>
    <row r="3924" spans="1:50" x14ac:dyDescent="0.3">
      <c r="A3924" s="19">
        <f t="shared" si="309"/>
        <v>51407</v>
      </c>
      <c r="B3924">
        <f t="shared" ca="1" si="305"/>
        <v>-14.597222222222221</v>
      </c>
      <c r="C3924" t="str">
        <f ca="1">IF(currency="USD",'Future et co'!D3924,IF(currency="EUR",'Future et co'!E3924,IF(currency="GBP",'Future et co'!F3924,FALSE)))</f>
        <v>RFR USD</v>
      </c>
      <c r="D3924" t="str">
        <f t="shared" ca="1" si="306"/>
        <v>RFR USD</v>
      </c>
      <c r="E3924" t="str">
        <f t="shared" ca="1" si="307"/>
        <v>RFR EUR</v>
      </c>
      <c r="F3924" t="str">
        <f t="shared" ca="1" si="308"/>
        <v>RFR GBP</v>
      </c>
      <c r="J3924" s="1"/>
      <c r="N3924" s="1"/>
      <c r="R3924" s="1"/>
      <c r="V3924" s="1"/>
      <c r="AB3924" s="1"/>
      <c r="AF3924" s="1"/>
      <c r="AJ3924" s="1"/>
      <c r="AN3924" s="1"/>
      <c r="AS3924" s="1"/>
      <c r="AX3924" s="1"/>
    </row>
    <row r="3925" spans="1:50" x14ac:dyDescent="0.3">
      <c r="A3925" s="19">
        <f t="shared" si="309"/>
        <v>51410</v>
      </c>
      <c r="B3925">
        <f t="shared" ca="1" si="305"/>
        <v>-14.605555555555556</v>
      </c>
      <c r="C3925" t="str">
        <f ca="1">IF(currency="USD",'Future et co'!D3925,IF(currency="EUR",'Future et co'!E3925,IF(currency="GBP",'Future et co'!F3925,FALSE)))</f>
        <v>RFR USD</v>
      </c>
      <c r="D3925" t="str">
        <f t="shared" ca="1" si="306"/>
        <v>RFR USD</v>
      </c>
      <c r="E3925" t="str">
        <f t="shared" ca="1" si="307"/>
        <v>RFR EUR</v>
      </c>
      <c r="F3925" t="str">
        <f t="shared" ca="1" si="308"/>
        <v>RFR GBP</v>
      </c>
      <c r="J3925" s="1"/>
      <c r="N3925" s="1"/>
      <c r="R3925" s="1"/>
      <c r="V3925" s="1"/>
      <c r="AB3925" s="1"/>
      <c r="AF3925" s="1"/>
      <c r="AJ3925" s="1"/>
      <c r="AN3925" s="1"/>
      <c r="AS3925" s="1"/>
      <c r="AX3925" s="1"/>
    </row>
    <row r="3926" spans="1:50" x14ac:dyDescent="0.3">
      <c r="A3926" s="19">
        <f t="shared" si="309"/>
        <v>51411</v>
      </c>
      <c r="B3926">
        <f t="shared" ca="1" si="305"/>
        <v>-14.608333333333333</v>
      </c>
      <c r="C3926" t="str">
        <f ca="1">IF(currency="USD",'Future et co'!D3926,IF(currency="EUR",'Future et co'!E3926,IF(currency="GBP",'Future et co'!F3926,FALSE)))</f>
        <v>RFR USD</v>
      </c>
      <c r="D3926" t="str">
        <f t="shared" ca="1" si="306"/>
        <v>RFR USD</v>
      </c>
      <c r="E3926" t="str">
        <f t="shared" ca="1" si="307"/>
        <v>RFR EUR</v>
      </c>
      <c r="F3926" t="str">
        <f t="shared" ca="1" si="308"/>
        <v>RFR GBP</v>
      </c>
      <c r="J3926" s="1"/>
      <c r="N3926" s="1"/>
      <c r="R3926" s="1"/>
      <c r="V3926" s="1"/>
      <c r="AB3926" s="1"/>
      <c r="AF3926" s="1"/>
      <c r="AJ3926" s="1"/>
      <c r="AN3926" s="1"/>
      <c r="AS3926" s="1"/>
      <c r="AX3926" s="1"/>
    </row>
    <row r="3927" spans="1:50" x14ac:dyDescent="0.3">
      <c r="A3927" s="19">
        <f t="shared" si="309"/>
        <v>51412</v>
      </c>
      <c r="B3927">
        <f t="shared" ca="1" si="305"/>
        <v>-14.611111111111111</v>
      </c>
      <c r="C3927" t="str">
        <f ca="1">IF(currency="USD",'Future et co'!D3927,IF(currency="EUR",'Future et co'!E3927,IF(currency="GBP",'Future et co'!F3927,FALSE)))</f>
        <v>RFR USD</v>
      </c>
      <c r="D3927" t="str">
        <f t="shared" ca="1" si="306"/>
        <v>RFR USD</v>
      </c>
      <c r="E3927" t="str">
        <f t="shared" ca="1" si="307"/>
        <v>RFR EUR</v>
      </c>
      <c r="F3927" t="str">
        <f t="shared" ca="1" si="308"/>
        <v>RFR GBP</v>
      </c>
      <c r="J3927" s="1"/>
      <c r="N3927" s="1"/>
      <c r="R3927" s="1"/>
      <c r="V3927" s="1"/>
      <c r="AB3927" s="1"/>
      <c r="AF3927" s="1"/>
      <c r="AJ3927" s="1"/>
      <c r="AN3927" s="1"/>
      <c r="AS3927" s="1"/>
      <c r="AX3927" s="1"/>
    </row>
    <row r="3928" spans="1:50" x14ac:dyDescent="0.3">
      <c r="A3928" s="19">
        <f t="shared" si="309"/>
        <v>51413</v>
      </c>
      <c r="B3928">
        <f t="shared" ca="1" si="305"/>
        <v>-14.613888888888889</v>
      </c>
      <c r="C3928" t="str">
        <f ca="1">IF(currency="USD",'Future et co'!D3928,IF(currency="EUR",'Future et co'!E3928,IF(currency="GBP",'Future et co'!F3928,FALSE)))</f>
        <v>RFR USD</v>
      </c>
      <c r="D3928" t="str">
        <f t="shared" ca="1" si="306"/>
        <v>RFR USD</v>
      </c>
      <c r="E3928" t="str">
        <f t="shared" ca="1" si="307"/>
        <v>RFR EUR</v>
      </c>
      <c r="F3928" t="str">
        <f t="shared" ca="1" si="308"/>
        <v>RFR GBP</v>
      </c>
      <c r="J3928" s="1"/>
      <c r="N3928" s="1"/>
      <c r="R3928" s="1"/>
      <c r="V3928" s="1"/>
      <c r="AB3928" s="1"/>
      <c r="AF3928" s="1"/>
      <c r="AJ3928" s="1"/>
      <c r="AN3928" s="1"/>
      <c r="AS3928" s="1"/>
      <c r="AX3928" s="1"/>
    </row>
    <row r="3929" spans="1:50" x14ac:dyDescent="0.3">
      <c r="A3929" s="19">
        <f t="shared" si="309"/>
        <v>51414</v>
      </c>
      <c r="B3929">
        <f t="shared" ca="1" si="305"/>
        <v>-14.616666666666667</v>
      </c>
      <c r="C3929" t="str">
        <f ca="1">IF(currency="USD",'Future et co'!D3929,IF(currency="EUR",'Future et co'!E3929,IF(currency="GBP",'Future et co'!F3929,FALSE)))</f>
        <v>RFR USD</v>
      </c>
      <c r="D3929" t="str">
        <f t="shared" ca="1" si="306"/>
        <v>RFR USD</v>
      </c>
      <c r="E3929" t="str">
        <f t="shared" ca="1" si="307"/>
        <v>RFR EUR</v>
      </c>
      <c r="F3929" t="str">
        <f t="shared" ca="1" si="308"/>
        <v>RFR GBP</v>
      </c>
      <c r="J3929" s="1"/>
      <c r="N3929" s="1"/>
      <c r="R3929" s="1"/>
      <c r="V3929" s="1"/>
      <c r="AB3929" s="1"/>
      <c r="AF3929" s="1"/>
      <c r="AJ3929" s="1"/>
      <c r="AN3929" s="1"/>
      <c r="AS3929" s="1"/>
      <c r="AX3929" s="1"/>
    </row>
    <row r="3930" spans="1:50" x14ac:dyDescent="0.3">
      <c r="A3930" s="19">
        <f t="shared" si="309"/>
        <v>51417</v>
      </c>
      <c r="B3930">
        <f t="shared" ca="1" si="305"/>
        <v>-14.625</v>
      </c>
      <c r="C3930" t="str">
        <f ca="1">IF(currency="USD",'Future et co'!D3930,IF(currency="EUR",'Future et co'!E3930,IF(currency="GBP",'Future et co'!F3930,FALSE)))</f>
        <v>RFR USD</v>
      </c>
      <c r="D3930" t="str">
        <f t="shared" ca="1" si="306"/>
        <v>RFR USD</v>
      </c>
      <c r="E3930" t="str">
        <f t="shared" ca="1" si="307"/>
        <v>RFR EUR</v>
      </c>
      <c r="F3930" t="str">
        <f t="shared" ca="1" si="308"/>
        <v>RFR GBP</v>
      </c>
      <c r="J3930" s="1"/>
      <c r="N3930" s="1"/>
      <c r="R3930" s="1"/>
      <c r="V3930" s="1"/>
      <c r="AB3930" s="1"/>
      <c r="AF3930" s="1"/>
      <c r="AJ3930" s="1"/>
      <c r="AN3930" s="1"/>
      <c r="AS3930" s="1"/>
      <c r="AX3930" s="1"/>
    </row>
    <row r="3931" spans="1:50" x14ac:dyDescent="0.3">
      <c r="A3931" s="19">
        <f t="shared" si="309"/>
        <v>51418</v>
      </c>
      <c r="B3931">
        <f t="shared" ca="1" si="305"/>
        <v>-14.627777777777778</v>
      </c>
      <c r="C3931" t="str">
        <f ca="1">IF(currency="USD",'Future et co'!D3931,IF(currency="EUR",'Future et co'!E3931,IF(currency="GBP",'Future et co'!F3931,FALSE)))</f>
        <v>RFR USD</v>
      </c>
      <c r="D3931" t="str">
        <f t="shared" ca="1" si="306"/>
        <v>RFR USD</v>
      </c>
      <c r="E3931" t="str">
        <f t="shared" ca="1" si="307"/>
        <v>RFR EUR</v>
      </c>
      <c r="F3931" t="str">
        <f t="shared" ca="1" si="308"/>
        <v>RFR GBP</v>
      </c>
      <c r="J3931" s="1"/>
      <c r="N3931" s="1"/>
      <c r="R3931" s="1"/>
      <c r="V3931" s="1"/>
      <c r="AB3931" s="1"/>
      <c r="AF3931" s="1"/>
      <c r="AJ3931" s="1"/>
      <c r="AN3931" s="1"/>
      <c r="AS3931" s="1"/>
      <c r="AX3931" s="1"/>
    </row>
    <row r="3932" spans="1:50" x14ac:dyDescent="0.3">
      <c r="A3932" s="19">
        <f t="shared" si="309"/>
        <v>51419</v>
      </c>
      <c r="B3932">
        <f t="shared" ca="1" si="305"/>
        <v>-14.630555555555556</v>
      </c>
      <c r="C3932" t="str">
        <f ca="1">IF(currency="USD",'Future et co'!D3932,IF(currency="EUR",'Future et co'!E3932,IF(currency="GBP",'Future et co'!F3932,FALSE)))</f>
        <v>RFR USD</v>
      </c>
      <c r="D3932" t="str">
        <f t="shared" ca="1" si="306"/>
        <v>RFR USD</v>
      </c>
      <c r="E3932" t="str">
        <f t="shared" ca="1" si="307"/>
        <v>RFR EUR</v>
      </c>
      <c r="F3932" t="str">
        <f t="shared" ca="1" si="308"/>
        <v>RFR GBP</v>
      </c>
      <c r="J3932" s="1"/>
      <c r="N3932" s="1"/>
      <c r="R3932" s="1"/>
      <c r="V3932" s="1"/>
      <c r="AB3932" s="1"/>
      <c r="AF3932" s="1"/>
      <c r="AJ3932" s="1"/>
      <c r="AN3932" s="1"/>
      <c r="AS3932" s="1"/>
      <c r="AX3932" s="1"/>
    </row>
    <row r="3933" spans="1:50" x14ac:dyDescent="0.3">
      <c r="A3933" s="19">
        <f t="shared" si="309"/>
        <v>51420</v>
      </c>
      <c r="B3933">
        <f t="shared" ca="1" si="305"/>
        <v>-14.633333333333333</v>
      </c>
      <c r="C3933" t="str">
        <f ca="1">IF(currency="USD",'Future et co'!D3933,IF(currency="EUR",'Future et co'!E3933,IF(currency="GBP",'Future et co'!F3933,FALSE)))</f>
        <v>RFR USD</v>
      </c>
      <c r="D3933" t="str">
        <f t="shared" ca="1" si="306"/>
        <v>RFR USD</v>
      </c>
      <c r="E3933" t="str">
        <f t="shared" ca="1" si="307"/>
        <v>RFR EUR</v>
      </c>
      <c r="F3933" t="str">
        <f t="shared" ca="1" si="308"/>
        <v>RFR GBP</v>
      </c>
      <c r="J3933" s="1"/>
      <c r="N3933" s="1"/>
      <c r="R3933" s="1"/>
      <c r="V3933" s="1"/>
      <c r="AB3933" s="1"/>
      <c r="AF3933" s="1"/>
      <c r="AJ3933" s="1"/>
      <c r="AN3933" s="1"/>
      <c r="AS3933" s="1"/>
      <c r="AX3933" s="1"/>
    </row>
    <row r="3934" spans="1:50" x14ac:dyDescent="0.3">
      <c r="A3934" s="19">
        <f t="shared" si="309"/>
        <v>51421</v>
      </c>
      <c r="B3934">
        <f t="shared" ca="1" si="305"/>
        <v>-14.636111111111111</v>
      </c>
      <c r="C3934" t="str">
        <f ca="1">IF(currency="USD",'Future et co'!D3934,IF(currency="EUR",'Future et co'!E3934,IF(currency="GBP",'Future et co'!F3934,FALSE)))</f>
        <v>RFR USD</v>
      </c>
      <c r="D3934" t="str">
        <f t="shared" ca="1" si="306"/>
        <v>RFR USD</v>
      </c>
      <c r="E3934" t="str">
        <f t="shared" ca="1" si="307"/>
        <v>RFR EUR</v>
      </c>
      <c r="F3934" t="str">
        <f t="shared" ca="1" si="308"/>
        <v>RFR GBP</v>
      </c>
      <c r="J3934" s="1"/>
      <c r="N3934" s="1"/>
      <c r="R3934" s="1"/>
      <c r="V3934" s="1"/>
      <c r="AB3934" s="1"/>
      <c r="AF3934" s="1"/>
      <c r="AJ3934" s="1"/>
      <c r="AN3934" s="1"/>
      <c r="AS3934" s="1"/>
      <c r="AX3934" s="1"/>
    </row>
    <row r="3935" spans="1:50" x14ac:dyDescent="0.3">
      <c r="A3935" s="19">
        <f t="shared" si="309"/>
        <v>51424</v>
      </c>
      <c r="B3935">
        <f t="shared" ca="1" si="305"/>
        <v>-14.644444444444444</v>
      </c>
      <c r="C3935" t="str">
        <f ca="1">IF(currency="USD",'Future et co'!D3935,IF(currency="EUR",'Future et co'!E3935,IF(currency="GBP",'Future et co'!F3935,FALSE)))</f>
        <v>RFR USD</v>
      </c>
      <c r="D3935" t="str">
        <f t="shared" ca="1" si="306"/>
        <v>RFR USD</v>
      </c>
      <c r="E3935" t="str">
        <f t="shared" ca="1" si="307"/>
        <v>RFR EUR</v>
      </c>
      <c r="F3935" t="str">
        <f t="shared" ca="1" si="308"/>
        <v>RFR GBP</v>
      </c>
      <c r="J3935" s="1"/>
      <c r="N3935" s="1"/>
      <c r="R3935" s="1"/>
      <c r="V3935" s="1"/>
      <c r="AB3935" s="1"/>
      <c r="AF3935" s="1"/>
      <c r="AJ3935" s="1"/>
      <c r="AN3935" s="1"/>
      <c r="AS3935" s="1"/>
      <c r="AX3935" s="1"/>
    </row>
    <row r="3936" spans="1:50" x14ac:dyDescent="0.3">
      <c r="A3936" s="19">
        <f t="shared" si="309"/>
        <v>51425</v>
      </c>
      <c r="B3936">
        <f t="shared" ca="1" si="305"/>
        <v>-14.647222222222222</v>
      </c>
      <c r="C3936" t="str">
        <f ca="1">IF(currency="USD",'Future et co'!D3936,IF(currency="EUR",'Future et co'!E3936,IF(currency="GBP",'Future et co'!F3936,FALSE)))</f>
        <v>RFR USD</v>
      </c>
      <c r="D3936" t="str">
        <f t="shared" ca="1" si="306"/>
        <v>RFR USD</v>
      </c>
      <c r="E3936" t="str">
        <f t="shared" ca="1" si="307"/>
        <v>RFR EUR</v>
      </c>
      <c r="F3936" t="str">
        <f t="shared" ca="1" si="308"/>
        <v>RFR GBP</v>
      </c>
      <c r="J3936" s="1"/>
      <c r="N3936" s="1"/>
      <c r="R3936" s="1"/>
      <c r="V3936" s="1"/>
      <c r="AB3936" s="1"/>
      <c r="AF3936" s="1"/>
      <c r="AJ3936" s="1"/>
      <c r="AN3936" s="1"/>
      <c r="AS3936" s="1"/>
      <c r="AX3936" s="1"/>
    </row>
    <row r="3937" spans="1:50" x14ac:dyDescent="0.3">
      <c r="A3937" s="19">
        <f t="shared" si="309"/>
        <v>51426</v>
      </c>
      <c r="B3937">
        <f t="shared" ca="1" si="305"/>
        <v>-14.65</v>
      </c>
      <c r="C3937" t="str">
        <f ca="1">IF(currency="USD",'Future et co'!D3937,IF(currency="EUR",'Future et co'!E3937,IF(currency="GBP",'Future et co'!F3937,FALSE)))</f>
        <v>RFR USD</v>
      </c>
      <c r="D3937" t="str">
        <f t="shared" ca="1" si="306"/>
        <v>RFR USD</v>
      </c>
      <c r="E3937" t="str">
        <f t="shared" ca="1" si="307"/>
        <v>RFR EUR</v>
      </c>
      <c r="F3937" t="str">
        <f t="shared" ca="1" si="308"/>
        <v>RFR GBP</v>
      </c>
      <c r="J3937" s="1"/>
      <c r="N3937" s="1"/>
      <c r="R3937" s="1"/>
      <c r="V3937" s="1"/>
      <c r="AB3937" s="1"/>
      <c r="AF3937" s="1"/>
      <c r="AJ3937" s="1"/>
      <c r="AN3937" s="1"/>
      <c r="AS3937" s="1"/>
      <c r="AX3937" s="1"/>
    </row>
    <row r="3938" spans="1:50" x14ac:dyDescent="0.3">
      <c r="A3938" s="19">
        <f t="shared" si="309"/>
        <v>51427</v>
      </c>
      <c r="B3938">
        <f t="shared" ca="1" si="305"/>
        <v>-14.652777777777779</v>
      </c>
      <c r="C3938" t="str">
        <f ca="1">IF(currency="USD",'Future et co'!D3938,IF(currency="EUR",'Future et co'!E3938,IF(currency="GBP",'Future et co'!F3938,FALSE)))</f>
        <v>RFR USD</v>
      </c>
      <c r="D3938" t="str">
        <f t="shared" ca="1" si="306"/>
        <v>RFR USD</v>
      </c>
      <c r="E3938" t="str">
        <f t="shared" ca="1" si="307"/>
        <v>RFR EUR</v>
      </c>
      <c r="F3938" t="str">
        <f t="shared" ca="1" si="308"/>
        <v>RFR GBP</v>
      </c>
      <c r="J3938" s="1"/>
      <c r="N3938" s="1"/>
      <c r="R3938" s="1"/>
      <c r="V3938" s="1"/>
      <c r="AB3938" s="1"/>
      <c r="AF3938" s="1"/>
      <c r="AJ3938" s="1"/>
      <c r="AN3938" s="1"/>
      <c r="AS3938" s="1"/>
      <c r="AX3938" s="1"/>
    </row>
    <row r="3939" spans="1:50" x14ac:dyDescent="0.3">
      <c r="A3939" s="19">
        <f t="shared" si="309"/>
        <v>51428</v>
      </c>
      <c r="B3939">
        <f t="shared" ca="1" si="305"/>
        <v>-14.655555555555555</v>
      </c>
      <c r="C3939" t="str">
        <f ca="1">IF(currency="USD",'Future et co'!D3939,IF(currency="EUR",'Future et co'!E3939,IF(currency="GBP",'Future et co'!F3939,FALSE)))</f>
        <v>RFR USD</v>
      </c>
      <c r="D3939" t="str">
        <f t="shared" ca="1" si="306"/>
        <v>RFR USD</v>
      </c>
      <c r="E3939" t="str">
        <f t="shared" ca="1" si="307"/>
        <v>RFR EUR</v>
      </c>
      <c r="F3939" t="str">
        <f t="shared" ca="1" si="308"/>
        <v>RFR GBP</v>
      </c>
      <c r="J3939" s="1"/>
      <c r="N3939" s="1"/>
      <c r="R3939" s="1"/>
      <c r="V3939" s="1"/>
      <c r="AB3939" s="1"/>
      <c r="AF3939" s="1"/>
      <c r="AJ3939" s="1"/>
      <c r="AN3939" s="1"/>
      <c r="AS3939" s="1"/>
      <c r="AX3939" s="1"/>
    </row>
    <row r="3940" spans="1:50" x14ac:dyDescent="0.3">
      <c r="A3940" s="19">
        <f t="shared" si="309"/>
        <v>51431</v>
      </c>
      <c r="B3940">
        <f t="shared" ca="1" si="305"/>
        <v>-14.66388888888889</v>
      </c>
      <c r="C3940" t="str">
        <f ca="1">IF(currency="USD",'Future et co'!D3940,IF(currency="EUR",'Future et co'!E3940,IF(currency="GBP",'Future et co'!F3940,FALSE)))</f>
        <v>RFR USD</v>
      </c>
      <c r="D3940" t="str">
        <f t="shared" ca="1" si="306"/>
        <v>RFR USD</v>
      </c>
      <c r="E3940" t="str">
        <f t="shared" ca="1" si="307"/>
        <v>RFR EUR</v>
      </c>
      <c r="F3940" t="str">
        <f t="shared" ca="1" si="308"/>
        <v>RFR GBP</v>
      </c>
      <c r="J3940" s="1"/>
      <c r="N3940" s="1"/>
      <c r="R3940" s="1"/>
      <c r="V3940" s="1"/>
      <c r="AB3940" s="1"/>
      <c r="AF3940" s="1"/>
      <c r="AJ3940" s="1"/>
      <c r="AN3940" s="1"/>
      <c r="AS3940" s="1"/>
      <c r="AX3940" s="1"/>
    </row>
    <row r="3941" spans="1:50" x14ac:dyDescent="0.3">
      <c r="A3941" s="19">
        <f t="shared" si="309"/>
        <v>51432</v>
      </c>
      <c r="B3941">
        <f t="shared" ca="1" si="305"/>
        <v>-14.666666666666666</v>
      </c>
      <c r="C3941" t="str">
        <f ca="1">IF(currency="USD",'Future et co'!D3941,IF(currency="EUR",'Future et co'!E3941,IF(currency="GBP",'Future et co'!F3941,FALSE)))</f>
        <v>RFR USD</v>
      </c>
      <c r="D3941" t="str">
        <f t="shared" ca="1" si="306"/>
        <v>RFR USD</v>
      </c>
      <c r="E3941" t="str">
        <f t="shared" ca="1" si="307"/>
        <v>RFR EUR</v>
      </c>
      <c r="F3941" t="str">
        <f t="shared" ca="1" si="308"/>
        <v>RFR GBP</v>
      </c>
      <c r="J3941" s="1"/>
      <c r="N3941" s="1"/>
      <c r="R3941" s="1"/>
      <c r="V3941" s="1"/>
      <c r="AB3941" s="1"/>
      <c r="AF3941" s="1"/>
      <c r="AJ3941" s="1"/>
      <c r="AN3941" s="1"/>
      <c r="AS3941" s="1"/>
      <c r="AX3941" s="1"/>
    </row>
    <row r="3942" spans="1:50" x14ac:dyDescent="0.3">
      <c r="A3942" s="19">
        <f t="shared" si="309"/>
        <v>51433</v>
      </c>
      <c r="B3942">
        <f t="shared" ca="1" si="305"/>
        <v>-14.669444444444444</v>
      </c>
      <c r="C3942" t="str">
        <f ca="1">IF(currency="USD",'Future et co'!D3942,IF(currency="EUR",'Future et co'!E3942,IF(currency="GBP",'Future et co'!F3942,FALSE)))</f>
        <v>RFR USD</v>
      </c>
      <c r="D3942" t="str">
        <f t="shared" ca="1" si="306"/>
        <v>RFR USD</v>
      </c>
      <c r="E3942" t="str">
        <f t="shared" ca="1" si="307"/>
        <v>RFR EUR</v>
      </c>
      <c r="F3942" t="str">
        <f t="shared" ca="1" si="308"/>
        <v>RFR GBP</v>
      </c>
      <c r="J3942" s="1"/>
      <c r="N3942" s="1"/>
      <c r="R3942" s="1"/>
      <c r="V3942" s="1"/>
      <c r="AB3942" s="1"/>
      <c r="AF3942" s="1"/>
      <c r="AJ3942" s="1"/>
      <c r="AN3942" s="1"/>
      <c r="AS3942" s="1"/>
      <c r="AX3942" s="1"/>
    </row>
    <row r="3943" spans="1:50" x14ac:dyDescent="0.3">
      <c r="A3943" s="19">
        <f t="shared" si="309"/>
        <v>51434</v>
      </c>
      <c r="B3943">
        <f t="shared" ca="1" si="305"/>
        <v>-14.672222222222222</v>
      </c>
      <c r="C3943" t="str">
        <f ca="1">IF(currency="USD",'Future et co'!D3943,IF(currency="EUR",'Future et co'!E3943,IF(currency="GBP",'Future et co'!F3943,FALSE)))</f>
        <v>RFR USD</v>
      </c>
      <c r="D3943" t="str">
        <f t="shared" ca="1" si="306"/>
        <v>RFR USD</v>
      </c>
      <c r="E3943" t="str">
        <f t="shared" ca="1" si="307"/>
        <v>RFR EUR</v>
      </c>
      <c r="F3943" t="str">
        <f t="shared" ca="1" si="308"/>
        <v>RFR GBP</v>
      </c>
      <c r="J3943" s="1"/>
      <c r="N3943" s="1"/>
      <c r="R3943" s="1"/>
      <c r="V3943" s="1"/>
      <c r="AB3943" s="1"/>
      <c r="AF3943" s="1"/>
      <c r="AJ3943" s="1"/>
      <c r="AN3943" s="1"/>
      <c r="AS3943" s="1"/>
      <c r="AX3943" s="1"/>
    </row>
    <row r="3944" spans="1:50" x14ac:dyDescent="0.3">
      <c r="A3944" s="19">
        <f t="shared" si="309"/>
        <v>51435</v>
      </c>
      <c r="B3944">
        <f t="shared" ca="1" si="305"/>
        <v>-14.675000000000001</v>
      </c>
      <c r="C3944" t="str">
        <f ca="1">IF(currency="USD",'Future et co'!D3944,IF(currency="EUR",'Future et co'!E3944,IF(currency="GBP",'Future et co'!F3944,FALSE)))</f>
        <v>RFR USD</v>
      </c>
      <c r="D3944" t="str">
        <f t="shared" ca="1" si="306"/>
        <v>RFR USD</v>
      </c>
      <c r="E3944" t="str">
        <f t="shared" ca="1" si="307"/>
        <v>RFR EUR</v>
      </c>
      <c r="F3944" t="str">
        <f t="shared" ca="1" si="308"/>
        <v>RFR GBP</v>
      </c>
      <c r="J3944" s="1"/>
      <c r="N3944" s="1"/>
      <c r="R3944" s="1"/>
      <c r="V3944" s="1"/>
      <c r="AB3944" s="1"/>
      <c r="AF3944" s="1"/>
      <c r="AJ3944" s="1"/>
      <c r="AN3944" s="1"/>
      <c r="AS3944" s="1"/>
      <c r="AX3944" s="1"/>
    </row>
    <row r="3945" spans="1:50" x14ac:dyDescent="0.3">
      <c r="A3945" s="19">
        <f t="shared" si="309"/>
        <v>51438</v>
      </c>
      <c r="B3945">
        <f t="shared" ca="1" si="305"/>
        <v>-14.683333333333334</v>
      </c>
      <c r="C3945" t="str">
        <f ca="1">IF(currency="USD",'Future et co'!D3945,IF(currency="EUR",'Future et co'!E3945,IF(currency="GBP",'Future et co'!F3945,FALSE)))</f>
        <v>RFR USD</v>
      </c>
      <c r="D3945" t="str">
        <f t="shared" ca="1" si="306"/>
        <v>RFR USD</v>
      </c>
      <c r="E3945" t="str">
        <f t="shared" ca="1" si="307"/>
        <v>RFR EUR</v>
      </c>
      <c r="F3945" t="str">
        <f t="shared" ca="1" si="308"/>
        <v>RFR GBP</v>
      </c>
      <c r="J3945" s="1"/>
      <c r="N3945" s="1"/>
      <c r="R3945" s="1"/>
      <c r="V3945" s="1"/>
      <c r="AB3945" s="1"/>
      <c r="AF3945" s="1"/>
      <c r="AJ3945" s="1"/>
      <c r="AN3945" s="1"/>
      <c r="AS3945" s="1"/>
      <c r="AX3945" s="1"/>
    </row>
    <row r="3946" spans="1:50" x14ac:dyDescent="0.3">
      <c r="A3946" s="19">
        <f t="shared" si="309"/>
        <v>51439</v>
      </c>
      <c r="B3946">
        <f t="shared" ca="1" si="305"/>
        <v>-14.686111111111112</v>
      </c>
      <c r="C3946" t="str">
        <f ca="1">IF(currency="USD",'Future et co'!D3946,IF(currency="EUR",'Future et co'!E3946,IF(currency="GBP",'Future et co'!F3946,FALSE)))</f>
        <v>RFR USD</v>
      </c>
      <c r="D3946" t="str">
        <f t="shared" ca="1" si="306"/>
        <v>RFR USD</v>
      </c>
      <c r="E3946" t="str">
        <f t="shared" ca="1" si="307"/>
        <v>RFR EUR</v>
      </c>
      <c r="F3946" t="str">
        <f t="shared" ca="1" si="308"/>
        <v>RFR GBP</v>
      </c>
      <c r="J3946" s="1"/>
      <c r="N3946" s="1"/>
      <c r="R3946" s="1"/>
      <c r="V3946" s="1"/>
      <c r="AB3946" s="1"/>
      <c r="AF3946" s="1"/>
      <c r="AJ3946" s="1"/>
      <c r="AN3946" s="1"/>
      <c r="AS3946" s="1"/>
      <c r="AX3946" s="1"/>
    </row>
    <row r="3947" spans="1:50" x14ac:dyDescent="0.3">
      <c r="A3947" s="19">
        <f t="shared" si="309"/>
        <v>51440</v>
      </c>
      <c r="B3947">
        <f t="shared" ca="1" si="305"/>
        <v>-14.688888888888888</v>
      </c>
      <c r="C3947" t="str">
        <f ca="1">IF(currency="USD",'Future et co'!D3947,IF(currency="EUR",'Future et co'!E3947,IF(currency="GBP",'Future et co'!F3947,FALSE)))</f>
        <v>RFR USD</v>
      </c>
      <c r="D3947" t="str">
        <f t="shared" ca="1" si="306"/>
        <v>RFR USD</v>
      </c>
      <c r="E3947" t="str">
        <f t="shared" ca="1" si="307"/>
        <v>RFR EUR</v>
      </c>
      <c r="F3947" t="str">
        <f t="shared" ca="1" si="308"/>
        <v>RFR GBP</v>
      </c>
      <c r="J3947" s="1"/>
      <c r="N3947" s="1"/>
      <c r="R3947" s="1"/>
      <c r="V3947" s="1"/>
      <c r="AB3947" s="1"/>
      <c r="AF3947" s="1"/>
      <c r="AJ3947" s="1"/>
      <c r="AN3947" s="1"/>
      <c r="AS3947" s="1"/>
      <c r="AX3947" s="1"/>
    </row>
    <row r="3948" spans="1:50" x14ac:dyDescent="0.3">
      <c r="A3948" s="19">
        <f t="shared" si="309"/>
        <v>51441</v>
      </c>
      <c r="B3948">
        <f t="shared" ca="1" si="305"/>
        <v>-14.691666666666666</v>
      </c>
      <c r="C3948" t="str">
        <f ca="1">IF(currency="USD",'Future et co'!D3948,IF(currency="EUR",'Future et co'!E3948,IF(currency="GBP",'Future et co'!F3948,FALSE)))</f>
        <v>RFR USD</v>
      </c>
      <c r="D3948" t="str">
        <f t="shared" ca="1" si="306"/>
        <v>RFR USD</v>
      </c>
      <c r="E3948" t="str">
        <f t="shared" ca="1" si="307"/>
        <v>RFR EUR</v>
      </c>
      <c r="F3948" t="str">
        <f t="shared" ca="1" si="308"/>
        <v>RFR GBP</v>
      </c>
      <c r="J3948" s="1"/>
      <c r="N3948" s="1"/>
      <c r="R3948" s="1"/>
      <c r="V3948" s="1"/>
      <c r="AB3948" s="1"/>
      <c r="AF3948" s="1"/>
      <c r="AJ3948" s="1"/>
      <c r="AN3948" s="1"/>
      <c r="AS3948" s="1"/>
      <c r="AX3948" s="1"/>
    </row>
    <row r="3949" spans="1:50" x14ac:dyDescent="0.3">
      <c r="A3949" s="19">
        <f t="shared" si="309"/>
        <v>51442</v>
      </c>
      <c r="B3949">
        <f t="shared" ca="1" si="305"/>
        <v>-14.694444444444445</v>
      </c>
      <c r="C3949" t="str">
        <f ca="1">IF(currency="USD",'Future et co'!D3949,IF(currency="EUR",'Future et co'!E3949,IF(currency="GBP",'Future et co'!F3949,FALSE)))</f>
        <v>RFR USD</v>
      </c>
      <c r="D3949" t="str">
        <f t="shared" ca="1" si="306"/>
        <v>RFR USD</v>
      </c>
      <c r="E3949" t="str">
        <f t="shared" ca="1" si="307"/>
        <v>RFR EUR</v>
      </c>
      <c r="F3949" t="str">
        <f t="shared" ca="1" si="308"/>
        <v>RFR GBP</v>
      </c>
      <c r="J3949" s="1"/>
      <c r="N3949" s="1"/>
      <c r="R3949" s="1"/>
      <c r="V3949" s="1"/>
      <c r="AB3949" s="1"/>
      <c r="AF3949" s="1"/>
      <c r="AJ3949" s="1"/>
      <c r="AN3949" s="1"/>
      <c r="AS3949" s="1"/>
      <c r="AX3949" s="1"/>
    </row>
    <row r="3950" spans="1:50" x14ac:dyDescent="0.3">
      <c r="A3950" s="19">
        <f t="shared" si="309"/>
        <v>51445</v>
      </c>
      <c r="B3950">
        <f t="shared" ca="1" si="305"/>
        <v>-14.702777777777778</v>
      </c>
      <c r="C3950" t="str">
        <f ca="1">IF(currency="USD",'Future et co'!D3950,IF(currency="EUR",'Future et co'!E3950,IF(currency="GBP",'Future et co'!F3950,FALSE)))</f>
        <v>RFR USD</v>
      </c>
      <c r="D3950" t="str">
        <f t="shared" ca="1" si="306"/>
        <v>RFR USD</v>
      </c>
      <c r="E3950" t="str">
        <f t="shared" ca="1" si="307"/>
        <v>RFR EUR</v>
      </c>
      <c r="F3950" t="str">
        <f t="shared" ca="1" si="308"/>
        <v>RFR GBP</v>
      </c>
      <c r="J3950" s="1"/>
      <c r="N3950" s="1"/>
      <c r="R3950" s="1"/>
      <c r="V3950" s="1"/>
      <c r="AB3950" s="1"/>
      <c r="AF3950" s="1"/>
      <c r="AJ3950" s="1"/>
      <c r="AN3950" s="1"/>
      <c r="AS3950" s="1"/>
      <c r="AX3950" s="1"/>
    </row>
    <row r="3951" spans="1:50" x14ac:dyDescent="0.3">
      <c r="A3951" s="19">
        <f t="shared" si="309"/>
        <v>51446</v>
      </c>
      <c r="B3951">
        <f t="shared" ca="1" si="305"/>
        <v>-14.705555555555556</v>
      </c>
      <c r="C3951" t="str">
        <f ca="1">IF(currency="USD",'Future et co'!D3951,IF(currency="EUR",'Future et co'!E3951,IF(currency="GBP",'Future et co'!F3951,FALSE)))</f>
        <v>RFR USD</v>
      </c>
      <c r="D3951" t="str">
        <f t="shared" ca="1" si="306"/>
        <v>RFR USD</v>
      </c>
      <c r="E3951" t="str">
        <f t="shared" ca="1" si="307"/>
        <v>RFR EUR</v>
      </c>
      <c r="F3951" t="str">
        <f t="shared" ca="1" si="308"/>
        <v>RFR GBP</v>
      </c>
      <c r="J3951" s="1"/>
      <c r="N3951" s="1"/>
      <c r="R3951" s="1"/>
      <c r="V3951" s="1"/>
      <c r="AB3951" s="1"/>
      <c r="AF3951" s="1"/>
      <c r="AJ3951" s="1"/>
      <c r="AN3951" s="1"/>
      <c r="AS3951" s="1"/>
      <c r="AX3951" s="1"/>
    </row>
    <row r="3952" spans="1:50" x14ac:dyDescent="0.3">
      <c r="A3952" s="19">
        <f t="shared" si="309"/>
        <v>51447</v>
      </c>
      <c r="B3952">
        <f t="shared" ca="1" si="305"/>
        <v>-14.708333333333334</v>
      </c>
      <c r="C3952" t="str">
        <f ca="1">IF(currency="USD",'Future et co'!D3952,IF(currency="EUR",'Future et co'!E3952,IF(currency="GBP",'Future et co'!F3952,FALSE)))</f>
        <v>RFR USD</v>
      </c>
      <c r="D3952" t="str">
        <f t="shared" ca="1" si="306"/>
        <v>RFR USD</v>
      </c>
      <c r="E3952" t="str">
        <f t="shared" ca="1" si="307"/>
        <v>RFR EUR</v>
      </c>
      <c r="F3952" t="str">
        <f t="shared" ca="1" si="308"/>
        <v>RFR GBP</v>
      </c>
      <c r="J3952" s="1"/>
      <c r="N3952" s="1"/>
      <c r="R3952" s="1"/>
      <c r="V3952" s="1"/>
      <c r="AB3952" s="1"/>
      <c r="AF3952" s="1"/>
      <c r="AJ3952" s="1"/>
      <c r="AN3952" s="1"/>
      <c r="AS3952" s="1"/>
      <c r="AX3952" s="1"/>
    </row>
    <row r="3953" spans="1:50" x14ac:dyDescent="0.3">
      <c r="A3953" s="19">
        <f t="shared" si="309"/>
        <v>51448</v>
      </c>
      <c r="B3953">
        <f t="shared" ca="1" si="305"/>
        <v>-14.71111111111111</v>
      </c>
      <c r="C3953" t="str">
        <f ca="1">IF(currency="USD",'Future et co'!D3953,IF(currency="EUR",'Future et co'!E3953,IF(currency="GBP",'Future et co'!F3953,FALSE)))</f>
        <v>RFR USD</v>
      </c>
      <c r="D3953" t="str">
        <f t="shared" ca="1" si="306"/>
        <v>RFR USD</v>
      </c>
      <c r="E3953" t="str">
        <f t="shared" ca="1" si="307"/>
        <v>RFR EUR</v>
      </c>
      <c r="F3953" t="str">
        <f t="shared" ca="1" si="308"/>
        <v>RFR GBP</v>
      </c>
      <c r="J3953" s="1"/>
      <c r="N3953" s="1"/>
      <c r="R3953" s="1"/>
      <c r="V3953" s="1"/>
      <c r="AB3953" s="1"/>
      <c r="AF3953" s="1"/>
      <c r="AJ3953" s="1"/>
      <c r="AN3953" s="1"/>
      <c r="AS3953" s="1"/>
      <c r="AX3953" s="1"/>
    </row>
    <row r="3954" spans="1:50" x14ac:dyDescent="0.3">
      <c r="A3954" s="19">
        <f t="shared" si="309"/>
        <v>51449</v>
      </c>
      <c r="B3954">
        <f t="shared" ca="1" si="305"/>
        <v>-14.713888888888889</v>
      </c>
      <c r="C3954" t="str">
        <f ca="1">IF(currency="USD",'Future et co'!D3954,IF(currency="EUR",'Future et co'!E3954,IF(currency="GBP",'Future et co'!F3954,FALSE)))</f>
        <v>RFR USD</v>
      </c>
      <c r="D3954" t="str">
        <f t="shared" ca="1" si="306"/>
        <v>RFR USD</v>
      </c>
      <c r="E3954" t="str">
        <f t="shared" ca="1" si="307"/>
        <v>RFR EUR</v>
      </c>
      <c r="F3954" t="str">
        <f t="shared" ca="1" si="308"/>
        <v>RFR GBP</v>
      </c>
      <c r="J3954" s="1"/>
      <c r="N3954" s="1"/>
      <c r="R3954" s="1"/>
      <c r="V3954" s="1"/>
      <c r="AB3954" s="1"/>
      <c r="AF3954" s="1"/>
      <c r="AJ3954" s="1"/>
      <c r="AN3954" s="1"/>
      <c r="AS3954" s="1"/>
      <c r="AX3954" s="1"/>
    </row>
    <row r="3955" spans="1:50" x14ac:dyDescent="0.3">
      <c r="A3955" s="19">
        <f t="shared" si="309"/>
        <v>51452</v>
      </c>
      <c r="B3955">
        <f t="shared" ca="1" si="305"/>
        <v>-14.722222222222221</v>
      </c>
      <c r="C3955" t="str">
        <f ca="1">IF(currency="USD",'Future et co'!D3955,IF(currency="EUR",'Future et co'!E3955,IF(currency="GBP",'Future et co'!F3955,FALSE)))</f>
        <v>RFR USD</v>
      </c>
      <c r="D3955" t="str">
        <f t="shared" ca="1" si="306"/>
        <v>RFR USD</v>
      </c>
      <c r="E3955" t="str">
        <f t="shared" ca="1" si="307"/>
        <v>RFR EUR</v>
      </c>
      <c r="F3955" t="str">
        <f t="shared" ca="1" si="308"/>
        <v>RFR GBP</v>
      </c>
      <c r="J3955" s="1"/>
      <c r="N3955" s="1"/>
      <c r="R3955" s="1"/>
      <c r="V3955" s="1"/>
      <c r="AB3955" s="1"/>
      <c r="AF3955" s="1"/>
      <c r="AJ3955" s="1"/>
      <c r="AN3955" s="1"/>
      <c r="AS3955" s="1"/>
      <c r="AX3955" s="1"/>
    </row>
    <row r="3956" spans="1:50" x14ac:dyDescent="0.3">
      <c r="A3956" s="19">
        <f t="shared" si="309"/>
        <v>51453</v>
      </c>
      <c r="B3956">
        <f t="shared" ca="1" si="305"/>
        <v>-14.725</v>
      </c>
      <c r="C3956" t="str">
        <f ca="1">IF(currency="USD",'Future et co'!D3956,IF(currency="EUR",'Future et co'!E3956,IF(currency="GBP",'Future et co'!F3956,FALSE)))</f>
        <v>RFR USD</v>
      </c>
      <c r="D3956" t="str">
        <f t="shared" ca="1" si="306"/>
        <v>RFR USD</v>
      </c>
      <c r="E3956" t="str">
        <f t="shared" ca="1" si="307"/>
        <v>RFR EUR</v>
      </c>
      <c r="F3956" t="str">
        <f t="shared" ca="1" si="308"/>
        <v>RFR GBP</v>
      </c>
      <c r="J3956" s="1"/>
      <c r="N3956" s="1"/>
      <c r="R3956" s="1"/>
      <c r="V3956" s="1"/>
      <c r="AB3956" s="1"/>
      <c r="AF3956" s="1"/>
      <c r="AJ3956" s="1"/>
      <c r="AN3956" s="1"/>
      <c r="AS3956" s="1"/>
      <c r="AX3956" s="1"/>
    </row>
    <row r="3957" spans="1:50" x14ac:dyDescent="0.3">
      <c r="A3957" s="19">
        <f t="shared" si="309"/>
        <v>51454</v>
      </c>
      <c r="B3957">
        <f t="shared" ca="1" si="305"/>
        <v>-14.727777777777778</v>
      </c>
      <c r="C3957" t="str">
        <f ca="1">IF(currency="USD",'Future et co'!D3957,IF(currency="EUR",'Future et co'!E3957,IF(currency="GBP",'Future et co'!F3957,FALSE)))</f>
        <v>RFR USD</v>
      </c>
      <c r="D3957" t="str">
        <f t="shared" ca="1" si="306"/>
        <v>RFR USD</v>
      </c>
      <c r="E3957" t="str">
        <f t="shared" ca="1" si="307"/>
        <v>RFR EUR</v>
      </c>
      <c r="F3957" t="str">
        <f t="shared" ca="1" si="308"/>
        <v>RFR GBP</v>
      </c>
      <c r="J3957" s="1"/>
      <c r="N3957" s="1"/>
      <c r="R3957" s="1"/>
      <c r="V3957" s="1"/>
      <c r="AB3957" s="1"/>
      <c r="AF3957" s="1"/>
      <c r="AJ3957" s="1"/>
      <c r="AN3957" s="1"/>
      <c r="AS3957" s="1"/>
      <c r="AX3957" s="1"/>
    </row>
    <row r="3958" spans="1:50" x14ac:dyDescent="0.3">
      <c r="A3958" s="19">
        <f t="shared" si="309"/>
        <v>51455</v>
      </c>
      <c r="B3958">
        <f t="shared" ca="1" si="305"/>
        <v>-14.730555555555556</v>
      </c>
      <c r="C3958" t="str">
        <f ca="1">IF(currency="USD",'Future et co'!D3958,IF(currency="EUR",'Future et co'!E3958,IF(currency="GBP",'Future et co'!F3958,FALSE)))</f>
        <v>RFR USD</v>
      </c>
      <c r="D3958" t="str">
        <f t="shared" ca="1" si="306"/>
        <v>RFR USD</v>
      </c>
      <c r="E3958" t="str">
        <f t="shared" ca="1" si="307"/>
        <v>RFR EUR</v>
      </c>
      <c r="F3958" t="str">
        <f t="shared" ca="1" si="308"/>
        <v>RFR GBP</v>
      </c>
      <c r="J3958" s="1"/>
      <c r="N3958" s="1"/>
      <c r="R3958" s="1"/>
      <c r="V3958" s="1"/>
      <c r="AB3958" s="1"/>
      <c r="AF3958" s="1"/>
      <c r="AJ3958" s="1"/>
      <c r="AN3958" s="1"/>
      <c r="AS3958" s="1"/>
      <c r="AX3958" s="1"/>
    </row>
    <row r="3959" spans="1:50" x14ac:dyDescent="0.3">
      <c r="A3959" s="19">
        <f t="shared" si="309"/>
        <v>51456</v>
      </c>
      <c r="B3959">
        <f t="shared" ca="1" si="305"/>
        <v>-14.733333333333333</v>
      </c>
      <c r="C3959" t="str">
        <f ca="1">IF(currency="USD",'Future et co'!D3959,IF(currency="EUR",'Future et co'!E3959,IF(currency="GBP",'Future et co'!F3959,FALSE)))</f>
        <v>RFR USD</v>
      </c>
      <c r="D3959" t="str">
        <f t="shared" ca="1" si="306"/>
        <v>RFR USD</v>
      </c>
      <c r="E3959" t="str">
        <f t="shared" ca="1" si="307"/>
        <v>RFR EUR</v>
      </c>
      <c r="F3959" t="str">
        <f t="shared" ca="1" si="308"/>
        <v>RFR GBP</v>
      </c>
      <c r="J3959" s="1"/>
      <c r="N3959" s="1"/>
      <c r="R3959" s="1"/>
      <c r="V3959" s="1"/>
      <c r="AB3959" s="1"/>
      <c r="AF3959" s="1"/>
      <c r="AJ3959" s="1"/>
      <c r="AN3959" s="1"/>
      <c r="AS3959" s="1"/>
      <c r="AX3959" s="1"/>
    </row>
    <row r="3960" spans="1:50" x14ac:dyDescent="0.3">
      <c r="A3960" s="19">
        <f t="shared" si="309"/>
        <v>51459</v>
      </c>
      <c r="B3960">
        <f t="shared" ca="1" si="305"/>
        <v>-14.741666666666667</v>
      </c>
      <c r="C3960" t="str">
        <f ca="1">IF(currency="USD",'Future et co'!D3960,IF(currency="EUR",'Future et co'!E3960,IF(currency="GBP",'Future et co'!F3960,FALSE)))</f>
        <v>RFR USD</v>
      </c>
      <c r="D3960" t="str">
        <f t="shared" ca="1" si="306"/>
        <v>RFR USD</v>
      </c>
      <c r="E3960" t="str">
        <f t="shared" ca="1" si="307"/>
        <v>RFR EUR</v>
      </c>
      <c r="F3960" t="str">
        <f t="shared" ca="1" si="308"/>
        <v>RFR GBP</v>
      </c>
      <c r="J3960" s="1"/>
      <c r="N3960" s="1"/>
      <c r="R3960" s="1"/>
      <c r="V3960" s="1"/>
      <c r="AB3960" s="1"/>
      <c r="AF3960" s="1"/>
      <c r="AJ3960" s="1"/>
      <c r="AN3960" s="1"/>
      <c r="AS3960" s="1"/>
      <c r="AX3960" s="1"/>
    </row>
    <row r="3961" spans="1:50" x14ac:dyDescent="0.3">
      <c r="A3961" s="19">
        <f t="shared" si="309"/>
        <v>51460</v>
      </c>
      <c r="B3961">
        <f t="shared" ca="1" si="305"/>
        <v>-14.744444444444444</v>
      </c>
      <c r="C3961" t="str">
        <f ca="1">IF(currency="USD",'Future et co'!D3961,IF(currency="EUR",'Future et co'!E3961,IF(currency="GBP",'Future et co'!F3961,FALSE)))</f>
        <v>RFR USD</v>
      </c>
      <c r="D3961" t="str">
        <f t="shared" ca="1" si="306"/>
        <v>RFR USD</v>
      </c>
      <c r="E3961" t="str">
        <f t="shared" ca="1" si="307"/>
        <v>RFR EUR</v>
      </c>
      <c r="F3961" t="str">
        <f t="shared" ca="1" si="308"/>
        <v>RFR GBP</v>
      </c>
      <c r="J3961" s="1"/>
      <c r="N3961" s="1"/>
      <c r="R3961" s="1"/>
      <c r="V3961" s="1"/>
      <c r="AB3961" s="1"/>
      <c r="AF3961" s="1"/>
      <c r="AJ3961" s="1"/>
      <c r="AN3961" s="1"/>
      <c r="AS3961" s="1"/>
      <c r="AX3961" s="1"/>
    </row>
    <row r="3962" spans="1:50" x14ac:dyDescent="0.3">
      <c r="A3962" s="19">
        <f t="shared" si="309"/>
        <v>51461</v>
      </c>
      <c r="B3962">
        <f t="shared" ca="1" si="305"/>
        <v>-14.747222222222222</v>
      </c>
      <c r="C3962" t="str">
        <f ca="1">IF(currency="USD",'Future et co'!D3962,IF(currency="EUR",'Future et co'!E3962,IF(currency="GBP",'Future et co'!F3962,FALSE)))</f>
        <v>RFR USD</v>
      </c>
      <c r="D3962" t="str">
        <f t="shared" ca="1" si="306"/>
        <v>RFR USD</v>
      </c>
      <c r="E3962" t="str">
        <f t="shared" ca="1" si="307"/>
        <v>RFR EUR</v>
      </c>
      <c r="F3962" t="str">
        <f t="shared" ca="1" si="308"/>
        <v>RFR GBP</v>
      </c>
      <c r="J3962" s="1"/>
      <c r="N3962" s="1"/>
      <c r="R3962" s="1"/>
      <c r="V3962" s="1"/>
      <c r="AB3962" s="1"/>
      <c r="AF3962" s="1"/>
      <c r="AJ3962" s="1"/>
      <c r="AN3962" s="1"/>
      <c r="AS3962" s="1"/>
      <c r="AX3962" s="1"/>
    </row>
    <row r="3963" spans="1:50" x14ac:dyDescent="0.3">
      <c r="A3963" s="19">
        <f t="shared" si="309"/>
        <v>51462</v>
      </c>
      <c r="B3963">
        <f t="shared" ca="1" si="305"/>
        <v>-14.75</v>
      </c>
      <c r="C3963" t="str">
        <f ca="1">IF(currency="USD",'Future et co'!D3963,IF(currency="EUR",'Future et co'!E3963,IF(currency="GBP",'Future et co'!F3963,FALSE)))</f>
        <v>RFR USD</v>
      </c>
      <c r="D3963" t="str">
        <f t="shared" ca="1" si="306"/>
        <v>RFR USD</v>
      </c>
      <c r="E3963" t="str">
        <f t="shared" ca="1" si="307"/>
        <v>RFR EUR</v>
      </c>
      <c r="F3963" t="str">
        <f t="shared" ca="1" si="308"/>
        <v>RFR GBP</v>
      </c>
      <c r="J3963" s="1"/>
      <c r="N3963" s="1"/>
      <c r="R3963" s="1"/>
      <c r="V3963" s="1"/>
      <c r="AB3963" s="1"/>
      <c r="AF3963" s="1"/>
      <c r="AJ3963" s="1"/>
      <c r="AN3963" s="1"/>
      <c r="AS3963" s="1"/>
      <c r="AX3963" s="1"/>
    </row>
    <row r="3964" spans="1:50" x14ac:dyDescent="0.3">
      <c r="A3964" s="19">
        <f t="shared" si="309"/>
        <v>51463</v>
      </c>
      <c r="B3964">
        <f t="shared" ca="1" si="305"/>
        <v>-14.752777777777778</v>
      </c>
      <c r="C3964" t="str">
        <f ca="1">IF(currency="USD",'Future et co'!D3964,IF(currency="EUR",'Future et co'!E3964,IF(currency="GBP",'Future et co'!F3964,FALSE)))</f>
        <v>RFR USD</v>
      </c>
      <c r="D3964" t="str">
        <f t="shared" ca="1" si="306"/>
        <v>RFR USD</v>
      </c>
      <c r="E3964" t="str">
        <f t="shared" ca="1" si="307"/>
        <v>RFR EUR</v>
      </c>
      <c r="F3964" t="str">
        <f t="shared" ca="1" si="308"/>
        <v>RFR GBP</v>
      </c>
      <c r="J3964" s="1"/>
      <c r="N3964" s="1"/>
      <c r="R3964" s="1"/>
      <c r="V3964" s="1"/>
      <c r="AB3964" s="1"/>
      <c r="AF3964" s="1"/>
      <c r="AJ3964" s="1"/>
      <c r="AN3964" s="1"/>
      <c r="AS3964" s="1"/>
      <c r="AX3964" s="1"/>
    </row>
    <row r="3965" spans="1:50" x14ac:dyDescent="0.3">
      <c r="A3965" s="19">
        <f t="shared" si="309"/>
        <v>51466</v>
      </c>
      <c r="B3965">
        <f t="shared" ca="1" si="305"/>
        <v>-14.761111111111111</v>
      </c>
      <c r="C3965" t="str">
        <f ca="1">IF(currency="USD",'Future et co'!D3965,IF(currency="EUR",'Future et co'!E3965,IF(currency="GBP",'Future et co'!F3965,FALSE)))</f>
        <v>RFR USD</v>
      </c>
      <c r="D3965" t="str">
        <f t="shared" ca="1" si="306"/>
        <v>RFR USD</v>
      </c>
      <c r="E3965" t="str">
        <f t="shared" ca="1" si="307"/>
        <v>RFR EUR</v>
      </c>
      <c r="F3965" t="str">
        <f t="shared" ca="1" si="308"/>
        <v>RFR GBP</v>
      </c>
      <c r="J3965" s="1"/>
      <c r="N3965" s="1"/>
      <c r="R3965" s="1"/>
      <c r="V3965" s="1"/>
      <c r="AB3965" s="1"/>
      <c r="AF3965" s="1"/>
      <c r="AJ3965" s="1"/>
      <c r="AN3965" s="1"/>
      <c r="AS3965" s="1"/>
      <c r="AX3965" s="1"/>
    </row>
    <row r="3966" spans="1:50" x14ac:dyDescent="0.3">
      <c r="A3966" s="19">
        <f t="shared" si="309"/>
        <v>51467</v>
      </c>
      <c r="B3966">
        <f t="shared" ca="1" si="305"/>
        <v>-14.763888888888889</v>
      </c>
      <c r="C3966" t="str">
        <f ca="1">IF(currency="USD",'Future et co'!D3966,IF(currency="EUR",'Future et co'!E3966,IF(currency="GBP",'Future et co'!F3966,FALSE)))</f>
        <v>RFR USD</v>
      </c>
      <c r="D3966" t="str">
        <f t="shared" ca="1" si="306"/>
        <v>RFR USD</v>
      </c>
      <c r="E3966" t="str">
        <f t="shared" ca="1" si="307"/>
        <v>RFR EUR</v>
      </c>
      <c r="F3966" t="str">
        <f t="shared" ca="1" si="308"/>
        <v>RFR GBP</v>
      </c>
      <c r="J3966" s="1"/>
      <c r="N3966" s="1"/>
      <c r="R3966" s="1"/>
      <c r="V3966" s="1"/>
      <c r="AB3966" s="1"/>
      <c r="AF3966" s="1"/>
      <c r="AJ3966" s="1"/>
      <c r="AN3966" s="1"/>
      <c r="AS3966" s="1"/>
      <c r="AX3966" s="1"/>
    </row>
    <row r="3967" spans="1:50" x14ac:dyDescent="0.3">
      <c r="A3967" s="19">
        <f t="shared" si="309"/>
        <v>51468</v>
      </c>
      <c r="B3967">
        <f t="shared" ca="1" si="305"/>
        <v>-14.766666666666667</v>
      </c>
      <c r="C3967" t="str">
        <f ca="1">IF(currency="USD",'Future et co'!D3967,IF(currency="EUR",'Future et co'!E3967,IF(currency="GBP",'Future et co'!F3967,FALSE)))</f>
        <v>RFR USD</v>
      </c>
      <c r="D3967" t="str">
        <f t="shared" ca="1" si="306"/>
        <v>RFR USD</v>
      </c>
      <c r="E3967" t="str">
        <f t="shared" ca="1" si="307"/>
        <v>RFR EUR</v>
      </c>
      <c r="F3967" t="str">
        <f t="shared" ca="1" si="308"/>
        <v>RFR GBP</v>
      </c>
      <c r="J3967" s="1"/>
      <c r="N3967" s="1"/>
      <c r="R3967" s="1"/>
      <c r="V3967" s="1"/>
      <c r="AB3967" s="1"/>
      <c r="AF3967" s="1"/>
      <c r="AJ3967" s="1"/>
      <c r="AN3967" s="1"/>
      <c r="AS3967" s="1"/>
      <c r="AX3967" s="1"/>
    </row>
    <row r="3968" spans="1:50" x14ac:dyDescent="0.3">
      <c r="A3968" s="19">
        <f t="shared" si="309"/>
        <v>51469</v>
      </c>
      <c r="B3968">
        <f t="shared" ca="1" si="305"/>
        <v>-14.769444444444444</v>
      </c>
      <c r="C3968" t="str">
        <f ca="1">IF(currency="USD",'Future et co'!D3968,IF(currency="EUR",'Future et co'!E3968,IF(currency="GBP",'Future et co'!F3968,FALSE)))</f>
        <v>RFR USD</v>
      </c>
      <c r="D3968" t="str">
        <f t="shared" ca="1" si="306"/>
        <v>RFR USD</v>
      </c>
      <c r="E3968" t="str">
        <f t="shared" ca="1" si="307"/>
        <v>RFR EUR</v>
      </c>
      <c r="F3968" t="str">
        <f t="shared" ca="1" si="308"/>
        <v>RFR GBP</v>
      </c>
      <c r="J3968" s="1"/>
      <c r="N3968" s="1"/>
      <c r="R3968" s="1"/>
      <c r="V3968" s="1"/>
      <c r="AB3968" s="1"/>
      <c r="AF3968" s="1"/>
      <c r="AJ3968" s="1"/>
      <c r="AN3968" s="1"/>
      <c r="AS3968" s="1"/>
      <c r="AX3968" s="1"/>
    </row>
    <row r="3969" spans="1:50" x14ac:dyDescent="0.3">
      <c r="A3969" s="19">
        <f t="shared" si="309"/>
        <v>51470</v>
      </c>
      <c r="B3969">
        <f t="shared" ca="1" si="305"/>
        <v>-14.772222222222222</v>
      </c>
      <c r="C3969" t="str">
        <f ca="1">IF(currency="USD",'Future et co'!D3969,IF(currency="EUR",'Future et co'!E3969,IF(currency="GBP",'Future et co'!F3969,FALSE)))</f>
        <v>RFR USD</v>
      </c>
      <c r="D3969" t="str">
        <f t="shared" ca="1" si="306"/>
        <v>RFR USD</v>
      </c>
      <c r="E3969" t="str">
        <f t="shared" ca="1" si="307"/>
        <v>RFR EUR</v>
      </c>
      <c r="F3969" t="str">
        <f t="shared" ca="1" si="308"/>
        <v>RFR GBP</v>
      </c>
      <c r="J3969" s="1"/>
      <c r="N3969" s="1"/>
      <c r="R3969" s="1"/>
      <c r="V3969" s="1"/>
      <c r="AB3969" s="1"/>
      <c r="AF3969" s="1"/>
      <c r="AJ3969" s="1"/>
      <c r="AN3969" s="1"/>
      <c r="AS3969" s="1"/>
      <c r="AX3969" s="1"/>
    </row>
    <row r="3970" spans="1:50" x14ac:dyDescent="0.3">
      <c r="A3970" s="19">
        <f t="shared" si="309"/>
        <v>51473</v>
      </c>
      <c r="B3970">
        <f t="shared" ca="1" si="305"/>
        <v>-14.780555555555555</v>
      </c>
      <c r="C3970" t="str">
        <f ca="1">IF(currency="USD",'Future et co'!D3970,IF(currency="EUR",'Future et co'!E3970,IF(currency="GBP",'Future et co'!F3970,FALSE)))</f>
        <v>RFR USD</v>
      </c>
      <c r="D3970" t="str">
        <f t="shared" ca="1" si="306"/>
        <v>RFR USD</v>
      </c>
      <c r="E3970" t="str">
        <f t="shared" ca="1" si="307"/>
        <v>RFR EUR</v>
      </c>
      <c r="F3970" t="str">
        <f t="shared" ca="1" si="308"/>
        <v>RFR GBP</v>
      </c>
      <c r="J3970" s="1"/>
      <c r="N3970" s="1"/>
      <c r="R3970" s="1"/>
      <c r="V3970" s="1"/>
      <c r="AB3970" s="1"/>
      <c r="AF3970" s="1"/>
      <c r="AJ3970" s="1"/>
      <c r="AN3970" s="1"/>
      <c r="AS3970" s="1"/>
      <c r="AX3970" s="1"/>
    </row>
    <row r="3971" spans="1:50" x14ac:dyDescent="0.3">
      <c r="A3971" s="19">
        <f t="shared" si="309"/>
        <v>51474</v>
      </c>
      <c r="B3971">
        <f t="shared" ca="1" si="305"/>
        <v>-14.783333333333333</v>
      </c>
      <c r="C3971" t="str">
        <f ca="1">IF(currency="USD",'Future et co'!D3971,IF(currency="EUR",'Future et co'!E3971,IF(currency="GBP",'Future et co'!F3971,FALSE)))</f>
        <v>RFR USD</v>
      </c>
      <c r="D3971" t="str">
        <f t="shared" ca="1" si="306"/>
        <v>RFR USD</v>
      </c>
      <c r="E3971" t="str">
        <f t="shared" ca="1" si="307"/>
        <v>RFR EUR</v>
      </c>
      <c r="F3971" t="str">
        <f t="shared" ca="1" si="308"/>
        <v>RFR GBP</v>
      </c>
      <c r="J3971" s="1"/>
      <c r="N3971" s="1"/>
      <c r="R3971" s="1"/>
      <c r="V3971" s="1"/>
      <c r="AB3971" s="1"/>
      <c r="AF3971" s="1"/>
      <c r="AJ3971" s="1"/>
      <c r="AN3971" s="1"/>
      <c r="AS3971" s="1"/>
      <c r="AX3971" s="1"/>
    </row>
    <row r="3972" spans="1:50" x14ac:dyDescent="0.3">
      <c r="A3972" s="19">
        <f t="shared" si="309"/>
        <v>51475</v>
      </c>
      <c r="B3972">
        <f t="shared" ca="1" si="305"/>
        <v>-14.786111111111111</v>
      </c>
      <c r="C3972" t="str">
        <f ca="1">IF(currency="USD",'Future et co'!D3972,IF(currency="EUR",'Future et co'!E3972,IF(currency="GBP",'Future et co'!F3972,FALSE)))</f>
        <v>RFR USD</v>
      </c>
      <c r="D3972" t="str">
        <f t="shared" ca="1" si="306"/>
        <v>RFR USD</v>
      </c>
      <c r="E3972" t="str">
        <f t="shared" ca="1" si="307"/>
        <v>RFR EUR</v>
      </c>
      <c r="F3972" t="str">
        <f t="shared" ca="1" si="308"/>
        <v>RFR GBP</v>
      </c>
      <c r="J3972" s="1"/>
      <c r="N3972" s="1"/>
      <c r="R3972" s="1"/>
      <c r="V3972" s="1"/>
      <c r="AB3972" s="1"/>
      <c r="AF3972" s="1"/>
      <c r="AJ3972" s="1"/>
      <c r="AN3972" s="1"/>
      <c r="AS3972" s="1"/>
      <c r="AX3972" s="1"/>
    </row>
    <row r="3973" spans="1:50" x14ac:dyDescent="0.3">
      <c r="A3973" s="19">
        <f t="shared" si="309"/>
        <v>51476</v>
      </c>
      <c r="B3973">
        <f t="shared" ca="1" si="305"/>
        <v>-14.78888888888889</v>
      </c>
      <c r="C3973" t="str">
        <f ca="1">IF(currency="USD",'Future et co'!D3973,IF(currency="EUR",'Future et co'!E3973,IF(currency="GBP",'Future et co'!F3973,FALSE)))</f>
        <v>RFR USD</v>
      </c>
      <c r="D3973" t="str">
        <f t="shared" ca="1" si="306"/>
        <v>RFR USD</v>
      </c>
      <c r="E3973" t="str">
        <f t="shared" ca="1" si="307"/>
        <v>RFR EUR</v>
      </c>
      <c r="F3973" t="str">
        <f t="shared" ca="1" si="308"/>
        <v>RFR GBP</v>
      </c>
      <c r="J3973" s="1"/>
      <c r="N3973" s="1"/>
      <c r="R3973" s="1"/>
      <c r="V3973" s="1"/>
      <c r="AB3973" s="1"/>
      <c r="AF3973" s="1"/>
      <c r="AJ3973" s="1"/>
      <c r="AN3973" s="1"/>
      <c r="AS3973" s="1"/>
      <c r="AX3973" s="1"/>
    </row>
    <row r="3974" spans="1:50" x14ac:dyDescent="0.3">
      <c r="A3974" s="19">
        <f t="shared" si="309"/>
        <v>51477</v>
      </c>
      <c r="B3974">
        <f t="shared" ca="1" si="305"/>
        <v>-14.791666666666666</v>
      </c>
      <c r="C3974" t="str">
        <f ca="1">IF(currency="USD",'Future et co'!D3974,IF(currency="EUR",'Future et co'!E3974,IF(currency="GBP",'Future et co'!F3974,FALSE)))</f>
        <v>RFR USD</v>
      </c>
      <c r="D3974" t="str">
        <f t="shared" ca="1" si="306"/>
        <v>RFR USD</v>
      </c>
      <c r="E3974" t="str">
        <f t="shared" ca="1" si="307"/>
        <v>RFR EUR</v>
      </c>
      <c r="F3974" t="str">
        <f t="shared" ca="1" si="308"/>
        <v>RFR GBP</v>
      </c>
      <c r="J3974" s="1"/>
      <c r="N3974" s="1"/>
      <c r="R3974" s="1"/>
      <c r="V3974" s="1"/>
      <c r="AB3974" s="1"/>
      <c r="AF3974" s="1"/>
      <c r="AJ3974" s="1"/>
      <c r="AN3974" s="1"/>
      <c r="AS3974" s="1"/>
      <c r="AX3974" s="1"/>
    </row>
    <row r="3975" spans="1:50" x14ac:dyDescent="0.3">
      <c r="A3975" s="19">
        <f t="shared" si="309"/>
        <v>51480</v>
      </c>
      <c r="B3975">
        <f t="shared" ca="1" si="305"/>
        <v>-14.8</v>
      </c>
      <c r="C3975" t="str">
        <f ca="1">IF(currency="USD",'Future et co'!D3975,IF(currency="EUR",'Future et co'!E3975,IF(currency="GBP",'Future et co'!F3975,FALSE)))</f>
        <v>RFR USD</v>
      </c>
      <c r="D3975" t="str">
        <f t="shared" ca="1" si="306"/>
        <v>RFR USD</v>
      </c>
      <c r="E3975" t="str">
        <f t="shared" ca="1" si="307"/>
        <v>RFR EUR</v>
      </c>
      <c r="F3975" t="str">
        <f t="shared" ca="1" si="308"/>
        <v>RFR GBP</v>
      </c>
      <c r="J3975" s="1"/>
      <c r="N3975" s="1"/>
      <c r="R3975" s="1"/>
      <c r="V3975" s="1"/>
      <c r="AB3975" s="1"/>
      <c r="AF3975" s="1"/>
      <c r="AJ3975" s="1"/>
      <c r="AN3975" s="1"/>
      <c r="AS3975" s="1"/>
      <c r="AX3975" s="1"/>
    </row>
    <row r="3976" spans="1:50" x14ac:dyDescent="0.3">
      <c r="A3976" s="19">
        <f t="shared" si="309"/>
        <v>51481</v>
      </c>
      <c r="B3976">
        <f t="shared" ca="1" si="305"/>
        <v>-14.802777777777777</v>
      </c>
      <c r="C3976" t="str">
        <f ca="1">IF(currency="USD",'Future et co'!D3976,IF(currency="EUR",'Future et co'!E3976,IF(currency="GBP",'Future et co'!F3976,FALSE)))</f>
        <v>RFR USD</v>
      </c>
      <c r="D3976" t="str">
        <f t="shared" ca="1" si="306"/>
        <v>RFR USD</v>
      </c>
      <c r="E3976" t="str">
        <f t="shared" ca="1" si="307"/>
        <v>RFR EUR</v>
      </c>
      <c r="F3976" t="str">
        <f t="shared" ca="1" si="308"/>
        <v>RFR GBP</v>
      </c>
      <c r="J3976" s="1"/>
      <c r="N3976" s="1"/>
      <c r="R3976" s="1"/>
      <c r="V3976" s="1"/>
      <c r="AB3976" s="1"/>
      <c r="AF3976" s="1"/>
      <c r="AJ3976" s="1"/>
      <c r="AN3976" s="1"/>
      <c r="AS3976" s="1"/>
      <c r="AX3976" s="1"/>
    </row>
    <row r="3977" spans="1:50" x14ac:dyDescent="0.3">
      <c r="A3977" s="19">
        <f t="shared" si="309"/>
        <v>51482</v>
      </c>
      <c r="B3977">
        <f t="shared" ca="1" si="305"/>
        <v>-14.805555555555555</v>
      </c>
      <c r="C3977" t="str">
        <f ca="1">IF(currency="USD",'Future et co'!D3977,IF(currency="EUR",'Future et co'!E3977,IF(currency="GBP",'Future et co'!F3977,FALSE)))</f>
        <v>RFR USD</v>
      </c>
      <c r="D3977" t="str">
        <f t="shared" ca="1" si="306"/>
        <v>RFR USD</v>
      </c>
      <c r="E3977" t="str">
        <f t="shared" ca="1" si="307"/>
        <v>RFR EUR</v>
      </c>
      <c r="F3977" t="str">
        <f t="shared" ca="1" si="308"/>
        <v>RFR GBP</v>
      </c>
      <c r="J3977" s="1"/>
      <c r="N3977" s="1"/>
      <c r="R3977" s="1"/>
      <c r="V3977" s="1"/>
      <c r="AB3977" s="1"/>
      <c r="AF3977" s="1"/>
      <c r="AJ3977" s="1"/>
      <c r="AN3977" s="1"/>
      <c r="AS3977" s="1"/>
      <c r="AX3977" s="1"/>
    </row>
    <row r="3978" spans="1:50" x14ac:dyDescent="0.3">
      <c r="A3978" s="19">
        <f t="shared" si="309"/>
        <v>51483</v>
      </c>
      <c r="B3978">
        <f t="shared" ca="1" si="305"/>
        <v>-14.808333333333334</v>
      </c>
      <c r="C3978" t="str">
        <f ca="1">IF(currency="USD",'Future et co'!D3978,IF(currency="EUR",'Future et co'!E3978,IF(currency="GBP",'Future et co'!F3978,FALSE)))</f>
        <v>RFR USD</v>
      </c>
      <c r="D3978" t="str">
        <f t="shared" ca="1" si="306"/>
        <v>RFR USD</v>
      </c>
      <c r="E3978" t="str">
        <f t="shared" ca="1" si="307"/>
        <v>RFR EUR</v>
      </c>
      <c r="F3978" t="str">
        <f t="shared" ca="1" si="308"/>
        <v>RFR GBP</v>
      </c>
      <c r="J3978" s="1"/>
      <c r="N3978" s="1"/>
      <c r="R3978" s="1"/>
      <c r="V3978" s="1"/>
      <c r="AB3978" s="1"/>
      <c r="AF3978" s="1"/>
      <c r="AJ3978" s="1"/>
      <c r="AN3978" s="1"/>
      <c r="AS3978" s="1"/>
      <c r="AX3978" s="1"/>
    </row>
    <row r="3979" spans="1:50" x14ac:dyDescent="0.3">
      <c r="A3979" s="19">
        <f t="shared" si="309"/>
        <v>51484</v>
      </c>
      <c r="B3979">
        <f t="shared" ref="B3979:B4042" ca="1" si="310">($B$7-A3979)/360</f>
        <v>-14.811111111111112</v>
      </c>
      <c r="C3979" t="str">
        <f ca="1">IF(currency="USD",'Future et co'!D3979,IF(currency="EUR",'Future et co'!E3979,IF(currency="GBP",'Future et co'!F3979,FALSE)))</f>
        <v>RFR USD</v>
      </c>
      <c r="D3979" t="str">
        <f t="shared" ref="D3979:D4042" ca="1" si="311">IFERROR(IF(B3979&lt;0.25,VLOOKUP(A3979,$J$11:$L$5325,3,FALSE),IF(AND(B3979&gt;=0.25,B3979&lt;0.5),VLOOKUP(A3979,$N$11:$P$5325,3,FALSE),IF(AND(B3979&gt;=0.5,B3979&lt;1),VLOOKUP(A3979,$R$11:$T$5325,3,FALSE),VLOOKUP(A3979,$V$11:$X$5010,3,FALSE)))),D3978)</f>
        <v>RFR USD</v>
      </c>
      <c r="E3979" t="str">
        <f t="shared" ref="E3979:E4042" ca="1" si="312">IFERROR(IF(B3979&lt;0.25,VLOOKUP(A3979,$AF$11:$AH$5325,3,FALSE),IF(AND(B3979&gt;=0.25,B3979&lt;0.5),VLOOKUP(A3979,$AJ$11:$AL$5325,3,FALSE),VLOOKUP(A3979,$AN$11:$AP$5325,3,FALSE))),E3978)</f>
        <v>RFR EUR</v>
      </c>
      <c r="F3979" t="str">
        <f t="shared" ref="F3979:F4042" ca="1" si="313">IFERROR(VLOOKUP(A3979,$AS$11:$AU$9999,3,FALSE),F3978)</f>
        <v>RFR GBP</v>
      </c>
      <c r="J3979" s="1"/>
      <c r="N3979" s="1"/>
      <c r="R3979" s="1"/>
      <c r="V3979" s="1"/>
      <c r="AB3979" s="1"/>
      <c r="AF3979" s="1"/>
      <c r="AJ3979" s="1"/>
      <c r="AN3979" s="1"/>
      <c r="AS3979" s="1"/>
      <c r="AX3979" s="1"/>
    </row>
    <row r="3980" spans="1:50" x14ac:dyDescent="0.3">
      <c r="A3980" s="19">
        <f t="shared" si="309"/>
        <v>51487</v>
      </c>
      <c r="B3980">
        <f t="shared" ca="1" si="310"/>
        <v>-14.819444444444445</v>
      </c>
      <c r="C3980" t="str">
        <f ca="1">IF(currency="USD",'Future et co'!D3980,IF(currency="EUR",'Future et co'!E3980,IF(currency="GBP",'Future et co'!F3980,FALSE)))</f>
        <v>RFR USD</v>
      </c>
      <c r="D3980" t="str">
        <f t="shared" ca="1" si="311"/>
        <v>RFR USD</v>
      </c>
      <c r="E3980" t="str">
        <f t="shared" ca="1" si="312"/>
        <v>RFR EUR</v>
      </c>
      <c r="F3980" t="str">
        <f t="shared" ca="1" si="313"/>
        <v>RFR GBP</v>
      </c>
      <c r="J3980" s="1"/>
      <c r="N3980" s="1"/>
      <c r="R3980" s="1"/>
      <c r="V3980" s="1"/>
      <c r="AB3980" s="1"/>
      <c r="AF3980" s="1"/>
      <c r="AJ3980" s="1"/>
      <c r="AN3980" s="1"/>
      <c r="AS3980" s="1"/>
      <c r="AX3980" s="1"/>
    </row>
    <row r="3981" spans="1:50" x14ac:dyDescent="0.3">
      <c r="A3981" s="19">
        <f t="shared" ref="A3981:A4044" si="314">WORKDAY(A3980,1)</f>
        <v>51488</v>
      </c>
      <c r="B3981">
        <f t="shared" ca="1" si="310"/>
        <v>-14.822222222222223</v>
      </c>
      <c r="C3981" t="str">
        <f ca="1">IF(currency="USD",'Future et co'!D3981,IF(currency="EUR",'Future et co'!E3981,IF(currency="GBP",'Future et co'!F3981,FALSE)))</f>
        <v>RFR USD</v>
      </c>
      <c r="D3981" t="str">
        <f t="shared" ca="1" si="311"/>
        <v>RFR USD</v>
      </c>
      <c r="E3981" t="str">
        <f t="shared" ca="1" si="312"/>
        <v>RFR EUR</v>
      </c>
      <c r="F3981" t="str">
        <f t="shared" ca="1" si="313"/>
        <v>RFR GBP</v>
      </c>
      <c r="J3981" s="1"/>
      <c r="N3981" s="1"/>
      <c r="R3981" s="1"/>
      <c r="V3981" s="1"/>
      <c r="AB3981" s="1"/>
      <c r="AF3981" s="1"/>
      <c r="AJ3981" s="1"/>
      <c r="AN3981" s="1"/>
      <c r="AS3981" s="1"/>
      <c r="AX3981" s="1"/>
    </row>
    <row r="3982" spans="1:50" x14ac:dyDescent="0.3">
      <c r="A3982" s="19">
        <f t="shared" si="314"/>
        <v>51489</v>
      </c>
      <c r="B3982">
        <f t="shared" ca="1" si="310"/>
        <v>-14.824999999999999</v>
      </c>
      <c r="C3982" t="str">
        <f ca="1">IF(currency="USD",'Future et co'!D3982,IF(currency="EUR",'Future et co'!E3982,IF(currency="GBP",'Future et co'!F3982,FALSE)))</f>
        <v>RFR USD</v>
      </c>
      <c r="D3982" t="str">
        <f t="shared" ca="1" si="311"/>
        <v>RFR USD</v>
      </c>
      <c r="E3982" t="str">
        <f t="shared" ca="1" si="312"/>
        <v>RFR EUR</v>
      </c>
      <c r="F3982" t="str">
        <f t="shared" ca="1" si="313"/>
        <v>RFR GBP</v>
      </c>
      <c r="J3982" s="1"/>
      <c r="N3982" s="1"/>
      <c r="R3982" s="1"/>
      <c r="V3982" s="1"/>
      <c r="AB3982" s="1"/>
      <c r="AF3982" s="1"/>
      <c r="AJ3982" s="1"/>
      <c r="AN3982" s="1"/>
      <c r="AS3982" s="1"/>
      <c r="AX3982" s="1"/>
    </row>
    <row r="3983" spans="1:50" x14ac:dyDescent="0.3">
      <c r="A3983" s="19">
        <f t="shared" si="314"/>
        <v>51490</v>
      </c>
      <c r="B3983">
        <f t="shared" ca="1" si="310"/>
        <v>-14.827777777777778</v>
      </c>
      <c r="C3983" t="str">
        <f ca="1">IF(currency="USD",'Future et co'!D3983,IF(currency="EUR",'Future et co'!E3983,IF(currency="GBP",'Future et co'!F3983,FALSE)))</f>
        <v>RFR USD</v>
      </c>
      <c r="D3983" t="str">
        <f t="shared" ca="1" si="311"/>
        <v>RFR USD</v>
      </c>
      <c r="E3983" t="str">
        <f t="shared" ca="1" si="312"/>
        <v>RFR EUR</v>
      </c>
      <c r="F3983" t="str">
        <f t="shared" ca="1" si="313"/>
        <v>RFR GBP</v>
      </c>
      <c r="J3983" s="1"/>
      <c r="N3983" s="1"/>
      <c r="R3983" s="1"/>
      <c r="V3983" s="1"/>
      <c r="AB3983" s="1"/>
      <c r="AF3983" s="1"/>
      <c r="AJ3983" s="1"/>
      <c r="AN3983" s="1"/>
      <c r="AS3983" s="1"/>
      <c r="AX3983" s="1"/>
    </row>
    <row r="3984" spans="1:50" x14ac:dyDescent="0.3">
      <c r="A3984" s="19">
        <f t="shared" si="314"/>
        <v>51491</v>
      </c>
      <c r="B3984">
        <f t="shared" ca="1" si="310"/>
        <v>-14.830555555555556</v>
      </c>
      <c r="C3984" t="str">
        <f ca="1">IF(currency="USD",'Future et co'!D3984,IF(currency="EUR",'Future et co'!E3984,IF(currency="GBP",'Future et co'!F3984,FALSE)))</f>
        <v>RFR USD</v>
      </c>
      <c r="D3984" t="str">
        <f t="shared" ca="1" si="311"/>
        <v>RFR USD</v>
      </c>
      <c r="E3984" t="str">
        <f t="shared" ca="1" si="312"/>
        <v>RFR EUR</v>
      </c>
      <c r="F3984" t="str">
        <f t="shared" ca="1" si="313"/>
        <v>RFR GBP</v>
      </c>
      <c r="J3984" s="1"/>
      <c r="N3984" s="1"/>
      <c r="R3984" s="1"/>
      <c r="V3984" s="1"/>
      <c r="AB3984" s="1"/>
      <c r="AF3984" s="1"/>
      <c r="AJ3984" s="1"/>
      <c r="AN3984" s="1"/>
      <c r="AS3984" s="1"/>
      <c r="AX3984" s="1"/>
    </row>
    <row r="3985" spans="1:50" x14ac:dyDescent="0.3">
      <c r="A3985" s="19">
        <f t="shared" si="314"/>
        <v>51494</v>
      </c>
      <c r="B3985">
        <f t="shared" ca="1" si="310"/>
        <v>-14.838888888888889</v>
      </c>
      <c r="C3985" t="str">
        <f ca="1">IF(currency="USD",'Future et co'!D3985,IF(currency="EUR",'Future et co'!E3985,IF(currency="GBP",'Future et co'!F3985,FALSE)))</f>
        <v>RFR USD</v>
      </c>
      <c r="D3985" t="str">
        <f t="shared" ca="1" si="311"/>
        <v>RFR USD</v>
      </c>
      <c r="E3985" t="str">
        <f t="shared" ca="1" si="312"/>
        <v>RFR EUR</v>
      </c>
      <c r="F3985" t="str">
        <f t="shared" ca="1" si="313"/>
        <v>RFR GBP</v>
      </c>
      <c r="J3985" s="1"/>
      <c r="N3985" s="1"/>
      <c r="R3985" s="1"/>
      <c r="V3985" s="1"/>
      <c r="AB3985" s="1"/>
      <c r="AF3985" s="1"/>
      <c r="AJ3985" s="1"/>
      <c r="AN3985" s="1"/>
      <c r="AS3985" s="1"/>
      <c r="AX3985" s="1"/>
    </row>
    <row r="3986" spans="1:50" x14ac:dyDescent="0.3">
      <c r="A3986" s="19">
        <f t="shared" si="314"/>
        <v>51495</v>
      </c>
      <c r="B3986">
        <f t="shared" ca="1" si="310"/>
        <v>-14.841666666666667</v>
      </c>
      <c r="C3986" t="str">
        <f ca="1">IF(currency="USD",'Future et co'!D3986,IF(currency="EUR",'Future et co'!E3986,IF(currency="GBP",'Future et co'!F3986,FALSE)))</f>
        <v>RFR USD</v>
      </c>
      <c r="D3986" t="str">
        <f t="shared" ca="1" si="311"/>
        <v>RFR USD</v>
      </c>
      <c r="E3986" t="str">
        <f t="shared" ca="1" si="312"/>
        <v>RFR EUR</v>
      </c>
      <c r="F3986" t="str">
        <f t="shared" ca="1" si="313"/>
        <v>RFR GBP</v>
      </c>
      <c r="J3986" s="1"/>
      <c r="N3986" s="1"/>
      <c r="R3986" s="1"/>
      <c r="V3986" s="1"/>
      <c r="AB3986" s="1"/>
      <c r="AF3986" s="1"/>
      <c r="AJ3986" s="1"/>
      <c r="AN3986" s="1"/>
      <c r="AS3986" s="1"/>
      <c r="AX3986" s="1"/>
    </row>
    <row r="3987" spans="1:50" x14ac:dyDescent="0.3">
      <c r="A3987" s="19">
        <f t="shared" si="314"/>
        <v>51496</v>
      </c>
      <c r="B3987">
        <f t="shared" ca="1" si="310"/>
        <v>-14.844444444444445</v>
      </c>
      <c r="C3987" t="str">
        <f ca="1">IF(currency="USD",'Future et co'!D3987,IF(currency="EUR",'Future et co'!E3987,IF(currency="GBP",'Future et co'!F3987,FALSE)))</f>
        <v>RFR USD</v>
      </c>
      <c r="D3987" t="str">
        <f t="shared" ca="1" si="311"/>
        <v>RFR USD</v>
      </c>
      <c r="E3987" t="str">
        <f t="shared" ca="1" si="312"/>
        <v>RFR EUR</v>
      </c>
      <c r="F3987" t="str">
        <f t="shared" ca="1" si="313"/>
        <v>RFR GBP</v>
      </c>
      <c r="J3987" s="1"/>
      <c r="N3987" s="1"/>
      <c r="R3987" s="1"/>
      <c r="V3987" s="1"/>
      <c r="AB3987" s="1"/>
      <c r="AF3987" s="1"/>
      <c r="AJ3987" s="1"/>
      <c r="AN3987" s="1"/>
      <c r="AS3987" s="1"/>
      <c r="AX3987" s="1"/>
    </row>
    <row r="3988" spans="1:50" x14ac:dyDescent="0.3">
      <c r="A3988" s="19">
        <f t="shared" si="314"/>
        <v>51497</v>
      </c>
      <c r="B3988">
        <f t="shared" ca="1" si="310"/>
        <v>-14.847222222222221</v>
      </c>
      <c r="C3988" t="str">
        <f ca="1">IF(currency="USD",'Future et co'!D3988,IF(currency="EUR",'Future et co'!E3988,IF(currency="GBP",'Future et co'!F3988,FALSE)))</f>
        <v>RFR USD</v>
      </c>
      <c r="D3988" t="str">
        <f t="shared" ca="1" si="311"/>
        <v>RFR USD</v>
      </c>
      <c r="E3988" t="str">
        <f t="shared" ca="1" si="312"/>
        <v>RFR EUR</v>
      </c>
      <c r="F3988" t="str">
        <f t="shared" ca="1" si="313"/>
        <v>RFR GBP</v>
      </c>
      <c r="J3988" s="1"/>
      <c r="N3988" s="1"/>
      <c r="R3988" s="1"/>
      <c r="V3988" s="1"/>
      <c r="AB3988" s="1"/>
      <c r="AF3988" s="1"/>
      <c r="AJ3988" s="1"/>
      <c r="AN3988" s="1"/>
      <c r="AS3988" s="1"/>
      <c r="AX3988" s="1"/>
    </row>
    <row r="3989" spans="1:50" x14ac:dyDescent="0.3">
      <c r="A3989" s="19">
        <f t="shared" si="314"/>
        <v>51498</v>
      </c>
      <c r="B3989">
        <f t="shared" ca="1" si="310"/>
        <v>-14.85</v>
      </c>
      <c r="C3989" t="str">
        <f ca="1">IF(currency="USD",'Future et co'!D3989,IF(currency="EUR",'Future et co'!E3989,IF(currency="GBP",'Future et co'!F3989,FALSE)))</f>
        <v>RFR USD</v>
      </c>
      <c r="D3989" t="str">
        <f t="shared" ca="1" si="311"/>
        <v>RFR USD</v>
      </c>
      <c r="E3989" t="str">
        <f t="shared" ca="1" si="312"/>
        <v>RFR EUR</v>
      </c>
      <c r="F3989" t="str">
        <f t="shared" ca="1" si="313"/>
        <v>RFR GBP</v>
      </c>
      <c r="J3989" s="1"/>
      <c r="N3989" s="1"/>
      <c r="R3989" s="1"/>
      <c r="V3989" s="1"/>
      <c r="AB3989" s="1"/>
      <c r="AF3989" s="1"/>
      <c r="AJ3989" s="1"/>
      <c r="AN3989" s="1"/>
      <c r="AS3989" s="1"/>
      <c r="AX3989" s="1"/>
    </row>
    <row r="3990" spans="1:50" x14ac:dyDescent="0.3">
      <c r="A3990" s="19">
        <f t="shared" si="314"/>
        <v>51501</v>
      </c>
      <c r="B3990">
        <f t="shared" ca="1" si="310"/>
        <v>-14.858333333333333</v>
      </c>
      <c r="C3990" t="str">
        <f ca="1">IF(currency="USD",'Future et co'!D3990,IF(currency="EUR",'Future et co'!E3990,IF(currency="GBP",'Future et co'!F3990,FALSE)))</f>
        <v>RFR USD</v>
      </c>
      <c r="D3990" t="str">
        <f t="shared" ca="1" si="311"/>
        <v>RFR USD</v>
      </c>
      <c r="E3990" t="str">
        <f t="shared" ca="1" si="312"/>
        <v>RFR EUR</v>
      </c>
      <c r="F3990" t="str">
        <f t="shared" ca="1" si="313"/>
        <v>RFR GBP</v>
      </c>
      <c r="J3990" s="1"/>
      <c r="N3990" s="1"/>
      <c r="R3990" s="1"/>
      <c r="V3990" s="1"/>
      <c r="AB3990" s="1"/>
      <c r="AF3990" s="1"/>
      <c r="AJ3990" s="1"/>
      <c r="AN3990" s="1"/>
      <c r="AS3990" s="1"/>
      <c r="AX3990" s="1"/>
    </row>
    <row r="3991" spans="1:50" x14ac:dyDescent="0.3">
      <c r="A3991" s="19">
        <f t="shared" si="314"/>
        <v>51502</v>
      </c>
      <c r="B3991">
        <f t="shared" ca="1" si="310"/>
        <v>-14.861111111111111</v>
      </c>
      <c r="C3991" t="str">
        <f ca="1">IF(currency="USD",'Future et co'!D3991,IF(currency="EUR",'Future et co'!E3991,IF(currency="GBP",'Future et co'!F3991,FALSE)))</f>
        <v>RFR USD</v>
      </c>
      <c r="D3991" t="str">
        <f t="shared" ca="1" si="311"/>
        <v>RFR USD</v>
      </c>
      <c r="E3991" t="str">
        <f t="shared" ca="1" si="312"/>
        <v>RFR EUR</v>
      </c>
      <c r="F3991" t="str">
        <f t="shared" ca="1" si="313"/>
        <v>RFR GBP</v>
      </c>
      <c r="J3991" s="1"/>
      <c r="N3991" s="1"/>
      <c r="R3991" s="1"/>
      <c r="V3991" s="1"/>
      <c r="AB3991" s="1"/>
      <c r="AF3991" s="1"/>
      <c r="AJ3991" s="1"/>
      <c r="AN3991" s="1"/>
      <c r="AS3991" s="1"/>
      <c r="AX3991" s="1"/>
    </row>
    <row r="3992" spans="1:50" x14ac:dyDescent="0.3">
      <c r="A3992" s="19">
        <f t="shared" si="314"/>
        <v>51503</v>
      </c>
      <c r="B3992">
        <f t="shared" ca="1" si="310"/>
        <v>-14.863888888888889</v>
      </c>
      <c r="C3992" t="str">
        <f ca="1">IF(currency="USD",'Future et co'!D3992,IF(currency="EUR",'Future et co'!E3992,IF(currency="GBP",'Future et co'!F3992,FALSE)))</f>
        <v>RFR USD</v>
      </c>
      <c r="D3992" t="str">
        <f t="shared" ca="1" si="311"/>
        <v>RFR USD</v>
      </c>
      <c r="E3992" t="str">
        <f t="shared" ca="1" si="312"/>
        <v>RFR EUR</v>
      </c>
      <c r="F3992" t="str">
        <f t="shared" ca="1" si="313"/>
        <v>RFR GBP</v>
      </c>
      <c r="J3992" s="1"/>
      <c r="N3992" s="1"/>
      <c r="R3992" s="1"/>
      <c r="V3992" s="1"/>
      <c r="AB3992" s="1"/>
      <c r="AF3992" s="1"/>
      <c r="AJ3992" s="1"/>
      <c r="AN3992" s="1"/>
      <c r="AS3992" s="1"/>
      <c r="AX3992" s="1"/>
    </row>
    <row r="3993" spans="1:50" x14ac:dyDescent="0.3">
      <c r="A3993" s="19">
        <f t="shared" si="314"/>
        <v>51504</v>
      </c>
      <c r="B3993">
        <f t="shared" ca="1" si="310"/>
        <v>-14.866666666666667</v>
      </c>
      <c r="C3993" t="str">
        <f ca="1">IF(currency="USD",'Future et co'!D3993,IF(currency="EUR",'Future et co'!E3993,IF(currency="GBP",'Future et co'!F3993,FALSE)))</f>
        <v>RFR USD</v>
      </c>
      <c r="D3993" t="str">
        <f t="shared" ca="1" si="311"/>
        <v>RFR USD</v>
      </c>
      <c r="E3993" t="str">
        <f t="shared" ca="1" si="312"/>
        <v>RFR EUR</v>
      </c>
      <c r="F3993" t="str">
        <f t="shared" ca="1" si="313"/>
        <v>RFR GBP</v>
      </c>
      <c r="J3993" s="1"/>
      <c r="N3993" s="1"/>
      <c r="R3993" s="1"/>
      <c r="V3993" s="1"/>
      <c r="AB3993" s="1"/>
      <c r="AF3993" s="1"/>
      <c r="AJ3993" s="1"/>
      <c r="AN3993" s="1"/>
      <c r="AS3993" s="1"/>
      <c r="AX3993" s="1"/>
    </row>
    <row r="3994" spans="1:50" x14ac:dyDescent="0.3">
      <c r="A3994" s="19">
        <f t="shared" si="314"/>
        <v>51505</v>
      </c>
      <c r="B3994">
        <f t="shared" ca="1" si="310"/>
        <v>-14.869444444444444</v>
      </c>
      <c r="C3994" t="str">
        <f ca="1">IF(currency="USD",'Future et co'!D3994,IF(currency="EUR",'Future et co'!E3994,IF(currency="GBP",'Future et co'!F3994,FALSE)))</f>
        <v>RFR USD</v>
      </c>
      <c r="D3994" t="str">
        <f t="shared" ca="1" si="311"/>
        <v>RFR USD</v>
      </c>
      <c r="E3994" t="str">
        <f t="shared" ca="1" si="312"/>
        <v>RFR EUR</v>
      </c>
      <c r="F3994" t="str">
        <f t="shared" ca="1" si="313"/>
        <v>RFR GBP</v>
      </c>
      <c r="J3994" s="1"/>
      <c r="N3994" s="1"/>
      <c r="R3994" s="1"/>
      <c r="V3994" s="1"/>
      <c r="AB3994" s="1"/>
      <c r="AF3994" s="1"/>
      <c r="AJ3994" s="1"/>
      <c r="AN3994" s="1"/>
      <c r="AS3994" s="1"/>
      <c r="AX3994" s="1"/>
    </row>
    <row r="3995" spans="1:50" x14ac:dyDescent="0.3">
      <c r="A3995" s="19">
        <f t="shared" si="314"/>
        <v>51508</v>
      </c>
      <c r="B3995">
        <f t="shared" ca="1" si="310"/>
        <v>-14.877777777777778</v>
      </c>
      <c r="C3995" t="str">
        <f ca="1">IF(currency="USD",'Future et co'!D3995,IF(currency="EUR",'Future et co'!E3995,IF(currency="GBP",'Future et co'!F3995,FALSE)))</f>
        <v>RFR USD</v>
      </c>
      <c r="D3995" t="str">
        <f t="shared" ca="1" si="311"/>
        <v>RFR USD</v>
      </c>
      <c r="E3995" t="str">
        <f t="shared" ca="1" si="312"/>
        <v>RFR EUR</v>
      </c>
      <c r="F3995" t="str">
        <f t="shared" ca="1" si="313"/>
        <v>RFR GBP</v>
      </c>
      <c r="J3995" s="1"/>
      <c r="N3995" s="1"/>
      <c r="R3995" s="1"/>
      <c r="V3995" s="1"/>
      <c r="AB3995" s="1"/>
      <c r="AF3995" s="1"/>
      <c r="AJ3995" s="1"/>
      <c r="AN3995" s="1"/>
      <c r="AS3995" s="1"/>
      <c r="AX3995" s="1"/>
    </row>
    <row r="3996" spans="1:50" x14ac:dyDescent="0.3">
      <c r="A3996" s="19">
        <f t="shared" si="314"/>
        <v>51509</v>
      </c>
      <c r="B3996">
        <f t="shared" ca="1" si="310"/>
        <v>-14.880555555555556</v>
      </c>
      <c r="C3996" t="str">
        <f ca="1">IF(currency="USD",'Future et co'!D3996,IF(currency="EUR",'Future et co'!E3996,IF(currency="GBP",'Future et co'!F3996,FALSE)))</f>
        <v>RFR USD</v>
      </c>
      <c r="D3996" t="str">
        <f t="shared" ca="1" si="311"/>
        <v>RFR USD</v>
      </c>
      <c r="E3996" t="str">
        <f t="shared" ca="1" si="312"/>
        <v>RFR EUR</v>
      </c>
      <c r="F3996" t="str">
        <f t="shared" ca="1" si="313"/>
        <v>RFR GBP</v>
      </c>
      <c r="J3996" s="1"/>
      <c r="N3996" s="1"/>
      <c r="R3996" s="1"/>
      <c r="V3996" s="1"/>
      <c r="AB3996" s="1"/>
      <c r="AF3996" s="1"/>
      <c r="AJ3996" s="1"/>
      <c r="AN3996" s="1"/>
      <c r="AS3996" s="1"/>
      <c r="AX3996" s="1"/>
    </row>
    <row r="3997" spans="1:50" x14ac:dyDescent="0.3">
      <c r="A3997" s="19">
        <f t="shared" si="314"/>
        <v>51510</v>
      </c>
      <c r="B3997">
        <f t="shared" ca="1" si="310"/>
        <v>-14.883333333333333</v>
      </c>
      <c r="C3997" t="str">
        <f ca="1">IF(currency="USD",'Future et co'!D3997,IF(currency="EUR",'Future et co'!E3997,IF(currency="GBP",'Future et co'!F3997,FALSE)))</f>
        <v>RFR USD</v>
      </c>
      <c r="D3997" t="str">
        <f t="shared" ca="1" si="311"/>
        <v>RFR USD</v>
      </c>
      <c r="E3997" t="str">
        <f t="shared" ca="1" si="312"/>
        <v>RFR EUR</v>
      </c>
      <c r="F3997" t="str">
        <f t="shared" ca="1" si="313"/>
        <v>RFR GBP</v>
      </c>
      <c r="J3997" s="1"/>
      <c r="N3997" s="1"/>
      <c r="R3997" s="1"/>
      <c r="V3997" s="1"/>
      <c r="AB3997" s="1"/>
      <c r="AF3997" s="1"/>
      <c r="AJ3997" s="1"/>
      <c r="AN3997" s="1"/>
      <c r="AS3997" s="1"/>
      <c r="AX3997" s="1"/>
    </row>
    <row r="3998" spans="1:50" x14ac:dyDescent="0.3">
      <c r="A3998" s="19">
        <f t="shared" si="314"/>
        <v>51511</v>
      </c>
      <c r="B3998">
        <f t="shared" ca="1" si="310"/>
        <v>-14.886111111111111</v>
      </c>
      <c r="C3998" t="str">
        <f ca="1">IF(currency="USD",'Future et co'!D3998,IF(currency="EUR",'Future et co'!E3998,IF(currency="GBP",'Future et co'!F3998,FALSE)))</f>
        <v>RFR USD</v>
      </c>
      <c r="D3998" t="str">
        <f t="shared" ca="1" si="311"/>
        <v>RFR USD</v>
      </c>
      <c r="E3998" t="str">
        <f t="shared" ca="1" si="312"/>
        <v>RFR EUR</v>
      </c>
      <c r="F3998" t="str">
        <f t="shared" ca="1" si="313"/>
        <v>RFR GBP</v>
      </c>
      <c r="J3998" s="1"/>
      <c r="N3998" s="1"/>
      <c r="R3998" s="1"/>
      <c r="V3998" s="1"/>
      <c r="AB3998" s="1"/>
      <c r="AF3998" s="1"/>
      <c r="AJ3998" s="1"/>
      <c r="AN3998" s="1"/>
      <c r="AS3998" s="1"/>
      <c r="AX3998" s="1"/>
    </row>
    <row r="3999" spans="1:50" x14ac:dyDescent="0.3">
      <c r="A3999" s="19">
        <f t="shared" si="314"/>
        <v>51512</v>
      </c>
      <c r="B3999">
        <f t="shared" ca="1" si="310"/>
        <v>-14.888888888888889</v>
      </c>
      <c r="C3999" t="str">
        <f ca="1">IF(currency="USD",'Future et co'!D3999,IF(currency="EUR",'Future et co'!E3999,IF(currency="GBP",'Future et co'!F3999,FALSE)))</f>
        <v>RFR USD</v>
      </c>
      <c r="D3999" t="str">
        <f t="shared" ca="1" si="311"/>
        <v>RFR USD</v>
      </c>
      <c r="E3999" t="str">
        <f t="shared" ca="1" si="312"/>
        <v>RFR EUR</v>
      </c>
      <c r="F3999" t="str">
        <f t="shared" ca="1" si="313"/>
        <v>RFR GBP</v>
      </c>
      <c r="J3999" s="1"/>
      <c r="N3999" s="1"/>
      <c r="R3999" s="1"/>
      <c r="V3999" s="1"/>
      <c r="AB3999" s="1"/>
      <c r="AF3999" s="1"/>
      <c r="AJ3999" s="1"/>
      <c r="AN3999" s="1"/>
      <c r="AS3999" s="1"/>
      <c r="AX3999" s="1"/>
    </row>
    <row r="4000" spans="1:50" x14ac:dyDescent="0.3">
      <c r="A4000" s="19">
        <f t="shared" si="314"/>
        <v>51515</v>
      </c>
      <c r="B4000">
        <f t="shared" ca="1" si="310"/>
        <v>-14.897222222222222</v>
      </c>
      <c r="C4000" t="str">
        <f ca="1">IF(currency="USD",'Future et co'!D4000,IF(currency="EUR",'Future et co'!E4000,IF(currency="GBP",'Future et co'!F4000,FALSE)))</f>
        <v>RFR USD</v>
      </c>
      <c r="D4000" t="str">
        <f t="shared" ca="1" si="311"/>
        <v>RFR USD</v>
      </c>
      <c r="E4000" t="str">
        <f t="shared" ca="1" si="312"/>
        <v>RFR EUR</v>
      </c>
      <c r="F4000" t="str">
        <f t="shared" ca="1" si="313"/>
        <v>RFR GBP</v>
      </c>
      <c r="J4000" s="1"/>
      <c r="N4000" s="1"/>
      <c r="R4000" s="1"/>
      <c r="V4000" s="1"/>
      <c r="AB4000" s="1"/>
      <c r="AF4000" s="1"/>
      <c r="AJ4000" s="1"/>
      <c r="AN4000" s="1"/>
      <c r="AS4000" s="1"/>
      <c r="AX4000" s="1"/>
    </row>
    <row r="4001" spans="1:50" x14ac:dyDescent="0.3">
      <c r="A4001" s="19">
        <f t="shared" si="314"/>
        <v>51516</v>
      </c>
      <c r="B4001">
        <f t="shared" ca="1" si="310"/>
        <v>-14.9</v>
      </c>
      <c r="C4001" t="str">
        <f ca="1">IF(currency="USD",'Future et co'!D4001,IF(currency="EUR",'Future et co'!E4001,IF(currency="GBP",'Future et co'!F4001,FALSE)))</f>
        <v>RFR USD</v>
      </c>
      <c r="D4001" t="str">
        <f t="shared" ca="1" si="311"/>
        <v>RFR USD</v>
      </c>
      <c r="E4001" t="str">
        <f t="shared" ca="1" si="312"/>
        <v>RFR EUR</v>
      </c>
      <c r="F4001" t="str">
        <f t="shared" ca="1" si="313"/>
        <v>RFR GBP</v>
      </c>
      <c r="J4001" s="1"/>
      <c r="N4001" s="1"/>
      <c r="R4001" s="1"/>
      <c r="V4001" s="1"/>
      <c r="AB4001" s="1"/>
      <c r="AF4001" s="1"/>
      <c r="AJ4001" s="1"/>
      <c r="AN4001" s="1"/>
      <c r="AS4001" s="1"/>
      <c r="AX4001" s="1"/>
    </row>
    <row r="4002" spans="1:50" x14ac:dyDescent="0.3">
      <c r="A4002" s="19">
        <f t="shared" si="314"/>
        <v>51517</v>
      </c>
      <c r="B4002">
        <f t="shared" ca="1" si="310"/>
        <v>-14.902777777777779</v>
      </c>
      <c r="C4002" t="str">
        <f ca="1">IF(currency="USD",'Future et co'!D4002,IF(currency="EUR",'Future et co'!E4002,IF(currency="GBP",'Future et co'!F4002,FALSE)))</f>
        <v>RFR USD</v>
      </c>
      <c r="D4002" t="str">
        <f t="shared" ca="1" si="311"/>
        <v>RFR USD</v>
      </c>
      <c r="E4002" t="str">
        <f t="shared" ca="1" si="312"/>
        <v>RFR EUR</v>
      </c>
      <c r="F4002" t="str">
        <f t="shared" ca="1" si="313"/>
        <v>RFR GBP</v>
      </c>
      <c r="J4002" s="1"/>
      <c r="N4002" s="1"/>
      <c r="R4002" s="1"/>
      <c r="V4002" s="1"/>
      <c r="AB4002" s="1"/>
      <c r="AF4002" s="1"/>
      <c r="AJ4002" s="1"/>
      <c r="AN4002" s="1"/>
      <c r="AS4002" s="1"/>
      <c r="AX4002" s="1"/>
    </row>
    <row r="4003" spans="1:50" x14ac:dyDescent="0.3">
      <c r="A4003" s="19">
        <f t="shared" si="314"/>
        <v>51518</v>
      </c>
      <c r="B4003">
        <f t="shared" ca="1" si="310"/>
        <v>-14.905555555555555</v>
      </c>
      <c r="C4003" t="str">
        <f ca="1">IF(currency="USD",'Future et co'!D4003,IF(currency="EUR",'Future et co'!E4003,IF(currency="GBP",'Future et co'!F4003,FALSE)))</f>
        <v>RFR USD</v>
      </c>
      <c r="D4003" t="str">
        <f t="shared" ca="1" si="311"/>
        <v>RFR USD</v>
      </c>
      <c r="E4003" t="str">
        <f t="shared" ca="1" si="312"/>
        <v>RFR EUR</v>
      </c>
      <c r="F4003" t="str">
        <f t="shared" ca="1" si="313"/>
        <v>RFR GBP</v>
      </c>
      <c r="J4003" s="1"/>
      <c r="N4003" s="1"/>
      <c r="R4003" s="1"/>
      <c r="V4003" s="1"/>
      <c r="AB4003" s="1"/>
      <c r="AF4003" s="1"/>
      <c r="AJ4003" s="1"/>
      <c r="AN4003" s="1"/>
      <c r="AS4003" s="1"/>
      <c r="AX4003" s="1"/>
    </row>
    <row r="4004" spans="1:50" x14ac:dyDescent="0.3">
      <c r="A4004" s="19">
        <f t="shared" si="314"/>
        <v>51519</v>
      </c>
      <c r="B4004">
        <f t="shared" ca="1" si="310"/>
        <v>-14.908333333333333</v>
      </c>
      <c r="C4004" t="str">
        <f ca="1">IF(currency="USD",'Future et co'!D4004,IF(currency="EUR",'Future et co'!E4004,IF(currency="GBP",'Future et co'!F4004,FALSE)))</f>
        <v>RFR USD</v>
      </c>
      <c r="D4004" t="str">
        <f t="shared" ca="1" si="311"/>
        <v>RFR USD</v>
      </c>
      <c r="E4004" t="str">
        <f t="shared" ca="1" si="312"/>
        <v>RFR EUR</v>
      </c>
      <c r="F4004" t="str">
        <f t="shared" ca="1" si="313"/>
        <v>RFR GBP</v>
      </c>
      <c r="J4004" s="1"/>
      <c r="N4004" s="1"/>
      <c r="R4004" s="1"/>
      <c r="V4004" s="1"/>
      <c r="AB4004" s="1"/>
      <c r="AF4004" s="1"/>
      <c r="AJ4004" s="1"/>
      <c r="AN4004" s="1"/>
      <c r="AS4004" s="1"/>
      <c r="AX4004" s="1"/>
    </row>
    <row r="4005" spans="1:50" x14ac:dyDescent="0.3">
      <c r="A4005" s="19">
        <f t="shared" si="314"/>
        <v>51522</v>
      </c>
      <c r="B4005">
        <f t="shared" ca="1" si="310"/>
        <v>-14.916666666666666</v>
      </c>
      <c r="C4005" t="str">
        <f ca="1">IF(currency="USD",'Future et co'!D4005,IF(currency="EUR",'Future et co'!E4005,IF(currency="GBP",'Future et co'!F4005,FALSE)))</f>
        <v>RFR USD</v>
      </c>
      <c r="D4005" t="str">
        <f t="shared" ca="1" si="311"/>
        <v>RFR USD</v>
      </c>
      <c r="E4005" t="str">
        <f t="shared" ca="1" si="312"/>
        <v>RFR EUR</v>
      </c>
      <c r="F4005" t="str">
        <f t="shared" ca="1" si="313"/>
        <v>RFR GBP</v>
      </c>
      <c r="J4005" s="1"/>
      <c r="N4005" s="1"/>
      <c r="R4005" s="1"/>
      <c r="V4005" s="1"/>
      <c r="AB4005" s="1"/>
      <c r="AF4005" s="1"/>
      <c r="AJ4005" s="1"/>
      <c r="AN4005" s="1"/>
      <c r="AS4005" s="1"/>
      <c r="AX4005" s="1"/>
    </row>
    <row r="4006" spans="1:50" x14ac:dyDescent="0.3">
      <c r="A4006" s="19">
        <f t="shared" si="314"/>
        <v>51523</v>
      </c>
      <c r="B4006">
        <f t="shared" ca="1" si="310"/>
        <v>-14.919444444444444</v>
      </c>
      <c r="C4006" t="str">
        <f ca="1">IF(currency="USD",'Future et co'!D4006,IF(currency="EUR",'Future et co'!E4006,IF(currency="GBP",'Future et co'!F4006,FALSE)))</f>
        <v>RFR USD</v>
      </c>
      <c r="D4006" t="str">
        <f t="shared" ca="1" si="311"/>
        <v>RFR USD</v>
      </c>
      <c r="E4006" t="str">
        <f t="shared" ca="1" si="312"/>
        <v>RFR EUR</v>
      </c>
      <c r="F4006" t="str">
        <f t="shared" ca="1" si="313"/>
        <v>RFR GBP</v>
      </c>
      <c r="J4006" s="1"/>
      <c r="N4006" s="1"/>
      <c r="R4006" s="1"/>
      <c r="V4006" s="1"/>
      <c r="AB4006" s="1"/>
      <c r="AF4006" s="1"/>
      <c r="AJ4006" s="1"/>
      <c r="AN4006" s="1"/>
      <c r="AS4006" s="1"/>
      <c r="AX4006" s="1"/>
    </row>
    <row r="4007" spans="1:50" x14ac:dyDescent="0.3">
      <c r="A4007" s="19">
        <f t="shared" si="314"/>
        <v>51524</v>
      </c>
      <c r="B4007">
        <f t="shared" ca="1" si="310"/>
        <v>-14.922222222222222</v>
      </c>
      <c r="C4007" t="str">
        <f ca="1">IF(currency="USD",'Future et co'!D4007,IF(currency="EUR",'Future et co'!E4007,IF(currency="GBP",'Future et co'!F4007,FALSE)))</f>
        <v>RFR USD</v>
      </c>
      <c r="D4007" t="str">
        <f t="shared" ca="1" si="311"/>
        <v>RFR USD</v>
      </c>
      <c r="E4007" t="str">
        <f t="shared" ca="1" si="312"/>
        <v>RFR EUR</v>
      </c>
      <c r="F4007" t="str">
        <f t="shared" ca="1" si="313"/>
        <v>RFR GBP</v>
      </c>
      <c r="J4007" s="1"/>
      <c r="N4007" s="1"/>
      <c r="R4007" s="1"/>
      <c r="V4007" s="1"/>
      <c r="AB4007" s="1"/>
      <c r="AF4007" s="1"/>
      <c r="AJ4007" s="1"/>
      <c r="AN4007" s="1"/>
      <c r="AS4007" s="1"/>
      <c r="AX4007" s="1"/>
    </row>
    <row r="4008" spans="1:50" x14ac:dyDescent="0.3">
      <c r="A4008" s="19">
        <f t="shared" si="314"/>
        <v>51525</v>
      </c>
      <c r="B4008">
        <f t="shared" ca="1" si="310"/>
        <v>-14.925000000000001</v>
      </c>
      <c r="C4008" t="str">
        <f ca="1">IF(currency="USD",'Future et co'!D4008,IF(currency="EUR",'Future et co'!E4008,IF(currency="GBP",'Future et co'!F4008,FALSE)))</f>
        <v>RFR USD</v>
      </c>
      <c r="D4008" t="str">
        <f t="shared" ca="1" si="311"/>
        <v>RFR USD</v>
      </c>
      <c r="E4008" t="str">
        <f t="shared" ca="1" si="312"/>
        <v>RFR EUR</v>
      </c>
      <c r="F4008" t="str">
        <f t="shared" ca="1" si="313"/>
        <v>RFR GBP</v>
      </c>
      <c r="J4008" s="1"/>
      <c r="N4008" s="1"/>
      <c r="R4008" s="1"/>
      <c r="V4008" s="1"/>
      <c r="AB4008" s="1"/>
      <c r="AF4008" s="1"/>
      <c r="AJ4008" s="1"/>
      <c r="AN4008" s="1"/>
      <c r="AS4008" s="1"/>
      <c r="AX4008" s="1"/>
    </row>
    <row r="4009" spans="1:50" x14ac:dyDescent="0.3">
      <c r="A4009" s="19">
        <f t="shared" si="314"/>
        <v>51526</v>
      </c>
      <c r="B4009">
        <f t="shared" ca="1" si="310"/>
        <v>-14.927777777777777</v>
      </c>
      <c r="C4009" t="str">
        <f ca="1">IF(currency="USD",'Future et co'!D4009,IF(currency="EUR",'Future et co'!E4009,IF(currency="GBP",'Future et co'!F4009,FALSE)))</f>
        <v>RFR USD</v>
      </c>
      <c r="D4009" t="str">
        <f t="shared" ca="1" si="311"/>
        <v>RFR USD</v>
      </c>
      <c r="E4009" t="str">
        <f t="shared" ca="1" si="312"/>
        <v>RFR EUR</v>
      </c>
      <c r="F4009" t="str">
        <f t="shared" ca="1" si="313"/>
        <v>RFR GBP</v>
      </c>
      <c r="J4009" s="1"/>
      <c r="N4009" s="1"/>
      <c r="R4009" s="1"/>
      <c r="V4009" s="1"/>
      <c r="AB4009" s="1"/>
      <c r="AF4009" s="1"/>
      <c r="AJ4009" s="1"/>
      <c r="AN4009" s="1"/>
      <c r="AS4009" s="1"/>
      <c r="AX4009" s="1"/>
    </row>
    <row r="4010" spans="1:50" x14ac:dyDescent="0.3">
      <c r="A4010" s="19">
        <f t="shared" si="314"/>
        <v>51529</v>
      </c>
      <c r="B4010">
        <f t="shared" ca="1" si="310"/>
        <v>-14.936111111111112</v>
      </c>
      <c r="C4010" t="str">
        <f ca="1">IF(currency="USD",'Future et co'!D4010,IF(currency="EUR",'Future et co'!E4010,IF(currency="GBP",'Future et co'!F4010,FALSE)))</f>
        <v>RFR USD</v>
      </c>
      <c r="D4010" t="str">
        <f t="shared" ca="1" si="311"/>
        <v>RFR USD</v>
      </c>
      <c r="E4010" t="str">
        <f t="shared" ca="1" si="312"/>
        <v>RFR EUR</v>
      </c>
      <c r="F4010" t="str">
        <f t="shared" ca="1" si="313"/>
        <v>RFR GBP</v>
      </c>
      <c r="J4010" s="1"/>
      <c r="N4010" s="1"/>
      <c r="R4010" s="1"/>
      <c r="V4010" s="1"/>
      <c r="AB4010" s="1"/>
      <c r="AF4010" s="1"/>
      <c r="AJ4010" s="1"/>
      <c r="AN4010" s="1"/>
      <c r="AS4010" s="1"/>
      <c r="AX4010" s="1"/>
    </row>
    <row r="4011" spans="1:50" x14ac:dyDescent="0.3">
      <c r="A4011" s="19">
        <f t="shared" si="314"/>
        <v>51530</v>
      </c>
      <c r="B4011">
        <f t="shared" ca="1" si="310"/>
        <v>-14.938888888888888</v>
      </c>
      <c r="C4011" t="str">
        <f ca="1">IF(currency="USD",'Future et co'!D4011,IF(currency="EUR",'Future et co'!E4011,IF(currency="GBP",'Future et co'!F4011,FALSE)))</f>
        <v>RFR USD</v>
      </c>
      <c r="D4011" t="str">
        <f t="shared" ca="1" si="311"/>
        <v>RFR USD</v>
      </c>
      <c r="E4011" t="str">
        <f t="shared" ca="1" si="312"/>
        <v>RFR EUR</v>
      </c>
      <c r="F4011" t="str">
        <f t="shared" ca="1" si="313"/>
        <v>RFR GBP</v>
      </c>
      <c r="J4011" s="1"/>
      <c r="N4011" s="1"/>
      <c r="R4011" s="1"/>
      <c r="V4011" s="1"/>
      <c r="AB4011" s="1"/>
      <c r="AF4011" s="1"/>
      <c r="AJ4011" s="1"/>
      <c r="AN4011" s="1"/>
      <c r="AS4011" s="1"/>
      <c r="AX4011" s="1"/>
    </row>
    <row r="4012" spans="1:50" x14ac:dyDescent="0.3">
      <c r="A4012" s="19">
        <f t="shared" si="314"/>
        <v>51531</v>
      </c>
      <c r="B4012">
        <f t="shared" ca="1" si="310"/>
        <v>-14.941666666666666</v>
      </c>
      <c r="C4012" t="str">
        <f ca="1">IF(currency="USD",'Future et co'!D4012,IF(currency="EUR",'Future et co'!E4012,IF(currency="GBP",'Future et co'!F4012,FALSE)))</f>
        <v>RFR USD</v>
      </c>
      <c r="D4012" t="str">
        <f t="shared" ca="1" si="311"/>
        <v>RFR USD</v>
      </c>
      <c r="E4012" t="str">
        <f t="shared" ca="1" si="312"/>
        <v>RFR EUR</v>
      </c>
      <c r="F4012" t="str">
        <f t="shared" ca="1" si="313"/>
        <v>RFR GBP</v>
      </c>
      <c r="J4012" s="1"/>
      <c r="N4012" s="1"/>
      <c r="R4012" s="1"/>
      <c r="V4012" s="1"/>
      <c r="AB4012" s="1"/>
      <c r="AF4012" s="1"/>
      <c r="AJ4012" s="1"/>
      <c r="AN4012" s="1"/>
      <c r="AS4012" s="1"/>
      <c r="AX4012" s="1"/>
    </row>
    <row r="4013" spans="1:50" x14ac:dyDescent="0.3">
      <c r="A4013" s="19">
        <f t="shared" si="314"/>
        <v>51532</v>
      </c>
      <c r="B4013">
        <f t="shared" ca="1" si="310"/>
        <v>-14.944444444444445</v>
      </c>
      <c r="C4013" t="str">
        <f ca="1">IF(currency="USD",'Future et co'!D4013,IF(currency="EUR",'Future et co'!E4013,IF(currency="GBP",'Future et co'!F4013,FALSE)))</f>
        <v>RFR USD</v>
      </c>
      <c r="D4013" t="str">
        <f t="shared" ca="1" si="311"/>
        <v>RFR USD</v>
      </c>
      <c r="E4013" t="str">
        <f t="shared" ca="1" si="312"/>
        <v>RFR EUR</v>
      </c>
      <c r="F4013" t="str">
        <f t="shared" ca="1" si="313"/>
        <v>RFR GBP</v>
      </c>
      <c r="J4013" s="1"/>
      <c r="N4013" s="1"/>
      <c r="R4013" s="1"/>
      <c r="V4013" s="1"/>
      <c r="AB4013" s="1"/>
      <c r="AF4013" s="1"/>
      <c r="AJ4013" s="1"/>
      <c r="AN4013" s="1"/>
      <c r="AS4013" s="1"/>
      <c r="AX4013" s="1"/>
    </row>
    <row r="4014" spans="1:50" x14ac:dyDescent="0.3">
      <c r="A4014" s="19">
        <f t="shared" si="314"/>
        <v>51533</v>
      </c>
      <c r="B4014">
        <f t="shared" ca="1" si="310"/>
        <v>-14.947222222222223</v>
      </c>
      <c r="C4014" t="str">
        <f ca="1">IF(currency="USD",'Future et co'!D4014,IF(currency="EUR",'Future et co'!E4014,IF(currency="GBP",'Future et co'!F4014,FALSE)))</f>
        <v>RFR USD</v>
      </c>
      <c r="D4014" t="str">
        <f t="shared" ca="1" si="311"/>
        <v>RFR USD</v>
      </c>
      <c r="E4014" t="str">
        <f t="shared" ca="1" si="312"/>
        <v>RFR EUR</v>
      </c>
      <c r="F4014" t="str">
        <f t="shared" ca="1" si="313"/>
        <v>RFR GBP</v>
      </c>
      <c r="J4014" s="1"/>
      <c r="N4014" s="1"/>
      <c r="R4014" s="1"/>
      <c r="V4014" s="1"/>
      <c r="AB4014" s="1"/>
      <c r="AF4014" s="1"/>
      <c r="AJ4014" s="1"/>
      <c r="AN4014" s="1"/>
      <c r="AS4014" s="1"/>
      <c r="AX4014" s="1"/>
    </row>
    <row r="4015" spans="1:50" x14ac:dyDescent="0.3">
      <c r="A4015" s="19">
        <f t="shared" si="314"/>
        <v>51536</v>
      </c>
      <c r="B4015">
        <f t="shared" ca="1" si="310"/>
        <v>-14.955555555555556</v>
      </c>
      <c r="C4015" t="str">
        <f ca="1">IF(currency="USD",'Future et co'!D4015,IF(currency="EUR",'Future et co'!E4015,IF(currency="GBP",'Future et co'!F4015,FALSE)))</f>
        <v>RFR USD</v>
      </c>
      <c r="D4015" t="str">
        <f t="shared" ca="1" si="311"/>
        <v>RFR USD</v>
      </c>
      <c r="E4015" t="str">
        <f t="shared" ca="1" si="312"/>
        <v>RFR EUR</v>
      </c>
      <c r="F4015" t="str">
        <f t="shared" ca="1" si="313"/>
        <v>RFR GBP</v>
      </c>
      <c r="J4015" s="1"/>
      <c r="N4015" s="1"/>
      <c r="R4015" s="1"/>
      <c r="V4015" s="1"/>
      <c r="AB4015" s="1"/>
      <c r="AF4015" s="1"/>
      <c r="AJ4015" s="1"/>
      <c r="AN4015" s="1"/>
      <c r="AS4015" s="1"/>
      <c r="AX4015" s="1"/>
    </row>
    <row r="4016" spans="1:50" x14ac:dyDescent="0.3">
      <c r="A4016" s="19">
        <f t="shared" si="314"/>
        <v>51537</v>
      </c>
      <c r="B4016">
        <f t="shared" ca="1" si="310"/>
        <v>-14.958333333333334</v>
      </c>
      <c r="C4016" t="str">
        <f ca="1">IF(currency="USD",'Future et co'!D4016,IF(currency="EUR",'Future et co'!E4016,IF(currency="GBP",'Future et co'!F4016,FALSE)))</f>
        <v>RFR USD</v>
      </c>
      <c r="D4016" t="str">
        <f t="shared" ca="1" si="311"/>
        <v>RFR USD</v>
      </c>
      <c r="E4016" t="str">
        <f t="shared" ca="1" si="312"/>
        <v>RFR EUR</v>
      </c>
      <c r="F4016" t="str">
        <f t="shared" ca="1" si="313"/>
        <v>RFR GBP</v>
      </c>
      <c r="J4016" s="1"/>
      <c r="N4016" s="1"/>
      <c r="R4016" s="1"/>
      <c r="V4016" s="1"/>
      <c r="AB4016" s="1"/>
      <c r="AF4016" s="1"/>
      <c r="AJ4016" s="1"/>
      <c r="AN4016" s="1"/>
      <c r="AS4016" s="1"/>
      <c r="AX4016" s="1"/>
    </row>
    <row r="4017" spans="1:50" x14ac:dyDescent="0.3">
      <c r="A4017" s="19">
        <f t="shared" si="314"/>
        <v>51538</v>
      </c>
      <c r="B4017">
        <f t="shared" ca="1" si="310"/>
        <v>-14.96111111111111</v>
      </c>
      <c r="C4017" t="str">
        <f ca="1">IF(currency="USD",'Future et co'!D4017,IF(currency="EUR",'Future et co'!E4017,IF(currency="GBP",'Future et co'!F4017,FALSE)))</f>
        <v>RFR USD</v>
      </c>
      <c r="D4017" t="str">
        <f t="shared" ca="1" si="311"/>
        <v>RFR USD</v>
      </c>
      <c r="E4017" t="str">
        <f t="shared" ca="1" si="312"/>
        <v>RFR EUR</v>
      </c>
      <c r="F4017" t="str">
        <f t="shared" ca="1" si="313"/>
        <v>RFR GBP</v>
      </c>
      <c r="J4017" s="1"/>
      <c r="N4017" s="1"/>
      <c r="R4017" s="1"/>
      <c r="V4017" s="1"/>
      <c r="AB4017" s="1"/>
      <c r="AF4017" s="1"/>
      <c r="AJ4017" s="1"/>
      <c r="AN4017" s="1"/>
      <c r="AS4017" s="1"/>
      <c r="AX4017" s="1"/>
    </row>
    <row r="4018" spans="1:50" x14ac:dyDescent="0.3">
      <c r="A4018" s="19">
        <f t="shared" si="314"/>
        <v>51539</v>
      </c>
      <c r="B4018">
        <f t="shared" ca="1" si="310"/>
        <v>-14.963888888888889</v>
      </c>
      <c r="C4018" t="str">
        <f ca="1">IF(currency="USD",'Future et co'!D4018,IF(currency="EUR",'Future et co'!E4018,IF(currency="GBP",'Future et co'!F4018,FALSE)))</f>
        <v>RFR USD</v>
      </c>
      <c r="D4018" t="str">
        <f t="shared" ca="1" si="311"/>
        <v>RFR USD</v>
      </c>
      <c r="E4018" t="str">
        <f t="shared" ca="1" si="312"/>
        <v>RFR EUR</v>
      </c>
      <c r="F4018" t="str">
        <f t="shared" ca="1" si="313"/>
        <v>RFR GBP</v>
      </c>
      <c r="J4018" s="1"/>
      <c r="N4018" s="1"/>
      <c r="R4018" s="1"/>
      <c r="V4018" s="1"/>
      <c r="AB4018" s="1"/>
      <c r="AF4018" s="1"/>
      <c r="AJ4018" s="1"/>
      <c r="AN4018" s="1"/>
      <c r="AS4018" s="1"/>
      <c r="AX4018" s="1"/>
    </row>
    <row r="4019" spans="1:50" x14ac:dyDescent="0.3">
      <c r="A4019" s="19">
        <f t="shared" si="314"/>
        <v>51540</v>
      </c>
      <c r="B4019">
        <f t="shared" ca="1" si="310"/>
        <v>-14.966666666666667</v>
      </c>
      <c r="C4019" t="str">
        <f ca="1">IF(currency="USD",'Future et co'!D4019,IF(currency="EUR",'Future et co'!E4019,IF(currency="GBP",'Future et co'!F4019,FALSE)))</f>
        <v>RFR USD</v>
      </c>
      <c r="D4019" t="str">
        <f t="shared" ca="1" si="311"/>
        <v>RFR USD</v>
      </c>
      <c r="E4019" t="str">
        <f t="shared" ca="1" si="312"/>
        <v>RFR EUR</v>
      </c>
      <c r="F4019" t="str">
        <f t="shared" ca="1" si="313"/>
        <v>RFR GBP</v>
      </c>
      <c r="J4019" s="1"/>
      <c r="N4019" s="1"/>
      <c r="R4019" s="1"/>
      <c r="V4019" s="1"/>
      <c r="AB4019" s="1"/>
      <c r="AF4019" s="1"/>
      <c r="AJ4019" s="1"/>
      <c r="AN4019" s="1"/>
      <c r="AS4019" s="1"/>
      <c r="AX4019" s="1"/>
    </row>
    <row r="4020" spans="1:50" x14ac:dyDescent="0.3">
      <c r="A4020" s="19">
        <f t="shared" si="314"/>
        <v>51543</v>
      </c>
      <c r="B4020">
        <f t="shared" ca="1" si="310"/>
        <v>-14.975</v>
      </c>
      <c r="C4020" t="str">
        <f ca="1">IF(currency="USD",'Future et co'!D4020,IF(currency="EUR",'Future et co'!E4020,IF(currency="GBP",'Future et co'!F4020,FALSE)))</f>
        <v>RFR USD</v>
      </c>
      <c r="D4020" t="str">
        <f t="shared" ca="1" si="311"/>
        <v>RFR USD</v>
      </c>
      <c r="E4020" t="str">
        <f t="shared" ca="1" si="312"/>
        <v>RFR EUR</v>
      </c>
      <c r="F4020" t="str">
        <f t="shared" ca="1" si="313"/>
        <v>RFR GBP</v>
      </c>
      <c r="J4020" s="1"/>
      <c r="N4020" s="1"/>
      <c r="R4020" s="1"/>
      <c r="V4020" s="1"/>
      <c r="AB4020" s="1"/>
      <c r="AF4020" s="1"/>
      <c r="AJ4020" s="1"/>
      <c r="AN4020" s="1"/>
      <c r="AS4020" s="1"/>
      <c r="AX4020" s="1"/>
    </row>
    <row r="4021" spans="1:50" x14ac:dyDescent="0.3">
      <c r="A4021" s="19">
        <f t="shared" si="314"/>
        <v>51544</v>
      </c>
      <c r="B4021">
        <f t="shared" ca="1" si="310"/>
        <v>-14.977777777777778</v>
      </c>
      <c r="C4021" t="str">
        <f ca="1">IF(currency="USD",'Future et co'!D4021,IF(currency="EUR",'Future et co'!E4021,IF(currency="GBP",'Future et co'!F4021,FALSE)))</f>
        <v>RFR USD</v>
      </c>
      <c r="D4021" t="str">
        <f t="shared" ca="1" si="311"/>
        <v>RFR USD</v>
      </c>
      <c r="E4021" t="str">
        <f t="shared" ca="1" si="312"/>
        <v>RFR EUR</v>
      </c>
      <c r="F4021" t="str">
        <f t="shared" ca="1" si="313"/>
        <v>RFR GBP</v>
      </c>
      <c r="J4021" s="1"/>
      <c r="N4021" s="1"/>
      <c r="R4021" s="1"/>
      <c r="V4021" s="1"/>
      <c r="AB4021" s="1"/>
      <c r="AF4021" s="1"/>
      <c r="AJ4021" s="1"/>
      <c r="AN4021" s="1"/>
      <c r="AS4021" s="1"/>
      <c r="AX4021" s="1"/>
    </row>
    <row r="4022" spans="1:50" x14ac:dyDescent="0.3">
      <c r="A4022" s="19">
        <f t="shared" si="314"/>
        <v>51545</v>
      </c>
      <c r="B4022">
        <f t="shared" ca="1" si="310"/>
        <v>-14.980555555555556</v>
      </c>
      <c r="C4022" t="str">
        <f ca="1">IF(currency="USD",'Future et co'!D4022,IF(currency="EUR",'Future et co'!E4022,IF(currency="GBP",'Future et co'!F4022,FALSE)))</f>
        <v>RFR USD</v>
      </c>
      <c r="D4022" t="str">
        <f t="shared" ca="1" si="311"/>
        <v>RFR USD</v>
      </c>
      <c r="E4022" t="str">
        <f t="shared" ca="1" si="312"/>
        <v>RFR EUR</v>
      </c>
      <c r="F4022" t="str">
        <f t="shared" ca="1" si="313"/>
        <v>RFR GBP</v>
      </c>
      <c r="J4022" s="1"/>
      <c r="N4022" s="1"/>
      <c r="R4022" s="1"/>
      <c r="V4022" s="1"/>
      <c r="AB4022" s="1"/>
      <c r="AF4022" s="1"/>
      <c r="AJ4022" s="1"/>
      <c r="AN4022" s="1"/>
      <c r="AS4022" s="1"/>
      <c r="AX4022" s="1"/>
    </row>
    <row r="4023" spans="1:50" x14ac:dyDescent="0.3">
      <c r="A4023" s="19">
        <f t="shared" si="314"/>
        <v>51546</v>
      </c>
      <c r="B4023">
        <f t="shared" ca="1" si="310"/>
        <v>-14.983333333333333</v>
      </c>
      <c r="C4023" t="str">
        <f ca="1">IF(currency="USD",'Future et co'!D4023,IF(currency="EUR",'Future et co'!E4023,IF(currency="GBP",'Future et co'!F4023,FALSE)))</f>
        <v>RFR USD</v>
      </c>
      <c r="D4023" t="str">
        <f t="shared" ca="1" si="311"/>
        <v>RFR USD</v>
      </c>
      <c r="E4023" t="str">
        <f t="shared" ca="1" si="312"/>
        <v>RFR EUR</v>
      </c>
      <c r="F4023" t="str">
        <f t="shared" ca="1" si="313"/>
        <v>RFR GBP</v>
      </c>
      <c r="J4023" s="1"/>
      <c r="N4023" s="1"/>
      <c r="R4023" s="1"/>
      <c r="V4023" s="1"/>
      <c r="AB4023" s="1"/>
      <c r="AF4023" s="1"/>
      <c r="AJ4023" s="1"/>
      <c r="AN4023" s="1"/>
      <c r="AS4023" s="1"/>
      <c r="AX4023" s="1"/>
    </row>
    <row r="4024" spans="1:50" x14ac:dyDescent="0.3">
      <c r="A4024" s="19">
        <f t="shared" si="314"/>
        <v>51547</v>
      </c>
      <c r="B4024">
        <f t="shared" ca="1" si="310"/>
        <v>-14.986111111111111</v>
      </c>
      <c r="C4024" t="str">
        <f ca="1">IF(currency="USD",'Future et co'!D4024,IF(currency="EUR",'Future et co'!E4024,IF(currency="GBP",'Future et co'!F4024,FALSE)))</f>
        <v>RFR USD</v>
      </c>
      <c r="D4024" t="str">
        <f t="shared" ca="1" si="311"/>
        <v>RFR USD</v>
      </c>
      <c r="E4024" t="str">
        <f t="shared" ca="1" si="312"/>
        <v>RFR EUR</v>
      </c>
      <c r="F4024" t="str">
        <f t="shared" ca="1" si="313"/>
        <v>RFR GBP</v>
      </c>
      <c r="J4024" s="1"/>
      <c r="N4024" s="1"/>
      <c r="R4024" s="1"/>
      <c r="V4024" s="1"/>
      <c r="AB4024" s="1"/>
      <c r="AF4024" s="1"/>
      <c r="AJ4024" s="1"/>
      <c r="AN4024" s="1"/>
      <c r="AS4024" s="1"/>
      <c r="AX4024" s="1"/>
    </row>
    <row r="4025" spans="1:50" x14ac:dyDescent="0.3">
      <c r="A4025" s="19">
        <f t="shared" si="314"/>
        <v>51550</v>
      </c>
      <c r="B4025">
        <f t="shared" ca="1" si="310"/>
        <v>-14.994444444444444</v>
      </c>
      <c r="C4025" t="str">
        <f ca="1">IF(currency="USD",'Future et co'!D4025,IF(currency="EUR",'Future et co'!E4025,IF(currency="GBP",'Future et co'!F4025,FALSE)))</f>
        <v>RFR USD</v>
      </c>
      <c r="D4025" t="str">
        <f t="shared" ca="1" si="311"/>
        <v>RFR USD</v>
      </c>
      <c r="E4025" t="str">
        <f t="shared" ca="1" si="312"/>
        <v>RFR EUR</v>
      </c>
      <c r="F4025" t="str">
        <f t="shared" ca="1" si="313"/>
        <v>RFR GBP</v>
      </c>
      <c r="J4025" s="1"/>
      <c r="N4025" s="1"/>
      <c r="R4025" s="1"/>
      <c r="V4025" s="1"/>
      <c r="AB4025" s="1"/>
      <c r="AF4025" s="1"/>
      <c r="AJ4025" s="1"/>
      <c r="AN4025" s="1"/>
      <c r="AS4025" s="1"/>
      <c r="AX4025" s="1"/>
    </row>
    <row r="4026" spans="1:50" x14ac:dyDescent="0.3">
      <c r="A4026" s="19">
        <f t="shared" si="314"/>
        <v>51551</v>
      </c>
      <c r="B4026">
        <f t="shared" ca="1" si="310"/>
        <v>-14.997222222222222</v>
      </c>
      <c r="C4026" t="str">
        <f ca="1">IF(currency="USD",'Future et co'!D4026,IF(currency="EUR",'Future et co'!E4026,IF(currency="GBP",'Future et co'!F4026,FALSE)))</f>
        <v>RFR USD</v>
      </c>
      <c r="D4026" t="str">
        <f t="shared" ca="1" si="311"/>
        <v>RFR USD</v>
      </c>
      <c r="E4026" t="str">
        <f t="shared" ca="1" si="312"/>
        <v>RFR EUR</v>
      </c>
      <c r="F4026" t="str">
        <f t="shared" ca="1" si="313"/>
        <v>RFR GBP</v>
      </c>
      <c r="J4026" s="1"/>
      <c r="N4026" s="1"/>
      <c r="R4026" s="1"/>
      <c r="V4026" s="1"/>
      <c r="AB4026" s="1"/>
      <c r="AF4026" s="1"/>
      <c r="AJ4026" s="1"/>
      <c r="AN4026" s="1"/>
      <c r="AS4026" s="1"/>
      <c r="AX4026" s="1"/>
    </row>
    <row r="4027" spans="1:50" x14ac:dyDescent="0.3">
      <c r="A4027" s="19">
        <f t="shared" si="314"/>
        <v>51552</v>
      </c>
      <c r="B4027">
        <f t="shared" ca="1" si="310"/>
        <v>-15</v>
      </c>
      <c r="C4027" t="str">
        <f ca="1">IF(currency="USD",'Future et co'!D4027,IF(currency="EUR",'Future et co'!E4027,IF(currency="GBP",'Future et co'!F4027,FALSE)))</f>
        <v>RFR USD</v>
      </c>
      <c r="D4027" t="str">
        <f t="shared" ca="1" si="311"/>
        <v>RFR USD</v>
      </c>
      <c r="E4027" t="str">
        <f t="shared" ca="1" si="312"/>
        <v>RFR EUR</v>
      </c>
      <c r="F4027" t="str">
        <f t="shared" ca="1" si="313"/>
        <v>RFR GBP</v>
      </c>
      <c r="J4027" s="1"/>
      <c r="N4027" s="1"/>
      <c r="R4027" s="1"/>
      <c r="V4027" s="1"/>
      <c r="AB4027" s="1"/>
      <c r="AF4027" s="1"/>
      <c r="AJ4027" s="1"/>
      <c r="AN4027" s="1"/>
      <c r="AS4027" s="1"/>
      <c r="AX4027" s="1"/>
    </row>
    <row r="4028" spans="1:50" x14ac:dyDescent="0.3">
      <c r="A4028" s="19">
        <f t="shared" si="314"/>
        <v>51553</v>
      </c>
      <c r="B4028">
        <f t="shared" ca="1" si="310"/>
        <v>-15.002777777777778</v>
      </c>
      <c r="C4028" t="str">
        <f ca="1">IF(currency="USD",'Future et co'!D4028,IF(currency="EUR",'Future et co'!E4028,IF(currency="GBP",'Future et co'!F4028,FALSE)))</f>
        <v>RFR USD</v>
      </c>
      <c r="D4028" t="str">
        <f t="shared" ca="1" si="311"/>
        <v>RFR USD</v>
      </c>
      <c r="E4028" t="str">
        <f t="shared" ca="1" si="312"/>
        <v>RFR EUR</v>
      </c>
      <c r="F4028" t="str">
        <f t="shared" ca="1" si="313"/>
        <v>RFR GBP</v>
      </c>
      <c r="J4028" s="1"/>
      <c r="N4028" s="1"/>
      <c r="R4028" s="1"/>
      <c r="V4028" s="1"/>
      <c r="AB4028" s="1"/>
      <c r="AF4028" s="1"/>
      <c r="AJ4028" s="1"/>
      <c r="AN4028" s="1"/>
      <c r="AS4028" s="1"/>
      <c r="AX4028" s="1"/>
    </row>
    <row r="4029" spans="1:50" x14ac:dyDescent="0.3">
      <c r="A4029" s="19">
        <f t="shared" si="314"/>
        <v>51554</v>
      </c>
      <c r="B4029">
        <f t="shared" ca="1" si="310"/>
        <v>-15.005555555555556</v>
      </c>
      <c r="C4029" t="str">
        <f ca="1">IF(currency="USD",'Future et co'!D4029,IF(currency="EUR",'Future et co'!E4029,IF(currency="GBP",'Future et co'!F4029,FALSE)))</f>
        <v>RFR USD</v>
      </c>
      <c r="D4029" t="str">
        <f t="shared" ca="1" si="311"/>
        <v>RFR USD</v>
      </c>
      <c r="E4029" t="str">
        <f t="shared" ca="1" si="312"/>
        <v>RFR EUR</v>
      </c>
      <c r="F4029" t="str">
        <f t="shared" ca="1" si="313"/>
        <v>RFR GBP</v>
      </c>
      <c r="J4029" s="1"/>
      <c r="N4029" s="1"/>
      <c r="R4029" s="1"/>
      <c r="V4029" s="1"/>
      <c r="AB4029" s="1"/>
      <c r="AF4029" s="1"/>
      <c r="AJ4029" s="1"/>
      <c r="AN4029" s="1"/>
      <c r="AS4029" s="1"/>
      <c r="AX4029" s="1"/>
    </row>
    <row r="4030" spans="1:50" x14ac:dyDescent="0.3">
      <c r="A4030" s="19">
        <f t="shared" si="314"/>
        <v>51557</v>
      </c>
      <c r="B4030">
        <f t="shared" ca="1" si="310"/>
        <v>-15.013888888888889</v>
      </c>
      <c r="C4030" t="str">
        <f ca="1">IF(currency="USD",'Future et co'!D4030,IF(currency="EUR",'Future et co'!E4030,IF(currency="GBP",'Future et co'!F4030,FALSE)))</f>
        <v>RFR USD</v>
      </c>
      <c r="D4030" t="str">
        <f t="shared" ca="1" si="311"/>
        <v>RFR USD</v>
      </c>
      <c r="E4030" t="str">
        <f t="shared" ca="1" si="312"/>
        <v>RFR EUR</v>
      </c>
      <c r="F4030" t="str">
        <f t="shared" ca="1" si="313"/>
        <v>RFR GBP</v>
      </c>
      <c r="J4030" s="1"/>
      <c r="N4030" s="1"/>
      <c r="R4030" s="1"/>
      <c r="V4030" s="1"/>
      <c r="AB4030" s="1"/>
      <c r="AF4030" s="1"/>
      <c r="AJ4030" s="1"/>
      <c r="AN4030" s="1"/>
      <c r="AS4030" s="1"/>
      <c r="AX4030" s="1"/>
    </row>
    <row r="4031" spans="1:50" x14ac:dyDescent="0.3">
      <c r="A4031" s="19">
        <f t="shared" si="314"/>
        <v>51558</v>
      </c>
      <c r="B4031">
        <f t="shared" ca="1" si="310"/>
        <v>-15.016666666666667</v>
      </c>
      <c r="C4031" t="str">
        <f ca="1">IF(currency="USD",'Future et co'!D4031,IF(currency="EUR",'Future et co'!E4031,IF(currency="GBP",'Future et co'!F4031,FALSE)))</f>
        <v>RFR USD</v>
      </c>
      <c r="D4031" t="str">
        <f t="shared" ca="1" si="311"/>
        <v>RFR USD</v>
      </c>
      <c r="E4031" t="str">
        <f t="shared" ca="1" si="312"/>
        <v>RFR EUR</v>
      </c>
      <c r="F4031" t="str">
        <f t="shared" ca="1" si="313"/>
        <v>RFR GBP</v>
      </c>
      <c r="J4031" s="1"/>
      <c r="N4031" s="1"/>
      <c r="R4031" s="1"/>
      <c r="V4031" s="1"/>
      <c r="AB4031" s="1"/>
      <c r="AF4031" s="1"/>
      <c r="AJ4031" s="1"/>
      <c r="AN4031" s="1"/>
      <c r="AS4031" s="1"/>
      <c r="AX4031" s="1"/>
    </row>
    <row r="4032" spans="1:50" x14ac:dyDescent="0.3">
      <c r="A4032" s="19">
        <f t="shared" si="314"/>
        <v>51559</v>
      </c>
      <c r="B4032">
        <f t="shared" ca="1" si="310"/>
        <v>-15.019444444444444</v>
      </c>
      <c r="C4032" t="str">
        <f ca="1">IF(currency="USD",'Future et co'!D4032,IF(currency="EUR",'Future et co'!E4032,IF(currency="GBP",'Future et co'!F4032,FALSE)))</f>
        <v>RFR USD</v>
      </c>
      <c r="D4032" t="str">
        <f t="shared" ca="1" si="311"/>
        <v>RFR USD</v>
      </c>
      <c r="E4032" t="str">
        <f t="shared" ca="1" si="312"/>
        <v>RFR EUR</v>
      </c>
      <c r="F4032" t="str">
        <f t="shared" ca="1" si="313"/>
        <v>RFR GBP</v>
      </c>
      <c r="J4032" s="1"/>
      <c r="N4032" s="1"/>
      <c r="R4032" s="1"/>
      <c r="V4032" s="1"/>
      <c r="AB4032" s="1"/>
      <c r="AF4032" s="1"/>
      <c r="AJ4032" s="1"/>
      <c r="AN4032" s="1"/>
      <c r="AS4032" s="1"/>
      <c r="AX4032" s="1"/>
    </row>
    <row r="4033" spans="1:50" x14ac:dyDescent="0.3">
      <c r="A4033" s="19">
        <f t="shared" si="314"/>
        <v>51560</v>
      </c>
      <c r="B4033">
        <f t="shared" ca="1" si="310"/>
        <v>-15.022222222222222</v>
      </c>
      <c r="C4033" t="str">
        <f ca="1">IF(currency="USD",'Future et co'!D4033,IF(currency="EUR",'Future et co'!E4033,IF(currency="GBP",'Future et co'!F4033,FALSE)))</f>
        <v>RFR USD</v>
      </c>
      <c r="D4033" t="str">
        <f t="shared" ca="1" si="311"/>
        <v>RFR USD</v>
      </c>
      <c r="E4033" t="str">
        <f t="shared" ca="1" si="312"/>
        <v>RFR EUR</v>
      </c>
      <c r="F4033" t="str">
        <f t="shared" ca="1" si="313"/>
        <v>RFR GBP</v>
      </c>
      <c r="J4033" s="1"/>
      <c r="N4033" s="1"/>
      <c r="R4033" s="1"/>
      <c r="V4033" s="1"/>
      <c r="AB4033" s="1"/>
      <c r="AF4033" s="1"/>
      <c r="AJ4033" s="1"/>
      <c r="AN4033" s="1"/>
      <c r="AS4033" s="1"/>
      <c r="AX4033" s="1"/>
    </row>
    <row r="4034" spans="1:50" x14ac:dyDescent="0.3">
      <c r="A4034" s="19">
        <f t="shared" si="314"/>
        <v>51561</v>
      </c>
      <c r="B4034">
        <f t="shared" ca="1" si="310"/>
        <v>-15.025</v>
      </c>
      <c r="C4034" t="str">
        <f ca="1">IF(currency="USD",'Future et co'!D4034,IF(currency="EUR",'Future et co'!E4034,IF(currency="GBP",'Future et co'!F4034,FALSE)))</f>
        <v>RFR USD</v>
      </c>
      <c r="D4034" t="str">
        <f t="shared" ca="1" si="311"/>
        <v>RFR USD</v>
      </c>
      <c r="E4034" t="str">
        <f t="shared" ca="1" si="312"/>
        <v>RFR EUR</v>
      </c>
      <c r="F4034" t="str">
        <f t="shared" ca="1" si="313"/>
        <v>RFR GBP</v>
      </c>
      <c r="J4034" s="1"/>
      <c r="N4034" s="1"/>
      <c r="R4034" s="1"/>
      <c r="V4034" s="1"/>
      <c r="AB4034" s="1"/>
      <c r="AF4034" s="1"/>
      <c r="AJ4034" s="1"/>
      <c r="AN4034" s="1"/>
      <c r="AS4034" s="1"/>
      <c r="AX4034" s="1"/>
    </row>
    <row r="4035" spans="1:50" x14ac:dyDescent="0.3">
      <c r="A4035" s="19">
        <f t="shared" si="314"/>
        <v>51564</v>
      </c>
      <c r="B4035">
        <f t="shared" ca="1" si="310"/>
        <v>-15.033333333333333</v>
      </c>
      <c r="C4035" t="str">
        <f ca="1">IF(currency="USD",'Future et co'!D4035,IF(currency="EUR",'Future et co'!E4035,IF(currency="GBP",'Future et co'!F4035,FALSE)))</f>
        <v>RFR USD</v>
      </c>
      <c r="D4035" t="str">
        <f t="shared" ca="1" si="311"/>
        <v>RFR USD</v>
      </c>
      <c r="E4035" t="str">
        <f t="shared" ca="1" si="312"/>
        <v>RFR EUR</v>
      </c>
      <c r="F4035" t="str">
        <f t="shared" ca="1" si="313"/>
        <v>RFR GBP</v>
      </c>
      <c r="J4035" s="1"/>
      <c r="N4035" s="1"/>
      <c r="R4035" s="1"/>
      <c r="V4035" s="1"/>
      <c r="AB4035" s="1"/>
      <c r="AF4035" s="1"/>
      <c r="AJ4035" s="1"/>
      <c r="AN4035" s="1"/>
      <c r="AS4035" s="1"/>
      <c r="AX4035" s="1"/>
    </row>
    <row r="4036" spans="1:50" x14ac:dyDescent="0.3">
      <c r="A4036" s="19">
        <f t="shared" si="314"/>
        <v>51565</v>
      </c>
      <c r="B4036">
        <f t="shared" ca="1" si="310"/>
        <v>-15.036111111111111</v>
      </c>
      <c r="C4036" t="str">
        <f ca="1">IF(currency="USD",'Future et co'!D4036,IF(currency="EUR",'Future et co'!E4036,IF(currency="GBP",'Future et co'!F4036,FALSE)))</f>
        <v>RFR USD</v>
      </c>
      <c r="D4036" t="str">
        <f t="shared" ca="1" si="311"/>
        <v>RFR USD</v>
      </c>
      <c r="E4036" t="str">
        <f t="shared" ca="1" si="312"/>
        <v>RFR EUR</v>
      </c>
      <c r="F4036" t="str">
        <f t="shared" ca="1" si="313"/>
        <v>RFR GBP</v>
      </c>
      <c r="J4036" s="1"/>
      <c r="N4036" s="1"/>
      <c r="R4036" s="1"/>
      <c r="V4036" s="1"/>
      <c r="AB4036" s="1"/>
      <c r="AF4036" s="1"/>
      <c r="AJ4036" s="1"/>
      <c r="AN4036" s="1"/>
      <c r="AS4036" s="1"/>
      <c r="AX4036" s="1"/>
    </row>
    <row r="4037" spans="1:50" x14ac:dyDescent="0.3">
      <c r="A4037" s="19">
        <f t="shared" si="314"/>
        <v>51566</v>
      </c>
      <c r="B4037">
        <f t="shared" ca="1" si="310"/>
        <v>-15.03888888888889</v>
      </c>
      <c r="C4037" t="str">
        <f ca="1">IF(currency="USD",'Future et co'!D4037,IF(currency="EUR",'Future et co'!E4037,IF(currency="GBP",'Future et co'!F4037,FALSE)))</f>
        <v>RFR USD</v>
      </c>
      <c r="D4037" t="str">
        <f t="shared" ca="1" si="311"/>
        <v>RFR USD</v>
      </c>
      <c r="E4037" t="str">
        <f t="shared" ca="1" si="312"/>
        <v>RFR EUR</v>
      </c>
      <c r="F4037" t="str">
        <f t="shared" ca="1" si="313"/>
        <v>RFR GBP</v>
      </c>
      <c r="J4037" s="1"/>
      <c r="N4037" s="1"/>
      <c r="R4037" s="1"/>
      <c r="V4037" s="1"/>
      <c r="AB4037" s="1"/>
      <c r="AF4037" s="1"/>
      <c r="AJ4037" s="1"/>
      <c r="AN4037" s="1"/>
      <c r="AS4037" s="1"/>
      <c r="AX4037" s="1"/>
    </row>
    <row r="4038" spans="1:50" x14ac:dyDescent="0.3">
      <c r="A4038" s="19">
        <f t="shared" si="314"/>
        <v>51567</v>
      </c>
      <c r="B4038">
        <f t="shared" ca="1" si="310"/>
        <v>-15.041666666666666</v>
      </c>
      <c r="C4038" t="str">
        <f ca="1">IF(currency="USD",'Future et co'!D4038,IF(currency="EUR",'Future et co'!E4038,IF(currency="GBP",'Future et co'!F4038,FALSE)))</f>
        <v>RFR USD</v>
      </c>
      <c r="D4038" t="str">
        <f t="shared" ca="1" si="311"/>
        <v>RFR USD</v>
      </c>
      <c r="E4038" t="str">
        <f t="shared" ca="1" si="312"/>
        <v>RFR EUR</v>
      </c>
      <c r="F4038" t="str">
        <f t="shared" ca="1" si="313"/>
        <v>RFR GBP</v>
      </c>
      <c r="J4038" s="1"/>
      <c r="N4038" s="1"/>
      <c r="R4038" s="1"/>
      <c r="V4038" s="1"/>
      <c r="AB4038" s="1"/>
      <c r="AF4038" s="1"/>
      <c r="AJ4038" s="1"/>
      <c r="AN4038" s="1"/>
      <c r="AS4038" s="1"/>
      <c r="AX4038" s="1"/>
    </row>
    <row r="4039" spans="1:50" x14ac:dyDescent="0.3">
      <c r="A4039" s="19">
        <f t="shared" si="314"/>
        <v>51568</v>
      </c>
      <c r="B4039">
        <f t="shared" ca="1" si="310"/>
        <v>-15.044444444444444</v>
      </c>
      <c r="C4039" t="str">
        <f ca="1">IF(currency="USD",'Future et co'!D4039,IF(currency="EUR",'Future et co'!E4039,IF(currency="GBP",'Future et co'!F4039,FALSE)))</f>
        <v>RFR USD</v>
      </c>
      <c r="D4039" t="str">
        <f t="shared" ca="1" si="311"/>
        <v>RFR USD</v>
      </c>
      <c r="E4039" t="str">
        <f t="shared" ca="1" si="312"/>
        <v>RFR EUR</v>
      </c>
      <c r="F4039" t="str">
        <f t="shared" ca="1" si="313"/>
        <v>RFR GBP</v>
      </c>
      <c r="J4039" s="1"/>
      <c r="N4039" s="1"/>
      <c r="R4039" s="1"/>
      <c r="V4039" s="1"/>
      <c r="AB4039" s="1"/>
      <c r="AF4039" s="1"/>
      <c r="AJ4039" s="1"/>
      <c r="AN4039" s="1"/>
      <c r="AS4039" s="1"/>
      <c r="AX4039" s="1"/>
    </row>
    <row r="4040" spans="1:50" x14ac:dyDescent="0.3">
      <c r="A4040" s="19">
        <f t="shared" si="314"/>
        <v>51571</v>
      </c>
      <c r="B4040">
        <f t="shared" ca="1" si="310"/>
        <v>-15.052777777777777</v>
      </c>
      <c r="C4040" t="str">
        <f ca="1">IF(currency="USD",'Future et co'!D4040,IF(currency="EUR",'Future et co'!E4040,IF(currency="GBP",'Future et co'!F4040,FALSE)))</f>
        <v>RFR USD</v>
      </c>
      <c r="D4040" t="str">
        <f t="shared" ca="1" si="311"/>
        <v>RFR USD</v>
      </c>
      <c r="E4040" t="str">
        <f t="shared" ca="1" si="312"/>
        <v>RFR EUR</v>
      </c>
      <c r="F4040" t="str">
        <f t="shared" ca="1" si="313"/>
        <v>RFR GBP</v>
      </c>
      <c r="J4040" s="1"/>
      <c r="N4040" s="1"/>
      <c r="R4040" s="1"/>
      <c r="V4040" s="1"/>
      <c r="AB4040" s="1"/>
      <c r="AF4040" s="1"/>
      <c r="AJ4040" s="1"/>
      <c r="AN4040" s="1"/>
      <c r="AS4040" s="1"/>
      <c r="AX4040" s="1"/>
    </row>
    <row r="4041" spans="1:50" x14ac:dyDescent="0.3">
      <c r="A4041" s="19">
        <f t="shared" si="314"/>
        <v>51572</v>
      </c>
      <c r="B4041">
        <f t="shared" ca="1" si="310"/>
        <v>-15.055555555555555</v>
      </c>
      <c r="C4041" t="str">
        <f ca="1">IF(currency="USD",'Future et co'!D4041,IF(currency="EUR",'Future et co'!E4041,IF(currency="GBP",'Future et co'!F4041,FALSE)))</f>
        <v>RFR USD</v>
      </c>
      <c r="D4041" t="str">
        <f t="shared" ca="1" si="311"/>
        <v>RFR USD</v>
      </c>
      <c r="E4041" t="str">
        <f t="shared" ca="1" si="312"/>
        <v>RFR EUR</v>
      </c>
      <c r="F4041" t="str">
        <f t="shared" ca="1" si="313"/>
        <v>RFR GBP</v>
      </c>
      <c r="J4041" s="1"/>
      <c r="N4041" s="1"/>
      <c r="R4041" s="1"/>
      <c r="V4041" s="1"/>
      <c r="AB4041" s="1"/>
      <c r="AF4041" s="1"/>
      <c r="AJ4041" s="1"/>
      <c r="AN4041" s="1"/>
      <c r="AS4041" s="1"/>
      <c r="AX4041" s="1"/>
    </row>
    <row r="4042" spans="1:50" x14ac:dyDescent="0.3">
      <c r="A4042" s="19">
        <f t="shared" si="314"/>
        <v>51573</v>
      </c>
      <c r="B4042">
        <f t="shared" ca="1" si="310"/>
        <v>-15.058333333333334</v>
      </c>
      <c r="C4042" t="str">
        <f ca="1">IF(currency="USD",'Future et co'!D4042,IF(currency="EUR",'Future et co'!E4042,IF(currency="GBP",'Future et co'!F4042,FALSE)))</f>
        <v>RFR USD</v>
      </c>
      <c r="D4042" t="str">
        <f t="shared" ca="1" si="311"/>
        <v>RFR USD</v>
      </c>
      <c r="E4042" t="str">
        <f t="shared" ca="1" si="312"/>
        <v>RFR EUR</v>
      </c>
      <c r="F4042" t="str">
        <f t="shared" ca="1" si="313"/>
        <v>RFR GBP</v>
      </c>
      <c r="J4042" s="1"/>
      <c r="N4042" s="1"/>
      <c r="R4042" s="1"/>
      <c r="V4042" s="1"/>
      <c r="AB4042" s="1"/>
      <c r="AF4042" s="1"/>
      <c r="AJ4042" s="1"/>
      <c r="AN4042" s="1"/>
      <c r="AS4042" s="1"/>
      <c r="AX4042" s="1"/>
    </row>
    <row r="4043" spans="1:50" x14ac:dyDescent="0.3">
      <c r="A4043" s="19">
        <f t="shared" si="314"/>
        <v>51574</v>
      </c>
      <c r="B4043">
        <f t="shared" ref="B4043:B4106" ca="1" si="315">($B$7-A4043)/360</f>
        <v>-15.061111111111112</v>
      </c>
      <c r="C4043" t="str">
        <f ca="1">IF(currency="USD",'Future et co'!D4043,IF(currency="EUR",'Future et co'!E4043,IF(currency="GBP",'Future et co'!F4043,FALSE)))</f>
        <v>RFR USD</v>
      </c>
      <c r="D4043" t="str">
        <f t="shared" ref="D4043:D4106" ca="1" si="316">IFERROR(IF(B4043&lt;0.25,VLOOKUP(A4043,$J$11:$L$5325,3,FALSE),IF(AND(B4043&gt;=0.25,B4043&lt;0.5),VLOOKUP(A4043,$N$11:$P$5325,3,FALSE),IF(AND(B4043&gt;=0.5,B4043&lt;1),VLOOKUP(A4043,$R$11:$T$5325,3,FALSE),VLOOKUP(A4043,$V$11:$X$5010,3,FALSE)))),D4042)</f>
        <v>RFR USD</v>
      </c>
      <c r="E4043" t="str">
        <f t="shared" ref="E4043:E4106" ca="1" si="317">IFERROR(IF(B4043&lt;0.25,VLOOKUP(A4043,$AF$11:$AH$5325,3,FALSE),IF(AND(B4043&gt;=0.25,B4043&lt;0.5),VLOOKUP(A4043,$AJ$11:$AL$5325,3,FALSE),VLOOKUP(A4043,$AN$11:$AP$5325,3,FALSE))),E4042)</f>
        <v>RFR EUR</v>
      </c>
      <c r="F4043" t="str">
        <f t="shared" ref="F4043:F4106" ca="1" si="318">IFERROR(VLOOKUP(A4043,$AS$11:$AU$9999,3,FALSE),F4042)</f>
        <v>RFR GBP</v>
      </c>
      <c r="J4043" s="1"/>
      <c r="N4043" s="1"/>
      <c r="R4043" s="1"/>
      <c r="V4043" s="1"/>
      <c r="AB4043" s="1"/>
      <c r="AF4043" s="1"/>
      <c r="AJ4043" s="1"/>
      <c r="AN4043" s="1"/>
      <c r="AS4043" s="1"/>
      <c r="AX4043" s="1"/>
    </row>
    <row r="4044" spans="1:50" x14ac:dyDescent="0.3">
      <c r="A4044" s="19">
        <f t="shared" si="314"/>
        <v>51575</v>
      </c>
      <c r="B4044">
        <f t="shared" ca="1" si="315"/>
        <v>-15.063888888888888</v>
      </c>
      <c r="C4044" t="str">
        <f ca="1">IF(currency="USD",'Future et co'!D4044,IF(currency="EUR",'Future et co'!E4044,IF(currency="GBP",'Future et co'!F4044,FALSE)))</f>
        <v>RFR USD</v>
      </c>
      <c r="D4044" t="str">
        <f t="shared" ca="1" si="316"/>
        <v>RFR USD</v>
      </c>
      <c r="E4044" t="str">
        <f t="shared" ca="1" si="317"/>
        <v>RFR EUR</v>
      </c>
      <c r="F4044" t="str">
        <f t="shared" ca="1" si="318"/>
        <v>RFR GBP</v>
      </c>
      <c r="J4044" s="1"/>
      <c r="N4044" s="1"/>
      <c r="R4044" s="1"/>
      <c r="V4044" s="1"/>
      <c r="AB4044" s="1"/>
      <c r="AF4044" s="1"/>
      <c r="AJ4044" s="1"/>
      <c r="AN4044" s="1"/>
      <c r="AS4044" s="1"/>
      <c r="AX4044" s="1"/>
    </row>
    <row r="4045" spans="1:50" x14ac:dyDescent="0.3">
      <c r="A4045" s="19">
        <f t="shared" ref="A4045:A4108" si="319">WORKDAY(A4044,1)</f>
        <v>51578</v>
      </c>
      <c r="B4045">
        <f t="shared" ca="1" si="315"/>
        <v>-15.072222222222223</v>
      </c>
      <c r="C4045" t="str">
        <f ca="1">IF(currency="USD",'Future et co'!D4045,IF(currency="EUR",'Future et co'!E4045,IF(currency="GBP",'Future et co'!F4045,FALSE)))</f>
        <v>RFR USD</v>
      </c>
      <c r="D4045" t="str">
        <f t="shared" ca="1" si="316"/>
        <v>RFR USD</v>
      </c>
      <c r="E4045" t="str">
        <f t="shared" ca="1" si="317"/>
        <v>RFR EUR</v>
      </c>
      <c r="F4045" t="str">
        <f t="shared" ca="1" si="318"/>
        <v>RFR GBP</v>
      </c>
      <c r="J4045" s="1"/>
      <c r="N4045" s="1"/>
      <c r="R4045" s="1"/>
      <c r="V4045" s="1"/>
      <c r="AB4045" s="1"/>
      <c r="AF4045" s="1"/>
      <c r="AJ4045" s="1"/>
      <c r="AN4045" s="1"/>
      <c r="AS4045" s="1"/>
      <c r="AX4045" s="1"/>
    </row>
    <row r="4046" spans="1:50" x14ac:dyDescent="0.3">
      <c r="A4046" s="19">
        <f t="shared" si="319"/>
        <v>51579</v>
      </c>
      <c r="B4046">
        <f t="shared" ca="1" si="315"/>
        <v>-15.074999999999999</v>
      </c>
      <c r="C4046" t="str">
        <f ca="1">IF(currency="USD",'Future et co'!D4046,IF(currency="EUR",'Future et co'!E4046,IF(currency="GBP",'Future et co'!F4046,FALSE)))</f>
        <v>RFR USD</v>
      </c>
      <c r="D4046" t="str">
        <f t="shared" ca="1" si="316"/>
        <v>RFR USD</v>
      </c>
      <c r="E4046" t="str">
        <f t="shared" ca="1" si="317"/>
        <v>RFR EUR</v>
      </c>
      <c r="F4046" t="str">
        <f t="shared" ca="1" si="318"/>
        <v>RFR GBP</v>
      </c>
      <c r="J4046" s="1"/>
      <c r="N4046" s="1"/>
      <c r="R4046" s="1"/>
      <c r="V4046" s="1"/>
      <c r="AB4046" s="1"/>
      <c r="AF4046" s="1"/>
      <c r="AJ4046" s="1"/>
      <c r="AN4046" s="1"/>
      <c r="AS4046" s="1"/>
      <c r="AX4046" s="1"/>
    </row>
    <row r="4047" spans="1:50" x14ac:dyDescent="0.3">
      <c r="A4047" s="19">
        <f t="shared" si="319"/>
        <v>51580</v>
      </c>
      <c r="B4047">
        <f t="shared" ca="1" si="315"/>
        <v>-15.077777777777778</v>
      </c>
      <c r="C4047" t="str">
        <f ca="1">IF(currency="USD",'Future et co'!D4047,IF(currency="EUR",'Future et co'!E4047,IF(currency="GBP",'Future et co'!F4047,FALSE)))</f>
        <v>RFR USD</v>
      </c>
      <c r="D4047" t="str">
        <f t="shared" ca="1" si="316"/>
        <v>RFR USD</v>
      </c>
      <c r="E4047" t="str">
        <f t="shared" ca="1" si="317"/>
        <v>RFR EUR</v>
      </c>
      <c r="F4047" t="str">
        <f t="shared" ca="1" si="318"/>
        <v>RFR GBP</v>
      </c>
      <c r="J4047" s="1"/>
      <c r="N4047" s="1"/>
      <c r="R4047" s="1"/>
      <c r="V4047" s="1"/>
      <c r="AB4047" s="1"/>
      <c r="AF4047" s="1"/>
      <c r="AJ4047" s="1"/>
      <c r="AN4047" s="1"/>
      <c r="AS4047" s="1"/>
      <c r="AX4047" s="1"/>
    </row>
    <row r="4048" spans="1:50" x14ac:dyDescent="0.3">
      <c r="A4048" s="19">
        <f t="shared" si="319"/>
        <v>51581</v>
      </c>
      <c r="B4048">
        <f t="shared" ca="1" si="315"/>
        <v>-15.080555555555556</v>
      </c>
      <c r="C4048" t="str">
        <f ca="1">IF(currency="USD",'Future et co'!D4048,IF(currency="EUR",'Future et co'!E4048,IF(currency="GBP",'Future et co'!F4048,FALSE)))</f>
        <v>RFR USD</v>
      </c>
      <c r="D4048" t="str">
        <f t="shared" ca="1" si="316"/>
        <v>RFR USD</v>
      </c>
      <c r="E4048" t="str">
        <f t="shared" ca="1" si="317"/>
        <v>RFR EUR</v>
      </c>
      <c r="F4048" t="str">
        <f t="shared" ca="1" si="318"/>
        <v>RFR GBP</v>
      </c>
      <c r="J4048" s="1"/>
      <c r="N4048" s="1"/>
      <c r="R4048" s="1"/>
      <c r="V4048" s="1"/>
      <c r="AB4048" s="1"/>
      <c r="AF4048" s="1"/>
      <c r="AJ4048" s="1"/>
      <c r="AN4048" s="1"/>
      <c r="AS4048" s="1"/>
      <c r="AX4048" s="1"/>
    </row>
    <row r="4049" spans="1:50" x14ac:dyDescent="0.3">
      <c r="A4049" s="19">
        <f t="shared" si="319"/>
        <v>51582</v>
      </c>
      <c r="B4049">
        <f t="shared" ca="1" si="315"/>
        <v>-15.083333333333334</v>
      </c>
      <c r="C4049" t="str">
        <f ca="1">IF(currency="USD",'Future et co'!D4049,IF(currency="EUR",'Future et co'!E4049,IF(currency="GBP",'Future et co'!F4049,FALSE)))</f>
        <v>RFR USD</v>
      </c>
      <c r="D4049" t="str">
        <f t="shared" ca="1" si="316"/>
        <v>RFR USD</v>
      </c>
      <c r="E4049" t="str">
        <f t="shared" ca="1" si="317"/>
        <v>RFR EUR</v>
      </c>
      <c r="F4049" t="str">
        <f t="shared" ca="1" si="318"/>
        <v>RFR GBP</v>
      </c>
      <c r="J4049" s="1"/>
      <c r="N4049" s="1"/>
      <c r="R4049" s="1"/>
      <c r="V4049" s="1"/>
      <c r="AB4049" s="1"/>
      <c r="AF4049" s="1"/>
      <c r="AJ4049" s="1"/>
      <c r="AN4049" s="1"/>
      <c r="AS4049" s="1"/>
      <c r="AX4049" s="1"/>
    </row>
    <row r="4050" spans="1:50" x14ac:dyDescent="0.3">
      <c r="A4050" s="19">
        <f t="shared" si="319"/>
        <v>51585</v>
      </c>
      <c r="B4050">
        <f t="shared" ca="1" si="315"/>
        <v>-15.091666666666667</v>
      </c>
      <c r="C4050" t="str">
        <f ca="1">IF(currency="USD",'Future et co'!D4050,IF(currency="EUR",'Future et co'!E4050,IF(currency="GBP",'Future et co'!F4050,FALSE)))</f>
        <v>RFR USD</v>
      </c>
      <c r="D4050" t="str">
        <f t="shared" ca="1" si="316"/>
        <v>RFR USD</v>
      </c>
      <c r="E4050" t="str">
        <f t="shared" ca="1" si="317"/>
        <v>RFR EUR</v>
      </c>
      <c r="F4050" t="str">
        <f t="shared" ca="1" si="318"/>
        <v>RFR GBP</v>
      </c>
      <c r="J4050" s="1"/>
      <c r="N4050" s="1"/>
      <c r="R4050" s="1"/>
      <c r="V4050" s="1"/>
      <c r="AB4050" s="1"/>
      <c r="AF4050" s="1"/>
      <c r="AJ4050" s="1"/>
      <c r="AN4050" s="1"/>
      <c r="AS4050" s="1"/>
      <c r="AX4050" s="1"/>
    </row>
    <row r="4051" spans="1:50" x14ac:dyDescent="0.3">
      <c r="A4051" s="19">
        <f t="shared" si="319"/>
        <v>51586</v>
      </c>
      <c r="B4051">
        <f t="shared" ca="1" si="315"/>
        <v>-15.094444444444445</v>
      </c>
      <c r="C4051" t="str">
        <f ca="1">IF(currency="USD",'Future et co'!D4051,IF(currency="EUR",'Future et co'!E4051,IF(currency="GBP",'Future et co'!F4051,FALSE)))</f>
        <v>RFR USD</v>
      </c>
      <c r="D4051" t="str">
        <f t="shared" ca="1" si="316"/>
        <v>RFR USD</v>
      </c>
      <c r="E4051" t="str">
        <f t="shared" ca="1" si="317"/>
        <v>RFR EUR</v>
      </c>
      <c r="F4051" t="str">
        <f t="shared" ca="1" si="318"/>
        <v>RFR GBP</v>
      </c>
      <c r="J4051" s="1"/>
      <c r="N4051" s="1"/>
      <c r="R4051" s="1"/>
      <c r="V4051" s="1"/>
      <c r="AB4051" s="1"/>
      <c r="AF4051" s="1"/>
      <c r="AJ4051" s="1"/>
      <c r="AN4051" s="1"/>
      <c r="AS4051" s="1"/>
      <c r="AX4051" s="1"/>
    </row>
    <row r="4052" spans="1:50" x14ac:dyDescent="0.3">
      <c r="A4052" s="19">
        <f t="shared" si="319"/>
        <v>51587</v>
      </c>
      <c r="B4052">
        <f t="shared" ca="1" si="315"/>
        <v>-15.097222222222221</v>
      </c>
      <c r="C4052" t="str">
        <f ca="1">IF(currency="USD",'Future et co'!D4052,IF(currency="EUR",'Future et co'!E4052,IF(currency="GBP",'Future et co'!F4052,FALSE)))</f>
        <v>RFR USD</v>
      </c>
      <c r="D4052" t="str">
        <f t="shared" ca="1" si="316"/>
        <v>RFR USD</v>
      </c>
      <c r="E4052" t="str">
        <f t="shared" ca="1" si="317"/>
        <v>RFR EUR</v>
      </c>
      <c r="F4052" t="str">
        <f t="shared" ca="1" si="318"/>
        <v>RFR GBP</v>
      </c>
      <c r="J4052" s="1"/>
      <c r="N4052" s="1"/>
      <c r="R4052" s="1"/>
      <c r="V4052" s="1"/>
      <c r="AB4052" s="1"/>
      <c r="AF4052" s="1"/>
      <c r="AJ4052" s="1"/>
      <c r="AN4052" s="1"/>
      <c r="AS4052" s="1"/>
      <c r="AX4052" s="1"/>
    </row>
    <row r="4053" spans="1:50" x14ac:dyDescent="0.3">
      <c r="A4053" s="19">
        <f t="shared" si="319"/>
        <v>51588</v>
      </c>
      <c r="B4053">
        <f t="shared" ca="1" si="315"/>
        <v>-15.1</v>
      </c>
      <c r="C4053" t="str">
        <f ca="1">IF(currency="USD",'Future et co'!D4053,IF(currency="EUR",'Future et co'!E4053,IF(currency="GBP",'Future et co'!F4053,FALSE)))</f>
        <v>RFR USD</v>
      </c>
      <c r="D4053" t="str">
        <f t="shared" ca="1" si="316"/>
        <v>RFR USD</v>
      </c>
      <c r="E4053" t="str">
        <f t="shared" ca="1" si="317"/>
        <v>RFR EUR</v>
      </c>
      <c r="F4053" t="str">
        <f t="shared" ca="1" si="318"/>
        <v>RFR GBP</v>
      </c>
      <c r="J4053" s="1"/>
      <c r="N4053" s="1"/>
      <c r="R4053" s="1"/>
      <c r="V4053" s="1"/>
      <c r="AB4053" s="1"/>
      <c r="AF4053" s="1"/>
      <c r="AJ4053" s="1"/>
      <c r="AN4053" s="1"/>
      <c r="AS4053" s="1"/>
      <c r="AX4053" s="1"/>
    </row>
    <row r="4054" spans="1:50" x14ac:dyDescent="0.3">
      <c r="A4054" s="19">
        <f t="shared" si="319"/>
        <v>51589</v>
      </c>
      <c r="B4054">
        <f t="shared" ca="1" si="315"/>
        <v>-15.102777777777778</v>
      </c>
      <c r="C4054" t="str">
        <f ca="1">IF(currency="USD",'Future et co'!D4054,IF(currency="EUR",'Future et co'!E4054,IF(currency="GBP",'Future et co'!F4054,FALSE)))</f>
        <v>RFR USD</v>
      </c>
      <c r="D4054" t="str">
        <f t="shared" ca="1" si="316"/>
        <v>RFR USD</v>
      </c>
      <c r="E4054" t="str">
        <f t="shared" ca="1" si="317"/>
        <v>RFR EUR</v>
      </c>
      <c r="F4054" t="str">
        <f t="shared" ca="1" si="318"/>
        <v>RFR GBP</v>
      </c>
      <c r="J4054" s="1"/>
      <c r="N4054" s="1"/>
      <c r="R4054" s="1"/>
      <c r="V4054" s="1"/>
      <c r="AB4054" s="1"/>
      <c r="AF4054" s="1"/>
      <c r="AJ4054" s="1"/>
      <c r="AN4054" s="1"/>
      <c r="AS4054" s="1"/>
      <c r="AX4054" s="1"/>
    </row>
    <row r="4055" spans="1:50" x14ac:dyDescent="0.3">
      <c r="A4055" s="19">
        <f t="shared" si="319"/>
        <v>51592</v>
      </c>
      <c r="B4055">
        <f t="shared" ca="1" si="315"/>
        <v>-15.111111111111111</v>
      </c>
      <c r="C4055" t="str">
        <f ca="1">IF(currency="USD",'Future et co'!D4055,IF(currency="EUR",'Future et co'!E4055,IF(currency="GBP",'Future et co'!F4055,FALSE)))</f>
        <v>RFR USD</v>
      </c>
      <c r="D4055" t="str">
        <f t="shared" ca="1" si="316"/>
        <v>RFR USD</v>
      </c>
      <c r="E4055" t="str">
        <f t="shared" ca="1" si="317"/>
        <v>RFR EUR</v>
      </c>
      <c r="F4055" t="str">
        <f t="shared" ca="1" si="318"/>
        <v>RFR GBP</v>
      </c>
      <c r="J4055" s="1"/>
      <c r="N4055" s="1"/>
      <c r="R4055" s="1"/>
      <c r="V4055" s="1"/>
      <c r="AB4055" s="1"/>
      <c r="AF4055" s="1"/>
      <c r="AJ4055" s="1"/>
      <c r="AN4055" s="1"/>
      <c r="AS4055" s="1"/>
      <c r="AX4055" s="1"/>
    </row>
    <row r="4056" spans="1:50" x14ac:dyDescent="0.3">
      <c r="A4056" s="19">
        <f t="shared" si="319"/>
        <v>51593</v>
      </c>
      <c r="B4056">
        <f t="shared" ca="1" si="315"/>
        <v>-15.113888888888889</v>
      </c>
      <c r="C4056" t="str">
        <f ca="1">IF(currency="USD",'Future et co'!D4056,IF(currency="EUR",'Future et co'!E4056,IF(currency="GBP",'Future et co'!F4056,FALSE)))</f>
        <v>RFR USD</v>
      </c>
      <c r="D4056" t="str">
        <f t="shared" ca="1" si="316"/>
        <v>RFR USD</v>
      </c>
      <c r="E4056" t="str">
        <f t="shared" ca="1" si="317"/>
        <v>RFR EUR</v>
      </c>
      <c r="F4056" t="str">
        <f t="shared" ca="1" si="318"/>
        <v>RFR GBP</v>
      </c>
      <c r="J4056" s="1"/>
      <c r="N4056" s="1"/>
      <c r="R4056" s="1"/>
      <c r="V4056" s="1"/>
      <c r="AB4056" s="1"/>
      <c r="AF4056" s="1"/>
      <c r="AJ4056" s="1"/>
      <c r="AN4056" s="1"/>
      <c r="AS4056" s="1"/>
      <c r="AX4056" s="1"/>
    </row>
    <row r="4057" spans="1:50" x14ac:dyDescent="0.3">
      <c r="A4057" s="19">
        <f t="shared" si="319"/>
        <v>51594</v>
      </c>
      <c r="B4057">
        <f t="shared" ca="1" si="315"/>
        <v>-15.116666666666667</v>
      </c>
      <c r="C4057" t="str">
        <f ca="1">IF(currency="USD",'Future et co'!D4057,IF(currency="EUR",'Future et co'!E4057,IF(currency="GBP",'Future et co'!F4057,FALSE)))</f>
        <v>RFR USD</v>
      </c>
      <c r="D4057" t="str">
        <f t="shared" ca="1" si="316"/>
        <v>RFR USD</v>
      </c>
      <c r="E4057" t="str">
        <f t="shared" ca="1" si="317"/>
        <v>RFR EUR</v>
      </c>
      <c r="F4057" t="str">
        <f t="shared" ca="1" si="318"/>
        <v>RFR GBP</v>
      </c>
      <c r="J4057" s="1"/>
      <c r="N4057" s="1"/>
      <c r="R4057" s="1"/>
      <c r="V4057" s="1"/>
      <c r="AB4057" s="1"/>
      <c r="AF4057" s="1"/>
      <c r="AJ4057" s="1"/>
      <c r="AN4057" s="1"/>
      <c r="AS4057" s="1"/>
      <c r="AX4057" s="1"/>
    </row>
    <row r="4058" spans="1:50" x14ac:dyDescent="0.3">
      <c r="A4058" s="19">
        <f t="shared" si="319"/>
        <v>51595</v>
      </c>
      <c r="B4058">
        <f t="shared" ca="1" si="315"/>
        <v>-15.119444444444444</v>
      </c>
      <c r="C4058" t="str">
        <f ca="1">IF(currency="USD",'Future et co'!D4058,IF(currency="EUR",'Future et co'!E4058,IF(currency="GBP",'Future et co'!F4058,FALSE)))</f>
        <v>RFR USD</v>
      </c>
      <c r="D4058" t="str">
        <f t="shared" ca="1" si="316"/>
        <v>RFR USD</v>
      </c>
      <c r="E4058" t="str">
        <f t="shared" ca="1" si="317"/>
        <v>RFR EUR</v>
      </c>
      <c r="F4058" t="str">
        <f t="shared" ca="1" si="318"/>
        <v>RFR GBP</v>
      </c>
      <c r="J4058" s="1"/>
      <c r="N4058" s="1"/>
      <c r="R4058" s="1"/>
      <c r="V4058" s="1"/>
      <c r="AB4058" s="1"/>
      <c r="AF4058" s="1"/>
      <c r="AJ4058" s="1"/>
      <c r="AN4058" s="1"/>
      <c r="AS4058" s="1"/>
      <c r="AX4058" s="1"/>
    </row>
    <row r="4059" spans="1:50" x14ac:dyDescent="0.3">
      <c r="A4059" s="19">
        <f t="shared" si="319"/>
        <v>51596</v>
      </c>
      <c r="B4059">
        <f t="shared" ca="1" si="315"/>
        <v>-15.122222222222222</v>
      </c>
      <c r="C4059" t="str">
        <f ca="1">IF(currency="USD",'Future et co'!D4059,IF(currency="EUR",'Future et co'!E4059,IF(currency="GBP",'Future et co'!F4059,FALSE)))</f>
        <v>RFR USD</v>
      </c>
      <c r="D4059" t="str">
        <f t="shared" ca="1" si="316"/>
        <v>RFR USD</v>
      </c>
      <c r="E4059" t="str">
        <f t="shared" ca="1" si="317"/>
        <v>RFR EUR</v>
      </c>
      <c r="F4059" t="str">
        <f t="shared" ca="1" si="318"/>
        <v>RFR GBP</v>
      </c>
      <c r="J4059" s="1"/>
      <c r="N4059" s="1"/>
      <c r="R4059" s="1"/>
      <c r="V4059" s="1"/>
      <c r="AB4059" s="1"/>
      <c r="AF4059" s="1"/>
      <c r="AJ4059" s="1"/>
      <c r="AN4059" s="1"/>
      <c r="AS4059" s="1"/>
      <c r="AX4059" s="1"/>
    </row>
    <row r="4060" spans="1:50" x14ac:dyDescent="0.3">
      <c r="A4060" s="19">
        <f t="shared" si="319"/>
        <v>51599</v>
      </c>
      <c r="B4060">
        <f t="shared" ca="1" si="315"/>
        <v>-15.130555555555556</v>
      </c>
      <c r="C4060" t="str">
        <f ca="1">IF(currency="USD",'Future et co'!D4060,IF(currency="EUR",'Future et co'!E4060,IF(currency="GBP",'Future et co'!F4060,FALSE)))</f>
        <v>RFR USD</v>
      </c>
      <c r="D4060" t="str">
        <f t="shared" ca="1" si="316"/>
        <v>RFR USD</v>
      </c>
      <c r="E4060" t="str">
        <f t="shared" ca="1" si="317"/>
        <v>RFR EUR</v>
      </c>
      <c r="F4060" t="str">
        <f t="shared" ca="1" si="318"/>
        <v>RFR GBP</v>
      </c>
      <c r="J4060" s="1"/>
      <c r="N4060" s="1"/>
      <c r="R4060" s="1"/>
      <c r="V4060" s="1"/>
      <c r="AB4060" s="1"/>
      <c r="AF4060" s="1"/>
      <c r="AJ4060" s="1"/>
      <c r="AN4060" s="1"/>
      <c r="AS4060" s="1"/>
      <c r="AX4060" s="1"/>
    </row>
    <row r="4061" spans="1:50" x14ac:dyDescent="0.3">
      <c r="A4061" s="19">
        <f t="shared" si="319"/>
        <v>51600</v>
      </c>
      <c r="B4061">
        <f t="shared" ca="1" si="315"/>
        <v>-15.133333333333333</v>
      </c>
      <c r="C4061" t="str">
        <f ca="1">IF(currency="USD",'Future et co'!D4061,IF(currency="EUR",'Future et co'!E4061,IF(currency="GBP",'Future et co'!F4061,FALSE)))</f>
        <v>RFR USD</v>
      </c>
      <c r="D4061" t="str">
        <f t="shared" ca="1" si="316"/>
        <v>RFR USD</v>
      </c>
      <c r="E4061" t="str">
        <f t="shared" ca="1" si="317"/>
        <v>RFR EUR</v>
      </c>
      <c r="F4061" t="str">
        <f t="shared" ca="1" si="318"/>
        <v>RFR GBP</v>
      </c>
      <c r="J4061" s="1"/>
      <c r="N4061" s="1"/>
      <c r="R4061" s="1"/>
      <c r="V4061" s="1"/>
      <c r="AB4061" s="1"/>
      <c r="AF4061" s="1"/>
      <c r="AJ4061" s="1"/>
      <c r="AN4061" s="1"/>
      <c r="AS4061" s="1"/>
      <c r="AX4061" s="1"/>
    </row>
    <row r="4062" spans="1:50" x14ac:dyDescent="0.3">
      <c r="A4062" s="19">
        <f t="shared" si="319"/>
        <v>51601</v>
      </c>
      <c r="B4062">
        <f t="shared" ca="1" si="315"/>
        <v>-15.136111111111111</v>
      </c>
      <c r="C4062" t="str">
        <f ca="1">IF(currency="USD",'Future et co'!D4062,IF(currency="EUR",'Future et co'!E4062,IF(currency="GBP",'Future et co'!F4062,FALSE)))</f>
        <v>RFR USD</v>
      </c>
      <c r="D4062" t="str">
        <f t="shared" ca="1" si="316"/>
        <v>RFR USD</v>
      </c>
      <c r="E4062" t="str">
        <f t="shared" ca="1" si="317"/>
        <v>RFR EUR</v>
      </c>
      <c r="F4062" t="str">
        <f t="shared" ca="1" si="318"/>
        <v>RFR GBP</v>
      </c>
      <c r="J4062" s="1"/>
      <c r="N4062" s="1"/>
      <c r="R4062" s="1"/>
      <c r="V4062" s="1"/>
      <c r="AB4062" s="1"/>
      <c r="AF4062" s="1"/>
      <c r="AJ4062" s="1"/>
      <c r="AN4062" s="1"/>
      <c r="AS4062" s="1"/>
      <c r="AX4062" s="1"/>
    </row>
    <row r="4063" spans="1:50" x14ac:dyDescent="0.3">
      <c r="A4063" s="19">
        <f t="shared" si="319"/>
        <v>51602</v>
      </c>
      <c r="B4063">
        <f t="shared" ca="1" si="315"/>
        <v>-15.138888888888889</v>
      </c>
      <c r="C4063" t="str">
        <f ca="1">IF(currency="USD",'Future et co'!D4063,IF(currency="EUR",'Future et co'!E4063,IF(currency="GBP",'Future et co'!F4063,FALSE)))</f>
        <v>RFR USD</v>
      </c>
      <c r="D4063" t="str">
        <f t="shared" ca="1" si="316"/>
        <v>RFR USD</v>
      </c>
      <c r="E4063" t="str">
        <f t="shared" ca="1" si="317"/>
        <v>RFR EUR</v>
      </c>
      <c r="F4063" t="str">
        <f t="shared" ca="1" si="318"/>
        <v>RFR GBP</v>
      </c>
      <c r="J4063" s="1"/>
      <c r="N4063" s="1"/>
      <c r="R4063" s="1"/>
      <c r="V4063" s="1"/>
      <c r="AB4063" s="1"/>
      <c r="AF4063" s="1"/>
      <c r="AJ4063" s="1"/>
      <c r="AN4063" s="1"/>
      <c r="AS4063" s="1"/>
      <c r="AX4063" s="1"/>
    </row>
    <row r="4064" spans="1:50" x14ac:dyDescent="0.3">
      <c r="A4064" s="19">
        <f t="shared" si="319"/>
        <v>51603</v>
      </c>
      <c r="B4064">
        <f t="shared" ca="1" si="315"/>
        <v>-15.141666666666667</v>
      </c>
      <c r="C4064" t="str">
        <f ca="1">IF(currency="USD",'Future et co'!D4064,IF(currency="EUR",'Future et co'!E4064,IF(currency="GBP",'Future et co'!F4064,FALSE)))</f>
        <v>RFR USD</v>
      </c>
      <c r="D4064" t="str">
        <f t="shared" ca="1" si="316"/>
        <v>RFR USD</v>
      </c>
      <c r="E4064" t="str">
        <f t="shared" ca="1" si="317"/>
        <v>RFR EUR</v>
      </c>
      <c r="F4064" t="str">
        <f t="shared" ca="1" si="318"/>
        <v>RFR GBP</v>
      </c>
      <c r="J4064" s="1"/>
      <c r="N4064" s="1"/>
      <c r="R4064" s="1"/>
      <c r="V4064" s="1"/>
      <c r="AB4064" s="1"/>
      <c r="AF4064" s="1"/>
      <c r="AJ4064" s="1"/>
      <c r="AN4064" s="1"/>
      <c r="AS4064" s="1"/>
      <c r="AX4064" s="1"/>
    </row>
    <row r="4065" spans="1:50" x14ac:dyDescent="0.3">
      <c r="A4065" s="19">
        <f t="shared" si="319"/>
        <v>51606</v>
      </c>
      <c r="B4065">
        <f t="shared" ca="1" si="315"/>
        <v>-15.15</v>
      </c>
      <c r="C4065" t="str">
        <f ca="1">IF(currency="USD",'Future et co'!D4065,IF(currency="EUR",'Future et co'!E4065,IF(currency="GBP",'Future et co'!F4065,FALSE)))</f>
        <v>RFR USD</v>
      </c>
      <c r="D4065" t="str">
        <f t="shared" ca="1" si="316"/>
        <v>RFR USD</v>
      </c>
      <c r="E4065" t="str">
        <f t="shared" ca="1" si="317"/>
        <v>RFR EUR</v>
      </c>
      <c r="F4065" t="str">
        <f t="shared" ca="1" si="318"/>
        <v>RFR GBP</v>
      </c>
      <c r="J4065" s="1"/>
      <c r="N4065" s="1"/>
      <c r="R4065" s="1"/>
      <c r="V4065" s="1"/>
      <c r="AB4065" s="1"/>
      <c r="AF4065" s="1"/>
      <c r="AJ4065" s="1"/>
      <c r="AN4065" s="1"/>
      <c r="AS4065" s="1"/>
      <c r="AX4065" s="1"/>
    </row>
    <row r="4066" spans="1:50" x14ac:dyDescent="0.3">
      <c r="A4066" s="19">
        <f t="shared" si="319"/>
        <v>51607</v>
      </c>
      <c r="B4066">
        <f t="shared" ca="1" si="315"/>
        <v>-15.152777777777779</v>
      </c>
      <c r="C4066" t="str">
        <f ca="1">IF(currency="USD",'Future et co'!D4066,IF(currency="EUR",'Future et co'!E4066,IF(currency="GBP",'Future et co'!F4066,FALSE)))</f>
        <v>RFR USD</v>
      </c>
      <c r="D4066" t="str">
        <f t="shared" ca="1" si="316"/>
        <v>RFR USD</v>
      </c>
      <c r="E4066" t="str">
        <f t="shared" ca="1" si="317"/>
        <v>RFR EUR</v>
      </c>
      <c r="F4066" t="str">
        <f t="shared" ca="1" si="318"/>
        <v>RFR GBP</v>
      </c>
      <c r="J4066" s="1"/>
      <c r="N4066" s="1"/>
      <c r="R4066" s="1"/>
      <c r="V4066" s="1"/>
      <c r="AB4066" s="1"/>
      <c r="AF4066" s="1"/>
      <c r="AJ4066" s="1"/>
      <c r="AN4066" s="1"/>
      <c r="AS4066" s="1"/>
      <c r="AX4066" s="1"/>
    </row>
    <row r="4067" spans="1:50" x14ac:dyDescent="0.3">
      <c r="A4067" s="19">
        <f t="shared" si="319"/>
        <v>51608</v>
      </c>
      <c r="B4067">
        <f t="shared" ca="1" si="315"/>
        <v>-15.155555555555555</v>
      </c>
      <c r="C4067" t="str">
        <f ca="1">IF(currency="USD",'Future et co'!D4067,IF(currency="EUR",'Future et co'!E4067,IF(currency="GBP",'Future et co'!F4067,FALSE)))</f>
        <v>RFR USD</v>
      </c>
      <c r="D4067" t="str">
        <f t="shared" ca="1" si="316"/>
        <v>RFR USD</v>
      </c>
      <c r="E4067" t="str">
        <f t="shared" ca="1" si="317"/>
        <v>RFR EUR</v>
      </c>
      <c r="F4067" t="str">
        <f t="shared" ca="1" si="318"/>
        <v>RFR GBP</v>
      </c>
      <c r="J4067" s="1"/>
      <c r="N4067" s="1"/>
      <c r="R4067" s="1"/>
      <c r="V4067" s="1"/>
      <c r="AB4067" s="1"/>
      <c r="AF4067" s="1"/>
      <c r="AJ4067" s="1"/>
      <c r="AN4067" s="1"/>
      <c r="AS4067" s="1"/>
      <c r="AX4067" s="1"/>
    </row>
    <row r="4068" spans="1:50" x14ac:dyDescent="0.3">
      <c r="A4068" s="19">
        <f t="shared" si="319"/>
        <v>51609</v>
      </c>
      <c r="B4068">
        <f t="shared" ca="1" si="315"/>
        <v>-15.158333333333333</v>
      </c>
      <c r="C4068" t="str">
        <f ca="1">IF(currency="USD",'Future et co'!D4068,IF(currency="EUR",'Future et co'!E4068,IF(currency="GBP",'Future et co'!F4068,FALSE)))</f>
        <v>RFR USD</v>
      </c>
      <c r="D4068" t="str">
        <f t="shared" ca="1" si="316"/>
        <v>RFR USD</v>
      </c>
      <c r="E4068" t="str">
        <f t="shared" ca="1" si="317"/>
        <v>RFR EUR</v>
      </c>
      <c r="F4068" t="str">
        <f t="shared" ca="1" si="318"/>
        <v>RFR GBP</v>
      </c>
      <c r="J4068" s="1"/>
      <c r="N4068" s="1"/>
      <c r="R4068" s="1"/>
      <c r="V4068" s="1"/>
      <c r="AB4068" s="1"/>
      <c r="AF4068" s="1"/>
      <c r="AJ4068" s="1"/>
      <c r="AN4068" s="1"/>
      <c r="AS4068" s="1"/>
      <c r="AX4068" s="1"/>
    </row>
    <row r="4069" spans="1:50" x14ac:dyDescent="0.3">
      <c r="A4069" s="19">
        <f t="shared" si="319"/>
        <v>51610</v>
      </c>
      <c r="B4069">
        <f t="shared" ca="1" si="315"/>
        <v>-15.161111111111111</v>
      </c>
      <c r="C4069" t="str">
        <f ca="1">IF(currency="USD",'Future et co'!D4069,IF(currency="EUR",'Future et co'!E4069,IF(currency="GBP",'Future et co'!F4069,FALSE)))</f>
        <v>RFR USD</v>
      </c>
      <c r="D4069" t="str">
        <f t="shared" ca="1" si="316"/>
        <v>RFR USD</v>
      </c>
      <c r="E4069" t="str">
        <f t="shared" ca="1" si="317"/>
        <v>RFR EUR</v>
      </c>
      <c r="F4069" t="str">
        <f t="shared" ca="1" si="318"/>
        <v>RFR GBP</v>
      </c>
      <c r="J4069" s="1"/>
      <c r="N4069" s="1"/>
      <c r="R4069" s="1"/>
      <c r="V4069" s="1"/>
      <c r="AB4069" s="1"/>
      <c r="AF4069" s="1"/>
      <c r="AJ4069" s="1"/>
      <c r="AN4069" s="1"/>
      <c r="AS4069" s="1"/>
      <c r="AX4069" s="1"/>
    </row>
    <row r="4070" spans="1:50" x14ac:dyDescent="0.3">
      <c r="A4070" s="19">
        <f t="shared" si="319"/>
        <v>51613</v>
      </c>
      <c r="B4070">
        <f t="shared" ca="1" si="315"/>
        <v>-15.169444444444444</v>
      </c>
      <c r="C4070" t="str">
        <f ca="1">IF(currency="USD",'Future et co'!D4070,IF(currency="EUR",'Future et co'!E4070,IF(currency="GBP",'Future et co'!F4070,FALSE)))</f>
        <v>RFR USD</v>
      </c>
      <c r="D4070" t="str">
        <f t="shared" ca="1" si="316"/>
        <v>RFR USD</v>
      </c>
      <c r="E4070" t="str">
        <f t="shared" ca="1" si="317"/>
        <v>RFR EUR</v>
      </c>
      <c r="F4070" t="str">
        <f t="shared" ca="1" si="318"/>
        <v>RFR GBP</v>
      </c>
      <c r="J4070" s="1"/>
      <c r="N4070" s="1"/>
      <c r="R4070" s="1"/>
      <c r="V4070" s="1"/>
      <c r="AB4070" s="1"/>
      <c r="AF4070" s="1"/>
      <c r="AJ4070" s="1"/>
      <c r="AN4070" s="1"/>
      <c r="AS4070" s="1"/>
      <c r="AX4070" s="1"/>
    </row>
    <row r="4071" spans="1:50" x14ac:dyDescent="0.3">
      <c r="A4071" s="19">
        <f t="shared" si="319"/>
        <v>51614</v>
      </c>
      <c r="B4071">
        <f t="shared" ca="1" si="315"/>
        <v>-15.172222222222222</v>
      </c>
      <c r="C4071" t="str">
        <f ca="1">IF(currency="USD",'Future et co'!D4071,IF(currency="EUR",'Future et co'!E4071,IF(currency="GBP",'Future et co'!F4071,FALSE)))</f>
        <v>RFR USD</v>
      </c>
      <c r="D4071" t="str">
        <f t="shared" ca="1" si="316"/>
        <v>RFR USD</v>
      </c>
      <c r="E4071" t="str">
        <f t="shared" ca="1" si="317"/>
        <v>RFR EUR</v>
      </c>
      <c r="F4071" t="str">
        <f t="shared" ca="1" si="318"/>
        <v>RFR GBP</v>
      </c>
      <c r="J4071" s="1"/>
      <c r="N4071" s="1"/>
      <c r="R4071" s="1"/>
      <c r="V4071" s="1"/>
      <c r="AB4071" s="1"/>
      <c r="AF4071" s="1"/>
      <c r="AJ4071" s="1"/>
      <c r="AN4071" s="1"/>
      <c r="AS4071" s="1"/>
      <c r="AX4071" s="1"/>
    </row>
    <row r="4072" spans="1:50" x14ac:dyDescent="0.3">
      <c r="A4072" s="19">
        <f t="shared" si="319"/>
        <v>51615</v>
      </c>
      <c r="B4072">
        <f t="shared" ca="1" si="315"/>
        <v>-15.175000000000001</v>
      </c>
      <c r="C4072" t="str">
        <f ca="1">IF(currency="USD",'Future et co'!D4072,IF(currency="EUR",'Future et co'!E4072,IF(currency="GBP",'Future et co'!F4072,FALSE)))</f>
        <v>RFR USD</v>
      </c>
      <c r="D4072" t="str">
        <f t="shared" ca="1" si="316"/>
        <v>RFR USD</v>
      </c>
      <c r="E4072" t="str">
        <f t="shared" ca="1" si="317"/>
        <v>RFR EUR</v>
      </c>
      <c r="F4072" t="str">
        <f t="shared" ca="1" si="318"/>
        <v>RFR GBP</v>
      </c>
      <c r="J4072" s="1"/>
      <c r="N4072" s="1"/>
      <c r="R4072" s="1"/>
      <c r="V4072" s="1"/>
      <c r="AB4072" s="1"/>
      <c r="AF4072" s="1"/>
      <c r="AJ4072" s="1"/>
      <c r="AN4072" s="1"/>
      <c r="AS4072" s="1"/>
      <c r="AX4072" s="1"/>
    </row>
    <row r="4073" spans="1:50" x14ac:dyDescent="0.3">
      <c r="A4073" s="19">
        <f t="shared" si="319"/>
        <v>51616</v>
      </c>
      <c r="B4073">
        <f t="shared" ca="1" si="315"/>
        <v>-15.177777777777777</v>
      </c>
      <c r="C4073" t="str">
        <f ca="1">IF(currency="USD",'Future et co'!D4073,IF(currency="EUR",'Future et co'!E4073,IF(currency="GBP",'Future et co'!F4073,FALSE)))</f>
        <v>RFR USD</v>
      </c>
      <c r="D4073" t="str">
        <f t="shared" ca="1" si="316"/>
        <v>RFR USD</v>
      </c>
      <c r="E4073" t="str">
        <f t="shared" ca="1" si="317"/>
        <v>RFR EUR</v>
      </c>
      <c r="F4073" t="str">
        <f t="shared" ca="1" si="318"/>
        <v>RFR GBP</v>
      </c>
      <c r="J4073" s="1"/>
      <c r="N4073" s="1"/>
      <c r="R4073" s="1"/>
      <c r="V4073" s="1"/>
      <c r="AB4073" s="1"/>
      <c r="AF4073" s="1"/>
      <c r="AJ4073" s="1"/>
      <c r="AN4073" s="1"/>
      <c r="AS4073" s="1"/>
      <c r="AX4073" s="1"/>
    </row>
    <row r="4074" spans="1:50" x14ac:dyDescent="0.3">
      <c r="A4074" s="19">
        <f t="shared" si="319"/>
        <v>51617</v>
      </c>
      <c r="B4074">
        <f t="shared" ca="1" si="315"/>
        <v>-15.180555555555555</v>
      </c>
      <c r="C4074" t="str">
        <f ca="1">IF(currency="USD",'Future et co'!D4074,IF(currency="EUR",'Future et co'!E4074,IF(currency="GBP",'Future et co'!F4074,FALSE)))</f>
        <v>RFR USD</v>
      </c>
      <c r="D4074" t="str">
        <f t="shared" ca="1" si="316"/>
        <v>RFR USD</v>
      </c>
      <c r="E4074" t="str">
        <f t="shared" ca="1" si="317"/>
        <v>RFR EUR</v>
      </c>
      <c r="F4074" t="str">
        <f t="shared" ca="1" si="318"/>
        <v>RFR GBP</v>
      </c>
      <c r="J4074" s="1"/>
      <c r="N4074" s="1"/>
      <c r="R4074" s="1"/>
      <c r="V4074" s="1"/>
      <c r="AB4074" s="1"/>
      <c r="AF4074" s="1"/>
      <c r="AJ4074" s="1"/>
      <c r="AN4074" s="1"/>
      <c r="AS4074" s="1"/>
      <c r="AX4074" s="1"/>
    </row>
    <row r="4075" spans="1:50" x14ac:dyDescent="0.3">
      <c r="A4075" s="19">
        <f t="shared" si="319"/>
        <v>51620</v>
      </c>
      <c r="B4075">
        <f t="shared" ca="1" si="315"/>
        <v>-15.188888888888888</v>
      </c>
      <c r="C4075" t="str">
        <f ca="1">IF(currency="USD",'Future et co'!D4075,IF(currency="EUR",'Future et co'!E4075,IF(currency="GBP",'Future et co'!F4075,FALSE)))</f>
        <v>RFR USD</v>
      </c>
      <c r="D4075" t="str">
        <f t="shared" ca="1" si="316"/>
        <v>RFR USD</v>
      </c>
      <c r="E4075" t="str">
        <f t="shared" ca="1" si="317"/>
        <v>RFR EUR</v>
      </c>
      <c r="F4075" t="str">
        <f t="shared" ca="1" si="318"/>
        <v>RFR GBP</v>
      </c>
      <c r="J4075" s="1"/>
      <c r="N4075" s="1"/>
      <c r="R4075" s="1"/>
      <c r="V4075" s="1"/>
      <c r="AB4075" s="1"/>
      <c r="AF4075" s="1"/>
      <c r="AJ4075" s="1"/>
      <c r="AN4075" s="1"/>
      <c r="AS4075" s="1"/>
      <c r="AX4075" s="1"/>
    </row>
    <row r="4076" spans="1:50" x14ac:dyDescent="0.3">
      <c r="A4076" s="19">
        <f t="shared" si="319"/>
        <v>51621</v>
      </c>
      <c r="B4076">
        <f t="shared" ca="1" si="315"/>
        <v>-15.191666666666666</v>
      </c>
      <c r="C4076" t="str">
        <f ca="1">IF(currency="USD",'Future et co'!D4076,IF(currency="EUR",'Future et co'!E4076,IF(currency="GBP",'Future et co'!F4076,FALSE)))</f>
        <v>RFR USD</v>
      </c>
      <c r="D4076" t="str">
        <f t="shared" ca="1" si="316"/>
        <v>RFR USD</v>
      </c>
      <c r="E4076" t="str">
        <f t="shared" ca="1" si="317"/>
        <v>RFR EUR</v>
      </c>
      <c r="F4076" t="str">
        <f t="shared" ca="1" si="318"/>
        <v>RFR GBP</v>
      </c>
      <c r="J4076" s="1"/>
      <c r="N4076" s="1"/>
      <c r="R4076" s="1"/>
      <c r="V4076" s="1"/>
      <c r="AB4076" s="1"/>
      <c r="AF4076" s="1"/>
      <c r="AJ4076" s="1"/>
      <c r="AN4076" s="1"/>
      <c r="AS4076" s="1"/>
      <c r="AX4076" s="1"/>
    </row>
    <row r="4077" spans="1:50" x14ac:dyDescent="0.3">
      <c r="A4077" s="19">
        <f t="shared" si="319"/>
        <v>51622</v>
      </c>
      <c r="B4077">
        <f t="shared" ca="1" si="315"/>
        <v>-15.194444444444445</v>
      </c>
      <c r="C4077" t="str">
        <f ca="1">IF(currency="USD",'Future et co'!D4077,IF(currency="EUR",'Future et co'!E4077,IF(currency="GBP",'Future et co'!F4077,FALSE)))</f>
        <v>RFR USD</v>
      </c>
      <c r="D4077" t="str">
        <f t="shared" ca="1" si="316"/>
        <v>RFR USD</v>
      </c>
      <c r="E4077" t="str">
        <f t="shared" ca="1" si="317"/>
        <v>RFR EUR</v>
      </c>
      <c r="F4077" t="str">
        <f t="shared" ca="1" si="318"/>
        <v>RFR GBP</v>
      </c>
      <c r="J4077" s="1"/>
      <c r="N4077" s="1"/>
      <c r="R4077" s="1"/>
      <c r="V4077" s="1"/>
      <c r="AB4077" s="1"/>
      <c r="AF4077" s="1"/>
      <c r="AJ4077" s="1"/>
      <c r="AN4077" s="1"/>
      <c r="AS4077" s="1"/>
      <c r="AX4077" s="1"/>
    </row>
    <row r="4078" spans="1:50" x14ac:dyDescent="0.3">
      <c r="A4078" s="19">
        <f t="shared" si="319"/>
        <v>51623</v>
      </c>
      <c r="B4078">
        <f t="shared" ca="1" si="315"/>
        <v>-15.197222222222223</v>
      </c>
      <c r="C4078" t="str">
        <f ca="1">IF(currency="USD",'Future et co'!D4078,IF(currency="EUR",'Future et co'!E4078,IF(currency="GBP",'Future et co'!F4078,FALSE)))</f>
        <v>RFR USD</v>
      </c>
      <c r="D4078" t="str">
        <f t="shared" ca="1" si="316"/>
        <v>RFR USD</v>
      </c>
      <c r="E4078" t="str">
        <f t="shared" ca="1" si="317"/>
        <v>RFR EUR</v>
      </c>
      <c r="F4078" t="str">
        <f t="shared" ca="1" si="318"/>
        <v>RFR GBP</v>
      </c>
      <c r="J4078" s="1"/>
      <c r="N4078" s="1"/>
      <c r="R4078" s="1"/>
      <c r="V4078" s="1"/>
      <c r="AB4078" s="1"/>
      <c r="AF4078" s="1"/>
      <c r="AJ4078" s="1"/>
      <c r="AN4078" s="1"/>
      <c r="AS4078" s="1"/>
      <c r="AX4078" s="1"/>
    </row>
    <row r="4079" spans="1:50" x14ac:dyDescent="0.3">
      <c r="A4079" s="19">
        <f t="shared" si="319"/>
        <v>51624</v>
      </c>
      <c r="B4079">
        <f t="shared" ca="1" si="315"/>
        <v>-15.2</v>
      </c>
      <c r="C4079" t="str">
        <f ca="1">IF(currency="USD",'Future et co'!D4079,IF(currency="EUR",'Future et co'!E4079,IF(currency="GBP",'Future et co'!F4079,FALSE)))</f>
        <v>RFR USD</v>
      </c>
      <c r="D4079" t="str">
        <f t="shared" ca="1" si="316"/>
        <v>RFR USD</v>
      </c>
      <c r="E4079" t="str">
        <f t="shared" ca="1" si="317"/>
        <v>RFR EUR</v>
      </c>
      <c r="F4079" t="str">
        <f t="shared" ca="1" si="318"/>
        <v>RFR GBP</v>
      </c>
      <c r="J4079" s="1"/>
      <c r="N4079" s="1"/>
      <c r="R4079" s="1"/>
      <c r="V4079" s="1"/>
      <c r="AB4079" s="1"/>
      <c r="AF4079" s="1"/>
      <c r="AJ4079" s="1"/>
      <c r="AN4079" s="1"/>
      <c r="AS4079" s="1"/>
      <c r="AX4079" s="1"/>
    </row>
    <row r="4080" spans="1:50" x14ac:dyDescent="0.3">
      <c r="A4080" s="19">
        <f t="shared" si="319"/>
        <v>51627</v>
      </c>
      <c r="B4080">
        <f t="shared" ca="1" si="315"/>
        <v>-15.208333333333334</v>
      </c>
      <c r="C4080" t="str">
        <f ca="1">IF(currency="USD",'Future et co'!D4080,IF(currency="EUR",'Future et co'!E4080,IF(currency="GBP",'Future et co'!F4080,FALSE)))</f>
        <v>RFR USD</v>
      </c>
      <c r="D4080" t="str">
        <f t="shared" ca="1" si="316"/>
        <v>RFR USD</v>
      </c>
      <c r="E4080" t="str">
        <f t="shared" ca="1" si="317"/>
        <v>RFR EUR</v>
      </c>
      <c r="F4080" t="str">
        <f t="shared" ca="1" si="318"/>
        <v>RFR GBP</v>
      </c>
      <c r="J4080" s="1"/>
      <c r="N4080" s="1"/>
      <c r="R4080" s="1"/>
      <c r="V4080" s="1"/>
      <c r="AB4080" s="1"/>
      <c r="AF4080" s="1"/>
      <c r="AJ4080" s="1"/>
      <c r="AN4080" s="1"/>
      <c r="AS4080" s="1"/>
      <c r="AX4080" s="1"/>
    </row>
    <row r="4081" spans="1:50" x14ac:dyDescent="0.3">
      <c r="A4081" s="19">
        <f t="shared" si="319"/>
        <v>51628</v>
      </c>
      <c r="B4081">
        <f t="shared" ca="1" si="315"/>
        <v>-15.21111111111111</v>
      </c>
      <c r="C4081" t="str">
        <f ca="1">IF(currency="USD",'Future et co'!D4081,IF(currency="EUR",'Future et co'!E4081,IF(currency="GBP",'Future et co'!F4081,FALSE)))</f>
        <v>RFR USD</v>
      </c>
      <c r="D4081" t="str">
        <f t="shared" ca="1" si="316"/>
        <v>RFR USD</v>
      </c>
      <c r="E4081" t="str">
        <f t="shared" ca="1" si="317"/>
        <v>RFR EUR</v>
      </c>
      <c r="F4081" t="str">
        <f t="shared" ca="1" si="318"/>
        <v>RFR GBP</v>
      </c>
      <c r="J4081" s="1"/>
      <c r="N4081" s="1"/>
      <c r="R4081" s="1"/>
      <c r="V4081" s="1"/>
      <c r="AB4081" s="1"/>
      <c r="AF4081" s="1"/>
      <c r="AJ4081" s="1"/>
      <c r="AN4081" s="1"/>
      <c r="AS4081" s="1"/>
      <c r="AX4081" s="1"/>
    </row>
    <row r="4082" spans="1:50" x14ac:dyDescent="0.3">
      <c r="A4082" s="19">
        <f t="shared" si="319"/>
        <v>51629</v>
      </c>
      <c r="B4082">
        <f t="shared" ca="1" si="315"/>
        <v>-15.213888888888889</v>
      </c>
      <c r="C4082" t="str">
        <f ca="1">IF(currency="USD",'Future et co'!D4082,IF(currency="EUR",'Future et co'!E4082,IF(currency="GBP",'Future et co'!F4082,FALSE)))</f>
        <v>RFR USD</v>
      </c>
      <c r="D4082" t="str">
        <f t="shared" ca="1" si="316"/>
        <v>RFR USD</v>
      </c>
      <c r="E4082" t="str">
        <f t="shared" ca="1" si="317"/>
        <v>RFR EUR</v>
      </c>
      <c r="F4082" t="str">
        <f t="shared" ca="1" si="318"/>
        <v>RFR GBP</v>
      </c>
      <c r="J4082" s="1"/>
      <c r="N4082" s="1"/>
      <c r="R4082" s="1"/>
      <c r="V4082" s="1"/>
      <c r="AB4082" s="1"/>
      <c r="AF4082" s="1"/>
      <c r="AJ4082" s="1"/>
      <c r="AN4082" s="1"/>
      <c r="AS4082" s="1"/>
      <c r="AX4082" s="1"/>
    </row>
    <row r="4083" spans="1:50" x14ac:dyDescent="0.3">
      <c r="A4083" s="19">
        <f t="shared" si="319"/>
        <v>51630</v>
      </c>
      <c r="B4083">
        <f t="shared" ca="1" si="315"/>
        <v>-15.216666666666667</v>
      </c>
      <c r="C4083" t="str">
        <f ca="1">IF(currency="USD",'Future et co'!D4083,IF(currency="EUR",'Future et co'!E4083,IF(currency="GBP",'Future et co'!F4083,FALSE)))</f>
        <v>RFR USD</v>
      </c>
      <c r="D4083" t="str">
        <f t="shared" ca="1" si="316"/>
        <v>RFR USD</v>
      </c>
      <c r="E4083" t="str">
        <f t="shared" ca="1" si="317"/>
        <v>RFR EUR</v>
      </c>
      <c r="F4083" t="str">
        <f t="shared" ca="1" si="318"/>
        <v>RFR GBP</v>
      </c>
      <c r="J4083" s="1"/>
      <c r="N4083" s="1"/>
      <c r="R4083" s="1"/>
      <c r="V4083" s="1"/>
      <c r="AB4083" s="1"/>
      <c r="AF4083" s="1"/>
      <c r="AJ4083" s="1"/>
      <c r="AN4083" s="1"/>
      <c r="AS4083" s="1"/>
      <c r="AX4083" s="1"/>
    </row>
    <row r="4084" spans="1:50" x14ac:dyDescent="0.3">
      <c r="A4084" s="19">
        <f t="shared" si="319"/>
        <v>51631</v>
      </c>
      <c r="B4084">
        <f t="shared" ca="1" si="315"/>
        <v>-15.219444444444445</v>
      </c>
      <c r="C4084" t="str">
        <f ca="1">IF(currency="USD",'Future et co'!D4084,IF(currency="EUR",'Future et co'!E4084,IF(currency="GBP",'Future et co'!F4084,FALSE)))</f>
        <v>RFR USD</v>
      </c>
      <c r="D4084" t="str">
        <f t="shared" ca="1" si="316"/>
        <v>RFR USD</v>
      </c>
      <c r="E4084" t="str">
        <f t="shared" ca="1" si="317"/>
        <v>RFR EUR</v>
      </c>
      <c r="F4084" t="str">
        <f t="shared" ca="1" si="318"/>
        <v>RFR GBP</v>
      </c>
      <c r="J4084" s="1"/>
      <c r="N4084" s="1"/>
      <c r="R4084" s="1"/>
      <c r="V4084" s="1"/>
      <c r="AB4084" s="1"/>
      <c r="AF4084" s="1"/>
      <c r="AJ4084" s="1"/>
      <c r="AN4084" s="1"/>
      <c r="AS4084" s="1"/>
      <c r="AX4084" s="1"/>
    </row>
    <row r="4085" spans="1:50" x14ac:dyDescent="0.3">
      <c r="A4085" s="19">
        <f t="shared" si="319"/>
        <v>51634</v>
      </c>
      <c r="B4085">
        <f t="shared" ca="1" si="315"/>
        <v>-15.227777777777778</v>
      </c>
      <c r="C4085" t="str">
        <f ca="1">IF(currency="USD",'Future et co'!D4085,IF(currency="EUR",'Future et co'!E4085,IF(currency="GBP",'Future et co'!F4085,FALSE)))</f>
        <v>RFR USD</v>
      </c>
      <c r="D4085" t="str">
        <f t="shared" ca="1" si="316"/>
        <v>RFR USD</v>
      </c>
      <c r="E4085" t="str">
        <f t="shared" ca="1" si="317"/>
        <v>RFR EUR</v>
      </c>
      <c r="F4085" t="str">
        <f t="shared" ca="1" si="318"/>
        <v>RFR GBP</v>
      </c>
      <c r="J4085" s="1"/>
      <c r="N4085" s="1"/>
      <c r="R4085" s="1"/>
      <c r="V4085" s="1"/>
      <c r="AB4085" s="1"/>
      <c r="AF4085" s="1"/>
      <c r="AJ4085" s="1"/>
      <c r="AN4085" s="1"/>
      <c r="AS4085" s="1"/>
      <c r="AX4085" s="1"/>
    </row>
    <row r="4086" spans="1:50" x14ac:dyDescent="0.3">
      <c r="A4086" s="19">
        <f t="shared" si="319"/>
        <v>51635</v>
      </c>
      <c r="B4086">
        <f t="shared" ca="1" si="315"/>
        <v>-15.230555555555556</v>
      </c>
      <c r="C4086" t="str">
        <f ca="1">IF(currency="USD",'Future et co'!D4086,IF(currency="EUR",'Future et co'!E4086,IF(currency="GBP",'Future et co'!F4086,FALSE)))</f>
        <v>RFR USD</v>
      </c>
      <c r="D4086" t="str">
        <f t="shared" ca="1" si="316"/>
        <v>RFR USD</v>
      </c>
      <c r="E4086" t="str">
        <f t="shared" ca="1" si="317"/>
        <v>RFR EUR</v>
      </c>
      <c r="F4086" t="str">
        <f t="shared" ca="1" si="318"/>
        <v>RFR GBP</v>
      </c>
      <c r="J4086" s="1"/>
      <c r="N4086" s="1"/>
      <c r="R4086" s="1"/>
      <c r="V4086" s="1"/>
      <c r="AB4086" s="1"/>
      <c r="AF4086" s="1"/>
      <c r="AJ4086" s="1"/>
      <c r="AN4086" s="1"/>
      <c r="AS4086" s="1"/>
      <c r="AX4086" s="1"/>
    </row>
    <row r="4087" spans="1:50" x14ac:dyDescent="0.3">
      <c r="A4087" s="19">
        <f t="shared" si="319"/>
        <v>51636</v>
      </c>
      <c r="B4087">
        <f t="shared" ca="1" si="315"/>
        <v>-15.233333333333333</v>
      </c>
      <c r="C4087" t="str">
        <f ca="1">IF(currency="USD",'Future et co'!D4087,IF(currency="EUR",'Future et co'!E4087,IF(currency="GBP",'Future et co'!F4087,FALSE)))</f>
        <v>RFR USD</v>
      </c>
      <c r="D4087" t="str">
        <f t="shared" ca="1" si="316"/>
        <v>RFR USD</v>
      </c>
      <c r="E4087" t="str">
        <f t="shared" ca="1" si="317"/>
        <v>RFR EUR</v>
      </c>
      <c r="F4087" t="str">
        <f t="shared" ca="1" si="318"/>
        <v>RFR GBP</v>
      </c>
      <c r="J4087" s="1"/>
      <c r="N4087" s="1"/>
      <c r="R4087" s="1"/>
      <c r="V4087" s="1"/>
      <c r="AB4087" s="1"/>
      <c r="AF4087" s="1"/>
      <c r="AJ4087" s="1"/>
      <c r="AN4087" s="1"/>
      <c r="AS4087" s="1"/>
      <c r="AX4087" s="1"/>
    </row>
    <row r="4088" spans="1:50" x14ac:dyDescent="0.3">
      <c r="A4088" s="19">
        <f t="shared" si="319"/>
        <v>51637</v>
      </c>
      <c r="B4088">
        <f t="shared" ca="1" si="315"/>
        <v>-15.236111111111111</v>
      </c>
      <c r="C4088" t="str">
        <f ca="1">IF(currency="USD",'Future et co'!D4088,IF(currency="EUR",'Future et co'!E4088,IF(currency="GBP",'Future et co'!F4088,FALSE)))</f>
        <v>RFR USD</v>
      </c>
      <c r="D4088" t="str">
        <f t="shared" ca="1" si="316"/>
        <v>RFR USD</v>
      </c>
      <c r="E4088" t="str">
        <f t="shared" ca="1" si="317"/>
        <v>RFR EUR</v>
      </c>
      <c r="F4088" t="str">
        <f t="shared" ca="1" si="318"/>
        <v>RFR GBP</v>
      </c>
      <c r="J4088" s="1"/>
      <c r="N4088" s="1"/>
      <c r="R4088" s="1"/>
      <c r="V4088" s="1"/>
      <c r="AB4088" s="1"/>
      <c r="AF4088" s="1"/>
      <c r="AJ4088" s="1"/>
      <c r="AN4088" s="1"/>
      <c r="AS4088" s="1"/>
      <c r="AX4088" s="1"/>
    </row>
    <row r="4089" spans="1:50" x14ac:dyDescent="0.3">
      <c r="A4089" s="19">
        <f t="shared" si="319"/>
        <v>51638</v>
      </c>
      <c r="B4089">
        <f t="shared" ca="1" si="315"/>
        <v>-15.238888888888889</v>
      </c>
      <c r="C4089" t="str">
        <f ca="1">IF(currency="USD",'Future et co'!D4089,IF(currency="EUR",'Future et co'!E4089,IF(currency="GBP",'Future et co'!F4089,FALSE)))</f>
        <v>RFR USD</v>
      </c>
      <c r="D4089" t="str">
        <f t="shared" ca="1" si="316"/>
        <v>RFR USD</v>
      </c>
      <c r="E4089" t="str">
        <f t="shared" ca="1" si="317"/>
        <v>RFR EUR</v>
      </c>
      <c r="F4089" t="str">
        <f t="shared" ca="1" si="318"/>
        <v>RFR GBP</v>
      </c>
      <c r="J4089" s="1"/>
      <c r="N4089" s="1"/>
      <c r="R4089" s="1"/>
      <c r="V4089" s="1"/>
      <c r="AB4089" s="1"/>
      <c r="AF4089" s="1"/>
      <c r="AJ4089" s="1"/>
      <c r="AN4089" s="1"/>
      <c r="AS4089" s="1"/>
      <c r="AX4089" s="1"/>
    </row>
    <row r="4090" spans="1:50" x14ac:dyDescent="0.3">
      <c r="A4090" s="19">
        <f t="shared" si="319"/>
        <v>51641</v>
      </c>
      <c r="B4090">
        <f t="shared" ca="1" si="315"/>
        <v>-15.247222222222222</v>
      </c>
      <c r="C4090" t="str">
        <f ca="1">IF(currency="USD",'Future et co'!D4090,IF(currency="EUR",'Future et co'!E4090,IF(currency="GBP",'Future et co'!F4090,FALSE)))</f>
        <v>RFR USD</v>
      </c>
      <c r="D4090" t="str">
        <f t="shared" ca="1" si="316"/>
        <v>RFR USD</v>
      </c>
      <c r="E4090" t="str">
        <f t="shared" ca="1" si="317"/>
        <v>RFR EUR</v>
      </c>
      <c r="F4090" t="str">
        <f t="shared" ca="1" si="318"/>
        <v>RFR GBP</v>
      </c>
      <c r="J4090" s="1"/>
      <c r="N4090" s="1"/>
      <c r="R4090" s="1"/>
      <c r="V4090" s="1"/>
      <c r="AB4090" s="1"/>
      <c r="AF4090" s="1"/>
      <c r="AJ4090" s="1"/>
      <c r="AN4090" s="1"/>
      <c r="AS4090" s="1"/>
      <c r="AX4090" s="1"/>
    </row>
    <row r="4091" spans="1:50" x14ac:dyDescent="0.3">
      <c r="A4091" s="19">
        <f t="shared" si="319"/>
        <v>51642</v>
      </c>
      <c r="B4091">
        <f t="shared" ca="1" si="315"/>
        <v>-15.25</v>
      </c>
      <c r="C4091" t="str">
        <f ca="1">IF(currency="USD",'Future et co'!D4091,IF(currency="EUR",'Future et co'!E4091,IF(currency="GBP",'Future et co'!F4091,FALSE)))</f>
        <v>RFR USD</v>
      </c>
      <c r="D4091" t="str">
        <f t="shared" ca="1" si="316"/>
        <v>RFR USD</v>
      </c>
      <c r="E4091" t="str">
        <f t="shared" ca="1" si="317"/>
        <v>RFR EUR</v>
      </c>
      <c r="F4091" t="str">
        <f t="shared" ca="1" si="318"/>
        <v>RFR GBP</v>
      </c>
      <c r="J4091" s="1"/>
      <c r="N4091" s="1"/>
      <c r="R4091" s="1"/>
      <c r="V4091" s="1"/>
      <c r="AB4091" s="1"/>
      <c r="AF4091" s="1"/>
      <c r="AJ4091" s="1"/>
      <c r="AN4091" s="1"/>
      <c r="AS4091" s="1"/>
      <c r="AX4091" s="1"/>
    </row>
    <row r="4092" spans="1:50" x14ac:dyDescent="0.3">
      <c r="A4092" s="19">
        <f t="shared" si="319"/>
        <v>51643</v>
      </c>
      <c r="B4092">
        <f t="shared" ca="1" si="315"/>
        <v>-15.252777777777778</v>
      </c>
      <c r="C4092" t="str">
        <f ca="1">IF(currency="USD",'Future et co'!D4092,IF(currency="EUR",'Future et co'!E4092,IF(currency="GBP",'Future et co'!F4092,FALSE)))</f>
        <v>RFR USD</v>
      </c>
      <c r="D4092" t="str">
        <f t="shared" ca="1" si="316"/>
        <v>RFR USD</v>
      </c>
      <c r="E4092" t="str">
        <f t="shared" ca="1" si="317"/>
        <v>RFR EUR</v>
      </c>
      <c r="F4092" t="str">
        <f t="shared" ca="1" si="318"/>
        <v>RFR GBP</v>
      </c>
      <c r="J4092" s="1"/>
      <c r="N4092" s="1"/>
      <c r="R4092" s="1"/>
      <c r="V4092" s="1"/>
      <c r="AB4092" s="1"/>
      <c r="AF4092" s="1"/>
      <c r="AJ4092" s="1"/>
      <c r="AN4092" s="1"/>
      <c r="AS4092" s="1"/>
      <c r="AX4092" s="1"/>
    </row>
    <row r="4093" spans="1:50" x14ac:dyDescent="0.3">
      <c r="A4093" s="19">
        <f t="shared" si="319"/>
        <v>51644</v>
      </c>
      <c r="B4093">
        <f t="shared" ca="1" si="315"/>
        <v>-15.255555555555556</v>
      </c>
      <c r="C4093" t="str">
        <f ca="1">IF(currency="USD",'Future et co'!D4093,IF(currency="EUR",'Future et co'!E4093,IF(currency="GBP",'Future et co'!F4093,FALSE)))</f>
        <v>RFR USD</v>
      </c>
      <c r="D4093" t="str">
        <f t="shared" ca="1" si="316"/>
        <v>RFR USD</v>
      </c>
      <c r="E4093" t="str">
        <f t="shared" ca="1" si="317"/>
        <v>RFR EUR</v>
      </c>
      <c r="F4093" t="str">
        <f t="shared" ca="1" si="318"/>
        <v>RFR GBP</v>
      </c>
      <c r="J4093" s="1"/>
      <c r="N4093" s="1"/>
      <c r="R4093" s="1"/>
      <c r="V4093" s="1"/>
      <c r="AB4093" s="1"/>
      <c r="AF4093" s="1"/>
      <c r="AJ4093" s="1"/>
      <c r="AN4093" s="1"/>
      <c r="AS4093" s="1"/>
      <c r="AX4093" s="1"/>
    </row>
    <row r="4094" spans="1:50" x14ac:dyDescent="0.3">
      <c r="A4094" s="19">
        <f t="shared" si="319"/>
        <v>51645</v>
      </c>
      <c r="B4094">
        <f t="shared" ca="1" si="315"/>
        <v>-15.258333333333333</v>
      </c>
      <c r="C4094" t="str">
        <f ca="1">IF(currency="USD",'Future et co'!D4094,IF(currency="EUR",'Future et co'!E4094,IF(currency="GBP",'Future et co'!F4094,FALSE)))</f>
        <v>RFR USD</v>
      </c>
      <c r="D4094" t="str">
        <f t="shared" ca="1" si="316"/>
        <v>RFR USD</v>
      </c>
      <c r="E4094" t="str">
        <f t="shared" ca="1" si="317"/>
        <v>RFR EUR</v>
      </c>
      <c r="F4094" t="str">
        <f t="shared" ca="1" si="318"/>
        <v>RFR GBP</v>
      </c>
      <c r="J4094" s="1"/>
      <c r="N4094" s="1"/>
      <c r="R4094" s="1"/>
      <c r="V4094" s="1"/>
      <c r="AB4094" s="1"/>
      <c r="AF4094" s="1"/>
      <c r="AJ4094" s="1"/>
      <c r="AN4094" s="1"/>
      <c r="AS4094" s="1"/>
      <c r="AX4094" s="1"/>
    </row>
    <row r="4095" spans="1:50" x14ac:dyDescent="0.3">
      <c r="A4095" s="19">
        <f t="shared" si="319"/>
        <v>51648</v>
      </c>
      <c r="B4095">
        <f t="shared" ca="1" si="315"/>
        <v>-15.266666666666667</v>
      </c>
      <c r="C4095" t="str">
        <f ca="1">IF(currency="USD",'Future et co'!D4095,IF(currency="EUR",'Future et co'!E4095,IF(currency="GBP",'Future et co'!F4095,FALSE)))</f>
        <v>RFR USD</v>
      </c>
      <c r="D4095" t="str">
        <f t="shared" ca="1" si="316"/>
        <v>RFR USD</v>
      </c>
      <c r="E4095" t="str">
        <f t="shared" ca="1" si="317"/>
        <v>RFR EUR</v>
      </c>
      <c r="F4095" t="str">
        <f t="shared" ca="1" si="318"/>
        <v>RFR GBP</v>
      </c>
      <c r="J4095" s="1"/>
      <c r="N4095" s="1"/>
      <c r="R4095" s="1"/>
      <c r="V4095" s="1"/>
      <c r="AB4095" s="1"/>
      <c r="AF4095" s="1"/>
      <c r="AJ4095" s="1"/>
      <c r="AN4095" s="1"/>
      <c r="AS4095" s="1"/>
      <c r="AX4095" s="1"/>
    </row>
    <row r="4096" spans="1:50" x14ac:dyDescent="0.3">
      <c r="A4096" s="19">
        <f t="shared" si="319"/>
        <v>51649</v>
      </c>
      <c r="B4096">
        <f t="shared" ca="1" si="315"/>
        <v>-15.269444444444444</v>
      </c>
      <c r="C4096" t="str">
        <f ca="1">IF(currency="USD",'Future et co'!D4096,IF(currency="EUR",'Future et co'!E4096,IF(currency="GBP",'Future et co'!F4096,FALSE)))</f>
        <v>RFR USD</v>
      </c>
      <c r="D4096" t="str">
        <f t="shared" ca="1" si="316"/>
        <v>RFR USD</v>
      </c>
      <c r="E4096" t="str">
        <f t="shared" ca="1" si="317"/>
        <v>RFR EUR</v>
      </c>
      <c r="F4096" t="str">
        <f t="shared" ca="1" si="318"/>
        <v>RFR GBP</v>
      </c>
      <c r="J4096" s="1"/>
      <c r="N4096" s="1"/>
      <c r="R4096" s="1"/>
      <c r="V4096" s="1"/>
      <c r="AB4096" s="1"/>
      <c r="AF4096" s="1"/>
      <c r="AJ4096" s="1"/>
      <c r="AN4096" s="1"/>
      <c r="AS4096" s="1"/>
      <c r="AX4096" s="1"/>
    </row>
    <row r="4097" spans="1:50" x14ac:dyDescent="0.3">
      <c r="A4097" s="19">
        <f t="shared" si="319"/>
        <v>51650</v>
      </c>
      <c r="B4097">
        <f t="shared" ca="1" si="315"/>
        <v>-15.272222222222222</v>
      </c>
      <c r="C4097" t="str">
        <f ca="1">IF(currency="USD",'Future et co'!D4097,IF(currency="EUR",'Future et co'!E4097,IF(currency="GBP",'Future et co'!F4097,FALSE)))</f>
        <v>RFR USD</v>
      </c>
      <c r="D4097" t="str">
        <f t="shared" ca="1" si="316"/>
        <v>RFR USD</v>
      </c>
      <c r="E4097" t="str">
        <f t="shared" ca="1" si="317"/>
        <v>RFR EUR</v>
      </c>
      <c r="F4097" t="str">
        <f t="shared" ca="1" si="318"/>
        <v>RFR GBP</v>
      </c>
      <c r="J4097" s="1"/>
      <c r="N4097" s="1"/>
      <c r="R4097" s="1"/>
      <c r="V4097" s="1"/>
      <c r="AB4097" s="1"/>
      <c r="AF4097" s="1"/>
      <c r="AJ4097" s="1"/>
      <c r="AN4097" s="1"/>
      <c r="AS4097" s="1"/>
      <c r="AX4097" s="1"/>
    </row>
    <row r="4098" spans="1:50" x14ac:dyDescent="0.3">
      <c r="A4098" s="19">
        <f t="shared" si="319"/>
        <v>51651</v>
      </c>
      <c r="B4098">
        <f t="shared" ca="1" si="315"/>
        <v>-15.275</v>
      </c>
      <c r="C4098" t="str">
        <f ca="1">IF(currency="USD",'Future et co'!D4098,IF(currency="EUR",'Future et co'!E4098,IF(currency="GBP",'Future et co'!F4098,FALSE)))</f>
        <v>RFR USD</v>
      </c>
      <c r="D4098" t="str">
        <f t="shared" ca="1" si="316"/>
        <v>RFR USD</v>
      </c>
      <c r="E4098" t="str">
        <f t="shared" ca="1" si="317"/>
        <v>RFR EUR</v>
      </c>
      <c r="F4098" t="str">
        <f t="shared" ca="1" si="318"/>
        <v>RFR GBP</v>
      </c>
      <c r="J4098" s="1"/>
      <c r="N4098" s="1"/>
      <c r="R4098" s="1"/>
      <c r="V4098" s="1"/>
      <c r="AB4098" s="1"/>
      <c r="AF4098" s="1"/>
      <c r="AJ4098" s="1"/>
      <c r="AN4098" s="1"/>
      <c r="AS4098" s="1"/>
      <c r="AX4098" s="1"/>
    </row>
    <row r="4099" spans="1:50" x14ac:dyDescent="0.3">
      <c r="A4099" s="19">
        <f t="shared" si="319"/>
        <v>51652</v>
      </c>
      <c r="B4099">
        <f t="shared" ca="1" si="315"/>
        <v>-15.277777777777779</v>
      </c>
      <c r="C4099" t="str">
        <f ca="1">IF(currency="USD",'Future et co'!D4099,IF(currency="EUR",'Future et co'!E4099,IF(currency="GBP",'Future et co'!F4099,FALSE)))</f>
        <v>RFR USD</v>
      </c>
      <c r="D4099" t="str">
        <f t="shared" ca="1" si="316"/>
        <v>RFR USD</v>
      </c>
      <c r="E4099" t="str">
        <f t="shared" ca="1" si="317"/>
        <v>RFR EUR</v>
      </c>
      <c r="F4099" t="str">
        <f t="shared" ca="1" si="318"/>
        <v>RFR GBP</v>
      </c>
      <c r="J4099" s="1"/>
      <c r="N4099" s="1"/>
      <c r="R4099" s="1"/>
      <c r="V4099" s="1"/>
      <c r="AB4099" s="1"/>
      <c r="AF4099" s="1"/>
      <c r="AJ4099" s="1"/>
      <c r="AN4099" s="1"/>
      <c r="AS4099" s="1"/>
      <c r="AX4099" s="1"/>
    </row>
    <row r="4100" spans="1:50" x14ac:dyDescent="0.3">
      <c r="A4100" s="19">
        <f t="shared" si="319"/>
        <v>51655</v>
      </c>
      <c r="B4100">
        <f t="shared" ca="1" si="315"/>
        <v>-15.286111111111111</v>
      </c>
      <c r="C4100" t="str">
        <f ca="1">IF(currency="USD",'Future et co'!D4100,IF(currency="EUR",'Future et co'!E4100,IF(currency="GBP",'Future et co'!F4100,FALSE)))</f>
        <v>RFR USD</v>
      </c>
      <c r="D4100" t="str">
        <f t="shared" ca="1" si="316"/>
        <v>RFR USD</v>
      </c>
      <c r="E4100" t="str">
        <f t="shared" ca="1" si="317"/>
        <v>RFR EUR</v>
      </c>
      <c r="F4100" t="str">
        <f t="shared" ca="1" si="318"/>
        <v>RFR GBP</v>
      </c>
      <c r="J4100" s="1"/>
      <c r="N4100" s="1"/>
      <c r="R4100" s="1"/>
      <c r="V4100" s="1"/>
      <c r="AB4100" s="1"/>
      <c r="AF4100" s="1"/>
      <c r="AJ4100" s="1"/>
      <c r="AN4100" s="1"/>
      <c r="AS4100" s="1"/>
      <c r="AX4100" s="1"/>
    </row>
    <row r="4101" spans="1:50" x14ac:dyDescent="0.3">
      <c r="A4101" s="19">
        <f t="shared" si="319"/>
        <v>51656</v>
      </c>
      <c r="B4101">
        <f t="shared" ca="1" si="315"/>
        <v>-15.28888888888889</v>
      </c>
      <c r="C4101" t="str">
        <f ca="1">IF(currency="USD",'Future et co'!D4101,IF(currency="EUR",'Future et co'!E4101,IF(currency="GBP",'Future et co'!F4101,FALSE)))</f>
        <v>RFR USD</v>
      </c>
      <c r="D4101" t="str">
        <f t="shared" ca="1" si="316"/>
        <v>RFR USD</v>
      </c>
      <c r="E4101" t="str">
        <f t="shared" ca="1" si="317"/>
        <v>RFR EUR</v>
      </c>
      <c r="F4101" t="str">
        <f t="shared" ca="1" si="318"/>
        <v>RFR GBP</v>
      </c>
      <c r="J4101" s="1"/>
      <c r="N4101" s="1"/>
      <c r="R4101" s="1"/>
      <c r="V4101" s="1"/>
      <c r="AB4101" s="1"/>
      <c r="AF4101" s="1"/>
      <c r="AJ4101" s="1"/>
      <c r="AN4101" s="1"/>
      <c r="AS4101" s="1"/>
      <c r="AX4101" s="1"/>
    </row>
    <row r="4102" spans="1:50" x14ac:dyDescent="0.3">
      <c r="A4102" s="19">
        <f t="shared" si="319"/>
        <v>51657</v>
      </c>
      <c r="B4102">
        <f t="shared" ca="1" si="315"/>
        <v>-15.291666666666666</v>
      </c>
      <c r="C4102" t="str">
        <f ca="1">IF(currency="USD",'Future et co'!D4102,IF(currency="EUR",'Future et co'!E4102,IF(currency="GBP",'Future et co'!F4102,FALSE)))</f>
        <v>RFR USD</v>
      </c>
      <c r="D4102" t="str">
        <f t="shared" ca="1" si="316"/>
        <v>RFR USD</v>
      </c>
      <c r="E4102" t="str">
        <f t="shared" ca="1" si="317"/>
        <v>RFR EUR</v>
      </c>
      <c r="F4102" t="str">
        <f t="shared" ca="1" si="318"/>
        <v>RFR GBP</v>
      </c>
      <c r="J4102" s="1"/>
      <c r="N4102" s="1"/>
      <c r="R4102" s="1"/>
      <c r="V4102" s="1"/>
      <c r="AB4102" s="1"/>
      <c r="AF4102" s="1"/>
      <c r="AJ4102" s="1"/>
      <c r="AN4102" s="1"/>
      <c r="AS4102" s="1"/>
      <c r="AX4102" s="1"/>
    </row>
    <row r="4103" spans="1:50" x14ac:dyDescent="0.3">
      <c r="A4103" s="19">
        <f t="shared" si="319"/>
        <v>51658</v>
      </c>
      <c r="B4103">
        <f t="shared" ca="1" si="315"/>
        <v>-15.294444444444444</v>
      </c>
      <c r="C4103" t="str">
        <f ca="1">IF(currency="USD",'Future et co'!D4103,IF(currency="EUR",'Future et co'!E4103,IF(currency="GBP",'Future et co'!F4103,FALSE)))</f>
        <v>RFR USD</v>
      </c>
      <c r="D4103" t="str">
        <f t="shared" ca="1" si="316"/>
        <v>RFR USD</v>
      </c>
      <c r="E4103" t="str">
        <f t="shared" ca="1" si="317"/>
        <v>RFR EUR</v>
      </c>
      <c r="F4103" t="str">
        <f t="shared" ca="1" si="318"/>
        <v>RFR GBP</v>
      </c>
      <c r="J4103" s="1"/>
      <c r="N4103" s="1"/>
      <c r="R4103" s="1"/>
      <c r="V4103" s="1"/>
      <c r="AB4103" s="1"/>
      <c r="AF4103" s="1"/>
      <c r="AJ4103" s="1"/>
      <c r="AN4103" s="1"/>
      <c r="AS4103" s="1"/>
      <c r="AX4103" s="1"/>
    </row>
    <row r="4104" spans="1:50" x14ac:dyDescent="0.3">
      <c r="A4104" s="19">
        <f t="shared" si="319"/>
        <v>51659</v>
      </c>
      <c r="B4104">
        <f t="shared" ca="1" si="315"/>
        <v>-15.297222222222222</v>
      </c>
      <c r="C4104" t="str">
        <f ca="1">IF(currency="USD",'Future et co'!D4104,IF(currency="EUR",'Future et co'!E4104,IF(currency="GBP",'Future et co'!F4104,FALSE)))</f>
        <v>RFR USD</v>
      </c>
      <c r="D4104" t="str">
        <f t="shared" ca="1" si="316"/>
        <v>RFR USD</v>
      </c>
      <c r="E4104" t="str">
        <f t="shared" ca="1" si="317"/>
        <v>RFR EUR</v>
      </c>
      <c r="F4104" t="str">
        <f t="shared" ca="1" si="318"/>
        <v>RFR GBP</v>
      </c>
      <c r="J4104" s="1"/>
      <c r="N4104" s="1"/>
      <c r="R4104" s="1"/>
      <c r="V4104" s="1"/>
      <c r="AB4104" s="1"/>
      <c r="AF4104" s="1"/>
      <c r="AJ4104" s="1"/>
      <c r="AN4104" s="1"/>
      <c r="AS4104" s="1"/>
      <c r="AX4104" s="1"/>
    </row>
    <row r="4105" spans="1:50" x14ac:dyDescent="0.3">
      <c r="A4105" s="19">
        <f t="shared" si="319"/>
        <v>51662</v>
      </c>
      <c r="B4105">
        <f t="shared" ca="1" si="315"/>
        <v>-15.305555555555555</v>
      </c>
      <c r="C4105" t="str">
        <f ca="1">IF(currency="USD",'Future et co'!D4105,IF(currency="EUR",'Future et co'!E4105,IF(currency="GBP",'Future et co'!F4105,FALSE)))</f>
        <v>RFR USD</v>
      </c>
      <c r="D4105" t="str">
        <f t="shared" ca="1" si="316"/>
        <v>RFR USD</v>
      </c>
      <c r="E4105" t="str">
        <f t="shared" ca="1" si="317"/>
        <v>RFR EUR</v>
      </c>
      <c r="F4105" t="str">
        <f t="shared" ca="1" si="318"/>
        <v>RFR GBP</v>
      </c>
      <c r="J4105" s="1"/>
      <c r="N4105" s="1"/>
      <c r="R4105" s="1"/>
      <c r="V4105" s="1"/>
      <c r="AB4105" s="1"/>
      <c r="AF4105" s="1"/>
      <c r="AJ4105" s="1"/>
      <c r="AN4105" s="1"/>
      <c r="AS4105" s="1"/>
      <c r="AX4105" s="1"/>
    </row>
    <row r="4106" spans="1:50" x14ac:dyDescent="0.3">
      <c r="A4106" s="19">
        <f t="shared" si="319"/>
        <v>51663</v>
      </c>
      <c r="B4106">
        <f t="shared" ca="1" si="315"/>
        <v>-15.308333333333334</v>
      </c>
      <c r="C4106" t="str">
        <f ca="1">IF(currency="USD",'Future et co'!D4106,IF(currency="EUR",'Future et co'!E4106,IF(currency="GBP",'Future et co'!F4106,FALSE)))</f>
        <v>RFR USD</v>
      </c>
      <c r="D4106" t="str">
        <f t="shared" ca="1" si="316"/>
        <v>RFR USD</v>
      </c>
      <c r="E4106" t="str">
        <f t="shared" ca="1" si="317"/>
        <v>RFR EUR</v>
      </c>
      <c r="F4106" t="str">
        <f t="shared" ca="1" si="318"/>
        <v>RFR GBP</v>
      </c>
      <c r="J4106" s="1"/>
      <c r="N4106" s="1"/>
      <c r="R4106" s="1"/>
      <c r="V4106" s="1"/>
      <c r="AB4106" s="1"/>
      <c r="AF4106" s="1"/>
      <c r="AJ4106" s="1"/>
      <c r="AN4106" s="1"/>
      <c r="AS4106" s="1"/>
      <c r="AX4106" s="1"/>
    </row>
    <row r="4107" spans="1:50" x14ac:dyDescent="0.3">
      <c r="A4107" s="19">
        <f t="shared" si="319"/>
        <v>51664</v>
      </c>
      <c r="B4107">
        <f t="shared" ref="B4107:B4170" ca="1" si="320">($B$7-A4107)/360</f>
        <v>-15.311111111111112</v>
      </c>
      <c r="C4107" t="str">
        <f ca="1">IF(currency="USD",'Future et co'!D4107,IF(currency="EUR",'Future et co'!E4107,IF(currency="GBP",'Future et co'!F4107,FALSE)))</f>
        <v>RFR USD</v>
      </c>
      <c r="D4107" t="str">
        <f t="shared" ref="D4107:D4170" ca="1" si="321">IFERROR(IF(B4107&lt;0.25,VLOOKUP(A4107,$J$11:$L$5325,3,FALSE),IF(AND(B4107&gt;=0.25,B4107&lt;0.5),VLOOKUP(A4107,$N$11:$P$5325,3,FALSE),IF(AND(B4107&gt;=0.5,B4107&lt;1),VLOOKUP(A4107,$R$11:$T$5325,3,FALSE),VLOOKUP(A4107,$V$11:$X$5010,3,FALSE)))),D4106)</f>
        <v>RFR USD</v>
      </c>
      <c r="E4107" t="str">
        <f t="shared" ref="E4107:E4170" ca="1" si="322">IFERROR(IF(B4107&lt;0.25,VLOOKUP(A4107,$AF$11:$AH$5325,3,FALSE),IF(AND(B4107&gt;=0.25,B4107&lt;0.5),VLOOKUP(A4107,$AJ$11:$AL$5325,3,FALSE),VLOOKUP(A4107,$AN$11:$AP$5325,3,FALSE))),E4106)</f>
        <v>RFR EUR</v>
      </c>
      <c r="F4107" t="str">
        <f t="shared" ref="F4107:F4170" ca="1" si="323">IFERROR(VLOOKUP(A4107,$AS$11:$AU$9999,3,FALSE),F4106)</f>
        <v>RFR GBP</v>
      </c>
      <c r="J4107" s="1"/>
      <c r="N4107" s="1"/>
      <c r="R4107" s="1"/>
      <c r="V4107" s="1"/>
      <c r="AB4107" s="1"/>
      <c r="AF4107" s="1"/>
      <c r="AJ4107" s="1"/>
      <c r="AN4107" s="1"/>
      <c r="AS4107" s="1"/>
      <c r="AX4107" s="1"/>
    </row>
    <row r="4108" spans="1:50" x14ac:dyDescent="0.3">
      <c r="A4108" s="19">
        <f t="shared" si="319"/>
        <v>51665</v>
      </c>
      <c r="B4108">
        <f t="shared" ca="1" si="320"/>
        <v>-15.313888888888888</v>
      </c>
      <c r="C4108" t="str">
        <f ca="1">IF(currency="USD",'Future et co'!D4108,IF(currency="EUR",'Future et co'!E4108,IF(currency="GBP",'Future et co'!F4108,FALSE)))</f>
        <v>RFR USD</v>
      </c>
      <c r="D4108" t="str">
        <f t="shared" ca="1" si="321"/>
        <v>RFR USD</v>
      </c>
      <c r="E4108" t="str">
        <f t="shared" ca="1" si="322"/>
        <v>RFR EUR</v>
      </c>
      <c r="F4108" t="str">
        <f t="shared" ca="1" si="323"/>
        <v>RFR GBP</v>
      </c>
      <c r="J4108" s="1"/>
      <c r="N4108" s="1"/>
      <c r="R4108" s="1"/>
      <c r="V4108" s="1"/>
      <c r="AB4108" s="1"/>
      <c r="AF4108" s="1"/>
      <c r="AJ4108" s="1"/>
      <c r="AN4108" s="1"/>
      <c r="AS4108" s="1"/>
      <c r="AX4108" s="1"/>
    </row>
    <row r="4109" spans="1:50" x14ac:dyDescent="0.3">
      <c r="A4109" s="19">
        <f t="shared" ref="A4109:A4172" si="324">WORKDAY(A4108,1)</f>
        <v>51666</v>
      </c>
      <c r="B4109">
        <f t="shared" ca="1" si="320"/>
        <v>-15.316666666666666</v>
      </c>
      <c r="C4109" t="str">
        <f ca="1">IF(currency="USD",'Future et co'!D4109,IF(currency="EUR",'Future et co'!E4109,IF(currency="GBP",'Future et co'!F4109,FALSE)))</f>
        <v>RFR USD</v>
      </c>
      <c r="D4109" t="str">
        <f t="shared" ca="1" si="321"/>
        <v>RFR USD</v>
      </c>
      <c r="E4109" t="str">
        <f t="shared" ca="1" si="322"/>
        <v>RFR EUR</v>
      </c>
      <c r="F4109" t="str">
        <f t="shared" ca="1" si="323"/>
        <v>RFR GBP</v>
      </c>
      <c r="J4109" s="1"/>
      <c r="N4109" s="1"/>
      <c r="R4109" s="1"/>
      <c r="V4109" s="1"/>
      <c r="AB4109" s="1"/>
      <c r="AF4109" s="1"/>
      <c r="AJ4109" s="1"/>
      <c r="AN4109" s="1"/>
      <c r="AS4109" s="1"/>
      <c r="AX4109" s="1"/>
    </row>
    <row r="4110" spans="1:50" x14ac:dyDescent="0.3">
      <c r="A4110" s="19">
        <f t="shared" si="324"/>
        <v>51669</v>
      </c>
      <c r="B4110">
        <f t="shared" ca="1" si="320"/>
        <v>-15.324999999999999</v>
      </c>
      <c r="C4110" t="str">
        <f ca="1">IF(currency="USD",'Future et co'!D4110,IF(currency="EUR",'Future et co'!E4110,IF(currency="GBP",'Future et co'!F4110,FALSE)))</f>
        <v>RFR USD</v>
      </c>
      <c r="D4110" t="str">
        <f t="shared" ca="1" si="321"/>
        <v>RFR USD</v>
      </c>
      <c r="E4110" t="str">
        <f t="shared" ca="1" si="322"/>
        <v>RFR EUR</v>
      </c>
      <c r="F4110" t="str">
        <f t="shared" ca="1" si="323"/>
        <v>RFR GBP</v>
      </c>
      <c r="J4110" s="1"/>
      <c r="N4110" s="1"/>
      <c r="R4110" s="1"/>
      <c r="V4110" s="1"/>
      <c r="AB4110" s="1"/>
      <c r="AF4110" s="1"/>
      <c r="AJ4110" s="1"/>
      <c r="AN4110" s="1"/>
      <c r="AS4110" s="1"/>
      <c r="AX4110" s="1"/>
    </row>
    <row r="4111" spans="1:50" x14ac:dyDescent="0.3">
      <c r="A4111" s="19">
        <f t="shared" si="324"/>
        <v>51670</v>
      </c>
      <c r="B4111">
        <f t="shared" ca="1" si="320"/>
        <v>-15.327777777777778</v>
      </c>
      <c r="C4111" t="str">
        <f ca="1">IF(currency="USD",'Future et co'!D4111,IF(currency="EUR",'Future et co'!E4111,IF(currency="GBP",'Future et co'!F4111,FALSE)))</f>
        <v>RFR USD</v>
      </c>
      <c r="D4111" t="str">
        <f t="shared" ca="1" si="321"/>
        <v>RFR USD</v>
      </c>
      <c r="E4111" t="str">
        <f t="shared" ca="1" si="322"/>
        <v>RFR EUR</v>
      </c>
      <c r="F4111" t="str">
        <f t="shared" ca="1" si="323"/>
        <v>RFR GBP</v>
      </c>
      <c r="J4111" s="1"/>
      <c r="N4111" s="1"/>
      <c r="R4111" s="1"/>
      <c r="V4111" s="1"/>
      <c r="AB4111" s="1"/>
      <c r="AF4111" s="1"/>
      <c r="AJ4111" s="1"/>
      <c r="AN4111" s="1"/>
      <c r="AS4111" s="1"/>
      <c r="AX4111" s="1"/>
    </row>
    <row r="4112" spans="1:50" x14ac:dyDescent="0.3">
      <c r="A4112" s="19">
        <f t="shared" si="324"/>
        <v>51671</v>
      </c>
      <c r="B4112">
        <f t="shared" ca="1" si="320"/>
        <v>-15.330555555555556</v>
      </c>
      <c r="C4112" t="str">
        <f ca="1">IF(currency="USD",'Future et co'!D4112,IF(currency="EUR",'Future et co'!E4112,IF(currency="GBP",'Future et co'!F4112,FALSE)))</f>
        <v>RFR USD</v>
      </c>
      <c r="D4112" t="str">
        <f t="shared" ca="1" si="321"/>
        <v>RFR USD</v>
      </c>
      <c r="E4112" t="str">
        <f t="shared" ca="1" si="322"/>
        <v>RFR EUR</v>
      </c>
      <c r="F4112" t="str">
        <f t="shared" ca="1" si="323"/>
        <v>RFR GBP</v>
      </c>
      <c r="J4112" s="1"/>
      <c r="N4112" s="1"/>
      <c r="R4112" s="1"/>
      <c r="V4112" s="1"/>
      <c r="AB4112" s="1"/>
      <c r="AF4112" s="1"/>
      <c r="AJ4112" s="1"/>
      <c r="AN4112" s="1"/>
      <c r="AS4112" s="1"/>
      <c r="AX4112" s="1"/>
    </row>
    <row r="4113" spans="1:50" x14ac:dyDescent="0.3">
      <c r="A4113" s="19">
        <f t="shared" si="324"/>
        <v>51672</v>
      </c>
      <c r="B4113">
        <f t="shared" ca="1" si="320"/>
        <v>-15.333333333333334</v>
      </c>
      <c r="C4113" t="str">
        <f ca="1">IF(currency="USD",'Future et co'!D4113,IF(currency="EUR",'Future et co'!E4113,IF(currency="GBP",'Future et co'!F4113,FALSE)))</f>
        <v>RFR USD</v>
      </c>
      <c r="D4113" t="str">
        <f t="shared" ca="1" si="321"/>
        <v>RFR USD</v>
      </c>
      <c r="E4113" t="str">
        <f t="shared" ca="1" si="322"/>
        <v>RFR EUR</v>
      </c>
      <c r="F4113" t="str">
        <f t="shared" ca="1" si="323"/>
        <v>RFR GBP</v>
      </c>
      <c r="J4113" s="1"/>
      <c r="N4113" s="1"/>
      <c r="R4113" s="1"/>
      <c r="V4113" s="1"/>
      <c r="AB4113" s="1"/>
      <c r="AF4113" s="1"/>
      <c r="AJ4113" s="1"/>
      <c r="AN4113" s="1"/>
      <c r="AS4113" s="1"/>
      <c r="AX4113" s="1"/>
    </row>
    <row r="4114" spans="1:50" x14ac:dyDescent="0.3">
      <c r="A4114" s="19">
        <f t="shared" si="324"/>
        <v>51673</v>
      </c>
      <c r="B4114">
        <f t="shared" ca="1" si="320"/>
        <v>-15.33611111111111</v>
      </c>
      <c r="C4114" t="str">
        <f ca="1">IF(currency="USD",'Future et co'!D4114,IF(currency="EUR",'Future et co'!E4114,IF(currency="GBP",'Future et co'!F4114,FALSE)))</f>
        <v>RFR USD</v>
      </c>
      <c r="D4114" t="str">
        <f t="shared" ca="1" si="321"/>
        <v>RFR USD</v>
      </c>
      <c r="E4114" t="str">
        <f t="shared" ca="1" si="322"/>
        <v>RFR EUR</v>
      </c>
      <c r="F4114" t="str">
        <f t="shared" ca="1" si="323"/>
        <v>RFR GBP</v>
      </c>
      <c r="J4114" s="1"/>
      <c r="N4114" s="1"/>
      <c r="R4114" s="1"/>
      <c r="V4114" s="1"/>
      <c r="AB4114" s="1"/>
      <c r="AF4114" s="1"/>
      <c r="AJ4114" s="1"/>
      <c r="AN4114" s="1"/>
      <c r="AS4114" s="1"/>
      <c r="AX4114" s="1"/>
    </row>
    <row r="4115" spans="1:50" x14ac:dyDescent="0.3">
      <c r="A4115" s="19">
        <f t="shared" si="324"/>
        <v>51676</v>
      </c>
      <c r="B4115">
        <f t="shared" ca="1" si="320"/>
        <v>-15.344444444444445</v>
      </c>
      <c r="C4115" t="str">
        <f ca="1">IF(currency="USD",'Future et co'!D4115,IF(currency="EUR",'Future et co'!E4115,IF(currency="GBP",'Future et co'!F4115,FALSE)))</f>
        <v>RFR USD</v>
      </c>
      <c r="D4115" t="str">
        <f t="shared" ca="1" si="321"/>
        <v>RFR USD</v>
      </c>
      <c r="E4115" t="str">
        <f t="shared" ca="1" si="322"/>
        <v>RFR EUR</v>
      </c>
      <c r="F4115" t="str">
        <f t="shared" ca="1" si="323"/>
        <v>RFR GBP</v>
      </c>
      <c r="J4115" s="1"/>
      <c r="N4115" s="1"/>
      <c r="R4115" s="1"/>
      <c r="V4115" s="1"/>
      <c r="AB4115" s="1"/>
      <c r="AF4115" s="1"/>
      <c r="AJ4115" s="1"/>
      <c r="AN4115" s="1"/>
      <c r="AS4115" s="1"/>
      <c r="AX4115" s="1"/>
    </row>
    <row r="4116" spans="1:50" x14ac:dyDescent="0.3">
      <c r="A4116" s="19">
        <f t="shared" si="324"/>
        <v>51677</v>
      </c>
      <c r="B4116">
        <f t="shared" ca="1" si="320"/>
        <v>-15.347222222222221</v>
      </c>
      <c r="C4116" t="str">
        <f ca="1">IF(currency="USD",'Future et co'!D4116,IF(currency="EUR",'Future et co'!E4116,IF(currency="GBP",'Future et co'!F4116,FALSE)))</f>
        <v>RFR USD</v>
      </c>
      <c r="D4116" t="str">
        <f t="shared" ca="1" si="321"/>
        <v>RFR USD</v>
      </c>
      <c r="E4116" t="str">
        <f t="shared" ca="1" si="322"/>
        <v>RFR EUR</v>
      </c>
      <c r="F4116" t="str">
        <f t="shared" ca="1" si="323"/>
        <v>RFR GBP</v>
      </c>
      <c r="J4116" s="1"/>
      <c r="N4116" s="1"/>
      <c r="R4116" s="1"/>
      <c r="V4116" s="1"/>
      <c r="AB4116" s="1"/>
      <c r="AF4116" s="1"/>
      <c r="AJ4116" s="1"/>
      <c r="AN4116" s="1"/>
      <c r="AS4116" s="1"/>
      <c r="AX4116" s="1"/>
    </row>
    <row r="4117" spans="1:50" x14ac:dyDescent="0.3">
      <c r="A4117" s="19">
        <f t="shared" si="324"/>
        <v>51678</v>
      </c>
      <c r="B4117">
        <f t="shared" ca="1" si="320"/>
        <v>-15.35</v>
      </c>
      <c r="C4117" t="str">
        <f ca="1">IF(currency="USD",'Future et co'!D4117,IF(currency="EUR",'Future et co'!E4117,IF(currency="GBP",'Future et co'!F4117,FALSE)))</f>
        <v>RFR USD</v>
      </c>
      <c r="D4117" t="str">
        <f t="shared" ca="1" si="321"/>
        <v>RFR USD</v>
      </c>
      <c r="E4117" t="str">
        <f t="shared" ca="1" si="322"/>
        <v>RFR EUR</v>
      </c>
      <c r="F4117" t="str">
        <f t="shared" ca="1" si="323"/>
        <v>RFR GBP</v>
      </c>
      <c r="J4117" s="1"/>
      <c r="N4117" s="1"/>
      <c r="R4117" s="1"/>
      <c r="V4117" s="1"/>
      <c r="AB4117" s="1"/>
      <c r="AF4117" s="1"/>
      <c r="AJ4117" s="1"/>
      <c r="AN4117" s="1"/>
      <c r="AS4117" s="1"/>
      <c r="AX4117" s="1"/>
    </row>
    <row r="4118" spans="1:50" x14ac:dyDescent="0.3">
      <c r="A4118" s="19">
        <f t="shared" si="324"/>
        <v>51679</v>
      </c>
      <c r="B4118">
        <f t="shared" ca="1" si="320"/>
        <v>-15.352777777777778</v>
      </c>
      <c r="C4118" t="str">
        <f ca="1">IF(currency="USD",'Future et co'!D4118,IF(currency="EUR",'Future et co'!E4118,IF(currency="GBP",'Future et co'!F4118,FALSE)))</f>
        <v>RFR USD</v>
      </c>
      <c r="D4118" t="str">
        <f t="shared" ca="1" si="321"/>
        <v>RFR USD</v>
      </c>
      <c r="E4118" t="str">
        <f t="shared" ca="1" si="322"/>
        <v>RFR EUR</v>
      </c>
      <c r="F4118" t="str">
        <f t="shared" ca="1" si="323"/>
        <v>RFR GBP</v>
      </c>
      <c r="J4118" s="1"/>
      <c r="N4118" s="1"/>
      <c r="R4118" s="1"/>
      <c r="V4118" s="1"/>
      <c r="AB4118" s="1"/>
      <c r="AF4118" s="1"/>
      <c r="AJ4118" s="1"/>
      <c r="AN4118" s="1"/>
      <c r="AS4118" s="1"/>
      <c r="AX4118" s="1"/>
    </row>
    <row r="4119" spans="1:50" x14ac:dyDescent="0.3">
      <c r="A4119" s="19">
        <f t="shared" si="324"/>
        <v>51680</v>
      </c>
      <c r="B4119">
        <f t="shared" ca="1" si="320"/>
        <v>-15.355555555555556</v>
      </c>
      <c r="C4119" t="str">
        <f ca="1">IF(currency="USD",'Future et co'!D4119,IF(currency="EUR",'Future et co'!E4119,IF(currency="GBP",'Future et co'!F4119,FALSE)))</f>
        <v>RFR USD</v>
      </c>
      <c r="D4119" t="str">
        <f t="shared" ca="1" si="321"/>
        <v>RFR USD</v>
      </c>
      <c r="E4119" t="str">
        <f t="shared" ca="1" si="322"/>
        <v>RFR EUR</v>
      </c>
      <c r="F4119" t="str">
        <f t="shared" ca="1" si="323"/>
        <v>RFR GBP</v>
      </c>
      <c r="J4119" s="1"/>
      <c r="N4119" s="1"/>
      <c r="R4119" s="1"/>
      <c r="V4119" s="1"/>
      <c r="AB4119" s="1"/>
      <c r="AF4119" s="1"/>
      <c r="AJ4119" s="1"/>
      <c r="AN4119" s="1"/>
      <c r="AS4119" s="1"/>
      <c r="AX4119" s="1"/>
    </row>
    <row r="4120" spans="1:50" x14ac:dyDescent="0.3">
      <c r="A4120" s="19">
        <f t="shared" si="324"/>
        <v>51683</v>
      </c>
      <c r="B4120">
        <f t="shared" ca="1" si="320"/>
        <v>-15.363888888888889</v>
      </c>
      <c r="C4120" t="str">
        <f ca="1">IF(currency="USD",'Future et co'!D4120,IF(currency="EUR",'Future et co'!E4120,IF(currency="GBP",'Future et co'!F4120,FALSE)))</f>
        <v>RFR USD</v>
      </c>
      <c r="D4120" t="str">
        <f t="shared" ca="1" si="321"/>
        <v>RFR USD</v>
      </c>
      <c r="E4120" t="str">
        <f t="shared" ca="1" si="322"/>
        <v>RFR EUR</v>
      </c>
      <c r="F4120" t="str">
        <f t="shared" ca="1" si="323"/>
        <v>RFR GBP</v>
      </c>
      <c r="J4120" s="1"/>
      <c r="N4120" s="1"/>
      <c r="R4120" s="1"/>
      <c r="V4120" s="1"/>
      <c r="AB4120" s="1"/>
      <c r="AF4120" s="1"/>
      <c r="AJ4120" s="1"/>
      <c r="AN4120" s="1"/>
      <c r="AS4120" s="1"/>
      <c r="AX4120" s="1"/>
    </row>
    <row r="4121" spans="1:50" x14ac:dyDescent="0.3">
      <c r="A4121" s="19">
        <f t="shared" si="324"/>
        <v>51684</v>
      </c>
      <c r="B4121">
        <f t="shared" ca="1" si="320"/>
        <v>-15.366666666666667</v>
      </c>
      <c r="C4121" t="str">
        <f ca="1">IF(currency="USD",'Future et co'!D4121,IF(currency="EUR",'Future et co'!E4121,IF(currency="GBP",'Future et co'!F4121,FALSE)))</f>
        <v>RFR USD</v>
      </c>
      <c r="D4121" t="str">
        <f t="shared" ca="1" si="321"/>
        <v>RFR USD</v>
      </c>
      <c r="E4121" t="str">
        <f t="shared" ca="1" si="322"/>
        <v>RFR EUR</v>
      </c>
      <c r="F4121" t="str">
        <f t="shared" ca="1" si="323"/>
        <v>RFR GBP</v>
      </c>
      <c r="J4121" s="1"/>
      <c r="N4121" s="1"/>
      <c r="R4121" s="1"/>
      <c r="V4121" s="1"/>
      <c r="AB4121" s="1"/>
      <c r="AF4121" s="1"/>
      <c r="AJ4121" s="1"/>
      <c r="AN4121" s="1"/>
      <c r="AS4121" s="1"/>
      <c r="AX4121" s="1"/>
    </row>
    <row r="4122" spans="1:50" x14ac:dyDescent="0.3">
      <c r="A4122" s="19">
        <f t="shared" si="324"/>
        <v>51685</v>
      </c>
      <c r="B4122">
        <f t="shared" ca="1" si="320"/>
        <v>-15.369444444444444</v>
      </c>
      <c r="C4122" t="str">
        <f ca="1">IF(currency="USD",'Future et co'!D4122,IF(currency="EUR",'Future et co'!E4122,IF(currency="GBP",'Future et co'!F4122,FALSE)))</f>
        <v>RFR USD</v>
      </c>
      <c r="D4122" t="str">
        <f t="shared" ca="1" si="321"/>
        <v>RFR USD</v>
      </c>
      <c r="E4122" t="str">
        <f t="shared" ca="1" si="322"/>
        <v>RFR EUR</v>
      </c>
      <c r="F4122" t="str">
        <f t="shared" ca="1" si="323"/>
        <v>RFR GBP</v>
      </c>
      <c r="J4122" s="1"/>
      <c r="N4122" s="1"/>
      <c r="R4122" s="1"/>
      <c r="V4122" s="1"/>
      <c r="AB4122" s="1"/>
      <c r="AF4122" s="1"/>
      <c r="AJ4122" s="1"/>
      <c r="AN4122" s="1"/>
      <c r="AS4122" s="1"/>
      <c r="AX4122" s="1"/>
    </row>
    <row r="4123" spans="1:50" x14ac:dyDescent="0.3">
      <c r="A4123" s="19">
        <f t="shared" si="324"/>
        <v>51686</v>
      </c>
      <c r="B4123">
        <f t="shared" ca="1" si="320"/>
        <v>-15.372222222222222</v>
      </c>
      <c r="C4123" t="str">
        <f ca="1">IF(currency="USD",'Future et co'!D4123,IF(currency="EUR",'Future et co'!E4123,IF(currency="GBP",'Future et co'!F4123,FALSE)))</f>
        <v>RFR USD</v>
      </c>
      <c r="D4123" t="str">
        <f t="shared" ca="1" si="321"/>
        <v>RFR USD</v>
      </c>
      <c r="E4123" t="str">
        <f t="shared" ca="1" si="322"/>
        <v>RFR EUR</v>
      </c>
      <c r="F4123" t="str">
        <f t="shared" ca="1" si="323"/>
        <v>RFR GBP</v>
      </c>
      <c r="J4123" s="1"/>
      <c r="N4123" s="1"/>
      <c r="R4123" s="1"/>
      <c r="V4123" s="1"/>
      <c r="AB4123" s="1"/>
      <c r="AF4123" s="1"/>
      <c r="AJ4123" s="1"/>
      <c r="AN4123" s="1"/>
      <c r="AS4123" s="1"/>
      <c r="AX4123" s="1"/>
    </row>
    <row r="4124" spans="1:50" x14ac:dyDescent="0.3">
      <c r="A4124" s="19">
        <f t="shared" si="324"/>
        <v>51687</v>
      </c>
      <c r="B4124">
        <f t="shared" ca="1" si="320"/>
        <v>-15.375</v>
      </c>
      <c r="C4124" t="str">
        <f ca="1">IF(currency="USD",'Future et co'!D4124,IF(currency="EUR",'Future et co'!E4124,IF(currency="GBP",'Future et co'!F4124,FALSE)))</f>
        <v>RFR USD</v>
      </c>
      <c r="D4124" t="str">
        <f t="shared" ca="1" si="321"/>
        <v>RFR USD</v>
      </c>
      <c r="E4124" t="str">
        <f t="shared" ca="1" si="322"/>
        <v>RFR EUR</v>
      </c>
      <c r="F4124" t="str">
        <f t="shared" ca="1" si="323"/>
        <v>RFR GBP</v>
      </c>
      <c r="J4124" s="1"/>
      <c r="N4124" s="1"/>
      <c r="R4124" s="1"/>
      <c r="V4124" s="1"/>
      <c r="AB4124" s="1"/>
      <c r="AF4124" s="1"/>
      <c r="AJ4124" s="1"/>
      <c r="AN4124" s="1"/>
      <c r="AS4124" s="1"/>
      <c r="AX4124" s="1"/>
    </row>
    <row r="4125" spans="1:50" x14ac:dyDescent="0.3">
      <c r="A4125" s="19">
        <f t="shared" si="324"/>
        <v>51690</v>
      </c>
      <c r="B4125">
        <f t="shared" ca="1" si="320"/>
        <v>-15.383333333333333</v>
      </c>
      <c r="C4125" t="str">
        <f ca="1">IF(currency="USD",'Future et co'!D4125,IF(currency="EUR",'Future et co'!E4125,IF(currency="GBP",'Future et co'!F4125,FALSE)))</f>
        <v>RFR USD</v>
      </c>
      <c r="D4125" t="str">
        <f t="shared" ca="1" si="321"/>
        <v>RFR USD</v>
      </c>
      <c r="E4125" t="str">
        <f t="shared" ca="1" si="322"/>
        <v>RFR EUR</v>
      </c>
      <c r="F4125" t="str">
        <f t="shared" ca="1" si="323"/>
        <v>RFR GBP</v>
      </c>
      <c r="J4125" s="1"/>
      <c r="N4125" s="1"/>
      <c r="R4125" s="1"/>
      <c r="V4125" s="1"/>
      <c r="AB4125" s="1"/>
      <c r="AF4125" s="1"/>
      <c r="AJ4125" s="1"/>
      <c r="AN4125" s="1"/>
      <c r="AS4125" s="1"/>
      <c r="AX4125" s="1"/>
    </row>
    <row r="4126" spans="1:50" x14ac:dyDescent="0.3">
      <c r="A4126" s="19">
        <f t="shared" si="324"/>
        <v>51691</v>
      </c>
      <c r="B4126">
        <f t="shared" ca="1" si="320"/>
        <v>-15.386111111111111</v>
      </c>
      <c r="C4126" t="str">
        <f ca="1">IF(currency="USD",'Future et co'!D4126,IF(currency="EUR",'Future et co'!E4126,IF(currency="GBP",'Future et co'!F4126,FALSE)))</f>
        <v>RFR USD</v>
      </c>
      <c r="D4126" t="str">
        <f t="shared" ca="1" si="321"/>
        <v>RFR USD</v>
      </c>
      <c r="E4126" t="str">
        <f t="shared" ca="1" si="322"/>
        <v>RFR EUR</v>
      </c>
      <c r="F4126" t="str">
        <f t="shared" ca="1" si="323"/>
        <v>RFR GBP</v>
      </c>
      <c r="J4126" s="1"/>
      <c r="N4126" s="1"/>
      <c r="R4126" s="1"/>
      <c r="V4126" s="1"/>
      <c r="AB4126" s="1"/>
      <c r="AF4126" s="1"/>
      <c r="AJ4126" s="1"/>
      <c r="AN4126" s="1"/>
      <c r="AS4126" s="1"/>
      <c r="AX4126" s="1"/>
    </row>
    <row r="4127" spans="1:50" x14ac:dyDescent="0.3">
      <c r="A4127" s="19">
        <f t="shared" si="324"/>
        <v>51692</v>
      </c>
      <c r="B4127">
        <f t="shared" ca="1" si="320"/>
        <v>-15.388888888888889</v>
      </c>
      <c r="C4127" t="str">
        <f ca="1">IF(currency="USD",'Future et co'!D4127,IF(currency="EUR",'Future et co'!E4127,IF(currency="GBP",'Future et co'!F4127,FALSE)))</f>
        <v>RFR USD</v>
      </c>
      <c r="D4127" t="str">
        <f t="shared" ca="1" si="321"/>
        <v>RFR USD</v>
      </c>
      <c r="E4127" t="str">
        <f t="shared" ca="1" si="322"/>
        <v>RFR EUR</v>
      </c>
      <c r="F4127" t="str">
        <f t="shared" ca="1" si="323"/>
        <v>RFR GBP</v>
      </c>
      <c r="J4127" s="1"/>
      <c r="N4127" s="1"/>
      <c r="R4127" s="1"/>
      <c r="V4127" s="1"/>
      <c r="AB4127" s="1"/>
      <c r="AF4127" s="1"/>
      <c r="AJ4127" s="1"/>
      <c r="AN4127" s="1"/>
      <c r="AS4127" s="1"/>
      <c r="AX4127" s="1"/>
    </row>
    <row r="4128" spans="1:50" x14ac:dyDescent="0.3">
      <c r="A4128" s="19">
        <f t="shared" si="324"/>
        <v>51693</v>
      </c>
      <c r="B4128">
        <f t="shared" ca="1" si="320"/>
        <v>-15.391666666666667</v>
      </c>
      <c r="C4128" t="str">
        <f ca="1">IF(currency="USD",'Future et co'!D4128,IF(currency="EUR",'Future et co'!E4128,IF(currency="GBP",'Future et co'!F4128,FALSE)))</f>
        <v>RFR USD</v>
      </c>
      <c r="D4128" t="str">
        <f t="shared" ca="1" si="321"/>
        <v>RFR USD</v>
      </c>
      <c r="E4128" t="str">
        <f t="shared" ca="1" si="322"/>
        <v>RFR EUR</v>
      </c>
      <c r="F4128" t="str">
        <f t="shared" ca="1" si="323"/>
        <v>RFR GBP</v>
      </c>
      <c r="J4128" s="1"/>
      <c r="N4128" s="1"/>
      <c r="R4128" s="1"/>
      <c r="V4128" s="1"/>
      <c r="AB4128" s="1"/>
      <c r="AF4128" s="1"/>
      <c r="AJ4128" s="1"/>
      <c r="AN4128" s="1"/>
      <c r="AS4128" s="1"/>
      <c r="AX4128" s="1"/>
    </row>
    <row r="4129" spans="1:50" x14ac:dyDescent="0.3">
      <c r="A4129" s="19">
        <f t="shared" si="324"/>
        <v>51694</v>
      </c>
      <c r="B4129">
        <f t="shared" ca="1" si="320"/>
        <v>-15.394444444444444</v>
      </c>
      <c r="C4129" t="str">
        <f ca="1">IF(currency="USD",'Future et co'!D4129,IF(currency="EUR",'Future et co'!E4129,IF(currency="GBP",'Future et co'!F4129,FALSE)))</f>
        <v>RFR USD</v>
      </c>
      <c r="D4129" t="str">
        <f t="shared" ca="1" si="321"/>
        <v>RFR USD</v>
      </c>
      <c r="E4129" t="str">
        <f t="shared" ca="1" si="322"/>
        <v>RFR EUR</v>
      </c>
      <c r="F4129" t="str">
        <f t="shared" ca="1" si="323"/>
        <v>RFR GBP</v>
      </c>
      <c r="J4129" s="1"/>
      <c r="N4129" s="1"/>
      <c r="R4129" s="1"/>
      <c r="V4129" s="1"/>
      <c r="AB4129" s="1"/>
      <c r="AF4129" s="1"/>
      <c r="AJ4129" s="1"/>
      <c r="AN4129" s="1"/>
      <c r="AS4129" s="1"/>
      <c r="AX4129" s="1"/>
    </row>
    <row r="4130" spans="1:50" x14ac:dyDescent="0.3">
      <c r="A4130" s="19">
        <f t="shared" si="324"/>
        <v>51697</v>
      </c>
      <c r="B4130">
        <f t="shared" ca="1" si="320"/>
        <v>-15.402777777777779</v>
      </c>
      <c r="C4130" t="str">
        <f ca="1">IF(currency="USD",'Future et co'!D4130,IF(currency="EUR",'Future et co'!E4130,IF(currency="GBP",'Future et co'!F4130,FALSE)))</f>
        <v>RFR USD</v>
      </c>
      <c r="D4130" t="str">
        <f t="shared" ca="1" si="321"/>
        <v>RFR USD</v>
      </c>
      <c r="E4130" t="str">
        <f t="shared" ca="1" si="322"/>
        <v>RFR EUR</v>
      </c>
      <c r="F4130" t="str">
        <f t="shared" ca="1" si="323"/>
        <v>RFR GBP</v>
      </c>
      <c r="J4130" s="1"/>
      <c r="N4130" s="1"/>
      <c r="R4130" s="1"/>
      <c r="V4130" s="1"/>
      <c r="AB4130" s="1"/>
      <c r="AF4130" s="1"/>
      <c r="AJ4130" s="1"/>
      <c r="AN4130" s="1"/>
      <c r="AS4130" s="1"/>
      <c r="AX4130" s="1"/>
    </row>
    <row r="4131" spans="1:50" x14ac:dyDescent="0.3">
      <c r="A4131" s="19">
        <f t="shared" si="324"/>
        <v>51698</v>
      </c>
      <c r="B4131">
        <f t="shared" ca="1" si="320"/>
        <v>-15.405555555555555</v>
      </c>
      <c r="C4131" t="str">
        <f ca="1">IF(currency="USD",'Future et co'!D4131,IF(currency="EUR",'Future et co'!E4131,IF(currency="GBP",'Future et co'!F4131,FALSE)))</f>
        <v>RFR USD</v>
      </c>
      <c r="D4131" t="str">
        <f t="shared" ca="1" si="321"/>
        <v>RFR USD</v>
      </c>
      <c r="E4131" t="str">
        <f t="shared" ca="1" si="322"/>
        <v>RFR EUR</v>
      </c>
      <c r="F4131" t="str">
        <f t="shared" ca="1" si="323"/>
        <v>RFR GBP</v>
      </c>
      <c r="J4131" s="1"/>
      <c r="N4131" s="1"/>
      <c r="R4131" s="1"/>
      <c r="V4131" s="1"/>
      <c r="AB4131" s="1"/>
      <c r="AF4131" s="1"/>
      <c r="AJ4131" s="1"/>
      <c r="AN4131" s="1"/>
      <c r="AS4131" s="1"/>
      <c r="AX4131" s="1"/>
    </row>
    <row r="4132" spans="1:50" x14ac:dyDescent="0.3">
      <c r="A4132" s="19">
        <f t="shared" si="324"/>
        <v>51699</v>
      </c>
      <c r="B4132">
        <f t="shared" ca="1" si="320"/>
        <v>-15.408333333333333</v>
      </c>
      <c r="C4132" t="str">
        <f ca="1">IF(currency="USD",'Future et co'!D4132,IF(currency="EUR",'Future et co'!E4132,IF(currency="GBP",'Future et co'!F4132,FALSE)))</f>
        <v>RFR USD</v>
      </c>
      <c r="D4132" t="str">
        <f t="shared" ca="1" si="321"/>
        <v>RFR USD</v>
      </c>
      <c r="E4132" t="str">
        <f t="shared" ca="1" si="322"/>
        <v>RFR EUR</v>
      </c>
      <c r="F4132" t="str">
        <f t="shared" ca="1" si="323"/>
        <v>RFR GBP</v>
      </c>
      <c r="J4132" s="1"/>
      <c r="N4132" s="1"/>
      <c r="R4132" s="1"/>
      <c r="V4132" s="1"/>
      <c r="AB4132" s="1"/>
      <c r="AF4132" s="1"/>
      <c r="AJ4132" s="1"/>
      <c r="AN4132" s="1"/>
      <c r="AS4132" s="1"/>
      <c r="AX4132" s="1"/>
    </row>
    <row r="4133" spans="1:50" x14ac:dyDescent="0.3">
      <c r="A4133" s="19">
        <f t="shared" si="324"/>
        <v>51700</v>
      </c>
      <c r="B4133">
        <f t="shared" ca="1" si="320"/>
        <v>-15.411111111111111</v>
      </c>
      <c r="C4133" t="str">
        <f ca="1">IF(currency="USD",'Future et co'!D4133,IF(currency="EUR",'Future et co'!E4133,IF(currency="GBP",'Future et co'!F4133,FALSE)))</f>
        <v>RFR USD</v>
      </c>
      <c r="D4133" t="str">
        <f t="shared" ca="1" si="321"/>
        <v>RFR USD</v>
      </c>
      <c r="E4133" t="str">
        <f t="shared" ca="1" si="322"/>
        <v>RFR EUR</v>
      </c>
      <c r="F4133" t="str">
        <f t="shared" ca="1" si="323"/>
        <v>RFR GBP</v>
      </c>
      <c r="J4133" s="1"/>
      <c r="N4133" s="1"/>
      <c r="R4133" s="1"/>
      <c r="V4133" s="1"/>
      <c r="AB4133" s="1"/>
      <c r="AF4133" s="1"/>
      <c r="AJ4133" s="1"/>
      <c r="AN4133" s="1"/>
      <c r="AS4133" s="1"/>
      <c r="AX4133" s="1"/>
    </row>
    <row r="4134" spans="1:50" x14ac:dyDescent="0.3">
      <c r="A4134" s="19">
        <f t="shared" si="324"/>
        <v>51701</v>
      </c>
      <c r="B4134">
        <f t="shared" ca="1" si="320"/>
        <v>-15.41388888888889</v>
      </c>
      <c r="C4134" t="str">
        <f ca="1">IF(currency="USD",'Future et co'!D4134,IF(currency="EUR",'Future et co'!E4134,IF(currency="GBP",'Future et co'!F4134,FALSE)))</f>
        <v>RFR USD</v>
      </c>
      <c r="D4134" t="str">
        <f t="shared" ca="1" si="321"/>
        <v>RFR USD</v>
      </c>
      <c r="E4134" t="str">
        <f t="shared" ca="1" si="322"/>
        <v>RFR EUR</v>
      </c>
      <c r="F4134" t="str">
        <f t="shared" ca="1" si="323"/>
        <v>RFR GBP</v>
      </c>
      <c r="J4134" s="1"/>
      <c r="N4134" s="1"/>
      <c r="R4134" s="1"/>
      <c r="V4134" s="1"/>
      <c r="AB4134" s="1"/>
      <c r="AF4134" s="1"/>
      <c r="AJ4134" s="1"/>
      <c r="AN4134" s="1"/>
      <c r="AS4134" s="1"/>
      <c r="AX4134" s="1"/>
    </row>
    <row r="4135" spans="1:50" x14ac:dyDescent="0.3">
      <c r="A4135" s="19">
        <f t="shared" si="324"/>
        <v>51704</v>
      </c>
      <c r="B4135">
        <f t="shared" ca="1" si="320"/>
        <v>-15.422222222222222</v>
      </c>
      <c r="C4135" t="str">
        <f ca="1">IF(currency="USD",'Future et co'!D4135,IF(currency="EUR",'Future et co'!E4135,IF(currency="GBP",'Future et co'!F4135,FALSE)))</f>
        <v>RFR USD</v>
      </c>
      <c r="D4135" t="str">
        <f t="shared" ca="1" si="321"/>
        <v>RFR USD</v>
      </c>
      <c r="E4135" t="str">
        <f t="shared" ca="1" si="322"/>
        <v>RFR EUR</v>
      </c>
      <c r="F4135" t="str">
        <f t="shared" ca="1" si="323"/>
        <v>RFR GBP</v>
      </c>
      <c r="J4135" s="1"/>
      <c r="N4135" s="1"/>
      <c r="R4135" s="1"/>
      <c r="V4135" s="1"/>
      <c r="AB4135" s="1"/>
      <c r="AF4135" s="1"/>
      <c r="AJ4135" s="1"/>
      <c r="AN4135" s="1"/>
      <c r="AS4135" s="1"/>
      <c r="AX4135" s="1"/>
    </row>
    <row r="4136" spans="1:50" x14ac:dyDescent="0.3">
      <c r="A4136" s="19">
        <f t="shared" si="324"/>
        <v>51705</v>
      </c>
      <c r="B4136">
        <f t="shared" ca="1" si="320"/>
        <v>-15.425000000000001</v>
      </c>
      <c r="C4136" t="str">
        <f ca="1">IF(currency="USD",'Future et co'!D4136,IF(currency="EUR",'Future et co'!E4136,IF(currency="GBP",'Future et co'!F4136,FALSE)))</f>
        <v>RFR USD</v>
      </c>
      <c r="D4136" t="str">
        <f t="shared" ca="1" si="321"/>
        <v>RFR USD</v>
      </c>
      <c r="E4136" t="str">
        <f t="shared" ca="1" si="322"/>
        <v>RFR EUR</v>
      </c>
      <c r="F4136" t="str">
        <f t="shared" ca="1" si="323"/>
        <v>RFR GBP</v>
      </c>
      <c r="J4136" s="1"/>
      <c r="N4136" s="1"/>
      <c r="R4136" s="1"/>
      <c r="V4136" s="1"/>
      <c r="AB4136" s="1"/>
      <c r="AF4136" s="1"/>
      <c r="AJ4136" s="1"/>
      <c r="AN4136" s="1"/>
      <c r="AS4136" s="1"/>
      <c r="AX4136" s="1"/>
    </row>
    <row r="4137" spans="1:50" x14ac:dyDescent="0.3">
      <c r="A4137" s="19">
        <f t="shared" si="324"/>
        <v>51706</v>
      </c>
      <c r="B4137">
        <f t="shared" ca="1" si="320"/>
        <v>-15.427777777777777</v>
      </c>
      <c r="C4137" t="str">
        <f ca="1">IF(currency="USD",'Future et co'!D4137,IF(currency="EUR",'Future et co'!E4137,IF(currency="GBP",'Future et co'!F4137,FALSE)))</f>
        <v>RFR USD</v>
      </c>
      <c r="D4137" t="str">
        <f t="shared" ca="1" si="321"/>
        <v>RFR USD</v>
      </c>
      <c r="E4137" t="str">
        <f t="shared" ca="1" si="322"/>
        <v>RFR EUR</v>
      </c>
      <c r="F4137" t="str">
        <f t="shared" ca="1" si="323"/>
        <v>RFR GBP</v>
      </c>
      <c r="J4137" s="1"/>
      <c r="N4137" s="1"/>
      <c r="R4137" s="1"/>
      <c r="V4137" s="1"/>
      <c r="AB4137" s="1"/>
      <c r="AF4137" s="1"/>
      <c r="AJ4137" s="1"/>
      <c r="AN4137" s="1"/>
      <c r="AS4137" s="1"/>
      <c r="AX4137" s="1"/>
    </row>
    <row r="4138" spans="1:50" x14ac:dyDescent="0.3">
      <c r="A4138" s="19">
        <f t="shared" si="324"/>
        <v>51707</v>
      </c>
      <c r="B4138">
        <f t="shared" ca="1" si="320"/>
        <v>-15.430555555555555</v>
      </c>
      <c r="C4138" t="str">
        <f ca="1">IF(currency="USD",'Future et co'!D4138,IF(currency="EUR",'Future et co'!E4138,IF(currency="GBP",'Future et co'!F4138,FALSE)))</f>
        <v>RFR USD</v>
      </c>
      <c r="D4138" t="str">
        <f t="shared" ca="1" si="321"/>
        <v>RFR USD</v>
      </c>
      <c r="E4138" t="str">
        <f t="shared" ca="1" si="322"/>
        <v>RFR EUR</v>
      </c>
      <c r="F4138" t="str">
        <f t="shared" ca="1" si="323"/>
        <v>RFR GBP</v>
      </c>
      <c r="J4138" s="1"/>
      <c r="N4138" s="1"/>
      <c r="R4138" s="1"/>
      <c r="V4138" s="1"/>
      <c r="AB4138" s="1"/>
      <c r="AF4138" s="1"/>
      <c r="AJ4138" s="1"/>
      <c r="AN4138" s="1"/>
      <c r="AS4138" s="1"/>
      <c r="AX4138" s="1"/>
    </row>
    <row r="4139" spans="1:50" x14ac:dyDescent="0.3">
      <c r="A4139" s="19">
        <f t="shared" si="324"/>
        <v>51708</v>
      </c>
      <c r="B4139">
        <f t="shared" ca="1" si="320"/>
        <v>-15.433333333333334</v>
      </c>
      <c r="C4139" t="str">
        <f ca="1">IF(currency="USD",'Future et co'!D4139,IF(currency="EUR",'Future et co'!E4139,IF(currency="GBP",'Future et co'!F4139,FALSE)))</f>
        <v>RFR USD</v>
      </c>
      <c r="D4139" t="str">
        <f t="shared" ca="1" si="321"/>
        <v>RFR USD</v>
      </c>
      <c r="E4139" t="str">
        <f t="shared" ca="1" si="322"/>
        <v>RFR EUR</v>
      </c>
      <c r="F4139" t="str">
        <f t="shared" ca="1" si="323"/>
        <v>RFR GBP</v>
      </c>
      <c r="J4139" s="1"/>
      <c r="N4139" s="1"/>
      <c r="R4139" s="1"/>
      <c r="V4139" s="1"/>
      <c r="AB4139" s="1"/>
      <c r="AF4139" s="1"/>
      <c r="AJ4139" s="1"/>
      <c r="AN4139" s="1"/>
      <c r="AS4139" s="1"/>
      <c r="AX4139" s="1"/>
    </row>
    <row r="4140" spans="1:50" x14ac:dyDescent="0.3">
      <c r="A4140" s="19">
        <f t="shared" si="324"/>
        <v>51711</v>
      </c>
      <c r="B4140">
        <f t="shared" ca="1" si="320"/>
        <v>-15.441666666666666</v>
      </c>
      <c r="C4140" t="str">
        <f ca="1">IF(currency="USD",'Future et co'!D4140,IF(currency="EUR",'Future et co'!E4140,IF(currency="GBP",'Future et co'!F4140,FALSE)))</f>
        <v>RFR USD</v>
      </c>
      <c r="D4140" t="str">
        <f t="shared" ca="1" si="321"/>
        <v>RFR USD</v>
      </c>
      <c r="E4140" t="str">
        <f t="shared" ca="1" si="322"/>
        <v>RFR EUR</v>
      </c>
      <c r="F4140" t="str">
        <f t="shared" ca="1" si="323"/>
        <v>RFR GBP</v>
      </c>
      <c r="J4140" s="1"/>
      <c r="N4140" s="1"/>
      <c r="R4140" s="1"/>
      <c r="V4140" s="1"/>
      <c r="AB4140" s="1"/>
      <c r="AF4140" s="1"/>
      <c r="AJ4140" s="1"/>
      <c r="AN4140" s="1"/>
      <c r="AS4140" s="1"/>
      <c r="AX4140" s="1"/>
    </row>
    <row r="4141" spans="1:50" x14ac:dyDescent="0.3">
      <c r="A4141" s="19">
        <f t="shared" si="324"/>
        <v>51712</v>
      </c>
      <c r="B4141">
        <f t="shared" ca="1" si="320"/>
        <v>-15.444444444444445</v>
      </c>
      <c r="C4141" t="str">
        <f ca="1">IF(currency="USD",'Future et co'!D4141,IF(currency="EUR",'Future et co'!E4141,IF(currency="GBP",'Future et co'!F4141,FALSE)))</f>
        <v>RFR USD</v>
      </c>
      <c r="D4141" t="str">
        <f t="shared" ca="1" si="321"/>
        <v>RFR USD</v>
      </c>
      <c r="E4141" t="str">
        <f t="shared" ca="1" si="322"/>
        <v>RFR EUR</v>
      </c>
      <c r="F4141" t="str">
        <f t="shared" ca="1" si="323"/>
        <v>RFR GBP</v>
      </c>
      <c r="J4141" s="1"/>
      <c r="N4141" s="1"/>
      <c r="R4141" s="1"/>
      <c r="V4141" s="1"/>
      <c r="AB4141" s="1"/>
      <c r="AF4141" s="1"/>
      <c r="AJ4141" s="1"/>
      <c r="AN4141" s="1"/>
      <c r="AS4141" s="1"/>
      <c r="AX4141" s="1"/>
    </row>
    <row r="4142" spans="1:50" x14ac:dyDescent="0.3">
      <c r="A4142" s="19">
        <f t="shared" si="324"/>
        <v>51713</v>
      </c>
      <c r="B4142">
        <f t="shared" ca="1" si="320"/>
        <v>-15.447222222222223</v>
      </c>
      <c r="C4142" t="str">
        <f ca="1">IF(currency="USD",'Future et co'!D4142,IF(currency="EUR",'Future et co'!E4142,IF(currency="GBP",'Future et co'!F4142,FALSE)))</f>
        <v>RFR USD</v>
      </c>
      <c r="D4142" t="str">
        <f t="shared" ca="1" si="321"/>
        <v>RFR USD</v>
      </c>
      <c r="E4142" t="str">
        <f t="shared" ca="1" si="322"/>
        <v>RFR EUR</v>
      </c>
      <c r="F4142" t="str">
        <f t="shared" ca="1" si="323"/>
        <v>RFR GBP</v>
      </c>
      <c r="J4142" s="1"/>
      <c r="N4142" s="1"/>
      <c r="R4142" s="1"/>
      <c r="V4142" s="1"/>
      <c r="AB4142" s="1"/>
      <c r="AF4142" s="1"/>
      <c r="AJ4142" s="1"/>
      <c r="AN4142" s="1"/>
      <c r="AS4142" s="1"/>
      <c r="AX4142" s="1"/>
    </row>
    <row r="4143" spans="1:50" x14ac:dyDescent="0.3">
      <c r="A4143" s="19">
        <f t="shared" si="324"/>
        <v>51714</v>
      </c>
      <c r="B4143">
        <f t="shared" ca="1" si="320"/>
        <v>-15.45</v>
      </c>
      <c r="C4143" t="str">
        <f ca="1">IF(currency="USD",'Future et co'!D4143,IF(currency="EUR",'Future et co'!E4143,IF(currency="GBP",'Future et co'!F4143,FALSE)))</f>
        <v>RFR USD</v>
      </c>
      <c r="D4143" t="str">
        <f t="shared" ca="1" si="321"/>
        <v>RFR USD</v>
      </c>
      <c r="E4143" t="str">
        <f t="shared" ca="1" si="322"/>
        <v>RFR EUR</v>
      </c>
      <c r="F4143" t="str">
        <f t="shared" ca="1" si="323"/>
        <v>RFR GBP</v>
      </c>
      <c r="J4143" s="1"/>
      <c r="N4143" s="1"/>
      <c r="R4143" s="1"/>
      <c r="V4143" s="1"/>
      <c r="AB4143" s="1"/>
      <c r="AF4143" s="1"/>
      <c r="AJ4143" s="1"/>
      <c r="AN4143" s="1"/>
      <c r="AS4143" s="1"/>
      <c r="AX4143" s="1"/>
    </row>
    <row r="4144" spans="1:50" x14ac:dyDescent="0.3">
      <c r="A4144" s="19">
        <f t="shared" si="324"/>
        <v>51715</v>
      </c>
      <c r="B4144">
        <f t="shared" ca="1" si="320"/>
        <v>-15.452777777777778</v>
      </c>
      <c r="C4144" t="str">
        <f ca="1">IF(currency="USD",'Future et co'!D4144,IF(currency="EUR",'Future et co'!E4144,IF(currency="GBP",'Future et co'!F4144,FALSE)))</f>
        <v>RFR USD</v>
      </c>
      <c r="D4144" t="str">
        <f t="shared" ca="1" si="321"/>
        <v>RFR USD</v>
      </c>
      <c r="E4144" t="str">
        <f t="shared" ca="1" si="322"/>
        <v>RFR EUR</v>
      </c>
      <c r="F4144" t="str">
        <f t="shared" ca="1" si="323"/>
        <v>RFR GBP</v>
      </c>
      <c r="J4144" s="1"/>
      <c r="N4144" s="1"/>
      <c r="R4144" s="1"/>
      <c r="V4144" s="1"/>
      <c r="AB4144" s="1"/>
      <c r="AF4144" s="1"/>
      <c r="AJ4144" s="1"/>
      <c r="AN4144" s="1"/>
      <c r="AS4144" s="1"/>
      <c r="AX4144" s="1"/>
    </row>
    <row r="4145" spans="1:50" x14ac:dyDescent="0.3">
      <c r="A4145" s="19">
        <f t="shared" si="324"/>
        <v>51718</v>
      </c>
      <c r="B4145">
        <f t="shared" ca="1" si="320"/>
        <v>-15.46111111111111</v>
      </c>
      <c r="C4145" t="str">
        <f ca="1">IF(currency="USD",'Future et co'!D4145,IF(currency="EUR",'Future et co'!E4145,IF(currency="GBP",'Future et co'!F4145,FALSE)))</f>
        <v>RFR USD</v>
      </c>
      <c r="D4145" t="str">
        <f t="shared" ca="1" si="321"/>
        <v>RFR USD</v>
      </c>
      <c r="E4145" t="str">
        <f t="shared" ca="1" si="322"/>
        <v>RFR EUR</v>
      </c>
      <c r="F4145" t="str">
        <f t="shared" ca="1" si="323"/>
        <v>RFR GBP</v>
      </c>
      <c r="J4145" s="1"/>
      <c r="N4145" s="1"/>
      <c r="R4145" s="1"/>
      <c r="V4145" s="1"/>
      <c r="AB4145" s="1"/>
      <c r="AF4145" s="1"/>
      <c r="AJ4145" s="1"/>
      <c r="AN4145" s="1"/>
      <c r="AS4145" s="1"/>
      <c r="AX4145" s="1"/>
    </row>
    <row r="4146" spans="1:50" x14ac:dyDescent="0.3">
      <c r="A4146" s="19">
        <f t="shared" si="324"/>
        <v>51719</v>
      </c>
      <c r="B4146">
        <f t="shared" ca="1" si="320"/>
        <v>-15.463888888888889</v>
      </c>
      <c r="C4146" t="str">
        <f ca="1">IF(currency="USD",'Future et co'!D4146,IF(currency="EUR",'Future et co'!E4146,IF(currency="GBP",'Future et co'!F4146,FALSE)))</f>
        <v>RFR USD</v>
      </c>
      <c r="D4146" t="str">
        <f t="shared" ca="1" si="321"/>
        <v>RFR USD</v>
      </c>
      <c r="E4146" t="str">
        <f t="shared" ca="1" si="322"/>
        <v>RFR EUR</v>
      </c>
      <c r="F4146" t="str">
        <f t="shared" ca="1" si="323"/>
        <v>RFR GBP</v>
      </c>
      <c r="J4146" s="1"/>
      <c r="N4146" s="1"/>
      <c r="R4146" s="1"/>
      <c r="V4146" s="1"/>
      <c r="AB4146" s="1"/>
      <c r="AF4146" s="1"/>
      <c r="AJ4146" s="1"/>
      <c r="AN4146" s="1"/>
      <c r="AS4146" s="1"/>
      <c r="AX4146" s="1"/>
    </row>
    <row r="4147" spans="1:50" x14ac:dyDescent="0.3">
      <c r="A4147" s="19">
        <f t="shared" si="324"/>
        <v>51720</v>
      </c>
      <c r="B4147">
        <f t="shared" ca="1" si="320"/>
        <v>-15.466666666666667</v>
      </c>
      <c r="C4147" t="str">
        <f ca="1">IF(currency="USD",'Future et co'!D4147,IF(currency="EUR",'Future et co'!E4147,IF(currency="GBP",'Future et co'!F4147,FALSE)))</f>
        <v>RFR USD</v>
      </c>
      <c r="D4147" t="str">
        <f t="shared" ca="1" si="321"/>
        <v>RFR USD</v>
      </c>
      <c r="E4147" t="str">
        <f t="shared" ca="1" si="322"/>
        <v>RFR EUR</v>
      </c>
      <c r="F4147" t="str">
        <f t="shared" ca="1" si="323"/>
        <v>RFR GBP</v>
      </c>
      <c r="J4147" s="1"/>
      <c r="N4147" s="1"/>
      <c r="R4147" s="1"/>
      <c r="V4147" s="1"/>
      <c r="AB4147" s="1"/>
      <c r="AF4147" s="1"/>
      <c r="AJ4147" s="1"/>
      <c r="AN4147" s="1"/>
      <c r="AS4147" s="1"/>
      <c r="AX4147" s="1"/>
    </row>
    <row r="4148" spans="1:50" x14ac:dyDescent="0.3">
      <c r="A4148" s="19">
        <f t="shared" si="324"/>
        <v>51721</v>
      </c>
      <c r="B4148">
        <f t="shared" ca="1" si="320"/>
        <v>-15.469444444444445</v>
      </c>
      <c r="C4148" t="str">
        <f ca="1">IF(currency="USD",'Future et co'!D4148,IF(currency="EUR",'Future et co'!E4148,IF(currency="GBP",'Future et co'!F4148,FALSE)))</f>
        <v>RFR USD</v>
      </c>
      <c r="D4148" t="str">
        <f t="shared" ca="1" si="321"/>
        <v>RFR USD</v>
      </c>
      <c r="E4148" t="str">
        <f t="shared" ca="1" si="322"/>
        <v>RFR EUR</v>
      </c>
      <c r="F4148" t="str">
        <f t="shared" ca="1" si="323"/>
        <v>RFR GBP</v>
      </c>
      <c r="J4148" s="1"/>
      <c r="N4148" s="1"/>
      <c r="R4148" s="1"/>
      <c r="V4148" s="1"/>
      <c r="AB4148" s="1"/>
      <c r="AF4148" s="1"/>
      <c r="AJ4148" s="1"/>
      <c r="AN4148" s="1"/>
      <c r="AS4148" s="1"/>
      <c r="AX4148" s="1"/>
    </row>
    <row r="4149" spans="1:50" x14ac:dyDescent="0.3">
      <c r="A4149" s="19">
        <f t="shared" si="324"/>
        <v>51722</v>
      </c>
      <c r="B4149">
        <f t="shared" ca="1" si="320"/>
        <v>-15.472222222222221</v>
      </c>
      <c r="C4149" t="str">
        <f ca="1">IF(currency="USD",'Future et co'!D4149,IF(currency="EUR",'Future et co'!E4149,IF(currency="GBP",'Future et co'!F4149,FALSE)))</f>
        <v>RFR USD</v>
      </c>
      <c r="D4149" t="str">
        <f t="shared" ca="1" si="321"/>
        <v>RFR USD</v>
      </c>
      <c r="E4149" t="str">
        <f t="shared" ca="1" si="322"/>
        <v>RFR EUR</v>
      </c>
      <c r="F4149" t="str">
        <f t="shared" ca="1" si="323"/>
        <v>RFR GBP</v>
      </c>
      <c r="J4149" s="1"/>
      <c r="N4149" s="1"/>
      <c r="R4149" s="1"/>
      <c r="V4149" s="1"/>
      <c r="AB4149" s="1"/>
      <c r="AF4149" s="1"/>
      <c r="AJ4149" s="1"/>
      <c r="AN4149" s="1"/>
      <c r="AS4149" s="1"/>
      <c r="AX4149" s="1"/>
    </row>
    <row r="4150" spans="1:50" x14ac:dyDescent="0.3">
      <c r="A4150" s="19">
        <f t="shared" si="324"/>
        <v>51725</v>
      </c>
      <c r="B4150">
        <f t="shared" ca="1" si="320"/>
        <v>-15.480555555555556</v>
      </c>
      <c r="C4150" t="str">
        <f ca="1">IF(currency="USD",'Future et co'!D4150,IF(currency="EUR",'Future et co'!E4150,IF(currency="GBP",'Future et co'!F4150,FALSE)))</f>
        <v>RFR USD</v>
      </c>
      <c r="D4150" t="str">
        <f t="shared" ca="1" si="321"/>
        <v>RFR USD</v>
      </c>
      <c r="E4150" t="str">
        <f t="shared" ca="1" si="322"/>
        <v>RFR EUR</v>
      </c>
      <c r="F4150" t="str">
        <f t="shared" ca="1" si="323"/>
        <v>RFR GBP</v>
      </c>
      <c r="J4150" s="1"/>
      <c r="N4150" s="1"/>
      <c r="R4150" s="1"/>
      <c r="V4150" s="1"/>
      <c r="AB4150" s="1"/>
      <c r="AF4150" s="1"/>
      <c r="AJ4150" s="1"/>
      <c r="AN4150" s="1"/>
      <c r="AS4150" s="1"/>
      <c r="AX4150" s="1"/>
    </row>
    <row r="4151" spans="1:50" x14ac:dyDescent="0.3">
      <c r="A4151" s="19">
        <f t="shared" si="324"/>
        <v>51726</v>
      </c>
      <c r="B4151">
        <f t="shared" ca="1" si="320"/>
        <v>-15.483333333333333</v>
      </c>
      <c r="C4151" t="str">
        <f ca="1">IF(currency="USD",'Future et co'!D4151,IF(currency="EUR",'Future et co'!E4151,IF(currency="GBP",'Future et co'!F4151,FALSE)))</f>
        <v>RFR USD</v>
      </c>
      <c r="D4151" t="str">
        <f t="shared" ca="1" si="321"/>
        <v>RFR USD</v>
      </c>
      <c r="E4151" t="str">
        <f t="shared" ca="1" si="322"/>
        <v>RFR EUR</v>
      </c>
      <c r="F4151" t="str">
        <f t="shared" ca="1" si="323"/>
        <v>RFR GBP</v>
      </c>
      <c r="J4151" s="1"/>
      <c r="N4151" s="1"/>
      <c r="R4151" s="1"/>
      <c r="V4151" s="1"/>
      <c r="AB4151" s="1"/>
      <c r="AF4151" s="1"/>
      <c r="AJ4151" s="1"/>
      <c r="AN4151" s="1"/>
      <c r="AS4151" s="1"/>
      <c r="AX4151" s="1"/>
    </row>
    <row r="4152" spans="1:50" x14ac:dyDescent="0.3">
      <c r="A4152" s="19">
        <f t="shared" si="324"/>
        <v>51727</v>
      </c>
      <c r="B4152">
        <f t="shared" ca="1" si="320"/>
        <v>-15.486111111111111</v>
      </c>
      <c r="C4152" t="str">
        <f ca="1">IF(currency="USD",'Future et co'!D4152,IF(currency="EUR",'Future et co'!E4152,IF(currency="GBP",'Future et co'!F4152,FALSE)))</f>
        <v>RFR USD</v>
      </c>
      <c r="D4152" t="str">
        <f t="shared" ca="1" si="321"/>
        <v>RFR USD</v>
      </c>
      <c r="E4152" t="str">
        <f t="shared" ca="1" si="322"/>
        <v>RFR EUR</v>
      </c>
      <c r="F4152" t="str">
        <f t="shared" ca="1" si="323"/>
        <v>RFR GBP</v>
      </c>
      <c r="J4152" s="1"/>
      <c r="N4152" s="1"/>
      <c r="R4152" s="1"/>
      <c r="V4152" s="1"/>
      <c r="AB4152" s="1"/>
      <c r="AF4152" s="1"/>
      <c r="AJ4152" s="1"/>
      <c r="AN4152" s="1"/>
      <c r="AS4152" s="1"/>
      <c r="AX4152" s="1"/>
    </row>
    <row r="4153" spans="1:50" x14ac:dyDescent="0.3">
      <c r="A4153" s="19">
        <f t="shared" si="324"/>
        <v>51728</v>
      </c>
      <c r="B4153">
        <f t="shared" ca="1" si="320"/>
        <v>-15.488888888888889</v>
      </c>
      <c r="C4153" t="str">
        <f ca="1">IF(currency="USD",'Future et co'!D4153,IF(currency="EUR",'Future et co'!E4153,IF(currency="GBP",'Future et co'!F4153,FALSE)))</f>
        <v>RFR USD</v>
      </c>
      <c r="D4153" t="str">
        <f t="shared" ca="1" si="321"/>
        <v>RFR USD</v>
      </c>
      <c r="E4153" t="str">
        <f t="shared" ca="1" si="322"/>
        <v>RFR EUR</v>
      </c>
      <c r="F4153" t="str">
        <f t="shared" ca="1" si="323"/>
        <v>RFR GBP</v>
      </c>
      <c r="J4153" s="1"/>
      <c r="N4153" s="1"/>
      <c r="R4153" s="1"/>
      <c r="V4153" s="1"/>
      <c r="AB4153" s="1"/>
      <c r="AF4153" s="1"/>
      <c r="AJ4153" s="1"/>
      <c r="AN4153" s="1"/>
      <c r="AS4153" s="1"/>
      <c r="AX4153" s="1"/>
    </row>
    <row r="4154" spans="1:50" x14ac:dyDescent="0.3">
      <c r="A4154" s="19">
        <f t="shared" si="324"/>
        <v>51729</v>
      </c>
      <c r="B4154">
        <f t="shared" ca="1" si="320"/>
        <v>-15.491666666666667</v>
      </c>
      <c r="C4154" t="str">
        <f ca="1">IF(currency="USD",'Future et co'!D4154,IF(currency="EUR",'Future et co'!E4154,IF(currency="GBP",'Future et co'!F4154,FALSE)))</f>
        <v>RFR USD</v>
      </c>
      <c r="D4154" t="str">
        <f t="shared" ca="1" si="321"/>
        <v>RFR USD</v>
      </c>
      <c r="E4154" t="str">
        <f t="shared" ca="1" si="322"/>
        <v>RFR EUR</v>
      </c>
      <c r="F4154" t="str">
        <f t="shared" ca="1" si="323"/>
        <v>RFR GBP</v>
      </c>
      <c r="J4154" s="1"/>
      <c r="N4154" s="1"/>
      <c r="R4154" s="1"/>
      <c r="V4154" s="1"/>
      <c r="AB4154" s="1"/>
      <c r="AF4154" s="1"/>
      <c r="AJ4154" s="1"/>
      <c r="AN4154" s="1"/>
      <c r="AS4154" s="1"/>
      <c r="AX4154" s="1"/>
    </row>
    <row r="4155" spans="1:50" x14ac:dyDescent="0.3">
      <c r="A4155" s="19">
        <f t="shared" si="324"/>
        <v>51732</v>
      </c>
      <c r="B4155">
        <f t="shared" ca="1" si="320"/>
        <v>-15.5</v>
      </c>
      <c r="C4155" t="str">
        <f ca="1">IF(currency="USD",'Future et co'!D4155,IF(currency="EUR",'Future et co'!E4155,IF(currency="GBP",'Future et co'!F4155,FALSE)))</f>
        <v>RFR USD</v>
      </c>
      <c r="D4155" t="str">
        <f t="shared" ca="1" si="321"/>
        <v>RFR USD</v>
      </c>
      <c r="E4155" t="str">
        <f t="shared" ca="1" si="322"/>
        <v>RFR EUR</v>
      </c>
      <c r="F4155" t="str">
        <f t="shared" ca="1" si="323"/>
        <v>RFR GBP</v>
      </c>
      <c r="J4155" s="1"/>
      <c r="N4155" s="1"/>
      <c r="R4155" s="1"/>
      <c r="V4155" s="1"/>
      <c r="AB4155" s="1"/>
      <c r="AF4155" s="1"/>
      <c r="AJ4155" s="1"/>
      <c r="AN4155" s="1"/>
      <c r="AS4155" s="1"/>
      <c r="AX4155" s="1"/>
    </row>
    <row r="4156" spans="1:50" x14ac:dyDescent="0.3">
      <c r="A4156" s="19">
        <f t="shared" si="324"/>
        <v>51733</v>
      </c>
      <c r="B4156">
        <f t="shared" ca="1" si="320"/>
        <v>-15.502777777777778</v>
      </c>
      <c r="C4156" t="str">
        <f ca="1">IF(currency="USD",'Future et co'!D4156,IF(currency="EUR",'Future et co'!E4156,IF(currency="GBP",'Future et co'!F4156,FALSE)))</f>
        <v>RFR USD</v>
      </c>
      <c r="D4156" t="str">
        <f t="shared" ca="1" si="321"/>
        <v>RFR USD</v>
      </c>
      <c r="E4156" t="str">
        <f t="shared" ca="1" si="322"/>
        <v>RFR EUR</v>
      </c>
      <c r="F4156" t="str">
        <f t="shared" ca="1" si="323"/>
        <v>RFR GBP</v>
      </c>
      <c r="J4156" s="1"/>
      <c r="N4156" s="1"/>
      <c r="R4156" s="1"/>
      <c r="V4156" s="1"/>
      <c r="AB4156" s="1"/>
      <c r="AF4156" s="1"/>
      <c r="AJ4156" s="1"/>
      <c r="AN4156" s="1"/>
      <c r="AS4156" s="1"/>
      <c r="AX4156" s="1"/>
    </row>
    <row r="4157" spans="1:50" x14ac:dyDescent="0.3">
      <c r="A4157" s="19">
        <f t="shared" si="324"/>
        <v>51734</v>
      </c>
      <c r="B4157">
        <f t="shared" ca="1" si="320"/>
        <v>-15.505555555555556</v>
      </c>
      <c r="C4157" t="str">
        <f ca="1">IF(currency="USD",'Future et co'!D4157,IF(currency="EUR",'Future et co'!E4157,IF(currency="GBP",'Future et co'!F4157,FALSE)))</f>
        <v>RFR USD</v>
      </c>
      <c r="D4157" t="str">
        <f t="shared" ca="1" si="321"/>
        <v>RFR USD</v>
      </c>
      <c r="E4157" t="str">
        <f t="shared" ca="1" si="322"/>
        <v>RFR EUR</v>
      </c>
      <c r="F4157" t="str">
        <f t="shared" ca="1" si="323"/>
        <v>RFR GBP</v>
      </c>
      <c r="J4157" s="1"/>
      <c r="N4157" s="1"/>
      <c r="R4157" s="1"/>
      <c r="V4157" s="1"/>
      <c r="AB4157" s="1"/>
      <c r="AF4157" s="1"/>
      <c r="AJ4157" s="1"/>
      <c r="AN4157" s="1"/>
      <c r="AS4157" s="1"/>
      <c r="AX4157" s="1"/>
    </row>
    <row r="4158" spans="1:50" x14ac:dyDescent="0.3">
      <c r="A4158" s="19">
        <f t="shared" si="324"/>
        <v>51735</v>
      </c>
      <c r="B4158">
        <f t="shared" ca="1" si="320"/>
        <v>-15.508333333333333</v>
      </c>
      <c r="C4158" t="str">
        <f ca="1">IF(currency="USD",'Future et co'!D4158,IF(currency="EUR",'Future et co'!E4158,IF(currency="GBP",'Future et co'!F4158,FALSE)))</f>
        <v>RFR USD</v>
      </c>
      <c r="D4158" t="str">
        <f t="shared" ca="1" si="321"/>
        <v>RFR USD</v>
      </c>
      <c r="E4158" t="str">
        <f t="shared" ca="1" si="322"/>
        <v>RFR EUR</v>
      </c>
      <c r="F4158" t="str">
        <f t="shared" ca="1" si="323"/>
        <v>RFR GBP</v>
      </c>
      <c r="J4158" s="1"/>
      <c r="N4158" s="1"/>
      <c r="R4158" s="1"/>
      <c r="V4158" s="1"/>
      <c r="AB4158" s="1"/>
      <c r="AF4158" s="1"/>
      <c r="AJ4158" s="1"/>
      <c r="AN4158" s="1"/>
      <c r="AS4158" s="1"/>
      <c r="AX4158" s="1"/>
    </row>
    <row r="4159" spans="1:50" x14ac:dyDescent="0.3">
      <c r="A4159" s="19">
        <f t="shared" si="324"/>
        <v>51736</v>
      </c>
      <c r="B4159">
        <f t="shared" ca="1" si="320"/>
        <v>-15.511111111111111</v>
      </c>
      <c r="C4159" t="str">
        <f ca="1">IF(currency="USD",'Future et co'!D4159,IF(currency="EUR",'Future et co'!E4159,IF(currency="GBP",'Future et co'!F4159,FALSE)))</f>
        <v>RFR USD</v>
      </c>
      <c r="D4159" t="str">
        <f t="shared" ca="1" si="321"/>
        <v>RFR USD</v>
      </c>
      <c r="E4159" t="str">
        <f t="shared" ca="1" si="322"/>
        <v>RFR EUR</v>
      </c>
      <c r="F4159" t="str">
        <f t="shared" ca="1" si="323"/>
        <v>RFR GBP</v>
      </c>
      <c r="J4159" s="1"/>
      <c r="N4159" s="1"/>
      <c r="R4159" s="1"/>
      <c r="V4159" s="1"/>
      <c r="AB4159" s="1"/>
      <c r="AF4159" s="1"/>
      <c r="AJ4159" s="1"/>
      <c r="AN4159" s="1"/>
      <c r="AS4159" s="1"/>
      <c r="AX4159" s="1"/>
    </row>
    <row r="4160" spans="1:50" x14ac:dyDescent="0.3">
      <c r="A4160" s="19">
        <f t="shared" si="324"/>
        <v>51739</v>
      </c>
      <c r="B4160">
        <f t="shared" ca="1" si="320"/>
        <v>-15.519444444444444</v>
      </c>
      <c r="C4160" t="str">
        <f ca="1">IF(currency="USD",'Future et co'!D4160,IF(currency="EUR",'Future et co'!E4160,IF(currency="GBP",'Future et co'!F4160,FALSE)))</f>
        <v>RFR USD</v>
      </c>
      <c r="D4160" t="str">
        <f t="shared" ca="1" si="321"/>
        <v>RFR USD</v>
      </c>
      <c r="E4160" t="str">
        <f t="shared" ca="1" si="322"/>
        <v>RFR EUR</v>
      </c>
      <c r="F4160" t="str">
        <f t="shared" ca="1" si="323"/>
        <v>RFR GBP</v>
      </c>
      <c r="J4160" s="1"/>
      <c r="N4160" s="1"/>
      <c r="R4160" s="1"/>
      <c r="V4160" s="1"/>
      <c r="AB4160" s="1"/>
      <c r="AF4160" s="1"/>
      <c r="AJ4160" s="1"/>
      <c r="AN4160" s="1"/>
      <c r="AS4160" s="1"/>
      <c r="AX4160" s="1"/>
    </row>
    <row r="4161" spans="1:50" x14ac:dyDescent="0.3">
      <c r="A4161" s="19">
        <f t="shared" si="324"/>
        <v>51740</v>
      </c>
      <c r="B4161">
        <f t="shared" ca="1" si="320"/>
        <v>-15.522222222222222</v>
      </c>
      <c r="C4161" t="str">
        <f ca="1">IF(currency="USD",'Future et co'!D4161,IF(currency="EUR",'Future et co'!E4161,IF(currency="GBP",'Future et co'!F4161,FALSE)))</f>
        <v>RFR USD</v>
      </c>
      <c r="D4161" t="str">
        <f t="shared" ca="1" si="321"/>
        <v>RFR USD</v>
      </c>
      <c r="E4161" t="str">
        <f t="shared" ca="1" si="322"/>
        <v>RFR EUR</v>
      </c>
      <c r="F4161" t="str">
        <f t="shared" ca="1" si="323"/>
        <v>RFR GBP</v>
      </c>
      <c r="J4161" s="1"/>
      <c r="N4161" s="1"/>
      <c r="R4161" s="1"/>
      <c r="V4161" s="1"/>
      <c r="AB4161" s="1"/>
      <c r="AF4161" s="1"/>
      <c r="AJ4161" s="1"/>
      <c r="AN4161" s="1"/>
      <c r="AS4161" s="1"/>
      <c r="AX4161" s="1"/>
    </row>
    <row r="4162" spans="1:50" x14ac:dyDescent="0.3">
      <c r="A4162" s="19">
        <f t="shared" si="324"/>
        <v>51741</v>
      </c>
      <c r="B4162">
        <f t="shared" ca="1" si="320"/>
        <v>-15.525</v>
      </c>
      <c r="C4162" t="str">
        <f ca="1">IF(currency="USD",'Future et co'!D4162,IF(currency="EUR",'Future et co'!E4162,IF(currency="GBP",'Future et co'!F4162,FALSE)))</f>
        <v>RFR USD</v>
      </c>
      <c r="D4162" t="str">
        <f t="shared" ca="1" si="321"/>
        <v>RFR USD</v>
      </c>
      <c r="E4162" t="str">
        <f t="shared" ca="1" si="322"/>
        <v>RFR EUR</v>
      </c>
      <c r="F4162" t="str">
        <f t="shared" ca="1" si="323"/>
        <v>RFR GBP</v>
      </c>
      <c r="J4162" s="1"/>
      <c r="N4162" s="1"/>
      <c r="R4162" s="1"/>
      <c r="V4162" s="1"/>
      <c r="AB4162" s="1"/>
      <c r="AF4162" s="1"/>
      <c r="AJ4162" s="1"/>
      <c r="AN4162" s="1"/>
      <c r="AS4162" s="1"/>
      <c r="AX4162" s="1"/>
    </row>
    <row r="4163" spans="1:50" x14ac:dyDescent="0.3">
      <c r="A4163" s="19">
        <f t="shared" si="324"/>
        <v>51742</v>
      </c>
      <c r="B4163">
        <f t="shared" ca="1" si="320"/>
        <v>-15.527777777777779</v>
      </c>
      <c r="C4163" t="str">
        <f ca="1">IF(currency="USD",'Future et co'!D4163,IF(currency="EUR",'Future et co'!E4163,IF(currency="GBP",'Future et co'!F4163,FALSE)))</f>
        <v>RFR USD</v>
      </c>
      <c r="D4163" t="str">
        <f t="shared" ca="1" si="321"/>
        <v>RFR USD</v>
      </c>
      <c r="E4163" t="str">
        <f t="shared" ca="1" si="322"/>
        <v>RFR EUR</v>
      </c>
      <c r="F4163" t="str">
        <f t="shared" ca="1" si="323"/>
        <v>RFR GBP</v>
      </c>
      <c r="J4163" s="1"/>
      <c r="N4163" s="1"/>
      <c r="R4163" s="1"/>
      <c r="V4163" s="1"/>
      <c r="AB4163" s="1"/>
      <c r="AF4163" s="1"/>
      <c r="AJ4163" s="1"/>
      <c r="AN4163" s="1"/>
      <c r="AS4163" s="1"/>
      <c r="AX4163" s="1"/>
    </row>
    <row r="4164" spans="1:50" x14ac:dyDescent="0.3">
      <c r="A4164" s="19">
        <f t="shared" si="324"/>
        <v>51743</v>
      </c>
      <c r="B4164">
        <f t="shared" ca="1" si="320"/>
        <v>-15.530555555555555</v>
      </c>
      <c r="C4164" t="str">
        <f ca="1">IF(currency="USD",'Future et co'!D4164,IF(currency="EUR",'Future et co'!E4164,IF(currency="GBP",'Future et co'!F4164,FALSE)))</f>
        <v>RFR USD</v>
      </c>
      <c r="D4164" t="str">
        <f t="shared" ca="1" si="321"/>
        <v>RFR USD</v>
      </c>
      <c r="E4164" t="str">
        <f t="shared" ca="1" si="322"/>
        <v>RFR EUR</v>
      </c>
      <c r="F4164" t="str">
        <f t="shared" ca="1" si="323"/>
        <v>RFR GBP</v>
      </c>
      <c r="J4164" s="1"/>
      <c r="N4164" s="1"/>
      <c r="R4164" s="1"/>
      <c r="V4164" s="1"/>
      <c r="AB4164" s="1"/>
      <c r="AF4164" s="1"/>
      <c r="AJ4164" s="1"/>
      <c r="AN4164" s="1"/>
      <c r="AS4164" s="1"/>
      <c r="AX4164" s="1"/>
    </row>
    <row r="4165" spans="1:50" x14ac:dyDescent="0.3">
      <c r="A4165" s="19">
        <f t="shared" si="324"/>
        <v>51746</v>
      </c>
      <c r="B4165">
        <f t="shared" ca="1" si="320"/>
        <v>-15.53888888888889</v>
      </c>
      <c r="C4165" t="str">
        <f ca="1">IF(currency="USD",'Future et co'!D4165,IF(currency="EUR",'Future et co'!E4165,IF(currency="GBP",'Future et co'!F4165,FALSE)))</f>
        <v>RFR USD</v>
      </c>
      <c r="D4165" t="str">
        <f t="shared" ca="1" si="321"/>
        <v>RFR USD</v>
      </c>
      <c r="E4165" t="str">
        <f t="shared" ca="1" si="322"/>
        <v>RFR EUR</v>
      </c>
      <c r="F4165" t="str">
        <f t="shared" ca="1" si="323"/>
        <v>RFR GBP</v>
      </c>
      <c r="J4165" s="1"/>
      <c r="N4165" s="1"/>
      <c r="R4165" s="1"/>
      <c r="V4165" s="1"/>
      <c r="AB4165" s="1"/>
      <c r="AF4165" s="1"/>
      <c r="AJ4165" s="1"/>
      <c r="AN4165" s="1"/>
      <c r="AS4165" s="1"/>
      <c r="AX4165" s="1"/>
    </row>
    <row r="4166" spans="1:50" x14ac:dyDescent="0.3">
      <c r="A4166" s="19">
        <f t="shared" si="324"/>
        <v>51747</v>
      </c>
      <c r="B4166">
        <f t="shared" ca="1" si="320"/>
        <v>-15.541666666666666</v>
      </c>
      <c r="C4166" t="str">
        <f ca="1">IF(currency="USD",'Future et co'!D4166,IF(currency="EUR",'Future et co'!E4166,IF(currency="GBP",'Future et co'!F4166,FALSE)))</f>
        <v>RFR USD</v>
      </c>
      <c r="D4166" t="str">
        <f t="shared" ca="1" si="321"/>
        <v>RFR USD</v>
      </c>
      <c r="E4166" t="str">
        <f t="shared" ca="1" si="322"/>
        <v>RFR EUR</v>
      </c>
      <c r="F4166" t="str">
        <f t="shared" ca="1" si="323"/>
        <v>RFR GBP</v>
      </c>
      <c r="J4166" s="1"/>
      <c r="N4166" s="1"/>
      <c r="R4166" s="1"/>
      <c r="V4166" s="1"/>
      <c r="AB4166" s="1"/>
      <c r="AF4166" s="1"/>
      <c r="AJ4166" s="1"/>
      <c r="AN4166" s="1"/>
      <c r="AS4166" s="1"/>
      <c r="AX4166" s="1"/>
    </row>
    <row r="4167" spans="1:50" x14ac:dyDescent="0.3">
      <c r="A4167" s="19">
        <f t="shared" si="324"/>
        <v>51748</v>
      </c>
      <c r="B4167">
        <f t="shared" ca="1" si="320"/>
        <v>-15.544444444444444</v>
      </c>
      <c r="C4167" t="str">
        <f ca="1">IF(currency="USD",'Future et co'!D4167,IF(currency="EUR",'Future et co'!E4167,IF(currency="GBP",'Future et co'!F4167,FALSE)))</f>
        <v>RFR USD</v>
      </c>
      <c r="D4167" t="str">
        <f t="shared" ca="1" si="321"/>
        <v>RFR USD</v>
      </c>
      <c r="E4167" t="str">
        <f t="shared" ca="1" si="322"/>
        <v>RFR EUR</v>
      </c>
      <c r="F4167" t="str">
        <f t="shared" ca="1" si="323"/>
        <v>RFR GBP</v>
      </c>
      <c r="J4167" s="1"/>
      <c r="N4167" s="1"/>
      <c r="R4167" s="1"/>
      <c r="V4167" s="1"/>
      <c r="AB4167" s="1"/>
      <c r="AF4167" s="1"/>
      <c r="AJ4167" s="1"/>
      <c r="AN4167" s="1"/>
      <c r="AS4167" s="1"/>
      <c r="AX4167" s="1"/>
    </row>
    <row r="4168" spans="1:50" x14ac:dyDescent="0.3">
      <c r="A4168" s="19">
        <f t="shared" si="324"/>
        <v>51749</v>
      </c>
      <c r="B4168">
        <f t="shared" ca="1" si="320"/>
        <v>-15.547222222222222</v>
      </c>
      <c r="C4168" t="str">
        <f ca="1">IF(currency="USD",'Future et co'!D4168,IF(currency="EUR",'Future et co'!E4168,IF(currency="GBP",'Future et co'!F4168,FALSE)))</f>
        <v>RFR USD</v>
      </c>
      <c r="D4168" t="str">
        <f t="shared" ca="1" si="321"/>
        <v>RFR USD</v>
      </c>
      <c r="E4168" t="str">
        <f t="shared" ca="1" si="322"/>
        <v>RFR EUR</v>
      </c>
      <c r="F4168" t="str">
        <f t="shared" ca="1" si="323"/>
        <v>RFR GBP</v>
      </c>
      <c r="J4168" s="1"/>
      <c r="N4168" s="1"/>
      <c r="R4168" s="1"/>
      <c r="V4168" s="1"/>
      <c r="AB4168" s="1"/>
      <c r="AF4168" s="1"/>
      <c r="AJ4168" s="1"/>
      <c r="AN4168" s="1"/>
      <c r="AS4168" s="1"/>
      <c r="AX4168" s="1"/>
    </row>
    <row r="4169" spans="1:50" x14ac:dyDescent="0.3">
      <c r="A4169" s="19">
        <f t="shared" si="324"/>
        <v>51750</v>
      </c>
      <c r="B4169">
        <f t="shared" ca="1" si="320"/>
        <v>-15.55</v>
      </c>
      <c r="C4169" t="str">
        <f ca="1">IF(currency="USD",'Future et co'!D4169,IF(currency="EUR",'Future et co'!E4169,IF(currency="GBP",'Future et co'!F4169,FALSE)))</f>
        <v>RFR USD</v>
      </c>
      <c r="D4169" t="str">
        <f t="shared" ca="1" si="321"/>
        <v>RFR USD</v>
      </c>
      <c r="E4169" t="str">
        <f t="shared" ca="1" si="322"/>
        <v>RFR EUR</v>
      </c>
      <c r="F4169" t="str">
        <f t="shared" ca="1" si="323"/>
        <v>RFR GBP</v>
      </c>
      <c r="J4169" s="1"/>
      <c r="N4169" s="1"/>
      <c r="R4169" s="1"/>
      <c r="V4169" s="1"/>
      <c r="AB4169" s="1"/>
      <c r="AF4169" s="1"/>
      <c r="AJ4169" s="1"/>
      <c r="AN4169" s="1"/>
      <c r="AS4169" s="1"/>
      <c r="AX4169" s="1"/>
    </row>
    <row r="4170" spans="1:50" x14ac:dyDescent="0.3">
      <c r="A4170" s="19">
        <f t="shared" si="324"/>
        <v>51753</v>
      </c>
      <c r="B4170">
        <f t="shared" ca="1" si="320"/>
        <v>-15.558333333333334</v>
      </c>
      <c r="C4170" t="str">
        <f ca="1">IF(currency="USD",'Future et co'!D4170,IF(currency="EUR",'Future et co'!E4170,IF(currency="GBP",'Future et co'!F4170,FALSE)))</f>
        <v>RFR USD</v>
      </c>
      <c r="D4170" t="str">
        <f t="shared" ca="1" si="321"/>
        <v>RFR USD</v>
      </c>
      <c r="E4170" t="str">
        <f t="shared" ca="1" si="322"/>
        <v>RFR EUR</v>
      </c>
      <c r="F4170" t="str">
        <f t="shared" ca="1" si="323"/>
        <v>RFR GBP</v>
      </c>
      <c r="J4170" s="1"/>
      <c r="N4170" s="1"/>
      <c r="R4170" s="1"/>
      <c r="V4170" s="1"/>
      <c r="AB4170" s="1"/>
      <c r="AF4170" s="1"/>
      <c r="AJ4170" s="1"/>
      <c r="AN4170" s="1"/>
      <c r="AS4170" s="1"/>
      <c r="AX4170" s="1"/>
    </row>
    <row r="4171" spans="1:50" x14ac:dyDescent="0.3">
      <c r="A4171" s="19">
        <f t="shared" si="324"/>
        <v>51754</v>
      </c>
      <c r="B4171">
        <f t="shared" ref="B4171:B4234" ca="1" si="325">($B$7-A4171)/360</f>
        <v>-15.561111111111112</v>
      </c>
      <c r="C4171" t="str">
        <f ca="1">IF(currency="USD",'Future et co'!D4171,IF(currency="EUR",'Future et co'!E4171,IF(currency="GBP",'Future et co'!F4171,FALSE)))</f>
        <v>RFR USD</v>
      </c>
      <c r="D4171" t="str">
        <f t="shared" ref="D4171:D4234" ca="1" si="326">IFERROR(IF(B4171&lt;0.25,VLOOKUP(A4171,$J$11:$L$5325,3,FALSE),IF(AND(B4171&gt;=0.25,B4171&lt;0.5),VLOOKUP(A4171,$N$11:$P$5325,3,FALSE),IF(AND(B4171&gt;=0.5,B4171&lt;1),VLOOKUP(A4171,$R$11:$T$5325,3,FALSE),VLOOKUP(A4171,$V$11:$X$5010,3,FALSE)))),D4170)</f>
        <v>RFR USD</v>
      </c>
      <c r="E4171" t="str">
        <f t="shared" ref="E4171:E4234" ca="1" si="327">IFERROR(IF(B4171&lt;0.25,VLOOKUP(A4171,$AF$11:$AH$5325,3,FALSE),IF(AND(B4171&gt;=0.25,B4171&lt;0.5),VLOOKUP(A4171,$AJ$11:$AL$5325,3,FALSE),VLOOKUP(A4171,$AN$11:$AP$5325,3,FALSE))),E4170)</f>
        <v>RFR EUR</v>
      </c>
      <c r="F4171" t="str">
        <f t="shared" ref="F4171:F4234" ca="1" si="328">IFERROR(VLOOKUP(A4171,$AS$11:$AU$9999,3,FALSE),F4170)</f>
        <v>RFR GBP</v>
      </c>
      <c r="J4171" s="1"/>
      <c r="N4171" s="1"/>
      <c r="R4171" s="1"/>
      <c r="V4171" s="1"/>
      <c r="AB4171" s="1"/>
      <c r="AF4171" s="1"/>
      <c r="AJ4171" s="1"/>
      <c r="AN4171" s="1"/>
      <c r="AS4171" s="1"/>
      <c r="AX4171" s="1"/>
    </row>
    <row r="4172" spans="1:50" x14ac:dyDescent="0.3">
      <c r="A4172" s="19">
        <f t="shared" si="324"/>
        <v>51755</v>
      </c>
      <c r="B4172">
        <f t="shared" ca="1" si="325"/>
        <v>-15.563888888888888</v>
      </c>
      <c r="C4172" t="str">
        <f ca="1">IF(currency="USD",'Future et co'!D4172,IF(currency="EUR",'Future et co'!E4172,IF(currency="GBP",'Future et co'!F4172,FALSE)))</f>
        <v>RFR USD</v>
      </c>
      <c r="D4172" t="str">
        <f t="shared" ca="1" si="326"/>
        <v>RFR USD</v>
      </c>
      <c r="E4172" t="str">
        <f t="shared" ca="1" si="327"/>
        <v>RFR EUR</v>
      </c>
      <c r="F4172" t="str">
        <f t="shared" ca="1" si="328"/>
        <v>RFR GBP</v>
      </c>
      <c r="J4172" s="1"/>
      <c r="N4172" s="1"/>
      <c r="R4172" s="1"/>
      <c r="V4172" s="1"/>
      <c r="AB4172" s="1"/>
      <c r="AF4172" s="1"/>
      <c r="AJ4172" s="1"/>
      <c r="AN4172" s="1"/>
      <c r="AS4172" s="1"/>
      <c r="AX4172" s="1"/>
    </row>
    <row r="4173" spans="1:50" x14ac:dyDescent="0.3">
      <c r="A4173" s="19">
        <f t="shared" ref="A4173:A4236" si="329">WORKDAY(A4172,1)</f>
        <v>51756</v>
      </c>
      <c r="B4173">
        <f t="shared" ca="1" si="325"/>
        <v>-15.566666666666666</v>
      </c>
      <c r="C4173" t="str">
        <f ca="1">IF(currency="USD",'Future et co'!D4173,IF(currency="EUR",'Future et co'!E4173,IF(currency="GBP",'Future et co'!F4173,FALSE)))</f>
        <v>RFR USD</v>
      </c>
      <c r="D4173" t="str">
        <f t="shared" ca="1" si="326"/>
        <v>RFR USD</v>
      </c>
      <c r="E4173" t="str">
        <f t="shared" ca="1" si="327"/>
        <v>RFR EUR</v>
      </c>
      <c r="F4173" t="str">
        <f t="shared" ca="1" si="328"/>
        <v>RFR GBP</v>
      </c>
      <c r="J4173" s="1"/>
      <c r="N4173" s="1"/>
      <c r="R4173" s="1"/>
      <c r="V4173" s="1"/>
      <c r="AB4173" s="1"/>
      <c r="AF4173" s="1"/>
      <c r="AJ4173" s="1"/>
      <c r="AN4173" s="1"/>
      <c r="AS4173" s="1"/>
      <c r="AX4173" s="1"/>
    </row>
    <row r="4174" spans="1:50" x14ac:dyDescent="0.3">
      <c r="A4174" s="19">
        <f t="shared" si="329"/>
        <v>51757</v>
      </c>
      <c r="B4174">
        <f t="shared" ca="1" si="325"/>
        <v>-15.569444444444445</v>
      </c>
      <c r="C4174" t="str">
        <f ca="1">IF(currency="USD",'Future et co'!D4174,IF(currency="EUR",'Future et co'!E4174,IF(currency="GBP",'Future et co'!F4174,FALSE)))</f>
        <v>RFR USD</v>
      </c>
      <c r="D4174" t="str">
        <f t="shared" ca="1" si="326"/>
        <v>RFR USD</v>
      </c>
      <c r="E4174" t="str">
        <f t="shared" ca="1" si="327"/>
        <v>RFR EUR</v>
      </c>
      <c r="F4174" t="str">
        <f t="shared" ca="1" si="328"/>
        <v>RFR GBP</v>
      </c>
      <c r="J4174" s="1"/>
      <c r="N4174" s="1"/>
      <c r="R4174" s="1"/>
      <c r="V4174" s="1"/>
      <c r="AB4174" s="1"/>
      <c r="AF4174" s="1"/>
      <c r="AJ4174" s="1"/>
      <c r="AN4174" s="1"/>
      <c r="AS4174" s="1"/>
      <c r="AX4174" s="1"/>
    </row>
    <row r="4175" spans="1:50" x14ac:dyDescent="0.3">
      <c r="A4175" s="19">
        <f t="shared" si="329"/>
        <v>51760</v>
      </c>
      <c r="B4175">
        <f t="shared" ca="1" si="325"/>
        <v>-15.577777777777778</v>
      </c>
      <c r="C4175" t="str">
        <f ca="1">IF(currency="USD",'Future et co'!D4175,IF(currency="EUR",'Future et co'!E4175,IF(currency="GBP",'Future et co'!F4175,FALSE)))</f>
        <v>RFR USD</v>
      </c>
      <c r="D4175" t="str">
        <f t="shared" ca="1" si="326"/>
        <v>RFR USD</v>
      </c>
      <c r="E4175" t="str">
        <f t="shared" ca="1" si="327"/>
        <v>RFR EUR</v>
      </c>
      <c r="F4175" t="str">
        <f t="shared" ca="1" si="328"/>
        <v>RFR GBP</v>
      </c>
      <c r="J4175" s="1"/>
      <c r="N4175" s="1"/>
      <c r="R4175" s="1"/>
      <c r="V4175" s="1"/>
      <c r="AB4175" s="1"/>
      <c r="AF4175" s="1"/>
      <c r="AJ4175" s="1"/>
      <c r="AN4175" s="1"/>
      <c r="AS4175" s="1"/>
      <c r="AX4175" s="1"/>
    </row>
    <row r="4176" spans="1:50" x14ac:dyDescent="0.3">
      <c r="A4176" s="19">
        <f t="shared" si="329"/>
        <v>51761</v>
      </c>
      <c r="B4176">
        <f t="shared" ca="1" si="325"/>
        <v>-15.580555555555556</v>
      </c>
      <c r="C4176" t="str">
        <f ca="1">IF(currency="USD",'Future et co'!D4176,IF(currency="EUR",'Future et co'!E4176,IF(currency="GBP",'Future et co'!F4176,FALSE)))</f>
        <v>RFR USD</v>
      </c>
      <c r="D4176" t="str">
        <f t="shared" ca="1" si="326"/>
        <v>RFR USD</v>
      </c>
      <c r="E4176" t="str">
        <f t="shared" ca="1" si="327"/>
        <v>RFR EUR</v>
      </c>
      <c r="F4176" t="str">
        <f t="shared" ca="1" si="328"/>
        <v>RFR GBP</v>
      </c>
      <c r="J4176" s="1"/>
      <c r="N4176" s="1"/>
      <c r="R4176" s="1"/>
      <c r="V4176" s="1"/>
      <c r="AB4176" s="1"/>
      <c r="AF4176" s="1"/>
      <c r="AJ4176" s="1"/>
      <c r="AN4176" s="1"/>
      <c r="AS4176" s="1"/>
      <c r="AX4176" s="1"/>
    </row>
    <row r="4177" spans="1:50" x14ac:dyDescent="0.3">
      <c r="A4177" s="19">
        <f t="shared" si="329"/>
        <v>51762</v>
      </c>
      <c r="B4177">
        <f t="shared" ca="1" si="325"/>
        <v>-15.583333333333334</v>
      </c>
      <c r="C4177" t="str">
        <f ca="1">IF(currency="USD",'Future et co'!D4177,IF(currency="EUR",'Future et co'!E4177,IF(currency="GBP",'Future et co'!F4177,FALSE)))</f>
        <v>RFR USD</v>
      </c>
      <c r="D4177" t="str">
        <f t="shared" ca="1" si="326"/>
        <v>RFR USD</v>
      </c>
      <c r="E4177" t="str">
        <f t="shared" ca="1" si="327"/>
        <v>RFR EUR</v>
      </c>
      <c r="F4177" t="str">
        <f t="shared" ca="1" si="328"/>
        <v>RFR GBP</v>
      </c>
      <c r="J4177" s="1"/>
      <c r="N4177" s="1"/>
      <c r="R4177" s="1"/>
      <c r="V4177" s="1"/>
      <c r="AB4177" s="1"/>
      <c r="AF4177" s="1"/>
      <c r="AJ4177" s="1"/>
      <c r="AN4177" s="1"/>
      <c r="AS4177" s="1"/>
      <c r="AX4177" s="1"/>
    </row>
    <row r="4178" spans="1:50" x14ac:dyDescent="0.3">
      <c r="A4178" s="19">
        <f t="shared" si="329"/>
        <v>51763</v>
      </c>
      <c r="B4178">
        <f t="shared" ca="1" si="325"/>
        <v>-15.58611111111111</v>
      </c>
      <c r="C4178" t="str">
        <f ca="1">IF(currency="USD",'Future et co'!D4178,IF(currency="EUR",'Future et co'!E4178,IF(currency="GBP",'Future et co'!F4178,FALSE)))</f>
        <v>RFR USD</v>
      </c>
      <c r="D4178" t="str">
        <f t="shared" ca="1" si="326"/>
        <v>RFR USD</v>
      </c>
      <c r="E4178" t="str">
        <f t="shared" ca="1" si="327"/>
        <v>RFR EUR</v>
      </c>
      <c r="F4178" t="str">
        <f t="shared" ca="1" si="328"/>
        <v>RFR GBP</v>
      </c>
      <c r="J4178" s="1"/>
      <c r="N4178" s="1"/>
      <c r="R4178" s="1"/>
      <c r="V4178" s="1"/>
      <c r="AB4178" s="1"/>
      <c r="AF4178" s="1"/>
      <c r="AJ4178" s="1"/>
      <c r="AN4178" s="1"/>
      <c r="AS4178" s="1"/>
      <c r="AX4178" s="1"/>
    </row>
    <row r="4179" spans="1:50" x14ac:dyDescent="0.3">
      <c r="A4179" s="19">
        <f t="shared" si="329"/>
        <v>51764</v>
      </c>
      <c r="B4179">
        <f t="shared" ca="1" si="325"/>
        <v>-15.588888888888889</v>
      </c>
      <c r="C4179" t="str">
        <f ca="1">IF(currency="USD",'Future et co'!D4179,IF(currency="EUR",'Future et co'!E4179,IF(currency="GBP",'Future et co'!F4179,FALSE)))</f>
        <v>RFR USD</v>
      </c>
      <c r="D4179" t="str">
        <f t="shared" ca="1" si="326"/>
        <v>RFR USD</v>
      </c>
      <c r="E4179" t="str">
        <f t="shared" ca="1" si="327"/>
        <v>RFR EUR</v>
      </c>
      <c r="F4179" t="str">
        <f t="shared" ca="1" si="328"/>
        <v>RFR GBP</v>
      </c>
      <c r="J4179" s="1"/>
      <c r="N4179" s="1"/>
      <c r="R4179" s="1"/>
      <c r="V4179" s="1"/>
      <c r="AB4179" s="1"/>
      <c r="AF4179" s="1"/>
      <c r="AJ4179" s="1"/>
      <c r="AN4179" s="1"/>
      <c r="AS4179" s="1"/>
      <c r="AX4179" s="1"/>
    </row>
    <row r="4180" spans="1:50" x14ac:dyDescent="0.3">
      <c r="A4180" s="19">
        <f t="shared" si="329"/>
        <v>51767</v>
      </c>
      <c r="B4180">
        <f t="shared" ca="1" si="325"/>
        <v>-15.597222222222221</v>
      </c>
      <c r="C4180" t="str">
        <f ca="1">IF(currency="USD",'Future et co'!D4180,IF(currency="EUR",'Future et co'!E4180,IF(currency="GBP",'Future et co'!F4180,FALSE)))</f>
        <v>RFR USD</v>
      </c>
      <c r="D4180" t="str">
        <f t="shared" ca="1" si="326"/>
        <v>RFR USD</v>
      </c>
      <c r="E4180" t="str">
        <f t="shared" ca="1" si="327"/>
        <v>RFR EUR</v>
      </c>
      <c r="F4180" t="str">
        <f t="shared" ca="1" si="328"/>
        <v>RFR GBP</v>
      </c>
      <c r="J4180" s="1"/>
      <c r="N4180" s="1"/>
      <c r="R4180" s="1"/>
      <c r="V4180" s="1"/>
      <c r="AB4180" s="1"/>
      <c r="AF4180" s="1"/>
      <c r="AJ4180" s="1"/>
      <c r="AN4180" s="1"/>
      <c r="AS4180" s="1"/>
      <c r="AX4180" s="1"/>
    </row>
    <row r="4181" spans="1:50" x14ac:dyDescent="0.3">
      <c r="A4181" s="19">
        <f t="shared" si="329"/>
        <v>51768</v>
      </c>
      <c r="B4181">
        <f t="shared" ca="1" si="325"/>
        <v>-15.6</v>
      </c>
      <c r="C4181" t="str">
        <f ca="1">IF(currency="USD",'Future et co'!D4181,IF(currency="EUR",'Future et co'!E4181,IF(currency="GBP",'Future et co'!F4181,FALSE)))</f>
        <v>RFR USD</v>
      </c>
      <c r="D4181" t="str">
        <f t="shared" ca="1" si="326"/>
        <v>RFR USD</v>
      </c>
      <c r="E4181" t="str">
        <f t="shared" ca="1" si="327"/>
        <v>RFR EUR</v>
      </c>
      <c r="F4181" t="str">
        <f t="shared" ca="1" si="328"/>
        <v>RFR GBP</v>
      </c>
      <c r="J4181" s="1"/>
      <c r="N4181" s="1"/>
      <c r="R4181" s="1"/>
      <c r="V4181" s="1"/>
      <c r="AB4181" s="1"/>
      <c r="AF4181" s="1"/>
      <c r="AJ4181" s="1"/>
      <c r="AN4181" s="1"/>
      <c r="AS4181" s="1"/>
      <c r="AX4181" s="1"/>
    </row>
    <row r="4182" spans="1:50" x14ac:dyDescent="0.3">
      <c r="A4182" s="19">
        <f t="shared" si="329"/>
        <v>51769</v>
      </c>
      <c r="B4182">
        <f t="shared" ca="1" si="325"/>
        <v>-15.602777777777778</v>
      </c>
      <c r="C4182" t="str">
        <f ca="1">IF(currency="USD",'Future et co'!D4182,IF(currency="EUR",'Future et co'!E4182,IF(currency="GBP",'Future et co'!F4182,FALSE)))</f>
        <v>RFR USD</v>
      </c>
      <c r="D4182" t="str">
        <f t="shared" ca="1" si="326"/>
        <v>RFR USD</v>
      </c>
      <c r="E4182" t="str">
        <f t="shared" ca="1" si="327"/>
        <v>RFR EUR</v>
      </c>
      <c r="F4182" t="str">
        <f t="shared" ca="1" si="328"/>
        <v>RFR GBP</v>
      </c>
      <c r="J4182" s="1"/>
      <c r="N4182" s="1"/>
      <c r="R4182" s="1"/>
      <c r="V4182" s="1"/>
      <c r="AB4182" s="1"/>
      <c r="AF4182" s="1"/>
      <c r="AJ4182" s="1"/>
      <c r="AN4182" s="1"/>
      <c r="AS4182" s="1"/>
      <c r="AX4182" s="1"/>
    </row>
    <row r="4183" spans="1:50" x14ac:dyDescent="0.3">
      <c r="A4183" s="19">
        <f t="shared" si="329"/>
        <v>51770</v>
      </c>
      <c r="B4183">
        <f t="shared" ca="1" si="325"/>
        <v>-15.605555555555556</v>
      </c>
      <c r="C4183" t="str">
        <f ca="1">IF(currency="USD",'Future et co'!D4183,IF(currency="EUR",'Future et co'!E4183,IF(currency="GBP",'Future et co'!F4183,FALSE)))</f>
        <v>RFR USD</v>
      </c>
      <c r="D4183" t="str">
        <f t="shared" ca="1" si="326"/>
        <v>RFR USD</v>
      </c>
      <c r="E4183" t="str">
        <f t="shared" ca="1" si="327"/>
        <v>RFR EUR</v>
      </c>
      <c r="F4183" t="str">
        <f t="shared" ca="1" si="328"/>
        <v>RFR GBP</v>
      </c>
      <c r="J4183" s="1"/>
      <c r="N4183" s="1"/>
      <c r="R4183" s="1"/>
      <c r="V4183" s="1"/>
      <c r="AB4183" s="1"/>
      <c r="AF4183" s="1"/>
      <c r="AJ4183" s="1"/>
      <c r="AN4183" s="1"/>
      <c r="AS4183" s="1"/>
      <c r="AX4183" s="1"/>
    </row>
    <row r="4184" spans="1:50" x14ac:dyDescent="0.3">
      <c r="A4184" s="19">
        <f t="shared" si="329"/>
        <v>51771</v>
      </c>
      <c r="B4184">
        <f t="shared" ca="1" si="325"/>
        <v>-15.608333333333333</v>
      </c>
      <c r="C4184" t="str">
        <f ca="1">IF(currency="USD",'Future et co'!D4184,IF(currency="EUR",'Future et co'!E4184,IF(currency="GBP",'Future et co'!F4184,FALSE)))</f>
        <v>RFR USD</v>
      </c>
      <c r="D4184" t="str">
        <f t="shared" ca="1" si="326"/>
        <v>RFR USD</v>
      </c>
      <c r="E4184" t="str">
        <f t="shared" ca="1" si="327"/>
        <v>RFR EUR</v>
      </c>
      <c r="F4184" t="str">
        <f t="shared" ca="1" si="328"/>
        <v>RFR GBP</v>
      </c>
      <c r="J4184" s="1"/>
      <c r="N4184" s="1"/>
      <c r="R4184" s="1"/>
      <c r="V4184" s="1"/>
      <c r="AB4184" s="1"/>
      <c r="AF4184" s="1"/>
      <c r="AJ4184" s="1"/>
      <c r="AN4184" s="1"/>
      <c r="AS4184" s="1"/>
      <c r="AX4184" s="1"/>
    </row>
    <row r="4185" spans="1:50" x14ac:dyDescent="0.3">
      <c r="A4185" s="19">
        <f t="shared" si="329"/>
        <v>51774</v>
      </c>
      <c r="B4185">
        <f t="shared" ca="1" si="325"/>
        <v>-15.616666666666667</v>
      </c>
      <c r="C4185" t="str">
        <f ca="1">IF(currency="USD",'Future et co'!D4185,IF(currency="EUR",'Future et co'!E4185,IF(currency="GBP",'Future et co'!F4185,FALSE)))</f>
        <v>RFR USD</v>
      </c>
      <c r="D4185" t="str">
        <f t="shared" ca="1" si="326"/>
        <v>RFR USD</v>
      </c>
      <c r="E4185" t="str">
        <f t="shared" ca="1" si="327"/>
        <v>RFR EUR</v>
      </c>
      <c r="F4185" t="str">
        <f t="shared" ca="1" si="328"/>
        <v>RFR GBP</v>
      </c>
      <c r="J4185" s="1"/>
      <c r="N4185" s="1"/>
      <c r="R4185" s="1"/>
      <c r="V4185" s="1"/>
      <c r="AB4185" s="1"/>
      <c r="AF4185" s="1"/>
      <c r="AJ4185" s="1"/>
      <c r="AN4185" s="1"/>
      <c r="AS4185" s="1"/>
      <c r="AX4185" s="1"/>
    </row>
    <row r="4186" spans="1:50" x14ac:dyDescent="0.3">
      <c r="A4186" s="19">
        <f t="shared" si="329"/>
        <v>51775</v>
      </c>
      <c r="B4186">
        <f t="shared" ca="1" si="325"/>
        <v>-15.619444444444444</v>
      </c>
      <c r="C4186" t="str">
        <f ca="1">IF(currency="USD",'Future et co'!D4186,IF(currency="EUR",'Future et co'!E4186,IF(currency="GBP",'Future et co'!F4186,FALSE)))</f>
        <v>RFR USD</v>
      </c>
      <c r="D4186" t="str">
        <f t="shared" ca="1" si="326"/>
        <v>RFR USD</v>
      </c>
      <c r="E4186" t="str">
        <f t="shared" ca="1" si="327"/>
        <v>RFR EUR</v>
      </c>
      <c r="F4186" t="str">
        <f t="shared" ca="1" si="328"/>
        <v>RFR GBP</v>
      </c>
      <c r="J4186" s="1"/>
      <c r="N4186" s="1"/>
      <c r="R4186" s="1"/>
      <c r="V4186" s="1"/>
      <c r="AB4186" s="1"/>
      <c r="AF4186" s="1"/>
      <c r="AJ4186" s="1"/>
      <c r="AN4186" s="1"/>
      <c r="AS4186" s="1"/>
      <c r="AX4186" s="1"/>
    </row>
    <row r="4187" spans="1:50" x14ac:dyDescent="0.3">
      <c r="A4187" s="19">
        <f t="shared" si="329"/>
        <v>51776</v>
      </c>
      <c r="B4187">
        <f t="shared" ca="1" si="325"/>
        <v>-15.622222222222222</v>
      </c>
      <c r="C4187" t="str">
        <f ca="1">IF(currency="USD",'Future et co'!D4187,IF(currency="EUR",'Future et co'!E4187,IF(currency="GBP",'Future et co'!F4187,FALSE)))</f>
        <v>RFR USD</v>
      </c>
      <c r="D4187" t="str">
        <f t="shared" ca="1" si="326"/>
        <v>RFR USD</v>
      </c>
      <c r="E4187" t="str">
        <f t="shared" ca="1" si="327"/>
        <v>RFR EUR</v>
      </c>
      <c r="F4187" t="str">
        <f t="shared" ca="1" si="328"/>
        <v>RFR GBP</v>
      </c>
      <c r="J4187" s="1"/>
      <c r="N4187" s="1"/>
      <c r="R4187" s="1"/>
      <c r="V4187" s="1"/>
      <c r="AB4187" s="1"/>
      <c r="AF4187" s="1"/>
      <c r="AJ4187" s="1"/>
      <c r="AN4187" s="1"/>
      <c r="AS4187" s="1"/>
      <c r="AX4187" s="1"/>
    </row>
    <row r="4188" spans="1:50" x14ac:dyDescent="0.3">
      <c r="A4188" s="19">
        <f t="shared" si="329"/>
        <v>51777</v>
      </c>
      <c r="B4188">
        <f t="shared" ca="1" si="325"/>
        <v>-15.625</v>
      </c>
      <c r="C4188" t="str">
        <f ca="1">IF(currency="USD",'Future et co'!D4188,IF(currency="EUR",'Future et co'!E4188,IF(currency="GBP",'Future et co'!F4188,FALSE)))</f>
        <v>RFR USD</v>
      </c>
      <c r="D4188" t="str">
        <f t="shared" ca="1" si="326"/>
        <v>RFR USD</v>
      </c>
      <c r="E4188" t="str">
        <f t="shared" ca="1" si="327"/>
        <v>RFR EUR</v>
      </c>
      <c r="F4188" t="str">
        <f t="shared" ca="1" si="328"/>
        <v>RFR GBP</v>
      </c>
      <c r="J4188" s="1"/>
      <c r="N4188" s="1"/>
      <c r="R4188" s="1"/>
      <c r="V4188" s="1"/>
      <c r="AB4188" s="1"/>
      <c r="AF4188" s="1"/>
      <c r="AJ4188" s="1"/>
      <c r="AN4188" s="1"/>
      <c r="AS4188" s="1"/>
      <c r="AX4188" s="1"/>
    </row>
    <row r="4189" spans="1:50" x14ac:dyDescent="0.3">
      <c r="A4189" s="19">
        <f t="shared" si="329"/>
        <v>51778</v>
      </c>
      <c r="B4189">
        <f t="shared" ca="1" si="325"/>
        <v>-15.627777777777778</v>
      </c>
      <c r="C4189" t="str">
        <f ca="1">IF(currency="USD",'Future et co'!D4189,IF(currency="EUR",'Future et co'!E4189,IF(currency="GBP",'Future et co'!F4189,FALSE)))</f>
        <v>RFR USD</v>
      </c>
      <c r="D4189" t="str">
        <f t="shared" ca="1" si="326"/>
        <v>RFR USD</v>
      </c>
      <c r="E4189" t="str">
        <f t="shared" ca="1" si="327"/>
        <v>RFR EUR</v>
      </c>
      <c r="F4189" t="str">
        <f t="shared" ca="1" si="328"/>
        <v>RFR GBP</v>
      </c>
      <c r="J4189" s="1"/>
      <c r="N4189" s="1"/>
      <c r="R4189" s="1"/>
      <c r="V4189" s="1"/>
      <c r="AB4189" s="1"/>
      <c r="AF4189" s="1"/>
      <c r="AJ4189" s="1"/>
      <c r="AN4189" s="1"/>
      <c r="AS4189" s="1"/>
      <c r="AX4189" s="1"/>
    </row>
    <row r="4190" spans="1:50" x14ac:dyDescent="0.3">
      <c r="A4190" s="19">
        <f t="shared" si="329"/>
        <v>51781</v>
      </c>
      <c r="B4190">
        <f t="shared" ca="1" si="325"/>
        <v>-15.636111111111111</v>
      </c>
      <c r="C4190" t="str">
        <f ca="1">IF(currency="USD",'Future et co'!D4190,IF(currency="EUR",'Future et co'!E4190,IF(currency="GBP",'Future et co'!F4190,FALSE)))</f>
        <v>RFR USD</v>
      </c>
      <c r="D4190" t="str">
        <f t="shared" ca="1" si="326"/>
        <v>RFR USD</v>
      </c>
      <c r="E4190" t="str">
        <f t="shared" ca="1" si="327"/>
        <v>RFR EUR</v>
      </c>
      <c r="F4190" t="str">
        <f t="shared" ca="1" si="328"/>
        <v>RFR GBP</v>
      </c>
      <c r="J4190" s="1"/>
      <c r="N4190" s="1"/>
      <c r="R4190" s="1"/>
      <c r="V4190" s="1"/>
      <c r="AB4190" s="1"/>
      <c r="AF4190" s="1"/>
      <c r="AJ4190" s="1"/>
      <c r="AN4190" s="1"/>
      <c r="AS4190" s="1"/>
      <c r="AX4190" s="1"/>
    </row>
    <row r="4191" spans="1:50" x14ac:dyDescent="0.3">
      <c r="A4191" s="19">
        <f t="shared" si="329"/>
        <v>51782</v>
      </c>
      <c r="B4191">
        <f t="shared" ca="1" si="325"/>
        <v>-15.638888888888889</v>
      </c>
      <c r="C4191" t="str">
        <f ca="1">IF(currency="USD",'Future et co'!D4191,IF(currency="EUR",'Future et co'!E4191,IF(currency="GBP",'Future et co'!F4191,FALSE)))</f>
        <v>RFR USD</v>
      </c>
      <c r="D4191" t="str">
        <f t="shared" ca="1" si="326"/>
        <v>RFR USD</v>
      </c>
      <c r="E4191" t="str">
        <f t="shared" ca="1" si="327"/>
        <v>RFR EUR</v>
      </c>
      <c r="F4191" t="str">
        <f t="shared" ca="1" si="328"/>
        <v>RFR GBP</v>
      </c>
      <c r="J4191" s="1"/>
      <c r="N4191" s="1"/>
      <c r="R4191" s="1"/>
      <c r="V4191" s="1"/>
      <c r="AB4191" s="1"/>
      <c r="AF4191" s="1"/>
      <c r="AJ4191" s="1"/>
      <c r="AN4191" s="1"/>
      <c r="AS4191" s="1"/>
      <c r="AX4191" s="1"/>
    </row>
    <row r="4192" spans="1:50" x14ac:dyDescent="0.3">
      <c r="A4192" s="19">
        <f t="shared" si="329"/>
        <v>51783</v>
      </c>
      <c r="B4192">
        <f t="shared" ca="1" si="325"/>
        <v>-15.641666666666667</v>
      </c>
      <c r="C4192" t="str">
        <f ca="1">IF(currency="USD",'Future et co'!D4192,IF(currency="EUR",'Future et co'!E4192,IF(currency="GBP",'Future et co'!F4192,FALSE)))</f>
        <v>RFR USD</v>
      </c>
      <c r="D4192" t="str">
        <f t="shared" ca="1" si="326"/>
        <v>RFR USD</v>
      </c>
      <c r="E4192" t="str">
        <f t="shared" ca="1" si="327"/>
        <v>RFR EUR</v>
      </c>
      <c r="F4192" t="str">
        <f t="shared" ca="1" si="328"/>
        <v>RFR GBP</v>
      </c>
      <c r="J4192" s="1"/>
      <c r="N4192" s="1"/>
      <c r="R4192" s="1"/>
      <c r="V4192" s="1"/>
      <c r="AB4192" s="1"/>
      <c r="AF4192" s="1"/>
      <c r="AJ4192" s="1"/>
      <c r="AN4192" s="1"/>
      <c r="AS4192" s="1"/>
      <c r="AX4192" s="1"/>
    </row>
    <row r="4193" spans="1:50" x14ac:dyDescent="0.3">
      <c r="A4193" s="19">
        <f t="shared" si="329"/>
        <v>51784</v>
      </c>
      <c r="B4193">
        <f t="shared" ca="1" si="325"/>
        <v>-15.644444444444444</v>
      </c>
      <c r="C4193" t="str">
        <f ca="1">IF(currency="USD",'Future et co'!D4193,IF(currency="EUR",'Future et co'!E4193,IF(currency="GBP",'Future et co'!F4193,FALSE)))</f>
        <v>RFR USD</v>
      </c>
      <c r="D4193" t="str">
        <f t="shared" ca="1" si="326"/>
        <v>RFR USD</v>
      </c>
      <c r="E4193" t="str">
        <f t="shared" ca="1" si="327"/>
        <v>RFR EUR</v>
      </c>
      <c r="F4193" t="str">
        <f t="shared" ca="1" si="328"/>
        <v>RFR GBP</v>
      </c>
      <c r="J4193" s="1"/>
      <c r="N4193" s="1"/>
      <c r="R4193" s="1"/>
      <c r="V4193" s="1"/>
      <c r="AB4193" s="1"/>
      <c r="AF4193" s="1"/>
      <c r="AJ4193" s="1"/>
      <c r="AN4193" s="1"/>
      <c r="AS4193" s="1"/>
      <c r="AX4193" s="1"/>
    </row>
    <row r="4194" spans="1:50" x14ac:dyDescent="0.3">
      <c r="A4194" s="19">
        <f t="shared" si="329"/>
        <v>51785</v>
      </c>
      <c r="B4194">
        <f t="shared" ca="1" si="325"/>
        <v>-15.647222222222222</v>
      </c>
      <c r="C4194" t="str">
        <f ca="1">IF(currency="USD",'Future et co'!D4194,IF(currency="EUR",'Future et co'!E4194,IF(currency="GBP",'Future et co'!F4194,FALSE)))</f>
        <v>RFR USD</v>
      </c>
      <c r="D4194" t="str">
        <f t="shared" ca="1" si="326"/>
        <v>RFR USD</v>
      </c>
      <c r="E4194" t="str">
        <f t="shared" ca="1" si="327"/>
        <v>RFR EUR</v>
      </c>
      <c r="F4194" t="str">
        <f t="shared" ca="1" si="328"/>
        <v>RFR GBP</v>
      </c>
      <c r="J4194" s="1"/>
      <c r="N4194" s="1"/>
      <c r="R4194" s="1"/>
      <c r="V4194" s="1"/>
      <c r="AB4194" s="1"/>
      <c r="AF4194" s="1"/>
      <c r="AJ4194" s="1"/>
      <c r="AN4194" s="1"/>
      <c r="AS4194" s="1"/>
      <c r="AX4194" s="1"/>
    </row>
    <row r="4195" spans="1:50" x14ac:dyDescent="0.3">
      <c r="A4195" s="19">
        <f t="shared" si="329"/>
        <v>51788</v>
      </c>
      <c r="B4195">
        <f t="shared" ca="1" si="325"/>
        <v>-15.655555555555555</v>
      </c>
      <c r="C4195" t="str">
        <f ca="1">IF(currency="USD",'Future et co'!D4195,IF(currency="EUR",'Future et co'!E4195,IF(currency="GBP",'Future et co'!F4195,FALSE)))</f>
        <v>RFR USD</v>
      </c>
      <c r="D4195" t="str">
        <f t="shared" ca="1" si="326"/>
        <v>RFR USD</v>
      </c>
      <c r="E4195" t="str">
        <f t="shared" ca="1" si="327"/>
        <v>RFR EUR</v>
      </c>
      <c r="F4195" t="str">
        <f t="shared" ca="1" si="328"/>
        <v>RFR GBP</v>
      </c>
      <c r="J4195" s="1"/>
      <c r="N4195" s="1"/>
      <c r="R4195" s="1"/>
      <c r="V4195" s="1"/>
      <c r="AB4195" s="1"/>
      <c r="AF4195" s="1"/>
      <c r="AJ4195" s="1"/>
      <c r="AN4195" s="1"/>
      <c r="AS4195" s="1"/>
      <c r="AX4195" s="1"/>
    </row>
    <row r="4196" spans="1:50" x14ac:dyDescent="0.3">
      <c r="A4196" s="19">
        <f t="shared" si="329"/>
        <v>51789</v>
      </c>
      <c r="B4196">
        <f t="shared" ca="1" si="325"/>
        <v>-15.658333333333333</v>
      </c>
      <c r="C4196" t="str">
        <f ca="1">IF(currency="USD",'Future et co'!D4196,IF(currency="EUR",'Future et co'!E4196,IF(currency="GBP",'Future et co'!F4196,FALSE)))</f>
        <v>RFR USD</v>
      </c>
      <c r="D4196" t="str">
        <f t="shared" ca="1" si="326"/>
        <v>RFR USD</v>
      </c>
      <c r="E4196" t="str">
        <f t="shared" ca="1" si="327"/>
        <v>RFR EUR</v>
      </c>
      <c r="F4196" t="str">
        <f t="shared" ca="1" si="328"/>
        <v>RFR GBP</v>
      </c>
      <c r="J4196" s="1"/>
      <c r="N4196" s="1"/>
      <c r="R4196" s="1"/>
      <c r="V4196" s="1"/>
      <c r="AB4196" s="1"/>
      <c r="AF4196" s="1"/>
      <c r="AJ4196" s="1"/>
      <c r="AN4196" s="1"/>
      <c r="AS4196" s="1"/>
      <c r="AX4196" s="1"/>
    </row>
    <row r="4197" spans="1:50" x14ac:dyDescent="0.3">
      <c r="A4197" s="19">
        <f t="shared" si="329"/>
        <v>51790</v>
      </c>
      <c r="B4197">
        <f t="shared" ca="1" si="325"/>
        <v>-15.661111111111111</v>
      </c>
      <c r="C4197" t="str">
        <f ca="1">IF(currency="USD",'Future et co'!D4197,IF(currency="EUR",'Future et co'!E4197,IF(currency="GBP",'Future et co'!F4197,FALSE)))</f>
        <v>RFR USD</v>
      </c>
      <c r="D4197" t="str">
        <f t="shared" ca="1" si="326"/>
        <v>RFR USD</v>
      </c>
      <c r="E4197" t="str">
        <f t="shared" ca="1" si="327"/>
        <v>RFR EUR</v>
      </c>
      <c r="F4197" t="str">
        <f t="shared" ca="1" si="328"/>
        <v>RFR GBP</v>
      </c>
      <c r="J4197" s="1"/>
      <c r="N4197" s="1"/>
      <c r="R4197" s="1"/>
      <c r="V4197" s="1"/>
      <c r="AB4197" s="1"/>
      <c r="AF4197" s="1"/>
      <c r="AJ4197" s="1"/>
      <c r="AN4197" s="1"/>
      <c r="AS4197" s="1"/>
      <c r="AX4197" s="1"/>
    </row>
    <row r="4198" spans="1:50" x14ac:dyDescent="0.3">
      <c r="A4198" s="19">
        <f t="shared" si="329"/>
        <v>51791</v>
      </c>
      <c r="B4198">
        <f t="shared" ca="1" si="325"/>
        <v>-15.66388888888889</v>
      </c>
      <c r="C4198" t="str">
        <f ca="1">IF(currency="USD",'Future et co'!D4198,IF(currency="EUR",'Future et co'!E4198,IF(currency="GBP",'Future et co'!F4198,FALSE)))</f>
        <v>RFR USD</v>
      </c>
      <c r="D4198" t="str">
        <f t="shared" ca="1" si="326"/>
        <v>RFR USD</v>
      </c>
      <c r="E4198" t="str">
        <f t="shared" ca="1" si="327"/>
        <v>RFR EUR</v>
      </c>
      <c r="F4198" t="str">
        <f t="shared" ca="1" si="328"/>
        <v>RFR GBP</v>
      </c>
      <c r="J4198" s="1"/>
      <c r="N4198" s="1"/>
      <c r="R4198" s="1"/>
      <c r="V4198" s="1"/>
      <c r="AB4198" s="1"/>
      <c r="AF4198" s="1"/>
      <c r="AJ4198" s="1"/>
      <c r="AN4198" s="1"/>
      <c r="AS4198" s="1"/>
      <c r="AX4198" s="1"/>
    </row>
    <row r="4199" spans="1:50" x14ac:dyDescent="0.3">
      <c r="A4199" s="19">
        <f t="shared" si="329"/>
        <v>51792</v>
      </c>
      <c r="B4199">
        <f t="shared" ca="1" si="325"/>
        <v>-15.666666666666666</v>
      </c>
      <c r="C4199" t="str">
        <f ca="1">IF(currency="USD",'Future et co'!D4199,IF(currency="EUR",'Future et co'!E4199,IF(currency="GBP",'Future et co'!F4199,FALSE)))</f>
        <v>RFR USD</v>
      </c>
      <c r="D4199" t="str">
        <f t="shared" ca="1" si="326"/>
        <v>RFR USD</v>
      </c>
      <c r="E4199" t="str">
        <f t="shared" ca="1" si="327"/>
        <v>RFR EUR</v>
      </c>
      <c r="F4199" t="str">
        <f t="shared" ca="1" si="328"/>
        <v>RFR GBP</v>
      </c>
      <c r="J4199" s="1"/>
      <c r="N4199" s="1"/>
      <c r="R4199" s="1"/>
      <c r="V4199" s="1"/>
      <c r="AB4199" s="1"/>
      <c r="AF4199" s="1"/>
      <c r="AJ4199" s="1"/>
      <c r="AN4199" s="1"/>
      <c r="AS4199" s="1"/>
      <c r="AX4199" s="1"/>
    </row>
    <row r="4200" spans="1:50" x14ac:dyDescent="0.3">
      <c r="A4200" s="19">
        <f t="shared" si="329"/>
        <v>51795</v>
      </c>
      <c r="B4200">
        <f t="shared" ca="1" si="325"/>
        <v>-15.675000000000001</v>
      </c>
      <c r="C4200" t="str">
        <f ca="1">IF(currency="USD",'Future et co'!D4200,IF(currency="EUR",'Future et co'!E4200,IF(currency="GBP",'Future et co'!F4200,FALSE)))</f>
        <v>RFR USD</v>
      </c>
      <c r="D4200" t="str">
        <f t="shared" ca="1" si="326"/>
        <v>RFR USD</v>
      </c>
      <c r="E4200" t="str">
        <f t="shared" ca="1" si="327"/>
        <v>RFR EUR</v>
      </c>
      <c r="F4200" t="str">
        <f t="shared" ca="1" si="328"/>
        <v>RFR GBP</v>
      </c>
      <c r="J4200" s="1"/>
      <c r="N4200" s="1"/>
      <c r="R4200" s="1"/>
      <c r="V4200" s="1"/>
      <c r="AB4200" s="1"/>
      <c r="AF4200" s="1"/>
      <c r="AJ4200" s="1"/>
      <c r="AN4200" s="1"/>
      <c r="AS4200" s="1"/>
      <c r="AX4200" s="1"/>
    </row>
    <row r="4201" spans="1:50" x14ac:dyDescent="0.3">
      <c r="A4201" s="19">
        <f t="shared" si="329"/>
        <v>51796</v>
      </c>
      <c r="B4201">
        <f t="shared" ca="1" si="325"/>
        <v>-15.677777777777777</v>
      </c>
      <c r="C4201" t="str">
        <f ca="1">IF(currency="USD",'Future et co'!D4201,IF(currency="EUR",'Future et co'!E4201,IF(currency="GBP",'Future et co'!F4201,FALSE)))</f>
        <v>RFR USD</v>
      </c>
      <c r="D4201" t="str">
        <f t="shared" ca="1" si="326"/>
        <v>RFR USD</v>
      </c>
      <c r="E4201" t="str">
        <f t="shared" ca="1" si="327"/>
        <v>RFR EUR</v>
      </c>
      <c r="F4201" t="str">
        <f t="shared" ca="1" si="328"/>
        <v>RFR GBP</v>
      </c>
      <c r="J4201" s="1"/>
      <c r="N4201" s="1"/>
      <c r="R4201" s="1"/>
      <c r="V4201" s="1"/>
      <c r="AB4201" s="1"/>
      <c r="AF4201" s="1"/>
      <c r="AJ4201" s="1"/>
      <c r="AN4201" s="1"/>
      <c r="AS4201" s="1"/>
      <c r="AX4201" s="1"/>
    </row>
    <row r="4202" spans="1:50" x14ac:dyDescent="0.3">
      <c r="A4202" s="19">
        <f t="shared" si="329"/>
        <v>51797</v>
      </c>
      <c r="B4202">
        <f t="shared" ca="1" si="325"/>
        <v>-15.680555555555555</v>
      </c>
      <c r="C4202" t="str">
        <f ca="1">IF(currency="USD",'Future et co'!D4202,IF(currency="EUR",'Future et co'!E4202,IF(currency="GBP",'Future et co'!F4202,FALSE)))</f>
        <v>RFR USD</v>
      </c>
      <c r="D4202" t="str">
        <f t="shared" ca="1" si="326"/>
        <v>RFR USD</v>
      </c>
      <c r="E4202" t="str">
        <f t="shared" ca="1" si="327"/>
        <v>RFR EUR</v>
      </c>
      <c r="F4202" t="str">
        <f t="shared" ca="1" si="328"/>
        <v>RFR GBP</v>
      </c>
      <c r="J4202" s="1"/>
      <c r="N4202" s="1"/>
      <c r="R4202" s="1"/>
      <c r="V4202" s="1"/>
      <c r="AB4202" s="1"/>
      <c r="AF4202" s="1"/>
      <c r="AJ4202" s="1"/>
      <c r="AN4202" s="1"/>
      <c r="AS4202" s="1"/>
      <c r="AX4202" s="1"/>
    </row>
    <row r="4203" spans="1:50" x14ac:dyDescent="0.3">
      <c r="A4203" s="19">
        <f t="shared" si="329"/>
        <v>51798</v>
      </c>
      <c r="B4203">
        <f t="shared" ca="1" si="325"/>
        <v>-15.683333333333334</v>
      </c>
      <c r="C4203" t="str">
        <f ca="1">IF(currency="USD",'Future et co'!D4203,IF(currency="EUR",'Future et co'!E4203,IF(currency="GBP",'Future et co'!F4203,FALSE)))</f>
        <v>RFR USD</v>
      </c>
      <c r="D4203" t="str">
        <f t="shared" ca="1" si="326"/>
        <v>RFR USD</v>
      </c>
      <c r="E4203" t="str">
        <f t="shared" ca="1" si="327"/>
        <v>RFR EUR</v>
      </c>
      <c r="F4203" t="str">
        <f t="shared" ca="1" si="328"/>
        <v>RFR GBP</v>
      </c>
      <c r="J4203" s="1"/>
      <c r="N4203" s="1"/>
      <c r="R4203" s="1"/>
      <c r="V4203" s="1"/>
      <c r="AB4203" s="1"/>
      <c r="AF4203" s="1"/>
      <c r="AJ4203" s="1"/>
      <c r="AN4203" s="1"/>
      <c r="AS4203" s="1"/>
      <c r="AX4203" s="1"/>
    </row>
    <row r="4204" spans="1:50" x14ac:dyDescent="0.3">
      <c r="A4204" s="19">
        <f t="shared" si="329"/>
        <v>51799</v>
      </c>
      <c r="B4204">
        <f t="shared" ca="1" si="325"/>
        <v>-15.686111111111112</v>
      </c>
      <c r="C4204" t="str">
        <f ca="1">IF(currency="USD",'Future et co'!D4204,IF(currency="EUR",'Future et co'!E4204,IF(currency="GBP",'Future et co'!F4204,FALSE)))</f>
        <v>RFR USD</v>
      </c>
      <c r="D4204" t="str">
        <f t="shared" ca="1" si="326"/>
        <v>RFR USD</v>
      </c>
      <c r="E4204" t="str">
        <f t="shared" ca="1" si="327"/>
        <v>RFR EUR</v>
      </c>
      <c r="F4204" t="str">
        <f t="shared" ca="1" si="328"/>
        <v>RFR GBP</v>
      </c>
      <c r="J4204" s="1"/>
      <c r="N4204" s="1"/>
      <c r="R4204" s="1"/>
      <c r="V4204" s="1"/>
      <c r="AB4204" s="1"/>
      <c r="AF4204" s="1"/>
      <c r="AJ4204" s="1"/>
      <c r="AN4204" s="1"/>
      <c r="AS4204" s="1"/>
      <c r="AX4204" s="1"/>
    </row>
    <row r="4205" spans="1:50" x14ac:dyDescent="0.3">
      <c r="A4205" s="19">
        <f t="shared" si="329"/>
        <v>51802</v>
      </c>
      <c r="B4205">
        <f t="shared" ca="1" si="325"/>
        <v>-15.694444444444445</v>
      </c>
      <c r="C4205" t="str">
        <f ca="1">IF(currency="USD",'Future et co'!D4205,IF(currency="EUR",'Future et co'!E4205,IF(currency="GBP",'Future et co'!F4205,FALSE)))</f>
        <v>RFR USD</v>
      </c>
      <c r="D4205" t="str">
        <f t="shared" ca="1" si="326"/>
        <v>RFR USD</v>
      </c>
      <c r="E4205" t="str">
        <f t="shared" ca="1" si="327"/>
        <v>RFR EUR</v>
      </c>
      <c r="F4205" t="str">
        <f t="shared" ca="1" si="328"/>
        <v>RFR GBP</v>
      </c>
      <c r="J4205" s="1"/>
      <c r="N4205" s="1"/>
      <c r="R4205" s="1"/>
      <c r="V4205" s="1"/>
      <c r="AB4205" s="1"/>
      <c r="AF4205" s="1"/>
      <c r="AJ4205" s="1"/>
      <c r="AN4205" s="1"/>
      <c r="AS4205" s="1"/>
      <c r="AX4205" s="1"/>
    </row>
    <row r="4206" spans="1:50" x14ac:dyDescent="0.3">
      <c r="A4206" s="19">
        <f t="shared" si="329"/>
        <v>51803</v>
      </c>
      <c r="B4206">
        <f t="shared" ca="1" si="325"/>
        <v>-15.697222222222223</v>
      </c>
      <c r="C4206" t="str">
        <f ca="1">IF(currency="USD",'Future et co'!D4206,IF(currency="EUR",'Future et co'!E4206,IF(currency="GBP",'Future et co'!F4206,FALSE)))</f>
        <v>RFR USD</v>
      </c>
      <c r="D4206" t="str">
        <f t="shared" ca="1" si="326"/>
        <v>RFR USD</v>
      </c>
      <c r="E4206" t="str">
        <f t="shared" ca="1" si="327"/>
        <v>RFR EUR</v>
      </c>
      <c r="F4206" t="str">
        <f t="shared" ca="1" si="328"/>
        <v>RFR GBP</v>
      </c>
      <c r="J4206" s="1"/>
      <c r="N4206" s="1"/>
      <c r="R4206" s="1"/>
      <c r="V4206" s="1"/>
      <c r="AB4206" s="1"/>
      <c r="AF4206" s="1"/>
      <c r="AJ4206" s="1"/>
      <c r="AN4206" s="1"/>
      <c r="AS4206" s="1"/>
      <c r="AX4206" s="1"/>
    </row>
    <row r="4207" spans="1:50" x14ac:dyDescent="0.3">
      <c r="A4207" s="19">
        <f t="shared" si="329"/>
        <v>51804</v>
      </c>
      <c r="B4207">
        <f t="shared" ca="1" si="325"/>
        <v>-15.7</v>
      </c>
      <c r="C4207" t="str">
        <f ca="1">IF(currency="USD",'Future et co'!D4207,IF(currency="EUR",'Future et co'!E4207,IF(currency="GBP",'Future et co'!F4207,FALSE)))</f>
        <v>RFR USD</v>
      </c>
      <c r="D4207" t="str">
        <f t="shared" ca="1" si="326"/>
        <v>RFR USD</v>
      </c>
      <c r="E4207" t="str">
        <f t="shared" ca="1" si="327"/>
        <v>RFR EUR</v>
      </c>
      <c r="F4207" t="str">
        <f t="shared" ca="1" si="328"/>
        <v>RFR GBP</v>
      </c>
      <c r="J4207" s="1"/>
      <c r="N4207" s="1"/>
      <c r="R4207" s="1"/>
      <c r="V4207" s="1"/>
      <c r="AB4207" s="1"/>
      <c r="AF4207" s="1"/>
      <c r="AJ4207" s="1"/>
      <c r="AN4207" s="1"/>
      <c r="AS4207" s="1"/>
      <c r="AX4207" s="1"/>
    </row>
    <row r="4208" spans="1:50" x14ac:dyDescent="0.3">
      <c r="A4208" s="19">
        <f t="shared" si="329"/>
        <v>51805</v>
      </c>
      <c r="B4208">
        <f t="shared" ca="1" si="325"/>
        <v>-15.702777777777778</v>
      </c>
      <c r="C4208" t="str">
        <f ca="1">IF(currency="USD",'Future et co'!D4208,IF(currency="EUR",'Future et co'!E4208,IF(currency="GBP",'Future et co'!F4208,FALSE)))</f>
        <v>RFR USD</v>
      </c>
      <c r="D4208" t="str">
        <f t="shared" ca="1" si="326"/>
        <v>RFR USD</v>
      </c>
      <c r="E4208" t="str">
        <f t="shared" ca="1" si="327"/>
        <v>RFR EUR</v>
      </c>
      <c r="F4208" t="str">
        <f t="shared" ca="1" si="328"/>
        <v>RFR GBP</v>
      </c>
      <c r="J4208" s="1"/>
      <c r="N4208" s="1"/>
      <c r="R4208" s="1"/>
      <c r="V4208" s="1"/>
      <c r="AB4208" s="1"/>
      <c r="AF4208" s="1"/>
      <c r="AJ4208" s="1"/>
      <c r="AN4208" s="1"/>
      <c r="AS4208" s="1"/>
      <c r="AX4208" s="1"/>
    </row>
    <row r="4209" spans="1:50" x14ac:dyDescent="0.3">
      <c r="A4209" s="19">
        <f t="shared" si="329"/>
        <v>51806</v>
      </c>
      <c r="B4209">
        <f t="shared" ca="1" si="325"/>
        <v>-15.705555555555556</v>
      </c>
      <c r="C4209" t="str">
        <f ca="1">IF(currency="USD",'Future et co'!D4209,IF(currency="EUR",'Future et co'!E4209,IF(currency="GBP",'Future et co'!F4209,FALSE)))</f>
        <v>RFR USD</v>
      </c>
      <c r="D4209" t="str">
        <f t="shared" ca="1" si="326"/>
        <v>RFR USD</v>
      </c>
      <c r="E4209" t="str">
        <f t="shared" ca="1" si="327"/>
        <v>RFR EUR</v>
      </c>
      <c r="F4209" t="str">
        <f t="shared" ca="1" si="328"/>
        <v>RFR GBP</v>
      </c>
      <c r="J4209" s="1"/>
      <c r="N4209" s="1"/>
      <c r="R4209" s="1"/>
      <c r="V4209" s="1"/>
      <c r="AB4209" s="1"/>
      <c r="AF4209" s="1"/>
      <c r="AJ4209" s="1"/>
      <c r="AN4209" s="1"/>
      <c r="AS4209" s="1"/>
      <c r="AX4209" s="1"/>
    </row>
    <row r="4210" spans="1:50" x14ac:dyDescent="0.3">
      <c r="A4210" s="19">
        <f t="shared" si="329"/>
        <v>51809</v>
      </c>
      <c r="B4210">
        <f t="shared" ca="1" si="325"/>
        <v>-15.713888888888889</v>
      </c>
      <c r="C4210" t="str">
        <f ca="1">IF(currency="USD",'Future et co'!D4210,IF(currency="EUR",'Future et co'!E4210,IF(currency="GBP",'Future et co'!F4210,FALSE)))</f>
        <v>RFR USD</v>
      </c>
      <c r="D4210" t="str">
        <f t="shared" ca="1" si="326"/>
        <v>RFR USD</v>
      </c>
      <c r="E4210" t="str">
        <f t="shared" ca="1" si="327"/>
        <v>RFR EUR</v>
      </c>
      <c r="F4210" t="str">
        <f t="shared" ca="1" si="328"/>
        <v>RFR GBP</v>
      </c>
      <c r="J4210" s="1"/>
      <c r="N4210" s="1"/>
      <c r="R4210" s="1"/>
      <c r="V4210" s="1"/>
      <c r="AB4210" s="1"/>
      <c r="AF4210" s="1"/>
      <c r="AJ4210" s="1"/>
      <c r="AN4210" s="1"/>
      <c r="AS4210" s="1"/>
      <c r="AX4210" s="1"/>
    </row>
    <row r="4211" spans="1:50" x14ac:dyDescent="0.3">
      <c r="A4211" s="19">
        <f t="shared" si="329"/>
        <v>51810</v>
      </c>
      <c r="B4211">
        <f t="shared" ca="1" si="325"/>
        <v>-15.716666666666667</v>
      </c>
      <c r="C4211" t="str">
        <f ca="1">IF(currency="USD",'Future et co'!D4211,IF(currency="EUR",'Future et co'!E4211,IF(currency="GBP",'Future et co'!F4211,FALSE)))</f>
        <v>RFR USD</v>
      </c>
      <c r="D4211" t="str">
        <f t="shared" ca="1" si="326"/>
        <v>RFR USD</v>
      </c>
      <c r="E4211" t="str">
        <f t="shared" ca="1" si="327"/>
        <v>RFR EUR</v>
      </c>
      <c r="F4211" t="str">
        <f t="shared" ca="1" si="328"/>
        <v>RFR GBP</v>
      </c>
      <c r="J4211" s="1"/>
      <c r="N4211" s="1"/>
      <c r="R4211" s="1"/>
      <c r="V4211" s="1"/>
      <c r="AB4211" s="1"/>
      <c r="AF4211" s="1"/>
      <c r="AJ4211" s="1"/>
      <c r="AN4211" s="1"/>
      <c r="AS4211" s="1"/>
      <c r="AX4211" s="1"/>
    </row>
    <row r="4212" spans="1:50" x14ac:dyDescent="0.3">
      <c r="A4212" s="19">
        <f t="shared" si="329"/>
        <v>51811</v>
      </c>
      <c r="B4212">
        <f t="shared" ca="1" si="325"/>
        <v>-15.719444444444445</v>
      </c>
      <c r="C4212" t="str">
        <f ca="1">IF(currency="USD",'Future et co'!D4212,IF(currency="EUR",'Future et co'!E4212,IF(currency="GBP",'Future et co'!F4212,FALSE)))</f>
        <v>RFR USD</v>
      </c>
      <c r="D4212" t="str">
        <f t="shared" ca="1" si="326"/>
        <v>RFR USD</v>
      </c>
      <c r="E4212" t="str">
        <f t="shared" ca="1" si="327"/>
        <v>RFR EUR</v>
      </c>
      <c r="F4212" t="str">
        <f t="shared" ca="1" si="328"/>
        <v>RFR GBP</v>
      </c>
      <c r="J4212" s="1"/>
      <c r="N4212" s="1"/>
      <c r="R4212" s="1"/>
      <c r="V4212" s="1"/>
      <c r="AB4212" s="1"/>
      <c r="AF4212" s="1"/>
      <c r="AJ4212" s="1"/>
      <c r="AN4212" s="1"/>
      <c r="AS4212" s="1"/>
      <c r="AX4212" s="1"/>
    </row>
    <row r="4213" spans="1:50" x14ac:dyDescent="0.3">
      <c r="A4213" s="19">
        <f t="shared" si="329"/>
        <v>51812</v>
      </c>
      <c r="B4213">
        <f t="shared" ca="1" si="325"/>
        <v>-15.722222222222221</v>
      </c>
      <c r="C4213" t="str">
        <f ca="1">IF(currency="USD",'Future et co'!D4213,IF(currency="EUR",'Future et co'!E4213,IF(currency="GBP",'Future et co'!F4213,FALSE)))</f>
        <v>RFR USD</v>
      </c>
      <c r="D4213" t="str">
        <f t="shared" ca="1" si="326"/>
        <v>RFR USD</v>
      </c>
      <c r="E4213" t="str">
        <f t="shared" ca="1" si="327"/>
        <v>RFR EUR</v>
      </c>
      <c r="F4213" t="str">
        <f t="shared" ca="1" si="328"/>
        <v>RFR GBP</v>
      </c>
      <c r="J4213" s="1"/>
      <c r="N4213" s="1"/>
      <c r="R4213" s="1"/>
      <c r="V4213" s="1"/>
      <c r="AB4213" s="1"/>
      <c r="AF4213" s="1"/>
      <c r="AJ4213" s="1"/>
      <c r="AN4213" s="1"/>
      <c r="AS4213" s="1"/>
      <c r="AX4213" s="1"/>
    </row>
    <row r="4214" spans="1:50" x14ac:dyDescent="0.3">
      <c r="A4214" s="19">
        <f t="shared" si="329"/>
        <v>51813</v>
      </c>
      <c r="B4214">
        <f t="shared" ca="1" si="325"/>
        <v>-15.725</v>
      </c>
      <c r="C4214" t="str">
        <f ca="1">IF(currency="USD",'Future et co'!D4214,IF(currency="EUR",'Future et co'!E4214,IF(currency="GBP",'Future et co'!F4214,FALSE)))</f>
        <v>RFR USD</v>
      </c>
      <c r="D4214" t="str">
        <f t="shared" ca="1" si="326"/>
        <v>RFR USD</v>
      </c>
      <c r="E4214" t="str">
        <f t="shared" ca="1" si="327"/>
        <v>RFR EUR</v>
      </c>
      <c r="F4214" t="str">
        <f t="shared" ca="1" si="328"/>
        <v>RFR GBP</v>
      </c>
      <c r="J4214" s="1"/>
      <c r="N4214" s="1"/>
      <c r="R4214" s="1"/>
      <c r="V4214" s="1"/>
      <c r="AB4214" s="1"/>
      <c r="AF4214" s="1"/>
      <c r="AJ4214" s="1"/>
      <c r="AN4214" s="1"/>
      <c r="AS4214" s="1"/>
      <c r="AX4214" s="1"/>
    </row>
    <row r="4215" spans="1:50" x14ac:dyDescent="0.3">
      <c r="A4215" s="19">
        <f t="shared" si="329"/>
        <v>51816</v>
      </c>
      <c r="B4215">
        <f t="shared" ca="1" si="325"/>
        <v>-15.733333333333333</v>
      </c>
      <c r="C4215" t="str">
        <f ca="1">IF(currency="USD",'Future et co'!D4215,IF(currency="EUR",'Future et co'!E4215,IF(currency="GBP",'Future et co'!F4215,FALSE)))</f>
        <v>RFR USD</v>
      </c>
      <c r="D4215" t="str">
        <f t="shared" ca="1" si="326"/>
        <v>RFR USD</v>
      </c>
      <c r="E4215" t="str">
        <f t="shared" ca="1" si="327"/>
        <v>RFR EUR</v>
      </c>
      <c r="F4215" t="str">
        <f t="shared" ca="1" si="328"/>
        <v>RFR GBP</v>
      </c>
      <c r="J4215" s="1"/>
      <c r="N4215" s="1"/>
      <c r="R4215" s="1"/>
      <c r="V4215" s="1"/>
      <c r="AB4215" s="1"/>
      <c r="AF4215" s="1"/>
      <c r="AJ4215" s="1"/>
      <c r="AN4215" s="1"/>
      <c r="AS4215" s="1"/>
      <c r="AX4215" s="1"/>
    </row>
    <row r="4216" spans="1:50" x14ac:dyDescent="0.3">
      <c r="A4216" s="19">
        <f t="shared" si="329"/>
        <v>51817</v>
      </c>
      <c r="B4216">
        <f t="shared" ca="1" si="325"/>
        <v>-15.736111111111111</v>
      </c>
      <c r="C4216" t="str">
        <f ca="1">IF(currency="USD",'Future et co'!D4216,IF(currency="EUR",'Future et co'!E4216,IF(currency="GBP",'Future et co'!F4216,FALSE)))</f>
        <v>RFR USD</v>
      </c>
      <c r="D4216" t="str">
        <f t="shared" ca="1" si="326"/>
        <v>RFR USD</v>
      </c>
      <c r="E4216" t="str">
        <f t="shared" ca="1" si="327"/>
        <v>RFR EUR</v>
      </c>
      <c r="F4216" t="str">
        <f t="shared" ca="1" si="328"/>
        <v>RFR GBP</v>
      </c>
      <c r="J4216" s="1"/>
      <c r="N4216" s="1"/>
      <c r="R4216" s="1"/>
      <c r="V4216" s="1"/>
      <c r="AB4216" s="1"/>
      <c r="AF4216" s="1"/>
      <c r="AJ4216" s="1"/>
      <c r="AN4216" s="1"/>
      <c r="AS4216" s="1"/>
      <c r="AX4216" s="1"/>
    </row>
    <row r="4217" spans="1:50" x14ac:dyDescent="0.3">
      <c r="A4217" s="19">
        <f t="shared" si="329"/>
        <v>51818</v>
      </c>
      <c r="B4217">
        <f t="shared" ca="1" si="325"/>
        <v>-15.738888888888889</v>
      </c>
      <c r="C4217" t="str">
        <f ca="1">IF(currency="USD",'Future et co'!D4217,IF(currency="EUR",'Future et co'!E4217,IF(currency="GBP",'Future et co'!F4217,FALSE)))</f>
        <v>RFR USD</v>
      </c>
      <c r="D4217" t="str">
        <f t="shared" ca="1" si="326"/>
        <v>RFR USD</v>
      </c>
      <c r="E4217" t="str">
        <f t="shared" ca="1" si="327"/>
        <v>RFR EUR</v>
      </c>
      <c r="F4217" t="str">
        <f t="shared" ca="1" si="328"/>
        <v>RFR GBP</v>
      </c>
      <c r="J4217" s="1"/>
      <c r="N4217" s="1"/>
      <c r="R4217" s="1"/>
      <c r="V4217" s="1"/>
      <c r="AB4217" s="1"/>
      <c r="AF4217" s="1"/>
      <c r="AJ4217" s="1"/>
      <c r="AN4217" s="1"/>
      <c r="AS4217" s="1"/>
      <c r="AX4217" s="1"/>
    </row>
    <row r="4218" spans="1:50" x14ac:dyDescent="0.3">
      <c r="A4218" s="19">
        <f t="shared" si="329"/>
        <v>51819</v>
      </c>
      <c r="B4218">
        <f t="shared" ca="1" si="325"/>
        <v>-15.741666666666667</v>
      </c>
      <c r="C4218" t="str">
        <f ca="1">IF(currency="USD",'Future et co'!D4218,IF(currency="EUR",'Future et co'!E4218,IF(currency="GBP",'Future et co'!F4218,FALSE)))</f>
        <v>RFR USD</v>
      </c>
      <c r="D4218" t="str">
        <f t="shared" ca="1" si="326"/>
        <v>RFR USD</v>
      </c>
      <c r="E4218" t="str">
        <f t="shared" ca="1" si="327"/>
        <v>RFR EUR</v>
      </c>
      <c r="F4218" t="str">
        <f t="shared" ca="1" si="328"/>
        <v>RFR GBP</v>
      </c>
      <c r="J4218" s="1"/>
      <c r="N4218" s="1"/>
      <c r="R4218" s="1"/>
      <c r="V4218" s="1"/>
      <c r="AB4218" s="1"/>
      <c r="AF4218" s="1"/>
      <c r="AJ4218" s="1"/>
      <c r="AN4218" s="1"/>
      <c r="AS4218" s="1"/>
      <c r="AX4218" s="1"/>
    </row>
    <row r="4219" spans="1:50" x14ac:dyDescent="0.3">
      <c r="A4219" s="19">
        <f t="shared" si="329"/>
        <v>51820</v>
      </c>
      <c r="B4219">
        <f t="shared" ca="1" si="325"/>
        <v>-15.744444444444444</v>
      </c>
      <c r="C4219" t="str">
        <f ca="1">IF(currency="USD",'Future et co'!D4219,IF(currency="EUR",'Future et co'!E4219,IF(currency="GBP",'Future et co'!F4219,FALSE)))</f>
        <v>RFR USD</v>
      </c>
      <c r="D4219" t="str">
        <f t="shared" ca="1" si="326"/>
        <v>RFR USD</v>
      </c>
      <c r="E4219" t="str">
        <f t="shared" ca="1" si="327"/>
        <v>RFR EUR</v>
      </c>
      <c r="F4219" t="str">
        <f t="shared" ca="1" si="328"/>
        <v>RFR GBP</v>
      </c>
      <c r="J4219" s="1"/>
      <c r="N4219" s="1"/>
      <c r="R4219" s="1"/>
      <c r="V4219" s="1"/>
      <c r="AB4219" s="1"/>
      <c r="AF4219" s="1"/>
      <c r="AJ4219" s="1"/>
      <c r="AN4219" s="1"/>
      <c r="AS4219" s="1"/>
      <c r="AX4219" s="1"/>
    </row>
    <row r="4220" spans="1:50" x14ac:dyDescent="0.3">
      <c r="A4220" s="19">
        <f t="shared" si="329"/>
        <v>51823</v>
      </c>
      <c r="B4220">
        <f t="shared" ca="1" si="325"/>
        <v>-15.752777777777778</v>
      </c>
      <c r="C4220" t="str">
        <f ca="1">IF(currency="USD",'Future et co'!D4220,IF(currency="EUR",'Future et co'!E4220,IF(currency="GBP",'Future et co'!F4220,FALSE)))</f>
        <v>RFR USD</v>
      </c>
      <c r="D4220" t="str">
        <f t="shared" ca="1" si="326"/>
        <v>RFR USD</v>
      </c>
      <c r="E4220" t="str">
        <f t="shared" ca="1" si="327"/>
        <v>RFR EUR</v>
      </c>
      <c r="F4220" t="str">
        <f t="shared" ca="1" si="328"/>
        <v>RFR GBP</v>
      </c>
      <c r="J4220" s="1"/>
      <c r="N4220" s="1"/>
      <c r="R4220" s="1"/>
      <c r="V4220" s="1"/>
      <c r="AB4220" s="1"/>
      <c r="AF4220" s="1"/>
      <c r="AJ4220" s="1"/>
      <c r="AN4220" s="1"/>
      <c r="AS4220" s="1"/>
      <c r="AX4220" s="1"/>
    </row>
    <row r="4221" spans="1:50" x14ac:dyDescent="0.3">
      <c r="A4221" s="19">
        <f t="shared" si="329"/>
        <v>51824</v>
      </c>
      <c r="B4221">
        <f t="shared" ca="1" si="325"/>
        <v>-15.755555555555556</v>
      </c>
      <c r="C4221" t="str">
        <f ca="1">IF(currency="USD",'Future et co'!D4221,IF(currency="EUR",'Future et co'!E4221,IF(currency="GBP",'Future et co'!F4221,FALSE)))</f>
        <v>RFR USD</v>
      </c>
      <c r="D4221" t="str">
        <f t="shared" ca="1" si="326"/>
        <v>RFR USD</v>
      </c>
      <c r="E4221" t="str">
        <f t="shared" ca="1" si="327"/>
        <v>RFR EUR</v>
      </c>
      <c r="F4221" t="str">
        <f t="shared" ca="1" si="328"/>
        <v>RFR GBP</v>
      </c>
      <c r="J4221" s="1"/>
      <c r="N4221" s="1"/>
      <c r="R4221" s="1"/>
      <c r="V4221" s="1"/>
      <c r="AB4221" s="1"/>
      <c r="AF4221" s="1"/>
      <c r="AJ4221" s="1"/>
      <c r="AN4221" s="1"/>
      <c r="AS4221" s="1"/>
      <c r="AX4221" s="1"/>
    </row>
    <row r="4222" spans="1:50" x14ac:dyDescent="0.3">
      <c r="A4222" s="19">
        <f t="shared" si="329"/>
        <v>51825</v>
      </c>
      <c r="B4222">
        <f t="shared" ca="1" si="325"/>
        <v>-15.758333333333333</v>
      </c>
      <c r="C4222" t="str">
        <f ca="1">IF(currency="USD",'Future et co'!D4222,IF(currency="EUR",'Future et co'!E4222,IF(currency="GBP",'Future et co'!F4222,FALSE)))</f>
        <v>RFR USD</v>
      </c>
      <c r="D4222" t="str">
        <f t="shared" ca="1" si="326"/>
        <v>RFR USD</v>
      </c>
      <c r="E4222" t="str">
        <f t="shared" ca="1" si="327"/>
        <v>RFR EUR</v>
      </c>
      <c r="F4222" t="str">
        <f t="shared" ca="1" si="328"/>
        <v>RFR GBP</v>
      </c>
      <c r="J4222" s="1"/>
      <c r="N4222" s="1"/>
      <c r="R4222" s="1"/>
      <c r="V4222" s="1"/>
      <c r="AB4222" s="1"/>
      <c r="AF4222" s="1"/>
      <c r="AJ4222" s="1"/>
      <c r="AN4222" s="1"/>
      <c r="AS4222" s="1"/>
      <c r="AX4222" s="1"/>
    </row>
    <row r="4223" spans="1:50" x14ac:dyDescent="0.3">
      <c r="A4223" s="19">
        <f t="shared" si="329"/>
        <v>51826</v>
      </c>
      <c r="B4223">
        <f t="shared" ca="1" si="325"/>
        <v>-15.761111111111111</v>
      </c>
      <c r="C4223" t="str">
        <f ca="1">IF(currency="USD",'Future et co'!D4223,IF(currency="EUR",'Future et co'!E4223,IF(currency="GBP",'Future et co'!F4223,FALSE)))</f>
        <v>RFR USD</v>
      </c>
      <c r="D4223" t="str">
        <f t="shared" ca="1" si="326"/>
        <v>RFR USD</v>
      </c>
      <c r="E4223" t="str">
        <f t="shared" ca="1" si="327"/>
        <v>RFR EUR</v>
      </c>
      <c r="F4223" t="str">
        <f t="shared" ca="1" si="328"/>
        <v>RFR GBP</v>
      </c>
      <c r="J4223" s="1"/>
      <c r="N4223" s="1"/>
      <c r="R4223" s="1"/>
      <c r="V4223" s="1"/>
      <c r="AB4223" s="1"/>
      <c r="AF4223" s="1"/>
      <c r="AJ4223" s="1"/>
      <c r="AN4223" s="1"/>
      <c r="AS4223" s="1"/>
      <c r="AX4223" s="1"/>
    </row>
    <row r="4224" spans="1:50" x14ac:dyDescent="0.3">
      <c r="A4224" s="19">
        <f t="shared" si="329"/>
        <v>51827</v>
      </c>
      <c r="B4224">
        <f t="shared" ca="1" si="325"/>
        <v>-15.763888888888889</v>
      </c>
      <c r="C4224" t="str">
        <f ca="1">IF(currency="USD",'Future et co'!D4224,IF(currency="EUR",'Future et co'!E4224,IF(currency="GBP",'Future et co'!F4224,FALSE)))</f>
        <v>RFR USD</v>
      </c>
      <c r="D4224" t="str">
        <f t="shared" ca="1" si="326"/>
        <v>RFR USD</v>
      </c>
      <c r="E4224" t="str">
        <f t="shared" ca="1" si="327"/>
        <v>RFR EUR</v>
      </c>
      <c r="F4224" t="str">
        <f t="shared" ca="1" si="328"/>
        <v>RFR GBP</v>
      </c>
      <c r="J4224" s="1"/>
      <c r="N4224" s="1"/>
      <c r="R4224" s="1"/>
      <c r="V4224" s="1"/>
      <c r="AB4224" s="1"/>
      <c r="AF4224" s="1"/>
      <c r="AJ4224" s="1"/>
      <c r="AN4224" s="1"/>
      <c r="AS4224" s="1"/>
      <c r="AX4224" s="1"/>
    </row>
    <row r="4225" spans="1:50" x14ac:dyDescent="0.3">
      <c r="A4225" s="19">
        <f t="shared" si="329"/>
        <v>51830</v>
      </c>
      <c r="B4225">
        <f t="shared" ca="1" si="325"/>
        <v>-15.772222222222222</v>
      </c>
      <c r="C4225" t="str">
        <f ca="1">IF(currency="USD",'Future et co'!D4225,IF(currency="EUR",'Future et co'!E4225,IF(currency="GBP",'Future et co'!F4225,FALSE)))</f>
        <v>RFR USD</v>
      </c>
      <c r="D4225" t="str">
        <f t="shared" ca="1" si="326"/>
        <v>RFR USD</v>
      </c>
      <c r="E4225" t="str">
        <f t="shared" ca="1" si="327"/>
        <v>RFR EUR</v>
      </c>
      <c r="F4225" t="str">
        <f t="shared" ca="1" si="328"/>
        <v>RFR GBP</v>
      </c>
      <c r="J4225" s="1"/>
      <c r="N4225" s="1"/>
      <c r="R4225" s="1"/>
      <c r="V4225" s="1"/>
      <c r="AB4225" s="1"/>
      <c r="AF4225" s="1"/>
      <c r="AJ4225" s="1"/>
      <c r="AN4225" s="1"/>
      <c r="AS4225" s="1"/>
      <c r="AX4225" s="1"/>
    </row>
    <row r="4226" spans="1:50" x14ac:dyDescent="0.3">
      <c r="A4226" s="19">
        <f t="shared" si="329"/>
        <v>51831</v>
      </c>
      <c r="B4226">
        <f t="shared" ca="1" si="325"/>
        <v>-15.775</v>
      </c>
      <c r="C4226" t="str">
        <f ca="1">IF(currency="USD",'Future et co'!D4226,IF(currency="EUR",'Future et co'!E4226,IF(currency="GBP",'Future et co'!F4226,FALSE)))</f>
        <v>RFR USD</v>
      </c>
      <c r="D4226" t="str">
        <f t="shared" ca="1" si="326"/>
        <v>RFR USD</v>
      </c>
      <c r="E4226" t="str">
        <f t="shared" ca="1" si="327"/>
        <v>RFR EUR</v>
      </c>
      <c r="F4226" t="str">
        <f t="shared" ca="1" si="328"/>
        <v>RFR GBP</v>
      </c>
      <c r="J4226" s="1"/>
      <c r="N4226" s="1"/>
      <c r="R4226" s="1"/>
      <c r="V4226" s="1"/>
      <c r="AB4226" s="1"/>
      <c r="AF4226" s="1"/>
      <c r="AJ4226" s="1"/>
      <c r="AN4226" s="1"/>
      <c r="AS4226" s="1"/>
      <c r="AX4226" s="1"/>
    </row>
    <row r="4227" spans="1:50" x14ac:dyDescent="0.3">
      <c r="A4227" s="19">
        <f t="shared" si="329"/>
        <v>51832</v>
      </c>
      <c r="B4227">
        <f t="shared" ca="1" si="325"/>
        <v>-15.777777777777779</v>
      </c>
      <c r="C4227" t="str">
        <f ca="1">IF(currency="USD",'Future et co'!D4227,IF(currency="EUR",'Future et co'!E4227,IF(currency="GBP",'Future et co'!F4227,FALSE)))</f>
        <v>RFR USD</v>
      </c>
      <c r="D4227" t="str">
        <f t="shared" ca="1" si="326"/>
        <v>RFR USD</v>
      </c>
      <c r="E4227" t="str">
        <f t="shared" ca="1" si="327"/>
        <v>RFR EUR</v>
      </c>
      <c r="F4227" t="str">
        <f t="shared" ca="1" si="328"/>
        <v>RFR GBP</v>
      </c>
      <c r="J4227" s="1"/>
      <c r="N4227" s="1"/>
      <c r="R4227" s="1"/>
      <c r="V4227" s="1"/>
      <c r="AB4227" s="1"/>
      <c r="AF4227" s="1"/>
      <c r="AJ4227" s="1"/>
      <c r="AN4227" s="1"/>
      <c r="AS4227" s="1"/>
      <c r="AX4227" s="1"/>
    </row>
    <row r="4228" spans="1:50" x14ac:dyDescent="0.3">
      <c r="A4228" s="19">
        <f t="shared" si="329"/>
        <v>51833</v>
      </c>
      <c r="B4228">
        <f t="shared" ca="1" si="325"/>
        <v>-15.780555555555555</v>
      </c>
      <c r="C4228" t="str">
        <f ca="1">IF(currency="USD",'Future et co'!D4228,IF(currency="EUR",'Future et co'!E4228,IF(currency="GBP",'Future et co'!F4228,FALSE)))</f>
        <v>RFR USD</v>
      </c>
      <c r="D4228" t="str">
        <f t="shared" ca="1" si="326"/>
        <v>RFR USD</v>
      </c>
      <c r="E4228" t="str">
        <f t="shared" ca="1" si="327"/>
        <v>RFR EUR</v>
      </c>
      <c r="F4228" t="str">
        <f t="shared" ca="1" si="328"/>
        <v>RFR GBP</v>
      </c>
      <c r="J4228" s="1"/>
      <c r="N4228" s="1"/>
      <c r="R4228" s="1"/>
      <c r="V4228" s="1"/>
      <c r="AB4228" s="1"/>
      <c r="AF4228" s="1"/>
      <c r="AJ4228" s="1"/>
      <c r="AN4228" s="1"/>
      <c r="AS4228" s="1"/>
      <c r="AX4228" s="1"/>
    </row>
    <row r="4229" spans="1:50" x14ac:dyDescent="0.3">
      <c r="A4229" s="19">
        <f t="shared" si="329"/>
        <v>51834</v>
      </c>
      <c r="B4229">
        <f t="shared" ca="1" si="325"/>
        <v>-15.783333333333333</v>
      </c>
      <c r="C4229" t="str">
        <f ca="1">IF(currency="USD",'Future et co'!D4229,IF(currency="EUR",'Future et co'!E4229,IF(currency="GBP",'Future et co'!F4229,FALSE)))</f>
        <v>RFR USD</v>
      </c>
      <c r="D4229" t="str">
        <f t="shared" ca="1" si="326"/>
        <v>RFR USD</v>
      </c>
      <c r="E4229" t="str">
        <f t="shared" ca="1" si="327"/>
        <v>RFR EUR</v>
      </c>
      <c r="F4229" t="str">
        <f t="shared" ca="1" si="328"/>
        <v>RFR GBP</v>
      </c>
      <c r="J4229" s="1"/>
      <c r="N4229" s="1"/>
      <c r="R4229" s="1"/>
      <c r="V4229" s="1"/>
      <c r="AB4229" s="1"/>
      <c r="AF4229" s="1"/>
      <c r="AJ4229" s="1"/>
      <c r="AN4229" s="1"/>
      <c r="AS4229" s="1"/>
      <c r="AX4229" s="1"/>
    </row>
    <row r="4230" spans="1:50" x14ac:dyDescent="0.3">
      <c r="A4230" s="19">
        <f t="shared" si="329"/>
        <v>51837</v>
      </c>
      <c r="B4230">
        <f t="shared" ca="1" si="325"/>
        <v>-15.791666666666666</v>
      </c>
      <c r="C4230" t="str">
        <f ca="1">IF(currency="USD",'Future et co'!D4230,IF(currency="EUR",'Future et co'!E4230,IF(currency="GBP",'Future et co'!F4230,FALSE)))</f>
        <v>RFR USD</v>
      </c>
      <c r="D4230" t="str">
        <f t="shared" ca="1" si="326"/>
        <v>RFR USD</v>
      </c>
      <c r="E4230" t="str">
        <f t="shared" ca="1" si="327"/>
        <v>RFR EUR</v>
      </c>
      <c r="F4230" t="str">
        <f t="shared" ca="1" si="328"/>
        <v>RFR GBP</v>
      </c>
      <c r="J4230" s="1"/>
      <c r="N4230" s="1"/>
      <c r="R4230" s="1"/>
      <c r="V4230" s="1"/>
      <c r="AB4230" s="1"/>
      <c r="AF4230" s="1"/>
      <c r="AJ4230" s="1"/>
      <c r="AN4230" s="1"/>
      <c r="AS4230" s="1"/>
      <c r="AX4230" s="1"/>
    </row>
    <row r="4231" spans="1:50" x14ac:dyDescent="0.3">
      <c r="A4231" s="19">
        <f t="shared" si="329"/>
        <v>51838</v>
      </c>
      <c r="B4231">
        <f t="shared" ca="1" si="325"/>
        <v>-15.794444444444444</v>
      </c>
      <c r="C4231" t="str">
        <f ca="1">IF(currency="USD",'Future et co'!D4231,IF(currency="EUR",'Future et co'!E4231,IF(currency="GBP",'Future et co'!F4231,FALSE)))</f>
        <v>RFR USD</v>
      </c>
      <c r="D4231" t="str">
        <f t="shared" ca="1" si="326"/>
        <v>RFR USD</v>
      </c>
      <c r="E4231" t="str">
        <f t="shared" ca="1" si="327"/>
        <v>RFR EUR</v>
      </c>
      <c r="F4231" t="str">
        <f t="shared" ca="1" si="328"/>
        <v>RFR GBP</v>
      </c>
      <c r="J4231" s="1"/>
      <c r="N4231" s="1"/>
      <c r="R4231" s="1"/>
      <c r="V4231" s="1"/>
      <c r="AB4231" s="1"/>
      <c r="AF4231" s="1"/>
      <c r="AJ4231" s="1"/>
      <c r="AN4231" s="1"/>
      <c r="AS4231" s="1"/>
      <c r="AX4231" s="1"/>
    </row>
    <row r="4232" spans="1:50" x14ac:dyDescent="0.3">
      <c r="A4232" s="19">
        <f t="shared" si="329"/>
        <v>51839</v>
      </c>
      <c r="B4232">
        <f t="shared" ca="1" si="325"/>
        <v>-15.797222222222222</v>
      </c>
      <c r="C4232" t="str">
        <f ca="1">IF(currency="USD",'Future et co'!D4232,IF(currency="EUR",'Future et co'!E4232,IF(currency="GBP",'Future et co'!F4232,FALSE)))</f>
        <v>RFR USD</v>
      </c>
      <c r="D4232" t="str">
        <f t="shared" ca="1" si="326"/>
        <v>RFR USD</v>
      </c>
      <c r="E4232" t="str">
        <f t="shared" ca="1" si="327"/>
        <v>RFR EUR</v>
      </c>
      <c r="F4232" t="str">
        <f t="shared" ca="1" si="328"/>
        <v>RFR GBP</v>
      </c>
      <c r="J4232" s="1"/>
      <c r="N4232" s="1"/>
      <c r="R4232" s="1"/>
      <c r="V4232" s="1"/>
      <c r="AB4232" s="1"/>
      <c r="AF4232" s="1"/>
      <c r="AJ4232" s="1"/>
      <c r="AN4232" s="1"/>
      <c r="AS4232" s="1"/>
      <c r="AX4232" s="1"/>
    </row>
    <row r="4233" spans="1:50" x14ac:dyDescent="0.3">
      <c r="A4233" s="19">
        <f t="shared" si="329"/>
        <v>51840</v>
      </c>
      <c r="B4233">
        <f t="shared" ca="1" si="325"/>
        <v>-15.8</v>
      </c>
      <c r="C4233" t="str">
        <f ca="1">IF(currency="USD",'Future et co'!D4233,IF(currency="EUR",'Future et co'!E4233,IF(currency="GBP",'Future et co'!F4233,FALSE)))</f>
        <v>RFR USD</v>
      </c>
      <c r="D4233" t="str">
        <f t="shared" ca="1" si="326"/>
        <v>RFR USD</v>
      </c>
      <c r="E4233" t="str">
        <f t="shared" ca="1" si="327"/>
        <v>RFR EUR</v>
      </c>
      <c r="F4233" t="str">
        <f t="shared" ca="1" si="328"/>
        <v>RFR GBP</v>
      </c>
      <c r="J4233" s="1"/>
      <c r="N4233" s="1"/>
      <c r="R4233" s="1"/>
      <c r="V4233" s="1"/>
      <c r="AB4233" s="1"/>
      <c r="AF4233" s="1"/>
      <c r="AJ4233" s="1"/>
      <c r="AN4233" s="1"/>
      <c r="AS4233" s="1"/>
      <c r="AX4233" s="1"/>
    </row>
    <row r="4234" spans="1:50" x14ac:dyDescent="0.3">
      <c r="A4234" s="19">
        <f t="shared" si="329"/>
        <v>51841</v>
      </c>
      <c r="B4234">
        <f t="shared" ca="1" si="325"/>
        <v>-15.802777777777777</v>
      </c>
      <c r="C4234" t="str">
        <f ca="1">IF(currency="USD",'Future et co'!D4234,IF(currency="EUR",'Future et co'!E4234,IF(currency="GBP",'Future et co'!F4234,FALSE)))</f>
        <v>RFR USD</v>
      </c>
      <c r="D4234" t="str">
        <f t="shared" ca="1" si="326"/>
        <v>RFR USD</v>
      </c>
      <c r="E4234" t="str">
        <f t="shared" ca="1" si="327"/>
        <v>RFR EUR</v>
      </c>
      <c r="F4234" t="str">
        <f t="shared" ca="1" si="328"/>
        <v>RFR GBP</v>
      </c>
      <c r="J4234" s="1"/>
      <c r="N4234" s="1"/>
      <c r="R4234" s="1"/>
      <c r="V4234" s="1"/>
      <c r="AB4234" s="1"/>
      <c r="AF4234" s="1"/>
      <c r="AJ4234" s="1"/>
      <c r="AN4234" s="1"/>
      <c r="AS4234" s="1"/>
      <c r="AX4234" s="1"/>
    </row>
    <row r="4235" spans="1:50" x14ac:dyDescent="0.3">
      <c r="A4235" s="19">
        <f t="shared" si="329"/>
        <v>51844</v>
      </c>
      <c r="B4235">
        <f t="shared" ref="B4235:B4298" ca="1" si="330">($B$7-A4235)/360</f>
        <v>-15.811111111111112</v>
      </c>
      <c r="C4235" t="str">
        <f ca="1">IF(currency="USD",'Future et co'!D4235,IF(currency="EUR",'Future et co'!E4235,IF(currency="GBP",'Future et co'!F4235,FALSE)))</f>
        <v>RFR USD</v>
      </c>
      <c r="D4235" t="str">
        <f t="shared" ref="D4235:D4298" ca="1" si="331">IFERROR(IF(B4235&lt;0.25,VLOOKUP(A4235,$J$11:$L$5325,3,FALSE),IF(AND(B4235&gt;=0.25,B4235&lt;0.5),VLOOKUP(A4235,$N$11:$P$5325,3,FALSE),IF(AND(B4235&gt;=0.5,B4235&lt;1),VLOOKUP(A4235,$R$11:$T$5325,3,FALSE),VLOOKUP(A4235,$V$11:$X$5010,3,FALSE)))),D4234)</f>
        <v>RFR USD</v>
      </c>
      <c r="E4235" t="str">
        <f t="shared" ref="E4235:E4298" ca="1" si="332">IFERROR(IF(B4235&lt;0.25,VLOOKUP(A4235,$AF$11:$AH$5325,3,FALSE),IF(AND(B4235&gt;=0.25,B4235&lt;0.5),VLOOKUP(A4235,$AJ$11:$AL$5325,3,FALSE),VLOOKUP(A4235,$AN$11:$AP$5325,3,FALSE))),E4234)</f>
        <v>RFR EUR</v>
      </c>
      <c r="F4235" t="str">
        <f t="shared" ref="F4235:F4298" ca="1" si="333">IFERROR(VLOOKUP(A4235,$AS$11:$AU$9999,3,FALSE),F4234)</f>
        <v>RFR GBP</v>
      </c>
      <c r="J4235" s="1"/>
      <c r="N4235" s="1"/>
      <c r="R4235" s="1"/>
      <c r="V4235" s="1"/>
      <c r="AB4235" s="1"/>
      <c r="AF4235" s="1"/>
      <c r="AJ4235" s="1"/>
      <c r="AN4235" s="1"/>
      <c r="AS4235" s="1"/>
      <c r="AX4235" s="1"/>
    </row>
    <row r="4236" spans="1:50" x14ac:dyDescent="0.3">
      <c r="A4236" s="19">
        <f t="shared" si="329"/>
        <v>51845</v>
      </c>
      <c r="B4236">
        <f t="shared" ca="1" si="330"/>
        <v>-15.813888888888888</v>
      </c>
      <c r="C4236" t="str">
        <f ca="1">IF(currency="USD",'Future et co'!D4236,IF(currency="EUR",'Future et co'!E4236,IF(currency="GBP",'Future et co'!F4236,FALSE)))</f>
        <v>RFR USD</v>
      </c>
      <c r="D4236" t="str">
        <f t="shared" ca="1" si="331"/>
        <v>RFR USD</v>
      </c>
      <c r="E4236" t="str">
        <f t="shared" ca="1" si="332"/>
        <v>RFR EUR</v>
      </c>
      <c r="F4236" t="str">
        <f t="shared" ca="1" si="333"/>
        <v>RFR GBP</v>
      </c>
      <c r="J4236" s="1"/>
      <c r="N4236" s="1"/>
      <c r="R4236" s="1"/>
      <c r="V4236" s="1"/>
      <c r="AB4236" s="1"/>
      <c r="AF4236" s="1"/>
      <c r="AJ4236" s="1"/>
      <c r="AN4236" s="1"/>
      <c r="AS4236" s="1"/>
      <c r="AX4236" s="1"/>
    </row>
    <row r="4237" spans="1:50" x14ac:dyDescent="0.3">
      <c r="A4237" s="19">
        <f t="shared" ref="A4237:A4300" si="334">WORKDAY(A4236,1)</f>
        <v>51846</v>
      </c>
      <c r="B4237">
        <f t="shared" ca="1" si="330"/>
        <v>-15.816666666666666</v>
      </c>
      <c r="C4237" t="str">
        <f ca="1">IF(currency="USD",'Future et co'!D4237,IF(currency="EUR",'Future et co'!E4237,IF(currency="GBP",'Future et co'!F4237,FALSE)))</f>
        <v>RFR USD</v>
      </c>
      <c r="D4237" t="str">
        <f t="shared" ca="1" si="331"/>
        <v>RFR USD</v>
      </c>
      <c r="E4237" t="str">
        <f t="shared" ca="1" si="332"/>
        <v>RFR EUR</v>
      </c>
      <c r="F4237" t="str">
        <f t="shared" ca="1" si="333"/>
        <v>RFR GBP</v>
      </c>
      <c r="J4237" s="1"/>
      <c r="N4237" s="1"/>
      <c r="R4237" s="1"/>
      <c r="V4237" s="1"/>
      <c r="AB4237" s="1"/>
      <c r="AF4237" s="1"/>
      <c r="AJ4237" s="1"/>
      <c r="AN4237" s="1"/>
      <c r="AS4237" s="1"/>
      <c r="AX4237" s="1"/>
    </row>
    <row r="4238" spans="1:50" x14ac:dyDescent="0.3">
      <c r="A4238" s="19">
        <f t="shared" si="334"/>
        <v>51847</v>
      </c>
      <c r="B4238">
        <f t="shared" ca="1" si="330"/>
        <v>-15.819444444444445</v>
      </c>
      <c r="C4238" t="str">
        <f ca="1">IF(currency="USD",'Future et co'!D4238,IF(currency="EUR",'Future et co'!E4238,IF(currency="GBP",'Future et co'!F4238,FALSE)))</f>
        <v>RFR USD</v>
      </c>
      <c r="D4238" t="str">
        <f t="shared" ca="1" si="331"/>
        <v>RFR USD</v>
      </c>
      <c r="E4238" t="str">
        <f t="shared" ca="1" si="332"/>
        <v>RFR EUR</v>
      </c>
      <c r="F4238" t="str">
        <f t="shared" ca="1" si="333"/>
        <v>RFR GBP</v>
      </c>
      <c r="J4238" s="1"/>
      <c r="N4238" s="1"/>
      <c r="R4238" s="1"/>
      <c r="V4238" s="1"/>
      <c r="AB4238" s="1"/>
      <c r="AF4238" s="1"/>
      <c r="AJ4238" s="1"/>
      <c r="AN4238" s="1"/>
      <c r="AS4238" s="1"/>
      <c r="AX4238" s="1"/>
    </row>
    <row r="4239" spans="1:50" x14ac:dyDescent="0.3">
      <c r="A4239" s="19">
        <f t="shared" si="334"/>
        <v>51848</v>
      </c>
      <c r="B4239">
        <f t="shared" ca="1" si="330"/>
        <v>-15.822222222222223</v>
      </c>
      <c r="C4239" t="str">
        <f ca="1">IF(currency="USD",'Future et co'!D4239,IF(currency="EUR",'Future et co'!E4239,IF(currency="GBP",'Future et co'!F4239,FALSE)))</f>
        <v>RFR USD</v>
      </c>
      <c r="D4239" t="str">
        <f t="shared" ca="1" si="331"/>
        <v>RFR USD</v>
      </c>
      <c r="E4239" t="str">
        <f t="shared" ca="1" si="332"/>
        <v>RFR EUR</v>
      </c>
      <c r="F4239" t="str">
        <f t="shared" ca="1" si="333"/>
        <v>RFR GBP</v>
      </c>
      <c r="J4239" s="1"/>
      <c r="N4239" s="1"/>
      <c r="R4239" s="1"/>
      <c r="V4239" s="1"/>
      <c r="AB4239" s="1"/>
      <c r="AF4239" s="1"/>
      <c r="AJ4239" s="1"/>
      <c r="AN4239" s="1"/>
      <c r="AS4239" s="1"/>
      <c r="AX4239" s="1"/>
    </row>
    <row r="4240" spans="1:50" x14ac:dyDescent="0.3">
      <c r="A4240" s="19">
        <f t="shared" si="334"/>
        <v>51851</v>
      </c>
      <c r="B4240">
        <f t="shared" ca="1" si="330"/>
        <v>-15.830555555555556</v>
      </c>
      <c r="C4240" t="str">
        <f ca="1">IF(currency="USD",'Future et co'!D4240,IF(currency="EUR",'Future et co'!E4240,IF(currency="GBP",'Future et co'!F4240,FALSE)))</f>
        <v>RFR USD</v>
      </c>
      <c r="D4240" t="str">
        <f t="shared" ca="1" si="331"/>
        <v>RFR USD</v>
      </c>
      <c r="E4240" t="str">
        <f t="shared" ca="1" si="332"/>
        <v>RFR EUR</v>
      </c>
      <c r="F4240" t="str">
        <f t="shared" ca="1" si="333"/>
        <v>RFR GBP</v>
      </c>
      <c r="J4240" s="1"/>
      <c r="N4240" s="1"/>
      <c r="R4240" s="1"/>
      <c r="V4240" s="1"/>
      <c r="AB4240" s="1"/>
      <c r="AF4240" s="1"/>
      <c r="AJ4240" s="1"/>
      <c r="AN4240" s="1"/>
      <c r="AS4240" s="1"/>
      <c r="AX4240" s="1"/>
    </row>
    <row r="4241" spans="1:50" x14ac:dyDescent="0.3">
      <c r="A4241" s="19">
        <f t="shared" si="334"/>
        <v>51852</v>
      </c>
      <c r="B4241">
        <f t="shared" ca="1" si="330"/>
        <v>-15.833333333333334</v>
      </c>
      <c r="C4241" t="str">
        <f ca="1">IF(currency="USD",'Future et co'!D4241,IF(currency="EUR",'Future et co'!E4241,IF(currency="GBP",'Future et co'!F4241,FALSE)))</f>
        <v>RFR USD</v>
      </c>
      <c r="D4241" t="str">
        <f t="shared" ca="1" si="331"/>
        <v>RFR USD</v>
      </c>
      <c r="E4241" t="str">
        <f t="shared" ca="1" si="332"/>
        <v>RFR EUR</v>
      </c>
      <c r="F4241" t="str">
        <f t="shared" ca="1" si="333"/>
        <v>RFR GBP</v>
      </c>
      <c r="J4241" s="1"/>
      <c r="N4241" s="1"/>
      <c r="R4241" s="1"/>
      <c r="V4241" s="1"/>
      <c r="AB4241" s="1"/>
      <c r="AF4241" s="1"/>
      <c r="AJ4241" s="1"/>
      <c r="AN4241" s="1"/>
      <c r="AS4241" s="1"/>
      <c r="AX4241" s="1"/>
    </row>
    <row r="4242" spans="1:50" x14ac:dyDescent="0.3">
      <c r="A4242" s="19">
        <f t="shared" si="334"/>
        <v>51853</v>
      </c>
      <c r="B4242">
        <f t="shared" ca="1" si="330"/>
        <v>-15.83611111111111</v>
      </c>
      <c r="C4242" t="str">
        <f ca="1">IF(currency="USD",'Future et co'!D4242,IF(currency="EUR",'Future et co'!E4242,IF(currency="GBP",'Future et co'!F4242,FALSE)))</f>
        <v>RFR USD</v>
      </c>
      <c r="D4242" t="str">
        <f t="shared" ca="1" si="331"/>
        <v>RFR USD</v>
      </c>
      <c r="E4242" t="str">
        <f t="shared" ca="1" si="332"/>
        <v>RFR EUR</v>
      </c>
      <c r="F4242" t="str">
        <f t="shared" ca="1" si="333"/>
        <v>RFR GBP</v>
      </c>
      <c r="J4242" s="1"/>
      <c r="N4242" s="1"/>
      <c r="R4242" s="1"/>
      <c r="V4242" s="1"/>
      <c r="AB4242" s="1"/>
      <c r="AF4242" s="1"/>
      <c r="AJ4242" s="1"/>
      <c r="AN4242" s="1"/>
      <c r="AS4242" s="1"/>
      <c r="AX4242" s="1"/>
    </row>
    <row r="4243" spans="1:50" x14ac:dyDescent="0.3">
      <c r="A4243" s="19">
        <f t="shared" si="334"/>
        <v>51854</v>
      </c>
      <c r="B4243">
        <f t="shared" ca="1" si="330"/>
        <v>-15.838888888888889</v>
      </c>
      <c r="C4243" t="str">
        <f ca="1">IF(currency="USD",'Future et co'!D4243,IF(currency="EUR",'Future et co'!E4243,IF(currency="GBP",'Future et co'!F4243,FALSE)))</f>
        <v>RFR USD</v>
      </c>
      <c r="D4243" t="str">
        <f t="shared" ca="1" si="331"/>
        <v>RFR USD</v>
      </c>
      <c r="E4243" t="str">
        <f t="shared" ca="1" si="332"/>
        <v>RFR EUR</v>
      </c>
      <c r="F4243" t="str">
        <f t="shared" ca="1" si="333"/>
        <v>RFR GBP</v>
      </c>
      <c r="J4243" s="1"/>
      <c r="N4243" s="1"/>
      <c r="R4243" s="1"/>
      <c r="V4243" s="1"/>
      <c r="AB4243" s="1"/>
      <c r="AF4243" s="1"/>
      <c r="AJ4243" s="1"/>
      <c r="AN4243" s="1"/>
      <c r="AS4243" s="1"/>
      <c r="AX4243" s="1"/>
    </row>
    <row r="4244" spans="1:50" x14ac:dyDescent="0.3">
      <c r="A4244" s="19">
        <f t="shared" si="334"/>
        <v>51855</v>
      </c>
      <c r="B4244">
        <f t="shared" ca="1" si="330"/>
        <v>-15.841666666666667</v>
      </c>
      <c r="C4244" t="str">
        <f ca="1">IF(currency="USD",'Future et co'!D4244,IF(currency="EUR",'Future et co'!E4244,IF(currency="GBP",'Future et co'!F4244,FALSE)))</f>
        <v>RFR USD</v>
      </c>
      <c r="D4244" t="str">
        <f t="shared" ca="1" si="331"/>
        <v>RFR USD</v>
      </c>
      <c r="E4244" t="str">
        <f t="shared" ca="1" si="332"/>
        <v>RFR EUR</v>
      </c>
      <c r="F4244" t="str">
        <f t="shared" ca="1" si="333"/>
        <v>RFR GBP</v>
      </c>
      <c r="J4244" s="1"/>
      <c r="N4244" s="1"/>
      <c r="R4244" s="1"/>
      <c r="V4244" s="1"/>
      <c r="AB4244" s="1"/>
      <c r="AF4244" s="1"/>
      <c r="AJ4244" s="1"/>
      <c r="AN4244" s="1"/>
      <c r="AS4244" s="1"/>
      <c r="AX4244" s="1"/>
    </row>
    <row r="4245" spans="1:50" x14ac:dyDescent="0.3">
      <c r="A4245" s="19">
        <f t="shared" si="334"/>
        <v>51858</v>
      </c>
      <c r="B4245">
        <f t="shared" ca="1" si="330"/>
        <v>-15.85</v>
      </c>
      <c r="C4245" t="str">
        <f ca="1">IF(currency="USD",'Future et co'!D4245,IF(currency="EUR",'Future et co'!E4245,IF(currency="GBP",'Future et co'!F4245,FALSE)))</f>
        <v>RFR USD</v>
      </c>
      <c r="D4245" t="str">
        <f t="shared" ca="1" si="331"/>
        <v>RFR USD</v>
      </c>
      <c r="E4245" t="str">
        <f t="shared" ca="1" si="332"/>
        <v>RFR EUR</v>
      </c>
      <c r="F4245" t="str">
        <f t="shared" ca="1" si="333"/>
        <v>RFR GBP</v>
      </c>
      <c r="J4245" s="1"/>
      <c r="N4245" s="1"/>
      <c r="R4245" s="1"/>
      <c r="V4245" s="1"/>
      <c r="AB4245" s="1"/>
      <c r="AF4245" s="1"/>
      <c r="AJ4245" s="1"/>
      <c r="AN4245" s="1"/>
      <c r="AS4245" s="1"/>
      <c r="AX4245" s="1"/>
    </row>
    <row r="4246" spans="1:50" x14ac:dyDescent="0.3">
      <c r="A4246" s="19">
        <f t="shared" si="334"/>
        <v>51859</v>
      </c>
      <c r="B4246">
        <f t="shared" ca="1" si="330"/>
        <v>-15.852777777777778</v>
      </c>
      <c r="C4246" t="str">
        <f ca="1">IF(currency="USD",'Future et co'!D4246,IF(currency="EUR",'Future et co'!E4246,IF(currency="GBP",'Future et co'!F4246,FALSE)))</f>
        <v>RFR USD</v>
      </c>
      <c r="D4246" t="str">
        <f t="shared" ca="1" si="331"/>
        <v>RFR USD</v>
      </c>
      <c r="E4246" t="str">
        <f t="shared" ca="1" si="332"/>
        <v>RFR EUR</v>
      </c>
      <c r="F4246" t="str">
        <f t="shared" ca="1" si="333"/>
        <v>RFR GBP</v>
      </c>
      <c r="J4246" s="1"/>
      <c r="N4246" s="1"/>
      <c r="R4246" s="1"/>
      <c r="V4246" s="1"/>
      <c r="AB4246" s="1"/>
      <c r="AF4246" s="1"/>
      <c r="AJ4246" s="1"/>
      <c r="AN4246" s="1"/>
      <c r="AS4246" s="1"/>
      <c r="AX4246" s="1"/>
    </row>
    <row r="4247" spans="1:50" x14ac:dyDescent="0.3">
      <c r="A4247" s="19">
        <f t="shared" si="334"/>
        <v>51860</v>
      </c>
      <c r="B4247">
        <f t="shared" ca="1" si="330"/>
        <v>-15.855555555555556</v>
      </c>
      <c r="C4247" t="str">
        <f ca="1">IF(currency="USD",'Future et co'!D4247,IF(currency="EUR",'Future et co'!E4247,IF(currency="GBP",'Future et co'!F4247,FALSE)))</f>
        <v>RFR USD</v>
      </c>
      <c r="D4247" t="str">
        <f t="shared" ca="1" si="331"/>
        <v>RFR USD</v>
      </c>
      <c r="E4247" t="str">
        <f t="shared" ca="1" si="332"/>
        <v>RFR EUR</v>
      </c>
      <c r="F4247" t="str">
        <f t="shared" ca="1" si="333"/>
        <v>RFR GBP</v>
      </c>
      <c r="J4247" s="1"/>
      <c r="N4247" s="1"/>
      <c r="R4247" s="1"/>
      <c r="V4247" s="1"/>
      <c r="AB4247" s="1"/>
      <c r="AF4247" s="1"/>
      <c r="AJ4247" s="1"/>
      <c r="AN4247" s="1"/>
      <c r="AS4247" s="1"/>
      <c r="AX4247" s="1"/>
    </row>
    <row r="4248" spans="1:50" x14ac:dyDescent="0.3">
      <c r="A4248" s="19">
        <f t="shared" si="334"/>
        <v>51861</v>
      </c>
      <c r="B4248">
        <f t="shared" ca="1" si="330"/>
        <v>-15.858333333333333</v>
      </c>
      <c r="C4248" t="str">
        <f ca="1">IF(currency="USD",'Future et co'!D4248,IF(currency="EUR",'Future et co'!E4248,IF(currency="GBP",'Future et co'!F4248,FALSE)))</f>
        <v>RFR USD</v>
      </c>
      <c r="D4248" t="str">
        <f t="shared" ca="1" si="331"/>
        <v>RFR USD</v>
      </c>
      <c r="E4248" t="str">
        <f t="shared" ca="1" si="332"/>
        <v>RFR EUR</v>
      </c>
      <c r="F4248" t="str">
        <f t="shared" ca="1" si="333"/>
        <v>RFR GBP</v>
      </c>
      <c r="J4248" s="1"/>
      <c r="N4248" s="1"/>
      <c r="R4248" s="1"/>
      <c r="V4248" s="1"/>
      <c r="AB4248" s="1"/>
      <c r="AF4248" s="1"/>
      <c r="AJ4248" s="1"/>
      <c r="AN4248" s="1"/>
      <c r="AS4248" s="1"/>
      <c r="AX4248" s="1"/>
    </row>
    <row r="4249" spans="1:50" x14ac:dyDescent="0.3">
      <c r="A4249" s="19">
        <f t="shared" si="334"/>
        <v>51862</v>
      </c>
      <c r="B4249">
        <f t="shared" ca="1" si="330"/>
        <v>-15.861111111111111</v>
      </c>
      <c r="C4249" t="str">
        <f ca="1">IF(currency="USD",'Future et co'!D4249,IF(currency="EUR",'Future et co'!E4249,IF(currency="GBP",'Future et co'!F4249,FALSE)))</f>
        <v>RFR USD</v>
      </c>
      <c r="D4249" t="str">
        <f t="shared" ca="1" si="331"/>
        <v>RFR USD</v>
      </c>
      <c r="E4249" t="str">
        <f t="shared" ca="1" si="332"/>
        <v>RFR EUR</v>
      </c>
      <c r="F4249" t="str">
        <f t="shared" ca="1" si="333"/>
        <v>RFR GBP</v>
      </c>
      <c r="J4249" s="1"/>
      <c r="N4249" s="1"/>
      <c r="R4249" s="1"/>
      <c r="V4249" s="1"/>
      <c r="AB4249" s="1"/>
      <c r="AF4249" s="1"/>
      <c r="AJ4249" s="1"/>
      <c r="AN4249" s="1"/>
      <c r="AS4249" s="1"/>
      <c r="AX4249" s="1"/>
    </row>
    <row r="4250" spans="1:50" x14ac:dyDescent="0.3">
      <c r="A4250" s="19">
        <f t="shared" si="334"/>
        <v>51865</v>
      </c>
      <c r="B4250">
        <f t="shared" ca="1" si="330"/>
        <v>-15.869444444444444</v>
      </c>
      <c r="C4250" t="str">
        <f ca="1">IF(currency="USD",'Future et co'!D4250,IF(currency="EUR",'Future et co'!E4250,IF(currency="GBP",'Future et co'!F4250,FALSE)))</f>
        <v>RFR USD</v>
      </c>
      <c r="D4250" t="str">
        <f t="shared" ca="1" si="331"/>
        <v>RFR USD</v>
      </c>
      <c r="E4250" t="str">
        <f t="shared" ca="1" si="332"/>
        <v>RFR EUR</v>
      </c>
      <c r="F4250" t="str">
        <f t="shared" ca="1" si="333"/>
        <v>RFR GBP</v>
      </c>
      <c r="J4250" s="1"/>
      <c r="N4250" s="1"/>
      <c r="R4250" s="1"/>
      <c r="V4250" s="1"/>
      <c r="AB4250" s="1"/>
      <c r="AF4250" s="1"/>
      <c r="AJ4250" s="1"/>
      <c r="AN4250" s="1"/>
      <c r="AS4250" s="1"/>
      <c r="AX4250" s="1"/>
    </row>
    <row r="4251" spans="1:50" x14ac:dyDescent="0.3">
      <c r="A4251" s="19">
        <f t="shared" si="334"/>
        <v>51866</v>
      </c>
      <c r="B4251">
        <f t="shared" ca="1" si="330"/>
        <v>-15.872222222222222</v>
      </c>
      <c r="C4251" t="str">
        <f ca="1">IF(currency="USD",'Future et co'!D4251,IF(currency="EUR",'Future et co'!E4251,IF(currency="GBP",'Future et co'!F4251,FALSE)))</f>
        <v>RFR USD</v>
      </c>
      <c r="D4251" t="str">
        <f t="shared" ca="1" si="331"/>
        <v>RFR USD</v>
      </c>
      <c r="E4251" t="str">
        <f t="shared" ca="1" si="332"/>
        <v>RFR EUR</v>
      </c>
      <c r="F4251" t="str">
        <f t="shared" ca="1" si="333"/>
        <v>RFR GBP</v>
      </c>
      <c r="J4251" s="1"/>
      <c r="N4251" s="1"/>
      <c r="R4251" s="1"/>
      <c r="V4251" s="1"/>
      <c r="AB4251" s="1"/>
      <c r="AF4251" s="1"/>
      <c r="AJ4251" s="1"/>
      <c r="AN4251" s="1"/>
      <c r="AS4251" s="1"/>
      <c r="AX4251" s="1"/>
    </row>
    <row r="4252" spans="1:50" x14ac:dyDescent="0.3">
      <c r="A4252" s="19">
        <f t="shared" si="334"/>
        <v>51867</v>
      </c>
      <c r="B4252">
        <f t="shared" ca="1" si="330"/>
        <v>-15.875</v>
      </c>
      <c r="C4252" t="str">
        <f ca="1">IF(currency="USD",'Future et co'!D4252,IF(currency="EUR",'Future et co'!E4252,IF(currency="GBP",'Future et co'!F4252,FALSE)))</f>
        <v>RFR USD</v>
      </c>
      <c r="D4252" t="str">
        <f t="shared" ca="1" si="331"/>
        <v>RFR USD</v>
      </c>
      <c r="E4252" t="str">
        <f t="shared" ca="1" si="332"/>
        <v>RFR EUR</v>
      </c>
      <c r="F4252" t="str">
        <f t="shared" ca="1" si="333"/>
        <v>RFR GBP</v>
      </c>
      <c r="J4252" s="1"/>
      <c r="N4252" s="1"/>
      <c r="R4252" s="1"/>
      <c r="V4252" s="1"/>
      <c r="AB4252" s="1"/>
      <c r="AF4252" s="1"/>
      <c r="AJ4252" s="1"/>
      <c r="AN4252" s="1"/>
      <c r="AS4252" s="1"/>
      <c r="AX4252" s="1"/>
    </row>
    <row r="4253" spans="1:50" x14ac:dyDescent="0.3">
      <c r="A4253" s="19">
        <f t="shared" si="334"/>
        <v>51868</v>
      </c>
      <c r="B4253">
        <f t="shared" ca="1" si="330"/>
        <v>-15.877777777777778</v>
      </c>
      <c r="C4253" t="str">
        <f ca="1">IF(currency="USD",'Future et co'!D4253,IF(currency="EUR",'Future et co'!E4253,IF(currency="GBP",'Future et co'!F4253,FALSE)))</f>
        <v>RFR USD</v>
      </c>
      <c r="D4253" t="str">
        <f t="shared" ca="1" si="331"/>
        <v>RFR USD</v>
      </c>
      <c r="E4253" t="str">
        <f t="shared" ca="1" si="332"/>
        <v>RFR EUR</v>
      </c>
      <c r="F4253" t="str">
        <f t="shared" ca="1" si="333"/>
        <v>RFR GBP</v>
      </c>
      <c r="J4253" s="1"/>
      <c r="N4253" s="1"/>
      <c r="R4253" s="1"/>
      <c r="V4253" s="1"/>
      <c r="AB4253" s="1"/>
      <c r="AF4253" s="1"/>
      <c r="AJ4253" s="1"/>
      <c r="AN4253" s="1"/>
      <c r="AS4253" s="1"/>
      <c r="AX4253" s="1"/>
    </row>
    <row r="4254" spans="1:50" x14ac:dyDescent="0.3">
      <c r="A4254" s="19">
        <f t="shared" si="334"/>
        <v>51869</v>
      </c>
      <c r="B4254">
        <f t="shared" ca="1" si="330"/>
        <v>-15.880555555555556</v>
      </c>
      <c r="C4254" t="str">
        <f ca="1">IF(currency="USD",'Future et co'!D4254,IF(currency="EUR",'Future et co'!E4254,IF(currency="GBP",'Future et co'!F4254,FALSE)))</f>
        <v>RFR USD</v>
      </c>
      <c r="D4254" t="str">
        <f t="shared" ca="1" si="331"/>
        <v>RFR USD</v>
      </c>
      <c r="E4254" t="str">
        <f t="shared" ca="1" si="332"/>
        <v>RFR EUR</v>
      </c>
      <c r="F4254" t="str">
        <f t="shared" ca="1" si="333"/>
        <v>RFR GBP</v>
      </c>
      <c r="J4254" s="1"/>
      <c r="N4254" s="1"/>
      <c r="R4254" s="1"/>
      <c r="V4254" s="1"/>
      <c r="AB4254" s="1"/>
      <c r="AF4254" s="1"/>
      <c r="AJ4254" s="1"/>
      <c r="AN4254" s="1"/>
      <c r="AS4254" s="1"/>
      <c r="AX4254" s="1"/>
    </row>
    <row r="4255" spans="1:50" x14ac:dyDescent="0.3">
      <c r="A4255" s="19">
        <f t="shared" si="334"/>
        <v>51872</v>
      </c>
      <c r="B4255">
        <f t="shared" ca="1" si="330"/>
        <v>-15.888888888888889</v>
      </c>
      <c r="C4255" t="str">
        <f ca="1">IF(currency="USD",'Future et co'!D4255,IF(currency="EUR",'Future et co'!E4255,IF(currency="GBP",'Future et co'!F4255,FALSE)))</f>
        <v>RFR USD</v>
      </c>
      <c r="D4255" t="str">
        <f t="shared" ca="1" si="331"/>
        <v>RFR USD</v>
      </c>
      <c r="E4255" t="str">
        <f t="shared" ca="1" si="332"/>
        <v>RFR EUR</v>
      </c>
      <c r="F4255" t="str">
        <f t="shared" ca="1" si="333"/>
        <v>RFR GBP</v>
      </c>
      <c r="J4255" s="1"/>
      <c r="N4255" s="1"/>
      <c r="R4255" s="1"/>
      <c r="V4255" s="1"/>
      <c r="AB4255" s="1"/>
      <c r="AF4255" s="1"/>
      <c r="AJ4255" s="1"/>
      <c r="AN4255" s="1"/>
      <c r="AS4255" s="1"/>
      <c r="AX4255" s="1"/>
    </row>
    <row r="4256" spans="1:50" x14ac:dyDescent="0.3">
      <c r="A4256" s="19">
        <f t="shared" si="334"/>
        <v>51873</v>
      </c>
      <c r="B4256">
        <f t="shared" ca="1" si="330"/>
        <v>-15.891666666666667</v>
      </c>
      <c r="C4256" t="str">
        <f ca="1">IF(currency="USD",'Future et co'!D4256,IF(currency="EUR",'Future et co'!E4256,IF(currency="GBP",'Future et co'!F4256,FALSE)))</f>
        <v>RFR USD</v>
      </c>
      <c r="D4256" t="str">
        <f t="shared" ca="1" si="331"/>
        <v>RFR USD</v>
      </c>
      <c r="E4256" t="str">
        <f t="shared" ca="1" si="332"/>
        <v>RFR EUR</v>
      </c>
      <c r="F4256" t="str">
        <f t="shared" ca="1" si="333"/>
        <v>RFR GBP</v>
      </c>
      <c r="J4256" s="1"/>
      <c r="N4256" s="1"/>
      <c r="R4256" s="1"/>
      <c r="V4256" s="1"/>
      <c r="AB4256" s="1"/>
      <c r="AF4256" s="1"/>
      <c r="AJ4256" s="1"/>
      <c r="AN4256" s="1"/>
      <c r="AS4256" s="1"/>
      <c r="AX4256" s="1"/>
    </row>
    <row r="4257" spans="1:50" x14ac:dyDescent="0.3">
      <c r="A4257" s="19">
        <f t="shared" si="334"/>
        <v>51874</v>
      </c>
      <c r="B4257">
        <f t="shared" ca="1" si="330"/>
        <v>-15.894444444444444</v>
      </c>
      <c r="C4257" t="str">
        <f ca="1">IF(currency="USD",'Future et co'!D4257,IF(currency="EUR",'Future et co'!E4257,IF(currency="GBP",'Future et co'!F4257,FALSE)))</f>
        <v>RFR USD</v>
      </c>
      <c r="D4257" t="str">
        <f t="shared" ca="1" si="331"/>
        <v>RFR USD</v>
      </c>
      <c r="E4257" t="str">
        <f t="shared" ca="1" si="332"/>
        <v>RFR EUR</v>
      </c>
      <c r="F4257" t="str">
        <f t="shared" ca="1" si="333"/>
        <v>RFR GBP</v>
      </c>
      <c r="J4257" s="1"/>
      <c r="N4257" s="1"/>
      <c r="R4257" s="1"/>
      <c r="V4257" s="1"/>
      <c r="AB4257" s="1"/>
      <c r="AF4257" s="1"/>
      <c r="AJ4257" s="1"/>
      <c r="AN4257" s="1"/>
      <c r="AS4257" s="1"/>
      <c r="AX4257" s="1"/>
    </row>
    <row r="4258" spans="1:50" x14ac:dyDescent="0.3">
      <c r="A4258" s="19">
        <f t="shared" si="334"/>
        <v>51875</v>
      </c>
      <c r="B4258">
        <f t="shared" ca="1" si="330"/>
        <v>-15.897222222222222</v>
      </c>
      <c r="C4258" t="str">
        <f ca="1">IF(currency="USD",'Future et co'!D4258,IF(currency="EUR",'Future et co'!E4258,IF(currency="GBP",'Future et co'!F4258,FALSE)))</f>
        <v>RFR USD</v>
      </c>
      <c r="D4258" t="str">
        <f t="shared" ca="1" si="331"/>
        <v>RFR USD</v>
      </c>
      <c r="E4258" t="str">
        <f t="shared" ca="1" si="332"/>
        <v>RFR EUR</v>
      </c>
      <c r="F4258" t="str">
        <f t="shared" ca="1" si="333"/>
        <v>RFR GBP</v>
      </c>
      <c r="J4258" s="1"/>
      <c r="N4258" s="1"/>
      <c r="R4258" s="1"/>
      <c r="V4258" s="1"/>
      <c r="AB4258" s="1"/>
      <c r="AF4258" s="1"/>
      <c r="AJ4258" s="1"/>
      <c r="AN4258" s="1"/>
      <c r="AS4258" s="1"/>
      <c r="AX4258" s="1"/>
    </row>
    <row r="4259" spans="1:50" x14ac:dyDescent="0.3">
      <c r="A4259" s="19">
        <f t="shared" si="334"/>
        <v>51876</v>
      </c>
      <c r="B4259">
        <f t="shared" ca="1" si="330"/>
        <v>-15.9</v>
      </c>
      <c r="C4259" t="str">
        <f ca="1">IF(currency="USD",'Future et co'!D4259,IF(currency="EUR",'Future et co'!E4259,IF(currency="GBP",'Future et co'!F4259,FALSE)))</f>
        <v>RFR USD</v>
      </c>
      <c r="D4259" t="str">
        <f t="shared" ca="1" si="331"/>
        <v>RFR USD</v>
      </c>
      <c r="E4259" t="str">
        <f t="shared" ca="1" si="332"/>
        <v>RFR EUR</v>
      </c>
      <c r="F4259" t="str">
        <f t="shared" ca="1" si="333"/>
        <v>RFR GBP</v>
      </c>
      <c r="J4259" s="1"/>
      <c r="N4259" s="1"/>
      <c r="R4259" s="1"/>
      <c r="V4259" s="1"/>
      <c r="AB4259" s="1"/>
      <c r="AF4259" s="1"/>
      <c r="AJ4259" s="1"/>
      <c r="AN4259" s="1"/>
      <c r="AS4259" s="1"/>
      <c r="AX4259" s="1"/>
    </row>
    <row r="4260" spans="1:50" x14ac:dyDescent="0.3">
      <c r="A4260" s="19">
        <f t="shared" si="334"/>
        <v>51879</v>
      </c>
      <c r="B4260">
        <f t="shared" ca="1" si="330"/>
        <v>-15.908333333333333</v>
      </c>
      <c r="C4260" t="str">
        <f ca="1">IF(currency="USD",'Future et co'!D4260,IF(currency="EUR",'Future et co'!E4260,IF(currency="GBP",'Future et co'!F4260,FALSE)))</f>
        <v>RFR USD</v>
      </c>
      <c r="D4260" t="str">
        <f t="shared" ca="1" si="331"/>
        <v>RFR USD</v>
      </c>
      <c r="E4260" t="str">
        <f t="shared" ca="1" si="332"/>
        <v>RFR EUR</v>
      </c>
      <c r="F4260" t="str">
        <f t="shared" ca="1" si="333"/>
        <v>RFR GBP</v>
      </c>
      <c r="J4260" s="1"/>
      <c r="N4260" s="1"/>
      <c r="R4260" s="1"/>
      <c r="V4260" s="1"/>
      <c r="AB4260" s="1"/>
      <c r="AF4260" s="1"/>
      <c r="AJ4260" s="1"/>
      <c r="AN4260" s="1"/>
      <c r="AS4260" s="1"/>
      <c r="AX4260" s="1"/>
    </row>
    <row r="4261" spans="1:50" x14ac:dyDescent="0.3">
      <c r="A4261" s="19">
        <f t="shared" si="334"/>
        <v>51880</v>
      </c>
      <c r="B4261">
        <f t="shared" ca="1" si="330"/>
        <v>-15.911111111111111</v>
      </c>
      <c r="C4261" t="str">
        <f ca="1">IF(currency="USD",'Future et co'!D4261,IF(currency="EUR",'Future et co'!E4261,IF(currency="GBP",'Future et co'!F4261,FALSE)))</f>
        <v>RFR USD</v>
      </c>
      <c r="D4261" t="str">
        <f t="shared" ca="1" si="331"/>
        <v>RFR USD</v>
      </c>
      <c r="E4261" t="str">
        <f t="shared" ca="1" si="332"/>
        <v>RFR EUR</v>
      </c>
      <c r="F4261" t="str">
        <f t="shared" ca="1" si="333"/>
        <v>RFR GBP</v>
      </c>
      <c r="J4261" s="1"/>
      <c r="N4261" s="1"/>
      <c r="R4261" s="1"/>
      <c r="V4261" s="1"/>
      <c r="AB4261" s="1"/>
      <c r="AF4261" s="1"/>
      <c r="AJ4261" s="1"/>
      <c r="AN4261" s="1"/>
      <c r="AS4261" s="1"/>
      <c r="AX4261" s="1"/>
    </row>
    <row r="4262" spans="1:50" x14ac:dyDescent="0.3">
      <c r="A4262" s="19">
        <f t="shared" si="334"/>
        <v>51881</v>
      </c>
      <c r="B4262">
        <f t="shared" ca="1" si="330"/>
        <v>-15.91388888888889</v>
      </c>
      <c r="C4262" t="str">
        <f ca="1">IF(currency="USD",'Future et co'!D4262,IF(currency="EUR",'Future et co'!E4262,IF(currency="GBP",'Future et co'!F4262,FALSE)))</f>
        <v>RFR USD</v>
      </c>
      <c r="D4262" t="str">
        <f t="shared" ca="1" si="331"/>
        <v>RFR USD</v>
      </c>
      <c r="E4262" t="str">
        <f t="shared" ca="1" si="332"/>
        <v>RFR EUR</v>
      </c>
      <c r="F4262" t="str">
        <f t="shared" ca="1" si="333"/>
        <v>RFR GBP</v>
      </c>
      <c r="J4262" s="1"/>
      <c r="N4262" s="1"/>
      <c r="R4262" s="1"/>
      <c r="V4262" s="1"/>
      <c r="AB4262" s="1"/>
      <c r="AF4262" s="1"/>
      <c r="AJ4262" s="1"/>
      <c r="AN4262" s="1"/>
      <c r="AS4262" s="1"/>
      <c r="AX4262" s="1"/>
    </row>
    <row r="4263" spans="1:50" x14ac:dyDescent="0.3">
      <c r="A4263" s="19">
        <f t="shared" si="334"/>
        <v>51882</v>
      </c>
      <c r="B4263">
        <f t="shared" ca="1" si="330"/>
        <v>-15.916666666666666</v>
      </c>
      <c r="C4263" t="str">
        <f ca="1">IF(currency="USD",'Future et co'!D4263,IF(currency="EUR",'Future et co'!E4263,IF(currency="GBP",'Future et co'!F4263,FALSE)))</f>
        <v>RFR USD</v>
      </c>
      <c r="D4263" t="str">
        <f t="shared" ca="1" si="331"/>
        <v>RFR USD</v>
      </c>
      <c r="E4263" t="str">
        <f t="shared" ca="1" si="332"/>
        <v>RFR EUR</v>
      </c>
      <c r="F4263" t="str">
        <f t="shared" ca="1" si="333"/>
        <v>RFR GBP</v>
      </c>
      <c r="J4263" s="1"/>
      <c r="N4263" s="1"/>
      <c r="R4263" s="1"/>
      <c r="V4263" s="1"/>
      <c r="AB4263" s="1"/>
      <c r="AF4263" s="1"/>
      <c r="AJ4263" s="1"/>
      <c r="AN4263" s="1"/>
      <c r="AS4263" s="1"/>
      <c r="AX4263" s="1"/>
    </row>
    <row r="4264" spans="1:50" x14ac:dyDescent="0.3">
      <c r="A4264" s="19">
        <f t="shared" si="334"/>
        <v>51883</v>
      </c>
      <c r="B4264">
        <f t="shared" ca="1" si="330"/>
        <v>-15.919444444444444</v>
      </c>
      <c r="C4264" t="str">
        <f ca="1">IF(currency="USD",'Future et co'!D4264,IF(currency="EUR",'Future et co'!E4264,IF(currency="GBP",'Future et co'!F4264,FALSE)))</f>
        <v>RFR USD</v>
      </c>
      <c r="D4264" t="str">
        <f t="shared" ca="1" si="331"/>
        <v>RFR USD</v>
      </c>
      <c r="E4264" t="str">
        <f t="shared" ca="1" si="332"/>
        <v>RFR EUR</v>
      </c>
      <c r="F4264" t="str">
        <f t="shared" ca="1" si="333"/>
        <v>RFR GBP</v>
      </c>
      <c r="J4264" s="1"/>
      <c r="N4264" s="1"/>
      <c r="R4264" s="1"/>
      <c r="V4264" s="1"/>
      <c r="AB4264" s="1"/>
      <c r="AF4264" s="1"/>
      <c r="AJ4264" s="1"/>
      <c r="AN4264" s="1"/>
      <c r="AS4264" s="1"/>
      <c r="AX4264" s="1"/>
    </row>
    <row r="4265" spans="1:50" x14ac:dyDescent="0.3">
      <c r="A4265" s="19">
        <f t="shared" si="334"/>
        <v>51886</v>
      </c>
      <c r="B4265">
        <f t="shared" ca="1" si="330"/>
        <v>-15.927777777777777</v>
      </c>
      <c r="C4265" t="str">
        <f ca="1">IF(currency="USD",'Future et co'!D4265,IF(currency="EUR",'Future et co'!E4265,IF(currency="GBP",'Future et co'!F4265,FALSE)))</f>
        <v>RFR USD</v>
      </c>
      <c r="D4265" t="str">
        <f t="shared" ca="1" si="331"/>
        <v>RFR USD</v>
      </c>
      <c r="E4265" t="str">
        <f t="shared" ca="1" si="332"/>
        <v>RFR EUR</v>
      </c>
      <c r="F4265" t="str">
        <f t="shared" ca="1" si="333"/>
        <v>RFR GBP</v>
      </c>
      <c r="J4265" s="1"/>
      <c r="N4265" s="1"/>
      <c r="R4265" s="1"/>
      <c r="V4265" s="1"/>
      <c r="AB4265" s="1"/>
      <c r="AF4265" s="1"/>
      <c r="AJ4265" s="1"/>
      <c r="AN4265" s="1"/>
      <c r="AS4265" s="1"/>
      <c r="AX4265" s="1"/>
    </row>
    <row r="4266" spans="1:50" x14ac:dyDescent="0.3">
      <c r="A4266" s="19">
        <f t="shared" si="334"/>
        <v>51887</v>
      </c>
      <c r="B4266">
        <f t="shared" ca="1" si="330"/>
        <v>-15.930555555555555</v>
      </c>
      <c r="C4266" t="str">
        <f ca="1">IF(currency="USD",'Future et co'!D4266,IF(currency="EUR",'Future et co'!E4266,IF(currency="GBP",'Future et co'!F4266,FALSE)))</f>
        <v>RFR USD</v>
      </c>
      <c r="D4266" t="str">
        <f t="shared" ca="1" si="331"/>
        <v>RFR USD</v>
      </c>
      <c r="E4266" t="str">
        <f t="shared" ca="1" si="332"/>
        <v>RFR EUR</v>
      </c>
      <c r="F4266" t="str">
        <f t="shared" ca="1" si="333"/>
        <v>RFR GBP</v>
      </c>
      <c r="J4266" s="1"/>
      <c r="N4266" s="1"/>
      <c r="R4266" s="1"/>
      <c r="V4266" s="1"/>
      <c r="AB4266" s="1"/>
      <c r="AF4266" s="1"/>
      <c r="AJ4266" s="1"/>
      <c r="AN4266" s="1"/>
      <c r="AS4266" s="1"/>
      <c r="AX4266" s="1"/>
    </row>
    <row r="4267" spans="1:50" x14ac:dyDescent="0.3">
      <c r="A4267" s="19">
        <f t="shared" si="334"/>
        <v>51888</v>
      </c>
      <c r="B4267">
        <f t="shared" ca="1" si="330"/>
        <v>-15.933333333333334</v>
      </c>
      <c r="C4267" t="str">
        <f ca="1">IF(currency="USD",'Future et co'!D4267,IF(currency="EUR",'Future et co'!E4267,IF(currency="GBP",'Future et co'!F4267,FALSE)))</f>
        <v>RFR USD</v>
      </c>
      <c r="D4267" t="str">
        <f t="shared" ca="1" si="331"/>
        <v>RFR USD</v>
      </c>
      <c r="E4267" t="str">
        <f t="shared" ca="1" si="332"/>
        <v>RFR EUR</v>
      </c>
      <c r="F4267" t="str">
        <f t="shared" ca="1" si="333"/>
        <v>RFR GBP</v>
      </c>
      <c r="J4267" s="1"/>
      <c r="N4267" s="1"/>
      <c r="R4267" s="1"/>
      <c r="V4267" s="1"/>
      <c r="AB4267" s="1"/>
      <c r="AF4267" s="1"/>
      <c r="AJ4267" s="1"/>
      <c r="AN4267" s="1"/>
      <c r="AS4267" s="1"/>
      <c r="AX4267" s="1"/>
    </row>
    <row r="4268" spans="1:50" x14ac:dyDescent="0.3">
      <c r="A4268" s="19">
        <f t="shared" si="334"/>
        <v>51889</v>
      </c>
      <c r="B4268">
        <f t="shared" ca="1" si="330"/>
        <v>-15.936111111111112</v>
      </c>
      <c r="C4268" t="str">
        <f ca="1">IF(currency="USD",'Future et co'!D4268,IF(currency="EUR",'Future et co'!E4268,IF(currency="GBP",'Future et co'!F4268,FALSE)))</f>
        <v>RFR USD</v>
      </c>
      <c r="D4268" t="str">
        <f t="shared" ca="1" si="331"/>
        <v>RFR USD</v>
      </c>
      <c r="E4268" t="str">
        <f t="shared" ca="1" si="332"/>
        <v>RFR EUR</v>
      </c>
      <c r="F4268" t="str">
        <f t="shared" ca="1" si="333"/>
        <v>RFR GBP</v>
      </c>
      <c r="J4268" s="1"/>
      <c r="N4268" s="1"/>
      <c r="R4268" s="1"/>
      <c r="V4268" s="1"/>
      <c r="AB4268" s="1"/>
      <c r="AF4268" s="1"/>
      <c r="AJ4268" s="1"/>
      <c r="AN4268" s="1"/>
      <c r="AS4268" s="1"/>
      <c r="AX4268" s="1"/>
    </row>
    <row r="4269" spans="1:50" x14ac:dyDescent="0.3">
      <c r="A4269" s="19">
        <f t="shared" si="334"/>
        <v>51890</v>
      </c>
      <c r="B4269">
        <f t="shared" ca="1" si="330"/>
        <v>-15.938888888888888</v>
      </c>
      <c r="C4269" t="str">
        <f ca="1">IF(currency="USD",'Future et co'!D4269,IF(currency="EUR",'Future et co'!E4269,IF(currency="GBP",'Future et co'!F4269,FALSE)))</f>
        <v>RFR USD</v>
      </c>
      <c r="D4269" t="str">
        <f t="shared" ca="1" si="331"/>
        <v>RFR USD</v>
      </c>
      <c r="E4269" t="str">
        <f t="shared" ca="1" si="332"/>
        <v>RFR EUR</v>
      </c>
      <c r="F4269" t="str">
        <f t="shared" ca="1" si="333"/>
        <v>RFR GBP</v>
      </c>
      <c r="J4269" s="1"/>
      <c r="N4269" s="1"/>
      <c r="R4269" s="1"/>
      <c r="V4269" s="1"/>
      <c r="AB4269" s="1"/>
      <c r="AF4269" s="1"/>
      <c r="AJ4269" s="1"/>
      <c r="AN4269" s="1"/>
      <c r="AS4269" s="1"/>
      <c r="AX4269" s="1"/>
    </row>
    <row r="4270" spans="1:50" x14ac:dyDescent="0.3">
      <c r="A4270" s="19">
        <f t="shared" si="334"/>
        <v>51893</v>
      </c>
      <c r="B4270">
        <f t="shared" ca="1" si="330"/>
        <v>-15.947222222222223</v>
      </c>
      <c r="C4270" t="str">
        <f ca="1">IF(currency="USD",'Future et co'!D4270,IF(currency="EUR",'Future et co'!E4270,IF(currency="GBP",'Future et co'!F4270,FALSE)))</f>
        <v>RFR USD</v>
      </c>
      <c r="D4270" t="str">
        <f t="shared" ca="1" si="331"/>
        <v>RFR USD</v>
      </c>
      <c r="E4270" t="str">
        <f t="shared" ca="1" si="332"/>
        <v>RFR EUR</v>
      </c>
      <c r="F4270" t="str">
        <f t="shared" ca="1" si="333"/>
        <v>RFR GBP</v>
      </c>
      <c r="J4270" s="1"/>
      <c r="N4270" s="1"/>
      <c r="R4270" s="1"/>
      <c r="V4270" s="1"/>
      <c r="AB4270" s="1"/>
      <c r="AF4270" s="1"/>
      <c r="AJ4270" s="1"/>
      <c r="AN4270" s="1"/>
      <c r="AS4270" s="1"/>
      <c r="AX4270" s="1"/>
    </row>
    <row r="4271" spans="1:50" x14ac:dyDescent="0.3">
      <c r="A4271" s="19">
        <f t="shared" si="334"/>
        <v>51894</v>
      </c>
      <c r="B4271">
        <f t="shared" ca="1" si="330"/>
        <v>-15.95</v>
      </c>
      <c r="C4271" t="str">
        <f ca="1">IF(currency="USD",'Future et co'!D4271,IF(currency="EUR",'Future et co'!E4271,IF(currency="GBP",'Future et co'!F4271,FALSE)))</f>
        <v>RFR USD</v>
      </c>
      <c r="D4271" t="str">
        <f t="shared" ca="1" si="331"/>
        <v>RFR USD</v>
      </c>
      <c r="E4271" t="str">
        <f t="shared" ca="1" si="332"/>
        <v>RFR EUR</v>
      </c>
      <c r="F4271" t="str">
        <f t="shared" ca="1" si="333"/>
        <v>RFR GBP</v>
      </c>
      <c r="J4271" s="1"/>
      <c r="N4271" s="1"/>
      <c r="R4271" s="1"/>
      <c r="V4271" s="1"/>
      <c r="AB4271" s="1"/>
      <c r="AF4271" s="1"/>
      <c r="AJ4271" s="1"/>
      <c r="AN4271" s="1"/>
      <c r="AS4271" s="1"/>
      <c r="AX4271" s="1"/>
    </row>
    <row r="4272" spans="1:50" x14ac:dyDescent="0.3">
      <c r="A4272" s="19">
        <f t="shared" si="334"/>
        <v>51895</v>
      </c>
      <c r="B4272">
        <f t="shared" ca="1" si="330"/>
        <v>-15.952777777777778</v>
      </c>
      <c r="C4272" t="str">
        <f ca="1">IF(currency="USD",'Future et co'!D4272,IF(currency="EUR",'Future et co'!E4272,IF(currency="GBP",'Future et co'!F4272,FALSE)))</f>
        <v>RFR USD</v>
      </c>
      <c r="D4272" t="str">
        <f t="shared" ca="1" si="331"/>
        <v>RFR USD</v>
      </c>
      <c r="E4272" t="str">
        <f t="shared" ca="1" si="332"/>
        <v>RFR EUR</v>
      </c>
      <c r="F4272" t="str">
        <f t="shared" ca="1" si="333"/>
        <v>RFR GBP</v>
      </c>
      <c r="J4272" s="1"/>
      <c r="N4272" s="1"/>
      <c r="R4272" s="1"/>
      <c r="V4272" s="1"/>
      <c r="AB4272" s="1"/>
      <c r="AF4272" s="1"/>
      <c r="AJ4272" s="1"/>
      <c r="AN4272" s="1"/>
      <c r="AS4272" s="1"/>
      <c r="AX4272" s="1"/>
    </row>
    <row r="4273" spans="1:50" x14ac:dyDescent="0.3">
      <c r="A4273" s="19">
        <f t="shared" si="334"/>
        <v>51896</v>
      </c>
      <c r="B4273">
        <f t="shared" ca="1" si="330"/>
        <v>-15.955555555555556</v>
      </c>
      <c r="C4273" t="str">
        <f ca="1">IF(currency="USD",'Future et co'!D4273,IF(currency="EUR",'Future et co'!E4273,IF(currency="GBP",'Future et co'!F4273,FALSE)))</f>
        <v>RFR USD</v>
      </c>
      <c r="D4273" t="str">
        <f t="shared" ca="1" si="331"/>
        <v>RFR USD</v>
      </c>
      <c r="E4273" t="str">
        <f t="shared" ca="1" si="332"/>
        <v>RFR EUR</v>
      </c>
      <c r="F4273" t="str">
        <f t="shared" ca="1" si="333"/>
        <v>RFR GBP</v>
      </c>
      <c r="J4273" s="1"/>
      <c r="N4273" s="1"/>
      <c r="R4273" s="1"/>
      <c r="V4273" s="1"/>
      <c r="AB4273" s="1"/>
      <c r="AF4273" s="1"/>
      <c r="AJ4273" s="1"/>
      <c r="AN4273" s="1"/>
      <c r="AS4273" s="1"/>
      <c r="AX4273" s="1"/>
    </row>
    <row r="4274" spans="1:50" x14ac:dyDescent="0.3">
      <c r="A4274" s="19">
        <f t="shared" si="334"/>
        <v>51897</v>
      </c>
      <c r="B4274">
        <f t="shared" ca="1" si="330"/>
        <v>-15.958333333333334</v>
      </c>
      <c r="C4274" t="str">
        <f ca="1">IF(currency="USD",'Future et co'!D4274,IF(currency="EUR",'Future et co'!E4274,IF(currency="GBP",'Future et co'!F4274,FALSE)))</f>
        <v>RFR USD</v>
      </c>
      <c r="D4274" t="str">
        <f t="shared" ca="1" si="331"/>
        <v>RFR USD</v>
      </c>
      <c r="E4274" t="str">
        <f t="shared" ca="1" si="332"/>
        <v>RFR EUR</v>
      </c>
      <c r="F4274" t="str">
        <f t="shared" ca="1" si="333"/>
        <v>RFR GBP</v>
      </c>
      <c r="J4274" s="1"/>
      <c r="N4274" s="1"/>
      <c r="R4274" s="1"/>
      <c r="V4274" s="1"/>
      <c r="AB4274" s="1"/>
      <c r="AF4274" s="1"/>
      <c r="AJ4274" s="1"/>
      <c r="AN4274" s="1"/>
      <c r="AS4274" s="1"/>
      <c r="AX4274" s="1"/>
    </row>
    <row r="4275" spans="1:50" x14ac:dyDescent="0.3">
      <c r="A4275" s="19">
        <f t="shared" si="334"/>
        <v>51900</v>
      </c>
      <c r="B4275">
        <f t="shared" ca="1" si="330"/>
        <v>-15.966666666666667</v>
      </c>
      <c r="C4275" t="str">
        <f ca="1">IF(currency="USD",'Future et co'!D4275,IF(currency="EUR",'Future et co'!E4275,IF(currency="GBP",'Future et co'!F4275,FALSE)))</f>
        <v>RFR USD</v>
      </c>
      <c r="D4275" t="str">
        <f t="shared" ca="1" si="331"/>
        <v>RFR USD</v>
      </c>
      <c r="E4275" t="str">
        <f t="shared" ca="1" si="332"/>
        <v>RFR EUR</v>
      </c>
      <c r="F4275" t="str">
        <f t="shared" ca="1" si="333"/>
        <v>RFR GBP</v>
      </c>
      <c r="J4275" s="1"/>
      <c r="N4275" s="1"/>
      <c r="R4275" s="1"/>
      <c r="V4275" s="1"/>
      <c r="AB4275" s="1"/>
      <c r="AF4275" s="1"/>
      <c r="AJ4275" s="1"/>
      <c r="AN4275" s="1"/>
      <c r="AS4275" s="1"/>
      <c r="AX4275" s="1"/>
    </row>
    <row r="4276" spans="1:50" x14ac:dyDescent="0.3">
      <c r="A4276" s="19">
        <f t="shared" si="334"/>
        <v>51901</v>
      </c>
      <c r="B4276">
        <f t="shared" ca="1" si="330"/>
        <v>-15.969444444444445</v>
      </c>
      <c r="C4276" t="str">
        <f ca="1">IF(currency="USD",'Future et co'!D4276,IF(currency="EUR",'Future et co'!E4276,IF(currency="GBP",'Future et co'!F4276,FALSE)))</f>
        <v>RFR USD</v>
      </c>
      <c r="D4276" t="str">
        <f t="shared" ca="1" si="331"/>
        <v>RFR USD</v>
      </c>
      <c r="E4276" t="str">
        <f t="shared" ca="1" si="332"/>
        <v>RFR EUR</v>
      </c>
      <c r="F4276" t="str">
        <f t="shared" ca="1" si="333"/>
        <v>RFR GBP</v>
      </c>
      <c r="J4276" s="1"/>
      <c r="N4276" s="1"/>
      <c r="R4276" s="1"/>
      <c r="V4276" s="1"/>
      <c r="AB4276" s="1"/>
      <c r="AF4276" s="1"/>
      <c r="AJ4276" s="1"/>
      <c r="AN4276" s="1"/>
      <c r="AS4276" s="1"/>
      <c r="AX4276" s="1"/>
    </row>
    <row r="4277" spans="1:50" x14ac:dyDescent="0.3">
      <c r="A4277" s="19">
        <f t="shared" si="334"/>
        <v>51902</v>
      </c>
      <c r="B4277">
        <f t="shared" ca="1" si="330"/>
        <v>-15.972222222222221</v>
      </c>
      <c r="C4277" t="str">
        <f ca="1">IF(currency="USD",'Future et co'!D4277,IF(currency="EUR",'Future et co'!E4277,IF(currency="GBP",'Future et co'!F4277,FALSE)))</f>
        <v>RFR USD</v>
      </c>
      <c r="D4277" t="str">
        <f t="shared" ca="1" si="331"/>
        <v>RFR USD</v>
      </c>
      <c r="E4277" t="str">
        <f t="shared" ca="1" si="332"/>
        <v>RFR EUR</v>
      </c>
      <c r="F4277" t="str">
        <f t="shared" ca="1" si="333"/>
        <v>RFR GBP</v>
      </c>
      <c r="J4277" s="1"/>
      <c r="N4277" s="1"/>
      <c r="R4277" s="1"/>
      <c r="V4277" s="1"/>
      <c r="AB4277" s="1"/>
      <c r="AF4277" s="1"/>
      <c r="AJ4277" s="1"/>
      <c r="AN4277" s="1"/>
      <c r="AS4277" s="1"/>
      <c r="AX4277" s="1"/>
    </row>
    <row r="4278" spans="1:50" x14ac:dyDescent="0.3">
      <c r="A4278" s="19">
        <f t="shared" si="334"/>
        <v>51903</v>
      </c>
      <c r="B4278">
        <f t="shared" ca="1" si="330"/>
        <v>-15.975</v>
      </c>
      <c r="C4278" t="str">
        <f ca="1">IF(currency="USD",'Future et co'!D4278,IF(currency="EUR",'Future et co'!E4278,IF(currency="GBP",'Future et co'!F4278,FALSE)))</f>
        <v>RFR USD</v>
      </c>
      <c r="D4278" t="str">
        <f t="shared" ca="1" si="331"/>
        <v>RFR USD</v>
      </c>
      <c r="E4278" t="str">
        <f t="shared" ca="1" si="332"/>
        <v>RFR EUR</v>
      </c>
      <c r="F4278" t="str">
        <f t="shared" ca="1" si="333"/>
        <v>RFR GBP</v>
      </c>
      <c r="J4278" s="1"/>
      <c r="N4278" s="1"/>
      <c r="R4278" s="1"/>
      <c r="V4278" s="1"/>
      <c r="AB4278" s="1"/>
      <c r="AF4278" s="1"/>
      <c r="AJ4278" s="1"/>
      <c r="AN4278" s="1"/>
      <c r="AS4278" s="1"/>
      <c r="AX4278" s="1"/>
    </row>
    <row r="4279" spans="1:50" x14ac:dyDescent="0.3">
      <c r="A4279" s="19">
        <f t="shared" si="334"/>
        <v>51904</v>
      </c>
      <c r="B4279">
        <f t="shared" ca="1" si="330"/>
        <v>-15.977777777777778</v>
      </c>
      <c r="C4279" t="str">
        <f ca="1">IF(currency="USD",'Future et co'!D4279,IF(currency="EUR",'Future et co'!E4279,IF(currency="GBP",'Future et co'!F4279,FALSE)))</f>
        <v>RFR USD</v>
      </c>
      <c r="D4279" t="str">
        <f t="shared" ca="1" si="331"/>
        <v>RFR USD</v>
      </c>
      <c r="E4279" t="str">
        <f t="shared" ca="1" si="332"/>
        <v>RFR EUR</v>
      </c>
      <c r="F4279" t="str">
        <f t="shared" ca="1" si="333"/>
        <v>RFR GBP</v>
      </c>
      <c r="J4279" s="1"/>
      <c r="N4279" s="1"/>
      <c r="R4279" s="1"/>
      <c r="V4279" s="1"/>
      <c r="AB4279" s="1"/>
      <c r="AF4279" s="1"/>
      <c r="AJ4279" s="1"/>
      <c r="AN4279" s="1"/>
      <c r="AS4279" s="1"/>
      <c r="AX4279" s="1"/>
    </row>
    <row r="4280" spans="1:50" x14ac:dyDescent="0.3">
      <c r="A4280" s="19">
        <f t="shared" si="334"/>
        <v>51907</v>
      </c>
      <c r="B4280">
        <f t="shared" ca="1" si="330"/>
        <v>-15.986111111111111</v>
      </c>
      <c r="C4280" t="str">
        <f ca="1">IF(currency="USD",'Future et co'!D4280,IF(currency="EUR",'Future et co'!E4280,IF(currency="GBP",'Future et co'!F4280,FALSE)))</f>
        <v>RFR USD</v>
      </c>
      <c r="D4280" t="str">
        <f t="shared" ca="1" si="331"/>
        <v>RFR USD</v>
      </c>
      <c r="E4280" t="str">
        <f t="shared" ca="1" si="332"/>
        <v>RFR EUR</v>
      </c>
      <c r="F4280" t="str">
        <f t="shared" ca="1" si="333"/>
        <v>RFR GBP</v>
      </c>
      <c r="J4280" s="1"/>
      <c r="N4280" s="1"/>
      <c r="R4280" s="1"/>
      <c r="V4280" s="1"/>
      <c r="AB4280" s="1"/>
      <c r="AF4280" s="1"/>
      <c r="AJ4280" s="1"/>
      <c r="AN4280" s="1"/>
      <c r="AS4280" s="1"/>
      <c r="AX4280" s="1"/>
    </row>
    <row r="4281" spans="1:50" x14ac:dyDescent="0.3">
      <c r="A4281" s="19">
        <f t="shared" si="334"/>
        <v>51908</v>
      </c>
      <c r="B4281">
        <f t="shared" ca="1" si="330"/>
        <v>-15.988888888888889</v>
      </c>
      <c r="C4281" t="str">
        <f ca="1">IF(currency="USD",'Future et co'!D4281,IF(currency="EUR",'Future et co'!E4281,IF(currency="GBP",'Future et co'!F4281,FALSE)))</f>
        <v>RFR USD</v>
      </c>
      <c r="D4281" t="str">
        <f t="shared" ca="1" si="331"/>
        <v>RFR USD</v>
      </c>
      <c r="E4281" t="str">
        <f t="shared" ca="1" si="332"/>
        <v>RFR EUR</v>
      </c>
      <c r="F4281" t="str">
        <f t="shared" ca="1" si="333"/>
        <v>RFR GBP</v>
      </c>
      <c r="J4281" s="1"/>
      <c r="N4281" s="1"/>
      <c r="R4281" s="1"/>
      <c r="V4281" s="1"/>
      <c r="AB4281" s="1"/>
      <c r="AF4281" s="1"/>
      <c r="AJ4281" s="1"/>
      <c r="AN4281" s="1"/>
      <c r="AS4281" s="1"/>
      <c r="AX4281" s="1"/>
    </row>
    <row r="4282" spans="1:50" x14ac:dyDescent="0.3">
      <c r="A4282" s="19">
        <f t="shared" si="334"/>
        <v>51909</v>
      </c>
      <c r="B4282">
        <f t="shared" ca="1" si="330"/>
        <v>-15.991666666666667</v>
      </c>
      <c r="C4282" t="str">
        <f ca="1">IF(currency="USD",'Future et co'!D4282,IF(currency="EUR",'Future et co'!E4282,IF(currency="GBP",'Future et co'!F4282,FALSE)))</f>
        <v>RFR USD</v>
      </c>
      <c r="D4282" t="str">
        <f t="shared" ca="1" si="331"/>
        <v>RFR USD</v>
      </c>
      <c r="E4282" t="str">
        <f t="shared" ca="1" si="332"/>
        <v>RFR EUR</v>
      </c>
      <c r="F4282" t="str">
        <f t="shared" ca="1" si="333"/>
        <v>RFR GBP</v>
      </c>
      <c r="J4282" s="1"/>
      <c r="N4282" s="1"/>
      <c r="R4282" s="1"/>
      <c r="V4282" s="1"/>
      <c r="AB4282" s="1"/>
      <c r="AF4282" s="1"/>
      <c r="AJ4282" s="1"/>
      <c r="AN4282" s="1"/>
      <c r="AS4282" s="1"/>
      <c r="AX4282" s="1"/>
    </row>
    <row r="4283" spans="1:50" x14ac:dyDescent="0.3">
      <c r="A4283" s="19">
        <f t="shared" si="334"/>
        <v>51910</v>
      </c>
      <c r="B4283">
        <f t="shared" ca="1" si="330"/>
        <v>-15.994444444444444</v>
      </c>
      <c r="C4283" t="str">
        <f ca="1">IF(currency="USD",'Future et co'!D4283,IF(currency="EUR",'Future et co'!E4283,IF(currency="GBP",'Future et co'!F4283,FALSE)))</f>
        <v>RFR USD</v>
      </c>
      <c r="D4283" t="str">
        <f t="shared" ca="1" si="331"/>
        <v>RFR USD</v>
      </c>
      <c r="E4283" t="str">
        <f t="shared" ca="1" si="332"/>
        <v>RFR EUR</v>
      </c>
      <c r="F4283" t="str">
        <f t="shared" ca="1" si="333"/>
        <v>RFR GBP</v>
      </c>
      <c r="J4283" s="1"/>
      <c r="N4283" s="1"/>
      <c r="R4283" s="1"/>
      <c r="V4283" s="1"/>
      <c r="AB4283" s="1"/>
      <c r="AF4283" s="1"/>
      <c r="AJ4283" s="1"/>
      <c r="AN4283" s="1"/>
      <c r="AS4283" s="1"/>
      <c r="AX4283" s="1"/>
    </row>
    <row r="4284" spans="1:50" x14ac:dyDescent="0.3">
      <c r="A4284" s="19">
        <f t="shared" si="334"/>
        <v>51911</v>
      </c>
      <c r="B4284">
        <f t="shared" ca="1" si="330"/>
        <v>-15.997222222222222</v>
      </c>
      <c r="C4284" t="str">
        <f ca="1">IF(currency="USD",'Future et co'!D4284,IF(currency="EUR",'Future et co'!E4284,IF(currency="GBP",'Future et co'!F4284,FALSE)))</f>
        <v>RFR USD</v>
      </c>
      <c r="D4284" t="str">
        <f t="shared" ca="1" si="331"/>
        <v>RFR USD</v>
      </c>
      <c r="E4284" t="str">
        <f t="shared" ca="1" si="332"/>
        <v>RFR EUR</v>
      </c>
      <c r="F4284" t="str">
        <f t="shared" ca="1" si="333"/>
        <v>RFR GBP</v>
      </c>
      <c r="J4284" s="1"/>
      <c r="N4284" s="1"/>
      <c r="R4284" s="1"/>
      <c r="V4284" s="1"/>
      <c r="AB4284" s="1"/>
      <c r="AF4284" s="1"/>
      <c r="AJ4284" s="1"/>
      <c r="AN4284" s="1"/>
      <c r="AS4284" s="1"/>
      <c r="AX4284" s="1"/>
    </row>
    <row r="4285" spans="1:50" x14ac:dyDescent="0.3">
      <c r="A4285" s="19">
        <f t="shared" si="334"/>
        <v>51914</v>
      </c>
      <c r="B4285">
        <f t="shared" ca="1" si="330"/>
        <v>-16.005555555555556</v>
      </c>
      <c r="C4285" t="str">
        <f ca="1">IF(currency="USD",'Future et co'!D4285,IF(currency="EUR",'Future et co'!E4285,IF(currency="GBP",'Future et co'!F4285,FALSE)))</f>
        <v>RFR USD</v>
      </c>
      <c r="D4285" t="str">
        <f t="shared" ca="1" si="331"/>
        <v>RFR USD</v>
      </c>
      <c r="E4285" t="str">
        <f t="shared" ca="1" si="332"/>
        <v>RFR EUR</v>
      </c>
      <c r="F4285" t="str">
        <f t="shared" ca="1" si="333"/>
        <v>RFR GBP</v>
      </c>
      <c r="J4285" s="1"/>
      <c r="N4285" s="1"/>
      <c r="R4285" s="1"/>
      <c r="V4285" s="1"/>
      <c r="AB4285" s="1"/>
      <c r="AF4285" s="1"/>
      <c r="AJ4285" s="1"/>
      <c r="AN4285" s="1"/>
      <c r="AS4285" s="1"/>
      <c r="AX4285" s="1"/>
    </row>
    <row r="4286" spans="1:50" x14ac:dyDescent="0.3">
      <c r="A4286" s="19">
        <f t="shared" si="334"/>
        <v>51915</v>
      </c>
      <c r="B4286">
        <f t="shared" ca="1" si="330"/>
        <v>-16.008333333333333</v>
      </c>
      <c r="C4286" t="str">
        <f ca="1">IF(currency="USD",'Future et co'!D4286,IF(currency="EUR",'Future et co'!E4286,IF(currency="GBP",'Future et co'!F4286,FALSE)))</f>
        <v>RFR USD</v>
      </c>
      <c r="D4286" t="str">
        <f t="shared" ca="1" si="331"/>
        <v>RFR USD</v>
      </c>
      <c r="E4286" t="str">
        <f t="shared" ca="1" si="332"/>
        <v>RFR EUR</v>
      </c>
      <c r="F4286" t="str">
        <f t="shared" ca="1" si="333"/>
        <v>RFR GBP</v>
      </c>
      <c r="J4286" s="1"/>
      <c r="N4286" s="1"/>
      <c r="R4286" s="1"/>
      <c r="V4286" s="1"/>
      <c r="AB4286" s="1"/>
      <c r="AF4286" s="1"/>
      <c r="AJ4286" s="1"/>
      <c r="AN4286" s="1"/>
      <c r="AS4286" s="1"/>
      <c r="AX4286" s="1"/>
    </row>
    <row r="4287" spans="1:50" x14ac:dyDescent="0.3">
      <c r="A4287" s="19">
        <f t="shared" si="334"/>
        <v>51916</v>
      </c>
      <c r="B4287">
        <f t="shared" ca="1" si="330"/>
        <v>-16.011111111111113</v>
      </c>
      <c r="C4287" t="str">
        <f ca="1">IF(currency="USD",'Future et co'!D4287,IF(currency="EUR",'Future et co'!E4287,IF(currency="GBP",'Future et co'!F4287,FALSE)))</f>
        <v>RFR USD</v>
      </c>
      <c r="D4287" t="str">
        <f t="shared" ca="1" si="331"/>
        <v>RFR USD</v>
      </c>
      <c r="E4287" t="str">
        <f t="shared" ca="1" si="332"/>
        <v>RFR EUR</v>
      </c>
      <c r="F4287" t="str">
        <f t="shared" ca="1" si="333"/>
        <v>RFR GBP</v>
      </c>
      <c r="J4287" s="1"/>
      <c r="N4287" s="1"/>
      <c r="R4287" s="1"/>
      <c r="V4287" s="1"/>
      <c r="AB4287" s="1"/>
      <c r="AF4287" s="1"/>
      <c r="AJ4287" s="1"/>
      <c r="AN4287" s="1"/>
      <c r="AS4287" s="1"/>
      <c r="AX4287" s="1"/>
    </row>
    <row r="4288" spans="1:50" x14ac:dyDescent="0.3">
      <c r="A4288" s="19">
        <f t="shared" si="334"/>
        <v>51917</v>
      </c>
      <c r="B4288">
        <f t="shared" ca="1" si="330"/>
        <v>-16.013888888888889</v>
      </c>
      <c r="C4288" t="str">
        <f ca="1">IF(currency="USD",'Future et co'!D4288,IF(currency="EUR",'Future et co'!E4288,IF(currency="GBP",'Future et co'!F4288,FALSE)))</f>
        <v>RFR USD</v>
      </c>
      <c r="D4288" t="str">
        <f t="shared" ca="1" si="331"/>
        <v>RFR USD</v>
      </c>
      <c r="E4288" t="str">
        <f t="shared" ca="1" si="332"/>
        <v>RFR EUR</v>
      </c>
      <c r="F4288" t="str">
        <f t="shared" ca="1" si="333"/>
        <v>RFR GBP</v>
      </c>
      <c r="J4288" s="1"/>
      <c r="N4288" s="1"/>
      <c r="R4288" s="1"/>
      <c r="V4288" s="1"/>
      <c r="AB4288" s="1"/>
      <c r="AF4288" s="1"/>
      <c r="AJ4288" s="1"/>
      <c r="AN4288" s="1"/>
      <c r="AS4288" s="1"/>
      <c r="AX4288" s="1"/>
    </row>
    <row r="4289" spans="1:50" x14ac:dyDescent="0.3">
      <c r="A4289" s="19">
        <f t="shared" si="334"/>
        <v>51918</v>
      </c>
      <c r="B4289">
        <f t="shared" ca="1" si="330"/>
        <v>-16.016666666666666</v>
      </c>
      <c r="C4289" t="str">
        <f ca="1">IF(currency="USD",'Future et co'!D4289,IF(currency="EUR",'Future et co'!E4289,IF(currency="GBP",'Future et co'!F4289,FALSE)))</f>
        <v>RFR USD</v>
      </c>
      <c r="D4289" t="str">
        <f t="shared" ca="1" si="331"/>
        <v>RFR USD</v>
      </c>
      <c r="E4289" t="str">
        <f t="shared" ca="1" si="332"/>
        <v>RFR EUR</v>
      </c>
      <c r="F4289" t="str">
        <f t="shared" ca="1" si="333"/>
        <v>RFR GBP</v>
      </c>
      <c r="J4289" s="1"/>
      <c r="N4289" s="1"/>
      <c r="R4289" s="1"/>
      <c r="V4289" s="1"/>
      <c r="AB4289" s="1"/>
      <c r="AF4289" s="1"/>
      <c r="AJ4289" s="1"/>
      <c r="AN4289" s="1"/>
      <c r="AS4289" s="1"/>
      <c r="AX4289" s="1"/>
    </row>
    <row r="4290" spans="1:50" x14ac:dyDescent="0.3">
      <c r="A4290" s="19">
        <f t="shared" si="334"/>
        <v>51921</v>
      </c>
      <c r="B4290">
        <f t="shared" ca="1" si="330"/>
        <v>-16.024999999999999</v>
      </c>
      <c r="C4290" t="str">
        <f ca="1">IF(currency="USD",'Future et co'!D4290,IF(currency="EUR",'Future et co'!E4290,IF(currency="GBP",'Future et co'!F4290,FALSE)))</f>
        <v>RFR USD</v>
      </c>
      <c r="D4290" t="str">
        <f t="shared" ca="1" si="331"/>
        <v>RFR USD</v>
      </c>
      <c r="E4290" t="str">
        <f t="shared" ca="1" si="332"/>
        <v>RFR EUR</v>
      </c>
      <c r="F4290" t="str">
        <f t="shared" ca="1" si="333"/>
        <v>RFR GBP</v>
      </c>
      <c r="J4290" s="1"/>
      <c r="N4290" s="1"/>
      <c r="R4290" s="1"/>
      <c r="V4290" s="1"/>
      <c r="AB4290" s="1"/>
      <c r="AF4290" s="1"/>
      <c r="AJ4290" s="1"/>
      <c r="AN4290" s="1"/>
      <c r="AS4290" s="1"/>
      <c r="AX4290" s="1"/>
    </row>
    <row r="4291" spans="1:50" x14ac:dyDescent="0.3">
      <c r="A4291" s="19">
        <f t="shared" si="334"/>
        <v>51922</v>
      </c>
      <c r="B4291">
        <f t="shared" ca="1" si="330"/>
        <v>-16.027777777777779</v>
      </c>
      <c r="C4291" t="str">
        <f ca="1">IF(currency="USD",'Future et co'!D4291,IF(currency="EUR",'Future et co'!E4291,IF(currency="GBP",'Future et co'!F4291,FALSE)))</f>
        <v>RFR USD</v>
      </c>
      <c r="D4291" t="str">
        <f t="shared" ca="1" si="331"/>
        <v>RFR USD</v>
      </c>
      <c r="E4291" t="str">
        <f t="shared" ca="1" si="332"/>
        <v>RFR EUR</v>
      </c>
      <c r="F4291" t="str">
        <f t="shared" ca="1" si="333"/>
        <v>RFR GBP</v>
      </c>
      <c r="J4291" s="1"/>
      <c r="N4291" s="1"/>
      <c r="R4291" s="1"/>
      <c r="V4291" s="1"/>
      <c r="AB4291" s="1"/>
      <c r="AF4291" s="1"/>
      <c r="AJ4291" s="1"/>
      <c r="AN4291" s="1"/>
      <c r="AS4291" s="1"/>
      <c r="AX4291" s="1"/>
    </row>
    <row r="4292" spans="1:50" x14ac:dyDescent="0.3">
      <c r="A4292" s="19">
        <f t="shared" si="334"/>
        <v>51923</v>
      </c>
      <c r="B4292">
        <f t="shared" ca="1" si="330"/>
        <v>-16.030555555555555</v>
      </c>
      <c r="C4292" t="str">
        <f ca="1">IF(currency="USD",'Future et co'!D4292,IF(currency="EUR",'Future et co'!E4292,IF(currency="GBP",'Future et co'!F4292,FALSE)))</f>
        <v>RFR USD</v>
      </c>
      <c r="D4292" t="str">
        <f t="shared" ca="1" si="331"/>
        <v>RFR USD</v>
      </c>
      <c r="E4292" t="str">
        <f t="shared" ca="1" si="332"/>
        <v>RFR EUR</v>
      </c>
      <c r="F4292" t="str">
        <f t="shared" ca="1" si="333"/>
        <v>RFR GBP</v>
      </c>
      <c r="J4292" s="1"/>
      <c r="N4292" s="1"/>
      <c r="R4292" s="1"/>
      <c r="V4292" s="1"/>
      <c r="AB4292" s="1"/>
      <c r="AF4292" s="1"/>
      <c r="AJ4292" s="1"/>
      <c r="AN4292" s="1"/>
      <c r="AS4292" s="1"/>
      <c r="AX4292" s="1"/>
    </row>
    <row r="4293" spans="1:50" x14ac:dyDescent="0.3">
      <c r="A4293" s="19">
        <f t="shared" si="334"/>
        <v>51924</v>
      </c>
      <c r="B4293">
        <f t="shared" ca="1" si="330"/>
        <v>-16.033333333333335</v>
      </c>
      <c r="C4293" t="str">
        <f ca="1">IF(currency="USD",'Future et co'!D4293,IF(currency="EUR",'Future et co'!E4293,IF(currency="GBP",'Future et co'!F4293,FALSE)))</f>
        <v>RFR USD</v>
      </c>
      <c r="D4293" t="str">
        <f t="shared" ca="1" si="331"/>
        <v>RFR USD</v>
      </c>
      <c r="E4293" t="str">
        <f t="shared" ca="1" si="332"/>
        <v>RFR EUR</v>
      </c>
      <c r="F4293" t="str">
        <f t="shared" ca="1" si="333"/>
        <v>RFR GBP</v>
      </c>
      <c r="J4293" s="1"/>
      <c r="N4293" s="1"/>
      <c r="R4293" s="1"/>
      <c r="V4293" s="1"/>
      <c r="AB4293" s="1"/>
      <c r="AF4293" s="1"/>
      <c r="AJ4293" s="1"/>
      <c r="AN4293" s="1"/>
      <c r="AS4293" s="1"/>
      <c r="AX4293" s="1"/>
    </row>
    <row r="4294" spans="1:50" x14ac:dyDescent="0.3">
      <c r="A4294" s="19">
        <f t="shared" si="334"/>
        <v>51925</v>
      </c>
      <c r="B4294">
        <f t="shared" ca="1" si="330"/>
        <v>-16.036111111111111</v>
      </c>
      <c r="C4294" t="str">
        <f ca="1">IF(currency="USD",'Future et co'!D4294,IF(currency="EUR",'Future et co'!E4294,IF(currency="GBP",'Future et co'!F4294,FALSE)))</f>
        <v>RFR USD</v>
      </c>
      <c r="D4294" t="str">
        <f t="shared" ca="1" si="331"/>
        <v>RFR USD</v>
      </c>
      <c r="E4294" t="str">
        <f t="shared" ca="1" si="332"/>
        <v>RFR EUR</v>
      </c>
      <c r="F4294" t="str">
        <f t="shared" ca="1" si="333"/>
        <v>RFR GBP</v>
      </c>
      <c r="J4294" s="1"/>
      <c r="N4294" s="1"/>
      <c r="R4294" s="1"/>
      <c r="V4294" s="1"/>
      <c r="AB4294" s="1"/>
      <c r="AF4294" s="1"/>
      <c r="AJ4294" s="1"/>
      <c r="AN4294" s="1"/>
      <c r="AS4294" s="1"/>
      <c r="AX4294" s="1"/>
    </row>
    <row r="4295" spans="1:50" x14ac:dyDescent="0.3">
      <c r="A4295" s="19">
        <f t="shared" si="334"/>
        <v>51928</v>
      </c>
      <c r="B4295">
        <f t="shared" ca="1" si="330"/>
        <v>-16.044444444444444</v>
      </c>
      <c r="C4295" t="str">
        <f ca="1">IF(currency="USD",'Future et co'!D4295,IF(currency="EUR",'Future et co'!E4295,IF(currency="GBP",'Future et co'!F4295,FALSE)))</f>
        <v>RFR USD</v>
      </c>
      <c r="D4295" t="str">
        <f t="shared" ca="1" si="331"/>
        <v>RFR USD</v>
      </c>
      <c r="E4295" t="str">
        <f t="shared" ca="1" si="332"/>
        <v>RFR EUR</v>
      </c>
      <c r="F4295" t="str">
        <f t="shared" ca="1" si="333"/>
        <v>RFR GBP</v>
      </c>
      <c r="J4295" s="1"/>
      <c r="N4295" s="1"/>
      <c r="R4295" s="1"/>
      <c r="V4295" s="1"/>
      <c r="AB4295" s="1"/>
      <c r="AF4295" s="1"/>
      <c r="AJ4295" s="1"/>
      <c r="AN4295" s="1"/>
      <c r="AS4295" s="1"/>
      <c r="AX4295" s="1"/>
    </row>
    <row r="4296" spans="1:50" x14ac:dyDescent="0.3">
      <c r="A4296" s="19">
        <f t="shared" si="334"/>
        <v>51929</v>
      </c>
      <c r="B4296">
        <f t="shared" ca="1" si="330"/>
        <v>-16.047222222222221</v>
      </c>
      <c r="C4296" t="str">
        <f ca="1">IF(currency="USD",'Future et co'!D4296,IF(currency="EUR",'Future et co'!E4296,IF(currency="GBP",'Future et co'!F4296,FALSE)))</f>
        <v>RFR USD</v>
      </c>
      <c r="D4296" t="str">
        <f t="shared" ca="1" si="331"/>
        <v>RFR USD</v>
      </c>
      <c r="E4296" t="str">
        <f t="shared" ca="1" si="332"/>
        <v>RFR EUR</v>
      </c>
      <c r="F4296" t="str">
        <f t="shared" ca="1" si="333"/>
        <v>RFR GBP</v>
      </c>
      <c r="J4296" s="1"/>
      <c r="N4296" s="1"/>
      <c r="R4296" s="1"/>
      <c r="V4296" s="1"/>
      <c r="AB4296" s="1"/>
      <c r="AF4296" s="1"/>
      <c r="AJ4296" s="1"/>
      <c r="AN4296" s="1"/>
      <c r="AS4296" s="1"/>
      <c r="AX4296" s="1"/>
    </row>
    <row r="4297" spans="1:50" x14ac:dyDescent="0.3">
      <c r="A4297" s="19">
        <f t="shared" si="334"/>
        <v>51930</v>
      </c>
      <c r="B4297">
        <f t="shared" ca="1" si="330"/>
        <v>-16.05</v>
      </c>
      <c r="C4297" t="str">
        <f ca="1">IF(currency="USD",'Future et co'!D4297,IF(currency="EUR",'Future et co'!E4297,IF(currency="GBP",'Future et co'!F4297,FALSE)))</f>
        <v>RFR USD</v>
      </c>
      <c r="D4297" t="str">
        <f t="shared" ca="1" si="331"/>
        <v>RFR USD</v>
      </c>
      <c r="E4297" t="str">
        <f t="shared" ca="1" si="332"/>
        <v>RFR EUR</v>
      </c>
      <c r="F4297" t="str">
        <f t="shared" ca="1" si="333"/>
        <v>RFR GBP</v>
      </c>
      <c r="J4297" s="1"/>
      <c r="N4297" s="1"/>
      <c r="R4297" s="1"/>
      <c r="V4297" s="1"/>
      <c r="AB4297" s="1"/>
      <c r="AF4297" s="1"/>
      <c r="AJ4297" s="1"/>
      <c r="AN4297" s="1"/>
      <c r="AS4297" s="1"/>
      <c r="AX4297" s="1"/>
    </row>
    <row r="4298" spans="1:50" x14ac:dyDescent="0.3">
      <c r="A4298" s="19">
        <f t="shared" si="334"/>
        <v>51931</v>
      </c>
      <c r="B4298">
        <f t="shared" ca="1" si="330"/>
        <v>-16.052777777777777</v>
      </c>
      <c r="C4298" t="str">
        <f ca="1">IF(currency="USD",'Future et co'!D4298,IF(currency="EUR",'Future et co'!E4298,IF(currency="GBP",'Future et co'!F4298,FALSE)))</f>
        <v>RFR USD</v>
      </c>
      <c r="D4298" t="str">
        <f t="shared" ca="1" si="331"/>
        <v>RFR USD</v>
      </c>
      <c r="E4298" t="str">
        <f t="shared" ca="1" si="332"/>
        <v>RFR EUR</v>
      </c>
      <c r="F4298" t="str">
        <f t="shared" ca="1" si="333"/>
        <v>RFR GBP</v>
      </c>
      <c r="J4298" s="1"/>
      <c r="N4298" s="1"/>
      <c r="R4298" s="1"/>
      <c r="V4298" s="1"/>
      <c r="AB4298" s="1"/>
      <c r="AF4298" s="1"/>
      <c r="AJ4298" s="1"/>
      <c r="AN4298" s="1"/>
      <c r="AS4298" s="1"/>
      <c r="AX4298" s="1"/>
    </row>
    <row r="4299" spans="1:50" x14ac:dyDescent="0.3">
      <c r="A4299" s="19">
        <f t="shared" si="334"/>
        <v>51932</v>
      </c>
      <c r="B4299">
        <f t="shared" ref="B4299:B4362" ca="1" si="335">($B$7-A4299)/360</f>
        <v>-16.055555555555557</v>
      </c>
      <c r="C4299" t="str">
        <f ca="1">IF(currency="USD",'Future et co'!D4299,IF(currency="EUR",'Future et co'!E4299,IF(currency="GBP",'Future et co'!F4299,FALSE)))</f>
        <v>RFR USD</v>
      </c>
      <c r="D4299" t="str">
        <f t="shared" ref="D4299:D4362" ca="1" si="336">IFERROR(IF(B4299&lt;0.25,VLOOKUP(A4299,$J$11:$L$5325,3,FALSE),IF(AND(B4299&gt;=0.25,B4299&lt;0.5),VLOOKUP(A4299,$N$11:$P$5325,3,FALSE),IF(AND(B4299&gt;=0.5,B4299&lt;1),VLOOKUP(A4299,$R$11:$T$5325,3,FALSE),VLOOKUP(A4299,$V$11:$X$5010,3,FALSE)))),D4298)</f>
        <v>RFR USD</v>
      </c>
      <c r="E4299" t="str">
        <f t="shared" ref="E4299:E4362" ca="1" si="337">IFERROR(IF(B4299&lt;0.25,VLOOKUP(A4299,$AF$11:$AH$5325,3,FALSE),IF(AND(B4299&gt;=0.25,B4299&lt;0.5),VLOOKUP(A4299,$AJ$11:$AL$5325,3,FALSE),VLOOKUP(A4299,$AN$11:$AP$5325,3,FALSE))),E4298)</f>
        <v>RFR EUR</v>
      </c>
      <c r="F4299" t="str">
        <f t="shared" ref="F4299:F4362" ca="1" si="338">IFERROR(VLOOKUP(A4299,$AS$11:$AU$9999,3,FALSE),F4298)</f>
        <v>RFR GBP</v>
      </c>
      <c r="J4299" s="1"/>
      <c r="N4299" s="1"/>
      <c r="R4299" s="1"/>
      <c r="V4299" s="1"/>
      <c r="AB4299" s="1"/>
      <c r="AF4299" s="1"/>
      <c r="AJ4299" s="1"/>
      <c r="AN4299" s="1"/>
      <c r="AS4299" s="1"/>
      <c r="AX4299" s="1"/>
    </row>
    <row r="4300" spans="1:50" x14ac:dyDescent="0.3">
      <c r="A4300" s="19">
        <f t="shared" si="334"/>
        <v>51935</v>
      </c>
      <c r="B4300">
        <f t="shared" ca="1" si="335"/>
        <v>-16.06388888888889</v>
      </c>
      <c r="C4300" t="str">
        <f ca="1">IF(currency="USD",'Future et co'!D4300,IF(currency="EUR",'Future et co'!E4300,IF(currency="GBP",'Future et co'!F4300,FALSE)))</f>
        <v>RFR USD</v>
      </c>
      <c r="D4300" t="str">
        <f t="shared" ca="1" si="336"/>
        <v>RFR USD</v>
      </c>
      <c r="E4300" t="str">
        <f t="shared" ca="1" si="337"/>
        <v>RFR EUR</v>
      </c>
      <c r="F4300" t="str">
        <f t="shared" ca="1" si="338"/>
        <v>RFR GBP</v>
      </c>
      <c r="J4300" s="1"/>
      <c r="N4300" s="1"/>
      <c r="R4300" s="1"/>
      <c r="V4300" s="1"/>
      <c r="AB4300" s="1"/>
      <c r="AF4300" s="1"/>
      <c r="AJ4300" s="1"/>
      <c r="AN4300" s="1"/>
      <c r="AS4300" s="1"/>
      <c r="AX4300" s="1"/>
    </row>
    <row r="4301" spans="1:50" x14ac:dyDescent="0.3">
      <c r="A4301" s="19">
        <f t="shared" ref="A4301:A4364" si="339">WORKDAY(A4300,1)</f>
        <v>51936</v>
      </c>
      <c r="B4301">
        <f t="shared" ca="1" si="335"/>
        <v>-16.066666666666666</v>
      </c>
      <c r="C4301" t="str">
        <f ca="1">IF(currency="USD",'Future et co'!D4301,IF(currency="EUR",'Future et co'!E4301,IF(currency="GBP",'Future et co'!F4301,FALSE)))</f>
        <v>RFR USD</v>
      </c>
      <c r="D4301" t="str">
        <f t="shared" ca="1" si="336"/>
        <v>RFR USD</v>
      </c>
      <c r="E4301" t="str">
        <f t="shared" ca="1" si="337"/>
        <v>RFR EUR</v>
      </c>
      <c r="F4301" t="str">
        <f t="shared" ca="1" si="338"/>
        <v>RFR GBP</v>
      </c>
      <c r="J4301" s="1"/>
      <c r="N4301" s="1"/>
      <c r="R4301" s="1"/>
      <c r="V4301" s="1"/>
      <c r="AB4301" s="1"/>
      <c r="AF4301" s="1"/>
      <c r="AJ4301" s="1"/>
      <c r="AN4301" s="1"/>
      <c r="AS4301" s="1"/>
      <c r="AX4301" s="1"/>
    </row>
    <row r="4302" spans="1:50" x14ac:dyDescent="0.3">
      <c r="A4302" s="19">
        <f t="shared" si="339"/>
        <v>51937</v>
      </c>
      <c r="B4302">
        <f t="shared" ca="1" si="335"/>
        <v>-16.069444444444443</v>
      </c>
      <c r="C4302" t="str">
        <f ca="1">IF(currency="USD",'Future et co'!D4302,IF(currency="EUR",'Future et co'!E4302,IF(currency="GBP",'Future et co'!F4302,FALSE)))</f>
        <v>RFR USD</v>
      </c>
      <c r="D4302" t="str">
        <f t="shared" ca="1" si="336"/>
        <v>RFR USD</v>
      </c>
      <c r="E4302" t="str">
        <f t="shared" ca="1" si="337"/>
        <v>RFR EUR</v>
      </c>
      <c r="F4302" t="str">
        <f t="shared" ca="1" si="338"/>
        <v>RFR GBP</v>
      </c>
      <c r="J4302" s="1"/>
      <c r="N4302" s="1"/>
      <c r="R4302" s="1"/>
      <c r="V4302" s="1"/>
      <c r="AB4302" s="1"/>
      <c r="AF4302" s="1"/>
      <c r="AJ4302" s="1"/>
      <c r="AN4302" s="1"/>
      <c r="AS4302" s="1"/>
      <c r="AX4302" s="1"/>
    </row>
    <row r="4303" spans="1:50" x14ac:dyDescent="0.3">
      <c r="A4303" s="19">
        <f t="shared" si="339"/>
        <v>51938</v>
      </c>
      <c r="B4303">
        <f t="shared" ca="1" si="335"/>
        <v>-16.072222222222223</v>
      </c>
      <c r="C4303" t="str">
        <f ca="1">IF(currency="USD",'Future et co'!D4303,IF(currency="EUR",'Future et co'!E4303,IF(currency="GBP",'Future et co'!F4303,FALSE)))</f>
        <v>RFR USD</v>
      </c>
      <c r="D4303" t="str">
        <f t="shared" ca="1" si="336"/>
        <v>RFR USD</v>
      </c>
      <c r="E4303" t="str">
        <f t="shared" ca="1" si="337"/>
        <v>RFR EUR</v>
      </c>
      <c r="F4303" t="str">
        <f t="shared" ca="1" si="338"/>
        <v>RFR GBP</v>
      </c>
      <c r="J4303" s="1"/>
      <c r="N4303" s="1"/>
      <c r="R4303" s="1"/>
      <c r="V4303" s="1"/>
      <c r="AB4303" s="1"/>
      <c r="AF4303" s="1"/>
      <c r="AJ4303" s="1"/>
      <c r="AN4303" s="1"/>
      <c r="AS4303" s="1"/>
      <c r="AX4303" s="1"/>
    </row>
    <row r="4304" spans="1:50" x14ac:dyDescent="0.3">
      <c r="A4304" s="19">
        <f t="shared" si="339"/>
        <v>51939</v>
      </c>
      <c r="B4304">
        <f t="shared" ca="1" si="335"/>
        <v>-16.074999999999999</v>
      </c>
      <c r="C4304" t="str">
        <f ca="1">IF(currency="USD",'Future et co'!D4304,IF(currency="EUR",'Future et co'!E4304,IF(currency="GBP",'Future et co'!F4304,FALSE)))</f>
        <v>RFR USD</v>
      </c>
      <c r="D4304" t="str">
        <f t="shared" ca="1" si="336"/>
        <v>RFR USD</v>
      </c>
      <c r="E4304" t="str">
        <f t="shared" ca="1" si="337"/>
        <v>RFR EUR</v>
      </c>
      <c r="F4304" t="str">
        <f t="shared" ca="1" si="338"/>
        <v>RFR GBP</v>
      </c>
      <c r="J4304" s="1"/>
      <c r="N4304" s="1"/>
      <c r="R4304" s="1"/>
      <c r="V4304" s="1"/>
      <c r="AB4304" s="1"/>
      <c r="AF4304" s="1"/>
      <c r="AJ4304" s="1"/>
      <c r="AN4304" s="1"/>
      <c r="AS4304" s="1"/>
      <c r="AX4304" s="1"/>
    </row>
    <row r="4305" spans="1:50" x14ac:dyDescent="0.3">
      <c r="A4305" s="19">
        <f t="shared" si="339"/>
        <v>51942</v>
      </c>
      <c r="B4305">
        <f t="shared" ca="1" si="335"/>
        <v>-16.083333333333332</v>
      </c>
      <c r="C4305" t="str">
        <f ca="1">IF(currency="USD",'Future et co'!D4305,IF(currency="EUR",'Future et co'!E4305,IF(currency="GBP",'Future et co'!F4305,FALSE)))</f>
        <v>RFR USD</v>
      </c>
      <c r="D4305" t="str">
        <f t="shared" ca="1" si="336"/>
        <v>RFR USD</v>
      </c>
      <c r="E4305" t="str">
        <f t="shared" ca="1" si="337"/>
        <v>RFR EUR</v>
      </c>
      <c r="F4305" t="str">
        <f t="shared" ca="1" si="338"/>
        <v>RFR GBP</v>
      </c>
      <c r="J4305" s="1"/>
      <c r="N4305" s="1"/>
      <c r="R4305" s="1"/>
      <c r="V4305" s="1"/>
      <c r="AB4305" s="1"/>
      <c r="AF4305" s="1"/>
      <c r="AJ4305" s="1"/>
      <c r="AN4305" s="1"/>
      <c r="AS4305" s="1"/>
      <c r="AX4305" s="1"/>
    </row>
    <row r="4306" spans="1:50" x14ac:dyDescent="0.3">
      <c r="A4306" s="19">
        <f t="shared" si="339"/>
        <v>51943</v>
      </c>
      <c r="B4306">
        <f t="shared" ca="1" si="335"/>
        <v>-16.086111111111112</v>
      </c>
      <c r="C4306" t="str">
        <f ca="1">IF(currency="USD",'Future et co'!D4306,IF(currency="EUR",'Future et co'!E4306,IF(currency="GBP",'Future et co'!F4306,FALSE)))</f>
        <v>RFR USD</v>
      </c>
      <c r="D4306" t="str">
        <f t="shared" ca="1" si="336"/>
        <v>RFR USD</v>
      </c>
      <c r="E4306" t="str">
        <f t="shared" ca="1" si="337"/>
        <v>RFR EUR</v>
      </c>
      <c r="F4306" t="str">
        <f t="shared" ca="1" si="338"/>
        <v>RFR GBP</v>
      </c>
      <c r="J4306" s="1"/>
      <c r="N4306" s="1"/>
      <c r="R4306" s="1"/>
      <c r="V4306" s="1"/>
      <c r="AB4306" s="1"/>
      <c r="AF4306" s="1"/>
      <c r="AJ4306" s="1"/>
      <c r="AN4306" s="1"/>
      <c r="AS4306" s="1"/>
      <c r="AX4306" s="1"/>
    </row>
    <row r="4307" spans="1:50" x14ac:dyDescent="0.3">
      <c r="A4307" s="19">
        <f t="shared" si="339"/>
        <v>51944</v>
      </c>
      <c r="B4307">
        <f t="shared" ca="1" si="335"/>
        <v>-16.088888888888889</v>
      </c>
      <c r="C4307" t="str">
        <f ca="1">IF(currency="USD",'Future et co'!D4307,IF(currency="EUR",'Future et co'!E4307,IF(currency="GBP",'Future et co'!F4307,FALSE)))</f>
        <v>RFR USD</v>
      </c>
      <c r="D4307" t="str">
        <f t="shared" ca="1" si="336"/>
        <v>RFR USD</v>
      </c>
      <c r="E4307" t="str">
        <f t="shared" ca="1" si="337"/>
        <v>RFR EUR</v>
      </c>
      <c r="F4307" t="str">
        <f t="shared" ca="1" si="338"/>
        <v>RFR GBP</v>
      </c>
      <c r="J4307" s="1"/>
      <c r="N4307" s="1"/>
      <c r="R4307" s="1"/>
      <c r="V4307" s="1"/>
      <c r="AB4307" s="1"/>
      <c r="AF4307" s="1"/>
      <c r="AJ4307" s="1"/>
      <c r="AN4307" s="1"/>
      <c r="AS4307" s="1"/>
      <c r="AX4307" s="1"/>
    </row>
    <row r="4308" spans="1:50" x14ac:dyDescent="0.3">
      <c r="A4308" s="19">
        <f t="shared" si="339"/>
        <v>51945</v>
      </c>
      <c r="B4308">
        <f t="shared" ca="1" si="335"/>
        <v>-16.091666666666665</v>
      </c>
      <c r="C4308" t="str">
        <f ca="1">IF(currency="USD",'Future et co'!D4308,IF(currency="EUR",'Future et co'!E4308,IF(currency="GBP",'Future et co'!F4308,FALSE)))</f>
        <v>RFR USD</v>
      </c>
      <c r="D4308" t="str">
        <f t="shared" ca="1" si="336"/>
        <v>RFR USD</v>
      </c>
      <c r="E4308" t="str">
        <f t="shared" ca="1" si="337"/>
        <v>RFR EUR</v>
      </c>
      <c r="F4308" t="str">
        <f t="shared" ca="1" si="338"/>
        <v>RFR GBP</v>
      </c>
      <c r="J4308" s="1"/>
      <c r="N4308" s="1"/>
      <c r="R4308" s="1"/>
      <c r="V4308" s="1"/>
      <c r="AB4308" s="1"/>
      <c r="AF4308" s="1"/>
      <c r="AJ4308" s="1"/>
      <c r="AN4308" s="1"/>
      <c r="AS4308" s="1"/>
      <c r="AX4308" s="1"/>
    </row>
    <row r="4309" spans="1:50" x14ac:dyDescent="0.3">
      <c r="A4309" s="19">
        <f t="shared" si="339"/>
        <v>51946</v>
      </c>
      <c r="B4309">
        <f t="shared" ca="1" si="335"/>
        <v>-16.094444444444445</v>
      </c>
      <c r="C4309" t="str">
        <f ca="1">IF(currency="USD",'Future et co'!D4309,IF(currency="EUR",'Future et co'!E4309,IF(currency="GBP",'Future et co'!F4309,FALSE)))</f>
        <v>RFR USD</v>
      </c>
      <c r="D4309" t="str">
        <f t="shared" ca="1" si="336"/>
        <v>RFR USD</v>
      </c>
      <c r="E4309" t="str">
        <f t="shared" ca="1" si="337"/>
        <v>RFR EUR</v>
      </c>
      <c r="F4309" t="str">
        <f t="shared" ca="1" si="338"/>
        <v>RFR GBP</v>
      </c>
      <c r="J4309" s="1"/>
      <c r="N4309" s="1"/>
      <c r="R4309" s="1"/>
      <c r="V4309" s="1"/>
      <c r="AB4309" s="1"/>
      <c r="AF4309" s="1"/>
      <c r="AJ4309" s="1"/>
      <c r="AN4309" s="1"/>
      <c r="AS4309" s="1"/>
      <c r="AX4309" s="1"/>
    </row>
    <row r="4310" spans="1:50" x14ac:dyDescent="0.3">
      <c r="A4310" s="19">
        <f t="shared" si="339"/>
        <v>51949</v>
      </c>
      <c r="B4310">
        <f t="shared" ca="1" si="335"/>
        <v>-16.102777777777778</v>
      </c>
      <c r="C4310" t="str">
        <f ca="1">IF(currency="USD",'Future et co'!D4310,IF(currency="EUR",'Future et co'!E4310,IF(currency="GBP",'Future et co'!F4310,FALSE)))</f>
        <v>RFR USD</v>
      </c>
      <c r="D4310" t="str">
        <f t="shared" ca="1" si="336"/>
        <v>RFR USD</v>
      </c>
      <c r="E4310" t="str">
        <f t="shared" ca="1" si="337"/>
        <v>RFR EUR</v>
      </c>
      <c r="F4310" t="str">
        <f t="shared" ca="1" si="338"/>
        <v>RFR GBP</v>
      </c>
      <c r="J4310" s="1"/>
      <c r="N4310" s="1"/>
      <c r="R4310" s="1"/>
      <c r="V4310" s="1"/>
      <c r="AB4310" s="1"/>
      <c r="AF4310" s="1"/>
      <c r="AJ4310" s="1"/>
      <c r="AN4310" s="1"/>
      <c r="AS4310" s="1"/>
      <c r="AX4310" s="1"/>
    </row>
    <row r="4311" spans="1:50" x14ac:dyDescent="0.3">
      <c r="A4311" s="19">
        <f t="shared" si="339"/>
        <v>51950</v>
      </c>
      <c r="B4311">
        <f t="shared" ca="1" si="335"/>
        <v>-16.105555555555554</v>
      </c>
      <c r="C4311" t="str">
        <f ca="1">IF(currency="USD",'Future et co'!D4311,IF(currency="EUR",'Future et co'!E4311,IF(currency="GBP",'Future et co'!F4311,FALSE)))</f>
        <v>RFR USD</v>
      </c>
      <c r="D4311" t="str">
        <f t="shared" ca="1" si="336"/>
        <v>RFR USD</v>
      </c>
      <c r="E4311" t="str">
        <f t="shared" ca="1" si="337"/>
        <v>RFR EUR</v>
      </c>
      <c r="F4311" t="str">
        <f t="shared" ca="1" si="338"/>
        <v>RFR GBP</v>
      </c>
      <c r="J4311" s="1"/>
      <c r="N4311" s="1"/>
      <c r="R4311" s="1"/>
      <c r="V4311" s="1"/>
      <c r="AB4311" s="1"/>
      <c r="AF4311" s="1"/>
      <c r="AJ4311" s="1"/>
      <c r="AN4311" s="1"/>
      <c r="AS4311" s="1"/>
      <c r="AX4311" s="1"/>
    </row>
    <row r="4312" spans="1:50" x14ac:dyDescent="0.3">
      <c r="A4312" s="19">
        <f t="shared" si="339"/>
        <v>51951</v>
      </c>
      <c r="B4312">
        <f t="shared" ca="1" si="335"/>
        <v>-16.108333333333334</v>
      </c>
      <c r="C4312" t="str">
        <f ca="1">IF(currency="USD",'Future et co'!D4312,IF(currency="EUR",'Future et co'!E4312,IF(currency="GBP",'Future et co'!F4312,FALSE)))</f>
        <v>RFR USD</v>
      </c>
      <c r="D4312" t="str">
        <f t="shared" ca="1" si="336"/>
        <v>RFR USD</v>
      </c>
      <c r="E4312" t="str">
        <f t="shared" ca="1" si="337"/>
        <v>RFR EUR</v>
      </c>
      <c r="F4312" t="str">
        <f t="shared" ca="1" si="338"/>
        <v>RFR GBP</v>
      </c>
      <c r="J4312" s="1"/>
      <c r="N4312" s="1"/>
      <c r="R4312" s="1"/>
      <c r="V4312" s="1"/>
      <c r="AB4312" s="1"/>
      <c r="AF4312" s="1"/>
      <c r="AJ4312" s="1"/>
      <c r="AN4312" s="1"/>
      <c r="AS4312" s="1"/>
      <c r="AX4312" s="1"/>
    </row>
    <row r="4313" spans="1:50" x14ac:dyDescent="0.3">
      <c r="A4313" s="19">
        <f t="shared" si="339"/>
        <v>51952</v>
      </c>
      <c r="B4313">
        <f t="shared" ca="1" si="335"/>
        <v>-16.111111111111111</v>
      </c>
      <c r="C4313" t="str">
        <f ca="1">IF(currency="USD",'Future et co'!D4313,IF(currency="EUR",'Future et co'!E4313,IF(currency="GBP",'Future et co'!F4313,FALSE)))</f>
        <v>RFR USD</v>
      </c>
      <c r="D4313" t="str">
        <f t="shared" ca="1" si="336"/>
        <v>RFR USD</v>
      </c>
      <c r="E4313" t="str">
        <f t="shared" ca="1" si="337"/>
        <v>RFR EUR</v>
      </c>
      <c r="F4313" t="str">
        <f t="shared" ca="1" si="338"/>
        <v>RFR GBP</v>
      </c>
      <c r="J4313" s="1"/>
      <c r="N4313" s="1"/>
      <c r="R4313" s="1"/>
      <c r="V4313" s="1"/>
      <c r="AB4313" s="1"/>
      <c r="AF4313" s="1"/>
      <c r="AJ4313" s="1"/>
      <c r="AN4313" s="1"/>
      <c r="AS4313" s="1"/>
      <c r="AX4313" s="1"/>
    </row>
    <row r="4314" spans="1:50" x14ac:dyDescent="0.3">
      <c r="A4314" s="19">
        <f t="shared" si="339"/>
        <v>51953</v>
      </c>
      <c r="B4314">
        <f t="shared" ca="1" si="335"/>
        <v>-16.113888888888887</v>
      </c>
      <c r="C4314" t="str">
        <f ca="1">IF(currency="USD",'Future et co'!D4314,IF(currency="EUR",'Future et co'!E4314,IF(currency="GBP",'Future et co'!F4314,FALSE)))</f>
        <v>RFR USD</v>
      </c>
      <c r="D4314" t="str">
        <f t="shared" ca="1" si="336"/>
        <v>RFR USD</v>
      </c>
      <c r="E4314" t="str">
        <f t="shared" ca="1" si="337"/>
        <v>RFR EUR</v>
      </c>
      <c r="F4314" t="str">
        <f t="shared" ca="1" si="338"/>
        <v>RFR GBP</v>
      </c>
      <c r="J4314" s="1"/>
      <c r="N4314" s="1"/>
      <c r="R4314" s="1"/>
      <c r="V4314" s="1"/>
      <c r="AB4314" s="1"/>
      <c r="AF4314" s="1"/>
      <c r="AJ4314" s="1"/>
      <c r="AN4314" s="1"/>
      <c r="AS4314" s="1"/>
      <c r="AX4314" s="1"/>
    </row>
    <row r="4315" spans="1:50" x14ac:dyDescent="0.3">
      <c r="A4315" s="19">
        <f t="shared" si="339"/>
        <v>51956</v>
      </c>
      <c r="B4315">
        <f t="shared" ca="1" si="335"/>
        <v>-16.122222222222224</v>
      </c>
      <c r="C4315" t="str">
        <f ca="1">IF(currency="USD",'Future et co'!D4315,IF(currency="EUR",'Future et co'!E4315,IF(currency="GBP",'Future et co'!F4315,FALSE)))</f>
        <v>RFR USD</v>
      </c>
      <c r="D4315" t="str">
        <f t="shared" ca="1" si="336"/>
        <v>RFR USD</v>
      </c>
      <c r="E4315" t="str">
        <f t="shared" ca="1" si="337"/>
        <v>RFR EUR</v>
      </c>
      <c r="F4315" t="str">
        <f t="shared" ca="1" si="338"/>
        <v>RFR GBP</v>
      </c>
      <c r="J4315" s="1"/>
      <c r="N4315" s="1"/>
      <c r="R4315" s="1"/>
      <c r="V4315" s="1"/>
      <c r="AB4315" s="1"/>
      <c r="AF4315" s="1"/>
      <c r="AJ4315" s="1"/>
      <c r="AN4315" s="1"/>
      <c r="AS4315" s="1"/>
      <c r="AX4315" s="1"/>
    </row>
    <row r="4316" spans="1:50" x14ac:dyDescent="0.3">
      <c r="A4316" s="19">
        <f t="shared" si="339"/>
        <v>51957</v>
      </c>
      <c r="B4316">
        <f t="shared" ca="1" si="335"/>
        <v>-16.125</v>
      </c>
      <c r="C4316" t="str">
        <f ca="1">IF(currency="USD",'Future et co'!D4316,IF(currency="EUR",'Future et co'!E4316,IF(currency="GBP",'Future et co'!F4316,FALSE)))</f>
        <v>RFR USD</v>
      </c>
      <c r="D4316" t="str">
        <f t="shared" ca="1" si="336"/>
        <v>RFR USD</v>
      </c>
      <c r="E4316" t="str">
        <f t="shared" ca="1" si="337"/>
        <v>RFR EUR</v>
      </c>
      <c r="F4316" t="str">
        <f t="shared" ca="1" si="338"/>
        <v>RFR GBP</v>
      </c>
      <c r="J4316" s="1"/>
      <c r="N4316" s="1"/>
      <c r="R4316" s="1"/>
      <c r="V4316" s="1"/>
      <c r="AB4316" s="1"/>
      <c r="AF4316" s="1"/>
      <c r="AJ4316" s="1"/>
      <c r="AN4316" s="1"/>
      <c r="AS4316" s="1"/>
      <c r="AX4316" s="1"/>
    </row>
    <row r="4317" spans="1:50" x14ac:dyDescent="0.3">
      <c r="A4317" s="19">
        <f t="shared" si="339"/>
        <v>51958</v>
      </c>
      <c r="B4317">
        <f t="shared" ca="1" si="335"/>
        <v>-16.127777777777776</v>
      </c>
      <c r="C4317" t="str">
        <f ca="1">IF(currency="USD",'Future et co'!D4317,IF(currency="EUR",'Future et co'!E4317,IF(currency="GBP",'Future et co'!F4317,FALSE)))</f>
        <v>RFR USD</v>
      </c>
      <c r="D4317" t="str">
        <f t="shared" ca="1" si="336"/>
        <v>RFR USD</v>
      </c>
      <c r="E4317" t="str">
        <f t="shared" ca="1" si="337"/>
        <v>RFR EUR</v>
      </c>
      <c r="F4317" t="str">
        <f t="shared" ca="1" si="338"/>
        <v>RFR GBP</v>
      </c>
      <c r="J4317" s="1"/>
      <c r="N4317" s="1"/>
      <c r="R4317" s="1"/>
      <c r="V4317" s="1"/>
      <c r="AB4317" s="1"/>
      <c r="AF4317" s="1"/>
      <c r="AJ4317" s="1"/>
      <c r="AN4317" s="1"/>
      <c r="AS4317" s="1"/>
      <c r="AX4317" s="1"/>
    </row>
    <row r="4318" spans="1:50" x14ac:dyDescent="0.3">
      <c r="A4318" s="19">
        <f t="shared" si="339"/>
        <v>51959</v>
      </c>
      <c r="B4318">
        <f t="shared" ca="1" si="335"/>
        <v>-16.130555555555556</v>
      </c>
      <c r="C4318" t="str">
        <f ca="1">IF(currency="USD",'Future et co'!D4318,IF(currency="EUR",'Future et co'!E4318,IF(currency="GBP",'Future et co'!F4318,FALSE)))</f>
        <v>RFR USD</v>
      </c>
      <c r="D4318" t="str">
        <f t="shared" ca="1" si="336"/>
        <v>RFR USD</v>
      </c>
      <c r="E4318" t="str">
        <f t="shared" ca="1" si="337"/>
        <v>RFR EUR</v>
      </c>
      <c r="F4318" t="str">
        <f t="shared" ca="1" si="338"/>
        <v>RFR GBP</v>
      </c>
      <c r="J4318" s="1"/>
      <c r="N4318" s="1"/>
      <c r="R4318" s="1"/>
      <c r="V4318" s="1"/>
      <c r="AB4318" s="1"/>
      <c r="AF4318" s="1"/>
      <c r="AJ4318" s="1"/>
      <c r="AN4318" s="1"/>
      <c r="AS4318" s="1"/>
      <c r="AX4318" s="1"/>
    </row>
    <row r="4319" spans="1:50" x14ac:dyDescent="0.3">
      <c r="A4319" s="19">
        <f t="shared" si="339"/>
        <v>51960</v>
      </c>
      <c r="B4319">
        <f t="shared" ca="1" si="335"/>
        <v>-16.133333333333333</v>
      </c>
      <c r="C4319" t="str">
        <f ca="1">IF(currency="USD",'Future et co'!D4319,IF(currency="EUR",'Future et co'!E4319,IF(currency="GBP",'Future et co'!F4319,FALSE)))</f>
        <v>RFR USD</v>
      </c>
      <c r="D4319" t="str">
        <f t="shared" ca="1" si="336"/>
        <v>RFR USD</v>
      </c>
      <c r="E4319" t="str">
        <f t="shared" ca="1" si="337"/>
        <v>RFR EUR</v>
      </c>
      <c r="F4319" t="str">
        <f t="shared" ca="1" si="338"/>
        <v>RFR GBP</v>
      </c>
      <c r="J4319" s="1"/>
      <c r="N4319" s="1"/>
      <c r="R4319" s="1"/>
      <c r="V4319" s="1"/>
      <c r="AB4319" s="1"/>
      <c r="AF4319" s="1"/>
      <c r="AJ4319" s="1"/>
      <c r="AN4319" s="1"/>
      <c r="AS4319" s="1"/>
      <c r="AX4319" s="1"/>
    </row>
    <row r="4320" spans="1:50" x14ac:dyDescent="0.3">
      <c r="A4320" s="19">
        <f t="shared" si="339"/>
        <v>51963</v>
      </c>
      <c r="B4320">
        <f t="shared" ca="1" si="335"/>
        <v>-16.141666666666666</v>
      </c>
      <c r="C4320" t="str">
        <f ca="1">IF(currency="USD",'Future et co'!D4320,IF(currency="EUR",'Future et co'!E4320,IF(currency="GBP",'Future et co'!F4320,FALSE)))</f>
        <v>RFR USD</v>
      </c>
      <c r="D4320" t="str">
        <f t="shared" ca="1" si="336"/>
        <v>RFR USD</v>
      </c>
      <c r="E4320" t="str">
        <f t="shared" ca="1" si="337"/>
        <v>RFR EUR</v>
      </c>
      <c r="F4320" t="str">
        <f t="shared" ca="1" si="338"/>
        <v>RFR GBP</v>
      </c>
      <c r="J4320" s="1"/>
      <c r="N4320" s="1"/>
      <c r="R4320" s="1"/>
      <c r="V4320" s="1"/>
      <c r="AB4320" s="1"/>
      <c r="AF4320" s="1"/>
      <c r="AJ4320" s="1"/>
      <c r="AN4320" s="1"/>
      <c r="AS4320" s="1"/>
      <c r="AX4320" s="1"/>
    </row>
    <row r="4321" spans="1:50" x14ac:dyDescent="0.3">
      <c r="A4321" s="19">
        <f t="shared" si="339"/>
        <v>51964</v>
      </c>
      <c r="B4321">
        <f t="shared" ca="1" si="335"/>
        <v>-16.144444444444446</v>
      </c>
      <c r="C4321" t="str">
        <f ca="1">IF(currency="USD",'Future et co'!D4321,IF(currency="EUR",'Future et co'!E4321,IF(currency="GBP",'Future et co'!F4321,FALSE)))</f>
        <v>RFR USD</v>
      </c>
      <c r="D4321" t="str">
        <f t="shared" ca="1" si="336"/>
        <v>RFR USD</v>
      </c>
      <c r="E4321" t="str">
        <f t="shared" ca="1" si="337"/>
        <v>RFR EUR</v>
      </c>
      <c r="F4321" t="str">
        <f t="shared" ca="1" si="338"/>
        <v>RFR GBP</v>
      </c>
      <c r="J4321" s="1"/>
      <c r="N4321" s="1"/>
      <c r="R4321" s="1"/>
      <c r="V4321" s="1"/>
      <c r="AB4321" s="1"/>
      <c r="AF4321" s="1"/>
      <c r="AJ4321" s="1"/>
      <c r="AN4321" s="1"/>
      <c r="AS4321" s="1"/>
      <c r="AX4321" s="1"/>
    </row>
    <row r="4322" spans="1:50" x14ac:dyDescent="0.3">
      <c r="A4322" s="19">
        <f t="shared" si="339"/>
        <v>51965</v>
      </c>
      <c r="B4322">
        <f t="shared" ca="1" si="335"/>
        <v>-16.147222222222222</v>
      </c>
      <c r="C4322" t="str">
        <f ca="1">IF(currency="USD",'Future et co'!D4322,IF(currency="EUR",'Future et co'!E4322,IF(currency="GBP",'Future et co'!F4322,FALSE)))</f>
        <v>RFR USD</v>
      </c>
      <c r="D4322" t="str">
        <f t="shared" ca="1" si="336"/>
        <v>RFR USD</v>
      </c>
      <c r="E4322" t="str">
        <f t="shared" ca="1" si="337"/>
        <v>RFR EUR</v>
      </c>
      <c r="F4322" t="str">
        <f t="shared" ca="1" si="338"/>
        <v>RFR GBP</v>
      </c>
      <c r="J4322" s="1"/>
      <c r="N4322" s="1"/>
      <c r="R4322" s="1"/>
      <c r="V4322" s="1"/>
      <c r="AB4322" s="1"/>
      <c r="AF4322" s="1"/>
      <c r="AJ4322" s="1"/>
      <c r="AN4322" s="1"/>
      <c r="AS4322" s="1"/>
      <c r="AX4322" s="1"/>
    </row>
    <row r="4323" spans="1:50" x14ac:dyDescent="0.3">
      <c r="A4323" s="19">
        <f t="shared" si="339"/>
        <v>51966</v>
      </c>
      <c r="B4323">
        <f t="shared" ca="1" si="335"/>
        <v>-16.149999999999999</v>
      </c>
      <c r="C4323" t="str">
        <f ca="1">IF(currency="USD",'Future et co'!D4323,IF(currency="EUR",'Future et co'!E4323,IF(currency="GBP",'Future et co'!F4323,FALSE)))</f>
        <v>RFR USD</v>
      </c>
      <c r="D4323" t="str">
        <f t="shared" ca="1" si="336"/>
        <v>RFR USD</v>
      </c>
      <c r="E4323" t="str">
        <f t="shared" ca="1" si="337"/>
        <v>RFR EUR</v>
      </c>
      <c r="F4323" t="str">
        <f t="shared" ca="1" si="338"/>
        <v>RFR GBP</v>
      </c>
      <c r="J4323" s="1"/>
      <c r="N4323" s="1"/>
      <c r="R4323" s="1"/>
      <c r="V4323" s="1"/>
      <c r="AB4323" s="1"/>
      <c r="AF4323" s="1"/>
      <c r="AJ4323" s="1"/>
      <c r="AN4323" s="1"/>
      <c r="AS4323" s="1"/>
      <c r="AX4323" s="1"/>
    </row>
    <row r="4324" spans="1:50" x14ac:dyDescent="0.3">
      <c r="A4324" s="19">
        <f t="shared" si="339"/>
        <v>51967</v>
      </c>
      <c r="B4324">
        <f t="shared" ca="1" si="335"/>
        <v>-16.152777777777779</v>
      </c>
      <c r="C4324" t="str">
        <f ca="1">IF(currency="USD",'Future et co'!D4324,IF(currency="EUR",'Future et co'!E4324,IF(currency="GBP",'Future et co'!F4324,FALSE)))</f>
        <v>RFR USD</v>
      </c>
      <c r="D4324" t="str">
        <f t="shared" ca="1" si="336"/>
        <v>RFR USD</v>
      </c>
      <c r="E4324" t="str">
        <f t="shared" ca="1" si="337"/>
        <v>RFR EUR</v>
      </c>
      <c r="F4324" t="str">
        <f t="shared" ca="1" si="338"/>
        <v>RFR GBP</v>
      </c>
      <c r="J4324" s="1"/>
      <c r="N4324" s="1"/>
      <c r="R4324" s="1"/>
      <c r="V4324" s="1"/>
      <c r="AB4324" s="1"/>
      <c r="AF4324" s="1"/>
      <c r="AJ4324" s="1"/>
      <c r="AN4324" s="1"/>
      <c r="AS4324" s="1"/>
      <c r="AX4324" s="1"/>
    </row>
    <row r="4325" spans="1:50" x14ac:dyDescent="0.3">
      <c r="A4325" s="19">
        <f t="shared" si="339"/>
        <v>51970</v>
      </c>
      <c r="B4325">
        <f t="shared" ca="1" si="335"/>
        <v>-16.161111111111111</v>
      </c>
      <c r="C4325" t="str">
        <f ca="1">IF(currency="USD",'Future et co'!D4325,IF(currency="EUR",'Future et co'!E4325,IF(currency="GBP",'Future et co'!F4325,FALSE)))</f>
        <v>RFR USD</v>
      </c>
      <c r="D4325" t="str">
        <f t="shared" ca="1" si="336"/>
        <v>RFR USD</v>
      </c>
      <c r="E4325" t="str">
        <f t="shared" ca="1" si="337"/>
        <v>RFR EUR</v>
      </c>
      <c r="F4325" t="str">
        <f t="shared" ca="1" si="338"/>
        <v>RFR GBP</v>
      </c>
      <c r="J4325" s="1"/>
      <c r="N4325" s="1"/>
      <c r="R4325" s="1"/>
      <c r="V4325" s="1"/>
      <c r="AB4325" s="1"/>
      <c r="AF4325" s="1"/>
      <c r="AJ4325" s="1"/>
      <c r="AN4325" s="1"/>
      <c r="AS4325" s="1"/>
      <c r="AX4325" s="1"/>
    </row>
    <row r="4326" spans="1:50" x14ac:dyDescent="0.3">
      <c r="A4326" s="19">
        <f t="shared" si="339"/>
        <v>51971</v>
      </c>
      <c r="B4326">
        <f t="shared" ca="1" si="335"/>
        <v>-16.163888888888888</v>
      </c>
      <c r="C4326" t="str">
        <f ca="1">IF(currency="USD",'Future et co'!D4326,IF(currency="EUR",'Future et co'!E4326,IF(currency="GBP",'Future et co'!F4326,FALSE)))</f>
        <v>RFR USD</v>
      </c>
      <c r="D4326" t="str">
        <f t="shared" ca="1" si="336"/>
        <v>RFR USD</v>
      </c>
      <c r="E4326" t="str">
        <f t="shared" ca="1" si="337"/>
        <v>RFR EUR</v>
      </c>
      <c r="F4326" t="str">
        <f t="shared" ca="1" si="338"/>
        <v>RFR GBP</v>
      </c>
      <c r="J4326" s="1"/>
      <c r="N4326" s="1"/>
      <c r="R4326" s="1"/>
      <c r="V4326" s="1"/>
      <c r="AB4326" s="1"/>
      <c r="AF4326" s="1"/>
      <c r="AJ4326" s="1"/>
      <c r="AN4326" s="1"/>
      <c r="AS4326" s="1"/>
      <c r="AX4326" s="1"/>
    </row>
    <row r="4327" spans="1:50" x14ac:dyDescent="0.3">
      <c r="A4327" s="19">
        <f t="shared" si="339"/>
        <v>51972</v>
      </c>
      <c r="B4327">
        <f t="shared" ca="1" si="335"/>
        <v>-16.166666666666668</v>
      </c>
      <c r="C4327" t="str">
        <f ca="1">IF(currency="USD",'Future et co'!D4327,IF(currency="EUR",'Future et co'!E4327,IF(currency="GBP",'Future et co'!F4327,FALSE)))</f>
        <v>RFR USD</v>
      </c>
      <c r="D4327" t="str">
        <f t="shared" ca="1" si="336"/>
        <v>RFR USD</v>
      </c>
      <c r="E4327" t="str">
        <f t="shared" ca="1" si="337"/>
        <v>RFR EUR</v>
      </c>
      <c r="F4327" t="str">
        <f t="shared" ca="1" si="338"/>
        <v>RFR GBP</v>
      </c>
      <c r="J4327" s="1"/>
      <c r="N4327" s="1"/>
      <c r="R4327" s="1"/>
      <c r="V4327" s="1"/>
      <c r="AB4327" s="1"/>
      <c r="AF4327" s="1"/>
      <c r="AJ4327" s="1"/>
      <c r="AN4327" s="1"/>
      <c r="AS4327" s="1"/>
      <c r="AX4327" s="1"/>
    </row>
    <row r="4328" spans="1:50" x14ac:dyDescent="0.3">
      <c r="A4328" s="19">
        <f t="shared" si="339"/>
        <v>51973</v>
      </c>
      <c r="B4328">
        <f t="shared" ca="1" si="335"/>
        <v>-16.169444444444444</v>
      </c>
      <c r="C4328" t="str">
        <f ca="1">IF(currency="USD",'Future et co'!D4328,IF(currency="EUR",'Future et co'!E4328,IF(currency="GBP",'Future et co'!F4328,FALSE)))</f>
        <v>RFR USD</v>
      </c>
      <c r="D4328" t="str">
        <f t="shared" ca="1" si="336"/>
        <v>RFR USD</v>
      </c>
      <c r="E4328" t="str">
        <f t="shared" ca="1" si="337"/>
        <v>RFR EUR</v>
      </c>
      <c r="F4328" t="str">
        <f t="shared" ca="1" si="338"/>
        <v>RFR GBP</v>
      </c>
      <c r="J4328" s="1"/>
      <c r="N4328" s="1"/>
      <c r="R4328" s="1"/>
      <c r="V4328" s="1"/>
      <c r="AB4328" s="1"/>
      <c r="AF4328" s="1"/>
      <c r="AJ4328" s="1"/>
      <c r="AN4328" s="1"/>
      <c r="AS4328" s="1"/>
      <c r="AX4328" s="1"/>
    </row>
    <row r="4329" spans="1:50" x14ac:dyDescent="0.3">
      <c r="A4329" s="19">
        <f t="shared" si="339"/>
        <v>51974</v>
      </c>
      <c r="B4329">
        <f t="shared" ca="1" si="335"/>
        <v>-16.172222222222221</v>
      </c>
      <c r="C4329" t="str">
        <f ca="1">IF(currency="USD",'Future et co'!D4329,IF(currency="EUR",'Future et co'!E4329,IF(currency="GBP",'Future et co'!F4329,FALSE)))</f>
        <v>RFR USD</v>
      </c>
      <c r="D4329" t="str">
        <f t="shared" ca="1" si="336"/>
        <v>RFR USD</v>
      </c>
      <c r="E4329" t="str">
        <f t="shared" ca="1" si="337"/>
        <v>RFR EUR</v>
      </c>
      <c r="F4329" t="str">
        <f t="shared" ca="1" si="338"/>
        <v>RFR GBP</v>
      </c>
      <c r="J4329" s="1"/>
      <c r="N4329" s="1"/>
      <c r="R4329" s="1"/>
      <c r="V4329" s="1"/>
      <c r="AB4329" s="1"/>
      <c r="AF4329" s="1"/>
      <c r="AJ4329" s="1"/>
      <c r="AN4329" s="1"/>
      <c r="AS4329" s="1"/>
      <c r="AX4329" s="1"/>
    </row>
    <row r="4330" spans="1:50" x14ac:dyDescent="0.3">
      <c r="A4330" s="19">
        <f t="shared" si="339"/>
        <v>51977</v>
      </c>
      <c r="B4330">
        <f t="shared" ca="1" si="335"/>
        <v>-16.180555555555557</v>
      </c>
      <c r="C4330" t="str">
        <f ca="1">IF(currency="USD",'Future et co'!D4330,IF(currency="EUR",'Future et co'!E4330,IF(currency="GBP",'Future et co'!F4330,FALSE)))</f>
        <v>RFR USD</v>
      </c>
      <c r="D4330" t="str">
        <f t="shared" ca="1" si="336"/>
        <v>RFR USD</v>
      </c>
      <c r="E4330" t="str">
        <f t="shared" ca="1" si="337"/>
        <v>RFR EUR</v>
      </c>
      <c r="F4330" t="str">
        <f t="shared" ca="1" si="338"/>
        <v>RFR GBP</v>
      </c>
      <c r="J4330" s="1"/>
      <c r="N4330" s="1"/>
      <c r="R4330" s="1"/>
      <c r="V4330" s="1"/>
      <c r="AB4330" s="1"/>
      <c r="AF4330" s="1"/>
      <c r="AJ4330" s="1"/>
      <c r="AN4330" s="1"/>
      <c r="AS4330" s="1"/>
      <c r="AX4330" s="1"/>
    </row>
    <row r="4331" spans="1:50" x14ac:dyDescent="0.3">
      <c r="A4331" s="19">
        <f t="shared" si="339"/>
        <v>51978</v>
      </c>
      <c r="B4331">
        <f t="shared" ca="1" si="335"/>
        <v>-16.183333333333334</v>
      </c>
      <c r="C4331" t="str">
        <f ca="1">IF(currency="USD",'Future et co'!D4331,IF(currency="EUR",'Future et co'!E4331,IF(currency="GBP",'Future et co'!F4331,FALSE)))</f>
        <v>RFR USD</v>
      </c>
      <c r="D4331" t="str">
        <f t="shared" ca="1" si="336"/>
        <v>RFR USD</v>
      </c>
      <c r="E4331" t="str">
        <f t="shared" ca="1" si="337"/>
        <v>RFR EUR</v>
      </c>
      <c r="F4331" t="str">
        <f t="shared" ca="1" si="338"/>
        <v>RFR GBP</v>
      </c>
      <c r="J4331" s="1"/>
      <c r="N4331" s="1"/>
      <c r="R4331" s="1"/>
      <c r="V4331" s="1"/>
      <c r="AB4331" s="1"/>
      <c r="AF4331" s="1"/>
      <c r="AJ4331" s="1"/>
      <c r="AN4331" s="1"/>
      <c r="AS4331" s="1"/>
      <c r="AX4331" s="1"/>
    </row>
    <row r="4332" spans="1:50" x14ac:dyDescent="0.3">
      <c r="A4332" s="19">
        <f t="shared" si="339"/>
        <v>51979</v>
      </c>
      <c r="B4332">
        <f t="shared" ca="1" si="335"/>
        <v>-16.18611111111111</v>
      </c>
      <c r="C4332" t="str">
        <f ca="1">IF(currency="USD",'Future et co'!D4332,IF(currency="EUR",'Future et co'!E4332,IF(currency="GBP",'Future et co'!F4332,FALSE)))</f>
        <v>RFR USD</v>
      </c>
      <c r="D4332" t="str">
        <f t="shared" ca="1" si="336"/>
        <v>RFR USD</v>
      </c>
      <c r="E4332" t="str">
        <f t="shared" ca="1" si="337"/>
        <v>RFR EUR</v>
      </c>
      <c r="F4332" t="str">
        <f t="shared" ca="1" si="338"/>
        <v>RFR GBP</v>
      </c>
      <c r="J4332" s="1"/>
      <c r="N4332" s="1"/>
      <c r="R4332" s="1"/>
      <c r="V4332" s="1"/>
      <c r="AB4332" s="1"/>
      <c r="AF4332" s="1"/>
      <c r="AJ4332" s="1"/>
      <c r="AN4332" s="1"/>
      <c r="AS4332" s="1"/>
      <c r="AX4332" s="1"/>
    </row>
    <row r="4333" spans="1:50" x14ac:dyDescent="0.3">
      <c r="A4333" s="19">
        <f t="shared" si="339"/>
        <v>51980</v>
      </c>
      <c r="B4333">
        <f t="shared" ca="1" si="335"/>
        <v>-16.18888888888889</v>
      </c>
      <c r="C4333" t="str">
        <f ca="1">IF(currency="USD",'Future et co'!D4333,IF(currency="EUR",'Future et co'!E4333,IF(currency="GBP",'Future et co'!F4333,FALSE)))</f>
        <v>RFR USD</v>
      </c>
      <c r="D4333" t="str">
        <f t="shared" ca="1" si="336"/>
        <v>RFR USD</v>
      </c>
      <c r="E4333" t="str">
        <f t="shared" ca="1" si="337"/>
        <v>RFR EUR</v>
      </c>
      <c r="F4333" t="str">
        <f t="shared" ca="1" si="338"/>
        <v>RFR GBP</v>
      </c>
      <c r="J4333" s="1"/>
      <c r="N4333" s="1"/>
      <c r="R4333" s="1"/>
      <c r="V4333" s="1"/>
      <c r="AB4333" s="1"/>
      <c r="AF4333" s="1"/>
      <c r="AJ4333" s="1"/>
      <c r="AN4333" s="1"/>
      <c r="AS4333" s="1"/>
      <c r="AX4333" s="1"/>
    </row>
    <row r="4334" spans="1:50" x14ac:dyDescent="0.3">
      <c r="A4334" s="19">
        <f t="shared" si="339"/>
        <v>51981</v>
      </c>
      <c r="B4334">
        <f t="shared" ca="1" si="335"/>
        <v>-16.191666666666666</v>
      </c>
      <c r="C4334" t="str">
        <f ca="1">IF(currency="USD",'Future et co'!D4334,IF(currency="EUR",'Future et co'!E4334,IF(currency="GBP",'Future et co'!F4334,FALSE)))</f>
        <v>RFR USD</v>
      </c>
      <c r="D4334" t="str">
        <f t="shared" ca="1" si="336"/>
        <v>RFR USD</v>
      </c>
      <c r="E4334" t="str">
        <f t="shared" ca="1" si="337"/>
        <v>RFR EUR</v>
      </c>
      <c r="F4334" t="str">
        <f t="shared" ca="1" si="338"/>
        <v>RFR GBP</v>
      </c>
      <c r="J4334" s="1"/>
      <c r="N4334" s="1"/>
      <c r="R4334" s="1"/>
      <c r="V4334" s="1"/>
      <c r="AB4334" s="1"/>
      <c r="AF4334" s="1"/>
      <c r="AJ4334" s="1"/>
      <c r="AN4334" s="1"/>
      <c r="AS4334" s="1"/>
      <c r="AX4334" s="1"/>
    </row>
    <row r="4335" spans="1:50" x14ac:dyDescent="0.3">
      <c r="A4335" s="19">
        <f t="shared" si="339"/>
        <v>51984</v>
      </c>
      <c r="B4335">
        <f t="shared" ca="1" si="335"/>
        <v>-16.2</v>
      </c>
      <c r="C4335" t="str">
        <f ca="1">IF(currency="USD",'Future et co'!D4335,IF(currency="EUR",'Future et co'!E4335,IF(currency="GBP",'Future et co'!F4335,FALSE)))</f>
        <v>RFR USD</v>
      </c>
      <c r="D4335" t="str">
        <f t="shared" ca="1" si="336"/>
        <v>RFR USD</v>
      </c>
      <c r="E4335" t="str">
        <f t="shared" ca="1" si="337"/>
        <v>RFR EUR</v>
      </c>
      <c r="F4335" t="str">
        <f t="shared" ca="1" si="338"/>
        <v>RFR GBP</v>
      </c>
      <c r="J4335" s="1"/>
      <c r="N4335" s="1"/>
      <c r="R4335" s="1"/>
      <c r="V4335" s="1"/>
      <c r="AB4335" s="1"/>
      <c r="AF4335" s="1"/>
      <c r="AJ4335" s="1"/>
      <c r="AN4335" s="1"/>
      <c r="AS4335" s="1"/>
      <c r="AX4335" s="1"/>
    </row>
    <row r="4336" spans="1:50" x14ac:dyDescent="0.3">
      <c r="A4336" s="19">
        <f t="shared" si="339"/>
        <v>51985</v>
      </c>
      <c r="B4336">
        <f t="shared" ca="1" si="335"/>
        <v>-16.202777777777779</v>
      </c>
      <c r="C4336" t="str">
        <f ca="1">IF(currency="USD",'Future et co'!D4336,IF(currency="EUR",'Future et co'!E4336,IF(currency="GBP",'Future et co'!F4336,FALSE)))</f>
        <v>RFR USD</v>
      </c>
      <c r="D4336" t="str">
        <f t="shared" ca="1" si="336"/>
        <v>RFR USD</v>
      </c>
      <c r="E4336" t="str">
        <f t="shared" ca="1" si="337"/>
        <v>RFR EUR</v>
      </c>
      <c r="F4336" t="str">
        <f t="shared" ca="1" si="338"/>
        <v>RFR GBP</v>
      </c>
      <c r="J4336" s="1"/>
      <c r="N4336" s="1"/>
      <c r="R4336" s="1"/>
      <c r="V4336" s="1"/>
      <c r="AB4336" s="1"/>
      <c r="AF4336" s="1"/>
      <c r="AJ4336" s="1"/>
      <c r="AN4336" s="1"/>
      <c r="AS4336" s="1"/>
      <c r="AX4336" s="1"/>
    </row>
    <row r="4337" spans="1:50" x14ac:dyDescent="0.3">
      <c r="A4337" s="19">
        <f t="shared" si="339"/>
        <v>51986</v>
      </c>
      <c r="B4337">
        <f t="shared" ca="1" si="335"/>
        <v>-16.205555555555556</v>
      </c>
      <c r="C4337" t="str">
        <f ca="1">IF(currency="USD",'Future et co'!D4337,IF(currency="EUR",'Future et co'!E4337,IF(currency="GBP",'Future et co'!F4337,FALSE)))</f>
        <v>RFR USD</v>
      </c>
      <c r="D4337" t="str">
        <f t="shared" ca="1" si="336"/>
        <v>RFR USD</v>
      </c>
      <c r="E4337" t="str">
        <f t="shared" ca="1" si="337"/>
        <v>RFR EUR</v>
      </c>
      <c r="F4337" t="str">
        <f t="shared" ca="1" si="338"/>
        <v>RFR GBP</v>
      </c>
      <c r="J4337" s="1"/>
      <c r="N4337" s="1"/>
      <c r="R4337" s="1"/>
      <c r="V4337" s="1"/>
      <c r="AB4337" s="1"/>
      <c r="AF4337" s="1"/>
      <c r="AJ4337" s="1"/>
      <c r="AN4337" s="1"/>
      <c r="AS4337" s="1"/>
      <c r="AX4337" s="1"/>
    </row>
    <row r="4338" spans="1:50" x14ac:dyDescent="0.3">
      <c r="A4338" s="19">
        <f t="shared" si="339"/>
        <v>51987</v>
      </c>
      <c r="B4338">
        <f t="shared" ca="1" si="335"/>
        <v>-16.208333333333332</v>
      </c>
      <c r="C4338" t="str">
        <f ca="1">IF(currency="USD",'Future et co'!D4338,IF(currency="EUR",'Future et co'!E4338,IF(currency="GBP",'Future et co'!F4338,FALSE)))</f>
        <v>RFR USD</v>
      </c>
      <c r="D4338" t="str">
        <f t="shared" ca="1" si="336"/>
        <v>RFR USD</v>
      </c>
      <c r="E4338" t="str">
        <f t="shared" ca="1" si="337"/>
        <v>RFR EUR</v>
      </c>
      <c r="F4338" t="str">
        <f t="shared" ca="1" si="338"/>
        <v>RFR GBP</v>
      </c>
      <c r="J4338" s="1"/>
      <c r="N4338" s="1"/>
      <c r="R4338" s="1"/>
      <c r="V4338" s="1"/>
      <c r="AB4338" s="1"/>
      <c r="AF4338" s="1"/>
      <c r="AJ4338" s="1"/>
      <c r="AN4338" s="1"/>
      <c r="AS4338" s="1"/>
      <c r="AX4338" s="1"/>
    </row>
    <row r="4339" spans="1:50" x14ac:dyDescent="0.3">
      <c r="A4339" s="19">
        <f t="shared" si="339"/>
        <v>51988</v>
      </c>
      <c r="B4339">
        <f t="shared" ca="1" si="335"/>
        <v>-16.211111111111112</v>
      </c>
      <c r="C4339" t="str">
        <f ca="1">IF(currency="USD",'Future et co'!D4339,IF(currency="EUR",'Future et co'!E4339,IF(currency="GBP",'Future et co'!F4339,FALSE)))</f>
        <v>RFR USD</v>
      </c>
      <c r="D4339" t="str">
        <f t="shared" ca="1" si="336"/>
        <v>RFR USD</v>
      </c>
      <c r="E4339" t="str">
        <f t="shared" ca="1" si="337"/>
        <v>RFR EUR</v>
      </c>
      <c r="F4339" t="str">
        <f t="shared" ca="1" si="338"/>
        <v>RFR GBP</v>
      </c>
      <c r="J4339" s="1"/>
      <c r="N4339" s="1"/>
      <c r="R4339" s="1"/>
      <c r="V4339" s="1"/>
      <c r="AB4339" s="1"/>
      <c r="AF4339" s="1"/>
      <c r="AJ4339" s="1"/>
      <c r="AN4339" s="1"/>
      <c r="AS4339" s="1"/>
      <c r="AX4339" s="1"/>
    </row>
    <row r="4340" spans="1:50" x14ac:dyDescent="0.3">
      <c r="A4340" s="19">
        <f t="shared" si="339"/>
        <v>51991</v>
      </c>
      <c r="B4340">
        <f t="shared" ca="1" si="335"/>
        <v>-16.219444444444445</v>
      </c>
      <c r="C4340" t="str">
        <f ca="1">IF(currency="USD",'Future et co'!D4340,IF(currency="EUR",'Future et co'!E4340,IF(currency="GBP",'Future et co'!F4340,FALSE)))</f>
        <v>RFR USD</v>
      </c>
      <c r="D4340" t="str">
        <f t="shared" ca="1" si="336"/>
        <v>RFR USD</v>
      </c>
      <c r="E4340" t="str">
        <f t="shared" ca="1" si="337"/>
        <v>RFR EUR</v>
      </c>
      <c r="F4340" t="str">
        <f t="shared" ca="1" si="338"/>
        <v>RFR GBP</v>
      </c>
      <c r="J4340" s="1"/>
      <c r="N4340" s="1"/>
      <c r="R4340" s="1"/>
      <c r="V4340" s="1"/>
      <c r="AB4340" s="1"/>
      <c r="AF4340" s="1"/>
      <c r="AJ4340" s="1"/>
      <c r="AN4340" s="1"/>
      <c r="AS4340" s="1"/>
      <c r="AX4340" s="1"/>
    </row>
    <row r="4341" spans="1:50" x14ac:dyDescent="0.3">
      <c r="A4341" s="19">
        <f t="shared" si="339"/>
        <v>51992</v>
      </c>
      <c r="B4341">
        <f t="shared" ca="1" si="335"/>
        <v>-16.222222222222221</v>
      </c>
      <c r="C4341" t="str">
        <f ca="1">IF(currency="USD",'Future et co'!D4341,IF(currency="EUR",'Future et co'!E4341,IF(currency="GBP",'Future et co'!F4341,FALSE)))</f>
        <v>RFR USD</v>
      </c>
      <c r="D4341" t="str">
        <f t="shared" ca="1" si="336"/>
        <v>RFR USD</v>
      </c>
      <c r="E4341" t="str">
        <f t="shared" ca="1" si="337"/>
        <v>RFR EUR</v>
      </c>
      <c r="F4341" t="str">
        <f t="shared" ca="1" si="338"/>
        <v>RFR GBP</v>
      </c>
      <c r="J4341" s="1"/>
      <c r="N4341" s="1"/>
      <c r="R4341" s="1"/>
      <c r="V4341" s="1"/>
      <c r="AB4341" s="1"/>
      <c r="AF4341" s="1"/>
      <c r="AJ4341" s="1"/>
      <c r="AN4341" s="1"/>
      <c r="AS4341" s="1"/>
      <c r="AX4341" s="1"/>
    </row>
    <row r="4342" spans="1:50" x14ac:dyDescent="0.3">
      <c r="A4342" s="19">
        <f t="shared" si="339"/>
        <v>51993</v>
      </c>
      <c r="B4342">
        <f t="shared" ca="1" si="335"/>
        <v>-16.225000000000001</v>
      </c>
      <c r="C4342" t="str">
        <f ca="1">IF(currency="USD",'Future et co'!D4342,IF(currency="EUR",'Future et co'!E4342,IF(currency="GBP",'Future et co'!F4342,FALSE)))</f>
        <v>RFR USD</v>
      </c>
      <c r="D4342" t="str">
        <f t="shared" ca="1" si="336"/>
        <v>RFR USD</v>
      </c>
      <c r="E4342" t="str">
        <f t="shared" ca="1" si="337"/>
        <v>RFR EUR</v>
      </c>
      <c r="F4342" t="str">
        <f t="shared" ca="1" si="338"/>
        <v>RFR GBP</v>
      </c>
      <c r="J4342" s="1"/>
      <c r="N4342" s="1"/>
      <c r="R4342" s="1"/>
      <c r="V4342" s="1"/>
      <c r="AB4342" s="1"/>
      <c r="AF4342" s="1"/>
      <c r="AJ4342" s="1"/>
      <c r="AN4342" s="1"/>
      <c r="AS4342" s="1"/>
      <c r="AX4342" s="1"/>
    </row>
    <row r="4343" spans="1:50" x14ac:dyDescent="0.3">
      <c r="A4343" s="19">
        <f t="shared" si="339"/>
        <v>51994</v>
      </c>
      <c r="B4343">
        <f t="shared" ca="1" si="335"/>
        <v>-16.227777777777778</v>
      </c>
      <c r="C4343" t="str">
        <f ca="1">IF(currency="USD",'Future et co'!D4343,IF(currency="EUR",'Future et co'!E4343,IF(currency="GBP",'Future et co'!F4343,FALSE)))</f>
        <v>RFR USD</v>
      </c>
      <c r="D4343" t="str">
        <f t="shared" ca="1" si="336"/>
        <v>RFR USD</v>
      </c>
      <c r="E4343" t="str">
        <f t="shared" ca="1" si="337"/>
        <v>RFR EUR</v>
      </c>
      <c r="F4343" t="str">
        <f t="shared" ca="1" si="338"/>
        <v>RFR GBP</v>
      </c>
      <c r="J4343" s="1"/>
      <c r="N4343" s="1"/>
      <c r="R4343" s="1"/>
      <c r="V4343" s="1"/>
      <c r="AB4343" s="1"/>
      <c r="AF4343" s="1"/>
      <c r="AJ4343" s="1"/>
      <c r="AN4343" s="1"/>
      <c r="AS4343" s="1"/>
      <c r="AX4343" s="1"/>
    </row>
    <row r="4344" spans="1:50" x14ac:dyDescent="0.3">
      <c r="A4344" s="19">
        <f t="shared" si="339"/>
        <v>51995</v>
      </c>
      <c r="B4344">
        <f t="shared" ca="1" si="335"/>
        <v>-16.230555555555554</v>
      </c>
      <c r="C4344" t="str">
        <f ca="1">IF(currency="USD",'Future et co'!D4344,IF(currency="EUR",'Future et co'!E4344,IF(currency="GBP",'Future et co'!F4344,FALSE)))</f>
        <v>RFR USD</v>
      </c>
      <c r="D4344" t="str">
        <f t="shared" ca="1" si="336"/>
        <v>RFR USD</v>
      </c>
      <c r="E4344" t="str">
        <f t="shared" ca="1" si="337"/>
        <v>RFR EUR</v>
      </c>
      <c r="F4344" t="str">
        <f t="shared" ca="1" si="338"/>
        <v>RFR GBP</v>
      </c>
      <c r="J4344" s="1"/>
      <c r="N4344" s="1"/>
      <c r="R4344" s="1"/>
      <c r="V4344" s="1"/>
      <c r="AB4344" s="1"/>
      <c r="AF4344" s="1"/>
      <c r="AJ4344" s="1"/>
      <c r="AN4344" s="1"/>
      <c r="AS4344" s="1"/>
      <c r="AX4344" s="1"/>
    </row>
    <row r="4345" spans="1:50" x14ac:dyDescent="0.3">
      <c r="A4345" s="19">
        <f t="shared" si="339"/>
        <v>51998</v>
      </c>
      <c r="B4345">
        <f t="shared" ca="1" si="335"/>
        <v>-16.238888888888887</v>
      </c>
      <c r="C4345" t="str">
        <f ca="1">IF(currency="USD",'Future et co'!D4345,IF(currency="EUR",'Future et co'!E4345,IF(currency="GBP",'Future et co'!F4345,FALSE)))</f>
        <v>RFR USD</v>
      </c>
      <c r="D4345" t="str">
        <f t="shared" ca="1" si="336"/>
        <v>RFR USD</v>
      </c>
      <c r="E4345" t="str">
        <f t="shared" ca="1" si="337"/>
        <v>RFR EUR</v>
      </c>
      <c r="F4345" t="str">
        <f t="shared" ca="1" si="338"/>
        <v>RFR GBP</v>
      </c>
      <c r="J4345" s="1"/>
      <c r="N4345" s="1"/>
      <c r="R4345" s="1"/>
      <c r="V4345" s="1"/>
      <c r="AB4345" s="1"/>
      <c r="AF4345" s="1"/>
      <c r="AJ4345" s="1"/>
      <c r="AN4345" s="1"/>
      <c r="AS4345" s="1"/>
      <c r="AX4345" s="1"/>
    </row>
    <row r="4346" spans="1:50" x14ac:dyDescent="0.3">
      <c r="A4346" s="19">
        <f t="shared" si="339"/>
        <v>51999</v>
      </c>
      <c r="B4346">
        <f t="shared" ca="1" si="335"/>
        <v>-16.241666666666667</v>
      </c>
      <c r="C4346" t="str">
        <f ca="1">IF(currency="USD",'Future et co'!D4346,IF(currency="EUR",'Future et co'!E4346,IF(currency="GBP",'Future et co'!F4346,FALSE)))</f>
        <v>RFR USD</v>
      </c>
      <c r="D4346" t="str">
        <f t="shared" ca="1" si="336"/>
        <v>RFR USD</v>
      </c>
      <c r="E4346" t="str">
        <f t="shared" ca="1" si="337"/>
        <v>RFR EUR</v>
      </c>
      <c r="F4346" t="str">
        <f t="shared" ca="1" si="338"/>
        <v>RFR GBP</v>
      </c>
      <c r="J4346" s="1"/>
      <c r="N4346" s="1"/>
      <c r="R4346" s="1"/>
      <c r="V4346" s="1"/>
      <c r="AB4346" s="1"/>
      <c r="AF4346" s="1"/>
      <c r="AJ4346" s="1"/>
      <c r="AN4346" s="1"/>
      <c r="AS4346" s="1"/>
      <c r="AX4346" s="1"/>
    </row>
    <row r="4347" spans="1:50" x14ac:dyDescent="0.3">
      <c r="A4347" s="19">
        <f t="shared" si="339"/>
        <v>52000</v>
      </c>
      <c r="B4347">
        <f t="shared" ca="1" si="335"/>
        <v>-16.244444444444444</v>
      </c>
      <c r="C4347" t="str">
        <f ca="1">IF(currency="USD",'Future et co'!D4347,IF(currency="EUR",'Future et co'!E4347,IF(currency="GBP",'Future et co'!F4347,FALSE)))</f>
        <v>RFR USD</v>
      </c>
      <c r="D4347" t="str">
        <f t="shared" ca="1" si="336"/>
        <v>RFR USD</v>
      </c>
      <c r="E4347" t="str">
        <f t="shared" ca="1" si="337"/>
        <v>RFR EUR</v>
      </c>
      <c r="F4347" t="str">
        <f t="shared" ca="1" si="338"/>
        <v>RFR GBP</v>
      </c>
      <c r="J4347" s="1"/>
      <c r="N4347" s="1"/>
      <c r="R4347" s="1"/>
      <c r="V4347" s="1"/>
      <c r="AB4347" s="1"/>
      <c r="AF4347" s="1"/>
      <c r="AJ4347" s="1"/>
      <c r="AN4347" s="1"/>
      <c r="AS4347" s="1"/>
      <c r="AX4347" s="1"/>
    </row>
    <row r="4348" spans="1:50" x14ac:dyDescent="0.3">
      <c r="A4348" s="19">
        <f t="shared" si="339"/>
        <v>52001</v>
      </c>
      <c r="B4348">
        <f t="shared" ca="1" si="335"/>
        <v>-16.247222222222224</v>
      </c>
      <c r="C4348" t="str">
        <f ca="1">IF(currency="USD",'Future et co'!D4348,IF(currency="EUR",'Future et co'!E4348,IF(currency="GBP",'Future et co'!F4348,FALSE)))</f>
        <v>RFR USD</v>
      </c>
      <c r="D4348" t="str">
        <f t="shared" ca="1" si="336"/>
        <v>RFR USD</v>
      </c>
      <c r="E4348" t="str">
        <f t="shared" ca="1" si="337"/>
        <v>RFR EUR</v>
      </c>
      <c r="F4348" t="str">
        <f t="shared" ca="1" si="338"/>
        <v>RFR GBP</v>
      </c>
      <c r="J4348" s="1"/>
      <c r="N4348" s="1"/>
      <c r="R4348" s="1"/>
      <c r="V4348" s="1"/>
      <c r="AB4348" s="1"/>
      <c r="AF4348" s="1"/>
      <c r="AJ4348" s="1"/>
      <c r="AN4348" s="1"/>
      <c r="AS4348" s="1"/>
      <c r="AX4348" s="1"/>
    </row>
    <row r="4349" spans="1:50" x14ac:dyDescent="0.3">
      <c r="A4349" s="19">
        <f t="shared" si="339"/>
        <v>52002</v>
      </c>
      <c r="B4349">
        <f t="shared" ca="1" si="335"/>
        <v>-16.25</v>
      </c>
      <c r="C4349" t="str">
        <f ca="1">IF(currency="USD",'Future et co'!D4349,IF(currency="EUR",'Future et co'!E4349,IF(currency="GBP",'Future et co'!F4349,FALSE)))</f>
        <v>RFR USD</v>
      </c>
      <c r="D4349" t="str">
        <f t="shared" ca="1" si="336"/>
        <v>RFR USD</v>
      </c>
      <c r="E4349" t="str">
        <f t="shared" ca="1" si="337"/>
        <v>RFR EUR</v>
      </c>
      <c r="F4349" t="str">
        <f t="shared" ca="1" si="338"/>
        <v>RFR GBP</v>
      </c>
      <c r="J4349" s="1"/>
      <c r="N4349" s="1"/>
      <c r="R4349" s="1"/>
      <c r="V4349" s="1"/>
      <c r="AB4349" s="1"/>
      <c r="AF4349" s="1"/>
      <c r="AJ4349" s="1"/>
      <c r="AN4349" s="1"/>
      <c r="AS4349" s="1"/>
      <c r="AX4349" s="1"/>
    </row>
    <row r="4350" spans="1:50" x14ac:dyDescent="0.3">
      <c r="A4350" s="19">
        <f t="shared" si="339"/>
        <v>52005</v>
      </c>
      <c r="B4350">
        <f t="shared" ca="1" si="335"/>
        <v>-16.258333333333333</v>
      </c>
      <c r="C4350" t="str">
        <f ca="1">IF(currency="USD",'Future et co'!D4350,IF(currency="EUR",'Future et co'!E4350,IF(currency="GBP",'Future et co'!F4350,FALSE)))</f>
        <v>RFR USD</v>
      </c>
      <c r="D4350" t="str">
        <f t="shared" ca="1" si="336"/>
        <v>RFR USD</v>
      </c>
      <c r="E4350" t="str">
        <f t="shared" ca="1" si="337"/>
        <v>RFR EUR</v>
      </c>
      <c r="F4350" t="str">
        <f t="shared" ca="1" si="338"/>
        <v>RFR GBP</v>
      </c>
      <c r="J4350" s="1"/>
      <c r="N4350" s="1"/>
      <c r="R4350" s="1"/>
      <c r="V4350" s="1"/>
      <c r="AB4350" s="1"/>
      <c r="AF4350" s="1"/>
      <c r="AJ4350" s="1"/>
      <c r="AN4350" s="1"/>
      <c r="AS4350" s="1"/>
      <c r="AX4350" s="1"/>
    </row>
    <row r="4351" spans="1:50" x14ac:dyDescent="0.3">
      <c r="A4351" s="19">
        <f t="shared" si="339"/>
        <v>52006</v>
      </c>
      <c r="B4351">
        <f t="shared" ca="1" si="335"/>
        <v>-16.261111111111113</v>
      </c>
      <c r="C4351" t="str">
        <f ca="1">IF(currency="USD",'Future et co'!D4351,IF(currency="EUR",'Future et co'!E4351,IF(currency="GBP",'Future et co'!F4351,FALSE)))</f>
        <v>RFR USD</v>
      </c>
      <c r="D4351" t="str">
        <f t="shared" ca="1" si="336"/>
        <v>RFR USD</v>
      </c>
      <c r="E4351" t="str">
        <f t="shared" ca="1" si="337"/>
        <v>RFR EUR</v>
      </c>
      <c r="F4351" t="str">
        <f t="shared" ca="1" si="338"/>
        <v>RFR GBP</v>
      </c>
      <c r="J4351" s="1"/>
      <c r="N4351" s="1"/>
      <c r="R4351" s="1"/>
      <c r="V4351" s="1"/>
      <c r="AB4351" s="1"/>
      <c r="AF4351" s="1"/>
      <c r="AJ4351" s="1"/>
      <c r="AN4351" s="1"/>
      <c r="AS4351" s="1"/>
      <c r="AX4351" s="1"/>
    </row>
    <row r="4352" spans="1:50" x14ac:dyDescent="0.3">
      <c r="A4352" s="19">
        <f t="shared" si="339"/>
        <v>52007</v>
      </c>
      <c r="B4352">
        <f t="shared" ca="1" si="335"/>
        <v>-16.263888888888889</v>
      </c>
      <c r="C4352" t="str">
        <f ca="1">IF(currency="USD",'Future et co'!D4352,IF(currency="EUR",'Future et co'!E4352,IF(currency="GBP",'Future et co'!F4352,FALSE)))</f>
        <v>RFR USD</v>
      </c>
      <c r="D4352" t="str">
        <f t="shared" ca="1" si="336"/>
        <v>RFR USD</v>
      </c>
      <c r="E4352" t="str">
        <f t="shared" ca="1" si="337"/>
        <v>RFR EUR</v>
      </c>
      <c r="F4352" t="str">
        <f t="shared" ca="1" si="338"/>
        <v>RFR GBP</v>
      </c>
      <c r="J4352" s="1"/>
      <c r="N4352" s="1"/>
      <c r="R4352" s="1"/>
      <c r="V4352" s="1"/>
      <c r="AB4352" s="1"/>
      <c r="AF4352" s="1"/>
      <c r="AJ4352" s="1"/>
      <c r="AN4352" s="1"/>
      <c r="AS4352" s="1"/>
      <c r="AX4352" s="1"/>
    </row>
    <row r="4353" spans="1:50" x14ac:dyDescent="0.3">
      <c r="A4353" s="19">
        <f t="shared" si="339"/>
        <v>52008</v>
      </c>
      <c r="B4353">
        <f t="shared" ca="1" si="335"/>
        <v>-16.266666666666666</v>
      </c>
      <c r="C4353" t="str">
        <f ca="1">IF(currency="USD",'Future et co'!D4353,IF(currency="EUR",'Future et co'!E4353,IF(currency="GBP",'Future et co'!F4353,FALSE)))</f>
        <v>RFR USD</v>
      </c>
      <c r="D4353" t="str">
        <f t="shared" ca="1" si="336"/>
        <v>RFR USD</v>
      </c>
      <c r="E4353" t="str">
        <f t="shared" ca="1" si="337"/>
        <v>RFR EUR</v>
      </c>
      <c r="F4353" t="str">
        <f t="shared" ca="1" si="338"/>
        <v>RFR GBP</v>
      </c>
      <c r="J4353" s="1"/>
      <c r="N4353" s="1"/>
      <c r="R4353" s="1"/>
      <c r="V4353" s="1"/>
      <c r="AB4353" s="1"/>
      <c r="AF4353" s="1"/>
      <c r="AJ4353" s="1"/>
      <c r="AN4353" s="1"/>
      <c r="AS4353" s="1"/>
      <c r="AX4353" s="1"/>
    </row>
    <row r="4354" spans="1:50" x14ac:dyDescent="0.3">
      <c r="A4354" s="19">
        <f t="shared" si="339"/>
        <v>52009</v>
      </c>
      <c r="B4354">
        <f t="shared" ca="1" si="335"/>
        <v>-16.269444444444446</v>
      </c>
      <c r="C4354" t="str">
        <f ca="1">IF(currency="USD",'Future et co'!D4354,IF(currency="EUR",'Future et co'!E4354,IF(currency="GBP",'Future et co'!F4354,FALSE)))</f>
        <v>RFR USD</v>
      </c>
      <c r="D4354" t="str">
        <f t="shared" ca="1" si="336"/>
        <v>RFR USD</v>
      </c>
      <c r="E4354" t="str">
        <f t="shared" ca="1" si="337"/>
        <v>RFR EUR</v>
      </c>
      <c r="F4354" t="str">
        <f t="shared" ca="1" si="338"/>
        <v>RFR GBP</v>
      </c>
      <c r="J4354" s="1"/>
      <c r="N4354" s="1"/>
      <c r="R4354" s="1"/>
      <c r="V4354" s="1"/>
      <c r="AB4354" s="1"/>
      <c r="AF4354" s="1"/>
      <c r="AJ4354" s="1"/>
      <c r="AN4354" s="1"/>
      <c r="AS4354" s="1"/>
      <c r="AX4354" s="1"/>
    </row>
    <row r="4355" spans="1:50" x14ac:dyDescent="0.3">
      <c r="A4355" s="19">
        <f t="shared" si="339"/>
        <v>52012</v>
      </c>
      <c r="B4355">
        <f t="shared" ca="1" si="335"/>
        <v>-16.277777777777779</v>
      </c>
      <c r="C4355" t="str">
        <f ca="1">IF(currency="USD",'Future et co'!D4355,IF(currency="EUR",'Future et co'!E4355,IF(currency="GBP",'Future et co'!F4355,FALSE)))</f>
        <v>RFR USD</v>
      </c>
      <c r="D4355" t="str">
        <f t="shared" ca="1" si="336"/>
        <v>RFR USD</v>
      </c>
      <c r="E4355" t="str">
        <f t="shared" ca="1" si="337"/>
        <v>RFR EUR</v>
      </c>
      <c r="F4355" t="str">
        <f t="shared" ca="1" si="338"/>
        <v>RFR GBP</v>
      </c>
      <c r="J4355" s="1"/>
      <c r="N4355" s="1"/>
      <c r="R4355" s="1"/>
      <c r="V4355" s="1"/>
      <c r="AB4355" s="1"/>
      <c r="AF4355" s="1"/>
      <c r="AJ4355" s="1"/>
      <c r="AN4355" s="1"/>
      <c r="AS4355" s="1"/>
      <c r="AX4355" s="1"/>
    </row>
    <row r="4356" spans="1:50" x14ac:dyDescent="0.3">
      <c r="A4356" s="19">
        <f t="shared" si="339"/>
        <v>52013</v>
      </c>
      <c r="B4356">
        <f t="shared" ca="1" si="335"/>
        <v>-16.280555555555555</v>
      </c>
      <c r="C4356" t="str">
        <f ca="1">IF(currency="USD",'Future et co'!D4356,IF(currency="EUR",'Future et co'!E4356,IF(currency="GBP",'Future et co'!F4356,FALSE)))</f>
        <v>RFR USD</v>
      </c>
      <c r="D4356" t="str">
        <f t="shared" ca="1" si="336"/>
        <v>RFR USD</v>
      </c>
      <c r="E4356" t="str">
        <f t="shared" ca="1" si="337"/>
        <v>RFR EUR</v>
      </c>
      <c r="F4356" t="str">
        <f t="shared" ca="1" si="338"/>
        <v>RFR GBP</v>
      </c>
      <c r="J4356" s="1"/>
      <c r="N4356" s="1"/>
      <c r="R4356" s="1"/>
      <c r="V4356" s="1"/>
      <c r="AB4356" s="1"/>
      <c r="AF4356" s="1"/>
      <c r="AJ4356" s="1"/>
      <c r="AN4356" s="1"/>
      <c r="AS4356" s="1"/>
      <c r="AX4356" s="1"/>
    </row>
    <row r="4357" spans="1:50" x14ac:dyDescent="0.3">
      <c r="A4357" s="19">
        <f t="shared" si="339"/>
        <v>52014</v>
      </c>
      <c r="B4357">
        <f t="shared" ca="1" si="335"/>
        <v>-16.283333333333335</v>
      </c>
      <c r="C4357" t="str">
        <f ca="1">IF(currency="USD",'Future et co'!D4357,IF(currency="EUR",'Future et co'!E4357,IF(currency="GBP",'Future et co'!F4357,FALSE)))</f>
        <v>RFR USD</v>
      </c>
      <c r="D4357" t="str">
        <f t="shared" ca="1" si="336"/>
        <v>RFR USD</v>
      </c>
      <c r="E4357" t="str">
        <f t="shared" ca="1" si="337"/>
        <v>RFR EUR</v>
      </c>
      <c r="F4357" t="str">
        <f t="shared" ca="1" si="338"/>
        <v>RFR GBP</v>
      </c>
      <c r="J4357" s="1"/>
      <c r="N4357" s="1"/>
      <c r="R4357" s="1"/>
      <c r="V4357" s="1"/>
      <c r="AB4357" s="1"/>
      <c r="AF4357" s="1"/>
      <c r="AJ4357" s="1"/>
      <c r="AN4357" s="1"/>
      <c r="AS4357" s="1"/>
      <c r="AX4357" s="1"/>
    </row>
    <row r="4358" spans="1:50" x14ac:dyDescent="0.3">
      <c r="A4358" s="19">
        <f t="shared" si="339"/>
        <v>52015</v>
      </c>
      <c r="B4358">
        <f t="shared" ca="1" si="335"/>
        <v>-16.286111111111111</v>
      </c>
      <c r="C4358" t="str">
        <f ca="1">IF(currency="USD",'Future et co'!D4358,IF(currency="EUR",'Future et co'!E4358,IF(currency="GBP",'Future et co'!F4358,FALSE)))</f>
        <v>RFR USD</v>
      </c>
      <c r="D4358" t="str">
        <f t="shared" ca="1" si="336"/>
        <v>RFR USD</v>
      </c>
      <c r="E4358" t="str">
        <f t="shared" ca="1" si="337"/>
        <v>RFR EUR</v>
      </c>
      <c r="F4358" t="str">
        <f t="shared" ca="1" si="338"/>
        <v>RFR GBP</v>
      </c>
      <c r="J4358" s="1"/>
      <c r="N4358" s="1"/>
      <c r="R4358" s="1"/>
      <c r="V4358" s="1"/>
      <c r="AB4358" s="1"/>
      <c r="AF4358" s="1"/>
      <c r="AJ4358" s="1"/>
      <c r="AN4358" s="1"/>
      <c r="AS4358" s="1"/>
      <c r="AX4358" s="1"/>
    </row>
    <row r="4359" spans="1:50" x14ac:dyDescent="0.3">
      <c r="A4359" s="19">
        <f t="shared" si="339"/>
        <v>52016</v>
      </c>
      <c r="B4359">
        <f t="shared" ca="1" si="335"/>
        <v>-16.288888888888888</v>
      </c>
      <c r="C4359" t="str">
        <f ca="1">IF(currency="USD",'Future et co'!D4359,IF(currency="EUR",'Future et co'!E4359,IF(currency="GBP",'Future et co'!F4359,FALSE)))</f>
        <v>RFR USD</v>
      </c>
      <c r="D4359" t="str">
        <f t="shared" ca="1" si="336"/>
        <v>RFR USD</v>
      </c>
      <c r="E4359" t="str">
        <f t="shared" ca="1" si="337"/>
        <v>RFR EUR</v>
      </c>
      <c r="F4359" t="str">
        <f t="shared" ca="1" si="338"/>
        <v>RFR GBP</v>
      </c>
      <c r="J4359" s="1"/>
      <c r="N4359" s="1"/>
      <c r="R4359" s="1"/>
      <c r="V4359" s="1"/>
      <c r="AB4359" s="1"/>
      <c r="AF4359" s="1"/>
      <c r="AJ4359" s="1"/>
      <c r="AN4359" s="1"/>
      <c r="AS4359" s="1"/>
      <c r="AX4359" s="1"/>
    </row>
    <row r="4360" spans="1:50" x14ac:dyDescent="0.3">
      <c r="A4360" s="19">
        <f t="shared" si="339"/>
        <v>52019</v>
      </c>
      <c r="B4360">
        <f t="shared" ca="1" si="335"/>
        <v>-16.297222222222221</v>
      </c>
      <c r="C4360" t="str">
        <f ca="1">IF(currency="USD",'Future et co'!D4360,IF(currency="EUR",'Future et co'!E4360,IF(currency="GBP",'Future et co'!F4360,FALSE)))</f>
        <v>RFR USD</v>
      </c>
      <c r="D4360" t="str">
        <f t="shared" ca="1" si="336"/>
        <v>RFR USD</v>
      </c>
      <c r="E4360" t="str">
        <f t="shared" ca="1" si="337"/>
        <v>RFR EUR</v>
      </c>
      <c r="F4360" t="str">
        <f t="shared" ca="1" si="338"/>
        <v>RFR GBP</v>
      </c>
      <c r="J4360" s="1"/>
      <c r="N4360" s="1"/>
      <c r="R4360" s="1"/>
      <c r="V4360" s="1"/>
      <c r="AB4360" s="1"/>
      <c r="AF4360" s="1"/>
      <c r="AJ4360" s="1"/>
      <c r="AN4360" s="1"/>
      <c r="AS4360" s="1"/>
      <c r="AX4360" s="1"/>
    </row>
    <row r="4361" spans="1:50" x14ac:dyDescent="0.3">
      <c r="A4361" s="19">
        <f t="shared" si="339"/>
        <v>52020</v>
      </c>
      <c r="B4361">
        <f t="shared" ca="1" si="335"/>
        <v>-16.3</v>
      </c>
      <c r="C4361" t="str">
        <f ca="1">IF(currency="USD",'Future et co'!D4361,IF(currency="EUR",'Future et co'!E4361,IF(currency="GBP",'Future et co'!F4361,FALSE)))</f>
        <v>RFR USD</v>
      </c>
      <c r="D4361" t="str">
        <f t="shared" ca="1" si="336"/>
        <v>RFR USD</v>
      </c>
      <c r="E4361" t="str">
        <f t="shared" ca="1" si="337"/>
        <v>RFR EUR</v>
      </c>
      <c r="F4361" t="str">
        <f t="shared" ca="1" si="338"/>
        <v>RFR GBP</v>
      </c>
      <c r="J4361" s="1"/>
      <c r="N4361" s="1"/>
      <c r="R4361" s="1"/>
      <c r="V4361" s="1"/>
      <c r="AB4361" s="1"/>
      <c r="AF4361" s="1"/>
      <c r="AJ4361" s="1"/>
      <c r="AN4361" s="1"/>
      <c r="AS4361" s="1"/>
      <c r="AX4361" s="1"/>
    </row>
    <row r="4362" spans="1:50" x14ac:dyDescent="0.3">
      <c r="A4362" s="19">
        <f t="shared" si="339"/>
        <v>52021</v>
      </c>
      <c r="B4362">
        <f t="shared" ca="1" si="335"/>
        <v>-16.302777777777777</v>
      </c>
      <c r="C4362" t="str">
        <f ca="1">IF(currency="USD",'Future et co'!D4362,IF(currency="EUR",'Future et co'!E4362,IF(currency="GBP",'Future et co'!F4362,FALSE)))</f>
        <v>RFR USD</v>
      </c>
      <c r="D4362" t="str">
        <f t="shared" ca="1" si="336"/>
        <v>RFR USD</v>
      </c>
      <c r="E4362" t="str">
        <f t="shared" ca="1" si="337"/>
        <v>RFR EUR</v>
      </c>
      <c r="F4362" t="str">
        <f t="shared" ca="1" si="338"/>
        <v>RFR GBP</v>
      </c>
      <c r="J4362" s="1"/>
      <c r="N4362" s="1"/>
      <c r="R4362" s="1"/>
      <c r="V4362" s="1"/>
      <c r="AB4362" s="1"/>
      <c r="AF4362" s="1"/>
      <c r="AJ4362" s="1"/>
      <c r="AN4362" s="1"/>
      <c r="AS4362" s="1"/>
      <c r="AX4362" s="1"/>
    </row>
    <row r="4363" spans="1:50" x14ac:dyDescent="0.3">
      <c r="A4363" s="19">
        <f t="shared" si="339"/>
        <v>52022</v>
      </c>
      <c r="B4363">
        <f t="shared" ref="B4363:B4426" ca="1" si="340">($B$7-A4363)/360</f>
        <v>-16.305555555555557</v>
      </c>
      <c r="C4363" t="str">
        <f ca="1">IF(currency="USD",'Future et co'!D4363,IF(currency="EUR",'Future et co'!E4363,IF(currency="GBP",'Future et co'!F4363,FALSE)))</f>
        <v>RFR USD</v>
      </c>
      <c r="D4363" t="str">
        <f t="shared" ref="D4363:D4426" ca="1" si="341">IFERROR(IF(B4363&lt;0.25,VLOOKUP(A4363,$J$11:$L$5325,3,FALSE),IF(AND(B4363&gt;=0.25,B4363&lt;0.5),VLOOKUP(A4363,$N$11:$P$5325,3,FALSE),IF(AND(B4363&gt;=0.5,B4363&lt;1),VLOOKUP(A4363,$R$11:$T$5325,3,FALSE),VLOOKUP(A4363,$V$11:$X$5010,3,FALSE)))),D4362)</f>
        <v>RFR USD</v>
      </c>
      <c r="E4363" t="str">
        <f t="shared" ref="E4363:E4426" ca="1" si="342">IFERROR(IF(B4363&lt;0.25,VLOOKUP(A4363,$AF$11:$AH$5325,3,FALSE),IF(AND(B4363&gt;=0.25,B4363&lt;0.5),VLOOKUP(A4363,$AJ$11:$AL$5325,3,FALSE),VLOOKUP(A4363,$AN$11:$AP$5325,3,FALSE))),E4362)</f>
        <v>RFR EUR</v>
      </c>
      <c r="F4363" t="str">
        <f t="shared" ref="F4363:F4426" ca="1" si="343">IFERROR(VLOOKUP(A4363,$AS$11:$AU$9999,3,FALSE),F4362)</f>
        <v>RFR GBP</v>
      </c>
      <c r="J4363" s="1"/>
      <c r="N4363" s="1"/>
      <c r="R4363" s="1"/>
      <c r="V4363" s="1"/>
      <c r="AB4363" s="1"/>
      <c r="AF4363" s="1"/>
      <c r="AJ4363" s="1"/>
      <c r="AN4363" s="1"/>
      <c r="AS4363" s="1"/>
      <c r="AX4363" s="1"/>
    </row>
    <row r="4364" spans="1:50" x14ac:dyDescent="0.3">
      <c r="A4364" s="19">
        <f t="shared" si="339"/>
        <v>52023</v>
      </c>
      <c r="B4364">
        <f t="shared" ca="1" si="340"/>
        <v>-16.308333333333334</v>
      </c>
      <c r="C4364" t="str">
        <f ca="1">IF(currency="USD",'Future et co'!D4364,IF(currency="EUR",'Future et co'!E4364,IF(currency="GBP",'Future et co'!F4364,FALSE)))</f>
        <v>RFR USD</v>
      </c>
      <c r="D4364" t="str">
        <f t="shared" ca="1" si="341"/>
        <v>RFR USD</v>
      </c>
      <c r="E4364" t="str">
        <f t="shared" ca="1" si="342"/>
        <v>RFR EUR</v>
      </c>
      <c r="F4364" t="str">
        <f t="shared" ca="1" si="343"/>
        <v>RFR GBP</v>
      </c>
      <c r="J4364" s="1"/>
      <c r="N4364" s="1"/>
      <c r="R4364" s="1"/>
      <c r="V4364" s="1"/>
      <c r="AB4364" s="1"/>
      <c r="AF4364" s="1"/>
      <c r="AJ4364" s="1"/>
      <c r="AN4364" s="1"/>
      <c r="AS4364" s="1"/>
      <c r="AX4364" s="1"/>
    </row>
    <row r="4365" spans="1:50" x14ac:dyDescent="0.3">
      <c r="A4365" s="19">
        <f t="shared" ref="A4365:A4428" si="344">WORKDAY(A4364,1)</f>
        <v>52026</v>
      </c>
      <c r="B4365">
        <f t="shared" ca="1" si="340"/>
        <v>-16.316666666666666</v>
      </c>
      <c r="C4365" t="str">
        <f ca="1">IF(currency="USD",'Future et co'!D4365,IF(currency="EUR",'Future et co'!E4365,IF(currency="GBP",'Future et co'!F4365,FALSE)))</f>
        <v>RFR USD</v>
      </c>
      <c r="D4365" t="str">
        <f t="shared" ca="1" si="341"/>
        <v>RFR USD</v>
      </c>
      <c r="E4365" t="str">
        <f t="shared" ca="1" si="342"/>
        <v>RFR EUR</v>
      </c>
      <c r="F4365" t="str">
        <f t="shared" ca="1" si="343"/>
        <v>RFR GBP</v>
      </c>
      <c r="J4365" s="1"/>
      <c r="N4365" s="1"/>
      <c r="R4365" s="1"/>
      <c r="V4365" s="1"/>
      <c r="AB4365" s="1"/>
      <c r="AF4365" s="1"/>
      <c r="AJ4365" s="1"/>
      <c r="AN4365" s="1"/>
      <c r="AS4365" s="1"/>
      <c r="AX4365" s="1"/>
    </row>
    <row r="4366" spans="1:50" x14ac:dyDescent="0.3">
      <c r="A4366" s="19">
        <f t="shared" si="344"/>
        <v>52027</v>
      </c>
      <c r="B4366">
        <f t="shared" ca="1" si="340"/>
        <v>-16.319444444444443</v>
      </c>
      <c r="C4366" t="str">
        <f ca="1">IF(currency="USD",'Future et co'!D4366,IF(currency="EUR",'Future et co'!E4366,IF(currency="GBP",'Future et co'!F4366,FALSE)))</f>
        <v>RFR USD</v>
      </c>
      <c r="D4366" t="str">
        <f t="shared" ca="1" si="341"/>
        <v>RFR USD</v>
      </c>
      <c r="E4366" t="str">
        <f t="shared" ca="1" si="342"/>
        <v>RFR EUR</v>
      </c>
      <c r="F4366" t="str">
        <f t="shared" ca="1" si="343"/>
        <v>RFR GBP</v>
      </c>
      <c r="J4366" s="1"/>
      <c r="N4366" s="1"/>
      <c r="R4366" s="1"/>
      <c r="V4366" s="1"/>
      <c r="AB4366" s="1"/>
      <c r="AF4366" s="1"/>
      <c r="AJ4366" s="1"/>
      <c r="AN4366" s="1"/>
      <c r="AS4366" s="1"/>
      <c r="AX4366" s="1"/>
    </row>
    <row r="4367" spans="1:50" x14ac:dyDescent="0.3">
      <c r="A4367" s="19">
        <f t="shared" si="344"/>
        <v>52028</v>
      </c>
      <c r="B4367">
        <f t="shared" ca="1" si="340"/>
        <v>-16.322222222222223</v>
      </c>
      <c r="C4367" t="str">
        <f ca="1">IF(currency="USD",'Future et co'!D4367,IF(currency="EUR",'Future et co'!E4367,IF(currency="GBP",'Future et co'!F4367,FALSE)))</f>
        <v>RFR USD</v>
      </c>
      <c r="D4367" t="str">
        <f t="shared" ca="1" si="341"/>
        <v>RFR USD</v>
      </c>
      <c r="E4367" t="str">
        <f t="shared" ca="1" si="342"/>
        <v>RFR EUR</v>
      </c>
      <c r="F4367" t="str">
        <f t="shared" ca="1" si="343"/>
        <v>RFR GBP</v>
      </c>
      <c r="J4367" s="1"/>
      <c r="N4367" s="1"/>
      <c r="R4367" s="1"/>
      <c r="V4367" s="1"/>
      <c r="AB4367" s="1"/>
      <c r="AF4367" s="1"/>
      <c r="AJ4367" s="1"/>
      <c r="AN4367" s="1"/>
      <c r="AS4367" s="1"/>
      <c r="AX4367" s="1"/>
    </row>
    <row r="4368" spans="1:50" x14ac:dyDescent="0.3">
      <c r="A4368" s="19">
        <f t="shared" si="344"/>
        <v>52029</v>
      </c>
      <c r="B4368">
        <f t="shared" ca="1" si="340"/>
        <v>-16.324999999999999</v>
      </c>
      <c r="C4368" t="str">
        <f ca="1">IF(currency="USD",'Future et co'!D4368,IF(currency="EUR",'Future et co'!E4368,IF(currency="GBP",'Future et co'!F4368,FALSE)))</f>
        <v>RFR USD</v>
      </c>
      <c r="D4368" t="str">
        <f t="shared" ca="1" si="341"/>
        <v>RFR USD</v>
      </c>
      <c r="E4368" t="str">
        <f t="shared" ca="1" si="342"/>
        <v>RFR EUR</v>
      </c>
      <c r="F4368" t="str">
        <f t="shared" ca="1" si="343"/>
        <v>RFR GBP</v>
      </c>
      <c r="J4368" s="1"/>
      <c r="N4368" s="1"/>
      <c r="R4368" s="1"/>
      <c r="V4368" s="1"/>
      <c r="AB4368" s="1"/>
      <c r="AF4368" s="1"/>
      <c r="AJ4368" s="1"/>
      <c r="AN4368" s="1"/>
      <c r="AS4368" s="1"/>
      <c r="AX4368" s="1"/>
    </row>
    <row r="4369" spans="1:50" x14ac:dyDescent="0.3">
      <c r="A4369" s="19">
        <f t="shared" si="344"/>
        <v>52030</v>
      </c>
      <c r="B4369">
        <f t="shared" ca="1" si="340"/>
        <v>-16.327777777777779</v>
      </c>
      <c r="C4369" t="str">
        <f ca="1">IF(currency="USD",'Future et co'!D4369,IF(currency="EUR",'Future et co'!E4369,IF(currency="GBP",'Future et co'!F4369,FALSE)))</f>
        <v>RFR USD</v>
      </c>
      <c r="D4369" t="str">
        <f t="shared" ca="1" si="341"/>
        <v>RFR USD</v>
      </c>
      <c r="E4369" t="str">
        <f t="shared" ca="1" si="342"/>
        <v>RFR EUR</v>
      </c>
      <c r="F4369" t="str">
        <f t="shared" ca="1" si="343"/>
        <v>RFR GBP</v>
      </c>
      <c r="J4369" s="1"/>
      <c r="N4369" s="1"/>
      <c r="R4369" s="1"/>
      <c r="V4369" s="1"/>
      <c r="AB4369" s="1"/>
      <c r="AF4369" s="1"/>
      <c r="AJ4369" s="1"/>
      <c r="AN4369" s="1"/>
      <c r="AS4369" s="1"/>
      <c r="AX4369" s="1"/>
    </row>
    <row r="4370" spans="1:50" x14ac:dyDescent="0.3">
      <c r="A4370" s="19">
        <f t="shared" si="344"/>
        <v>52033</v>
      </c>
      <c r="B4370">
        <f t="shared" ca="1" si="340"/>
        <v>-16.336111111111112</v>
      </c>
      <c r="C4370" t="str">
        <f ca="1">IF(currency="USD",'Future et co'!D4370,IF(currency="EUR",'Future et co'!E4370,IF(currency="GBP",'Future et co'!F4370,FALSE)))</f>
        <v>RFR USD</v>
      </c>
      <c r="D4370" t="str">
        <f t="shared" ca="1" si="341"/>
        <v>RFR USD</v>
      </c>
      <c r="E4370" t="str">
        <f t="shared" ca="1" si="342"/>
        <v>RFR EUR</v>
      </c>
      <c r="F4370" t="str">
        <f t="shared" ca="1" si="343"/>
        <v>RFR GBP</v>
      </c>
      <c r="J4370" s="1"/>
      <c r="N4370" s="1"/>
      <c r="R4370" s="1"/>
      <c r="V4370" s="1"/>
      <c r="AB4370" s="1"/>
      <c r="AF4370" s="1"/>
      <c r="AJ4370" s="1"/>
      <c r="AN4370" s="1"/>
      <c r="AS4370" s="1"/>
      <c r="AX4370" s="1"/>
    </row>
    <row r="4371" spans="1:50" x14ac:dyDescent="0.3">
      <c r="A4371" s="19">
        <f t="shared" si="344"/>
        <v>52034</v>
      </c>
      <c r="B4371">
        <f t="shared" ca="1" si="340"/>
        <v>-16.338888888888889</v>
      </c>
      <c r="C4371" t="str">
        <f ca="1">IF(currency="USD",'Future et co'!D4371,IF(currency="EUR",'Future et co'!E4371,IF(currency="GBP",'Future et co'!F4371,FALSE)))</f>
        <v>RFR USD</v>
      </c>
      <c r="D4371" t="str">
        <f t="shared" ca="1" si="341"/>
        <v>RFR USD</v>
      </c>
      <c r="E4371" t="str">
        <f t="shared" ca="1" si="342"/>
        <v>RFR EUR</v>
      </c>
      <c r="F4371" t="str">
        <f t="shared" ca="1" si="343"/>
        <v>RFR GBP</v>
      </c>
      <c r="J4371" s="1"/>
      <c r="N4371" s="1"/>
      <c r="R4371" s="1"/>
      <c r="V4371" s="1"/>
      <c r="AB4371" s="1"/>
      <c r="AF4371" s="1"/>
      <c r="AJ4371" s="1"/>
      <c r="AN4371" s="1"/>
      <c r="AS4371" s="1"/>
      <c r="AX4371" s="1"/>
    </row>
    <row r="4372" spans="1:50" x14ac:dyDescent="0.3">
      <c r="A4372" s="19">
        <f t="shared" si="344"/>
        <v>52035</v>
      </c>
      <c r="B4372">
        <f t="shared" ca="1" si="340"/>
        <v>-16.341666666666665</v>
      </c>
      <c r="C4372" t="str">
        <f ca="1">IF(currency="USD",'Future et co'!D4372,IF(currency="EUR",'Future et co'!E4372,IF(currency="GBP",'Future et co'!F4372,FALSE)))</f>
        <v>RFR USD</v>
      </c>
      <c r="D4372" t="str">
        <f t="shared" ca="1" si="341"/>
        <v>RFR USD</v>
      </c>
      <c r="E4372" t="str">
        <f t="shared" ca="1" si="342"/>
        <v>RFR EUR</v>
      </c>
      <c r="F4372" t="str">
        <f t="shared" ca="1" si="343"/>
        <v>RFR GBP</v>
      </c>
      <c r="J4372" s="1"/>
      <c r="N4372" s="1"/>
      <c r="R4372" s="1"/>
      <c r="V4372" s="1"/>
      <c r="AB4372" s="1"/>
      <c r="AF4372" s="1"/>
      <c r="AJ4372" s="1"/>
      <c r="AN4372" s="1"/>
      <c r="AS4372" s="1"/>
      <c r="AX4372" s="1"/>
    </row>
    <row r="4373" spans="1:50" x14ac:dyDescent="0.3">
      <c r="A4373" s="19">
        <f t="shared" si="344"/>
        <v>52036</v>
      </c>
      <c r="B4373">
        <f t="shared" ca="1" si="340"/>
        <v>-16.344444444444445</v>
      </c>
      <c r="C4373" t="str">
        <f ca="1">IF(currency="USD",'Future et co'!D4373,IF(currency="EUR",'Future et co'!E4373,IF(currency="GBP",'Future et co'!F4373,FALSE)))</f>
        <v>RFR USD</v>
      </c>
      <c r="D4373" t="str">
        <f t="shared" ca="1" si="341"/>
        <v>RFR USD</v>
      </c>
      <c r="E4373" t="str">
        <f t="shared" ca="1" si="342"/>
        <v>RFR EUR</v>
      </c>
      <c r="F4373" t="str">
        <f t="shared" ca="1" si="343"/>
        <v>RFR GBP</v>
      </c>
      <c r="J4373" s="1"/>
      <c r="N4373" s="1"/>
      <c r="R4373" s="1"/>
      <c r="V4373" s="1"/>
      <c r="AB4373" s="1"/>
      <c r="AF4373" s="1"/>
      <c r="AJ4373" s="1"/>
      <c r="AN4373" s="1"/>
      <c r="AS4373" s="1"/>
      <c r="AX4373" s="1"/>
    </row>
    <row r="4374" spans="1:50" x14ac:dyDescent="0.3">
      <c r="A4374" s="19">
        <f t="shared" si="344"/>
        <v>52037</v>
      </c>
      <c r="B4374">
        <f t="shared" ca="1" si="340"/>
        <v>-16.347222222222221</v>
      </c>
      <c r="C4374" t="str">
        <f ca="1">IF(currency="USD",'Future et co'!D4374,IF(currency="EUR",'Future et co'!E4374,IF(currency="GBP",'Future et co'!F4374,FALSE)))</f>
        <v>RFR USD</v>
      </c>
      <c r="D4374" t="str">
        <f t="shared" ca="1" si="341"/>
        <v>RFR USD</v>
      </c>
      <c r="E4374" t="str">
        <f t="shared" ca="1" si="342"/>
        <v>RFR EUR</v>
      </c>
      <c r="F4374" t="str">
        <f t="shared" ca="1" si="343"/>
        <v>RFR GBP</v>
      </c>
      <c r="J4374" s="1"/>
      <c r="N4374" s="1"/>
      <c r="R4374" s="1"/>
      <c r="V4374" s="1"/>
      <c r="AB4374" s="1"/>
      <c r="AF4374" s="1"/>
      <c r="AJ4374" s="1"/>
      <c r="AN4374" s="1"/>
      <c r="AS4374" s="1"/>
      <c r="AX4374" s="1"/>
    </row>
    <row r="4375" spans="1:50" x14ac:dyDescent="0.3">
      <c r="A4375" s="19">
        <f t="shared" si="344"/>
        <v>52040</v>
      </c>
      <c r="B4375">
        <f t="shared" ca="1" si="340"/>
        <v>-16.355555555555554</v>
      </c>
      <c r="C4375" t="str">
        <f ca="1">IF(currency="USD",'Future et co'!D4375,IF(currency="EUR",'Future et co'!E4375,IF(currency="GBP",'Future et co'!F4375,FALSE)))</f>
        <v>RFR USD</v>
      </c>
      <c r="D4375" t="str">
        <f t="shared" ca="1" si="341"/>
        <v>RFR USD</v>
      </c>
      <c r="E4375" t="str">
        <f t="shared" ca="1" si="342"/>
        <v>RFR EUR</v>
      </c>
      <c r="F4375" t="str">
        <f t="shared" ca="1" si="343"/>
        <v>RFR GBP</v>
      </c>
      <c r="J4375" s="1"/>
      <c r="N4375" s="1"/>
      <c r="R4375" s="1"/>
      <c r="V4375" s="1"/>
      <c r="AB4375" s="1"/>
      <c r="AF4375" s="1"/>
      <c r="AJ4375" s="1"/>
      <c r="AN4375" s="1"/>
      <c r="AS4375" s="1"/>
      <c r="AX4375" s="1"/>
    </row>
    <row r="4376" spans="1:50" x14ac:dyDescent="0.3">
      <c r="A4376" s="19">
        <f t="shared" si="344"/>
        <v>52041</v>
      </c>
      <c r="B4376">
        <f t="shared" ca="1" si="340"/>
        <v>-16.358333333333334</v>
      </c>
      <c r="C4376" t="str">
        <f ca="1">IF(currency="USD",'Future et co'!D4376,IF(currency="EUR",'Future et co'!E4376,IF(currency="GBP",'Future et co'!F4376,FALSE)))</f>
        <v>RFR USD</v>
      </c>
      <c r="D4376" t="str">
        <f t="shared" ca="1" si="341"/>
        <v>RFR USD</v>
      </c>
      <c r="E4376" t="str">
        <f t="shared" ca="1" si="342"/>
        <v>RFR EUR</v>
      </c>
      <c r="F4376" t="str">
        <f t="shared" ca="1" si="343"/>
        <v>RFR GBP</v>
      </c>
      <c r="J4376" s="1"/>
      <c r="N4376" s="1"/>
      <c r="R4376" s="1"/>
      <c r="V4376" s="1"/>
      <c r="AB4376" s="1"/>
      <c r="AF4376" s="1"/>
      <c r="AJ4376" s="1"/>
      <c r="AN4376" s="1"/>
      <c r="AS4376" s="1"/>
      <c r="AX4376" s="1"/>
    </row>
    <row r="4377" spans="1:50" x14ac:dyDescent="0.3">
      <c r="A4377" s="19">
        <f t="shared" si="344"/>
        <v>52042</v>
      </c>
      <c r="B4377">
        <f t="shared" ca="1" si="340"/>
        <v>-16.361111111111111</v>
      </c>
      <c r="C4377" t="str">
        <f ca="1">IF(currency="USD",'Future et co'!D4377,IF(currency="EUR",'Future et co'!E4377,IF(currency="GBP",'Future et co'!F4377,FALSE)))</f>
        <v>RFR USD</v>
      </c>
      <c r="D4377" t="str">
        <f t="shared" ca="1" si="341"/>
        <v>RFR USD</v>
      </c>
      <c r="E4377" t="str">
        <f t="shared" ca="1" si="342"/>
        <v>RFR EUR</v>
      </c>
      <c r="F4377" t="str">
        <f t="shared" ca="1" si="343"/>
        <v>RFR GBP</v>
      </c>
      <c r="J4377" s="1"/>
      <c r="N4377" s="1"/>
      <c r="R4377" s="1"/>
      <c r="V4377" s="1"/>
      <c r="AB4377" s="1"/>
      <c r="AF4377" s="1"/>
      <c r="AJ4377" s="1"/>
      <c r="AN4377" s="1"/>
      <c r="AS4377" s="1"/>
      <c r="AX4377" s="1"/>
    </row>
    <row r="4378" spans="1:50" x14ac:dyDescent="0.3">
      <c r="A4378" s="19">
        <f t="shared" si="344"/>
        <v>52043</v>
      </c>
      <c r="B4378">
        <f t="shared" ca="1" si="340"/>
        <v>-16.363888888888887</v>
      </c>
      <c r="C4378" t="str">
        <f ca="1">IF(currency="USD",'Future et co'!D4378,IF(currency="EUR",'Future et co'!E4378,IF(currency="GBP",'Future et co'!F4378,FALSE)))</f>
        <v>RFR USD</v>
      </c>
      <c r="D4378" t="str">
        <f t="shared" ca="1" si="341"/>
        <v>RFR USD</v>
      </c>
      <c r="E4378" t="str">
        <f t="shared" ca="1" si="342"/>
        <v>RFR EUR</v>
      </c>
      <c r="F4378" t="str">
        <f t="shared" ca="1" si="343"/>
        <v>RFR GBP</v>
      </c>
      <c r="J4378" s="1"/>
      <c r="N4378" s="1"/>
      <c r="R4378" s="1"/>
      <c r="V4378" s="1"/>
      <c r="AB4378" s="1"/>
      <c r="AF4378" s="1"/>
      <c r="AJ4378" s="1"/>
      <c r="AN4378" s="1"/>
      <c r="AS4378" s="1"/>
      <c r="AX4378" s="1"/>
    </row>
    <row r="4379" spans="1:50" x14ac:dyDescent="0.3">
      <c r="A4379" s="19">
        <f t="shared" si="344"/>
        <v>52044</v>
      </c>
      <c r="B4379">
        <f t="shared" ca="1" si="340"/>
        <v>-16.366666666666667</v>
      </c>
      <c r="C4379" t="str">
        <f ca="1">IF(currency="USD",'Future et co'!D4379,IF(currency="EUR",'Future et co'!E4379,IF(currency="GBP",'Future et co'!F4379,FALSE)))</f>
        <v>RFR USD</v>
      </c>
      <c r="D4379" t="str">
        <f t="shared" ca="1" si="341"/>
        <v>RFR USD</v>
      </c>
      <c r="E4379" t="str">
        <f t="shared" ca="1" si="342"/>
        <v>RFR EUR</v>
      </c>
      <c r="F4379" t="str">
        <f t="shared" ca="1" si="343"/>
        <v>RFR GBP</v>
      </c>
      <c r="J4379" s="1"/>
      <c r="N4379" s="1"/>
      <c r="R4379" s="1"/>
      <c r="V4379" s="1"/>
      <c r="AB4379" s="1"/>
      <c r="AF4379" s="1"/>
      <c r="AJ4379" s="1"/>
      <c r="AN4379" s="1"/>
      <c r="AS4379" s="1"/>
      <c r="AX4379" s="1"/>
    </row>
    <row r="4380" spans="1:50" x14ac:dyDescent="0.3">
      <c r="A4380" s="19">
        <f t="shared" si="344"/>
        <v>52047</v>
      </c>
      <c r="B4380">
        <f t="shared" ca="1" si="340"/>
        <v>-16.375</v>
      </c>
      <c r="C4380" t="str">
        <f ca="1">IF(currency="USD",'Future et co'!D4380,IF(currency="EUR",'Future et co'!E4380,IF(currency="GBP",'Future et co'!F4380,FALSE)))</f>
        <v>RFR USD</v>
      </c>
      <c r="D4380" t="str">
        <f t="shared" ca="1" si="341"/>
        <v>RFR USD</v>
      </c>
      <c r="E4380" t="str">
        <f t="shared" ca="1" si="342"/>
        <v>RFR EUR</v>
      </c>
      <c r="F4380" t="str">
        <f t="shared" ca="1" si="343"/>
        <v>RFR GBP</v>
      </c>
      <c r="J4380" s="1"/>
      <c r="N4380" s="1"/>
      <c r="R4380" s="1"/>
      <c r="V4380" s="1"/>
      <c r="AB4380" s="1"/>
      <c r="AF4380" s="1"/>
      <c r="AJ4380" s="1"/>
      <c r="AN4380" s="1"/>
      <c r="AS4380" s="1"/>
      <c r="AX4380" s="1"/>
    </row>
    <row r="4381" spans="1:50" x14ac:dyDescent="0.3">
      <c r="A4381" s="19">
        <f t="shared" si="344"/>
        <v>52048</v>
      </c>
      <c r="B4381">
        <f t="shared" ca="1" si="340"/>
        <v>-16.377777777777776</v>
      </c>
      <c r="C4381" t="str">
        <f ca="1">IF(currency="USD",'Future et co'!D4381,IF(currency="EUR",'Future et co'!E4381,IF(currency="GBP",'Future et co'!F4381,FALSE)))</f>
        <v>RFR USD</v>
      </c>
      <c r="D4381" t="str">
        <f t="shared" ca="1" si="341"/>
        <v>RFR USD</v>
      </c>
      <c r="E4381" t="str">
        <f t="shared" ca="1" si="342"/>
        <v>RFR EUR</v>
      </c>
      <c r="F4381" t="str">
        <f t="shared" ca="1" si="343"/>
        <v>RFR GBP</v>
      </c>
      <c r="J4381" s="1"/>
      <c r="N4381" s="1"/>
      <c r="R4381" s="1"/>
      <c r="V4381" s="1"/>
      <c r="AB4381" s="1"/>
      <c r="AF4381" s="1"/>
      <c r="AJ4381" s="1"/>
      <c r="AN4381" s="1"/>
      <c r="AS4381" s="1"/>
      <c r="AX4381" s="1"/>
    </row>
    <row r="4382" spans="1:50" x14ac:dyDescent="0.3">
      <c r="A4382" s="19">
        <f t="shared" si="344"/>
        <v>52049</v>
      </c>
      <c r="B4382">
        <f t="shared" ca="1" si="340"/>
        <v>-16.380555555555556</v>
      </c>
      <c r="C4382" t="str">
        <f ca="1">IF(currency="USD",'Future et co'!D4382,IF(currency="EUR",'Future et co'!E4382,IF(currency="GBP",'Future et co'!F4382,FALSE)))</f>
        <v>RFR USD</v>
      </c>
      <c r="D4382" t="str">
        <f t="shared" ca="1" si="341"/>
        <v>RFR USD</v>
      </c>
      <c r="E4382" t="str">
        <f t="shared" ca="1" si="342"/>
        <v>RFR EUR</v>
      </c>
      <c r="F4382" t="str">
        <f t="shared" ca="1" si="343"/>
        <v>RFR GBP</v>
      </c>
      <c r="J4382" s="1"/>
      <c r="N4382" s="1"/>
      <c r="R4382" s="1"/>
      <c r="V4382" s="1"/>
      <c r="AB4382" s="1"/>
      <c r="AF4382" s="1"/>
      <c r="AJ4382" s="1"/>
      <c r="AN4382" s="1"/>
      <c r="AS4382" s="1"/>
      <c r="AX4382" s="1"/>
    </row>
    <row r="4383" spans="1:50" x14ac:dyDescent="0.3">
      <c r="A4383" s="19">
        <f t="shared" si="344"/>
        <v>52050</v>
      </c>
      <c r="B4383">
        <f t="shared" ca="1" si="340"/>
        <v>-16.383333333333333</v>
      </c>
      <c r="C4383" t="str">
        <f ca="1">IF(currency="USD",'Future et co'!D4383,IF(currency="EUR",'Future et co'!E4383,IF(currency="GBP",'Future et co'!F4383,FALSE)))</f>
        <v>RFR USD</v>
      </c>
      <c r="D4383" t="str">
        <f t="shared" ca="1" si="341"/>
        <v>RFR USD</v>
      </c>
      <c r="E4383" t="str">
        <f t="shared" ca="1" si="342"/>
        <v>RFR EUR</v>
      </c>
      <c r="F4383" t="str">
        <f t="shared" ca="1" si="343"/>
        <v>RFR GBP</v>
      </c>
      <c r="J4383" s="1"/>
      <c r="N4383" s="1"/>
      <c r="R4383" s="1"/>
      <c r="V4383" s="1"/>
      <c r="AB4383" s="1"/>
      <c r="AF4383" s="1"/>
      <c r="AJ4383" s="1"/>
      <c r="AN4383" s="1"/>
      <c r="AS4383" s="1"/>
      <c r="AX4383" s="1"/>
    </row>
    <row r="4384" spans="1:50" x14ac:dyDescent="0.3">
      <c r="A4384" s="19">
        <f t="shared" si="344"/>
        <v>52051</v>
      </c>
      <c r="B4384">
        <f t="shared" ca="1" si="340"/>
        <v>-16.386111111111113</v>
      </c>
      <c r="C4384" t="str">
        <f ca="1">IF(currency="USD",'Future et co'!D4384,IF(currency="EUR",'Future et co'!E4384,IF(currency="GBP",'Future et co'!F4384,FALSE)))</f>
        <v>RFR USD</v>
      </c>
      <c r="D4384" t="str">
        <f t="shared" ca="1" si="341"/>
        <v>RFR USD</v>
      </c>
      <c r="E4384" t="str">
        <f t="shared" ca="1" si="342"/>
        <v>RFR EUR</v>
      </c>
      <c r="F4384" t="str">
        <f t="shared" ca="1" si="343"/>
        <v>RFR GBP</v>
      </c>
      <c r="J4384" s="1"/>
      <c r="N4384" s="1"/>
      <c r="R4384" s="1"/>
      <c r="V4384" s="1"/>
      <c r="AB4384" s="1"/>
      <c r="AF4384" s="1"/>
      <c r="AJ4384" s="1"/>
      <c r="AN4384" s="1"/>
      <c r="AS4384" s="1"/>
      <c r="AX4384" s="1"/>
    </row>
    <row r="4385" spans="1:50" x14ac:dyDescent="0.3">
      <c r="A4385" s="19">
        <f t="shared" si="344"/>
        <v>52054</v>
      </c>
      <c r="B4385">
        <f t="shared" ca="1" si="340"/>
        <v>-16.394444444444446</v>
      </c>
      <c r="C4385" t="str">
        <f ca="1">IF(currency="USD",'Future et co'!D4385,IF(currency="EUR",'Future et co'!E4385,IF(currency="GBP",'Future et co'!F4385,FALSE)))</f>
        <v>RFR USD</v>
      </c>
      <c r="D4385" t="str">
        <f t="shared" ca="1" si="341"/>
        <v>RFR USD</v>
      </c>
      <c r="E4385" t="str">
        <f t="shared" ca="1" si="342"/>
        <v>RFR EUR</v>
      </c>
      <c r="F4385" t="str">
        <f t="shared" ca="1" si="343"/>
        <v>RFR GBP</v>
      </c>
      <c r="J4385" s="1"/>
      <c r="N4385" s="1"/>
      <c r="R4385" s="1"/>
      <c r="V4385" s="1"/>
      <c r="AB4385" s="1"/>
      <c r="AF4385" s="1"/>
      <c r="AJ4385" s="1"/>
      <c r="AN4385" s="1"/>
      <c r="AS4385" s="1"/>
      <c r="AX4385" s="1"/>
    </row>
    <row r="4386" spans="1:50" x14ac:dyDescent="0.3">
      <c r="A4386" s="19">
        <f t="shared" si="344"/>
        <v>52055</v>
      </c>
      <c r="B4386">
        <f t="shared" ca="1" si="340"/>
        <v>-16.397222222222222</v>
      </c>
      <c r="C4386" t="str">
        <f ca="1">IF(currency="USD",'Future et co'!D4386,IF(currency="EUR",'Future et co'!E4386,IF(currency="GBP",'Future et co'!F4386,FALSE)))</f>
        <v>RFR USD</v>
      </c>
      <c r="D4386" t="str">
        <f t="shared" ca="1" si="341"/>
        <v>RFR USD</v>
      </c>
      <c r="E4386" t="str">
        <f t="shared" ca="1" si="342"/>
        <v>RFR EUR</v>
      </c>
      <c r="F4386" t="str">
        <f t="shared" ca="1" si="343"/>
        <v>RFR GBP</v>
      </c>
      <c r="J4386" s="1"/>
      <c r="N4386" s="1"/>
      <c r="R4386" s="1"/>
      <c r="V4386" s="1"/>
      <c r="AB4386" s="1"/>
      <c r="AF4386" s="1"/>
      <c r="AJ4386" s="1"/>
      <c r="AN4386" s="1"/>
      <c r="AS4386" s="1"/>
      <c r="AX4386" s="1"/>
    </row>
    <row r="4387" spans="1:50" x14ac:dyDescent="0.3">
      <c r="A4387" s="19">
        <f t="shared" si="344"/>
        <v>52056</v>
      </c>
      <c r="B4387">
        <f t="shared" ca="1" si="340"/>
        <v>-16.399999999999999</v>
      </c>
      <c r="C4387" t="str">
        <f ca="1">IF(currency="USD",'Future et co'!D4387,IF(currency="EUR",'Future et co'!E4387,IF(currency="GBP",'Future et co'!F4387,FALSE)))</f>
        <v>RFR USD</v>
      </c>
      <c r="D4387" t="str">
        <f t="shared" ca="1" si="341"/>
        <v>RFR USD</v>
      </c>
      <c r="E4387" t="str">
        <f t="shared" ca="1" si="342"/>
        <v>RFR EUR</v>
      </c>
      <c r="F4387" t="str">
        <f t="shared" ca="1" si="343"/>
        <v>RFR GBP</v>
      </c>
      <c r="J4387" s="1"/>
      <c r="N4387" s="1"/>
      <c r="R4387" s="1"/>
      <c r="V4387" s="1"/>
      <c r="AB4387" s="1"/>
      <c r="AF4387" s="1"/>
      <c r="AJ4387" s="1"/>
      <c r="AN4387" s="1"/>
      <c r="AS4387" s="1"/>
      <c r="AX4387" s="1"/>
    </row>
    <row r="4388" spans="1:50" x14ac:dyDescent="0.3">
      <c r="A4388" s="19">
        <f t="shared" si="344"/>
        <v>52057</v>
      </c>
      <c r="B4388">
        <f t="shared" ca="1" si="340"/>
        <v>-16.402777777777779</v>
      </c>
      <c r="C4388" t="str">
        <f ca="1">IF(currency="USD",'Future et co'!D4388,IF(currency="EUR",'Future et co'!E4388,IF(currency="GBP",'Future et co'!F4388,FALSE)))</f>
        <v>RFR USD</v>
      </c>
      <c r="D4388" t="str">
        <f t="shared" ca="1" si="341"/>
        <v>RFR USD</v>
      </c>
      <c r="E4388" t="str">
        <f t="shared" ca="1" si="342"/>
        <v>RFR EUR</v>
      </c>
      <c r="F4388" t="str">
        <f t="shared" ca="1" si="343"/>
        <v>RFR GBP</v>
      </c>
      <c r="J4388" s="1"/>
      <c r="N4388" s="1"/>
      <c r="R4388" s="1"/>
      <c r="V4388" s="1"/>
      <c r="AB4388" s="1"/>
      <c r="AF4388" s="1"/>
      <c r="AJ4388" s="1"/>
      <c r="AN4388" s="1"/>
      <c r="AS4388" s="1"/>
      <c r="AX4388" s="1"/>
    </row>
    <row r="4389" spans="1:50" x14ac:dyDescent="0.3">
      <c r="A4389" s="19">
        <f t="shared" si="344"/>
        <v>52058</v>
      </c>
      <c r="B4389">
        <f t="shared" ca="1" si="340"/>
        <v>-16.405555555555555</v>
      </c>
      <c r="C4389" t="str">
        <f ca="1">IF(currency="USD",'Future et co'!D4389,IF(currency="EUR",'Future et co'!E4389,IF(currency="GBP",'Future et co'!F4389,FALSE)))</f>
        <v>RFR USD</v>
      </c>
      <c r="D4389" t="str">
        <f t="shared" ca="1" si="341"/>
        <v>RFR USD</v>
      </c>
      <c r="E4389" t="str">
        <f t="shared" ca="1" si="342"/>
        <v>RFR EUR</v>
      </c>
      <c r="F4389" t="str">
        <f t="shared" ca="1" si="343"/>
        <v>RFR GBP</v>
      </c>
      <c r="J4389" s="1"/>
      <c r="N4389" s="1"/>
      <c r="R4389" s="1"/>
      <c r="V4389" s="1"/>
      <c r="AB4389" s="1"/>
      <c r="AF4389" s="1"/>
      <c r="AJ4389" s="1"/>
      <c r="AN4389" s="1"/>
      <c r="AS4389" s="1"/>
      <c r="AX4389" s="1"/>
    </row>
    <row r="4390" spans="1:50" x14ac:dyDescent="0.3">
      <c r="A4390" s="19">
        <f t="shared" si="344"/>
        <v>52061</v>
      </c>
      <c r="B4390">
        <f t="shared" ca="1" si="340"/>
        <v>-16.413888888888888</v>
      </c>
      <c r="C4390" t="str">
        <f ca="1">IF(currency="USD",'Future et co'!D4390,IF(currency="EUR",'Future et co'!E4390,IF(currency="GBP",'Future et co'!F4390,FALSE)))</f>
        <v>RFR USD</v>
      </c>
      <c r="D4390" t="str">
        <f t="shared" ca="1" si="341"/>
        <v>RFR USD</v>
      </c>
      <c r="E4390" t="str">
        <f t="shared" ca="1" si="342"/>
        <v>RFR EUR</v>
      </c>
      <c r="F4390" t="str">
        <f t="shared" ca="1" si="343"/>
        <v>RFR GBP</v>
      </c>
      <c r="J4390" s="1"/>
      <c r="N4390" s="1"/>
      <c r="R4390" s="1"/>
      <c r="V4390" s="1"/>
      <c r="AB4390" s="1"/>
      <c r="AF4390" s="1"/>
      <c r="AJ4390" s="1"/>
      <c r="AN4390" s="1"/>
      <c r="AS4390" s="1"/>
      <c r="AX4390" s="1"/>
    </row>
    <row r="4391" spans="1:50" x14ac:dyDescent="0.3">
      <c r="A4391" s="19">
        <f t="shared" si="344"/>
        <v>52062</v>
      </c>
      <c r="B4391">
        <f t="shared" ca="1" si="340"/>
        <v>-16.416666666666668</v>
      </c>
      <c r="C4391" t="str">
        <f ca="1">IF(currency="USD",'Future et co'!D4391,IF(currency="EUR",'Future et co'!E4391,IF(currency="GBP",'Future et co'!F4391,FALSE)))</f>
        <v>RFR USD</v>
      </c>
      <c r="D4391" t="str">
        <f t="shared" ca="1" si="341"/>
        <v>RFR USD</v>
      </c>
      <c r="E4391" t="str">
        <f t="shared" ca="1" si="342"/>
        <v>RFR EUR</v>
      </c>
      <c r="F4391" t="str">
        <f t="shared" ca="1" si="343"/>
        <v>RFR GBP</v>
      </c>
      <c r="J4391" s="1"/>
      <c r="N4391" s="1"/>
      <c r="R4391" s="1"/>
      <c r="V4391" s="1"/>
      <c r="AB4391" s="1"/>
      <c r="AF4391" s="1"/>
      <c r="AJ4391" s="1"/>
      <c r="AN4391" s="1"/>
      <c r="AS4391" s="1"/>
      <c r="AX4391" s="1"/>
    </row>
    <row r="4392" spans="1:50" x14ac:dyDescent="0.3">
      <c r="A4392" s="19">
        <f t="shared" si="344"/>
        <v>52063</v>
      </c>
      <c r="B4392">
        <f t="shared" ca="1" si="340"/>
        <v>-16.419444444444444</v>
      </c>
      <c r="C4392" t="str">
        <f ca="1">IF(currency="USD",'Future et co'!D4392,IF(currency="EUR",'Future et co'!E4392,IF(currency="GBP",'Future et co'!F4392,FALSE)))</f>
        <v>RFR USD</v>
      </c>
      <c r="D4392" t="str">
        <f t="shared" ca="1" si="341"/>
        <v>RFR USD</v>
      </c>
      <c r="E4392" t="str">
        <f t="shared" ca="1" si="342"/>
        <v>RFR EUR</v>
      </c>
      <c r="F4392" t="str">
        <f t="shared" ca="1" si="343"/>
        <v>RFR GBP</v>
      </c>
      <c r="J4392" s="1"/>
      <c r="N4392" s="1"/>
      <c r="R4392" s="1"/>
      <c r="V4392" s="1"/>
      <c r="AB4392" s="1"/>
      <c r="AF4392" s="1"/>
      <c r="AJ4392" s="1"/>
      <c r="AN4392" s="1"/>
      <c r="AS4392" s="1"/>
      <c r="AX4392" s="1"/>
    </row>
    <row r="4393" spans="1:50" x14ac:dyDescent="0.3">
      <c r="A4393" s="19">
        <f t="shared" si="344"/>
        <v>52064</v>
      </c>
      <c r="B4393">
        <f t="shared" ca="1" si="340"/>
        <v>-16.422222222222221</v>
      </c>
      <c r="C4393" t="str">
        <f ca="1">IF(currency="USD",'Future et co'!D4393,IF(currency="EUR",'Future et co'!E4393,IF(currency="GBP",'Future et co'!F4393,FALSE)))</f>
        <v>RFR USD</v>
      </c>
      <c r="D4393" t="str">
        <f t="shared" ca="1" si="341"/>
        <v>RFR USD</v>
      </c>
      <c r="E4393" t="str">
        <f t="shared" ca="1" si="342"/>
        <v>RFR EUR</v>
      </c>
      <c r="F4393" t="str">
        <f t="shared" ca="1" si="343"/>
        <v>RFR GBP</v>
      </c>
      <c r="J4393" s="1"/>
      <c r="N4393" s="1"/>
      <c r="R4393" s="1"/>
      <c r="V4393" s="1"/>
      <c r="AB4393" s="1"/>
      <c r="AF4393" s="1"/>
      <c r="AJ4393" s="1"/>
      <c r="AN4393" s="1"/>
      <c r="AS4393" s="1"/>
      <c r="AX4393" s="1"/>
    </row>
    <row r="4394" spans="1:50" x14ac:dyDescent="0.3">
      <c r="A4394" s="19">
        <f t="shared" si="344"/>
        <v>52065</v>
      </c>
      <c r="B4394">
        <f t="shared" ca="1" si="340"/>
        <v>-16.425000000000001</v>
      </c>
      <c r="C4394" t="str">
        <f ca="1">IF(currency="USD",'Future et co'!D4394,IF(currency="EUR",'Future et co'!E4394,IF(currency="GBP",'Future et co'!F4394,FALSE)))</f>
        <v>RFR USD</v>
      </c>
      <c r="D4394" t="str">
        <f t="shared" ca="1" si="341"/>
        <v>RFR USD</v>
      </c>
      <c r="E4394" t="str">
        <f t="shared" ca="1" si="342"/>
        <v>RFR EUR</v>
      </c>
      <c r="F4394" t="str">
        <f t="shared" ca="1" si="343"/>
        <v>RFR GBP</v>
      </c>
      <c r="J4394" s="1"/>
      <c r="N4394" s="1"/>
      <c r="R4394" s="1"/>
      <c r="V4394" s="1"/>
      <c r="AB4394" s="1"/>
      <c r="AF4394" s="1"/>
      <c r="AJ4394" s="1"/>
      <c r="AN4394" s="1"/>
      <c r="AS4394" s="1"/>
      <c r="AX4394" s="1"/>
    </row>
    <row r="4395" spans="1:50" x14ac:dyDescent="0.3">
      <c r="A4395" s="19">
        <f t="shared" si="344"/>
        <v>52068</v>
      </c>
      <c r="B4395">
        <f t="shared" ca="1" si="340"/>
        <v>-16.433333333333334</v>
      </c>
      <c r="C4395" t="str">
        <f ca="1">IF(currency="USD",'Future et co'!D4395,IF(currency="EUR",'Future et co'!E4395,IF(currency="GBP",'Future et co'!F4395,FALSE)))</f>
        <v>RFR USD</v>
      </c>
      <c r="D4395" t="str">
        <f t="shared" ca="1" si="341"/>
        <v>RFR USD</v>
      </c>
      <c r="E4395" t="str">
        <f t="shared" ca="1" si="342"/>
        <v>RFR EUR</v>
      </c>
      <c r="F4395" t="str">
        <f t="shared" ca="1" si="343"/>
        <v>RFR GBP</v>
      </c>
      <c r="J4395" s="1"/>
      <c r="N4395" s="1"/>
      <c r="R4395" s="1"/>
      <c r="V4395" s="1"/>
      <c r="AB4395" s="1"/>
      <c r="AF4395" s="1"/>
      <c r="AJ4395" s="1"/>
      <c r="AN4395" s="1"/>
      <c r="AS4395" s="1"/>
      <c r="AX4395" s="1"/>
    </row>
    <row r="4396" spans="1:50" x14ac:dyDescent="0.3">
      <c r="A4396" s="19">
        <f t="shared" si="344"/>
        <v>52069</v>
      </c>
      <c r="B4396">
        <f t="shared" ca="1" si="340"/>
        <v>-16.43611111111111</v>
      </c>
      <c r="C4396" t="str">
        <f ca="1">IF(currency="USD",'Future et co'!D4396,IF(currency="EUR",'Future et co'!E4396,IF(currency="GBP",'Future et co'!F4396,FALSE)))</f>
        <v>RFR USD</v>
      </c>
      <c r="D4396" t="str">
        <f t="shared" ca="1" si="341"/>
        <v>RFR USD</v>
      </c>
      <c r="E4396" t="str">
        <f t="shared" ca="1" si="342"/>
        <v>RFR EUR</v>
      </c>
      <c r="F4396" t="str">
        <f t="shared" ca="1" si="343"/>
        <v>RFR GBP</v>
      </c>
      <c r="J4396" s="1"/>
      <c r="N4396" s="1"/>
      <c r="R4396" s="1"/>
      <c r="V4396" s="1"/>
      <c r="AB4396" s="1"/>
      <c r="AF4396" s="1"/>
      <c r="AJ4396" s="1"/>
      <c r="AN4396" s="1"/>
      <c r="AS4396" s="1"/>
      <c r="AX4396" s="1"/>
    </row>
    <row r="4397" spans="1:50" x14ac:dyDescent="0.3">
      <c r="A4397" s="19">
        <f t="shared" si="344"/>
        <v>52070</v>
      </c>
      <c r="B4397">
        <f t="shared" ca="1" si="340"/>
        <v>-16.43888888888889</v>
      </c>
      <c r="C4397" t="str">
        <f ca="1">IF(currency="USD",'Future et co'!D4397,IF(currency="EUR",'Future et co'!E4397,IF(currency="GBP",'Future et co'!F4397,FALSE)))</f>
        <v>RFR USD</v>
      </c>
      <c r="D4397" t="str">
        <f t="shared" ca="1" si="341"/>
        <v>RFR USD</v>
      </c>
      <c r="E4397" t="str">
        <f t="shared" ca="1" si="342"/>
        <v>RFR EUR</v>
      </c>
      <c r="F4397" t="str">
        <f t="shared" ca="1" si="343"/>
        <v>RFR GBP</v>
      </c>
      <c r="J4397" s="1"/>
      <c r="N4397" s="1"/>
      <c r="R4397" s="1"/>
      <c r="V4397" s="1"/>
      <c r="AB4397" s="1"/>
      <c r="AF4397" s="1"/>
      <c r="AJ4397" s="1"/>
      <c r="AN4397" s="1"/>
      <c r="AS4397" s="1"/>
      <c r="AX4397" s="1"/>
    </row>
    <row r="4398" spans="1:50" x14ac:dyDescent="0.3">
      <c r="A4398" s="19">
        <f t="shared" si="344"/>
        <v>52071</v>
      </c>
      <c r="B4398">
        <f t="shared" ca="1" si="340"/>
        <v>-16.441666666666666</v>
      </c>
      <c r="C4398" t="str">
        <f ca="1">IF(currency="USD",'Future et co'!D4398,IF(currency="EUR",'Future et co'!E4398,IF(currency="GBP",'Future et co'!F4398,FALSE)))</f>
        <v>RFR USD</v>
      </c>
      <c r="D4398" t="str">
        <f t="shared" ca="1" si="341"/>
        <v>RFR USD</v>
      </c>
      <c r="E4398" t="str">
        <f t="shared" ca="1" si="342"/>
        <v>RFR EUR</v>
      </c>
      <c r="F4398" t="str">
        <f t="shared" ca="1" si="343"/>
        <v>RFR GBP</v>
      </c>
      <c r="J4398" s="1"/>
      <c r="N4398" s="1"/>
      <c r="R4398" s="1"/>
      <c r="V4398" s="1"/>
      <c r="AB4398" s="1"/>
      <c r="AF4398" s="1"/>
      <c r="AJ4398" s="1"/>
      <c r="AN4398" s="1"/>
      <c r="AS4398" s="1"/>
      <c r="AX4398" s="1"/>
    </row>
    <row r="4399" spans="1:50" x14ac:dyDescent="0.3">
      <c r="A4399" s="19">
        <f t="shared" si="344"/>
        <v>52072</v>
      </c>
      <c r="B4399">
        <f t="shared" ca="1" si="340"/>
        <v>-16.444444444444443</v>
      </c>
      <c r="C4399" t="str">
        <f ca="1">IF(currency="USD",'Future et co'!D4399,IF(currency="EUR",'Future et co'!E4399,IF(currency="GBP",'Future et co'!F4399,FALSE)))</f>
        <v>RFR USD</v>
      </c>
      <c r="D4399" t="str">
        <f t="shared" ca="1" si="341"/>
        <v>RFR USD</v>
      </c>
      <c r="E4399" t="str">
        <f t="shared" ca="1" si="342"/>
        <v>RFR EUR</v>
      </c>
      <c r="F4399" t="str">
        <f t="shared" ca="1" si="343"/>
        <v>RFR GBP</v>
      </c>
      <c r="J4399" s="1"/>
      <c r="N4399" s="1"/>
      <c r="R4399" s="1"/>
      <c r="V4399" s="1"/>
      <c r="AB4399" s="1"/>
      <c r="AF4399" s="1"/>
      <c r="AJ4399" s="1"/>
      <c r="AN4399" s="1"/>
      <c r="AS4399" s="1"/>
      <c r="AX4399" s="1"/>
    </row>
    <row r="4400" spans="1:50" x14ac:dyDescent="0.3">
      <c r="A4400" s="19">
        <f t="shared" si="344"/>
        <v>52075</v>
      </c>
      <c r="B4400">
        <f t="shared" ca="1" si="340"/>
        <v>-16.452777777777779</v>
      </c>
      <c r="C4400" t="str">
        <f ca="1">IF(currency="USD",'Future et co'!D4400,IF(currency="EUR",'Future et co'!E4400,IF(currency="GBP",'Future et co'!F4400,FALSE)))</f>
        <v>RFR USD</v>
      </c>
      <c r="D4400" t="str">
        <f t="shared" ca="1" si="341"/>
        <v>RFR USD</v>
      </c>
      <c r="E4400" t="str">
        <f t="shared" ca="1" si="342"/>
        <v>RFR EUR</v>
      </c>
      <c r="F4400" t="str">
        <f t="shared" ca="1" si="343"/>
        <v>RFR GBP</v>
      </c>
      <c r="J4400" s="1"/>
      <c r="N4400" s="1"/>
      <c r="R4400" s="1"/>
      <c r="V4400" s="1"/>
      <c r="AB4400" s="1"/>
      <c r="AF4400" s="1"/>
      <c r="AJ4400" s="1"/>
      <c r="AN4400" s="1"/>
      <c r="AS4400" s="1"/>
      <c r="AX4400" s="1"/>
    </row>
    <row r="4401" spans="1:50" x14ac:dyDescent="0.3">
      <c r="A4401" s="19">
        <f t="shared" si="344"/>
        <v>52076</v>
      </c>
      <c r="B4401">
        <f t="shared" ca="1" si="340"/>
        <v>-16.455555555555556</v>
      </c>
      <c r="C4401" t="str">
        <f ca="1">IF(currency="USD",'Future et co'!D4401,IF(currency="EUR",'Future et co'!E4401,IF(currency="GBP",'Future et co'!F4401,FALSE)))</f>
        <v>RFR USD</v>
      </c>
      <c r="D4401" t="str">
        <f t="shared" ca="1" si="341"/>
        <v>RFR USD</v>
      </c>
      <c r="E4401" t="str">
        <f t="shared" ca="1" si="342"/>
        <v>RFR EUR</v>
      </c>
      <c r="F4401" t="str">
        <f t="shared" ca="1" si="343"/>
        <v>RFR GBP</v>
      </c>
      <c r="J4401" s="1"/>
      <c r="N4401" s="1"/>
      <c r="R4401" s="1"/>
      <c r="V4401" s="1"/>
      <c r="AB4401" s="1"/>
      <c r="AF4401" s="1"/>
      <c r="AJ4401" s="1"/>
      <c r="AN4401" s="1"/>
      <c r="AS4401" s="1"/>
      <c r="AX4401" s="1"/>
    </row>
    <row r="4402" spans="1:50" x14ac:dyDescent="0.3">
      <c r="A4402" s="19">
        <f t="shared" si="344"/>
        <v>52077</v>
      </c>
      <c r="B4402">
        <f t="shared" ca="1" si="340"/>
        <v>-16.458333333333332</v>
      </c>
      <c r="C4402" t="str">
        <f ca="1">IF(currency="USD",'Future et co'!D4402,IF(currency="EUR",'Future et co'!E4402,IF(currency="GBP",'Future et co'!F4402,FALSE)))</f>
        <v>RFR USD</v>
      </c>
      <c r="D4402" t="str">
        <f t="shared" ca="1" si="341"/>
        <v>RFR USD</v>
      </c>
      <c r="E4402" t="str">
        <f t="shared" ca="1" si="342"/>
        <v>RFR EUR</v>
      </c>
      <c r="F4402" t="str">
        <f t="shared" ca="1" si="343"/>
        <v>RFR GBP</v>
      </c>
      <c r="J4402" s="1"/>
      <c r="N4402" s="1"/>
      <c r="R4402" s="1"/>
      <c r="V4402" s="1"/>
      <c r="AB4402" s="1"/>
      <c r="AF4402" s="1"/>
      <c r="AJ4402" s="1"/>
      <c r="AN4402" s="1"/>
      <c r="AS4402" s="1"/>
      <c r="AX4402" s="1"/>
    </row>
    <row r="4403" spans="1:50" x14ac:dyDescent="0.3">
      <c r="A4403" s="19">
        <f t="shared" si="344"/>
        <v>52078</v>
      </c>
      <c r="B4403">
        <f t="shared" ca="1" si="340"/>
        <v>-16.461111111111112</v>
      </c>
      <c r="C4403" t="str">
        <f ca="1">IF(currency="USD",'Future et co'!D4403,IF(currency="EUR",'Future et co'!E4403,IF(currency="GBP",'Future et co'!F4403,FALSE)))</f>
        <v>RFR USD</v>
      </c>
      <c r="D4403" t="str">
        <f t="shared" ca="1" si="341"/>
        <v>RFR USD</v>
      </c>
      <c r="E4403" t="str">
        <f t="shared" ca="1" si="342"/>
        <v>RFR EUR</v>
      </c>
      <c r="F4403" t="str">
        <f t="shared" ca="1" si="343"/>
        <v>RFR GBP</v>
      </c>
      <c r="J4403" s="1"/>
      <c r="N4403" s="1"/>
      <c r="R4403" s="1"/>
      <c r="V4403" s="1"/>
      <c r="AB4403" s="1"/>
      <c r="AF4403" s="1"/>
      <c r="AJ4403" s="1"/>
      <c r="AN4403" s="1"/>
      <c r="AS4403" s="1"/>
      <c r="AX4403" s="1"/>
    </row>
    <row r="4404" spans="1:50" x14ac:dyDescent="0.3">
      <c r="A4404" s="19">
        <f t="shared" si="344"/>
        <v>52079</v>
      </c>
      <c r="B4404">
        <f t="shared" ca="1" si="340"/>
        <v>-16.463888888888889</v>
      </c>
      <c r="C4404" t="str">
        <f ca="1">IF(currency="USD",'Future et co'!D4404,IF(currency="EUR",'Future et co'!E4404,IF(currency="GBP",'Future et co'!F4404,FALSE)))</f>
        <v>RFR USD</v>
      </c>
      <c r="D4404" t="str">
        <f t="shared" ca="1" si="341"/>
        <v>RFR USD</v>
      </c>
      <c r="E4404" t="str">
        <f t="shared" ca="1" si="342"/>
        <v>RFR EUR</v>
      </c>
      <c r="F4404" t="str">
        <f t="shared" ca="1" si="343"/>
        <v>RFR GBP</v>
      </c>
      <c r="J4404" s="1"/>
      <c r="N4404" s="1"/>
      <c r="R4404" s="1"/>
      <c r="V4404" s="1"/>
      <c r="AB4404" s="1"/>
      <c r="AF4404" s="1"/>
      <c r="AJ4404" s="1"/>
      <c r="AN4404" s="1"/>
      <c r="AS4404" s="1"/>
      <c r="AX4404" s="1"/>
    </row>
    <row r="4405" spans="1:50" x14ac:dyDescent="0.3">
      <c r="A4405" s="19">
        <f t="shared" si="344"/>
        <v>52082</v>
      </c>
      <c r="B4405">
        <f t="shared" ca="1" si="340"/>
        <v>-16.472222222222221</v>
      </c>
      <c r="C4405" t="str">
        <f ca="1">IF(currency="USD",'Future et co'!D4405,IF(currency="EUR",'Future et co'!E4405,IF(currency="GBP",'Future et co'!F4405,FALSE)))</f>
        <v>RFR USD</v>
      </c>
      <c r="D4405" t="str">
        <f t="shared" ca="1" si="341"/>
        <v>RFR USD</v>
      </c>
      <c r="E4405" t="str">
        <f t="shared" ca="1" si="342"/>
        <v>RFR EUR</v>
      </c>
      <c r="F4405" t="str">
        <f t="shared" ca="1" si="343"/>
        <v>RFR GBP</v>
      </c>
      <c r="J4405" s="1"/>
      <c r="N4405" s="1"/>
      <c r="R4405" s="1"/>
      <c r="V4405" s="1"/>
      <c r="AB4405" s="1"/>
      <c r="AF4405" s="1"/>
      <c r="AJ4405" s="1"/>
      <c r="AN4405" s="1"/>
      <c r="AS4405" s="1"/>
      <c r="AX4405" s="1"/>
    </row>
    <row r="4406" spans="1:50" x14ac:dyDescent="0.3">
      <c r="A4406" s="19">
        <f t="shared" si="344"/>
        <v>52083</v>
      </c>
      <c r="B4406">
        <f t="shared" ca="1" si="340"/>
        <v>-16.475000000000001</v>
      </c>
      <c r="C4406" t="str">
        <f ca="1">IF(currency="USD",'Future et co'!D4406,IF(currency="EUR",'Future et co'!E4406,IF(currency="GBP",'Future et co'!F4406,FALSE)))</f>
        <v>RFR USD</v>
      </c>
      <c r="D4406" t="str">
        <f t="shared" ca="1" si="341"/>
        <v>RFR USD</v>
      </c>
      <c r="E4406" t="str">
        <f t="shared" ca="1" si="342"/>
        <v>RFR EUR</v>
      </c>
      <c r="F4406" t="str">
        <f t="shared" ca="1" si="343"/>
        <v>RFR GBP</v>
      </c>
      <c r="J4406" s="1"/>
      <c r="N4406" s="1"/>
      <c r="R4406" s="1"/>
      <c r="V4406" s="1"/>
      <c r="AB4406" s="1"/>
      <c r="AF4406" s="1"/>
      <c r="AJ4406" s="1"/>
      <c r="AN4406" s="1"/>
      <c r="AS4406" s="1"/>
      <c r="AX4406" s="1"/>
    </row>
    <row r="4407" spans="1:50" x14ac:dyDescent="0.3">
      <c r="A4407" s="19">
        <f t="shared" si="344"/>
        <v>52084</v>
      </c>
      <c r="B4407">
        <f t="shared" ca="1" si="340"/>
        <v>-16.477777777777778</v>
      </c>
      <c r="C4407" t="str">
        <f ca="1">IF(currency="USD",'Future et co'!D4407,IF(currency="EUR",'Future et co'!E4407,IF(currency="GBP",'Future et co'!F4407,FALSE)))</f>
        <v>RFR USD</v>
      </c>
      <c r="D4407" t="str">
        <f t="shared" ca="1" si="341"/>
        <v>RFR USD</v>
      </c>
      <c r="E4407" t="str">
        <f t="shared" ca="1" si="342"/>
        <v>RFR EUR</v>
      </c>
      <c r="F4407" t="str">
        <f t="shared" ca="1" si="343"/>
        <v>RFR GBP</v>
      </c>
      <c r="J4407" s="1"/>
      <c r="N4407" s="1"/>
      <c r="R4407" s="1"/>
      <c r="V4407" s="1"/>
      <c r="AB4407" s="1"/>
      <c r="AF4407" s="1"/>
      <c r="AJ4407" s="1"/>
      <c r="AN4407" s="1"/>
      <c r="AS4407" s="1"/>
      <c r="AX4407" s="1"/>
    </row>
    <row r="4408" spans="1:50" x14ac:dyDescent="0.3">
      <c r="A4408" s="19">
        <f t="shared" si="344"/>
        <v>52085</v>
      </c>
      <c r="B4408">
        <f t="shared" ca="1" si="340"/>
        <v>-16.480555555555554</v>
      </c>
      <c r="C4408" t="str">
        <f ca="1">IF(currency="USD",'Future et co'!D4408,IF(currency="EUR",'Future et co'!E4408,IF(currency="GBP",'Future et co'!F4408,FALSE)))</f>
        <v>RFR USD</v>
      </c>
      <c r="D4408" t="str">
        <f t="shared" ca="1" si="341"/>
        <v>RFR USD</v>
      </c>
      <c r="E4408" t="str">
        <f t="shared" ca="1" si="342"/>
        <v>RFR EUR</v>
      </c>
      <c r="F4408" t="str">
        <f t="shared" ca="1" si="343"/>
        <v>RFR GBP</v>
      </c>
      <c r="J4408" s="1"/>
      <c r="N4408" s="1"/>
      <c r="R4408" s="1"/>
      <c r="V4408" s="1"/>
      <c r="AB4408" s="1"/>
      <c r="AF4408" s="1"/>
      <c r="AJ4408" s="1"/>
      <c r="AN4408" s="1"/>
      <c r="AS4408" s="1"/>
      <c r="AX4408" s="1"/>
    </row>
    <row r="4409" spans="1:50" x14ac:dyDescent="0.3">
      <c r="A4409" s="19">
        <f t="shared" si="344"/>
        <v>52086</v>
      </c>
      <c r="B4409">
        <f t="shared" ca="1" si="340"/>
        <v>-16.483333333333334</v>
      </c>
      <c r="C4409" t="str">
        <f ca="1">IF(currency="USD",'Future et co'!D4409,IF(currency="EUR",'Future et co'!E4409,IF(currency="GBP",'Future et co'!F4409,FALSE)))</f>
        <v>RFR USD</v>
      </c>
      <c r="D4409" t="str">
        <f t="shared" ca="1" si="341"/>
        <v>RFR USD</v>
      </c>
      <c r="E4409" t="str">
        <f t="shared" ca="1" si="342"/>
        <v>RFR EUR</v>
      </c>
      <c r="F4409" t="str">
        <f t="shared" ca="1" si="343"/>
        <v>RFR GBP</v>
      </c>
      <c r="J4409" s="1"/>
      <c r="N4409" s="1"/>
      <c r="R4409" s="1"/>
      <c r="V4409" s="1"/>
      <c r="AB4409" s="1"/>
      <c r="AF4409" s="1"/>
      <c r="AJ4409" s="1"/>
      <c r="AN4409" s="1"/>
      <c r="AS4409" s="1"/>
      <c r="AX4409" s="1"/>
    </row>
    <row r="4410" spans="1:50" x14ac:dyDescent="0.3">
      <c r="A4410" s="19">
        <f t="shared" si="344"/>
        <v>52089</v>
      </c>
      <c r="B4410">
        <f t="shared" ca="1" si="340"/>
        <v>-16.491666666666667</v>
      </c>
      <c r="C4410" t="str">
        <f ca="1">IF(currency="USD",'Future et co'!D4410,IF(currency="EUR",'Future et co'!E4410,IF(currency="GBP",'Future et co'!F4410,FALSE)))</f>
        <v>RFR USD</v>
      </c>
      <c r="D4410" t="str">
        <f t="shared" ca="1" si="341"/>
        <v>RFR USD</v>
      </c>
      <c r="E4410" t="str">
        <f t="shared" ca="1" si="342"/>
        <v>RFR EUR</v>
      </c>
      <c r="F4410" t="str">
        <f t="shared" ca="1" si="343"/>
        <v>RFR GBP</v>
      </c>
      <c r="J4410" s="1"/>
      <c r="N4410" s="1"/>
      <c r="R4410" s="1"/>
      <c r="V4410" s="1"/>
      <c r="AB4410" s="1"/>
      <c r="AF4410" s="1"/>
      <c r="AJ4410" s="1"/>
      <c r="AN4410" s="1"/>
      <c r="AS4410" s="1"/>
      <c r="AX4410" s="1"/>
    </row>
    <row r="4411" spans="1:50" x14ac:dyDescent="0.3">
      <c r="A4411" s="19">
        <f t="shared" si="344"/>
        <v>52090</v>
      </c>
      <c r="B4411">
        <f t="shared" ca="1" si="340"/>
        <v>-16.494444444444444</v>
      </c>
      <c r="C4411" t="str">
        <f ca="1">IF(currency="USD",'Future et co'!D4411,IF(currency="EUR",'Future et co'!E4411,IF(currency="GBP",'Future et co'!F4411,FALSE)))</f>
        <v>RFR USD</v>
      </c>
      <c r="D4411" t="str">
        <f t="shared" ca="1" si="341"/>
        <v>RFR USD</v>
      </c>
      <c r="E4411" t="str">
        <f t="shared" ca="1" si="342"/>
        <v>RFR EUR</v>
      </c>
      <c r="F4411" t="str">
        <f t="shared" ca="1" si="343"/>
        <v>RFR GBP</v>
      </c>
      <c r="J4411" s="1"/>
      <c r="N4411" s="1"/>
      <c r="R4411" s="1"/>
      <c r="V4411" s="1"/>
      <c r="AB4411" s="1"/>
      <c r="AF4411" s="1"/>
      <c r="AJ4411" s="1"/>
      <c r="AN4411" s="1"/>
      <c r="AS4411" s="1"/>
      <c r="AX4411" s="1"/>
    </row>
    <row r="4412" spans="1:50" x14ac:dyDescent="0.3">
      <c r="A4412" s="19">
        <f t="shared" si="344"/>
        <v>52091</v>
      </c>
      <c r="B4412">
        <f t="shared" ca="1" si="340"/>
        <v>-16.497222222222224</v>
      </c>
      <c r="C4412" t="str">
        <f ca="1">IF(currency="USD",'Future et co'!D4412,IF(currency="EUR",'Future et co'!E4412,IF(currency="GBP",'Future et co'!F4412,FALSE)))</f>
        <v>RFR USD</v>
      </c>
      <c r="D4412" t="str">
        <f t="shared" ca="1" si="341"/>
        <v>RFR USD</v>
      </c>
      <c r="E4412" t="str">
        <f t="shared" ca="1" si="342"/>
        <v>RFR EUR</v>
      </c>
      <c r="F4412" t="str">
        <f t="shared" ca="1" si="343"/>
        <v>RFR GBP</v>
      </c>
      <c r="J4412" s="1"/>
      <c r="N4412" s="1"/>
      <c r="R4412" s="1"/>
      <c r="V4412" s="1"/>
      <c r="AB4412" s="1"/>
      <c r="AF4412" s="1"/>
      <c r="AJ4412" s="1"/>
      <c r="AN4412" s="1"/>
      <c r="AS4412" s="1"/>
      <c r="AX4412" s="1"/>
    </row>
    <row r="4413" spans="1:50" x14ac:dyDescent="0.3">
      <c r="A4413" s="19">
        <f t="shared" si="344"/>
        <v>52092</v>
      </c>
      <c r="B4413">
        <f t="shared" ca="1" si="340"/>
        <v>-16.5</v>
      </c>
      <c r="C4413" t="str">
        <f ca="1">IF(currency="USD",'Future et co'!D4413,IF(currency="EUR",'Future et co'!E4413,IF(currency="GBP",'Future et co'!F4413,FALSE)))</f>
        <v>RFR USD</v>
      </c>
      <c r="D4413" t="str">
        <f t="shared" ca="1" si="341"/>
        <v>RFR USD</v>
      </c>
      <c r="E4413" t="str">
        <f t="shared" ca="1" si="342"/>
        <v>RFR EUR</v>
      </c>
      <c r="F4413" t="str">
        <f t="shared" ca="1" si="343"/>
        <v>RFR GBP</v>
      </c>
      <c r="J4413" s="1"/>
      <c r="N4413" s="1"/>
      <c r="R4413" s="1"/>
      <c r="V4413" s="1"/>
      <c r="AB4413" s="1"/>
      <c r="AF4413" s="1"/>
      <c r="AJ4413" s="1"/>
      <c r="AN4413" s="1"/>
      <c r="AS4413" s="1"/>
      <c r="AX4413" s="1"/>
    </row>
    <row r="4414" spans="1:50" x14ac:dyDescent="0.3">
      <c r="A4414" s="19">
        <f t="shared" si="344"/>
        <v>52093</v>
      </c>
      <c r="B4414">
        <f t="shared" ca="1" si="340"/>
        <v>-16.502777777777776</v>
      </c>
      <c r="C4414" t="str">
        <f ca="1">IF(currency="USD",'Future et co'!D4414,IF(currency="EUR",'Future et co'!E4414,IF(currency="GBP",'Future et co'!F4414,FALSE)))</f>
        <v>RFR USD</v>
      </c>
      <c r="D4414" t="str">
        <f t="shared" ca="1" si="341"/>
        <v>RFR USD</v>
      </c>
      <c r="E4414" t="str">
        <f t="shared" ca="1" si="342"/>
        <v>RFR EUR</v>
      </c>
      <c r="F4414" t="str">
        <f t="shared" ca="1" si="343"/>
        <v>RFR GBP</v>
      </c>
      <c r="J4414" s="1"/>
      <c r="N4414" s="1"/>
      <c r="R4414" s="1"/>
      <c r="V4414" s="1"/>
      <c r="AB4414" s="1"/>
      <c r="AF4414" s="1"/>
      <c r="AJ4414" s="1"/>
      <c r="AN4414" s="1"/>
      <c r="AS4414" s="1"/>
      <c r="AX4414" s="1"/>
    </row>
    <row r="4415" spans="1:50" x14ac:dyDescent="0.3">
      <c r="A4415" s="19">
        <f t="shared" si="344"/>
        <v>52096</v>
      </c>
      <c r="B4415">
        <f t="shared" ca="1" si="340"/>
        <v>-16.511111111111113</v>
      </c>
      <c r="C4415" t="str">
        <f ca="1">IF(currency="USD",'Future et co'!D4415,IF(currency="EUR",'Future et co'!E4415,IF(currency="GBP",'Future et co'!F4415,FALSE)))</f>
        <v>RFR USD</v>
      </c>
      <c r="D4415" t="str">
        <f t="shared" ca="1" si="341"/>
        <v>RFR USD</v>
      </c>
      <c r="E4415" t="str">
        <f t="shared" ca="1" si="342"/>
        <v>RFR EUR</v>
      </c>
      <c r="F4415" t="str">
        <f t="shared" ca="1" si="343"/>
        <v>RFR GBP</v>
      </c>
      <c r="J4415" s="1"/>
      <c r="N4415" s="1"/>
      <c r="R4415" s="1"/>
      <c r="V4415" s="1"/>
      <c r="AB4415" s="1"/>
      <c r="AF4415" s="1"/>
      <c r="AJ4415" s="1"/>
      <c r="AN4415" s="1"/>
      <c r="AS4415" s="1"/>
      <c r="AX4415" s="1"/>
    </row>
    <row r="4416" spans="1:50" x14ac:dyDescent="0.3">
      <c r="A4416" s="19">
        <f t="shared" si="344"/>
        <v>52097</v>
      </c>
      <c r="B4416">
        <f t="shared" ca="1" si="340"/>
        <v>-16.513888888888889</v>
      </c>
      <c r="C4416" t="str">
        <f ca="1">IF(currency="USD",'Future et co'!D4416,IF(currency="EUR",'Future et co'!E4416,IF(currency="GBP",'Future et co'!F4416,FALSE)))</f>
        <v>RFR USD</v>
      </c>
      <c r="D4416" t="str">
        <f t="shared" ca="1" si="341"/>
        <v>RFR USD</v>
      </c>
      <c r="E4416" t="str">
        <f t="shared" ca="1" si="342"/>
        <v>RFR EUR</v>
      </c>
      <c r="F4416" t="str">
        <f t="shared" ca="1" si="343"/>
        <v>RFR GBP</v>
      </c>
      <c r="J4416" s="1"/>
      <c r="N4416" s="1"/>
      <c r="R4416" s="1"/>
      <c r="V4416" s="1"/>
      <c r="AB4416" s="1"/>
      <c r="AF4416" s="1"/>
      <c r="AJ4416" s="1"/>
      <c r="AN4416" s="1"/>
      <c r="AS4416" s="1"/>
      <c r="AX4416" s="1"/>
    </row>
    <row r="4417" spans="1:50" x14ac:dyDescent="0.3">
      <c r="A4417" s="19">
        <f t="shared" si="344"/>
        <v>52098</v>
      </c>
      <c r="B4417">
        <f t="shared" ca="1" si="340"/>
        <v>-16.516666666666666</v>
      </c>
      <c r="C4417" t="str">
        <f ca="1">IF(currency="USD",'Future et co'!D4417,IF(currency="EUR",'Future et co'!E4417,IF(currency="GBP",'Future et co'!F4417,FALSE)))</f>
        <v>RFR USD</v>
      </c>
      <c r="D4417" t="str">
        <f t="shared" ca="1" si="341"/>
        <v>RFR USD</v>
      </c>
      <c r="E4417" t="str">
        <f t="shared" ca="1" si="342"/>
        <v>RFR EUR</v>
      </c>
      <c r="F4417" t="str">
        <f t="shared" ca="1" si="343"/>
        <v>RFR GBP</v>
      </c>
      <c r="J4417" s="1"/>
      <c r="N4417" s="1"/>
      <c r="R4417" s="1"/>
      <c r="V4417" s="1"/>
      <c r="AB4417" s="1"/>
      <c r="AF4417" s="1"/>
      <c r="AJ4417" s="1"/>
      <c r="AN4417" s="1"/>
      <c r="AS4417" s="1"/>
      <c r="AX4417" s="1"/>
    </row>
    <row r="4418" spans="1:50" x14ac:dyDescent="0.3">
      <c r="A4418" s="19">
        <f t="shared" si="344"/>
        <v>52099</v>
      </c>
      <c r="B4418">
        <f t="shared" ca="1" si="340"/>
        <v>-16.519444444444446</v>
      </c>
      <c r="C4418" t="str">
        <f ca="1">IF(currency="USD",'Future et co'!D4418,IF(currency="EUR",'Future et co'!E4418,IF(currency="GBP",'Future et co'!F4418,FALSE)))</f>
        <v>RFR USD</v>
      </c>
      <c r="D4418" t="str">
        <f t="shared" ca="1" si="341"/>
        <v>RFR USD</v>
      </c>
      <c r="E4418" t="str">
        <f t="shared" ca="1" si="342"/>
        <v>RFR EUR</v>
      </c>
      <c r="F4418" t="str">
        <f t="shared" ca="1" si="343"/>
        <v>RFR GBP</v>
      </c>
      <c r="J4418" s="1"/>
      <c r="N4418" s="1"/>
      <c r="R4418" s="1"/>
      <c r="V4418" s="1"/>
      <c r="AB4418" s="1"/>
      <c r="AF4418" s="1"/>
      <c r="AJ4418" s="1"/>
      <c r="AN4418" s="1"/>
      <c r="AS4418" s="1"/>
      <c r="AX4418" s="1"/>
    </row>
    <row r="4419" spans="1:50" x14ac:dyDescent="0.3">
      <c r="A4419" s="19">
        <f t="shared" si="344"/>
        <v>52100</v>
      </c>
      <c r="B4419">
        <f t="shared" ca="1" si="340"/>
        <v>-16.522222222222222</v>
      </c>
      <c r="C4419" t="str">
        <f ca="1">IF(currency="USD",'Future et co'!D4419,IF(currency="EUR",'Future et co'!E4419,IF(currency="GBP",'Future et co'!F4419,FALSE)))</f>
        <v>RFR USD</v>
      </c>
      <c r="D4419" t="str">
        <f t="shared" ca="1" si="341"/>
        <v>RFR USD</v>
      </c>
      <c r="E4419" t="str">
        <f t="shared" ca="1" si="342"/>
        <v>RFR EUR</v>
      </c>
      <c r="F4419" t="str">
        <f t="shared" ca="1" si="343"/>
        <v>RFR GBP</v>
      </c>
      <c r="J4419" s="1"/>
      <c r="N4419" s="1"/>
      <c r="R4419" s="1"/>
      <c r="V4419" s="1"/>
      <c r="AB4419" s="1"/>
      <c r="AF4419" s="1"/>
      <c r="AJ4419" s="1"/>
      <c r="AN4419" s="1"/>
      <c r="AS4419" s="1"/>
      <c r="AX4419" s="1"/>
    </row>
    <row r="4420" spans="1:50" x14ac:dyDescent="0.3">
      <c r="A4420" s="19">
        <f t="shared" si="344"/>
        <v>52103</v>
      </c>
      <c r="B4420">
        <f t="shared" ca="1" si="340"/>
        <v>-16.530555555555555</v>
      </c>
      <c r="C4420" t="str">
        <f ca="1">IF(currency="USD",'Future et co'!D4420,IF(currency="EUR",'Future et co'!E4420,IF(currency="GBP",'Future et co'!F4420,FALSE)))</f>
        <v>RFR USD</v>
      </c>
      <c r="D4420" t="str">
        <f t="shared" ca="1" si="341"/>
        <v>RFR USD</v>
      </c>
      <c r="E4420" t="str">
        <f t="shared" ca="1" si="342"/>
        <v>RFR EUR</v>
      </c>
      <c r="F4420" t="str">
        <f t="shared" ca="1" si="343"/>
        <v>RFR GBP</v>
      </c>
      <c r="J4420" s="1"/>
      <c r="N4420" s="1"/>
      <c r="R4420" s="1"/>
      <c r="V4420" s="1"/>
      <c r="AB4420" s="1"/>
      <c r="AF4420" s="1"/>
      <c r="AJ4420" s="1"/>
      <c r="AN4420" s="1"/>
      <c r="AS4420" s="1"/>
      <c r="AX4420" s="1"/>
    </row>
    <row r="4421" spans="1:50" x14ac:dyDescent="0.3">
      <c r="A4421" s="19">
        <f t="shared" si="344"/>
        <v>52104</v>
      </c>
      <c r="B4421">
        <f t="shared" ca="1" si="340"/>
        <v>-16.533333333333335</v>
      </c>
      <c r="C4421" t="str">
        <f ca="1">IF(currency="USD",'Future et co'!D4421,IF(currency="EUR",'Future et co'!E4421,IF(currency="GBP",'Future et co'!F4421,FALSE)))</f>
        <v>RFR USD</v>
      </c>
      <c r="D4421" t="str">
        <f t="shared" ca="1" si="341"/>
        <v>RFR USD</v>
      </c>
      <c r="E4421" t="str">
        <f t="shared" ca="1" si="342"/>
        <v>RFR EUR</v>
      </c>
      <c r="F4421" t="str">
        <f t="shared" ca="1" si="343"/>
        <v>RFR GBP</v>
      </c>
      <c r="J4421" s="1"/>
      <c r="N4421" s="1"/>
      <c r="R4421" s="1"/>
      <c r="V4421" s="1"/>
      <c r="AB4421" s="1"/>
      <c r="AF4421" s="1"/>
      <c r="AJ4421" s="1"/>
      <c r="AN4421" s="1"/>
      <c r="AS4421" s="1"/>
      <c r="AX4421" s="1"/>
    </row>
    <row r="4422" spans="1:50" x14ac:dyDescent="0.3">
      <c r="A4422" s="19">
        <f t="shared" si="344"/>
        <v>52105</v>
      </c>
      <c r="B4422">
        <f t="shared" ca="1" si="340"/>
        <v>-16.536111111111111</v>
      </c>
      <c r="C4422" t="str">
        <f ca="1">IF(currency="USD",'Future et co'!D4422,IF(currency="EUR",'Future et co'!E4422,IF(currency="GBP",'Future et co'!F4422,FALSE)))</f>
        <v>RFR USD</v>
      </c>
      <c r="D4422" t="str">
        <f t="shared" ca="1" si="341"/>
        <v>RFR USD</v>
      </c>
      <c r="E4422" t="str">
        <f t="shared" ca="1" si="342"/>
        <v>RFR EUR</v>
      </c>
      <c r="F4422" t="str">
        <f t="shared" ca="1" si="343"/>
        <v>RFR GBP</v>
      </c>
      <c r="J4422" s="1"/>
      <c r="N4422" s="1"/>
      <c r="R4422" s="1"/>
      <c r="V4422" s="1"/>
      <c r="AB4422" s="1"/>
      <c r="AF4422" s="1"/>
      <c r="AJ4422" s="1"/>
      <c r="AN4422" s="1"/>
      <c r="AS4422" s="1"/>
      <c r="AX4422" s="1"/>
    </row>
    <row r="4423" spans="1:50" x14ac:dyDescent="0.3">
      <c r="A4423" s="19">
        <f t="shared" si="344"/>
        <v>52106</v>
      </c>
      <c r="B4423">
        <f t="shared" ca="1" si="340"/>
        <v>-16.538888888888888</v>
      </c>
      <c r="C4423" t="str">
        <f ca="1">IF(currency="USD",'Future et co'!D4423,IF(currency="EUR",'Future et co'!E4423,IF(currency="GBP",'Future et co'!F4423,FALSE)))</f>
        <v>RFR USD</v>
      </c>
      <c r="D4423" t="str">
        <f t="shared" ca="1" si="341"/>
        <v>RFR USD</v>
      </c>
      <c r="E4423" t="str">
        <f t="shared" ca="1" si="342"/>
        <v>RFR EUR</v>
      </c>
      <c r="F4423" t="str">
        <f t="shared" ca="1" si="343"/>
        <v>RFR GBP</v>
      </c>
      <c r="J4423" s="1"/>
      <c r="N4423" s="1"/>
      <c r="R4423" s="1"/>
      <c r="V4423" s="1"/>
      <c r="AB4423" s="1"/>
      <c r="AF4423" s="1"/>
      <c r="AJ4423" s="1"/>
      <c r="AN4423" s="1"/>
      <c r="AS4423" s="1"/>
      <c r="AX4423" s="1"/>
    </row>
    <row r="4424" spans="1:50" x14ac:dyDescent="0.3">
      <c r="A4424" s="19">
        <f t="shared" si="344"/>
        <v>52107</v>
      </c>
      <c r="B4424">
        <f t="shared" ca="1" si="340"/>
        <v>-16.541666666666668</v>
      </c>
      <c r="C4424" t="str">
        <f ca="1">IF(currency="USD",'Future et co'!D4424,IF(currency="EUR",'Future et co'!E4424,IF(currency="GBP",'Future et co'!F4424,FALSE)))</f>
        <v>RFR USD</v>
      </c>
      <c r="D4424" t="str">
        <f t="shared" ca="1" si="341"/>
        <v>RFR USD</v>
      </c>
      <c r="E4424" t="str">
        <f t="shared" ca="1" si="342"/>
        <v>RFR EUR</v>
      </c>
      <c r="F4424" t="str">
        <f t="shared" ca="1" si="343"/>
        <v>RFR GBP</v>
      </c>
      <c r="J4424" s="1"/>
      <c r="N4424" s="1"/>
      <c r="R4424" s="1"/>
      <c r="V4424" s="1"/>
      <c r="AB4424" s="1"/>
      <c r="AF4424" s="1"/>
      <c r="AJ4424" s="1"/>
      <c r="AN4424" s="1"/>
      <c r="AS4424" s="1"/>
      <c r="AX4424" s="1"/>
    </row>
    <row r="4425" spans="1:50" x14ac:dyDescent="0.3">
      <c r="A4425" s="19">
        <f t="shared" si="344"/>
        <v>52110</v>
      </c>
      <c r="B4425">
        <f t="shared" ca="1" si="340"/>
        <v>-16.55</v>
      </c>
      <c r="C4425" t="str">
        <f ca="1">IF(currency="USD",'Future et co'!D4425,IF(currency="EUR",'Future et co'!E4425,IF(currency="GBP",'Future et co'!F4425,FALSE)))</f>
        <v>RFR USD</v>
      </c>
      <c r="D4425" t="str">
        <f t="shared" ca="1" si="341"/>
        <v>RFR USD</v>
      </c>
      <c r="E4425" t="str">
        <f t="shared" ca="1" si="342"/>
        <v>RFR EUR</v>
      </c>
      <c r="F4425" t="str">
        <f t="shared" ca="1" si="343"/>
        <v>RFR GBP</v>
      </c>
      <c r="J4425" s="1"/>
      <c r="N4425" s="1"/>
      <c r="R4425" s="1"/>
      <c r="V4425" s="1"/>
      <c r="AB4425" s="1"/>
      <c r="AF4425" s="1"/>
      <c r="AJ4425" s="1"/>
      <c r="AN4425" s="1"/>
      <c r="AS4425" s="1"/>
      <c r="AX4425" s="1"/>
    </row>
    <row r="4426" spans="1:50" x14ac:dyDescent="0.3">
      <c r="A4426" s="19">
        <f t="shared" si="344"/>
        <v>52111</v>
      </c>
      <c r="B4426">
        <f t="shared" ca="1" si="340"/>
        <v>-16.552777777777777</v>
      </c>
      <c r="C4426" t="str">
        <f ca="1">IF(currency="USD",'Future et co'!D4426,IF(currency="EUR",'Future et co'!E4426,IF(currency="GBP",'Future et co'!F4426,FALSE)))</f>
        <v>RFR USD</v>
      </c>
      <c r="D4426" t="str">
        <f t="shared" ca="1" si="341"/>
        <v>RFR USD</v>
      </c>
      <c r="E4426" t="str">
        <f t="shared" ca="1" si="342"/>
        <v>RFR EUR</v>
      </c>
      <c r="F4426" t="str">
        <f t="shared" ca="1" si="343"/>
        <v>RFR GBP</v>
      </c>
      <c r="J4426" s="1"/>
      <c r="N4426" s="1"/>
      <c r="R4426" s="1"/>
      <c r="V4426" s="1"/>
      <c r="AB4426" s="1"/>
      <c r="AF4426" s="1"/>
      <c r="AJ4426" s="1"/>
      <c r="AN4426" s="1"/>
      <c r="AS4426" s="1"/>
      <c r="AX4426" s="1"/>
    </row>
    <row r="4427" spans="1:50" x14ac:dyDescent="0.3">
      <c r="A4427" s="19">
        <f t="shared" si="344"/>
        <v>52112</v>
      </c>
      <c r="B4427">
        <f t="shared" ref="B4427:B4490" ca="1" si="345">($B$7-A4427)/360</f>
        <v>-16.555555555555557</v>
      </c>
      <c r="C4427" t="str">
        <f ca="1">IF(currency="USD",'Future et co'!D4427,IF(currency="EUR",'Future et co'!E4427,IF(currency="GBP",'Future et co'!F4427,FALSE)))</f>
        <v>RFR USD</v>
      </c>
      <c r="D4427" t="str">
        <f t="shared" ref="D4427:D4490" ca="1" si="346">IFERROR(IF(B4427&lt;0.25,VLOOKUP(A4427,$J$11:$L$5325,3,FALSE),IF(AND(B4427&gt;=0.25,B4427&lt;0.5),VLOOKUP(A4427,$N$11:$P$5325,3,FALSE),IF(AND(B4427&gt;=0.5,B4427&lt;1),VLOOKUP(A4427,$R$11:$T$5325,3,FALSE),VLOOKUP(A4427,$V$11:$X$5010,3,FALSE)))),D4426)</f>
        <v>RFR USD</v>
      </c>
      <c r="E4427" t="str">
        <f t="shared" ref="E4427:E4490" ca="1" si="347">IFERROR(IF(B4427&lt;0.25,VLOOKUP(A4427,$AF$11:$AH$5325,3,FALSE),IF(AND(B4427&gt;=0.25,B4427&lt;0.5),VLOOKUP(A4427,$AJ$11:$AL$5325,3,FALSE),VLOOKUP(A4427,$AN$11:$AP$5325,3,FALSE))),E4426)</f>
        <v>RFR EUR</v>
      </c>
      <c r="F4427" t="str">
        <f t="shared" ref="F4427:F4490" ca="1" si="348">IFERROR(VLOOKUP(A4427,$AS$11:$AU$9999,3,FALSE),F4426)</f>
        <v>RFR GBP</v>
      </c>
      <c r="J4427" s="1"/>
      <c r="N4427" s="1"/>
      <c r="R4427" s="1"/>
      <c r="V4427" s="1"/>
      <c r="AB4427" s="1"/>
      <c r="AF4427" s="1"/>
      <c r="AJ4427" s="1"/>
      <c r="AN4427" s="1"/>
      <c r="AS4427" s="1"/>
      <c r="AX4427" s="1"/>
    </row>
    <row r="4428" spans="1:50" x14ac:dyDescent="0.3">
      <c r="A4428" s="19">
        <f t="shared" si="344"/>
        <v>52113</v>
      </c>
      <c r="B4428">
        <f t="shared" ca="1" si="345"/>
        <v>-16.558333333333334</v>
      </c>
      <c r="C4428" t="str">
        <f ca="1">IF(currency="USD",'Future et co'!D4428,IF(currency="EUR",'Future et co'!E4428,IF(currency="GBP",'Future et co'!F4428,FALSE)))</f>
        <v>RFR USD</v>
      </c>
      <c r="D4428" t="str">
        <f t="shared" ca="1" si="346"/>
        <v>RFR USD</v>
      </c>
      <c r="E4428" t="str">
        <f t="shared" ca="1" si="347"/>
        <v>RFR EUR</v>
      </c>
      <c r="F4428" t="str">
        <f t="shared" ca="1" si="348"/>
        <v>RFR GBP</v>
      </c>
      <c r="J4428" s="1"/>
      <c r="N4428" s="1"/>
      <c r="R4428" s="1"/>
      <c r="V4428" s="1"/>
      <c r="AB4428" s="1"/>
      <c r="AF4428" s="1"/>
      <c r="AJ4428" s="1"/>
      <c r="AN4428" s="1"/>
      <c r="AS4428" s="1"/>
      <c r="AX4428" s="1"/>
    </row>
    <row r="4429" spans="1:50" x14ac:dyDescent="0.3">
      <c r="A4429" s="19">
        <f t="shared" ref="A4429:A4492" si="349">WORKDAY(A4428,1)</f>
        <v>52114</v>
      </c>
      <c r="B4429">
        <f t="shared" ca="1" si="345"/>
        <v>-16.56111111111111</v>
      </c>
      <c r="C4429" t="str">
        <f ca="1">IF(currency="USD",'Future et co'!D4429,IF(currency="EUR",'Future et co'!E4429,IF(currency="GBP",'Future et co'!F4429,FALSE)))</f>
        <v>RFR USD</v>
      </c>
      <c r="D4429" t="str">
        <f t="shared" ca="1" si="346"/>
        <v>RFR USD</v>
      </c>
      <c r="E4429" t="str">
        <f t="shared" ca="1" si="347"/>
        <v>RFR EUR</v>
      </c>
      <c r="F4429" t="str">
        <f t="shared" ca="1" si="348"/>
        <v>RFR GBP</v>
      </c>
      <c r="J4429" s="1"/>
      <c r="N4429" s="1"/>
      <c r="R4429" s="1"/>
      <c r="V4429" s="1"/>
      <c r="AB4429" s="1"/>
      <c r="AF4429" s="1"/>
      <c r="AJ4429" s="1"/>
      <c r="AN4429" s="1"/>
      <c r="AS4429" s="1"/>
      <c r="AX4429" s="1"/>
    </row>
    <row r="4430" spans="1:50" x14ac:dyDescent="0.3">
      <c r="A4430" s="19">
        <f t="shared" si="349"/>
        <v>52117</v>
      </c>
      <c r="B4430">
        <f t="shared" ca="1" si="345"/>
        <v>-16.569444444444443</v>
      </c>
      <c r="C4430" t="str">
        <f ca="1">IF(currency="USD",'Future et co'!D4430,IF(currency="EUR",'Future et co'!E4430,IF(currency="GBP",'Future et co'!F4430,FALSE)))</f>
        <v>RFR USD</v>
      </c>
      <c r="D4430" t="str">
        <f t="shared" ca="1" si="346"/>
        <v>RFR USD</v>
      </c>
      <c r="E4430" t="str">
        <f t="shared" ca="1" si="347"/>
        <v>RFR EUR</v>
      </c>
      <c r="F4430" t="str">
        <f t="shared" ca="1" si="348"/>
        <v>RFR GBP</v>
      </c>
      <c r="J4430" s="1"/>
      <c r="N4430" s="1"/>
      <c r="R4430" s="1"/>
      <c r="V4430" s="1"/>
      <c r="AB4430" s="1"/>
      <c r="AF4430" s="1"/>
      <c r="AJ4430" s="1"/>
      <c r="AN4430" s="1"/>
      <c r="AS4430" s="1"/>
      <c r="AX4430" s="1"/>
    </row>
    <row r="4431" spans="1:50" x14ac:dyDescent="0.3">
      <c r="A4431" s="19">
        <f t="shared" si="349"/>
        <v>52118</v>
      </c>
      <c r="B4431">
        <f t="shared" ca="1" si="345"/>
        <v>-16.572222222222223</v>
      </c>
      <c r="C4431" t="str">
        <f ca="1">IF(currency="USD",'Future et co'!D4431,IF(currency="EUR",'Future et co'!E4431,IF(currency="GBP",'Future et co'!F4431,FALSE)))</f>
        <v>RFR USD</v>
      </c>
      <c r="D4431" t="str">
        <f t="shared" ca="1" si="346"/>
        <v>RFR USD</v>
      </c>
      <c r="E4431" t="str">
        <f t="shared" ca="1" si="347"/>
        <v>RFR EUR</v>
      </c>
      <c r="F4431" t="str">
        <f t="shared" ca="1" si="348"/>
        <v>RFR GBP</v>
      </c>
      <c r="J4431" s="1"/>
      <c r="N4431" s="1"/>
      <c r="R4431" s="1"/>
      <c r="V4431" s="1"/>
      <c r="AB4431" s="1"/>
      <c r="AF4431" s="1"/>
      <c r="AJ4431" s="1"/>
      <c r="AN4431" s="1"/>
      <c r="AS4431" s="1"/>
      <c r="AX4431" s="1"/>
    </row>
    <row r="4432" spans="1:50" x14ac:dyDescent="0.3">
      <c r="A4432" s="19">
        <f t="shared" si="349"/>
        <v>52119</v>
      </c>
      <c r="B4432">
        <f t="shared" ca="1" si="345"/>
        <v>-16.574999999999999</v>
      </c>
      <c r="C4432" t="str">
        <f ca="1">IF(currency="USD",'Future et co'!D4432,IF(currency="EUR",'Future et co'!E4432,IF(currency="GBP",'Future et co'!F4432,FALSE)))</f>
        <v>RFR USD</v>
      </c>
      <c r="D4432" t="str">
        <f t="shared" ca="1" si="346"/>
        <v>RFR USD</v>
      </c>
      <c r="E4432" t="str">
        <f t="shared" ca="1" si="347"/>
        <v>RFR EUR</v>
      </c>
      <c r="F4432" t="str">
        <f t="shared" ca="1" si="348"/>
        <v>RFR GBP</v>
      </c>
      <c r="J4432" s="1"/>
      <c r="N4432" s="1"/>
      <c r="R4432" s="1"/>
      <c r="V4432" s="1"/>
      <c r="AB4432" s="1"/>
      <c r="AF4432" s="1"/>
      <c r="AJ4432" s="1"/>
      <c r="AN4432" s="1"/>
      <c r="AS4432" s="1"/>
      <c r="AX4432" s="1"/>
    </row>
    <row r="4433" spans="1:50" x14ac:dyDescent="0.3">
      <c r="A4433" s="19">
        <f t="shared" si="349"/>
        <v>52120</v>
      </c>
      <c r="B4433">
        <f t="shared" ca="1" si="345"/>
        <v>-16.577777777777779</v>
      </c>
      <c r="C4433" t="str">
        <f ca="1">IF(currency="USD",'Future et co'!D4433,IF(currency="EUR",'Future et co'!E4433,IF(currency="GBP",'Future et co'!F4433,FALSE)))</f>
        <v>RFR USD</v>
      </c>
      <c r="D4433" t="str">
        <f t="shared" ca="1" si="346"/>
        <v>RFR USD</v>
      </c>
      <c r="E4433" t="str">
        <f t="shared" ca="1" si="347"/>
        <v>RFR EUR</v>
      </c>
      <c r="F4433" t="str">
        <f t="shared" ca="1" si="348"/>
        <v>RFR GBP</v>
      </c>
      <c r="J4433" s="1"/>
      <c r="N4433" s="1"/>
      <c r="R4433" s="1"/>
      <c r="V4433" s="1"/>
      <c r="AB4433" s="1"/>
      <c r="AF4433" s="1"/>
      <c r="AJ4433" s="1"/>
      <c r="AN4433" s="1"/>
      <c r="AS4433" s="1"/>
      <c r="AX4433" s="1"/>
    </row>
    <row r="4434" spans="1:50" x14ac:dyDescent="0.3">
      <c r="A4434" s="19">
        <f t="shared" si="349"/>
        <v>52121</v>
      </c>
      <c r="B4434">
        <f t="shared" ca="1" si="345"/>
        <v>-16.580555555555556</v>
      </c>
      <c r="C4434" t="str">
        <f ca="1">IF(currency="USD",'Future et co'!D4434,IF(currency="EUR",'Future et co'!E4434,IF(currency="GBP",'Future et co'!F4434,FALSE)))</f>
        <v>RFR USD</v>
      </c>
      <c r="D4434" t="str">
        <f t="shared" ca="1" si="346"/>
        <v>RFR USD</v>
      </c>
      <c r="E4434" t="str">
        <f t="shared" ca="1" si="347"/>
        <v>RFR EUR</v>
      </c>
      <c r="F4434" t="str">
        <f t="shared" ca="1" si="348"/>
        <v>RFR GBP</v>
      </c>
      <c r="J4434" s="1"/>
      <c r="N4434" s="1"/>
      <c r="R4434" s="1"/>
      <c r="V4434" s="1"/>
      <c r="AB4434" s="1"/>
      <c r="AF4434" s="1"/>
      <c r="AJ4434" s="1"/>
      <c r="AN4434" s="1"/>
      <c r="AS4434" s="1"/>
      <c r="AX4434" s="1"/>
    </row>
    <row r="4435" spans="1:50" x14ac:dyDescent="0.3">
      <c r="A4435" s="19">
        <f t="shared" si="349"/>
        <v>52124</v>
      </c>
      <c r="B4435">
        <f t="shared" ca="1" si="345"/>
        <v>-16.588888888888889</v>
      </c>
      <c r="C4435" t="str">
        <f ca="1">IF(currency="USD",'Future et co'!D4435,IF(currency="EUR",'Future et co'!E4435,IF(currency="GBP",'Future et co'!F4435,FALSE)))</f>
        <v>RFR USD</v>
      </c>
      <c r="D4435" t="str">
        <f t="shared" ca="1" si="346"/>
        <v>RFR USD</v>
      </c>
      <c r="E4435" t="str">
        <f t="shared" ca="1" si="347"/>
        <v>RFR EUR</v>
      </c>
      <c r="F4435" t="str">
        <f t="shared" ca="1" si="348"/>
        <v>RFR GBP</v>
      </c>
      <c r="J4435" s="1"/>
      <c r="N4435" s="1"/>
      <c r="R4435" s="1"/>
      <c r="V4435" s="1"/>
      <c r="AB4435" s="1"/>
      <c r="AF4435" s="1"/>
      <c r="AJ4435" s="1"/>
      <c r="AN4435" s="1"/>
      <c r="AS4435" s="1"/>
      <c r="AX4435" s="1"/>
    </row>
    <row r="4436" spans="1:50" x14ac:dyDescent="0.3">
      <c r="A4436" s="19">
        <f t="shared" si="349"/>
        <v>52125</v>
      </c>
      <c r="B4436">
        <f t="shared" ca="1" si="345"/>
        <v>-16.591666666666665</v>
      </c>
      <c r="C4436" t="str">
        <f ca="1">IF(currency="USD",'Future et co'!D4436,IF(currency="EUR",'Future et co'!E4436,IF(currency="GBP",'Future et co'!F4436,FALSE)))</f>
        <v>RFR USD</v>
      </c>
      <c r="D4436" t="str">
        <f t="shared" ca="1" si="346"/>
        <v>RFR USD</v>
      </c>
      <c r="E4436" t="str">
        <f t="shared" ca="1" si="347"/>
        <v>RFR EUR</v>
      </c>
      <c r="F4436" t="str">
        <f t="shared" ca="1" si="348"/>
        <v>RFR GBP</v>
      </c>
      <c r="J4436" s="1"/>
      <c r="N4436" s="1"/>
      <c r="R4436" s="1"/>
      <c r="V4436" s="1"/>
      <c r="AB4436" s="1"/>
      <c r="AF4436" s="1"/>
      <c r="AJ4436" s="1"/>
      <c r="AN4436" s="1"/>
      <c r="AS4436" s="1"/>
      <c r="AX4436" s="1"/>
    </row>
    <row r="4437" spans="1:50" x14ac:dyDescent="0.3">
      <c r="A4437" s="19">
        <f t="shared" si="349"/>
        <v>52126</v>
      </c>
      <c r="B4437">
        <f t="shared" ca="1" si="345"/>
        <v>-16.594444444444445</v>
      </c>
      <c r="C4437" t="str">
        <f ca="1">IF(currency="USD",'Future et co'!D4437,IF(currency="EUR",'Future et co'!E4437,IF(currency="GBP",'Future et co'!F4437,FALSE)))</f>
        <v>RFR USD</v>
      </c>
      <c r="D4437" t="str">
        <f t="shared" ca="1" si="346"/>
        <v>RFR USD</v>
      </c>
      <c r="E4437" t="str">
        <f t="shared" ca="1" si="347"/>
        <v>RFR EUR</v>
      </c>
      <c r="F4437" t="str">
        <f t="shared" ca="1" si="348"/>
        <v>RFR GBP</v>
      </c>
      <c r="J4437" s="1"/>
      <c r="N4437" s="1"/>
      <c r="R4437" s="1"/>
      <c r="V4437" s="1"/>
      <c r="AB4437" s="1"/>
      <c r="AF4437" s="1"/>
      <c r="AJ4437" s="1"/>
      <c r="AN4437" s="1"/>
      <c r="AS4437" s="1"/>
      <c r="AX4437" s="1"/>
    </row>
    <row r="4438" spans="1:50" x14ac:dyDescent="0.3">
      <c r="A4438" s="19">
        <f t="shared" si="349"/>
        <v>52127</v>
      </c>
      <c r="B4438">
        <f t="shared" ca="1" si="345"/>
        <v>-16.597222222222221</v>
      </c>
      <c r="C4438" t="str">
        <f ca="1">IF(currency="USD",'Future et co'!D4438,IF(currency="EUR",'Future et co'!E4438,IF(currency="GBP",'Future et co'!F4438,FALSE)))</f>
        <v>RFR USD</v>
      </c>
      <c r="D4438" t="str">
        <f t="shared" ca="1" si="346"/>
        <v>RFR USD</v>
      </c>
      <c r="E4438" t="str">
        <f t="shared" ca="1" si="347"/>
        <v>RFR EUR</v>
      </c>
      <c r="F4438" t="str">
        <f t="shared" ca="1" si="348"/>
        <v>RFR GBP</v>
      </c>
      <c r="J4438" s="1"/>
      <c r="N4438" s="1"/>
      <c r="R4438" s="1"/>
      <c r="V4438" s="1"/>
      <c r="AB4438" s="1"/>
      <c r="AF4438" s="1"/>
      <c r="AJ4438" s="1"/>
      <c r="AN4438" s="1"/>
      <c r="AS4438" s="1"/>
      <c r="AX4438" s="1"/>
    </row>
    <row r="4439" spans="1:50" x14ac:dyDescent="0.3">
      <c r="A4439" s="19">
        <f t="shared" si="349"/>
        <v>52128</v>
      </c>
      <c r="B4439">
        <f t="shared" ca="1" si="345"/>
        <v>-16.600000000000001</v>
      </c>
      <c r="C4439" t="str">
        <f ca="1">IF(currency="USD",'Future et co'!D4439,IF(currency="EUR",'Future et co'!E4439,IF(currency="GBP",'Future et co'!F4439,FALSE)))</f>
        <v>RFR USD</v>
      </c>
      <c r="D4439" t="str">
        <f t="shared" ca="1" si="346"/>
        <v>RFR USD</v>
      </c>
      <c r="E4439" t="str">
        <f t="shared" ca="1" si="347"/>
        <v>RFR EUR</v>
      </c>
      <c r="F4439" t="str">
        <f t="shared" ca="1" si="348"/>
        <v>RFR GBP</v>
      </c>
      <c r="J4439" s="1"/>
      <c r="N4439" s="1"/>
      <c r="R4439" s="1"/>
      <c r="V4439" s="1"/>
      <c r="AB4439" s="1"/>
      <c r="AF4439" s="1"/>
      <c r="AJ4439" s="1"/>
      <c r="AN4439" s="1"/>
      <c r="AS4439" s="1"/>
      <c r="AX4439" s="1"/>
    </row>
    <row r="4440" spans="1:50" x14ac:dyDescent="0.3">
      <c r="A4440" s="19">
        <f t="shared" si="349"/>
        <v>52131</v>
      </c>
      <c r="B4440">
        <f t="shared" ca="1" si="345"/>
        <v>-16.608333333333334</v>
      </c>
      <c r="C4440" t="str">
        <f ca="1">IF(currency="USD",'Future et co'!D4440,IF(currency="EUR",'Future et co'!E4440,IF(currency="GBP",'Future et co'!F4440,FALSE)))</f>
        <v>RFR USD</v>
      </c>
      <c r="D4440" t="str">
        <f t="shared" ca="1" si="346"/>
        <v>RFR USD</v>
      </c>
      <c r="E4440" t="str">
        <f t="shared" ca="1" si="347"/>
        <v>RFR EUR</v>
      </c>
      <c r="F4440" t="str">
        <f t="shared" ca="1" si="348"/>
        <v>RFR GBP</v>
      </c>
      <c r="J4440" s="1"/>
      <c r="N4440" s="1"/>
      <c r="R4440" s="1"/>
      <c r="V4440" s="1"/>
      <c r="AB4440" s="1"/>
      <c r="AF4440" s="1"/>
      <c r="AJ4440" s="1"/>
      <c r="AN4440" s="1"/>
      <c r="AS4440" s="1"/>
      <c r="AX4440" s="1"/>
    </row>
    <row r="4441" spans="1:50" x14ac:dyDescent="0.3">
      <c r="A4441" s="19">
        <f t="shared" si="349"/>
        <v>52132</v>
      </c>
      <c r="B4441">
        <f t="shared" ca="1" si="345"/>
        <v>-16.611111111111111</v>
      </c>
      <c r="C4441" t="str">
        <f ca="1">IF(currency="USD",'Future et co'!D4441,IF(currency="EUR",'Future et co'!E4441,IF(currency="GBP",'Future et co'!F4441,FALSE)))</f>
        <v>RFR USD</v>
      </c>
      <c r="D4441" t="str">
        <f t="shared" ca="1" si="346"/>
        <v>RFR USD</v>
      </c>
      <c r="E4441" t="str">
        <f t="shared" ca="1" si="347"/>
        <v>RFR EUR</v>
      </c>
      <c r="F4441" t="str">
        <f t="shared" ca="1" si="348"/>
        <v>RFR GBP</v>
      </c>
      <c r="J4441" s="1"/>
      <c r="N4441" s="1"/>
      <c r="R4441" s="1"/>
      <c r="V4441" s="1"/>
      <c r="AB4441" s="1"/>
      <c r="AF4441" s="1"/>
      <c r="AJ4441" s="1"/>
      <c r="AN4441" s="1"/>
      <c r="AS4441" s="1"/>
      <c r="AX4441" s="1"/>
    </row>
    <row r="4442" spans="1:50" x14ac:dyDescent="0.3">
      <c r="A4442" s="19">
        <f t="shared" si="349"/>
        <v>52133</v>
      </c>
      <c r="B4442">
        <f t="shared" ca="1" si="345"/>
        <v>-16.613888888888887</v>
      </c>
      <c r="C4442" t="str">
        <f ca="1">IF(currency="USD",'Future et co'!D4442,IF(currency="EUR",'Future et co'!E4442,IF(currency="GBP",'Future et co'!F4442,FALSE)))</f>
        <v>RFR USD</v>
      </c>
      <c r="D4442" t="str">
        <f t="shared" ca="1" si="346"/>
        <v>RFR USD</v>
      </c>
      <c r="E4442" t="str">
        <f t="shared" ca="1" si="347"/>
        <v>RFR EUR</v>
      </c>
      <c r="F4442" t="str">
        <f t="shared" ca="1" si="348"/>
        <v>RFR GBP</v>
      </c>
      <c r="J4442" s="1"/>
      <c r="N4442" s="1"/>
      <c r="R4442" s="1"/>
      <c r="V4442" s="1"/>
      <c r="AB4442" s="1"/>
      <c r="AF4442" s="1"/>
      <c r="AJ4442" s="1"/>
      <c r="AN4442" s="1"/>
      <c r="AS4442" s="1"/>
      <c r="AX4442" s="1"/>
    </row>
    <row r="4443" spans="1:50" x14ac:dyDescent="0.3">
      <c r="A4443" s="19">
        <f t="shared" si="349"/>
        <v>52134</v>
      </c>
      <c r="B4443">
        <f t="shared" ca="1" si="345"/>
        <v>-16.616666666666667</v>
      </c>
      <c r="C4443" t="str">
        <f ca="1">IF(currency="USD",'Future et co'!D4443,IF(currency="EUR",'Future et co'!E4443,IF(currency="GBP",'Future et co'!F4443,FALSE)))</f>
        <v>RFR USD</v>
      </c>
      <c r="D4443" t="str">
        <f t="shared" ca="1" si="346"/>
        <v>RFR USD</v>
      </c>
      <c r="E4443" t="str">
        <f t="shared" ca="1" si="347"/>
        <v>RFR EUR</v>
      </c>
      <c r="F4443" t="str">
        <f t="shared" ca="1" si="348"/>
        <v>RFR GBP</v>
      </c>
      <c r="J4443" s="1"/>
      <c r="N4443" s="1"/>
      <c r="R4443" s="1"/>
      <c r="V4443" s="1"/>
      <c r="AB4443" s="1"/>
      <c r="AF4443" s="1"/>
      <c r="AJ4443" s="1"/>
      <c r="AN4443" s="1"/>
      <c r="AS4443" s="1"/>
      <c r="AX4443" s="1"/>
    </row>
    <row r="4444" spans="1:50" x14ac:dyDescent="0.3">
      <c r="A4444" s="19">
        <f t="shared" si="349"/>
        <v>52135</v>
      </c>
      <c r="B4444">
        <f t="shared" ca="1" si="345"/>
        <v>-16.619444444444444</v>
      </c>
      <c r="C4444" t="str">
        <f ca="1">IF(currency="USD",'Future et co'!D4444,IF(currency="EUR",'Future et co'!E4444,IF(currency="GBP",'Future et co'!F4444,FALSE)))</f>
        <v>RFR USD</v>
      </c>
      <c r="D4444" t="str">
        <f t="shared" ca="1" si="346"/>
        <v>RFR USD</v>
      </c>
      <c r="E4444" t="str">
        <f t="shared" ca="1" si="347"/>
        <v>RFR EUR</v>
      </c>
      <c r="F4444" t="str">
        <f t="shared" ca="1" si="348"/>
        <v>RFR GBP</v>
      </c>
      <c r="J4444" s="1"/>
      <c r="N4444" s="1"/>
      <c r="R4444" s="1"/>
      <c r="V4444" s="1"/>
      <c r="AB4444" s="1"/>
      <c r="AF4444" s="1"/>
      <c r="AJ4444" s="1"/>
      <c r="AN4444" s="1"/>
      <c r="AS4444" s="1"/>
      <c r="AX4444" s="1"/>
    </row>
    <row r="4445" spans="1:50" x14ac:dyDescent="0.3">
      <c r="A4445" s="19">
        <f t="shared" si="349"/>
        <v>52138</v>
      </c>
      <c r="B4445">
        <f t="shared" ca="1" si="345"/>
        <v>-16.627777777777776</v>
      </c>
      <c r="C4445" t="str">
        <f ca="1">IF(currency="USD",'Future et co'!D4445,IF(currency="EUR",'Future et co'!E4445,IF(currency="GBP",'Future et co'!F4445,FALSE)))</f>
        <v>RFR USD</v>
      </c>
      <c r="D4445" t="str">
        <f t="shared" ca="1" si="346"/>
        <v>RFR USD</v>
      </c>
      <c r="E4445" t="str">
        <f t="shared" ca="1" si="347"/>
        <v>RFR EUR</v>
      </c>
      <c r="F4445" t="str">
        <f t="shared" ca="1" si="348"/>
        <v>RFR GBP</v>
      </c>
      <c r="J4445" s="1"/>
      <c r="N4445" s="1"/>
      <c r="R4445" s="1"/>
      <c r="V4445" s="1"/>
      <c r="AB4445" s="1"/>
      <c r="AF4445" s="1"/>
      <c r="AJ4445" s="1"/>
      <c r="AN4445" s="1"/>
      <c r="AS4445" s="1"/>
      <c r="AX4445" s="1"/>
    </row>
    <row r="4446" spans="1:50" x14ac:dyDescent="0.3">
      <c r="A4446" s="19">
        <f t="shared" si="349"/>
        <v>52139</v>
      </c>
      <c r="B4446">
        <f t="shared" ca="1" si="345"/>
        <v>-16.630555555555556</v>
      </c>
      <c r="C4446" t="str">
        <f ca="1">IF(currency="USD",'Future et co'!D4446,IF(currency="EUR",'Future et co'!E4446,IF(currency="GBP",'Future et co'!F4446,FALSE)))</f>
        <v>RFR USD</v>
      </c>
      <c r="D4446" t="str">
        <f t="shared" ca="1" si="346"/>
        <v>RFR USD</v>
      </c>
      <c r="E4446" t="str">
        <f t="shared" ca="1" si="347"/>
        <v>RFR EUR</v>
      </c>
      <c r="F4446" t="str">
        <f t="shared" ca="1" si="348"/>
        <v>RFR GBP</v>
      </c>
      <c r="J4446" s="1"/>
      <c r="N4446" s="1"/>
      <c r="R4446" s="1"/>
      <c r="V4446" s="1"/>
      <c r="AB4446" s="1"/>
      <c r="AF4446" s="1"/>
      <c r="AJ4446" s="1"/>
      <c r="AN4446" s="1"/>
      <c r="AS4446" s="1"/>
      <c r="AX4446" s="1"/>
    </row>
    <row r="4447" spans="1:50" x14ac:dyDescent="0.3">
      <c r="A4447" s="19">
        <f t="shared" si="349"/>
        <v>52140</v>
      </c>
      <c r="B4447">
        <f t="shared" ca="1" si="345"/>
        <v>-16.633333333333333</v>
      </c>
      <c r="C4447" t="str">
        <f ca="1">IF(currency="USD",'Future et co'!D4447,IF(currency="EUR",'Future et co'!E4447,IF(currency="GBP",'Future et co'!F4447,FALSE)))</f>
        <v>RFR USD</v>
      </c>
      <c r="D4447" t="str">
        <f t="shared" ca="1" si="346"/>
        <v>RFR USD</v>
      </c>
      <c r="E4447" t="str">
        <f t="shared" ca="1" si="347"/>
        <v>RFR EUR</v>
      </c>
      <c r="F4447" t="str">
        <f t="shared" ca="1" si="348"/>
        <v>RFR GBP</v>
      </c>
      <c r="J4447" s="1"/>
      <c r="N4447" s="1"/>
      <c r="R4447" s="1"/>
      <c r="V4447" s="1"/>
      <c r="AB4447" s="1"/>
      <c r="AF4447" s="1"/>
      <c r="AJ4447" s="1"/>
      <c r="AN4447" s="1"/>
      <c r="AS4447" s="1"/>
      <c r="AX4447" s="1"/>
    </row>
    <row r="4448" spans="1:50" x14ac:dyDescent="0.3">
      <c r="A4448" s="19">
        <f t="shared" si="349"/>
        <v>52141</v>
      </c>
      <c r="B4448">
        <f t="shared" ca="1" si="345"/>
        <v>-16.636111111111113</v>
      </c>
      <c r="C4448" t="str">
        <f ca="1">IF(currency="USD",'Future et co'!D4448,IF(currency="EUR",'Future et co'!E4448,IF(currency="GBP",'Future et co'!F4448,FALSE)))</f>
        <v>RFR USD</v>
      </c>
      <c r="D4448" t="str">
        <f t="shared" ca="1" si="346"/>
        <v>RFR USD</v>
      </c>
      <c r="E4448" t="str">
        <f t="shared" ca="1" si="347"/>
        <v>RFR EUR</v>
      </c>
      <c r="F4448" t="str">
        <f t="shared" ca="1" si="348"/>
        <v>RFR GBP</v>
      </c>
      <c r="J4448" s="1"/>
      <c r="N4448" s="1"/>
      <c r="R4448" s="1"/>
      <c r="V4448" s="1"/>
      <c r="AB4448" s="1"/>
      <c r="AF4448" s="1"/>
      <c r="AJ4448" s="1"/>
      <c r="AN4448" s="1"/>
      <c r="AS4448" s="1"/>
      <c r="AX4448" s="1"/>
    </row>
    <row r="4449" spans="1:50" x14ac:dyDescent="0.3">
      <c r="A4449" s="19">
        <f t="shared" si="349"/>
        <v>52142</v>
      </c>
      <c r="B4449">
        <f t="shared" ca="1" si="345"/>
        <v>-16.638888888888889</v>
      </c>
      <c r="C4449" t="str">
        <f ca="1">IF(currency="USD",'Future et co'!D4449,IF(currency="EUR",'Future et co'!E4449,IF(currency="GBP",'Future et co'!F4449,FALSE)))</f>
        <v>RFR USD</v>
      </c>
      <c r="D4449" t="str">
        <f t="shared" ca="1" si="346"/>
        <v>RFR USD</v>
      </c>
      <c r="E4449" t="str">
        <f t="shared" ca="1" si="347"/>
        <v>RFR EUR</v>
      </c>
      <c r="F4449" t="str">
        <f t="shared" ca="1" si="348"/>
        <v>RFR GBP</v>
      </c>
      <c r="J4449" s="1"/>
      <c r="N4449" s="1"/>
      <c r="R4449" s="1"/>
      <c r="V4449" s="1"/>
      <c r="AB4449" s="1"/>
      <c r="AF4449" s="1"/>
      <c r="AJ4449" s="1"/>
      <c r="AN4449" s="1"/>
      <c r="AS4449" s="1"/>
      <c r="AX4449" s="1"/>
    </row>
    <row r="4450" spans="1:50" x14ac:dyDescent="0.3">
      <c r="A4450" s="19">
        <f t="shared" si="349"/>
        <v>52145</v>
      </c>
      <c r="B4450">
        <f t="shared" ca="1" si="345"/>
        <v>-16.647222222222222</v>
      </c>
      <c r="C4450" t="str">
        <f ca="1">IF(currency="USD",'Future et co'!D4450,IF(currency="EUR",'Future et co'!E4450,IF(currency="GBP",'Future et co'!F4450,FALSE)))</f>
        <v>RFR USD</v>
      </c>
      <c r="D4450" t="str">
        <f t="shared" ca="1" si="346"/>
        <v>RFR USD</v>
      </c>
      <c r="E4450" t="str">
        <f t="shared" ca="1" si="347"/>
        <v>RFR EUR</v>
      </c>
      <c r="F4450" t="str">
        <f t="shared" ca="1" si="348"/>
        <v>RFR GBP</v>
      </c>
      <c r="J4450" s="1"/>
      <c r="N4450" s="1"/>
      <c r="R4450" s="1"/>
      <c r="V4450" s="1"/>
      <c r="AB4450" s="1"/>
      <c r="AF4450" s="1"/>
      <c r="AJ4450" s="1"/>
      <c r="AN4450" s="1"/>
      <c r="AS4450" s="1"/>
      <c r="AX4450" s="1"/>
    </row>
    <row r="4451" spans="1:50" x14ac:dyDescent="0.3">
      <c r="A4451" s="19">
        <f t="shared" si="349"/>
        <v>52146</v>
      </c>
      <c r="B4451">
        <f t="shared" ca="1" si="345"/>
        <v>-16.649999999999999</v>
      </c>
      <c r="C4451" t="str">
        <f ca="1">IF(currency="USD",'Future et co'!D4451,IF(currency="EUR",'Future et co'!E4451,IF(currency="GBP",'Future et co'!F4451,FALSE)))</f>
        <v>RFR USD</v>
      </c>
      <c r="D4451" t="str">
        <f t="shared" ca="1" si="346"/>
        <v>RFR USD</v>
      </c>
      <c r="E4451" t="str">
        <f t="shared" ca="1" si="347"/>
        <v>RFR EUR</v>
      </c>
      <c r="F4451" t="str">
        <f t="shared" ca="1" si="348"/>
        <v>RFR GBP</v>
      </c>
      <c r="J4451" s="1"/>
      <c r="N4451" s="1"/>
      <c r="R4451" s="1"/>
      <c r="V4451" s="1"/>
      <c r="AB4451" s="1"/>
      <c r="AF4451" s="1"/>
      <c r="AJ4451" s="1"/>
      <c r="AN4451" s="1"/>
      <c r="AS4451" s="1"/>
      <c r="AX4451" s="1"/>
    </row>
    <row r="4452" spans="1:50" x14ac:dyDescent="0.3">
      <c r="A4452" s="19">
        <f t="shared" si="349"/>
        <v>52147</v>
      </c>
      <c r="B4452">
        <f t="shared" ca="1" si="345"/>
        <v>-16.652777777777779</v>
      </c>
      <c r="C4452" t="str">
        <f ca="1">IF(currency="USD",'Future et co'!D4452,IF(currency="EUR",'Future et co'!E4452,IF(currency="GBP",'Future et co'!F4452,FALSE)))</f>
        <v>RFR USD</v>
      </c>
      <c r="D4452" t="str">
        <f t="shared" ca="1" si="346"/>
        <v>RFR USD</v>
      </c>
      <c r="E4452" t="str">
        <f t="shared" ca="1" si="347"/>
        <v>RFR EUR</v>
      </c>
      <c r="F4452" t="str">
        <f t="shared" ca="1" si="348"/>
        <v>RFR GBP</v>
      </c>
      <c r="J4452" s="1"/>
      <c r="N4452" s="1"/>
      <c r="R4452" s="1"/>
      <c r="V4452" s="1"/>
      <c r="AB4452" s="1"/>
      <c r="AF4452" s="1"/>
      <c r="AJ4452" s="1"/>
      <c r="AN4452" s="1"/>
      <c r="AS4452" s="1"/>
      <c r="AX4452" s="1"/>
    </row>
    <row r="4453" spans="1:50" x14ac:dyDescent="0.3">
      <c r="A4453" s="19">
        <f t="shared" si="349"/>
        <v>52148</v>
      </c>
      <c r="B4453">
        <f t="shared" ca="1" si="345"/>
        <v>-16.655555555555555</v>
      </c>
      <c r="C4453" t="str">
        <f ca="1">IF(currency="USD",'Future et co'!D4453,IF(currency="EUR",'Future et co'!E4453,IF(currency="GBP",'Future et co'!F4453,FALSE)))</f>
        <v>RFR USD</v>
      </c>
      <c r="D4453" t="str">
        <f t="shared" ca="1" si="346"/>
        <v>RFR USD</v>
      </c>
      <c r="E4453" t="str">
        <f t="shared" ca="1" si="347"/>
        <v>RFR EUR</v>
      </c>
      <c r="F4453" t="str">
        <f t="shared" ca="1" si="348"/>
        <v>RFR GBP</v>
      </c>
      <c r="J4453" s="1"/>
      <c r="N4453" s="1"/>
      <c r="R4453" s="1"/>
      <c r="V4453" s="1"/>
      <c r="AB4453" s="1"/>
      <c r="AF4453" s="1"/>
      <c r="AJ4453" s="1"/>
      <c r="AN4453" s="1"/>
      <c r="AS4453" s="1"/>
      <c r="AX4453" s="1"/>
    </row>
    <row r="4454" spans="1:50" x14ac:dyDescent="0.3">
      <c r="A4454" s="19">
        <f t="shared" si="349"/>
        <v>52149</v>
      </c>
      <c r="B4454">
        <f t="shared" ca="1" si="345"/>
        <v>-16.658333333333335</v>
      </c>
      <c r="C4454" t="str">
        <f ca="1">IF(currency="USD",'Future et co'!D4454,IF(currency="EUR",'Future et co'!E4454,IF(currency="GBP",'Future et co'!F4454,FALSE)))</f>
        <v>RFR USD</v>
      </c>
      <c r="D4454" t="str">
        <f t="shared" ca="1" si="346"/>
        <v>RFR USD</v>
      </c>
      <c r="E4454" t="str">
        <f t="shared" ca="1" si="347"/>
        <v>RFR EUR</v>
      </c>
      <c r="F4454" t="str">
        <f t="shared" ca="1" si="348"/>
        <v>RFR GBP</v>
      </c>
      <c r="J4454" s="1"/>
      <c r="N4454" s="1"/>
      <c r="R4454" s="1"/>
      <c r="V4454" s="1"/>
      <c r="AB4454" s="1"/>
      <c r="AF4454" s="1"/>
      <c r="AJ4454" s="1"/>
      <c r="AN4454" s="1"/>
      <c r="AS4454" s="1"/>
      <c r="AX4454" s="1"/>
    </row>
    <row r="4455" spans="1:50" x14ac:dyDescent="0.3">
      <c r="A4455" s="19">
        <f t="shared" si="349"/>
        <v>52152</v>
      </c>
      <c r="B4455">
        <f t="shared" ca="1" si="345"/>
        <v>-16.666666666666668</v>
      </c>
      <c r="C4455" t="str">
        <f ca="1">IF(currency="USD",'Future et co'!D4455,IF(currency="EUR",'Future et co'!E4455,IF(currency="GBP",'Future et co'!F4455,FALSE)))</f>
        <v>RFR USD</v>
      </c>
      <c r="D4455" t="str">
        <f t="shared" ca="1" si="346"/>
        <v>RFR USD</v>
      </c>
      <c r="E4455" t="str">
        <f t="shared" ca="1" si="347"/>
        <v>RFR EUR</v>
      </c>
      <c r="F4455" t="str">
        <f t="shared" ca="1" si="348"/>
        <v>RFR GBP</v>
      </c>
      <c r="J4455" s="1"/>
      <c r="N4455" s="1"/>
      <c r="R4455" s="1"/>
      <c r="V4455" s="1"/>
      <c r="AB4455" s="1"/>
      <c r="AF4455" s="1"/>
      <c r="AJ4455" s="1"/>
      <c r="AN4455" s="1"/>
      <c r="AS4455" s="1"/>
      <c r="AX4455" s="1"/>
    </row>
    <row r="4456" spans="1:50" x14ac:dyDescent="0.3">
      <c r="A4456" s="19">
        <f t="shared" si="349"/>
        <v>52153</v>
      </c>
      <c r="B4456">
        <f t="shared" ca="1" si="345"/>
        <v>-16.669444444444444</v>
      </c>
      <c r="C4456" t="str">
        <f ca="1">IF(currency="USD",'Future et co'!D4456,IF(currency="EUR",'Future et co'!E4456,IF(currency="GBP",'Future et co'!F4456,FALSE)))</f>
        <v>RFR USD</v>
      </c>
      <c r="D4456" t="str">
        <f t="shared" ca="1" si="346"/>
        <v>RFR USD</v>
      </c>
      <c r="E4456" t="str">
        <f t="shared" ca="1" si="347"/>
        <v>RFR EUR</v>
      </c>
      <c r="F4456" t="str">
        <f t="shared" ca="1" si="348"/>
        <v>RFR GBP</v>
      </c>
      <c r="J4456" s="1"/>
      <c r="N4456" s="1"/>
      <c r="R4456" s="1"/>
      <c r="V4456" s="1"/>
      <c r="AB4456" s="1"/>
      <c r="AF4456" s="1"/>
      <c r="AJ4456" s="1"/>
      <c r="AN4456" s="1"/>
      <c r="AS4456" s="1"/>
      <c r="AX4456" s="1"/>
    </row>
    <row r="4457" spans="1:50" x14ac:dyDescent="0.3">
      <c r="A4457" s="19">
        <f t="shared" si="349"/>
        <v>52154</v>
      </c>
      <c r="B4457">
        <f t="shared" ca="1" si="345"/>
        <v>-16.672222222222221</v>
      </c>
      <c r="C4457" t="str">
        <f ca="1">IF(currency="USD",'Future et co'!D4457,IF(currency="EUR",'Future et co'!E4457,IF(currency="GBP",'Future et co'!F4457,FALSE)))</f>
        <v>RFR USD</v>
      </c>
      <c r="D4457" t="str">
        <f t="shared" ca="1" si="346"/>
        <v>RFR USD</v>
      </c>
      <c r="E4457" t="str">
        <f t="shared" ca="1" si="347"/>
        <v>RFR EUR</v>
      </c>
      <c r="F4457" t="str">
        <f t="shared" ca="1" si="348"/>
        <v>RFR GBP</v>
      </c>
      <c r="J4457" s="1"/>
      <c r="N4457" s="1"/>
      <c r="R4457" s="1"/>
      <c r="V4457" s="1"/>
      <c r="AB4457" s="1"/>
      <c r="AF4457" s="1"/>
      <c r="AJ4457" s="1"/>
      <c r="AN4457" s="1"/>
      <c r="AS4457" s="1"/>
      <c r="AX4457" s="1"/>
    </row>
    <row r="4458" spans="1:50" x14ac:dyDescent="0.3">
      <c r="A4458" s="19">
        <f t="shared" si="349"/>
        <v>52155</v>
      </c>
      <c r="B4458">
        <f t="shared" ca="1" si="345"/>
        <v>-16.675000000000001</v>
      </c>
      <c r="C4458" t="str">
        <f ca="1">IF(currency="USD",'Future et co'!D4458,IF(currency="EUR",'Future et co'!E4458,IF(currency="GBP",'Future et co'!F4458,FALSE)))</f>
        <v>RFR USD</v>
      </c>
      <c r="D4458" t="str">
        <f t="shared" ca="1" si="346"/>
        <v>RFR USD</v>
      </c>
      <c r="E4458" t="str">
        <f t="shared" ca="1" si="347"/>
        <v>RFR EUR</v>
      </c>
      <c r="F4458" t="str">
        <f t="shared" ca="1" si="348"/>
        <v>RFR GBP</v>
      </c>
      <c r="J4458" s="1"/>
      <c r="N4458" s="1"/>
      <c r="R4458" s="1"/>
      <c r="V4458" s="1"/>
      <c r="AB4458" s="1"/>
      <c r="AF4458" s="1"/>
      <c r="AJ4458" s="1"/>
      <c r="AN4458" s="1"/>
      <c r="AS4458" s="1"/>
      <c r="AX4458" s="1"/>
    </row>
    <row r="4459" spans="1:50" x14ac:dyDescent="0.3">
      <c r="A4459" s="19">
        <f t="shared" si="349"/>
        <v>52156</v>
      </c>
      <c r="B4459">
        <f t="shared" ca="1" si="345"/>
        <v>-16.677777777777777</v>
      </c>
      <c r="C4459" t="str">
        <f ca="1">IF(currency="USD",'Future et co'!D4459,IF(currency="EUR",'Future et co'!E4459,IF(currency="GBP",'Future et co'!F4459,FALSE)))</f>
        <v>RFR USD</v>
      </c>
      <c r="D4459" t="str">
        <f t="shared" ca="1" si="346"/>
        <v>RFR USD</v>
      </c>
      <c r="E4459" t="str">
        <f t="shared" ca="1" si="347"/>
        <v>RFR EUR</v>
      </c>
      <c r="F4459" t="str">
        <f t="shared" ca="1" si="348"/>
        <v>RFR GBP</v>
      </c>
      <c r="J4459" s="1"/>
      <c r="N4459" s="1"/>
      <c r="R4459" s="1"/>
      <c r="V4459" s="1"/>
      <c r="AB4459" s="1"/>
      <c r="AF4459" s="1"/>
      <c r="AJ4459" s="1"/>
      <c r="AN4459" s="1"/>
      <c r="AS4459" s="1"/>
      <c r="AX4459" s="1"/>
    </row>
    <row r="4460" spans="1:50" x14ac:dyDescent="0.3">
      <c r="A4460" s="19">
        <f t="shared" si="349"/>
        <v>52159</v>
      </c>
      <c r="B4460">
        <f t="shared" ca="1" si="345"/>
        <v>-16.68611111111111</v>
      </c>
      <c r="C4460" t="str">
        <f ca="1">IF(currency="USD",'Future et co'!D4460,IF(currency="EUR",'Future et co'!E4460,IF(currency="GBP",'Future et co'!F4460,FALSE)))</f>
        <v>RFR USD</v>
      </c>
      <c r="D4460" t="str">
        <f t="shared" ca="1" si="346"/>
        <v>RFR USD</v>
      </c>
      <c r="E4460" t="str">
        <f t="shared" ca="1" si="347"/>
        <v>RFR EUR</v>
      </c>
      <c r="F4460" t="str">
        <f t="shared" ca="1" si="348"/>
        <v>RFR GBP</v>
      </c>
      <c r="J4460" s="1"/>
      <c r="N4460" s="1"/>
      <c r="R4460" s="1"/>
      <c r="V4460" s="1"/>
      <c r="AB4460" s="1"/>
      <c r="AF4460" s="1"/>
      <c r="AJ4460" s="1"/>
      <c r="AN4460" s="1"/>
      <c r="AS4460" s="1"/>
      <c r="AX4460" s="1"/>
    </row>
    <row r="4461" spans="1:50" x14ac:dyDescent="0.3">
      <c r="A4461" s="19">
        <f t="shared" si="349"/>
        <v>52160</v>
      </c>
      <c r="B4461">
        <f t="shared" ca="1" si="345"/>
        <v>-16.68888888888889</v>
      </c>
      <c r="C4461" t="str">
        <f ca="1">IF(currency="USD",'Future et co'!D4461,IF(currency="EUR",'Future et co'!E4461,IF(currency="GBP",'Future et co'!F4461,FALSE)))</f>
        <v>RFR USD</v>
      </c>
      <c r="D4461" t="str">
        <f t="shared" ca="1" si="346"/>
        <v>RFR USD</v>
      </c>
      <c r="E4461" t="str">
        <f t="shared" ca="1" si="347"/>
        <v>RFR EUR</v>
      </c>
      <c r="F4461" t="str">
        <f t="shared" ca="1" si="348"/>
        <v>RFR GBP</v>
      </c>
      <c r="J4461" s="1"/>
      <c r="N4461" s="1"/>
      <c r="R4461" s="1"/>
      <c r="V4461" s="1"/>
      <c r="AB4461" s="1"/>
      <c r="AF4461" s="1"/>
      <c r="AJ4461" s="1"/>
      <c r="AN4461" s="1"/>
      <c r="AS4461" s="1"/>
      <c r="AX4461" s="1"/>
    </row>
    <row r="4462" spans="1:50" x14ac:dyDescent="0.3">
      <c r="A4462" s="19">
        <f t="shared" si="349"/>
        <v>52161</v>
      </c>
      <c r="B4462">
        <f t="shared" ca="1" si="345"/>
        <v>-16.691666666666666</v>
      </c>
      <c r="C4462" t="str">
        <f ca="1">IF(currency="USD",'Future et co'!D4462,IF(currency="EUR",'Future et co'!E4462,IF(currency="GBP",'Future et co'!F4462,FALSE)))</f>
        <v>RFR USD</v>
      </c>
      <c r="D4462" t="str">
        <f t="shared" ca="1" si="346"/>
        <v>RFR USD</v>
      </c>
      <c r="E4462" t="str">
        <f t="shared" ca="1" si="347"/>
        <v>RFR EUR</v>
      </c>
      <c r="F4462" t="str">
        <f t="shared" ca="1" si="348"/>
        <v>RFR GBP</v>
      </c>
      <c r="J4462" s="1"/>
      <c r="N4462" s="1"/>
      <c r="R4462" s="1"/>
      <c r="V4462" s="1"/>
      <c r="AB4462" s="1"/>
      <c r="AF4462" s="1"/>
      <c r="AJ4462" s="1"/>
      <c r="AN4462" s="1"/>
      <c r="AS4462" s="1"/>
      <c r="AX4462" s="1"/>
    </row>
    <row r="4463" spans="1:50" x14ac:dyDescent="0.3">
      <c r="A4463" s="19">
        <f t="shared" si="349"/>
        <v>52162</v>
      </c>
      <c r="B4463">
        <f t="shared" ca="1" si="345"/>
        <v>-16.694444444444443</v>
      </c>
      <c r="C4463" t="str">
        <f ca="1">IF(currency="USD",'Future et co'!D4463,IF(currency="EUR",'Future et co'!E4463,IF(currency="GBP",'Future et co'!F4463,FALSE)))</f>
        <v>RFR USD</v>
      </c>
      <c r="D4463" t="str">
        <f t="shared" ca="1" si="346"/>
        <v>RFR USD</v>
      </c>
      <c r="E4463" t="str">
        <f t="shared" ca="1" si="347"/>
        <v>RFR EUR</v>
      </c>
      <c r="F4463" t="str">
        <f t="shared" ca="1" si="348"/>
        <v>RFR GBP</v>
      </c>
      <c r="J4463" s="1"/>
      <c r="N4463" s="1"/>
      <c r="R4463" s="1"/>
      <c r="V4463" s="1"/>
      <c r="AB4463" s="1"/>
      <c r="AF4463" s="1"/>
      <c r="AJ4463" s="1"/>
      <c r="AN4463" s="1"/>
      <c r="AS4463" s="1"/>
      <c r="AX4463" s="1"/>
    </row>
    <row r="4464" spans="1:50" x14ac:dyDescent="0.3">
      <c r="A4464" s="19">
        <f t="shared" si="349"/>
        <v>52163</v>
      </c>
      <c r="B4464">
        <f t="shared" ca="1" si="345"/>
        <v>-16.697222222222223</v>
      </c>
      <c r="C4464" t="str">
        <f ca="1">IF(currency="USD",'Future et co'!D4464,IF(currency="EUR",'Future et co'!E4464,IF(currency="GBP",'Future et co'!F4464,FALSE)))</f>
        <v>RFR USD</v>
      </c>
      <c r="D4464" t="str">
        <f t="shared" ca="1" si="346"/>
        <v>RFR USD</v>
      </c>
      <c r="E4464" t="str">
        <f t="shared" ca="1" si="347"/>
        <v>RFR EUR</v>
      </c>
      <c r="F4464" t="str">
        <f t="shared" ca="1" si="348"/>
        <v>RFR GBP</v>
      </c>
      <c r="J4464" s="1"/>
      <c r="N4464" s="1"/>
      <c r="R4464" s="1"/>
      <c r="V4464" s="1"/>
      <c r="AB4464" s="1"/>
      <c r="AF4464" s="1"/>
      <c r="AJ4464" s="1"/>
      <c r="AN4464" s="1"/>
      <c r="AS4464" s="1"/>
      <c r="AX4464" s="1"/>
    </row>
    <row r="4465" spans="1:50" x14ac:dyDescent="0.3">
      <c r="A4465" s="19">
        <f t="shared" si="349"/>
        <v>52166</v>
      </c>
      <c r="B4465">
        <f t="shared" ca="1" si="345"/>
        <v>-16.705555555555556</v>
      </c>
      <c r="C4465" t="str">
        <f ca="1">IF(currency="USD",'Future et co'!D4465,IF(currency="EUR",'Future et co'!E4465,IF(currency="GBP",'Future et co'!F4465,FALSE)))</f>
        <v>RFR USD</v>
      </c>
      <c r="D4465" t="str">
        <f t="shared" ca="1" si="346"/>
        <v>RFR USD</v>
      </c>
      <c r="E4465" t="str">
        <f t="shared" ca="1" si="347"/>
        <v>RFR EUR</v>
      </c>
      <c r="F4465" t="str">
        <f t="shared" ca="1" si="348"/>
        <v>RFR GBP</v>
      </c>
      <c r="J4465" s="1"/>
      <c r="N4465" s="1"/>
      <c r="R4465" s="1"/>
      <c r="V4465" s="1"/>
      <c r="AB4465" s="1"/>
      <c r="AF4465" s="1"/>
      <c r="AJ4465" s="1"/>
      <c r="AN4465" s="1"/>
      <c r="AS4465" s="1"/>
      <c r="AX4465" s="1"/>
    </row>
    <row r="4466" spans="1:50" x14ac:dyDescent="0.3">
      <c r="A4466" s="19">
        <f t="shared" si="349"/>
        <v>52167</v>
      </c>
      <c r="B4466">
        <f t="shared" ca="1" si="345"/>
        <v>-16.708333333333332</v>
      </c>
      <c r="C4466" t="str">
        <f ca="1">IF(currency="USD",'Future et co'!D4466,IF(currency="EUR",'Future et co'!E4466,IF(currency="GBP",'Future et co'!F4466,FALSE)))</f>
        <v>RFR USD</v>
      </c>
      <c r="D4466" t="str">
        <f t="shared" ca="1" si="346"/>
        <v>RFR USD</v>
      </c>
      <c r="E4466" t="str">
        <f t="shared" ca="1" si="347"/>
        <v>RFR EUR</v>
      </c>
      <c r="F4466" t="str">
        <f t="shared" ca="1" si="348"/>
        <v>RFR GBP</v>
      </c>
      <c r="J4466" s="1"/>
      <c r="N4466" s="1"/>
      <c r="R4466" s="1"/>
      <c r="V4466" s="1"/>
      <c r="AB4466" s="1"/>
      <c r="AF4466" s="1"/>
      <c r="AJ4466" s="1"/>
      <c r="AN4466" s="1"/>
      <c r="AS4466" s="1"/>
      <c r="AX4466" s="1"/>
    </row>
    <row r="4467" spans="1:50" x14ac:dyDescent="0.3">
      <c r="A4467" s="19">
        <f t="shared" si="349"/>
        <v>52168</v>
      </c>
      <c r="B4467">
        <f t="shared" ca="1" si="345"/>
        <v>-16.711111111111112</v>
      </c>
      <c r="C4467" t="str">
        <f ca="1">IF(currency="USD",'Future et co'!D4467,IF(currency="EUR",'Future et co'!E4467,IF(currency="GBP",'Future et co'!F4467,FALSE)))</f>
        <v>RFR USD</v>
      </c>
      <c r="D4467" t="str">
        <f t="shared" ca="1" si="346"/>
        <v>RFR USD</v>
      </c>
      <c r="E4467" t="str">
        <f t="shared" ca="1" si="347"/>
        <v>RFR EUR</v>
      </c>
      <c r="F4467" t="str">
        <f t="shared" ca="1" si="348"/>
        <v>RFR GBP</v>
      </c>
      <c r="J4467" s="1"/>
      <c r="N4467" s="1"/>
      <c r="R4467" s="1"/>
      <c r="V4467" s="1"/>
      <c r="AB4467" s="1"/>
      <c r="AF4467" s="1"/>
      <c r="AJ4467" s="1"/>
      <c r="AN4467" s="1"/>
      <c r="AS4467" s="1"/>
      <c r="AX4467" s="1"/>
    </row>
    <row r="4468" spans="1:50" x14ac:dyDescent="0.3">
      <c r="A4468" s="19">
        <f t="shared" si="349"/>
        <v>52169</v>
      </c>
      <c r="B4468">
        <f t="shared" ca="1" si="345"/>
        <v>-16.713888888888889</v>
      </c>
      <c r="C4468" t="str">
        <f ca="1">IF(currency="USD",'Future et co'!D4468,IF(currency="EUR",'Future et co'!E4468,IF(currency="GBP",'Future et co'!F4468,FALSE)))</f>
        <v>RFR USD</v>
      </c>
      <c r="D4468" t="str">
        <f t="shared" ca="1" si="346"/>
        <v>RFR USD</v>
      </c>
      <c r="E4468" t="str">
        <f t="shared" ca="1" si="347"/>
        <v>RFR EUR</v>
      </c>
      <c r="F4468" t="str">
        <f t="shared" ca="1" si="348"/>
        <v>RFR GBP</v>
      </c>
      <c r="J4468" s="1"/>
      <c r="N4468" s="1"/>
      <c r="R4468" s="1"/>
      <c r="V4468" s="1"/>
      <c r="AB4468" s="1"/>
      <c r="AF4468" s="1"/>
      <c r="AJ4468" s="1"/>
      <c r="AN4468" s="1"/>
      <c r="AS4468" s="1"/>
      <c r="AX4468" s="1"/>
    </row>
    <row r="4469" spans="1:50" x14ac:dyDescent="0.3">
      <c r="A4469" s="19">
        <f t="shared" si="349"/>
        <v>52170</v>
      </c>
      <c r="B4469">
        <f t="shared" ca="1" si="345"/>
        <v>-16.716666666666665</v>
      </c>
      <c r="C4469" t="str">
        <f ca="1">IF(currency="USD",'Future et co'!D4469,IF(currency="EUR",'Future et co'!E4469,IF(currency="GBP",'Future et co'!F4469,FALSE)))</f>
        <v>RFR USD</v>
      </c>
      <c r="D4469" t="str">
        <f t="shared" ca="1" si="346"/>
        <v>RFR USD</v>
      </c>
      <c r="E4469" t="str">
        <f t="shared" ca="1" si="347"/>
        <v>RFR EUR</v>
      </c>
      <c r="F4469" t="str">
        <f t="shared" ca="1" si="348"/>
        <v>RFR GBP</v>
      </c>
      <c r="J4469" s="1"/>
      <c r="N4469" s="1"/>
      <c r="R4469" s="1"/>
      <c r="V4469" s="1"/>
      <c r="AB4469" s="1"/>
      <c r="AF4469" s="1"/>
      <c r="AJ4469" s="1"/>
      <c r="AN4469" s="1"/>
      <c r="AS4469" s="1"/>
      <c r="AX4469" s="1"/>
    </row>
    <row r="4470" spans="1:50" x14ac:dyDescent="0.3">
      <c r="A4470" s="19">
        <f t="shared" si="349"/>
        <v>52173</v>
      </c>
      <c r="B4470">
        <f t="shared" ca="1" si="345"/>
        <v>-16.725000000000001</v>
      </c>
      <c r="C4470" t="str">
        <f ca="1">IF(currency="USD",'Future et co'!D4470,IF(currency="EUR",'Future et co'!E4470,IF(currency="GBP",'Future et co'!F4470,FALSE)))</f>
        <v>RFR USD</v>
      </c>
      <c r="D4470" t="str">
        <f t="shared" ca="1" si="346"/>
        <v>RFR USD</v>
      </c>
      <c r="E4470" t="str">
        <f t="shared" ca="1" si="347"/>
        <v>RFR EUR</v>
      </c>
      <c r="F4470" t="str">
        <f t="shared" ca="1" si="348"/>
        <v>RFR GBP</v>
      </c>
      <c r="J4470" s="1"/>
      <c r="N4470" s="1"/>
      <c r="R4470" s="1"/>
      <c r="V4470" s="1"/>
      <c r="AB4470" s="1"/>
      <c r="AF4470" s="1"/>
      <c r="AJ4470" s="1"/>
      <c r="AN4470" s="1"/>
      <c r="AS4470" s="1"/>
      <c r="AX4470" s="1"/>
    </row>
    <row r="4471" spans="1:50" x14ac:dyDescent="0.3">
      <c r="A4471" s="19">
        <f t="shared" si="349"/>
        <v>52174</v>
      </c>
      <c r="B4471">
        <f t="shared" ca="1" si="345"/>
        <v>-16.727777777777778</v>
      </c>
      <c r="C4471" t="str">
        <f ca="1">IF(currency="USD",'Future et co'!D4471,IF(currency="EUR",'Future et co'!E4471,IF(currency="GBP",'Future et co'!F4471,FALSE)))</f>
        <v>RFR USD</v>
      </c>
      <c r="D4471" t="str">
        <f t="shared" ca="1" si="346"/>
        <v>RFR USD</v>
      </c>
      <c r="E4471" t="str">
        <f t="shared" ca="1" si="347"/>
        <v>RFR EUR</v>
      </c>
      <c r="F4471" t="str">
        <f t="shared" ca="1" si="348"/>
        <v>RFR GBP</v>
      </c>
      <c r="J4471" s="1"/>
      <c r="N4471" s="1"/>
      <c r="R4471" s="1"/>
      <c r="V4471" s="1"/>
      <c r="AB4471" s="1"/>
      <c r="AF4471" s="1"/>
      <c r="AJ4471" s="1"/>
      <c r="AN4471" s="1"/>
      <c r="AS4471" s="1"/>
      <c r="AX4471" s="1"/>
    </row>
    <row r="4472" spans="1:50" x14ac:dyDescent="0.3">
      <c r="A4472" s="19">
        <f t="shared" si="349"/>
        <v>52175</v>
      </c>
      <c r="B4472">
        <f t="shared" ca="1" si="345"/>
        <v>-16.730555555555554</v>
      </c>
      <c r="C4472" t="str">
        <f ca="1">IF(currency="USD",'Future et co'!D4472,IF(currency="EUR",'Future et co'!E4472,IF(currency="GBP",'Future et co'!F4472,FALSE)))</f>
        <v>RFR USD</v>
      </c>
      <c r="D4472" t="str">
        <f t="shared" ca="1" si="346"/>
        <v>RFR USD</v>
      </c>
      <c r="E4472" t="str">
        <f t="shared" ca="1" si="347"/>
        <v>RFR EUR</v>
      </c>
      <c r="F4472" t="str">
        <f t="shared" ca="1" si="348"/>
        <v>RFR GBP</v>
      </c>
      <c r="J4472" s="1"/>
      <c r="N4472" s="1"/>
      <c r="R4472" s="1"/>
      <c r="V4472" s="1"/>
      <c r="AB4472" s="1"/>
      <c r="AF4472" s="1"/>
      <c r="AJ4472" s="1"/>
      <c r="AN4472" s="1"/>
      <c r="AS4472" s="1"/>
      <c r="AX4472" s="1"/>
    </row>
    <row r="4473" spans="1:50" x14ac:dyDescent="0.3">
      <c r="A4473" s="19">
        <f t="shared" si="349"/>
        <v>52176</v>
      </c>
      <c r="B4473">
        <f t="shared" ca="1" si="345"/>
        <v>-16.733333333333334</v>
      </c>
      <c r="C4473" t="str">
        <f ca="1">IF(currency="USD",'Future et co'!D4473,IF(currency="EUR",'Future et co'!E4473,IF(currency="GBP",'Future et co'!F4473,FALSE)))</f>
        <v>RFR USD</v>
      </c>
      <c r="D4473" t="str">
        <f t="shared" ca="1" si="346"/>
        <v>RFR USD</v>
      </c>
      <c r="E4473" t="str">
        <f t="shared" ca="1" si="347"/>
        <v>RFR EUR</v>
      </c>
      <c r="F4473" t="str">
        <f t="shared" ca="1" si="348"/>
        <v>RFR GBP</v>
      </c>
      <c r="J4473" s="1"/>
      <c r="N4473" s="1"/>
      <c r="R4473" s="1"/>
      <c r="V4473" s="1"/>
      <c r="AB4473" s="1"/>
      <c r="AF4473" s="1"/>
      <c r="AJ4473" s="1"/>
      <c r="AN4473" s="1"/>
      <c r="AS4473" s="1"/>
      <c r="AX4473" s="1"/>
    </row>
    <row r="4474" spans="1:50" x14ac:dyDescent="0.3">
      <c r="A4474" s="19">
        <f t="shared" si="349"/>
        <v>52177</v>
      </c>
      <c r="B4474">
        <f t="shared" ca="1" si="345"/>
        <v>-16.736111111111111</v>
      </c>
      <c r="C4474" t="str">
        <f ca="1">IF(currency="USD",'Future et co'!D4474,IF(currency="EUR",'Future et co'!E4474,IF(currency="GBP",'Future et co'!F4474,FALSE)))</f>
        <v>RFR USD</v>
      </c>
      <c r="D4474" t="str">
        <f t="shared" ca="1" si="346"/>
        <v>RFR USD</v>
      </c>
      <c r="E4474" t="str">
        <f t="shared" ca="1" si="347"/>
        <v>RFR EUR</v>
      </c>
      <c r="F4474" t="str">
        <f t="shared" ca="1" si="348"/>
        <v>RFR GBP</v>
      </c>
      <c r="J4474" s="1"/>
      <c r="N4474" s="1"/>
      <c r="R4474" s="1"/>
      <c r="V4474" s="1"/>
      <c r="AB4474" s="1"/>
      <c r="AF4474" s="1"/>
      <c r="AJ4474" s="1"/>
      <c r="AN4474" s="1"/>
      <c r="AS4474" s="1"/>
      <c r="AX4474" s="1"/>
    </row>
    <row r="4475" spans="1:50" x14ac:dyDescent="0.3">
      <c r="A4475" s="19">
        <f t="shared" si="349"/>
        <v>52180</v>
      </c>
      <c r="B4475">
        <f t="shared" ca="1" si="345"/>
        <v>-16.744444444444444</v>
      </c>
      <c r="C4475" t="str">
        <f ca="1">IF(currency="USD",'Future et co'!D4475,IF(currency="EUR",'Future et co'!E4475,IF(currency="GBP",'Future et co'!F4475,FALSE)))</f>
        <v>RFR USD</v>
      </c>
      <c r="D4475" t="str">
        <f t="shared" ca="1" si="346"/>
        <v>RFR USD</v>
      </c>
      <c r="E4475" t="str">
        <f t="shared" ca="1" si="347"/>
        <v>RFR EUR</v>
      </c>
      <c r="F4475" t="str">
        <f t="shared" ca="1" si="348"/>
        <v>RFR GBP</v>
      </c>
      <c r="J4475" s="1"/>
      <c r="N4475" s="1"/>
      <c r="R4475" s="1"/>
      <c r="V4475" s="1"/>
      <c r="AB4475" s="1"/>
      <c r="AF4475" s="1"/>
      <c r="AJ4475" s="1"/>
      <c r="AN4475" s="1"/>
      <c r="AS4475" s="1"/>
      <c r="AX4475" s="1"/>
    </row>
    <row r="4476" spans="1:50" x14ac:dyDescent="0.3">
      <c r="A4476" s="19">
        <f t="shared" si="349"/>
        <v>52181</v>
      </c>
      <c r="B4476">
        <f t="shared" ca="1" si="345"/>
        <v>-16.747222222222224</v>
      </c>
      <c r="C4476" t="str">
        <f ca="1">IF(currency="USD",'Future et co'!D4476,IF(currency="EUR",'Future et co'!E4476,IF(currency="GBP",'Future et co'!F4476,FALSE)))</f>
        <v>RFR USD</v>
      </c>
      <c r="D4476" t="str">
        <f t="shared" ca="1" si="346"/>
        <v>RFR USD</v>
      </c>
      <c r="E4476" t="str">
        <f t="shared" ca="1" si="347"/>
        <v>RFR EUR</v>
      </c>
      <c r="F4476" t="str">
        <f t="shared" ca="1" si="348"/>
        <v>RFR GBP</v>
      </c>
      <c r="J4476" s="1"/>
      <c r="N4476" s="1"/>
      <c r="R4476" s="1"/>
      <c r="V4476" s="1"/>
      <c r="AB4476" s="1"/>
      <c r="AF4476" s="1"/>
      <c r="AJ4476" s="1"/>
      <c r="AN4476" s="1"/>
      <c r="AS4476" s="1"/>
      <c r="AX4476" s="1"/>
    </row>
    <row r="4477" spans="1:50" x14ac:dyDescent="0.3">
      <c r="A4477" s="19">
        <f t="shared" si="349"/>
        <v>52182</v>
      </c>
      <c r="B4477">
        <f t="shared" ca="1" si="345"/>
        <v>-16.75</v>
      </c>
      <c r="C4477" t="str">
        <f ca="1">IF(currency="USD",'Future et co'!D4477,IF(currency="EUR",'Future et co'!E4477,IF(currency="GBP",'Future et co'!F4477,FALSE)))</f>
        <v>RFR USD</v>
      </c>
      <c r="D4477" t="str">
        <f t="shared" ca="1" si="346"/>
        <v>RFR USD</v>
      </c>
      <c r="E4477" t="str">
        <f t="shared" ca="1" si="347"/>
        <v>RFR EUR</v>
      </c>
      <c r="F4477" t="str">
        <f t="shared" ca="1" si="348"/>
        <v>RFR GBP</v>
      </c>
      <c r="J4477" s="1"/>
      <c r="N4477" s="1"/>
      <c r="R4477" s="1"/>
      <c r="V4477" s="1"/>
      <c r="AB4477" s="1"/>
      <c r="AF4477" s="1"/>
      <c r="AJ4477" s="1"/>
      <c r="AN4477" s="1"/>
      <c r="AS4477" s="1"/>
      <c r="AX4477" s="1"/>
    </row>
    <row r="4478" spans="1:50" x14ac:dyDescent="0.3">
      <c r="A4478" s="19">
        <f t="shared" si="349"/>
        <v>52183</v>
      </c>
      <c r="B4478">
        <f t="shared" ca="1" si="345"/>
        <v>-16.752777777777776</v>
      </c>
      <c r="C4478" t="str">
        <f ca="1">IF(currency="USD",'Future et co'!D4478,IF(currency="EUR",'Future et co'!E4478,IF(currency="GBP",'Future et co'!F4478,FALSE)))</f>
        <v>RFR USD</v>
      </c>
      <c r="D4478" t="str">
        <f t="shared" ca="1" si="346"/>
        <v>RFR USD</v>
      </c>
      <c r="E4478" t="str">
        <f t="shared" ca="1" si="347"/>
        <v>RFR EUR</v>
      </c>
      <c r="F4478" t="str">
        <f t="shared" ca="1" si="348"/>
        <v>RFR GBP</v>
      </c>
      <c r="J4478" s="1"/>
      <c r="N4478" s="1"/>
      <c r="R4478" s="1"/>
      <c r="V4478" s="1"/>
      <c r="AB4478" s="1"/>
      <c r="AF4478" s="1"/>
      <c r="AJ4478" s="1"/>
      <c r="AN4478" s="1"/>
      <c r="AS4478" s="1"/>
      <c r="AX4478" s="1"/>
    </row>
    <row r="4479" spans="1:50" x14ac:dyDescent="0.3">
      <c r="A4479" s="19">
        <f t="shared" si="349"/>
        <v>52184</v>
      </c>
      <c r="B4479">
        <f t="shared" ca="1" si="345"/>
        <v>-16.755555555555556</v>
      </c>
      <c r="C4479" t="str">
        <f ca="1">IF(currency="USD",'Future et co'!D4479,IF(currency="EUR",'Future et co'!E4479,IF(currency="GBP",'Future et co'!F4479,FALSE)))</f>
        <v>RFR USD</v>
      </c>
      <c r="D4479" t="str">
        <f t="shared" ca="1" si="346"/>
        <v>RFR USD</v>
      </c>
      <c r="E4479" t="str">
        <f t="shared" ca="1" si="347"/>
        <v>RFR EUR</v>
      </c>
      <c r="F4479" t="str">
        <f t="shared" ca="1" si="348"/>
        <v>RFR GBP</v>
      </c>
      <c r="J4479" s="1"/>
      <c r="N4479" s="1"/>
      <c r="R4479" s="1"/>
      <c r="V4479" s="1"/>
      <c r="AB4479" s="1"/>
      <c r="AF4479" s="1"/>
      <c r="AJ4479" s="1"/>
      <c r="AN4479" s="1"/>
      <c r="AS4479" s="1"/>
      <c r="AX4479" s="1"/>
    </row>
    <row r="4480" spans="1:50" x14ac:dyDescent="0.3">
      <c r="A4480" s="19">
        <f t="shared" si="349"/>
        <v>52187</v>
      </c>
      <c r="B4480">
        <f t="shared" ca="1" si="345"/>
        <v>-16.763888888888889</v>
      </c>
      <c r="C4480" t="str">
        <f ca="1">IF(currency="USD",'Future et co'!D4480,IF(currency="EUR",'Future et co'!E4480,IF(currency="GBP",'Future et co'!F4480,FALSE)))</f>
        <v>RFR USD</v>
      </c>
      <c r="D4480" t="str">
        <f t="shared" ca="1" si="346"/>
        <v>RFR USD</v>
      </c>
      <c r="E4480" t="str">
        <f t="shared" ca="1" si="347"/>
        <v>RFR EUR</v>
      </c>
      <c r="F4480" t="str">
        <f t="shared" ca="1" si="348"/>
        <v>RFR GBP</v>
      </c>
      <c r="J4480" s="1"/>
      <c r="N4480" s="1"/>
      <c r="R4480" s="1"/>
      <c r="V4480" s="1"/>
      <c r="AB4480" s="1"/>
      <c r="AF4480" s="1"/>
      <c r="AJ4480" s="1"/>
      <c r="AN4480" s="1"/>
      <c r="AS4480" s="1"/>
      <c r="AX4480" s="1"/>
    </row>
    <row r="4481" spans="1:50" x14ac:dyDescent="0.3">
      <c r="A4481" s="19">
        <f t="shared" si="349"/>
        <v>52188</v>
      </c>
      <c r="B4481">
        <f t="shared" ca="1" si="345"/>
        <v>-16.766666666666666</v>
      </c>
      <c r="C4481" t="str">
        <f ca="1">IF(currency="USD",'Future et co'!D4481,IF(currency="EUR",'Future et co'!E4481,IF(currency="GBP",'Future et co'!F4481,FALSE)))</f>
        <v>RFR USD</v>
      </c>
      <c r="D4481" t="str">
        <f t="shared" ca="1" si="346"/>
        <v>RFR USD</v>
      </c>
      <c r="E4481" t="str">
        <f t="shared" ca="1" si="347"/>
        <v>RFR EUR</v>
      </c>
      <c r="F4481" t="str">
        <f t="shared" ca="1" si="348"/>
        <v>RFR GBP</v>
      </c>
      <c r="J4481" s="1"/>
      <c r="N4481" s="1"/>
      <c r="R4481" s="1"/>
      <c r="V4481" s="1"/>
      <c r="AB4481" s="1"/>
      <c r="AF4481" s="1"/>
      <c r="AJ4481" s="1"/>
      <c r="AN4481" s="1"/>
      <c r="AS4481" s="1"/>
      <c r="AX4481" s="1"/>
    </row>
    <row r="4482" spans="1:50" x14ac:dyDescent="0.3">
      <c r="A4482" s="19">
        <f t="shared" si="349"/>
        <v>52189</v>
      </c>
      <c r="B4482">
        <f t="shared" ca="1" si="345"/>
        <v>-16.769444444444446</v>
      </c>
      <c r="C4482" t="str">
        <f ca="1">IF(currency="USD",'Future et co'!D4482,IF(currency="EUR",'Future et co'!E4482,IF(currency="GBP",'Future et co'!F4482,FALSE)))</f>
        <v>RFR USD</v>
      </c>
      <c r="D4482" t="str">
        <f t="shared" ca="1" si="346"/>
        <v>RFR USD</v>
      </c>
      <c r="E4482" t="str">
        <f t="shared" ca="1" si="347"/>
        <v>RFR EUR</v>
      </c>
      <c r="F4482" t="str">
        <f t="shared" ca="1" si="348"/>
        <v>RFR GBP</v>
      </c>
      <c r="J4482" s="1"/>
      <c r="N4482" s="1"/>
      <c r="R4482" s="1"/>
      <c r="V4482" s="1"/>
      <c r="AB4482" s="1"/>
      <c r="AF4482" s="1"/>
      <c r="AJ4482" s="1"/>
      <c r="AN4482" s="1"/>
      <c r="AS4482" s="1"/>
      <c r="AX4482" s="1"/>
    </row>
    <row r="4483" spans="1:50" x14ac:dyDescent="0.3">
      <c r="A4483" s="19">
        <f t="shared" si="349"/>
        <v>52190</v>
      </c>
      <c r="B4483">
        <f t="shared" ca="1" si="345"/>
        <v>-16.772222222222222</v>
      </c>
      <c r="C4483" t="str">
        <f ca="1">IF(currency="USD",'Future et co'!D4483,IF(currency="EUR",'Future et co'!E4483,IF(currency="GBP",'Future et co'!F4483,FALSE)))</f>
        <v>RFR USD</v>
      </c>
      <c r="D4483" t="str">
        <f t="shared" ca="1" si="346"/>
        <v>RFR USD</v>
      </c>
      <c r="E4483" t="str">
        <f t="shared" ca="1" si="347"/>
        <v>RFR EUR</v>
      </c>
      <c r="F4483" t="str">
        <f t="shared" ca="1" si="348"/>
        <v>RFR GBP</v>
      </c>
      <c r="J4483" s="1"/>
      <c r="N4483" s="1"/>
      <c r="R4483" s="1"/>
      <c r="V4483" s="1"/>
      <c r="AB4483" s="1"/>
      <c r="AF4483" s="1"/>
      <c r="AJ4483" s="1"/>
      <c r="AN4483" s="1"/>
      <c r="AS4483" s="1"/>
      <c r="AX4483" s="1"/>
    </row>
    <row r="4484" spans="1:50" x14ac:dyDescent="0.3">
      <c r="A4484" s="19">
        <f t="shared" si="349"/>
        <v>52191</v>
      </c>
      <c r="B4484">
        <f t="shared" ca="1" si="345"/>
        <v>-16.774999999999999</v>
      </c>
      <c r="C4484" t="str">
        <f ca="1">IF(currency="USD",'Future et co'!D4484,IF(currency="EUR",'Future et co'!E4484,IF(currency="GBP",'Future et co'!F4484,FALSE)))</f>
        <v>RFR USD</v>
      </c>
      <c r="D4484" t="str">
        <f t="shared" ca="1" si="346"/>
        <v>RFR USD</v>
      </c>
      <c r="E4484" t="str">
        <f t="shared" ca="1" si="347"/>
        <v>RFR EUR</v>
      </c>
      <c r="F4484" t="str">
        <f t="shared" ca="1" si="348"/>
        <v>RFR GBP</v>
      </c>
      <c r="J4484" s="1"/>
      <c r="N4484" s="1"/>
      <c r="R4484" s="1"/>
      <c r="V4484" s="1"/>
      <c r="AB4484" s="1"/>
      <c r="AF4484" s="1"/>
      <c r="AJ4484" s="1"/>
      <c r="AN4484" s="1"/>
      <c r="AS4484" s="1"/>
      <c r="AX4484" s="1"/>
    </row>
    <row r="4485" spans="1:50" x14ac:dyDescent="0.3">
      <c r="A4485" s="19">
        <f t="shared" si="349"/>
        <v>52194</v>
      </c>
      <c r="B4485">
        <f t="shared" ca="1" si="345"/>
        <v>-16.783333333333335</v>
      </c>
      <c r="C4485" t="str">
        <f ca="1">IF(currency="USD",'Future et co'!D4485,IF(currency="EUR",'Future et co'!E4485,IF(currency="GBP",'Future et co'!F4485,FALSE)))</f>
        <v>RFR USD</v>
      </c>
      <c r="D4485" t="str">
        <f t="shared" ca="1" si="346"/>
        <v>RFR USD</v>
      </c>
      <c r="E4485" t="str">
        <f t="shared" ca="1" si="347"/>
        <v>RFR EUR</v>
      </c>
      <c r="F4485" t="str">
        <f t="shared" ca="1" si="348"/>
        <v>RFR GBP</v>
      </c>
      <c r="J4485" s="1"/>
      <c r="N4485" s="1"/>
      <c r="R4485" s="1"/>
      <c r="V4485" s="1"/>
      <c r="AB4485" s="1"/>
      <c r="AF4485" s="1"/>
      <c r="AJ4485" s="1"/>
      <c r="AN4485" s="1"/>
      <c r="AS4485" s="1"/>
      <c r="AX4485" s="1"/>
    </row>
    <row r="4486" spans="1:50" x14ac:dyDescent="0.3">
      <c r="A4486" s="19">
        <f t="shared" si="349"/>
        <v>52195</v>
      </c>
      <c r="B4486">
        <f t="shared" ca="1" si="345"/>
        <v>-16.786111111111111</v>
      </c>
      <c r="C4486" t="str">
        <f ca="1">IF(currency="USD",'Future et co'!D4486,IF(currency="EUR",'Future et co'!E4486,IF(currency="GBP",'Future et co'!F4486,FALSE)))</f>
        <v>RFR USD</v>
      </c>
      <c r="D4486" t="str">
        <f t="shared" ca="1" si="346"/>
        <v>RFR USD</v>
      </c>
      <c r="E4486" t="str">
        <f t="shared" ca="1" si="347"/>
        <v>RFR EUR</v>
      </c>
      <c r="F4486" t="str">
        <f t="shared" ca="1" si="348"/>
        <v>RFR GBP</v>
      </c>
      <c r="J4486" s="1"/>
      <c r="N4486" s="1"/>
      <c r="R4486" s="1"/>
      <c r="V4486" s="1"/>
      <c r="AB4486" s="1"/>
      <c r="AF4486" s="1"/>
      <c r="AJ4486" s="1"/>
      <c r="AN4486" s="1"/>
      <c r="AS4486" s="1"/>
      <c r="AX4486" s="1"/>
    </row>
    <row r="4487" spans="1:50" x14ac:dyDescent="0.3">
      <c r="A4487" s="19">
        <f t="shared" si="349"/>
        <v>52196</v>
      </c>
      <c r="B4487">
        <f t="shared" ca="1" si="345"/>
        <v>-16.788888888888888</v>
      </c>
      <c r="C4487" t="str">
        <f ca="1">IF(currency="USD",'Future et co'!D4487,IF(currency="EUR",'Future et co'!E4487,IF(currency="GBP",'Future et co'!F4487,FALSE)))</f>
        <v>RFR USD</v>
      </c>
      <c r="D4487" t="str">
        <f t="shared" ca="1" si="346"/>
        <v>RFR USD</v>
      </c>
      <c r="E4487" t="str">
        <f t="shared" ca="1" si="347"/>
        <v>RFR EUR</v>
      </c>
      <c r="F4487" t="str">
        <f t="shared" ca="1" si="348"/>
        <v>RFR GBP</v>
      </c>
      <c r="J4487" s="1"/>
      <c r="N4487" s="1"/>
      <c r="R4487" s="1"/>
      <c r="V4487" s="1"/>
      <c r="AB4487" s="1"/>
      <c r="AF4487" s="1"/>
      <c r="AJ4487" s="1"/>
      <c r="AN4487" s="1"/>
      <c r="AS4487" s="1"/>
      <c r="AX4487" s="1"/>
    </row>
    <row r="4488" spans="1:50" x14ac:dyDescent="0.3">
      <c r="A4488" s="19">
        <f t="shared" si="349"/>
        <v>52197</v>
      </c>
      <c r="B4488">
        <f t="shared" ca="1" si="345"/>
        <v>-16.791666666666668</v>
      </c>
      <c r="C4488" t="str">
        <f ca="1">IF(currency="USD",'Future et co'!D4488,IF(currency="EUR",'Future et co'!E4488,IF(currency="GBP",'Future et co'!F4488,FALSE)))</f>
        <v>RFR USD</v>
      </c>
      <c r="D4488" t="str">
        <f t="shared" ca="1" si="346"/>
        <v>RFR USD</v>
      </c>
      <c r="E4488" t="str">
        <f t="shared" ca="1" si="347"/>
        <v>RFR EUR</v>
      </c>
      <c r="F4488" t="str">
        <f t="shared" ca="1" si="348"/>
        <v>RFR GBP</v>
      </c>
      <c r="J4488" s="1"/>
      <c r="N4488" s="1"/>
      <c r="R4488" s="1"/>
      <c r="V4488" s="1"/>
      <c r="AB4488" s="1"/>
      <c r="AF4488" s="1"/>
      <c r="AJ4488" s="1"/>
      <c r="AN4488" s="1"/>
      <c r="AS4488" s="1"/>
      <c r="AX4488" s="1"/>
    </row>
    <row r="4489" spans="1:50" x14ac:dyDescent="0.3">
      <c r="A4489" s="19">
        <f t="shared" si="349"/>
        <v>52198</v>
      </c>
      <c r="B4489">
        <f t="shared" ca="1" si="345"/>
        <v>-16.794444444444444</v>
      </c>
      <c r="C4489" t="str">
        <f ca="1">IF(currency="USD",'Future et co'!D4489,IF(currency="EUR",'Future et co'!E4489,IF(currency="GBP",'Future et co'!F4489,FALSE)))</f>
        <v>RFR USD</v>
      </c>
      <c r="D4489" t="str">
        <f t="shared" ca="1" si="346"/>
        <v>RFR USD</v>
      </c>
      <c r="E4489" t="str">
        <f t="shared" ca="1" si="347"/>
        <v>RFR EUR</v>
      </c>
      <c r="F4489" t="str">
        <f t="shared" ca="1" si="348"/>
        <v>RFR GBP</v>
      </c>
      <c r="J4489" s="1"/>
      <c r="N4489" s="1"/>
      <c r="R4489" s="1"/>
      <c r="V4489" s="1"/>
      <c r="AB4489" s="1"/>
      <c r="AF4489" s="1"/>
      <c r="AJ4489" s="1"/>
      <c r="AN4489" s="1"/>
      <c r="AS4489" s="1"/>
      <c r="AX4489" s="1"/>
    </row>
    <row r="4490" spans="1:50" x14ac:dyDescent="0.3">
      <c r="A4490" s="19">
        <f t="shared" si="349"/>
        <v>52201</v>
      </c>
      <c r="B4490">
        <f t="shared" ca="1" si="345"/>
        <v>-16.802777777777777</v>
      </c>
      <c r="C4490" t="str">
        <f ca="1">IF(currency="USD",'Future et co'!D4490,IF(currency="EUR",'Future et co'!E4490,IF(currency="GBP",'Future et co'!F4490,FALSE)))</f>
        <v>RFR USD</v>
      </c>
      <c r="D4490" t="str">
        <f t="shared" ca="1" si="346"/>
        <v>RFR USD</v>
      </c>
      <c r="E4490" t="str">
        <f t="shared" ca="1" si="347"/>
        <v>RFR EUR</v>
      </c>
      <c r="F4490" t="str">
        <f t="shared" ca="1" si="348"/>
        <v>RFR GBP</v>
      </c>
      <c r="J4490" s="1"/>
      <c r="N4490" s="1"/>
      <c r="R4490" s="1"/>
      <c r="V4490" s="1"/>
      <c r="AB4490" s="1"/>
      <c r="AF4490" s="1"/>
      <c r="AJ4490" s="1"/>
      <c r="AN4490" s="1"/>
      <c r="AS4490" s="1"/>
      <c r="AX4490" s="1"/>
    </row>
    <row r="4491" spans="1:50" x14ac:dyDescent="0.3">
      <c r="A4491" s="19">
        <f t="shared" si="349"/>
        <v>52202</v>
      </c>
      <c r="B4491">
        <f t="shared" ref="B4491:B4554" ca="1" si="350">($B$7-A4491)/360</f>
        <v>-16.805555555555557</v>
      </c>
      <c r="C4491" t="str">
        <f ca="1">IF(currency="USD",'Future et co'!D4491,IF(currency="EUR",'Future et co'!E4491,IF(currency="GBP",'Future et co'!F4491,FALSE)))</f>
        <v>RFR USD</v>
      </c>
      <c r="D4491" t="str">
        <f t="shared" ref="D4491:D4554" ca="1" si="351">IFERROR(IF(B4491&lt;0.25,VLOOKUP(A4491,$J$11:$L$5325,3,FALSE),IF(AND(B4491&gt;=0.25,B4491&lt;0.5),VLOOKUP(A4491,$N$11:$P$5325,3,FALSE),IF(AND(B4491&gt;=0.5,B4491&lt;1),VLOOKUP(A4491,$R$11:$T$5325,3,FALSE),VLOOKUP(A4491,$V$11:$X$5010,3,FALSE)))),D4490)</f>
        <v>RFR USD</v>
      </c>
      <c r="E4491" t="str">
        <f t="shared" ref="E4491:E4554" ca="1" si="352">IFERROR(IF(B4491&lt;0.25,VLOOKUP(A4491,$AF$11:$AH$5325,3,FALSE),IF(AND(B4491&gt;=0.25,B4491&lt;0.5),VLOOKUP(A4491,$AJ$11:$AL$5325,3,FALSE),VLOOKUP(A4491,$AN$11:$AP$5325,3,FALSE))),E4490)</f>
        <v>RFR EUR</v>
      </c>
      <c r="F4491" t="str">
        <f t="shared" ref="F4491:F4554" ca="1" si="353">IFERROR(VLOOKUP(A4491,$AS$11:$AU$9999,3,FALSE),F4490)</f>
        <v>RFR GBP</v>
      </c>
      <c r="J4491" s="1"/>
      <c r="N4491" s="1"/>
      <c r="R4491" s="1"/>
      <c r="V4491" s="1"/>
      <c r="AB4491" s="1"/>
      <c r="AF4491" s="1"/>
      <c r="AJ4491" s="1"/>
      <c r="AN4491" s="1"/>
      <c r="AS4491" s="1"/>
      <c r="AX4491" s="1"/>
    </row>
    <row r="4492" spans="1:50" x14ac:dyDescent="0.3">
      <c r="A4492" s="19">
        <f t="shared" si="349"/>
        <v>52203</v>
      </c>
      <c r="B4492">
        <f t="shared" ca="1" si="350"/>
        <v>-16.808333333333334</v>
      </c>
      <c r="C4492" t="str">
        <f ca="1">IF(currency="USD",'Future et co'!D4492,IF(currency="EUR",'Future et co'!E4492,IF(currency="GBP",'Future et co'!F4492,FALSE)))</f>
        <v>RFR USD</v>
      </c>
      <c r="D4492" t="str">
        <f t="shared" ca="1" si="351"/>
        <v>RFR USD</v>
      </c>
      <c r="E4492" t="str">
        <f t="shared" ca="1" si="352"/>
        <v>RFR EUR</v>
      </c>
      <c r="F4492" t="str">
        <f t="shared" ca="1" si="353"/>
        <v>RFR GBP</v>
      </c>
      <c r="J4492" s="1"/>
      <c r="N4492" s="1"/>
      <c r="R4492" s="1"/>
      <c r="V4492" s="1"/>
      <c r="AB4492" s="1"/>
      <c r="AF4492" s="1"/>
      <c r="AJ4492" s="1"/>
      <c r="AN4492" s="1"/>
      <c r="AS4492" s="1"/>
      <c r="AX4492" s="1"/>
    </row>
    <row r="4493" spans="1:50" x14ac:dyDescent="0.3">
      <c r="A4493" s="19">
        <f t="shared" ref="A4493:A4556" si="354">WORKDAY(A4492,1)</f>
        <v>52204</v>
      </c>
      <c r="B4493">
        <f t="shared" ca="1" si="350"/>
        <v>-16.81111111111111</v>
      </c>
      <c r="C4493" t="str">
        <f ca="1">IF(currency="USD",'Future et co'!D4493,IF(currency="EUR",'Future et co'!E4493,IF(currency="GBP",'Future et co'!F4493,FALSE)))</f>
        <v>RFR USD</v>
      </c>
      <c r="D4493" t="str">
        <f t="shared" ca="1" si="351"/>
        <v>RFR USD</v>
      </c>
      <c r="E4493" t="str">
        <f t="shared" ca="1" si="352"/>
        <v>RFR EUR</v>
      </c>
      <c r="F4493" t="str">
        <f t="shared" ca="1" si="353"/>
        <v>RFR GBP</v>
      </c>
      <c r="J4493" s="1"/>
      <c r="N4493" s="1"/>
      <c r="R4493" s="1"/>
      <c r="V4493" s="1"/>
      <c r="AB4493" s="1"/>
      <c r="AF4493" s="1"/>
      <c r="AJ4493" s="1"/>
      <c r="AN4493" s="1"/>
      <c r="AS4493" s="1"/>
      <c r="AX4493" s="1"/>
    </row>
    <row r="4494" spans="1:50" x14ac:dyDescent="0.3">
      <c r="A4494" s="19">
        <f t="shared" si="354"/>
        <v>52205</v>
      </c>
      <c r="B4494">
        <f t="shared" ca="1" si="350"/>
        <v>-16.81388888888889</v>
      </c>
      <c r="C4494" t="str">
        <f ca="1">IF(currency="USD",'Future et co'!D4494,IF(currency="EUR",'Future et co'!E4494,IF(currency="GBP",'Future et co'!F4494,FALSE)))</f>
        <v>RFR USD</v>
      </c>
      <c r="D4494" t="str">
        <f t="shared" ca="1" si="351"/>
        <v>RFR USD</v>
      </c>
      <c r="E4494" t="str">
        <f t="shared" ca="1" si="352"/>
        <v>RFR EUR</v>
      </c>
      <c r="F4494" t="str">
        <f t="shared" ca="1" si="353"/>
        <v>RFR GBP</v>
      </c>
      <c r="J4494" s="1"/>
      <c r="N4494" s="1"/>
      <c r="R4494" s="1"/>
      <c r="V4494" s="1"/>
      <c r="AB4494" s="1"/>
      <c r="AF4494" s="1"/>
      <c r="AJ4494" s="1"/>
      <c r="AN4494" s="1"/>
      <c r="AS4494" s="1"/>
      <c r="AX4494" s="1"/>
    </row>
    <row r="4495" spans="1:50" x14ac:dyDescent="0.3">
      <c r="A4495" s="19">
        <f t="shared" si="354"/>
        <v>52208</v>
      </c>
      <c r="B4495">
        <f t="shared" ca="1" si="350"/>
        <v>-16.822222222222223</v>
      </c>
      <c r="C4495" t="str">
        <f ca="1">IF(currency="USD",'Future et co'!D4495,IF(currency="EUR",'Future et co'!E4495,IF(currency="GBP",'Future et co'!F4495,FALSE)))</f>
        <v>RFR USD</v>
      </c>
      <c r="D4495" t="str">
        <f t="shared" ca="1" si="351"/>
        <v>RFR USD</v>
      </c>
      <c r="E4495" t="str">
        <f t="shared" ca="1" si="352"/>
        <v>RFR EUR</v>
      </c>
      <c r="F4495" t="str">
        <f t="shared" ca="1" si="353"/>
        <v>RFR GBP</v>
      </c>
      <c r="J4495" s="1"/>
      <c r="N4495" s="1"/>
      <c r="R4495" s="1"/>
      <c r="V4495" s="1"/>
      <c r="AB4495" s="1"/>
      <c r="AF4495" s="1"/>
      <c r="AJ4495" s="1"/>
      <c r="AN4495" s="1"/>
      <c r="AS4495" s="1"/>
      <c r="AX4495" s="1"/>
    </row>
    <row r="4496" spans="1:50" x14ac:dyDescent="0.3">
      <c r="A4496" s="19">
        <f t="shared" si="354"/>
        <v>52209</v>
      </c>
      <c r="B4496">
        <f t="shared" ca="1" si="350"/>
        <v>-16.824999999999999</v>
      </c>
      <c r="C4496" t="str">
        <f ca="1">IF(currency="USD",'Future et co'!D4496,IF(currency="EUR",'Future et co'!E4496,IF(currency="GBP",'Future et co'!F4496,FALSE)))</f>
        <v>RFR USD</v>
      </c>
      <c r="D4496" t="str">
        <f t="shared" ca="1" si="351"/>
        <v>RFR USD</v>
      </c>
      <c r="E4496" t="str">
        <f t="shared" ca="1" si="352"/>
        <v>RFR EUR</v>
      </c>
      <c r="F4496" t="str">
        <f t="shared" ca="1" si="353"/>
        <v>RFR GBP</v>
      </c>
      <c r="J4496" s="1"/>
      <c r="N4496" s="1"/>
      <c r="R4496" s="1"/>
      <c r="V4496" s="1"/>
      <c r="AB4496" s="1"/>
      <c r="AF4496" s="1"/>
      <c r="AJ4496" s="1"/>
      <c r="AN4496" s="1"/>
      <c r="AS4496" s="1"/>
      <c r="AX4496" s="1"/>
    </row>
    <row r="4497" spans="1:50" x14ac:dyDescent="0.3">
      <c r="A4497" s="19">
        <f t="shared" si="354"/>
        <v>52210</v>
      </c>
      <c r="B4497">
        <f t="shared" ca="1" si="350"/>
        <v>-16.827777777777779</v>
      </c>
      <c r="C4497" t="str">
        <f ca="1">IF(currency="USD",'Future et co'!D4497,IF(currency="EUR",'Future et co'!E4497,IF(currency="GBP",'Future et co'!F4497,FALSE)))</f>
        <v>RFR USD</v>
      </c>
      <c r="D4497" t="str">
        <f t="shared" ca="1" si="351"/>
        <v>RFR USD</v>
      </c>
      <c r="E4497" t="str">
        <f t="shared" ca="1" si="352"/>
        <v>RFR EUR</v>
      </c>
      <c r="F4497" t="str">
        <f t="shared" ca="1" si="353"/>
        <v>RFR GBP</v>
      </c>
      <c r="J4497" s="1"/>
      <c r="N4497" s="1"/>
      <c r="R4497" s="1"/>
      <c r="V4497" s="1"/>
      <c r="AB4497" s="1"/>
      <c r="AF4497" s="1"/>
      <c r="AJ4497" s="1"/>
      <c r="AN4497" s="1"/>
      <c r="AS4497" s="1"/>
      <c r="AX4497" s="1"/>
    </row>
    <row r="4498" spans="1:50" x14ac:dyDescent="0.3">
      <c r="A4498" s="19">
        <f t="shared" si="354"/>
        <v>52211</v>
      </c>
      <c r="B4498">
        <f t="shared" ca="1" si="350"/>
        <v>-16.830555555555556</v>
      </c>
      <c r="C4498" t="str">
        <f ca="1">IF(currency="USD",'Future et co'!D4498,IF(currency="EUR",'Future et co'!E4498,IF(currency="GBP",'Future et co'!F4498,FALSE)))</f>
        <v>RFR USD</v>
      </c>
      <c r="D4498" t="str">
        <f t="shared" ca="1" si="351"/>
        <v>RFR USD</v>
      </c>
      <c r="E4498" t="str">
        <f t="shared" ca="1" si="352"/>
        <v>RFR EUR</v>
      </c>
      <c r="F4498" t="str">
        <f t="shared" ca="1" si="353"/>
        <v>RFR GBP</v>
      </c>
      <c r="J4498" s="1"/>
      <c r="N4498" s="1"/>
      <c r="R4498" s="1"/>
      <c r="V4498" s="1"/>
      <c r="AB4498" s="1"/>
      <c r="AF4498" s="1"/>
      <c r="AJ4498" s="1"/>
      <c r="AN4498" s="1"/>
      <c r="AS4498" s="1"/>
      <c r="AX4498" s="1"/>
    </row>
    <row r="4499" spans="1:50" x14ac:dyDescent="0.3">
      <c r="A4499" s="19">
        <f t="shared" si="354"/>
        <v>52212</v>
      </c>
      <c r="B4499">
        <f t="shared" ca="1" si="350"/>
        <v>-16.833333333333332</v>
      </c>
      <c r="C4499" t="str">
        <f ca="1">IF(currency="USD",'Future et co'!D4499,IF(currency="EUR",'Future et co'!E4499,IF(currency="GBP",'Future et co'!F4499,FALSE)))</f>
        <v>RFR USD</v>
      </c>
      <c r="D4499" t="str">
        <f t="shared" ca="1" si="351"/>
        <v>RFR USD</v>
      </c>
      <c r="E4499" t="str">
        <f t="shared" ca="1" si="352"/>
        <v>RFR EUR</v>
      </c>
      <c r="F4499" t="str">
        <f t="shared" ca="1" si="353"/>
        <v>RFR GBP</v>
      </c>
      <c r="J4499" s="1"/>
      <c r="N4499" s="1"/>
      <c r="R4499" s="1"/>
      <c r="V4499" s="1"/>
      <c r="AB4499" s="1"/>
      <c r="AF4499" s="1"/>
      <c r="AJ4499" s="1"/>
      <c r="AN4499" s="1"/>
      <c r="AS4499" s="1"/>
      <c r="AX4499" s="1"/>
    </row>
    <row r="4500" spans="1:50" x14ac:dyDescent="0.3">
      <c r="A4500" s="19">
        <f t="shared" si="354"/>
        <v>52215</v>
      </c>
      <c r="B4500">
        <f t="shared" ca="1" si="350"/>
        <v>-16.841666666666665</v>
      </c>
      <c r="C4500" t="str">
        <f ca="1">IF(currency="USD",'Future et co'!D4500,IF(currency="EUR",'Future et co'!E4500,IF(currency="GBP",'Future et co'!F4500,FALSE)))</f>
        <v>RFR USD</v>
      </c>
      <c r="D4500" t="str">
        <f t="shared" ca="1" si="351"/>
        <v>RFR USD</v>
      </c>
      <c r="E4500" t="str">
        <f t="shared" ca="1" si="352"/>
        <v>RFR EUR</v>
      </c>
      <c r="F4500" t="str">
        <f t="shared" ca="1" si="353"/>
        <v>RFR GBP</v>
      </c>
      <c r="J4500" s="1"/>
      <c r="N4500" s="1"/>
      <c r="R4500" s="1"/>
      <c r="V4500" s="1"/>
      <c r="AB4500" s="1"/>
      <c r="AF4500" s="1"/>
      <c r="AJ4500" s="1"/>
      <c r="AN4500" s="1"/>
      <c r="AS4500" s="1"/>
      <c r="AX4500" s="1"/>
    </row>
    <row r="4501" spans="1:50" x14ac:dyDescent="0.3">
      <c r="A4501" s="19">
        <f t="shared" si="354"/>
        <v>52216</v>
      </c>
      <c r="B4501">
        <f t="shared" ca="1" si="350"/>
        <v>-16.844444444444445</v>
      </c>
      <c r="C4501" t="str">
        <f ca="1">IF(currency="USD",'Future et co'!D4501,IF(currency="EUR",'Future et co'!E4501,IF(currency="GBP",'Future et co'!F4501,FALSE)))</f>
        <v>RFR USD</v>
      </c>
      <c r="D4501" t="str">
        <f t="shared" ca="1" si="351"/>
        <v>RFR USD</v>
      </c>
      <c r="E4501" t="str">
        <f t="shared" ca="1" si="352"/>
        <v>RFR EUR</v>
      </c>
      <c r="F4501" t="str">
        <f t="shared" ca="1" si="353"/>
        <v>RFR GBP</v>
      </c>
      <c r="J4501" s="1"/>
      <c r="N4501" s="1"/>
      <c r="R4501" s="1"/>
      <c r="V4501" s="1"/>
      <c r="AB4501" s="1"/>
      <c r="AF4501" s="1"/>
      <c r="AJ4501" s="1"/>
      <c r="AN4501" s="1"/>
      <c r="AS4501" s="1"/>
      <c r="AX4501" s="1"/>
    </row>
    <row r="4502" spans="1:50" x14ac:dyDescent="0.3">
      <c r="A4502" s="19">
        <f t="shared" si="354"/>
        <v>52217</v>
      </c>
      <c r="B4502">
        <f t="shared" ca="1" si="350"/>
        <v>-16.847222222222221</v>
      </c>
      <c r="C4502" t="str">
        <f ca="1">IF(currency="USD",'Future et co'!D4502,IF(currency="EUR",'Future et co'!E4502,IF(currency="GBP",'Future et co'!F4502,FALSE)))</f>
        <v>RFR USD</v>
      </c>
      <c r="D4502" t="str">
        <f t="shared" ca="1" si="351"/>
        <v>RFR USD</v>
      </c>
      <c r="E4502" t="str">
        <f t="shared" ca="1" si="352"/>
        <v>RFR EUR</v>
      </c>
      <c r="F4502" t="str">
        <f t="shared" ca="1" si="353"/>
        <v>RFR GBP</v>
      </c>
      <c r="J4502" s="1"/>
      <c r="N4502" s="1"/>
      <c r="R4502" s="1"/>
      <c r="V4502" s="1"/>
      <c r="AB4502" s="1"/>
      <c r="AF4502" s="1"/>
      <c r="AJ4502" s="1"/>
      <c r="AN4502" s="1"/>
      <c r="AS4502" s="1"/>
      <c r="AX4502" s="1"/>
    </row>
    <row r="4503" spans="1:50" x14ac:dyDescent="0.3">
      <c r="A4503" s="19">
        <f t="shared" si="354"/>
        <v>52218</v>
      </c>
      <c r="B4503">
        <f t="shared" ca="1" si="350"/>
        <v>-16.850000000000001</v>
      </c>
      <c r="C4503" t="str">
        <f ca="1">IF(currency="USD",'Future et co'!D4503,IF(currency="EUR",'Future et co'!E4503,IF(currency="GBP",'Future et co'!F4503,FALSE)))</f>
        <v>RFR USD</v>
      </c>
      <c r="D4503" t="str">
        <f t="shared" ca="1" si="351"/>
        <v>RFR USD</v>
      </c>
      <c r="E4503" t="str">
        <f t="shared" ca="1" si="352"/>
        <v>RFR EUR</v>
      </c>
      <c r="F4503" t="str">
        <f t="shared" ca="1" si="353"/>
        <v>RFR GBP</v>
      </c>
      <c r="J4503" s="1"/>
      <c r="N4503" s="1"/>
      <c r="R4503" s="1"/>
      <c r="V4503" s="1"/>
      <c r="AB4503" s="1"/>
      <c r="AF4503" s="1"/>
      <c r="AJ4503" s="1"/>
      <c r="AN4503" s="1"/>
      <c r="AS4503" s="1"/>
      <c r="AX4503" s="1"/>
    </row>
    <row r="4504" spans="1:50" x14ac:dyDescent="0.3">
      <c r="A4504" s="19">
        <f t="shared" si="354"/>
        <v>52219</v>
      </c>
      <c r="B4504">
        <f t="shared" ca="1" si="350"/>
        <v>-16.852777777777778</v>
      </c>
      <c r="C4504" t="str">
        <f ca="1">IF(currency="USD",'Future et co'!D4504,IF(currency="EUR",'Future et co'!E4504,IF(currency="GBP",'Future et co'!F4504,FALSE)))</f>
        <v>RFR USD</v>
      </c>
      <c r="D4504" t="str">
        <f t="shared" ca="1" si="351"/>
        <v>RFR USD</v>
      </c>
      <c r="E4504" t="str">
        <f t="shared" ca="1" si="352"/>
        <v>RFR EUR</v>
      </c>
      <c r="F4504" t="str">
        <f t="shared" ca="1" si="353"/>
        <v>RFR GBP</v>
      </c>
      <c r="J4504" s="1"/>
      <c r="N4504" s="1"/>
      <c r="R4504" s="1"/>
      <c r="V4504" s="1"/>
      <c r="AB4504" s="1"/>
      <c r="AF4504" s="1"/>
      <c r="AJ4504" s="1"/>
      <c r="AN4504" s="1"/>
      <c r="AS4504" s="1"/>
      <c r="AX4504" s="1"/>
    </row>
    <row r="4505" spans="1:50" x14ac:dyDescent="0.3">
      <c r="A4505" s="19">
        <f t="shared" si="354"/>
        <v>52222</v>
      </c>
      <c r="B4505">
        <f t="shared" ca="1" si="350"/>
        <v>-16.861111111111111</v>
      </c>
      <c r="C4505" t="str">
        <f ca="1">IF(currency="USD",'Future et co'!D4505,IF(currency="EUR",'Future et co'!E4505,IF(currency="GBP",'Future et co'!F4505,FALSE)))</f>
        <v>RFR USD</v>
      </c>
      <c r="D4505" t="str">
        <f t="shared" ca="1" si="351"/>
        <v>RFR USD</v>
      </c>
      <c r="E4505" t="str">
        <f t="shared" ca="1" si="352"/>
        <v>RFR EUR</v>
      </c>
      <c r="F4505" t="str">
        <f t="shared" ca="1" si="353"/>
        <v>RFR GBP</v>
      </c>
      <c r="J4505" s="1"/>
      <c r="N4505" s="1"/>
      <c r="R4505" s="1"/>
      <c r="V4505" s="1"/>
      <c r="AB4505" s="1"/>
      <c r="AF4505" s="1"/>
      <c r="AJ4505" s="1"/>
      <c r="AN4505" s="1"/>
      <c r="AS4505" s="1"/>
      <c r="AX4505" s="1"/>
    </row>
    <row r="4506" spans="1:50" x14ac:dyDescent="0.3">
      <c r="A4506" s="19">
        <f t="shared" si="354"/>
        <v>52223</v>
      </c>
      <c r="B4506">
        <f t="shared" ca="1" si="350"/>
        <v>-16.863888888888887</v>
      </c>
      <c r="C4506" t="str">
        <f ca="1">IF(currency="USD",'Future et co'!D4506,IF(currency="EUR",'Future et co'!E4506,IF(currency="GBP",'Future et co'!F4506,FALSE)))</f>
        <v>RFR USD</v>
      </c>
      <c r="D4506" t="str">
        <f t="shared" ca="1" si="351"/>
        <v>RFR USD</v>
      </c>
      <c r="E4506" t="str">
        <f t="shared" ca="1" si="352"/>
        <v>RFR EUR</v>
      </c>
      <c r="F4506" t="str">
        <f t="shared" ca="1" si="353"/>
        <v>RFR GBP</v>
      </c>
      <c r="J4506" s="1"/>
      <c r="N4506" s="1"/>
      <c r="R4506" s="1"/>
      <c r="V4506" s="1"/>
      <c r="AB4506" s="1"/>
      <c r="AF4506" s="1"/>
      <c r="AJ4506" s="1"/>
      <c r="AN4506" s="1"/>
      <c r="AS4506" s="1"/>
      <c r="AX4506" s="1"/>
    </row>
    <row r="4507" spans="1:50" x14ac:dyDescent="0.3">
      <c r="A4507" s="19">
        <f t="shared" si="354"/>
        <v>52224</v>
      </c>
      <c r="B4507">
        <f t="shared" ca="1" si="350"/>
        <v>-16.866666666666667</v>
      </c>
      <c r="C4507" t="str">
        <f ca="1">IF(currency="USD",'Future et co'!D4507,IF(currency="EUR",'Future et co'!E4507,IF(currency="GBP",'Future et co'!F4507,FALSE)))</f>
        <v>RFR USD</v>
      </c>
      <c r="D4507" t="str">
        <f t="shared" ca="1" si="351"/>
        <v>RFR USD</v>
      </c>
      <c r="E4507" t="str">
        <f t="shared" ca="1" si="352"/>
        <v>RFR EUR</v>
      </c>
      <c r="F4507" t="str">
        <f t="shared" ca="1" si="353"/>
        <v>RFR GBP</v>
      </c>
      <c r="J4507" s="1"/>
      <c r="N4507" s="1"/>
      <c r="R4507" s="1"/>
      <c r="V4507" s="1"/>
      <c r="AB4507" s="1"/>
      <c r="AF4507" s="1"/>
      <c r="AJ4507" s="1"/>
      <c r="AN4507" s="1"/>
      <c r="AS4507" s="1"/>
      <c r="AX4507" s="1"/>
    </row>
    <row r="4508" spans="1:50" x14ac:dyDescent="0.3">
      <c r="A4508" s="19">
        <f t="shared" si="354"/>
        <v>52225</v>
      </c>
      <c r="B4508">
        <f t="shared" ca="1" si="350"/>
        <v>-16.869444444444444</v>
      </c>
      <c r="C4508" t="str">
        <f ca="1">IF(currency="USD",'Future et co'!D4508,IF(currency="EUR",'Future et co'!E4508,IF(currency="GBP",'Future et co'!F4508,FALSE)))</f>
        <v>RFR USD</v>
      </c>
      <c r="D4508" t="str">
        <f t="shared" ca="1" si="351"/>
        <v>RFR USD</v>
      </c>
      <c r="E4508" t="str">
        <f t="shared" ca="1" si="352"/>
        <v>RFR EUR</v>
      </c>
      <c r="F4508" t="str">
        <f t="shared" ca="1" si="353"/>
        <v>RFR GBP</v>
      </c>
      <c r="J4508" s="1"/>
      <c r="N4508" s="1"/>
      <c r="R4508" s="1"/>
      <c r="V4508" s="1"/>
      <c r="AB4508" s="1"/>
      <c r="AF4508" s="1"/>
      <c r="AJ4508" s="1"/>
      <c r="AN4508" s="1"/>
      <c r="AS4508" s="1"/>
      <c r="AX4508" s="1"/>
    </row>
    <row r="4509" spans="1:50" x14ac:dyDescent="0.3">
      <c r="A4509" s="19">
        <f t="shared" si="354"/>
        <v>52226</v>
      </c>
      <c r="B4509">
        <f t="shared" ca="1" si="350"/>
        <v>-16.872222222222224</v>
      </c>
      <c r="C4509" t="str">
        <f ca="1">IF(currency="USD",'Future et co'!D4509,IF(currency="EUR",'Future et co'!E4509,IF(currency="GBP",'Future et co'!F4509,FALSE)))</f>
        <v>RFR USD</v>
      </c>
      <c r="D4509" t="str">
        <f t="shared" ca="1" si="351"/>
        <v>RFR USD</v>
      </c>
      <c r="E4509" t="str">
        <f t="shared" ca="1" si="352"/>
        <v>RFR EUR</v>
      </c>
      <c r="F4509" t="str">
        <f t="shared" ca="1" si="353"/>
        <v>RFR GBP</v>
      </c>
      <c r="J4509" s="1"/>
      <c r="N4509" s="1"/>
      <c r="R4509" s="1"/>
      <c r="V4509" s="1"/>
      <c r="AB4509" s="1"/>
      <c r="AF4509" s="1"/>
      <c r="AJ4509" s="1"/>
      <c r="AN4509" s="1"/>
      <c r="AS4509" s="1"/>
      <c r="AX4509" s="1"/>
    </row>
    <row r="4510" spans="1:50" x14ac:dyDescent="0.3">
      <c r="A4510" s="19">
        <f t="shared" si="354"/>
        <v>52229</v>
      </c>
      <c r="B4510">
        <f t="shared" ca="1" si="350"/>
        <v>-16.880555555555556</v>
      </c>
      <c r="C4510" t="str">
        <f ca="1">IF(currency="USD",'Future et co'!D4510,IF(currency="EUR",'Future et co'!E4510,IF(currency="GBP",'Future et co'!F4510,FALSE)))</f>
        <v>RFR USD</v>
      </c>
      <c r="D4510" t="str">
        <f t="shared" ca="1" si="351"/>
        <v>RFR USD</v>
      </c>
      <c r="E4510" t="str">
        <f t="shared" ca="1" si="352"/>
        <v>RFR EUR</v>
      </c>
      <c r="F4510" t="str">
        <f t="shared" ca="1" si="353"/>
        <v>RFR GBP</v>
      </c>
      <c r="J4510" s="1"/>
      <c r="N4510" s="1"/>
      <c r="R4510" s="1"/>
      <c r="V4510" s="1"/>
      <c r="AB4510" s="1"/>
      <c r="AF4510" s="1"/>
      <c r="AJ4510" s="1"/>
      <c r="AN4510" s="1"/>
      <c r="AS4510" s="1"/>
      <c r="AX4510" s="1"/>
    </row>
    <row r="4511" spans="1:50" x14ac:dyDescent="0.3">
      <c r="A4511" s="19">
        <f t="shared" si="354"/>
        <v>52230</v>
      </c>
      <c r="B4511">
        <f t="shared" ca="1" si="350"/>
        <v>-16.883333333333333</v>
      </c>
      <c r="C4511" t="str">
        <f ca="1">IF(currency="USD",'Future et co'!D4511,IF(currency="EUR",'Future et co'!E4511,IF(currency="GBP",'Future et co'!F4511,FALSE)))</f>
        <v>RFR USD</v>
      </c>
      <c r="D4511" t="str">
        <f t="shared" ca="1" si="351"/>
        <v>RFR USD</v>
      </c>
      <c r="E4511" t="str">
        <f t="shared" ca="1" si="352"/>
        <v>RFR EUR</v>
      </c>
      <c r="F4511" t="str">
        <f t="shared" ca="1" si="353"/>
        <v>RFR GBP</v>
      </c>
      <c r="J4511" s="1"/>
      <c r="N4511" s="1"/>
      <c r="R4511" s="1"/>
      <c r="V4511" s="1"/>
      <c r="AB4511" s="1"/>
      <c r="AF4511" s="1"/>
      <c r="AJ4511" s="1"/>
      <c r="AN4511" s="1"/>
      <c r="AS4511" s="1"/>
      <c r="AX4511" s="1"/>
    </row>
    <row r="4512" spans="1:50" x14ac:dyDescent="0.3">
      <c r="A4512" s="19">
        <f t="shared" si="354"/>
        <v>52231</v>
      </c>
      <c r="B4512">
        <f t="shared" ca="1" si="350"/>
        <v>-16.886111111111113</v>
      </c>
      <c r="C4512" t="str">
        <f ca="1">IF(currency="USD",'Future et co'!D4512,IF(currency="EUR",'Future et co'!E4512,IF(currency="GBP",'Future et co'!F4512,FALSE)))</f>
        <v>RFR USD</v>
      </c>
      <c r="D4512" t="str">
        <f t="shared" ca="1" si="351"/>
        <v>RFR USD</v>
      </c>
      <c r="E4512" t="str">
        <f t="shared" ca="1" si="352"/>
        <v>RFR EUR</v>
      </c>
      <c r="F4512" t="str">
        <f t="shared" ca="1" si="353"/>
        <v>RFR GBP</v>
      </c>
      <c r="J4512" s="1"/>
      <c r="N4512" s="1"/>
      <c r="R4512" s="1"/>
      <c r="V4512" s="1"/>
      <c r="AB4512" s="1"/>
      <c r="AF4512" s="1"/>
      <c r="AJ4512" s="1"/>
      <c r="AN4512" s="1"/>
      <c r="AS4512" s="1"/>
      <c r="AX4512" s="1"/>
    </row>
    <row r="4513" spans="1:50" x14ac:dyDescent="0.3">
      <c r="A4513" s="19">
        <f t="shared" si="354"/>
        <v>52232</v>
      </c>
      <c r="B4513">
        <f t="shared" ca="1" si="350"/>
        <v>-16.888888888888889</v>
      </c>
      <c r="C4513" t="str">
        <f ca="1">IF(currency="USD",'Future et co'!D4513,IF(currency="EUR",'Future et co'!E4513,IF(currency="GBP",'Future et co'!F4513,FALSE)))</f>
        <v>RFR USD</v>
      </c>
      <c r="D4513" t="str">
        <f t="shared" ca="1" si="351"/>
        <v>RFR USD</v>
      </c>
      <c r="E4513" t="str">
        <f t="shared" ca="1" si="352"/>
        <v>RFR EUR</v>
      </c>
      <c r="F4513" t="str">
        <f t="shared" ca="1" si="353"/>
        <v>RFR GBP</v>
      </c>
      <c r="J4513" s="1"/>
      <c r="N4513" s="1"/>
      <c r="R4513" s="1"/>
      <c r="V4513" s="1"/>
      <c r="AB4513" s="1"/>
      <c r="AF4513" s="1"/>
      <c r="AJ4513" s="1"/>
      <c r="AN4513" s="1"/>
      <c r="AS4513" s="1"/>
      <c r="AX4513" s="1"/>
    </row>
    <row r="4514" spans="1:50" x14ac:dyDescent="0.3">
      <c r="A4514" s="19">
        <f t="shared" si="354"/>
        <v>52233</v>
      </c>
      <c r="B4514">
        <f t="shared" ca="1" si="350"/>
        <v>-16.891666666666666</v>
      </c>
      <c r="C4514" t="str">
        <f ca="1">IF(currency="USD",'Future et co'!D4514,IF(currency="EUR",'Future et co'!E4514,IF(currency="GBP",'Future et co'!F4514,FALSE)))</f>
        <v>RFR USD</v>
      </c>
      <c r="D4514" t="str">
        <f t="shared" ca="1" si="351"/>
        <v>RFR USD</v>
      </c>
      <c r="E4514" t="str">
        <f t="shared" ca="1" si="352"/>
        <v>RFR EUR</v>
      </c>
      <c r="F4514" t="str">
        <f t="shared" ca="1" si="353"/>
        <v>RFR GBP</v>
      </c>
      <c r="J4514" s="1"/>
      <c r="N4514" s="1"/>
      <c r="R4514" s="1"/>
      <c r="V4514" s="1"/>
      <c r="AB4514" s="1"/>
      <c r="AF4514" s="1"/>
      <c r="AJ4514" s="1"/>
      <c r="AN4514" s="1"/>
      <c r="AS4514" s="1"/>
      <c r="AX4514" s="1"/>
    </row>
    <row r="4515" spans="1:50" x14ac:dyDescent="0.3">
      <c r="A4515" s="19">
        <f t="shared" si="354"/>
        <v>52236</v>
      </c>
      <c r="B4515">
        <f t="shared" ca="1" si="350"/>
        <v>-16.899999999999999</v>
      </c>
      <c r="C4515" t="str">
        <f ca="1">IF(currency="USD",'Future et co'!D4515,IF(currency="EUR",'Future et co'!E4515,IF(currency="GBP",'Future et co'!F4515,FALSE)))</f>
        <v>RFR USD</v>
      </c>
      <c r="D4515" t="str">
        <f t="shared" ca="1" si="351"/>
        <v>RFR USD</v>
      </c>
      <c r="E4515" t="str">
        <f t="shared" ca="1" si="352"/>
        <v>RFR EUR</v>
      </c>
      <c r="F4515" t="str">
        <f t="shared" ca="1" si="353"/>
        <v>RFR GBP</v>
      </c>
      <c r="J4515" s="1"/>
      <c r="N4515" s="1"/>
      <c r="R4515" s="1"/>
      <c r="V4515" s="1"/>
      <c r="AB4515" s="1"/>
      <c r="AF4515" s="1"/>
      <c r="AJ4515" s="1"/>
      <c r="AN4515" s="1"/>
      <c r="AS4515" s="1"/>
      <c r="AX4515" s="1"/>
    </row>
    <row r="4516" spans="1:50" x14ac:dyDescent="0.3">
      <c r="A4516" s="19">
        <f t="shared" si="354"/>
        <v>52237</v>
      </c>
      <c r="B4516">
        <f t="shared" ca="1" si="350"/>
        <v>-16.902777777777779</v>
      </c>
      <c r="C4516" t="str">
        <f ca="1">IF(currency="USD",'Future et co'!D4516,IF(currency="EUR",'Future et co'!E4516,IF(currency="GBP",'Future et co'!F4516,FALSE)))</f>
        <v>RFR USD</v>
      </c>
      <c r="D4516" t="str">
        <f t="shared" ca="1" si="351"/>
        <v>RFR USD</v>
      </c>
      <c r="E4516" t="str">
        <f t="shared" ca="1" si="352"/>
        <v>RFR EUR</v>
      </c>
      <c r="F4516" t="str">
        <f t="shared" ca="1" si="353"/>
        <v>RFR GBP</v>
      </c>
      <c r="J4516" s="1"/>
      <c r="N4516" s="1"/>
      <c r="R4516" s="1"/>
      <c r="V4516" s="1"/>
      <c r="AB4516" s="1"/>
      <c r="AF4516" s="1"/>
      <c r="AJ4516" s="1"/>
      <c r="AN4516" s="1"/>
      <c r="AS4516" s="1"/>
      <c r="AX4516" s="1"/>
    </row>
    <row r="4517" spans="1:50" x14ac:dyDescent="0.3">
      <c r="A4517" s="19">
        <f t="shared" si="354"/>
        <v>52238</v>
      </c>
      <c r="B4517">
        <f t="shared" ca="1" si="350"/>
        <v>-16.905555555555555</v>
      </c>
      <c r="C4517" t="str">
        <f ca="1">IF(currency="USD",'Future et co'!D4517,IF(currency="EUR",'Future et co'!E4517,IF(currency="GBP",'Future et co'!F4517,FALSE)))</f>
        <v>RFR USD</v>
      </c>
      <c r="D4517" t="str">
        <f t="shared" ca="1" si="351"/>
        <v>RFR USD</v>
      </c>
      <c r="E4517" t="str">
        <f t="shared" ca="1" si="352"/>
        <v>RFR EUR</v>
      </c>
      <c r="F4517" t="str">
        <f t="shared" ca="1" si="353"/>
        <v>RFR GBP</v>
      </c>
      <c r="J4517" s="1"/>
      <c r="N4517" s="1"/>
      <c r="R4517" s="1"/>
      <c r="V4517" s="1"/>
      <c r="AB4517" s="1"/>
      <c r="AF4517" s="1"/>
      <c r="AJ4517" s="1"/>
      <c r="AN4517" s="1"/>
      <c r="AS4517" s="1"/>
      <c r="AX4517" s="1"/>
    </row>
    <row r="4518" spans="1:50" x14ac:dyDescent="0.3">
      <c r="A4518" s="19">
        <f t="shared" si="354"/>
        <v>52239</v>
      </c>
      <c r="B4518">
        <f t="shared" ca="1" si="350"/>
        <v>-16.908333333333335</v>
      </c>
      <c r="C4518" t="str">
        <f ca="1">IF(currency="USD",'Future et co'!D4518,IF(currency="EUR",'Future et co'!E4518,IF(currency="GBP",'Future et co'!F4518,FALSE)))</f>
        <v>RFR USD</v>
      </c>
      <c r="D4518" t="str">
        <f t="shared" ca="1" si="351"/>
        <v>RFR USD</v>
      </c>
      <c r="E4518" t="str">
        <f t="shared" ca="1" si="352"/>
        <v>RFR EUR</v>
      </c>
      <c r="F4518" t="str">
        <f t="shared" ca="1" si="353"/>
        <v>RFR GBP</v>
      </c>
      <c r="J4518" s="1"/>
      <c r="N4518" s="1"/>
      <c r="R4518" s="1"/>
      <c r="V4518" s="1"/>
      <c r="AB4518" s="1"/>
      <c r="AF4518" s="1"/>
      <c r="AJ4518" s="1"/>
      <c r="AN4518" s="1"/>
      <c r="AS4518" s="1"/>
      <c r="AX4518" s="1"/>
    </row>
    <row r="4519" spans="1:50" x14ac:dyDescent="0.3">
      <c r="A4519" s="19">
        <f t="shared" si="354"/>
        <v>52240</v>
      </c>
      <c r="B4519">
        <f t="shared" ca="1" si="350"/>
        <v>-16.911111111111111</v>
      </c>
      <c r="C4519" t="str">
        <f ca="1">IF(currency="USD",'Future et co'!D4519,IF(currency="EUR",'Future et co'!E4519,IF(currency="GBP",'Future et co'!F4519,FALSE)))</f>
        <v>RFR USD</v>
      </c>
      <c r="D4519" t="str">
        <f t="shared" ca="1" si="351"/>
        <v>RFR USD</v>
      </c>
      <c r="E4519" t="str">
        <f t="shared" ca="1" si="352"/>
        <v>RFR EUR</v>
      </c>
      <c r="F4519" t="str">
        <f t="shared" ca="1" si="353"/>
        <v>RFR GBP</v>
      </c>
      <c r="J4519" s="1"/>
      <c r="N4519" s="1"/>
      <c r="R4519" s="1"/>
      <c r="V4519" s="1"/>
      <c r="AB4519" s="1"/>
      <c r="AF4519" s="1"/>
      <c r="AJ4519" s="1"/>
      <c r="AN4519" s="1"/>
      <c r="AS4519" s="1"/>
      <c r="AX4519" s="1"/>
    </row>
    <row r="4520" spans="1:50" x14ac:dyDescent="0.3">
      <c r="A4520" s="19">
        <f t="shared" si="354"/>
        <v>52243</v>
      </c>
      <c r="B4520">
        <f t="shared" ca="1" si="350"/>
        <v>-16.919444444444444</v>
      </c>
      <c r="C4520" t="str">
        <f ca="1">IF(currency="USD",'Future et co'!D4520,IF(currency="EUR",'Future et co'!E4520,IF(currency="GBP",'Future et co'!F4520,FALSE)))</f>
        <v>RFR USD</v>
      </c>
      <c r="D4520" t="str">
        <f t="shared" ca="1" si="351"/>
        <v>RFR USD</v>
      </c>
      <c r="E4520" t="str">
        <f t="shared" ca="1" si="352"/>
        <v>RFR EUR</v>
      </c>
      <c r="F4520" t="str">
        <f t="shared" ca="1" si="353"/>
        <v>RFR GBP</v>
      </c>
      <c r="J4520" s="1"/>
      <c r="N4520" s="1"/>
      <c r="R4520" s="1"/>
      <c r="V4520" s="1"/>
      <c r="AB4520" s="1"/>
      <c r="AF4520" s="1"/>
      <c r="AJ4520" s="1"/>
      <c r="AN4520" s="1"/>
      <c r="AS4520" s="1"/>
      <c r="AX4520" s="1"/>
    </row>
    <row r="4521" spans="1:50" x14ac:dyDescent="0.3">
      <c r="A4521" s="19">
        <f t="shared" si="354"/>
        <v>52244</v>
      </c>
      <c r="B4521">
        <f t="shared" ca="1" si="350"/>
        <v>-16.922222222222221</v>
      </c>
      <c r="C4521" t="str">
        <f ca="1">IF(currency="USD",'Future et co'!D4521,IF(currency="EUR",'Future et co'!E4521,IF(currency="GBP",'Future et co'!F4521,FALSE)))</f>
        <v>RFR USD</v>
      </c>
      <c r="D4521" t="str">
        <f t="shared" ca="1" si="351"/>
        <v>RFR USD</v>
      </c>
      <c r="E4521" t="str">
        <f t="shared" ca="1" si="352"/>
        <v>RFR EUR</v>
      </c>
      <c r="F4521" t="str">
        <f t="shared" ca="1" si="353"/>
        <v>RFR GBP</v>
      </c>
      <c r="J4521" s="1"/>
      <c r="N4521" s="1"/>
      <c r="R4521" s="1"/>
      <c r="V4521" s="1"/>
      <c r="AB4521" s="1"/>
      <c r="AF4521" s="1"/>
      <c r="AJ4521" s="1"/>
      <c r="AN4521" s="1"/>
      <c r="AS4521" s="1"/>
      <c r="AX4521" s="1"/>
    </row>
    <row r="4522" spans="1:50" x14ac:dyDescent="0.3">
      <c r="A4522" s="19">
        <f t="shared" si="354"/>
        <v>52245</v>
      </c>
      <c r="B4522">
        <f t="shared" ca="1" si="350"/>
        <v>-16.925000000000001</v>
      </c>
      <c r="C4522" t="str">
        <f ca="1">IF(currency="USD",'Future et co'!D4522,IF(currency="EUR",'Future et co'!E4522,IF(currency="GBP",'Future et co'!F4522,FALSE)))</f>
        <v>RFR USD</v>
      </c>
      <c r="D4522" t="str">
        <f t="shared" ca="1" si="351"/>
        <v>RFR USD</v>
      </c>
      <c r="E4522" t="str">
        <f t="shared" ca="1" si="352"/>
        <v>RFR EUR</v>
      </c>
      <c r="F4522" t="str">
        <f t="shared" ca="1" si="353"/>
        <v>RFR GBP</v>
      </c>
      <c r="J4522" s="1"/>
      <c r="N4522" s="1"/>
      <c r="R4522" s="1"/>
      <c r="V4522" s="1"/>
      <c r="AB4522" s="1"/>
      <c r="AF4522" s="1"/>
      <c r="AJ4522" s="1"/>
      <c r="AN4522" s="1"/>
      <c r="AS4522" s="1"/>
      <c r="AX4522" s="1"/>
    </row>
    <row r="4523" spans="1:50" x14ac:dyDescent="0.3">
      <c r="A4523" s="19">
        <f t="shared" si="354"/>
        <v>52246</v>
      </c>
      <c r="B4523">
        <f t="shared" ca="1" si="350"/>
        <v>-16.927777777777777</v>
      </c>
      <c r="C4523" t="str">
        <f ca="1">IF(currency="USD",'Future et co'!D4523,IF(currency="EUR",'Future et co'!E4523,IF(currency="GBP",'Future et co'!F4523,FALSE)))</f>
        <v>RFR USD</v>
      </c>
      <c r="D4523" t="str">
        <f t="shared" ca="1" si="351"/>
        <v>RFR USD</v>
      </c>
      <c r="E4523" t="str">
        <f t="shared" ca="1" si="352"/>
        <v>RFR EUR</v>
      </c>
      <c r="F4523" t="str">
        <f t="shared" ca="1" si="353"/>
        <v>RFR GBP</v>
      </c>
      <c r="J4523" s="1"/>
      <c r="N4523" s="1"/>
      <c r="R4523" s="1"/>
      <c r="V4523" s="1"/>
      <c r="AB4523" s="1"/>
      <c r="AF4523" s="1"/>
      <c r="AJ4523" s="1"/>
      <c r="AN4523" s="1"/>
      <c r="AS4523" s="1"/>
      <c r="AX4523" s="1"/>
    </row>
    <row r="4524" spans="1:50" x14ac:dyDescent="0.3">
      <c r="A4524" s="19">
        <f t="shared" si="354"/>
        <v>52247</v>
      </c>
      <c r="B4524">
        <f t="shared" ca="1" si="350"/>
        <v>-16.930555555555557</v>
      </c>
      <c r="C4524" t="str">
        <f ca="1">IF(currency="USD",'Future et co'!D4524,IF(currency="EUR",'Future et co'!E4524,IF(currency="GBP",'Future et co'!F4524,FALSE)))</f>
        <v>RFR USD</v>
      </c>
      <c r="D4524" t="str">
        <f t="shared" ca="1" si="351"/>
        <v>RFR USD</v>
      </c>
      <c r="E4524" t="str">
        <f t="shared" ca="1" si="352"/>
        <v>RFR EUR</v>
      </c>
      <c r="F4524" t="str">
        <f t="shared" ca="1" si="353"/>
        <v>RFR GBP</v>
      </c>
      <c r="J4524" s="1"/>
      <c r="N4524" s="1"/>
      <c r="R4524" s="1"/>
      <c r="V4524" s="1"/>
      <c r="AB4524" s="1"/>
      <c r="AF4524" s="1"/>
      <c r="AJ4524" s="1"/>
      <c r="AN4524" s="1"/>
      <c r="AS4524" s="1"/>
      <c r="AX4524" s="1"/>
    </row>
    <row r="4525" spans="1:50" x14ac:dyDescent="0.3">
      <c r="A4525" s="19">
        <f t="shared" si="354"/>
        <v>52250</v>
      </c>
      <c r="B4525">
        <f t="shared" ca="1" si="350"/>
        <v>-16.93888888888889</v>
      </c>
      <c r="C4525" t="str">
        <f ca="1">IF(currency="USD",'Future et co'!D4525,IF(currency="EUR",'Future et co'!E4525,IF(currency="GBP",'Future et co'!F4525,FALSE)))</f>
        <v>RFR USD</v>
      </c>
      <c r="D4525" t="str">
        <f t="shared" ca="1" si="351"/>
        <v>RFR USD</v>
      </c>
      <c r="E4525" t="str">
        <f t="shared" ca="1" si="352"/>
        <v>RFR EUR</v>
      </c>
      <c r="F4525" t="str">
        <f t="shared" ca="1" si="353"/>
        <v>RFR GBP</v>
      </c>
      <c r="J4525" s="1"/>
      <c r="N4525" s="1"/>
      <c r="R4525" s="1"/>
      <c r="V4525" s="1"/>
      <c r="AB4525" s="1"/>
      <c r="AF4525" s="1"/>
      <c r="AJ4525" s="1"/>
      <c r="AN4525" s="1"/>
      <c r="AS4525" s="1"/>
      <c r="AX4525" s="1"/>
    </row>
    <row r="4526" spans="1:50" x14ac:dyDescent="0.3">
      <c r="A4526" s="19">
        <f t="shared" si="354"/>
        <v>52251</v>
      </c>
      <c r="B4526">
        <f t="shared" ca="1" si="350"/>
        <v>-16.941666666666666</v>
      </c>
      <c r="C4526" t="str">
        <f ca="1">IF(currency="USD",'Future et co'!D4526,IF(currency="EUR",'Future et co'!E4526,IF(currency="GBP",'Future et co'!F4526,FALSE)))</f>
        <v>RFR USD</v>
      </c>
      <c r="D4526" t="str">
        <f t="shared" ca="1" si="351"/>
        <v>RFR USD</v>
      </c>
      <c r="E4526" t="str">
        <f t="shared" ca="1" si="352"/>
        <v>RFR EUR</v>
      </c>
      <c r="F4526" t="str">
        <f t="shared" ca="1" si="353"/>
        <v>RFR GBP</v>
      </c>
      <c r="J4526" s="1"/>
      <c r="N4526" s="1"/>
      <c r="R4526" s="1"/>
      <c r="V4526" s="1"/>
      <c r="AB4526" s="1"/>
      <c r="AF4526" s="1"/>
      <c r="AJ4526" s="1"/>
      <c r="AN4526" s="1"/>
      <c r="AS4526" s="1"/>
      <c r="AX4526" s="1"/>
    </row>
    <row r="4527" spans="1:50" x14ac:dyDescent="0.3">
      <c r="A4527" s="19">
        <f t="shared" si="354"/>
        <v>52252</v>
      </c>
      <c r="B4527">
        <f t="shared" ca="1" si="350"/>
        <v>-16.944444444444443</v>
      </c>
      <c r="C4527" t="str">
        <f ca="1">IF(currency="USD",'Future et co'!D4527,IF(currency="EUR",'Future et co'!E4527,IF(currency="GBP",'Future et co'!F4527,FALSE)))</f>
        <v>RFR USD</v>
      </c>
      <c r="D4527" t="str">
        <f t="shared" ca="1" si="351"/>
        <v>RFR USD</v>
      </c>
      <c r="E4527" t="str">
        <f t="shared" ca="1" si="352"/>
        <v>RFR EUR</v>
      </c>
      <c r="F4527" t="str">
        <f t="shared" ca="1" si="353"/>
        <v>RFR GBP</v>
      </c>
      <c r="J4527" s="1"/>
      <c r="N4527" s="1"/>
      <c r="R4527" s="1"/>
      <c r="V4527" s="1"/>
      <c r="AB4527" s="1"/>
      <c r="AF4527" s="1"/>
      <c r="AJ4527" s="1"/>
      <c r="AN4527" s="1"/>
      <c r="AS4527" s="1"/>
      <c r="AX4527" s="1"/>
    </row>
    <row r="4528" spans="1:50" x14ac:dyDescent="0.3">
      <c r="A4528" s="19">
        <f t="shared" si="354"/>
        <v>52253</v>
      </c>
      <c r="B4528">
        <f t="shared" ca="1" si="350"/>
        <v>-16.947222222222223</v>
      </c>
      <c r="C4528" t="str">
        <f ca="1">IF(currency="USD",'Future et co'!D4528,IF(currency="EUR",'Future et co'!E4528,IF(currency="GBP",'Future et co'!F4528,FALSE)))</f>
        <v>RFR USD</v>
      </c>
      <c r="D4528" t="str">
        <f t="shared" ca="1" si="351"/>
        <v>RFR USD</v>
      </c>
      <c r="E4528" t="str">
        <f t="shared" ca="1" si="352"/>
        <v>RFR EUR</v>
      </c>
      <c r="F4528" t="str">
        <f t="shared" ca="1" si="353"/>
        <v>RFR GBP</v>
      </c>
      <c r="J4528" s="1"/>
      <c r="N4528" s="1"/>
      <c r="R4528" s="1"/>
      <c r="V4528" s="1"/>
      <c r="AB4528" s="1"/>
      <c r="AF4528" s="1"/>
      <c r="AJ4528" s="1"/>
      <c r="AN4528" s="1"/>
      <c r="AS4528" s="1"/>
      <c r="AX4528" s="1"/>
    </row>
    <row r="4529" spans="1:50" x14ac:dyDescent="0.3">
      <c r="A4529" s="19">
        <f t="shared" si="354"/>
        <v>52254</v>
      </c>
      <c r="B4529">
        <f t="shared" ca="1" si="350"/>
        <v>-16.95</v>
      </c>
      <c r="C4529" t="str">
        <f ca="1">IF(currency="USD",'Future et co'!D4529,IF(currency="EUR",'Future et co'!E4529,IF(currency="GBP",'Future et co'!F4529,FALSE)))</f>
        <v>RFR USD</v>
      </c>
      <c r="D4529" t="str">
        <f t="shared" ca="1" si="351"/>
        <v>RFR USD</v>
      </c>
      <c r="E4529" t="str">
        <f t="shared" ca="1" si="352"/>
        <v>RFR EUR</v>
      </c>
      <c r="F4529" t="str">
        <f t="shared" ca="1" si="353"/>
        <v>RFR GBP</v>
      </c>
      <c r="J4529" s="1"/>
      <c r="N4529" s="1"/>
      <c r="R4529" s="1"/>
      <c r="V4529" s="1"/>
      <c r="AB4529" s="1"/>
      <c r="AF4529" s="1"/>
      <c r="AJ4529" s="1"/>
      <c r="AN4529" s="1"/>
      <c r="AS4529" s="1"/>
      <c r="AX4529" s="1"/>
    </row>
    <row r="4530" spans="1:50" x14ac:dyDescent="0.3">
      <c r="A4530" s="19">
        <f t="shared" si="354"/>
        <v>52257</v>
      </c>
      <c r="B4530">
        <f t="shared" ca="1" si="350"/>
        <v>-16.958333333333332</v>
      </c>
      <c r="C4530" t="str">
        <f ca="1">IF(currency="USD",'Future et co'!D4530,IF(currency="EUR",'Future et co'!E4530,IF(currency="GBP",'Future et co'!F4530,FALSE)))</f>
        <v>RFR USD</v>
      </c>
      <c r="D4530" t="str">
        <f t="shared" ca="1" si="351"/>
        <v>RFR USD</v>
      </c>
      <c r="E4530" t="str">
        <f t="shared" ca="1" si="352"/>
        <v>RFR EUR</v>
      </c>
      <c r="F4530" t="str">
        <f t="shared" ca="1" si="353"/>
        <v>RFR GBP</v>
      </c>
      <c r="J4530" s="1"/>
      <c r="N4530" s="1"/>
      <c r="R4530" s="1"/>
      <c r="V4530" s="1"/>
      <c r="AB4530" s="1"/>
      <c r="AF4530" s="1"/>
      <c r="AJ4530" s="1"/>
      <c r="AN4530" s="1"/>
      <c r="AS4530" s="1"/>
      <c r="AX4530" s="1"/>
    </row>
    <row r="4531" spans="1:50" x14ac:dyDescent="0.3">
      <c r="A4531" s="19">
        <f t="shared" si="354"/>
        <v>52258</v>
      </c>
      <c r="B4531">
        <f t="shared" ca="1" si="350"/>
        <v>-16.961111111111112</v>
      </c>
      <c r="C4531" t="str">
        <f ca="1">IF(currency="USD",'Future et co'!D4531,IF(currency="EUR",'Future et co'!E4531,IF(currency="GBP",'Future et co'!F4531,FALSE)))</f>
        <v>RFR USD</v>
      </c>
      <c r="D4531" t="str">
        <f t="shared" ca="1" si="351"/>
        <v>RFR USD</v>
      </c>
      <c r="E4531" t="str">
        <f t="shared" ca="1" si="352"/>
        <v>RFR EUR</v>
      </c>
      <c r="F4531" t="str">
        <f t="shared" ca="1" si="353"/>
        <v>RFR GBP</v>
      </c>
      <c r="J4531" s="1"/>
      <c r="N4531" s="1"/>
      <c r="R4531" s="1"/>
      <c r="V4531" s="1"/>
      <c r="AB4531" s="1"/>
      <c r="AF4531" s="1"/>
      <c r="AJ4531" s="1"/>
      <c r="AN4531" s="1"/>
      <c r="AS4531" s="1"/>
      <c r="AX4531" s="1"/>
    </row>
    <row r="4532" spans="1:50" x14ac:dyDescent="0.3">
      <c r="A4532" s="19">
        <f t="shared" si="354"/>
        <v>52259</v>
      </c>
      <c r="B4532">
        <f t="shared" ca="1" si="350"/>
        <v>-16.963888888888889</v>
      </c>
      <c r="C4532" t="str">
        <f ca="1">IF(currency="USD",'Future et co'!D4532,IF(currency="EUR",'Future et co'!E4532,IF(currency="GBP",'Future et co'!F4532,FALSE)))</f>
        <v>RFR USD</v>
      </c>
      <c r="D4532" t="str">
        <f t="shared" ca="1" si="351"/>
        <v>RFR USD</v>
      </c>
      <c r="E4532" t="str">
        <f t="shared" ca="1" si="352"/>
        <v>RFR EUR</v>
      </c>
      <c r="F4532" t="str">
        <f t="shared" ca="1" si="353"/>
        <v>RFR GBP</v>
      </c>
      <c r="J4532" s="1"/>
      <c r="N4532" s="1"/>
      <c r="R4532" s="1"/>
      <c r="V4532" s="1"/>
      <c r="AB4532" s="1"/>
      <c r="AF4532" s="1"/>
      <c r="AJ4532" s="1"/>
      <c r="AN4532" s="1"/>
      <c r="AS4532" s="1"/>
      <c r="AX4532" s="1"/>
    </row>
    <row r="4533" spans="1:50" x14ac:dyDescent="0.3">
      <c r="A4533" s="19">
        <f t="shared" si="354"/>
        <v>52260</v>
      </c>
      <c r="B4533">
        <f t="shared" ca="1" si="350"/>
        <v>-16.966666666666665</v>
      </c>
      <c r="C4533" t="str">
        <f ca="1">IF(currency="USD",'Future et co'!D4533,IF(currency="EUR",'Future et co'!E4533,IF(currency="GBP",'Future et co'!F4533,FALSE)))</f>
        <v>RFR USD</v>
      </c>
      <c r="D4533" t="str">
        <f t="shared" ca="1" si="351"/>
        <v>RFR USD</v>
      </c>
      <c r="E4533" t="str">
        <f t="shared" ca="1" si="352"/>
        <v>RFR EUR</v>
      </c>
      <c r="F4533" t="str">
        <f t="shared" ca="1" si="353"/>
        <v>RFR GBP</v>
      </c>
      <c r="J4533" s="1"/>
      <c r="N4533" s="1"/>
      <c r="R4533" s="1"/>
      <c r="V4533" s="1"/>
      <c r="AB4533" s="1"/>
      <c r="AF4533" s="1"/>
      <c r="AJ4533" s="1"/>
      <c r="AN4533" s="1"/>
      <c r="AS4533" s="1"/>
      <c r="AX4533" s="1"/>
    </row>
    <row r="4534" spans="1:50" x14ac:dyDescent="0.3">
      <c r="A4534" s="19">
        <f t="shared" si="354"/>
        <v>52261</v>
      </c>
      <c r="B4534">
        <f t="shared" ca="1" si="350"/>
        <v>-16.969444444444445</v>
      </c>
      <c r="C4534" t="str">
        <f ca="1">IF(currency="USD",'Future et co'!D4534,IF(currency="EUR",'Future et co'!E4534,IF(currency="GBP",'Future et co'!F4534,FALSE)))</f>
        <v>RFR USD</v>
      </c>
      <c r="D4534" t="str">
        <f t="shared" ca="1" si="351"/>
        <v>RFR USD</v>
      </c>
      <c r="E4534" t="str">
        <f t="shared" ca="1" si="352"/>
        <v>RFR EUR</v>
      </c>
      <c r="F4534" t="str">
        <f t="shared" ca="1" si="353"/>
        <v>RFR GBP</v>
      </c>
      <c r="J4534" s="1"/>
      <c r="N4534" s="1"/>
      <c r="R4534" s="1"/>
      <c r="V4534" s="1"/>
      <c r="AB4534" s="1"/>
      <c r="AF4534" s="1"/>
      <c r="AJ4534" s="1"/>
      <c r="AN4534" s="1"/>
      <c r="AS4534" s="1"/>
      <c r="AX4534" s="1"/>
    </row>
    <row r="4535" spans="1:50" x14ac:dyDescent="0.3">
      <c r="A4535" s="19">
        <f t="shared" si="354"/>
        <v>52264</v>
      </c>
      <c r="B4535">
        <f t="shared" ca="1" si="350"/>
        <v>-16.977777777777778</v>
      </c>
      <c r="C4535" t="str">
        <f ca="1">IF(currency="USD",'Future et co'!D4535,IF(currency="EUR",'Future et co'!E4535,IF(currency="GBP",'Future et co'!F4535,FALSE)))</f>
        <v>RFR USD</v>
      </c>
      <c r="D4535" t="str">
        <f t="shared" ca="1" si="351"/>
        <v>RFR USD</v>
      </c>
      <c r="E4535" t="str">
        <f t="shared" ca="1" si="352"/>
        <v>RFR EUR</v>
      </c>
      <c r="F4535" t="str">
        <f t="shared" ca="1" si="353"/>
        <v>RFR GBP</v>
      </c>
      <c r="J4535" s="1"/>
      <c r="N4535" s="1"/>
      <c r="R4535" s="1"/>
      <c r="V4535" s="1"/>
      <c r="AB4535" s="1"/>
      <c r="AF4535" s="1"/>
      <c r="AJ4535" s="1"/>
      <c r="AN4535" s="1"/>
      <c r="AS4535" s="1"/>
      <c r="AX4535" s="1"/>
    </row>
    <row r="4536" spans="1:50" x14ac:dyDescent="0.3">
      <c r="A4536" s="19">
        <f t="shared" si="354"/>
        <v>52265</v>
      </c>
      <c r="B4536">
        <f t="shared" ca="1" si="350"/>
        <v>-16.980555555555554</v>
      </c>
      <c r="C4536" t="str">
        <f ca="1">IF(currency="USD",'Future et co'!D4536,IF(currency="EUR",'Future et co'!E4536,IF(currency="GBP",'Future et co'!F4536,FALSE)))</f>
        <v>RFR USD</v>
      </c>
      <c r="D4536" t="str">
        <f t="shared" ca="1" si="351"/>
        <v>RFR USD</v>
      </c>
      <c r="E4536" t="str">
        <f t="shared" ca="1" si="352"/>
        <v>RFR EUR</v>
      </c>
      <c r="F4536" t="str">
        <f t="shared" ca="1" si="353"/>
        <v>RFR GBP</v>
      </c>
      <c r="J4536" s="1"/>
      <c r="N4536" s="1"/>
      <c r="R4536" s="1"/>
      <c r="V4536" s="1"/>
      <c r="AB4536" s="1"/>
      <c r="AF4536" s="1"/>
      <c r="AJ4536" s="1"/>
      <c r="AN4536" s="1"/>
      <c r="AS4536" s="1"/>
      <c r="AX4536" s="1"/>
    </row>
    <row r="4537" spans="1:50" x14ac:dyDescent="0.3">
      <c r="A4537" s="19">
        <f t="shared" si="354"/>
        <v>52266</v>
      </c>
      <c r="B4537">
        <f t="shared" ca="1" si="350"/>
        <v>-16.983333333333334</v>
      </c>
      <c r="C4537" t="str">
        <f ca="1">IF(currency="USD",'Future et co'!D4537,IF(currency="EUR",'Future et co'!E4537,IF(currency="GBP",'Future et co'!F4537,FALSE)))</f>
        <v>RFR USD</v>
      </c>
      <c r="D4537" t="str">
        <f t="shared" ca="1" si="351"/>
        <v>RFR USD</v>
      </c>
      <c r="E4537" t="str">
        <f t="shared" ca="1" si="352"/>
        <v>RFR EUR</v>
      </c>
      <c r="F4537" t="str">
        <f t="shared" ca="1" si="353"/>
        <v>RFR GBP</v>
      </c>
      <c r="J4537" s="1"/>
      <c r="N4537" s="1"/>
      <c r="R4537" s="1"/>
      <c r="V4537" s="1"/>
      <c r="AB4537" s="1"/>
      <c r="AF4537" s="1"/>
      <c r="AJ4537" s="1"/>
      <c r="AN4537" s="1"/>
      <c r="AS4537" s="1"/>
      <c r="AX4537" s="1"/>
    </row>
    <row r="4538" spans="1:50" x14ac:dyDescent="0.3">
      <c r="A4538" s="19">
        <f t="shared" si="354"/>
        <v>52267</v>
      </c>
      <c r="B4538">
        <f t="shared" ca="1" si="350"/>
        <v>-16.986111111111111</v>
      </c>
      <c r="C4538" t="str">
        <f ca="1">IF(currency="USD",'Future et co'!D4538,IF(currency="EUR",'Future et co'!E4538,IF(currency="GBP",'Future et co'!F4538,FALSE)))</f>
        <v>RFR USD</v>
      </c>
      <c r="D4538" t="str">
        <f t="shared" ca="1" si="351"/>
        <v>RFR USD</v>
      </c>
      <c r="E4538" t="str">
        <f t="shared" ca="1" si="352"/>
        <v>RFR EUR</v>
      </c>
      <c r="F4538" t="str">
        <f t="shared" ca="1" si="353"/>
        <v>RFR GBP</v>
      </c>
      <c r="J4538" s="1"/>
      <c r="N4538" s="1"/>
      <c r="R4538" s="1"/>
      <c r="V4538" s="1"/>
      <c r="AB4538" s="1"/>
      <c r="AF4538" s="1"/>
      <c r="AJ4538" s="1"/>
      <c r="AN4538" s="1"/>
      <c r="AS4538" s="1"/>
      <c r="AX4538" s="1"/>
    </row>
    <row r="4539" spans="1:50" x14ac:dyDescent="0.3">
      <c r="A4539" s="19">
        <f t="shared" si="354"/>
        <v>52268</v>
      </c>
      <c r="B4539">
        <f t="shared" ca="1" si="350"/>
        <v>-16.988888888888887</v>
      </c>
      <c r="C4539" t="str">
        <f ca="1">IF(currency="USD",'Future et co'!D4539,IF(currency="EUR",'Future et co'!E4539,IF(currency="GBP",'Future et co'!F4539,FALSE)))</f>
        <v>RFR USD</v>
      </c>
      <c r="D4539" t="str">
        <f t="shared" ca="1" si="351"/>
        <v>RFR USD</v>
      </c>
      <c r="E4539" t="str">
        <f t="shared" ca="1" si="352"/>
        <v>RFR EUR</v>
      </c>
      <c r="F4539" t="str">
        <f t="shared" ca="1" si="353"/>
        <v>RFR GBP</v>
      </c>
      <c r="J4539" s="1"/>
      <c r="N4539" s="1"/>
      <c r="R4539" s="1"/>
      <c r="V4539" s="1"/>
      <c r="AB4539" s="1"/>
      <c r="AF4539" s="1"/>
      <c r="AJ4539" s="1"/>
      <c r="AN4539" s="1"/>
      <c r="AS4539" s="1"/>
      <c r="AX4539" s="1"/>
    </row>
    <row r="4540" spans="1:50" x14ac:dyDescent="0.3">
      <c r="A4540" s="19">
        <f t="shared" si="354"/>
        <v>52271</v>
      </c>
      <c r="B4540">
        <f t="shared" ca="1" si="350"/>
        <v>-16.997222222222224</v>
      </c>
      <c r="C4540" t="str">
        <f ca="1">IF(currency="USD",'Future et co'!D4540,IF(currency="EUR",'Future et co'!E4540,IF(currency="GBP",'Future et co'!F4540,FALSE)))</f>
        <v>RFR USD</v>
      </c>
      <c r="D4540" t="str">
        <f t="shared" ca="1" si="351"/>
        <v>RFR USD</v>
      </c>
      <c r="E4540" t="str">
        <f t="shared" ca="1" si="352"/>
        <v>RFR EUR</v>
      </c>
      <c r="F4540" t="str">
        <f t="shared" ca="1" si="353"/>
        <v>RFR GBP</v>
      </c>
      <c r="J4540" s="1"/>
      <c r="N4540" s="1"/>
      <c r="R4540" s="1"/>
      <c r="V4540" s="1"/>
      <c r="AB4540" s="1"/>
      <c r="AF4540" s="1"/>
      <c r="AJ4540" s="1"/>
      <c r="AN4540" s="1"/>
      <c r="AS4540" s="1"/>
      <c r="AX4540" s="1"/>
    </row>
    <row r="4541" spans="1:50" x14ac:dyDescent="0.3">
      <c r="A4541" s="19">
        <f t="shared" si="354"/>
        <v>52272</v>
      </c>
      <c r="B4541">
        <f t="shared" ca="1" si="350"/>
        <v>-17</v>
      </c>
      <c r="C4541" t="str">
        <f ca="1">IF(currency="USD",'Future et co'!D4541,IF(currency="EUR",'Future et co'!E4541,IF(currency="GBP",'Future et co'!F4541,FALSE)))</f>
        <v>RFR USD</v>
      </c>
      <c r="D4541" t="str">
        <f t="shared" ca="1" si="351"/>
        <v>RFR USD</v>
      </c>
      <c r="E4541" t="str">
        <f t="shared" ca="1" si="352"/>
        <v>RFR EUR</v>
      </c>
      <c r="F4541" t="str">
        <f t="shared" ca="1" si="353"/>
        <v>RFR GBP</v>
      </c>
      <c r="J4541" s="1"/>
      <c r="N4541" s="1"/>
      <c r="R4541" s="1"/>
      <c r="V4541" s="1"/>
      <c r="AB4541" s="1"/>
      <c r="AF4541" s="1"/>
      <c r="AJ4541" s="1"/>
      <c r="AN4541" s="1"/>
      <c r="AS4541" s="1"/>
      <c r="AX4541" s="1"/>
    </row>
    <row r="4542" spans="1:50" x14ac:dyDescent="0.3">
      <c r="A4542" s="19">
        <f t="shared" si="354"/>
        <v>52273</v>
      </c>
      <c r="B4542">
        <f t="shared" ca="1" si="350"/>
        <v>-17.002777777777776</v>
      </c>
      <c r="C4542" t="str">
        <f ca="1">IF(currency="USD",'Future et co'!D4542,IF(currency="EUR",'Future et co'!E4542,IF(currency="GBP",'Future et co'!F4542,FALSE)))</f>
        <v>RFR USD</v>
      </c>
      <c r="D4542" t="str">
        <f t="shared" ca="1" si="351"/>
        <v>RFR USD</v>
      </c>
      <c r="E4542" t="str">
        <f t="shared" ca="1" si="352"/>
        <v>RFR EUR</v>
      </c>
      <c r="F4542" t="str">
        <f t="shared" ca="1" si="353"/>
        <v>RFR GBP</v>
      </c>
      <c r="J4542" s="1"/>
      <c r="N4542" s="1"/>
      <c r="R4542" s="1"/>
      <c r="V4542" s="1"/>
      <c r="AB4542" s="1"/>
      <c r="AF4542" s="1"/>
      <c r="AJ4542" s="1"/>
      <c r="AN4542" s="1"/>
      <c r="AS4542" s="1"/>
      <c r="AX4542" s="1"/>
    </row>
    <row r="4543" spans="1:50" x14ac:dyDescent="0.3">
      <c r="A4543" s="19">
        <f t="shared" si="354"/>
        <v>52274</v>
      </c>
      <c r="B4543">
        <f t="shared" ca="1" si="350"/>
        <v>-17.005555555555556</v>
      </c>
      <c r="C4543" t="str">
        <f ca="1">IF(currency="USD",'Future et co'!D4543,IF(currency="EUR",'Future et co'!E4543,IF(currency="GBP",'Future et co'!F4543,FALSE)))</f>
        <v>RFR USD</v>
      </c>
      <c r="D4543" t="str">
        <f t="shared" ca="1" si="351"/>
        <v>RFR USD</v>
      </c>
      <c r="E4543" t="str">
        <f t="shared" ca="1" si="352"/>
        <v>RFR EUR</v>
      </c>
      <c r="F4543" t="str">
        <f t="shared" ca="1" si="353"/>
        <v>RFR GBP</v>
      </c>
      <c r="J4543" s="1"/>
      <c r="N4543" s="1"/>
      <c r="R4543" s="1"/>
      <c r="V4543" s="1"/>
      <c r="AB4543" s="1"/>
      <c r="AF4543" s="1"/>
      <c r="AJ4543" s="1"/>
      <c r="AN4543" s="1"/>
      <c r="AS4543" s="1"/>
      <c r="AX4543" s="1"/>
    </row>
    <row r="4544" spans="1:50" x14ac:dyDescent="0.3">
      <c r="A4544" s="19">
        <f t="shared" si="354"/>
        <v>52275</v>
      </c>
      <c r="B4544">
        <f t="shared" ca="1" si="350"/>
        <v>-17.008333333333333</v>
      </c>
      <c r="C4544" t="str">
        <f ca="1">IF(currency="USD",'Future et co'!D4544,IF(currency="EUR",'Future et co'!E4544,IF(currency="GBP",'Future et co'!F4544,FALSE)))</f>
        <v>RFR USD</v>
      </c>
      <c r="D4544" t="str">
        <f t="shared" ca="1" si="351"/>
        <v>RFR USD</v>
      </c>
      <c r="E4544" t="str">
        <f t="shared" ca="1" si="352"/>
        <v>RFR EUR</v>
      </c>
      <c r="F4544" t="str">
        <f t="shared" ca="1" si="353"/>
        <v>RFR GBP</v>
      </c>
      <c r="J4544" s="1"/>
      <c r="N4544" s="1"/>
      <c r="R4544" s="1"/>
      <c r="V4544" s="1"/>
      <c r="AB4544" s="1"/>
      <c r="AF4544" s="1"/>
      <c r="AJ4544" s="1"/>
      <c r="AN4544" s="1"/>
      <c r="AS4544" s="1"/>
      <c r="AX4544" s="1"/>
    </row>
    <row r="4545" spans="1:50" x14ac:dyDescent="0.3">
      <c r="A4545" s="19">
        <f t="shared" si="354"/>
        <v>52278</v>
      </c>
      <c r="B4545">
        <f t="shared" ca="1" si="350"/>
        <v>-17.016666666666666</v>
      </c>
      <c r="C4545" t="str">
        <f ca="1">IF(currency="USD",'Future et co'!D4545,IF(currency="EUR",'Future et co'!E4545,IF(currency="GBP",'Future et co'!F4545,FALSE)))</f>
        <v>RFR USD</v>
      </c>
      <c r="D4545" t="str">
        <f t="shared" ca="1" si="351"/>
        <v>RFR USD</v>
      </c>
      <c r="E4545" t="str">
        <f t="shared" ca="1" si="352"/>
        <v>RFR EUR</v>
      </c>
      <c r="F4545" t="str">
        <f t="shared" ca="1" si="353"/>
        <v>RFR GBP</v>
      </c>
      <c r="J4545" s="1"/>
      <c r="N4545" s="1"/>
      <c r="R4545" s="1"/>
      <c r="V4545" s="1"/>
      <c r="AB4545" s="1"/>
      <c r="AF4545" s="1"/>
      <c r="AJ4545" s="1"/>
      <c r="AN4545" s="1"/>
      <c r="AS4545" s="1"/>
      <c r="AX4545" s="1"/>
    </row>
    <row r="4546" spans="1:50" x14ac:dyDescent="0.3">
      <c r="A4546" s="19">
        <f t="shared" si="354"/>
        <v>52279</v>
      </c>
      <c r="B4546">
        <f t="shared" ca="1" si="350"/>
        <v>-17.019444444444446</v>
      </c>
      <c r="C4546" t="str">
        <f ca="1">IF(currency="USD",'Future et co'!D4546,IF(currency="EUR",'Future et co'!E4546,IF(currency="GBP",'Future et co'!F4546,FALSE)))</f>
        <v>RFR USD</v>
      </c>
      <c r="D4546" t="str">
        <f t="shared" ca="1" si="351"/>
        <v>RFR USD</v>
      </c>
      <c r="E4546" t="str">
        <f t="shared" ca="1" si="352"/>
        <v>RFR EUR</v>
      </c>
      <c r="F4546" t="str">
        <f t="shared" ca="1" si="353"/>
        <v>RFR GBP</v>
      </c>
      <c r="J4546" s="1"/>
      <c r="N4546" s="1"/>
      <c r="R4546" s="1"/>
      <c r="V4546" s="1"/>
      <c r="AB4546" s="1"/>
      <c r="AF4546" s="1"/>
      <c r="AJ4546" s="1"/>
      <c r="AN4546" s="1"/>
      <c r="AS4546" s="1"/>
      <c r="AX4546" s="1"/>
    </row>
    <row r="4547" spans="1:50" x14ac:dyDescent="0.3">
      <c r="A4547" s="19">
        <f t="shared" si="354"/>
        <v>52280</v>
      </c>
      <c r="B4547">
        <f t="shared" ca="1" si="350"/>
        <v>-17.022222222222222</v>
      </c>
      <c r="C4547" t="str">
        <f ca="1">IF(currency="USD",'Future et co'!D4547,IF(currency="EUR",'Future et co'!E4547,IF(currency="GBP",'Future et co'!F4547,FALSE)))</f>
        <v>RFR USD</v>
      </c>
      <c r="D4547" t="str">
        <f t="shared" ca="1" si="351"/>
        <v>RFR USD</v>
      </c>
      <c r="E4547" t="str">
        <f t="shared" ca="1" si="352"/>
        <v>RFR EUR</v>
      </c>
      <c r="F4547" t="str">
        <f t="shared" ca="1" si="353"/>
        <v>RFR GBP</v>
      </c>
      <c r="J4547" s="1"/>
      <c r="N4547" s="1"/>
      <c r="R4547" s="1"/>
      <c r="V4547" s="1"/>
      <c r="AB4547" s="1"/>
      <c r="AF4547" s="1"/>
      <c r="AJ4547" s="1"/>
      <c r="AN4547" s="1"/>
      <c r="AS4547" s="1"/>
      <c r="AX4547" s="1"/>
    </row>
    <row r="4548" spans="1:50" x14ac:dyDescent="0.3">
      <c r="A4548" s="19">
        <f t="shared" si="354"/>
        <v>52281</v>
      </c>
      <c r="B4548">
        <f t="shared" ca="1" si="350"/>
        <v>-17.024999999999999</v>
      </c>
      <c r="C4548" t="str">
        <f ca="1">IF(currency="USD",'Future et co'!D4548,IF(currency="EUR",'Future et co'!E4548,IF(currency="GBP",'Future et co'!F4548,FALSE)))</f>
        <v>RFR USD</v>
      </c>
      <c r="D4548" t="str">
        <f t="shared" ca="1" si="351"/>
        <v>RFR USD</v>
      </c>
      <c r="E4548" t="str">
        <f t="shared" ca="1" si="352"/>
        <v>RFR EUR</v>
      </c>
      <c r="F4548" t="str">
        <f t="shared" ca="1" si="353"/>
        <v>RFR GBP</v>
      </c>
      <c r="J4548" s="1"/>
      <c r="N4548" s="1"/>
      <c r="R4548" s="1"/>
      <c r="V4548" s="1"/>
      <c r="AB4548" s="1"/>
      <c r="AF4548" s="1"/>
      <c r="AJ4548" s="1"/>
      <c r="AN4548" s="1"/>
      <c r="AS4548" s="1"/>
      <c r="AX4548" s="1"/>
    </row>
    <row r="4549" spans="1:50" x14ac:dyDescent="0.3">
      <c r="A4549" s="19">
        <f t="shared" si="354"/>
        <v>52282</v>
      </c>
      <c r="B4549">
        <f t="shared" ca="1" si="350"/>
        <v>-17.027777777777779</v>
      </c>
      <c r="C4549" t="str">
        <f ca="1">IF(currency="USD",'Future et co'!D4549,IF(currency="EUR",'Future et co'!E4549,IF(currency="GBP",'Future et co'!F4549,FALSE)))</f>
        <v>RFR USD</v>
      </c>
      <c r="D4549" t="str">
        <f t="shared" ca="1" si="351"/>
        <v>RFR USD</v>
      </c>
      <c r="E4549" t="str">
        <f t="shared" ca="1" si="352"/>
        <v>RFR EUR</v>
      </c>
      <c r="F4549" t="str">
        <f t="shared" ca="1" si="353"/>
        <v>RFR GBP</v>
      </c>
      <c r="J4549" s="1"/>
      <c r="N4549" s="1"/>
      <c r="R4549" s="1"/>
      <c r="V4549" s="1"/>
      <c r="AB4549" s="1"/>
      <c r="AF4549" s="1"/>
      <c r="AJ4549" s="1"/>
      <c r="AN4549" s="1"/>
      <c r="AS4549" s="1"/>
      <c r="AX4549" s="1"/>
    </row>
    <row r="4550" spans="1:50" x14ac:dyDescent="0.3">
      <c r="A4550" s="19">
        <f t="shared" si="354"/>
        <v>52285</v>
      </c>
      <c r="B4550">
        <f t="shared" ca="1" si="350"/>
        <v>-17.036111111111111</v>
      </c>
      <c r="C4550" t="str">
        <f ca="1">IF(currency="USD",'Future et co'!D4550,IF(currency="EUR",'Future et co'!E4550,IF(currency="GBP",'Future et co'!F4550,FALSE)))</f>
        <v>RFR USD</v>
      </c>
      <c r="D4550" t="str">
        <f t="shared" ca="1" si="351"/>
        <v>RFR USD</v>
      </c>
      <c r="E4550" t="str">
        <f t="shared" ca="1" si="352"/>
        <v>RFR EUR</v>
      </c>
      <c r="F4550" t="str">
        <f t="shared" ca="1" si="353"/>
        <v>RFR GBP</v>
      </c>
      <c r="J4550" s="1"/>
      <c r="N4550" s="1"/>
      <c r="R4550" s="1"/>
      <c r="V4550" s="1"/>
      <c r="AB4550" s="1"/>
      <c r="AF4550" s="1"/>
      <c r="AJ4550" s="1"/>
      <c r="AN4550" s="1"/>
      <c r="AS4550" s="1"/>
      <c r="AX4550" s="1"/>
    </row>
    <row r="4551" spans="1:50" x14ac:dyDescent="0.3">
      <c r="A4551" s="19">
        <f t="shared" si="354"/>
        <v>52286</v>
      </c>
      <c r="B4551">
        <f t="shared" ca="1" si="350"/>
        <v>-17.038888888888888</v>
      </c>
      <c r="C4551" t="str">
        <f ca="1">IF(currency="USD",'Future et co'!D4551,IF(currency="EUR",'Future et co'!E4551,IF(currency="GBP",'Future et co'!F4551,FALSE)))</f>
        <v>RFR USD</v>
      </c>
      <c r="D4551" t="str">
        <f t="shared" ca="1" si="351"/>
        <v>RFR USD</v>
      </c>
      <c r="E4551" t="str">
        <f t="shared" ca="1" si="352"/>
        <v>RFR EUR</v>
      </c>
      <c r="F4551" t="str">
        <f t="shared" ca="1" si="353"/>
        <v>RFR GBP</v>
      </c>
      <c r="J4551" s="1"/>
      <c r="N4551" s="1"/>
      <c r="R4551" s="1"/>
      <c r="V4551" s="1"/>
      <c r="AB4551" s="1"/>
      <c r="AF4551" s="1"/>
      <c r="AJ4551" s="1"/>
      <c r="AN4551" s="1"/>
      <c r="AS4551" s="1"/>
      <c r="AX4551" s="1"/>
    </row>
    <row r="4552" spans="1:50" x14ac:dyDescent="0.3">
      <c r="A4552" s="19">
        <f t="shared" si="354"/>
        <v>52287</v>
      </c>
      <c r="B4552">
        <f t="shared" ca="1" si="350"/>
        <v>-17.041666666666668</v>
      </c>
      <c r="C4552" t="str">
        <f ca="1">IF(currency="USD",'Future et co'!D4552,IF(currency="EUR",'Future et co'!E4552,IF(currency="GBP",'Future et co'!F4552,FALSE)))</f>
        <v>RFR USD</v>
      </c>
      <c r="D4552" t="str">
        <f t="shared" ca="1" si="351"/>
        <v>RFR USD</v>
      </c>
      <c r="E4552" t="str">
        <f t="shared" ca="1" si="352"/>
        <v>RFR EUR</v>
      </c>
      <c r="F4552" t="str">
        <f t="shared" ca="1" si="353"/>
        <v>RFR GBP</v>
      </c>
      <c r="J4552" s="1"/>
      <c r="N4552" s="1"/>
      <c r="R4552" s="1"/>
      <c r="V4552" s="1"/>
      <c r="AB4552" s="1"/>
      <c r="AF4552" s="1"/>
      <c r="AJ4552" s="1"/>
      <c r="AN4552" s="1"/>
      <c r="AS4552" s="1"/>
      <c r="AX4552" s="1"/>
    </row>
    <row r="4553" spans="1:50" x14ac:dyDescent="0.3">
      <c r="A4553" s="19">
        <f t="shared" si="354"/>
        <v>52288</v>
      </c>
      <c r="B4553">
        <f t="shared" ca="1" si="350"/>
        <v>-17.044444444444444</v>
      </c>
      <c r="C4553" t="str">
        <f ca="1">IF(currency="USD",'Future et co'!D4553,IF(currency="EUR",'Future et co'!E4553,IF(currency="GBP",'Future et co'!F4553,FALSE)))</f>
        <v>RFR USD</v>
      </c>
      <c r="D4553" t="str">
        <f t="shared" ca="1" si="351"/>
        <v>RFR USD</v>
      </c>
      <c r="E4553" t="str">
        <f t="shared" ca="1" si="352"/>
        <v>RFR EUR</v>
      </c>
      <c r="F4553" t="str">
        <f t="shared" ca="1" si="353"/>
        <v>RFR GBP</v>
      </c>
      <c r="J4553" s="1"/>
      <c r="N4553" s="1"/>
      <c r="R4553" s="1"/>
      <c r="V4553" s="1"/>
      <c r="AB4553" s="1"/>
      <c r="AF4553" s="1"/>
      <c r="AJ4553" s="1"/>
      <c r="AN4553" s="1"/>
      <c r="AS4553" s="1"/>
      <c r="AX4553" s="1"/>
    </row>
    <row r="4554" spans="1:50" x14ac:dyDescent="0.3">
      <c r="A4554" s="19">
        <f t="shared" si="354"/>
        <v>52289</v>
      </c>
      <c r="B4554">
        <f t="shared" ca="1" si="350"/>
        <v>-17.047222222222221</v>
      </c>
      <c r="C4554" t="str">
        <f ca="1">IF(currency="USD",'Future et co'!D4554,IF(currency="EUR",'Future et co'!E4554,IF(currency="GBP",'Future et co'!F4554,FALSE)))</f>
        <v>RFR USD</v>
      </c>
      <c r="D4554" t="str">
        <f t="shared" ca="1" si="351"/>
        <v>RFR USD</v>
      </c>
      <c r="E4554" t="str">
        <f t="shared" ca="1" si="352"/>
        <v>RFR EUR</v>
      </c>
      <c r="F4554" t="str">
        <f t="shared" ca="1" si="353"/>
        <v>RFR GBP</v>
      </c>
      <c r="J4554" s="1"/>
      <c r="N4554" s="1"/>
      <c r="R4554" s="1"/>
      <c r="V4554" s="1"/>
      <c r="AB4554" s="1"/>
      <c r="AF4554" s="1"/>
      <c r="AJ4554" s="1"/>
      <c r="AN4554" s="1"/>
      <c r="AS4554" s="1"/>
      <c r="AX4554" s="1"/>
    </row>
    <row r="4555" spans="1:50" x14ac:dyDescent="0.3">
      <c r="A4555" s="19">
        <f t="shared" si="354"/>
        <v>52292</v>
      </c>
      <c r="B4555">
        <f t="shared" ref="B4555:B4618" ca="1" si="355">($B$7-A4555)/360</f>
        <v>-17.055555555555557</v>
      </c>
      <c r="C4555" t="str">
        <f ca="1">IF(currency="USD",'Future et co'!D4555,IF(currency="EUR",'Future et co'!E4555,IF(currency="GBP",'Future et co'!F4555,FALSE)))</f>
        <v>RFR USD</v>
      </c>
      <c r="D4555" t="str">
        <f t="shared" ref="D4555:D4618" ca="1" si="356">IFERROR(IF(B4555&lt;0.25,VLOOKUP(A4555,$J$11:$L$5325,3,FALSE),IF(AND(B4555&gt;=0.25,B4555&lt;0.5),VLOOKUP(A4555,$N$11:$P$5325,3,FALSE),IF(AND(B4555&gt;=0.5,B4555&lt;1),VLOOKUP(A4555,$R$11:$T$5325,3,FALSE),VLOOKUP(A4555,$V$11:$X$5010,3,FALSE)))),D4554)</f>
        <v>RFR USD</v>
      </c>
      <c r="E4555" t="str">
        <f t="shared" ref="E4555:E4618" ca="1" si="357">IFERROR(IF(B4555&lt;0.25,VLOOKUP(A4555,$AF$11:$AH$5325,3,FALSE),IF(AND(B4555&gt;=0.25,B4555&lt;0.5),VLOOKUP(A4555,$AJ$11:$AL$5325,3,FALSE),VLOOKUP(A4555,$AN$11:$AP$5325,3,FALSE))),E4554)</f>
        <v>RFR EUR</v>
      </c>
      <c r="F4555" t="str">
        <f t="shared" ref="F4555:F4618" ca="1" si="358">IFERROR(VLOOKUP(A4555,$AS$11:$AU$9999,3,FALSE),F4554)</f>
        <v>RFR GBP</v>
      </c>
      <c r="J4555" s="1"/>
      <c r="N4555" s="1"/>
      <c r="R4555" s="1"/>
      <c r="V4555" s="1"/>
      <c r="AB4555" s="1"/>
      <c r="AF4555" s="1"/>
      <c r="AJ4555" s="1"/>
      <c r="AN4555" s="1"/>
      <c r="AS4555" s="1"/>
      <c r="AX4555" s="1"/>
    </row>
    <row r="4556" spans="1:50" x14ac:dyDescent="0.3">
      <c r="A4556" s="19">
        <f t="shared" si="354"/>
        <v>52293</v>
      </c>
      <c r="B4556">
        <f t="shared" ca="1" si="355"/>
        <v>-17.058333333333334</v>
      </c>
      <c r="C4556" t="str">
        <f ca="1">IF(currency="USD",'Future et co'!D4556,IF(currency="EUR",'Future et co'!E4556,IF(currency="GBP",'Future et co'!F4556,FALSE)))</f>
        <v>RFR USD</v>
      </c>
      <c r="D4556" t="str">
        <f t="shared" ca="1" si="356"/>
        <v>RFR USD</v>
      </c>
      <c r="E4556" t="str">
        <f t="shared" ca="1" si="357"/>
        <v>RFR EUR</v>
      </c>
      <c r="F4556" t="str">
        <f t="shared" ca="1" si="358"/>
        <v>RFR GBP</v>
      </c>
      <c r="J4556" s="1"/>
      <c r="N4556" s="1"/>
      <c r="R4556" s="1"/>
      <c r="V4556" s="1"/>
      <c r="AB4556" s="1"/>
      <c r="AF4556" s="1"/>
      <c r="AJ4556" s="1"/>
      <c r="AN4556" s="1"/>
      <c r="AS4556" s="1"/>
      <c r="AX4556" s="1"/>
    </row>
    <row r="4557" spans="1:50" x14ac:dyDescent="0.3">
      <c r="A4557" s="19">
        <f t="shared" ref="A4557:A4620" si="359">WORKDAY(A4556,1)</f>
        <v>52294</v>
      </c>
      <c r="B4557">
        <f t="shared" ca="1" si="355"/>
        <v>-17.06111111111111</v>
      </c>
      <c r="C4557" t="str">
        <f ca="1">IF(currency="USD",'Future et co'!D4557,IF(currency="EUR",'Future et co'!E4557,IF(currency="GBP",'Future et co'!F4557,FALSE)))</f>
        <v>RFR USD</v>
      </c>
      <c r="D4557" t="str">
        <f t="shared" ca="1" si="356"/>
        <v>RFR USD</v>
      </c>
      <c r="E4557" t="str">
        <f t="shared" ca="1" si="357"/>
        <v>RFR EUR</v>
      </c>
      <c r="F4557" t="str">
        <f t="shared" ca="1" si="358"/>
        <v>RFR GBP</v>
      </c>
      <c r="J4557" s="1"/>
      <c r="N4557" s="1"/>
      <c r="R4557" s="1"/>
      <c r="V4557" s="1"/>
      <c r="AB4557" s="1"/>
      <c r="AF4557" s="1"/>
      <c r="AJ4557" s="1"/>
      <c r="AN4557" s="1"/>
      <c r="AS4557" s="1"/>
      <c r="AX4557" s="1"/>
    </row>
    <row r="4558" spans="1:50" x14ac:dyDescent="0.3">
      <c r="A4558" s="19">
        <f t="shared" si="359"/>
        <v>52295</v>
      </c>
      <c r="B4558">
        <f t="shared" ca="1" si="355"/>
        <v>-17.06388888888889</v>
      </c>
      <c r="C4558" t="str">
        <f ca="1">IF(currency="USD",'Future et co'!D4558,IF(currency="EUR",'Future et co'!E4558,IF(currency="GBP",'Future et co'!F4558,FALSE)))</f>
        <v>RFR USD</v>
      </c>
      <c r="D4558" t="str">
        <f t="shared" ca="1" si="356"/>
        <v>RFR USD</v>
      </c>
      <c r="E4558" t="str">
        <f t="shared" ca="1" si="357"/>
        <v>RFR EUR</v>
      </c>
      <c r="F4558" t="str">
        <f t="shared" ca="1" si="358"/>
        <v>RFR GBP</v>
      </c>
      <c r="J4558" s="1"/>
      <c r="N4558" s="1"/>
      <c r="R4558" s="1"/>
      <c r="V4558" s="1"/>
      <c r="AB4558" s="1"/>
      <c r="AF4558" s="1"/>
      <c r="AJ4558" s="1"/>
      <c r="AN4558" s="1"/>
      <c r="AS4558" s="1"/>
      <c r="AX4558" s="1"/>
    </row>
    <row r="4559" spans="1:50" x14ac:dyDescent="0.3">
      <c r="A4559" s="19">
        <f t="shared" si="359"/>
        <v>52296</v>
      </c>
      <c r="B4559">
        <f t="shared" ca="1" si="355"/>
        <v>-17.066666666666666</v>
      </c>
      <c r="C4559" t="str">
        <f ca="1">IF(currency="USD",'Future et co'!D4559,IF(currency="EUR",'Future et co'!E4559,IF(currency="GBP",'Future et co'!F4559,FALSE)))</f>
        <v>RFR USD</v>
      </c>
      <c r="D4559" t="str">
        <f t="shared" ca="1" si="356"/>
        <v>RFR USD</v>
      </c>
      <c r="E4559" t="str">
        <f t="shared" ca="1" si="357"/>
        <v>RFR EUR</v>
      </c>
      <c r="F4559" t="str">
        <f t="shared" ca="1" si="358"/>
        <v>RFR GBP</v>
      </c>
      <c r="J4559" s="1"/>
      <c r="N4559" s="1"/>
      <c r="R4559" s="1"/>
      <c r="V4559" s="1"/>
      <c r="AB4559" s="1"/>
      <c r="AF4559" s="1"/>
      <c r="AJ4559" s="1"/>
      <c r="AN4559" s="1"/>
      <c r="AS4559" s="1"/>
      <c r="AX4559" s="1"/>
    </row>
    <row r="4560" spans="1:50" x14ac:dyDescent="0.3">
      <c r="A4560" s="19">
        <f t="shared" si="359"/>
        <v>52299</v>
      </c>
      <c r="B4560">
        <f t="shared" ca="1" si="355"/>
        <v>-17.074999999999999</v>
      </c>
      <c r="C4560" t="str">
        <f ca="1">IF(currency="USD",'Future et co'!D4560,IF(currency="EUR",'Future et co'!E4560,IF(currency="GBP",'Future et co'!F4560,FALSE)))</f>
        <v>RFR USD</v>
      </c>
      <c r="D4560" t="str">
        <f t="shared" ca="1" si="356"/>
        <v>RFR USD</v>
      </c>
      <c r="E4560" t="str">
        <f t="shared" ca="1" si="357"/>
        <v>RFR EUR</v>
      </c>
      <c r="F4560" t="str">
        <f t="shared" ca="1" si="358"/>
        <v>RFR GBP</v>
      </c>
      <c r="J4560" s="1"/>
      <c r="N4560" s="1"/>
      <c r="R4560" s="1"/>
      <c r="V4560" s="1"/>
      <c r="AB4560" s="1"/>
      <c r="AF4560" s="1"/>
      <c r="AJ4560" s="1"/>
      <c r="AN4560" s="1"/>
      <c r="AS4560" s="1"/>
      <c r="AX4560" s="1"/>
    </row>
    <row r="4561" spans="1:50" x14ac:dyDescent="0.3">
      <c r="A4561" s="19">
        <f t="shared" si="359"/>
        <v>52300</v>
      </c>
      <c r="B4561">
        <f t="shared" ca="1" si="355"/>
        <v>-17.077777777777779</v>
      </c>
      <c r="C4561" t="str">
        <f ca="1">IF(currency="USD",'Future et co'!D4561,IF(currency="EUR",'Future et co'!E4561,IF(currency="GBP",'Future et co'!F4561,FALSE)))</f>
        <v>RFR USD</v>
      </c>
      <c r="D4561" t="str">
        <f t="shared" ca="1" si="356"/>
        <v>RFR USD</v>
      </c>
      <c r="E4561" t="str">
        <f t="shared" ca="1" si="357"/>
        <v>RFR EUR</v>
      </c>
      <c r="F4561" t="str">
        <f t="shared" ca="1" si="358"/>
        <v>RFR GBP</v>
      </c>
      <c r="J4561" s="1"/>
      <c r="N4561" s="1"/>
      <c r="R4561" s="1"/>
      <c r="V4561" s="1"/>
      <c r="AB4561" s="1"/>
      <c r="AF4561" s="1"/>
      <c r="AJ4561" s="1"/>
      <c r="AN4561" s="1"/>
      <c r="AS4561" s="1"/>
      <c r="AX4561" s="1"/>
    </row>
    <row r="4562" spans="1:50" x14ac:dyDescent="0.3">
      <c r="A4562" s="19">
        <f t="shared" si="359"/>
        <v>52301</v>
      </c>
      <c r="B4562">
        <f t="shared" ca="1" si="355"/>
        <v>-17.080555555555556</v>
      </c>
      <c r="C4562" t="str">
        <f ca="1">IF(currency="USD",'Future et co'!D4562,IF(currency="EUR",'Future et co'!E4562,IF(currency="GBP",'Future et co'!F4562,FALSE)))</f>
        <v>RFR USD</v>
      </c>
      <c r="D4562" t="str">
        <f t="shared" ca="1" si="356"/>
        <v>RFR USD</v>
      </c>
      <c r="E4562" t="str">
        <f t="shared" ca="1" si="357"/>
        <v>RFR EUR</v>
      </c>
      <c r="F4562" t="str">
        <f t="shared" ca="1" si="358"/>
        <v>RFR GBP</v>
      </c>
      <c r="J4562" s="1"/>
      <c r="N4562" s="1"/>
      <c r="R4562" s="1"/>
      <c r="V4562" s="1"/>
      <c r="AB4562" s="1"/>
      <c r="AF4562" s="1"/>
      <c r="AJ4562" s="1"/>
      <c r="AN4562" s="1"/>
      <c r="AS4562" s="1"/>
      <c r="AX4562" s="1"/>
    </row>
    <row r="4563" spans="1:50" x14ac:dyDescent="0.3">
      <c r="A4563" s="19">
        <f t="shared" si="359"/>
        <v>52302</v>
      </c>
      <c r="B4563">
        <f t="shared" ca="1" si="355"/>
        <v>-17.083333333333332</v>
      </c>
      <c r="C4563" t="str">
        <f ca="1">IF(currency="USD",'Future et co'!D4563,IF(currency="EUR",'Future et co'!E4563,IF(currency="GBP",'Future et co'!F4563,FALSE)))</f>
        <v>RFR USD</v>
      </c>
      <c r="D4563" t="str">
        <f t="shared" ca="1" si="356"/>
        <v>RFR USD</v>
      </c>
      <c r="E4563" t="str">
        <f t="shared" ca="1" si="357"/>
        <v>RFR EUR</v>
      </c>
      <c r="F4563" t="str">
        <f t="shared" ca="1" si="358"/>
        <v>RFR GBP</v>
      </c>
      <c r="J4563" s="1"/>
      <c r="N4563" s="1"/>
      <c r="R4563" s="1"/>
      <c r="V4563" s="1"/>
      <c r="AB4563" s="1"/>
      <c r="AF4563" s="1"/>
      <c r="AJ4563" s="1"/>
      <c r="AN4563" s="1"/>
      <c r="AS4563" s="1"/>
      <c r="AX4563" s="1"/>
    </row>
    <row r="4564" spans="1:50" x14ac:dyDescent="0.3">
      <c r="A4564" s="19">
        <f t="shared" si="359"/>
        <v>52303</v>
      </c>
      <c r="B4564">
        <f t="shared" ca="1" si="355"/>
        <v>-17.086111111111112</v>
      </c>
      <c r="C4564" t="str">
        <f ca="1">IF(currency="USD",'Future et co'!D4564,IF(currency="EUR",'Future et co'!E4564,IF(currency="GBP",'Future et co'!F4564,FALSE)))</f>
        <v>RFR USD</v>
      </c>
      <c r="D4564" t="str">
        <f t="shared" ca="1" si="356"/>
        <v>RFR USD</v>
      </c>
      <c r="E4564" t="str">
        <f t="shared" ca="1" si="357"/>
        <v>RFR EUR</v>
      </c>
      <c r="F4564" t="str">
        <f t="shared" ca="1" si="358"/>
        <v>RFR GBP</v>
      </c>
      <c r="J4564" s="1"/>
      <c r="N4564" s="1"/>
      <c r="R4564" s="1"/>
      <c r="V4564" s="1"/>
      <c r="AB4564" s="1"/>
      <c r="AF4564" s="1"/>
      <c r="AJ4564" s="1"/>
      <c r="AN4564" s="1"/>
      <c r="AS4564" s="1"/>
      <c r="AX4564" s="1"/>
    </row>
    <row r="4565" spans="1:50" x14ac:dyDescent="0.3">
      <c r="A4565" s="19">
        <f t="shared" si="359"/>
        <v>52306</v>
      </c>
      <c r="B4565">
        <f t="shared" ca="1" si="355"/>
        <v>-17.094444444444445</v>
      </c>
      <c r="C4565" t="str">
        <f ca="1">IF(currency="USD",'Future et co'!D4565,IF(currency="EUR",'Future et co'!E4565,IF(currency="GBP",'Future et co'!F4565,FALSE)))</f>
        <v>RFR USD</v>
      </c>
      <c r="D4565" t="str">
        <f t="shared" ca="1" si="356"/>
        <v>RFR USD</v>
      </c>
      <c r="E4565" t="str">
        <f t="shared" ca="1" si="357"/>
        <v>RFR EUR</v>
      </c>
      <c r="F4565" t="str">
        <f t="shared" ca="1" si="358"/>
        <v>RFR GBP</v>
      </c>
      <c r="J4565" s="1"/>
      <c r="N4565" s="1"/>
      <c r="R4565" s="1"/>
      <c r="V4565" s="1"/>
      <c r="AB4565" s="1"/>
      <c r="AF4565" s="1"/>
      <c r="AJ4565" s="1"/>
      <c r="AN4565" s="1"/>
      <c r="AS4565" s="1"/>
      <c r="AX4565" s="1"/>
    </row>
    <row r="4566" spans="1:50" x14ac:dyDescent="0.3">
      <c r="A4566" s="19">
        <f t="shared" si="359"/>
        <v>52307</v>
      </c>
      <c r="B4566">
        <f t="shared" ca="1" si="355"/>
        <v>-17.097222222222221</v>
      </c>
      <c r="C4566" t="str">
        <f ca="1">IF(currency="USD",'Future et co'!D4566,IF(currency="EUR",'Future et co'!E4566,IF(currency="GBP",'Future et co'!F4566,FALSE)))</f>
        <v>RFR USD</v>
      </c>
      <c r="D4566" t="str">
        <f t="shared" ca="1" si="356"/>
        <v>RFR USD</v>
      </c>
      <c r="E4566" t="str">
        <f t="shared" ca="1" si="357"/>
        <v>RFR EUR</v>
      </c>
      <c r="F4566" t="str">
        <f t="shared" ca="1" si="358"/>
        <v>RFR GBP</v>
      </c>
      <c r="J4566" s="1"/>
      <c r="N4566" s="1"/>
      <c r="R4566" s="1"/>
      <c r="V4566" s="1"/>
      <c r="AB4566" s="1"/>
      <c r="AF4566" s="1"/>
      <c r="AJ4566" s="1"/>
      <c r="AN4566" s="1"/>
      <c r="AS4566" s="1"/>
      <c r="AX4566" s="1"/>
    </row>
    <row r="4567" spans="1:50" x14ac:dyDescent="0.3">
      <c r="A4567" s="19">
        <f t="shared" si="359"/>
        <v>52308</v>
      </c>
      <c r="B4567">
        <f t="shared" ca="1" si="355"/>
        <v>-17.100000000000001</v>
      </c>
      <c r="C4567" t="str">
        <f ca="1">IF(currency="USD",'Future et co'!D4567,IF(currency="EUR",'Future et co'!E4567,IF(currency="GBP",'Future et co'!F4567,FALSE)))</f>
        <v>RFR USD</v>
      </c>
      <c r="D4567" t="str">
        <f t="shared" ca="1" si="356"/>
        <v>RFR USD</v>
      </c>
      <c r="E4567" t="str">
        <f t="shared" ca="1" si="357"/>
        <v>RFR EUR</v>
      </c>
      <c r="F4567" t="str">
        <f t="shared" ca="1" si="358"/>
        <v>RFR GBP</v>
      </c>
      <c r="J4567" s="1"/>
      <c r="N4567" s="1"/>
      <c r="R4567" s="1"/>
      <c r="V4567" s="1"/>
      <c r="AB4567" s="1"/>
      <c r="AF4567" s="1"/>
      <c r="AJ4567" s="1"/>
      <c r="AN4567" s="1"/>
      <c r="AS4567" s="1"/>
      <c r="AX4567" s="1"/>
    </row>
    <row r="4568" spans="1:50" x14ac:dyDescent="0.3">
      <c r="A4568" s="19">
        <f t="shared" si="359"/>
        <v>52309</v>
      </c>
      <c r="B4568">
        <f t="shared" ca="1" si="355"/>
        <v>-17.102777777777778</v>
      </c>
      <c r="C4568" t="str">
        <f ca="1">IF(currency="USD",'Future et co'!D4568,IF(currency="EUR",'Future et co'!E4568,IF(currency="GBP",'Future et co'!F4568,FALSE)))</f>
        <v>RFR USD</v>
      </c>
      <c r="D4568" t="str">
        <f t="shared" ca="1" si="356"/>
        <v>RFR USD</v>
      </c>
      <c r="E4568" t="str">
        <f t="shared" ca="1" si="357"/>
        <v>RFR EUR</v>
      </c>
      <c r="F4568" t="str">
        <f t="shared" ca="1" si="358"/>
        <v>RFR GBP</v>
      </c>
      <c r="J4568" s="1"/>
      <c r="N4568" s="1"/>
      <c r="R4568" s="1"/>
      <c r="V4568" s="1"/>
      <c r="AB4568" s="1"/>
      <c r="AF4568" s="1"/>
      <c r="AJ4568" s="1"/>
      <c r="AN4568" s="1"/>
      <c r="AS4568" s="1"/>
      <c r="AX4568" s="1"/>
    </row>
    <row r="4569" spans="1:50" x14ac:dyDescent="0.3">
      <c r="A4569" s="19">
        <f t="shared" si="359"/>
        <v>52310</v>
      </c>
      <c r="B4569">
        <f t="shared" ca="1" si="355"/>
        <v>-17.105555555555554</v>
      </c>
      <c r="C4569" t="str">
        <f ca="1">IF(currency="USD",'Future et co'!D4569,IF(currency="EUR",'Future et co'!E4569,IF(currency="GBP",'Future et co'!F4569,FALSE)))</f>
        <v>RFR USD</v>
      </c>
      <c r="D4569" t="str">
        <f t="shared" ca="1" si="356"/>
        <v>RFR USD</v>
      </c>
      <c r="E4569" t="str">
        <f t="shared" ca="1" si="357"/>
        <v>RFR EUR</v>
      </c>
      <c r="F4569" t="str">
        <f t="shared" ca="1" si="358"/>
        <v>RFR GBP</v>
      </c>
      <c r="J4569" s="1"/>
      <c r="N4569" s="1"/>
      <c r="R4569" s="1"/>
      <c r="V4569" s="1"/>
      <c r="AB4569" s="1"/>
      <c r="AF4569" s="1"/>
      <c r="AJ4569" s="1"/>
      <c r="AN4569" s="1"/>
      <c r="AS4569" s="1"/>
      <c r="AX4569" s="1"/>
    </row>
    <row r="4570" spans="1:50" x14ac:dyDescent="0.3">
      <c r="A4570" s="19">
        <f t="shared" si="359"/>
        <v>52313</v>
      </c>
      <c r="B4570">
        <f t="shared" ca="1" si="355"/>
        <v>-17.113888888888887</v>
      </c>
      <c r="C4570" t="str">
        <f ca="1">IF(currency="USD",'Future et co'!D4570,IF(currency="EUR",'Future et co'!E4570,IF(currency="GBP",'Future et co'!F4570,FALSE)))</f>
        <v>RFR USD</v>
      </c>
      <c r="D4570" t="str">
        <f t="shared" ca="1" si="356"/>
        <v>RFR USD</v>
      </c>
      <c r="E4570" t="str">
        <f t="shared" ca="1" si="357"/>
        <v>RFR EUR</v>
      </c>
      <c r="F4570" t="str">
        <f t="shared" ca="1" si="358"/>
        <v>RFR GBP</v>
      </c>
      <c r="J4570" s="1"/>
      <c r="N4570" s="1"/>
      <c r="R4570" s="1"/>
      <c r="V4570" s="1"/>
      <c r="AB4570" s="1"/>
      <c r="AF4570" s="1"/>
      <c r="AJ4570" s="1"/>
      <c r="AN4570" s="1"/>
      <c r="AS4570" s="1"/>
      <c r="AX4570" s="1"/>
    </row>
    <row r="4571" spans="1:50" x14ac:dyDescent="0.3">
      <c r="A4571" s="19">
        <f t="shared" si="359"/>
        <v>52314</v>
      </c>
      <c r="B4571">
        <f t="shared" ca="1" si="355"/>
        <v>-17.116666666666667</v>
      </c>
      <c r="C4571" t="str">
        <f ca="1">IF(currency="USD",'Future et co'!D4571,IF(currency="EUR",'Future et co'!E4571,IF(currency="GBP",'Future et co'!F4571,FALSE)))</f>
        <v>RFR USD</v>
      </c>
      <c r="D4571" t="str">
        <f t="shared" ca="1" si="356"/>
        <v>RFR USD</v>
      </c>
      <c r="E4571" t="str">
        <f t="shared" ca="1" si="357"/>
        <v>RFR EUR</v>
      </c>
      <c r="F4571" t="str">
        <f t="shared" ca="1" si="358"/>
        <v>RFR GBP</v>
      </c>
      <c r="J4571" s="1"/>
      <c r="N4571" s="1"/>
      <c r="R4571" s="1"/>
      <c r="V4571" s="1"/>
      <c r="AB4571" s="1"/>
      <c r="AF4571" s="1"/>
      <c r="AJ4571" s="1"/>
      <c r="AN4571" s="1"/>
      <c r="AS4571" s="1"/>
      <c r="AX4571" s="1"/>
    </row>
    <row r="4572" spans="1:50" x14ac:dyDescent="0.3">
      <c r="A4572" s="19">
        <f t="shared" si="359"/>
        <v>52315</v>
      </c>
      <c r="B4572">
        <f t="shared" ca="1" si="355"/>
        <v>-17.119444444444444</v>
      </c>
      <c r="C4572" t="str">
        <f ca="1">IF(currency="USD",'Future et co'!D4572,IF(currency="EUR",'Future et co'!E4572,IF(currency="GBP",'Future et co'!F4572,FALSE)))</f>
        <v>RFR USD</v>
      </c>
      <c r="D4572" t="str">
        <f t="shared" ca="1" si="356"/>
        <v>RFR USD</v>
      </c>
      <c r="E4572" t="str">
        <f t="shared" ca="1" si="357"/>
        <v>RFR EUR</v>
      </c>
      <c r="F4572" t="str">
        <f t="shared" ca="1" si="358"/>
        <v>RFR GBP</v>
      </c>
      <c r="J4572" s="1"/>
      <c r="N4572" s="1"/>
      <c r="R4572" s="1"/>
      <c r="V4572" s="1"/>
      <c r="AB4572" s="1"/>
      <c r="AF4572" s="1"/>
      <c r="AJ4572" s="1"/>
      <c r="AN4572" s="1"/>
      <c r="AS4572" s="1"/>
      <c r="AX4572" s="1"/>
    </row>
    <row r="4573" spans="1:50" x14ac:dyDescent="0.3">
      <c r="A4573" s="19">
        <f t="shared" si="359"/>
        <v>52316</v>
      </c>
      <c r="B4573">
        <f t="shared" ca="1" si="355"/>
        <v>-17.122222222222224</v>
      </c>
      <c r="C4573" t="str">
        <f ca="1">IF(currency="USD",'Future et co'!D4573,IF(currency="EUR",'Future et co'!E4573,IF(currency="GBP",'Future et co'!F4573,FALSE)))</f>
        <v>RFR USD</v>
      </c>
      <c r="D4573" t="str">
        <f t="shared" ca="1" si="356"/>
        <v>RFR USD</v>
      </c>
      <c r="E4573" t="str">
        <f t="shared" ca="1" si="357"/>
        <v>RFR EUR</v>
      </c>
      <c r="F4573" t="str">
        <f t="shared" ca="1" si="358"/>
        <v>RFR GBP</v>
      </c>
      <c r="J4573" s="1"/>
      <c r="N4573" s="1"/>
      <c r="R4573" s="1"/>
      <c r="V4573" s="1"/>
      <c r="AB4573" s="1"/>
      <c r="AF4573" s="1"/>
      <c r="AJ4573" s="1"/>
      <c r="AN4573" s="1"/>
      <c r="AS4573" s="1"/>
      <c r="AX4573" s="1"/>
    </row>
    <row r="4574" spans="1:50" x14ac:dyDescent="0.3">
      <c r="A4574" s="19">
        <f t="shared" si="359"/>
        <v>52317</v>
      </c>
      <c r="B4574">
        <f t="shared" ca="1" si="355"/>
        <v>-17.125</v>
      </c>
      <c r="C4574" t="str">
        <f ca="1">IF(currency="USD",'Future et co'!D4574,IF(currency="EUR",'Future et co'!E4574,IF(currency="GBP",'Future et co'!F4574,FALSE)))</f>
        <v>RFR USD</v>
      </c>
      <c r="D4574" t="str">
        <f t="shared" ca="1" si="356"/>
        <v>RFR USD</v>
      </c>
      <c r="E4574" t="str">
        <f t="shared" ca="1" si="357"/>
        <v>RFR EUR</v>
      </c>
      <c r="F4574" t="str">
        <f t="shared" ca="1" si="358"/>
        <v>RFR GBP</v>
      </c>
      <c r="J4574" s="1"/>
      <c r="N4574" s="1"/>
      <c r="R4574" s="1"/>
      <c r="V4574" s="1"/>
      <c r="AB4574" s="1"/>
      <c r="AF4574" s="1"/>
      <c r="AJ4574" s="1"/>
      <c r="AN4574" s="1"/>
      <c r="AS4574" s="1"/>
      <c r="AX4574" s="1"/>
    </row>
    <row r="4575" spans="1:50" x14ac:dyDescent="0.3">
      <c r="A4575" s="19">
        <f t="shared" si="359"/>
        <v>52320</v>
      </c>
      <c r="B4575">
        <f t="shared" ca="1" si="355"/>
        <v>-17.133333333333333</v>
      </c>
      <c r="C4575" t="str">
        <f ca="1">IF(currency="USD",'Future et co'!D4575,IF(currency="EUR",'Future et co'!E4575,IF(currency="GBP",'Future et co'!F4575,FALSE)))</f>
        <v>RFR USD</v>
      </c>
      <c r="D4575" t="str">
        <f t="shared" ca="1" si="356"/>
        <v>RFR USD</v>
      </c>
      <c r="E4575" t="str">
        <f t="shared" ca="1" si="357"/>
        <v>RFR EUR</v>
      </c>
      <c r="F4575" t="str">
        <f t="shared" ca="1" si="358"/>
        <v>RFR GBP</v>
      </c>
      <c r="J4575" s="1"/>
      <c r="N4575" s="1"/>
      <c r="R4575" s="1"/>
      <c r="V4575" s="1"/>
      <c r="AB4575" s="1"/>
      <c r="AF4575" s="1"/>
      <c r="AJ4575" s="1"/>
      <c r="AN4575" s="1"/>
      <c r="AS4575" s="1"/>
      <c r="AX4575" s="1"/>
    </row>
    <row r="4576" spans="1:50" x14ac:dyDescent="0.3">
      <c r="A4576" s="19">
        <f t="shared" si="359"/>
        <v>52321</v>
      </c>
      <c r="B4576">
        <f t="shared" ca="1" si="355"/>
        <v>-17.136111111111113</v>
      </c>
      <c r="C4576" t="str">
        <f ca="1">IF(currency="USD",'Future et co'!D4576,IF(currency="EUR",'Future et co'!E4576,IF(currency="GBP",'Future et co'!F4576,FALSE)))</f>
        <v>RFR USD</v>
      </c>
      <c r="D4576" t="str">
        <f t="shared" ca="1" si="356"/>
        <v>RFR USD</v>
      </c>
      <c r="E4576" t="str">
        <f t="shared" ca="1" si="357"/>
        <v>RFR EUR</v>
      </c>
      <c r="F4576" t="str">
        <f t="shared" ca="1" si="358"/>
        <v>RFR GBP</v>
      </c>
      <c r="J4576" s="1"/>
      <c r="N4576" s="1"/>
      <c r="R4576" s="1"/>
      <c r="V4576" s="1"/>
      <c r="AB4576" s="1"/>
      <c r="AF4576" s="1"/>
      <c r="AJ4576" s="1"/>
      <c r="AN4576" s="1"/>
      <c r="AS4576" s="1"/>
      <c r="AX4576" s="1"/>
    </row>
    <row r="4577" spans="1:50" x14ac:dyDescent="0.3">
      <c r="A4577" s="19">
        <f t="shared" si="359"/>
        <v>52322</v>
      </c>
      <c r="B4577">
        <f t="shared" ca="1" si="355"/>
        <v>-17.138888888888889</v>
      </c>
      <c r="C4577" t="str">
        <f ca="1">IF(currency="USD",'Future et co'!D4577,IF(currency="EUR",'Future et co'!E4577,IF(currency="GBP",'Future et co'!F4577,FALSE)))</f>
        <v>RFR USD</v>
      </c>
      <c r="D4577" t="str">
        <f t="shared" ca="1" si="356"/>
        <v>RFR USD</v>
      </c>
      <c r="E4577" t="str">
        <f t="shared" ca="1" si="357"/>
        <v>RFR EUR</v>
      </c>
      <c r="F4577" t="str">
        <f t="shared" ca="1" si="358"/>
        <v>RFR GBP</v>
      </c>
      <c r="J4577" s="1"/>
      <c r="N4577" s="1"/>
      <c r="R4577" s="1"/>
      <c r="V4577" s="1"/>
      <c r="AB4577" s="1"/>
      <c r="AF4577" s="1"/>
      <c r="AJ4577" s="1"/>
      <c r="AN4577" s="1"/>
      <c r="AS4577" s="1"/>
      <c r="AX4577" s="1"/>
    </row>
    <row r="4578" spans="1:50" x14ac:dyDescent="0.3">
      <c r="A4578" s="19">
        <f t="shared" si="359"/>
        <v>52323</v>
      </c>
      <c r="B4578">
        <f t="shared" ca="1" si="355"/>
        <v>-17.141666666666666</v>
      </c>
      <c r="C4578" t="str">
        <f ca="1">IF(currency="USD",'Future et co'!D4578,IF(currency="EUR",'Future et co'!E4578,IF(currency="GBP",'Future et co'!F4578,FALSE)))</f>
        <v>RFR USD</v>
      </c>
      <c r="D4578" t="str">
        <f t="shared" ca="1" si="356"/>
        <v>RFR USD</v>
      </c>
      <c r="E4578" t="str">
        <f t="shared" ca="1" si="357"/>
        <v>RFR EUR</v>
      </c>
      <c r="F4578" t="str">
        <f t="shared" ca="1" si="358"/>
        <v>RFR GBP</v>
      </c>
      <c r="J4578" s="1"/>
      <c r="N4578" s="1"/>
      <c r="R4578" s="1"/>
      <c r="V4578" s="1"/>
      <c r="AB4578" s="1"/>
      <c r="AF4578" s="1"/>
      <c r="AJ4578" s="1"/>
      <c r="AN4578" s="1"/>
      <c r="AS4578" s="1"/>
      <c r="AX4578" s="1"/>
    </row>
    <row r="4579" spans="1:50" x14ac:dyDescent="0.3">
      <c r="A4579" s="19">
        <f t="shared" si="359"/>
        <v>52324</v>
      </c>
      <c r="B4579">
        <f t="shared" ca="1" si="355"/>
        <v>-17.144444444444446</v>
      </c>
      <c r="C4579" t="str">
        <f ca="1">IF(currency="USD",'Future et co'!D4579,IF(currency="EUR",'Future et co'!E4579,IF(currency="GBP",'Future et co'!F4579,FALSE)))</f>
        <v>RFR USD</v>
      </c>
      <c r="D4579" t="str">
        <f t="shared" ca="1" si="356"/>
        <v>RFR USD</v>
      </c>
      <c r="E4579" t="str">
        <f t="shared" ca="1" si="357"/>
        <v>RFR EUR</v>
      </c>
      <c r="F4579" t="str">
        <f t="shared" ca="1" si="358"/>
        <v>RFR GBP</v>
      </c>
      <c r="J4579" s="1"/>
      <c r="N4579" s="1"/>
      <c r="R4579" s="1"/>
      <c r="V4579" s="1"/>
      <c r="AB4579" s="1"/>
      <c r="AF4579" s="1"/>
      <c r="AJ4579" s="1"/>
      <c r="AN4579" s="1"/>
      <c r="AS4579" s="1"/>
      <c r="AX4579" s="1"/>
    </row>
    <row r="4580" spans="1:50" x14ac:dyDescent="0.3">
      <c r="A4580" s="19">
        <f t="shared" si="359"/>
        <v>52327</v>
      </c>
      <c r="B4580">
        <f t="shared" ca="1" si="355"/>
        <v>-17.152777777777779</v>
      </c>
      <c r="C4580" t="str">
        <f ca="1">IF(currency="USD",'Future et co'!D4580,IF(currency="EUR",'Future et co'!E4580,IF(currency="GBP",'Future et co'!F4580,FALSE)))</f>
        <v>RFR USD</v>
      </c>
      <c r="D4580" t="str">
        <f t="shared" ca="1" si="356"/>
        <v>RFR USD</v>
      </c>
      <c r="E4580" t="str">
        <f t="shared" ca="1" si="357"/>
        <v>RFR EUR</v>
      </c>
      <c r="F4580" t="str">
        <f t="shared" ca="1" si="358"/>
        <v>RFR GBP</v>
      </c>
      <c r="J4580" s="1"/>
      <c r="N4580" s="1"/>
      <c r="R4580" s="1"/>
      <c r="V4580" s="1"/>
      <c r="AB4580" s="1"/>
      <c r="AF4580" s="1"/>
      <c r="AJ4580" s="1"/>
      <c r="AN4580" s="1"/>
      <c r="AS4580" s="1"/>
      <c r="AX4580" s="1"/>
    </row>
    <row r="4581" spans="1:50" x14ac:dyDescent="0.3">
      <c r="A4581" s="19">
        <f t="shared" si="359"/>
        <v>52328</v>
      </c>
      <c r="B4581">
        <f t="shared" ca="1" si="355"/>
        <v>-17.155555555555555</v>
      </c>
      <c r="C4581" t="str">
        <f ca="1">IF(currency="USD",'Future et co'!D4581,IF(currency="EUR",'Future et co'!E4581,IF(currency="GBP",'Future et co'!F4581,FALSE)))</f>
        <v>RFR USD</v>
      </c>
      <c r="D4581" t="str">
        <f t="shared" ca="1" si="356"/>
        <v>RFR USD</v>
      </c>
      <c r="E4581" t="str">
        <f t="shared" ca="1" si="357"/>
        <v>RFR EUR</v>
      </c>
      <c r="F4581" t="str">
        <f t="shared" ca="1" si="358"/>
        <v>RFR GBP</v>
      </c>
      <c r="J4581" s="1"/>
      <c r="N4581" s="1"/>
      <c r="R4581" s="1"/>
      <c r="V4581" s="1"/>
      <c r="AB4581" s="1"/>
      <c r="AF4581" s="1"/>
      <c r="AJ4581" s="1"/>
      <c r="AN4581" s="1"/>
      <c r="AS4581" s="1"/>
      <c r="AX4581" s="1"/>
    </row>
    <row r="4582" spans="1:50" x14ac:dyDescent="0.3">
      <c r="A4582" s="19">
        <f t="shared" si="359"/>
        <v>52329</v>
      </c>
      <c r="B4582">
        <f t="shared" ca="1" si="355"/>
        <v>-17.158333333333335</v>
      </c>
      <c r="C4582" t="str">
        <f ca="1">IF(currency="USD",'Future et co'!D4582,IF(currency="EUR",'Future et co'!E4582,IF(currency="GBP",'Future et co'!F4582,FALSE)))</f>
        <v>RFR USD</v>
      </c>
      <c r="D4582" t="str">
        <f t="shared" ca="1" si="356"/>
        <v>RFR USD</v>
      </c>
      <c r="E4582" t="str">
        <f t="shared" ca="1" si="357"/>
        <v>RFR EUR</v>
      </c>
      <c r="F4582" t="str">
        <f t="shared" ca="1" si="358"/>
        <v>RFR GBP</v>
      </c>
      <c r="J4582" s="1"/>
      <c r="N4582" s="1"/>
      <c r="R4582" s="1"/>
      <c r="V4582" s="1"/>
      <c r="AB4582" s="1"/>
      <c r="AF4582" s="1"/>
      <c r="AJ4582" s="1"/>
      <c r="AN4582" s="1"/>
      <c r="AS4582" s="1"/>
      <c r="AX4582" s="1"/>
    </row>
    <row r="4583" spans="1:50" x14ac:dyDescent="0.3">
      <c r="A4583" s="19">
        <f t="shared" si="359"/>
        <v>52330</v>
      </c>
      <c r="B4583">
        <f t="shared" ca="1" si="355"/>
        <v>-17.161111111111111</v>
      </c>
      <c r="C4583" t="str">
        <f ca="1">IF(currency="USD",'Future et co'!D4583,IF(currency="EUR",'Future et co'!E4583,IF(currency="GBP",'Future et co'!F4583,FALSE)))</f>
        <v>RFR USD</v>
      </c>
      <c r="D4583" t="str">
        <f t="shared" ca="1" si="356"/>
        <v>RFR USD</v>
      </c>
      <c r="E4583" t="str">
        <f t="shared" ca="1" si="357"/>
        <v>RFR EUR</v>
      </c>
      <c r="F4583" t="str">
        <f t="shared" ca="1" si="358"/>
        <v>RFR GBP</v>
      </c>
      <c r="J4583" s="1"/>
      <c r="N4583" s="1"/>
      <c r="R4583" s="1"/>
      <c r="V4583" s="1"/>
      <c r="AB4583" s="1"/>
      <c r="AF4583" s="1"/>
      <c r="AJ4583" s="1"/>
      <c r="AN4583" s="1"/>
      <c r="AS4583" s="1"/>
      <c r="AX4583" s="1"/>
    </row>
    <row r="4584" spans="1:50" x14ac:dyDescent="0.3">
      <c r="A4584" s="19">
        <f t="shared" si="359"/>
        <v>52331</v>
      </c>
      <c r="B4584">
        <f t="shared" ca="1" si="355"/>
        <v>-17.163888888888888</v>
      </c>
      <c r="C4584" t="str">
        <f ca="1">IF(currency="USD",'Future et co'!D4584,IF(currency="EUR",'Future et co'!E4584,IF(currency="GBP",'Future et co'!F4584,FALSE)))</f>
        <v>RFR USD</v>
      </c>
      <c r="D4584" t="str">
        <f t="shared" ca="1" si="356"/>
        <v>RFR USD</v>
      </c>
      <c r="E4584" t="str">
        <f t="shared" ca="1" si="357"/>
        <v>RFR EUR</v>
      </c>
      <c r="F4584" t="str">
        <f t="shared" ca="1" si="358"/>
        <v>RFR GBP</v>
      </c>
      <c r="J4584" s="1"/>
      <c r="N4584" s="1"/>
      <c r="R4584" s="1"/>
      <c r="V4584" s="1"/>
      <c r="AB4584" s="1"/>
      <c r="AF4584" s="1"/>
      <c r="AJ4584" s="1"/>
      <c r="AN4584" s="1"/>
      <c r="AS4584" s="1"/>
      <c r="AX4584" s="1"/>
    </row>
    <row r="4585" spans="1:50" x14ac:dyDescent="0.3">
      <c r="A4585" s="19">
        <f t="shared" si="359"/>
        <v>52334</v>
      </c>
      <c r="B4585">
        <f t="shared" ca="1" si="355"/>
        <v>-17.172222222222221</v>
      </c>
      <c r="C4585" t="str">
        <f ca="1">IF(currency="USD",'Future et co'!D4585,IF(currency="EUR",'Future et co'!E4585,IF(currency="GBP",'Future et co'!F4585,FALSE)))</f>
        <v>RFR USD</v>
      </c>
      <c r="D4585" t="str">
        <f t="shared" ca="1" si="356"/>
        <v>RFR USD</v>
      </c>
      <c r="E4585" t="str">
        <f t="shared" ca="1" si="357"/>
        <v>RFR EUR</v>
      </c>
      <c r="F4585" t="str">
        <f t="shared" ca="1" si="358"/>
        <v>RFR GBP</v>
      </c>
      <c r="J4585" s="1"/>
      <c r="N4585" s="1"/>
      <c r="R4585" s="1"/>
      <c r="V4585" s="1"/>
      <c r="AB4585" s="1"/>
      <c r="AF4585" s="1"/>
      <c r="AJ4585" s="1"/>
      <c r="AN4585" s="1"/>
      <c r="AS4585" s="1"/>
      <c r="AX4585" s="1"/>
    </row>
    <row r="4586" spans="1:50" x14ac:dyDescent="0.3">
      <c r="A4586" s="19">
        <f t="shared" si="359"/>
        <v>52335</v>
      </c>
      <c r="B4586">
        <f t="shared" ca="1" si="355"/>
        <v>-17.175000000000001</v>
      </c>
      <c r="C4586" t="str">
        <f ca="1">IF(currency="USD",'Future et co'!D4586,IF(currency="EUR",'Future et co'!E4586,IF(currency="GBP",'Future et co'!F4586,FALSE)))</f>
        <v>RFR USD</v>
      </c>
      <c r="D4586" t="str">
        <f t="shared" ca="1" si="356"/>
        <v>RFR USD</v>
      </c>
      <c r="E4586" t="str">
        <f t="shared" ca="1" si="357"/>
        <v>RFR EUR</v>
      </c>
      <c r="F4586" t="str">
        <f t="shared" ca="1" si="358"/>
        <v>RFR GBP</v>
      </c>
      <c r="J4586" s="1"/>
      <c r="N4586" s="1"/>
      <c r="R4586" s="1"/>
      <c r="V4586" s="1"/>
      <c r="AB4586" s="1"/>
      <c r="AF4586" s="1"/>
      <c r="AJ4586" s="1"/>
      <c r="AN4586" s="1"/>
      <c r="AS4586" s="1"/>
      <c r="AX4586" s="1"/>
    </row>
    <row r="4587" spans="1:50" x14ac:dyDescent="0.3">
      <c r="A4587" s="19">
        <f t="shared" si="359"/>
        <v>52336</v>
      </c>
      <c r="B4587">
        <f t="shared" ca="1" si="355"/>
        <v>-17.177777777777777</v>
      </c>
      <c r="C4587" t="str">
        <f ca="1">IF(currency="USD",'Future et co'!D4587,IF(currency="EUR",'Future et co'!E4587,IF(currency="GBP",'Future et co'!F4587,FALSE)))</f>
        <v>RFR USD</v>
      </c>
      <c r="D4587" t="str">
        <f t="shared" ca="1" si="356"/>
        <v>RFR USD</v>
      </c>
      <c r="E4587" t="str">
        <f t="shared" ca="1" si="357"/>
        <v>RFR EUR</v>
      </c>
      <c r="F4587" t="str">
        <f t="shared" ca="1" si="358"/>
        <v>RFR GBP</v>
      </c>
      <c r="J4587" s="1"/>
      <c r="N4587" s="1"/>
      <c r="R4587" s="1"/>
      <c r="V4587" s="1"/>
      <c r="AB4587" s="1"/>
      <c r="AF4587" s="1"/>
      <c r="AJ4587" s="1"/>
      <c r="AN4587" s="1"/>
      <c r="AS4587" s="1"/>
      <c r="AX4587" s="1"/>
    </row>
    <row r="4588" spans="1:50" x14ac:dyDescent="0.3">
      <c r="A4588" s="19">
        <f t="shared" si="359"/>
        <v>52337</v>
      </c>
      <c r="B4588">
        <f t="shared" ca="1" si="355"/>
        <v>-17.180555555555557</v>
      </c>
      <c r="C4588" t="str">
        <f ca="1">IF(currency="USD",'Future et co'!D4588,IF(currency="EUR",'Future et co'!E4588,IF(currency="GBP",'Future et co'!F4588,FALSE)))</f>
        <v>RFR USD</v>
      </c>
      <c r="D4588" t="str">
        <f t="shared" ca="1" si="356"/>
        <v>RFR USD</v>
      </c>
      <c r="E4588" t="str">
        <f t="shared" ca="1" si="357"/>
        <v>RFR EUR</v>
      </c>
      <c r="F4588" t="str">
        <f t="shared" ca="1" si="358"/>
        <v>RFR GBP</v>
      </c>
      <c r="J4588" s="1"/>
      <c r="N4588" s="1"/>
      <c r="R4588" s="1"/>
      <c r="V4588" s="1"/>
      <c r="AB4588" s="1"/>
      <c r="AF4588" s="1"/>
      <c r="AJ4588" s="1"/>
      <c r="AN4588" s="1"/>
      <c r="AS4588" s="1"/>
      <c r="AX4588" s="1"/>
    </row>
    <row r="4589" spans="1:50" x14ac:dyDescent="0.3">
      <c r="A4589" s="19">
        <f t="shared" si="359"/>
        <v>52338</v>
      </c>
      <c r="B4589">
        <f t="shared" ca="1" si="355"/>
        <v>-17.183333333333334</v>
      </c>
      <c r="C4589" t="str">
        <f ca="1">IF(currency="USD",'Future et co'!D4589,IF(currency="EUR",'Future et co'!E4589,IF(currency="GBP",'Future et co'!F4589,FALSE)))</f>
        <v>RFR USD</v>
      </c>
      <c r="D4589" t="str">
        <f t="shared" ca="1" si="356"/>
        <v>RFR USD</v>
      </c>
      <c r="E4589" t="str">
        <f t="shared" ca="1" si="357"/>
        <v>RFR EUR</v>
      </c>
      <c r="F4589" t="str">
        <f t="shared" ca="1" si="358"/>
        <v>RFR GBP</v>
      </c>
      <c r="J4589" s="1"/>
      <c r="N4589" s="1"/>
      <c r="R4589" s="1"/>
      <c r="V4589" s="1"/>
      <c r="AB4589" s="1"/>
      <c r="AF4589" s="1"/>
      <c r="AJ4589" s="1"/>
      <c r="AN4589" s="1"/>
      <c r="AS4589" s="1"/>
      <c r="AX4589" s="1"/>
    </row>
    <row r="4590" spans="1:50" x14ac:dyDescent="0.3">
      <c r="A4590" s="19">
        <f t="shared" si="359"/>
        <v>52341</v>
      </c>
      <c r="B4590">
        <f t="shared" ca="1" si="355"/>
        <v>-17.191666666666666</v>
      </c>
      <c r="C4590" t="str">
        <f ca="1">IF(currency="USD",'Future et co'!D4590,IF(currency="EUR",'Future et co'!E4590,IF(currency="GBP",'Future et co'!F4590,FALSE)))</f>
        <v>RFR USD</v>
      </c>
      <c r="D4590" t="str">
        <f t="shared" ca="1" si="356"/>
        <v>RFR USD</v>
      </c>
      <c r="E4590" t="str">
        <f t="shared" ca="1" si="357"/>
        <v>RFR EUR</v>
      </c>
      <c r="F4590" t="str">
        <f t="shared" ca="1" si="358"/>
        <v>RFR GBP</v>
      </c>
      <c r="J4590" s="1"/>
      <c r="N4590" s="1"/>
      <c r="R4590" s="1"/>
      <c r="V4590" s="1"/>
      <c r="AB4590" s="1"/>
      <c r="AF4590" s="1"/>
      <c r="AJ4590" s="1"/>
      <c r="AN4590" s="1"/>
      <c r="AS4590" s="1"/>
      <c r="AX4590" s="1"/>
    </row>
    <row r="4591" spans="1:50" x14ac:dyDescent="0.3">
      <c r="A4591" s="19">
        <f t="shared" si="359"/>
        <v>52342</v>
      </c>
      <c r="B4591">
        <f t="shared" ca="1" si="355"/>
        <v>-17.194444444444443</v>
      </c>
      <c r="C4591" t="str">
        <f ca="1">IF(currency="USD",'Future et co'!D4591,IF(currency="EUR",'Future et co'!E4591,IF(currency="GBP",'Future et co'!F4591,FALSE)))</f>
        <v>RFR USD</v>
      </c>
      <c r="D4591" t="str">
        <f t="shared" ca="1" si="356"/>
        <v>RFR USD</v>
      </c>
      <c r="E4591" t="str">
        <f t="shared" ca="1" si="357"/>
        <v>RFR EUR</v>
      </c>
      <c r="F4591" t="str">
        <f t="shared" ca="1" si="358"/>
        <v>RFR GBP</v>
      </c>
      <c r="J4591" s="1"/>
      <c r="N4591" s="1"/>
      <c r="R4591" s="1"/>
      <c r="V4591" s="1"/>
      <c r="AB4591" s="1"/>
      <c r="AF4591" s="1"/>
      <c r="AJ4591" s="1"/>
      <c r="AN4591" s="1"/>
      <c r="AS4591" s="1"/>
      <c r="AX4591" s="1"/>
    </row>
    <row r="4592" spans="1:50" x14ac:dyDescent="0.3">
      <c r="A4592" s="19">
        <f t="shared" si="359"/>
        <v>52343</v>
      </c>
      <c r="B4592">
        <f t="shared" ca="1" si="355"/>
        <v>-17.197222222222223</v>
      </c>
      <c r="C4592" t="str">
        <f ca="1">IF(currency="USD",'Future et co'!D4592,IF(currency="EUR",'Future et co'!E4592,IF(currency="GBP",'Future et co'!F4592,FALSE)))</f>
        <v>RFR USD</v>
      </c>
      <c r="D4592" t="str">
        <f t="shared" ca="1" si="356"/>
        <v>RFR USD</v>
      </c>
      <c r="E4592" t="str">
        <f t="shared" ca="1" si="357"/>
        <v>RFR EUR</v>
      </c>
      <c r="F4592" t="str">
        <f t="shared" ca="1" si="358"/>
        <v>RFR GBP</v>
      </c>
      <c r="J4592" s="1"/>
      <c r="N4592" s="1"/>
      <c r="R4592" s="1"/>
      <c r="V4592" s="1"/>
      <c r="AB4592" s="1"/>
      <c r="AF4592" s="1"/>
      <c r="AJ4592" s="1"/>
      <c r="AN4592" s="1"/>
      <c r="AS4592" s="1"/>
      <c r="AX4592" s="1"/>
    </row>
    <row r="4593" spans="1:50" x14ac:dyDescent="0.3">
      <c r="A4593" s="19">
        <f t="shared" si="359"/>
        <v>52344</v>
      </c>
      <c r="B4593">
        <f t="shared" ca="1" si="355"/>
        <v>-17.2</v>
      </c>
      <c r="C4593" t="str">
        <f ca="1">IF(currency="USD",'Future et co'!D4593,IF(currency="EUR",'Future et co'!E4593,IF(currency="GBP",'Future et co'!F4593,FALSE)))</f>
        <v>RFR USD</v>
      </c>
      <c r="D4593" t="str">
        <f t="shared" ca="1" si="356"/>
        <v>RFR USD</v>
      </c>
      <c r="E4593" t="str">
        <f t="shared" ca="1" si="357"/>
        <v>RFR EUR</v>
      </c>
      <c r="F4593" t="str">
        <f t="shared" ca="1" si="358"/>
        <v>RFR GBP</v>
      </c>
      <c r="J4593" s="1"/>
      <c r="N4593" s="1"/>
      <c r="R4593" s="1"/>
      <c r="V4593" s="1"/>
      <c r="AB4593" s="1"/>
      <c r="AF4593" s="1"/>
      <c r="AJ4593" s="1"/>
      <c r="AN4593" s="1"/>
      <c r="AS4593" s="1"/>
      <c r="AX4593" s="1"/>
    </row>
    <row r="4594" spans="1:50" x14ac:dyDescent="0.3">
      <c r="A4594" s="19">
        <f t="shared" si="359"/>
        <v>52345</v>
      </c>
      <c r="B4594">
        <f t="shared" ca="1" si="355"/>
        <v>-17.202777777777779</v>
      </c>
      <c r="C4594" t="str">
        <f ca="1">IF(currency="USD",'Future et co'!D4594,IF(currency="EUR",'Future et co'!E4594,IF(currency="GBP",'Future et co'!F4594,FALSE)))</f>
        <v>RFR USD</v>
      </c>
      <c r="D4594" t="str">
        <f t="shared" ca="1" si="356"/>
        <v>RFR USD</v>
      </c>
      <c r="E4594" t="str">
        <f t="shared" ca="1" si="357"/>
        <v>RFR EUR</v>
      </c>
      <c r="F4594" t="str">
        <f t="shared" ca="1" si="358"/>
        <v>RFR GBP</v>
      </c>
      <c r="J4594" s="1"/>
      <c r="N4594" s="1"/>
      <c r="R4594" s="1"/>
      <c r="V4594" s="1"/>
      <c r="AB4594" s="1"/>
      <c r="AF4594" s="1"/>
      <c r="AJ4594" s="1"/>
      <c r="AN4594" s="1"/>
      <c r="AS4594" s="1"/>
      <c r="AX4594" s="1"/>
    </row>
    <row r="4595" spans="1:50" x14ac:dyDescent="0.3">
      <c r="A4595" s="19">
        <f t="shared" si="359"/>
        <v>52348</v>
      </c>
      <c r="B4595">
        <f t="shared" ca="1" si="355"/>
        <v>-17.211111111111112</v>
      </c>
      <c r="C4595" t="str">
        <f ca="1">IF(currency="USD",'Future et co'!D4595,IF(currency="EUR",'Future et co'!E4595,IF(currency="GBP",'Future et co'!F4595,FALSE)))</f>
        <v>RFR USD</v>
      </c>
      <c r="D4595" t="str">
        <f t="shared" ca="1" si="356"/>
        <v>RFR USD</v>
      </c>
      <c r="E4595" t="str">
        <f t="shared" ca="1" si="357"/>
        <v>RFR EUR</v>
      </c>
      <c r="F4595" t="str">
        <f t="shared" ca="1" si="358"/>
        <v>RFR GBP</v>
      </c>
      <c r="J4595" s="1"/>
      <c r="N4595" s="1"/>
      <c r="R4595" s="1"/>
      <c r="V4595" s="1"/>
      <c r="AB4595" s="1"/>
      <c r="AF4595" s="1"/>
      <c r="AJ4595" s="1"/>
      <c r="AN4595" s="1"/>
      <c r="AS4595" s="1"/>
      <c r="AX4595" s="1"/>
    </row>
    <row r="4596" spans="1:50" x14ac:dyDescent="0.3">
      <c r="A4596" s="19">
        <f t="shared" si="359"/>
        <v>52349</v>
      </c>
      <c r="B4596">
        <f t="shared" ca="1" si="355"/>
        <v>-17.213888888888889</v>
      </c>
      <c r="C4596" t="str">
        <f ca="1">IF(currency="USD",'Future et co'!D4596,IF(currency="EUR",'Future et co'!E4596,IF(currency="GBP",'Future et co'!F4596,FALSE)))</f>
        <v>RFR USD</v>
      </c>
      <c r="D4596" t="str">
        <f t="shared" ca="1" si="356"/>
        <v>RFR USD</v>
      </c>
      <c r="E4596" t="str">
        <f t="shared" ca="1" si="357"/>
        <v>RFR EUR</v>
      </c>
      <c r="F4596" t="str">
        <f t="shared" ca="1" si="358"/>
        <v>RFR GBP</v>
      </c>
      <c r="J4596" s="1"/>
      <c r="N4596" s="1"/>
      <c r="R4596" s="1"/>
      <c r="V4596" s="1"/>
      <c r="AB4596" s="1"/>
      <c r="AF4596" s="1"/>
      <c r="AJ4596" s="1"/>
      <c r="AN4596" s="1"/>
      <c r="AS4596" s="1"/>
      <c r="AX4596" s="1"/>
    </row>
    <row r="4597" spans="1:50" x14ac:dyDescent="0.3">
      <c r="A4597" s="19">
        <f t="shared" si="359"/>
        <v>52350</v>
      </c>
      <c r="B4597">
        <f t="shared" ca="1" si="355"/>
        <v>-17.216666666666665</v>
      </c>
      <c r="C4597" t="str">
        <f ca="1">IF(currency="USD",'Future et co'!D4597,IF(currency="EUR",'Future et co'!E4597,IF(currency="GBP",'Future et co'!F4597,FALSE)))</f>
        <v>RFR USD</v>
      </c>
      <c r="D4597" t="str">
        <f t="shared" ca="1" si="356"/>
        <v>RFR USD</v>
      </c>
      <c r="E4597" t="str">
        <f t="shared" ca="1" si="357"/>
        <v>RFR EUR</v>
      </c>
      <c r="F4597" t="str">
        <f t="shared" ca="1" si="358"/>
        <v>RFR GBP</v>
      </c>
      <c r="J4597" s="1"/>
      <c r="N4597" s="1"/>
      <c r="R4597" s="1"/>
      <c r="V4597" s="1"/>
      <c r="AB4597" s="1"/>
      <c r="AF4597" s="1"/>
      <c r="AJ4597" s="1"/>
      <c r="AN4597" s="1"/>
      <c r="AS4597" s="1"/>
      <c r="AX4597" s="1"/>
    </row>
    <row r="4598" spans="1:50" x14ac:dyDescent="0.3">
      <c r="A4598" s="19">
        <f t="shared" si="359"/>
        <v>52351</v>
      </c>
      <c r="B4598">
        <f t="shared" ca="1" si="355"/>
        <v>-17.219444444444445</v>
      </c>
      <c r="C4598" t="str">
        <f ca="1">IF(currency="USD",'Future et co'!D4598,IF(currency="EUR",'Future et co'!E4598,IF(currency="GBP",'Future et co'!F4598,FALSE)))</f>
        <v>RFR USD</v>
      </c>
      <c r="D4598" t="str">
        <f t="shared" ca="1" si="356"/>
        <v>RFR USD</v>
      </c>
      <c r="E4598" t="str">
        <f t="shared" ca="1" si="357"/>
        <v>RFR EUR</v>
      </c>
      <c r="F4598" t="str">
        <f t="shared" ca="1" si="358"/>
        <v>RFR GBP</v>
      </c>
      <c r="J4598" s="1"/>
      <c r="N4598" s="1"/>
      <c r="R4598" s="1"/>
      <c r="V4598" s="1"/>
      <c r="AB4598" s="1"/>
      <c r="AF4598" s="1"/>
      <c r="AJ4598" s="1"/>
      <c r="AN4598" s="1"/>
      <c r="AS4598" s="1"/>
      <c r="AX4598" s="1"/>
    </row>
    <row r="4599" spans="1:50" x14ac:dyDescent="0.3">
      <c r="A4599" s="19">
        <f t="shared" si="359"/>
        <v>52352</v>
      </c>
      <c r="B4599">
        <f t="shared" ca="1" si="355"/>
        <v>-17.222222222222221</v>
      </c>
      <c r="C4599" t="str">
        <f ca="1">IF(currency="USD",'Future et co'!D4599,IF(currency="EUR",'Future et co'!E4599,IF(currency="GBP",'Future et co'!F4599,FALSE)))</f>
        <v>RFR USD</v>
      </c>
      <c r="D4599" t="str">
        <f t="shared" ca="1" si="356"/>
        <v>RFR USD</v>
      </c>
      <c r="E4599" t="str">
        <f t="shared" ca="1" si="357"/>
        <v>RFR EUR</v>
      </c>
      <c r="F4599" t="str">
        <f t="shared" ca="1" si="358"/>
        <v>RFR GBP</v>
      </c>
      <c r="J4599" s="1"/>
      <c r="N4599" s="1"/>
      <c r="R4599" s="1"/>
      <c r="V4599" s="1"/>
      <c r="AB4599" s="1"/>
      <c r="AF4599" s="1"/>
      <c r="AJ4599" s="1"/>
      <c r="AN4599" s="1"/>
      <c r="AS4599" s="1"/>
      <c r="AX4599" s="1"/>
    </row>
    <row r="4600" spans="1:50" x14ac:dyDescent="0.3">
      <c r="A4600" s="19">
        <f t="shared" si="359"/>
        <v>52355</v>
      </c>
      <c r="B4600">
        <f t="shared" ca="1" si="355"/>
        <v>-17.230555555555554</v>
      </c>
      <c r="C4600" t="str">
        <f ca="1">IF(currency="USD",'Future et co'!D4600,IF(currency="EUR",'Future et co'!E4600,IF(currency="GBP",'Future et co'!F4600,FALSE)))</f>
        <v>RFR USD</v>
      </c>
      <c r="D4600" t="str">
        <f t="shared" ca="1" si="356"/>
        <v>RFR USD</v>
      </c>
      <c r="E4600" t="str">
        <f t="shared" ca="1" si="357"/>
        <v>RFR EUR</v>
      </c>
      <c r="F4600" t="str">
        <f t="shared" ca="1" si="358"/>
        <v>RFR GBP</v>
      </c>
      <c r="J4600" s="1"/>
      <c r="N4600" s="1"/>
      <c r="R4600" s="1"/>
      <c r="V4600" s="1"/>
      <c r="AB4600" s="1"/>
      <c r="AF4600" s="1"/>
      <c r="AJ4600" s="1"/>
      <c r="AN4600" s="1"/>
      <c r="AS4600" s="1"/>
      <c r="AX4600" s="1"/>
    </row>
    <row r="4601" spans="1:50" x14ac:dyDescent="0.3">
      <c r="A4601" s="19">
        <f t="shared" si="359"/>
        <v>52356</v>
      </c>
      <c r="B4601">
        <f t="shared" ca="1" si="355"/>
        <v>-17.233333333333334</v>
      </c>
      <c r="C4601" t="str">
        <f ca="1">IF(currency="USD",'Future et co'!D4601,IF(currency="EUR",'Future et co'!E4601,IF(currency="GBP",'Future et co'!F4601,FALSE)))</f>
        <v>RFR USD</v>
      </c>
      <c r="D4601" t="str">
        <f t="shared" ca="1" si="356"/>
        <v>RFR USD</v>
      </c>
      <c r="E4601" t="str">
        <f t="shared" ca="1" si="357"/>
        <v>RFR EUR</v>
      </c>
      <c r="F4601" t="str">
        <f t="shared" ca="1" si="358"/>
        <v>RFR GBP</v>
      </c>
      <c r="J4601" s="1"/>
      <c r="N4601" s="1"/>
      <c r="R4601" s="1"/>
      <c r="V4601" s="1"/>
      <c r="AB4601" s="1"/>
      <c r="AF4601" s="1"/>
      <c r="AJ4601" s="1"/>
      <c r="AN4601" s="1"/>
      <c r="AS4601" s="1"/>
      <c r="AX4601" s="1"/>
    </row>
    <row r="4602" spans="1:50" x14ac:dyDescent="0.3">
      <c r="A4602" s="19">
        <f t="shared" si="359"/>
        <v>52357</v>
      </c>
      <c r="B4602">
        <f t="shared" ca="1" si="355"/>
        <v>-17.236111111111111</v>
      </c>
      <c r="C4602" t="str">
        <f ca="1">IF(currency="USD",'Future et co'!D4602,IF(currency="EUR",'Future et co'!E4602,IF(currency="GBP",'Future et co'!F4602,FALSE)))</f>
        <v>RFR USD</v>
      </c>
      <c r="D4602" t="str">
        <f t="shared" ca="1" si="356"/>
        <v>RFR USD</v>
      </c>
      <c r="E4602" t="str">
        <f t="shared" ca="1" si="357"/>
        <v>RFR EUR</v>
      </c>
      <c r="F4602" t="str">
        <f t="shared" ca="1" si="358"/>
        <v>RFR GBP</v>
      </c>
      <c r="J4602" s="1"/>
      <c r="N4602" s="1"/>
      <c r="R4602" s="1"/>
      <c r="V4602" s="1"/>
      <c r="AB4602" s="1"/>
      <c r="AF4602" s="1"/>
      <c r="AJ4602" s="1"/>
      <c r="AN4602" s="1"/>
      <c r="AS4602" s="1"/>
      <c r="AX4602" s="1"/>
    </row>
    <row r="4603" spans="1:50" x14ac:dyDescent="0.3">
      <c r="A4603" s="19">
        <f t="shared" si="359"/>
        <v>52358</v>
      </c>
      <c r="B4603">
        <f t="shared" ca="1" si="355"/>
        <v>-17.238888888888887</v>
      </c>
      <c r="C4603" t="str">
        <f ca="1">IF(currency="USD",'Future et co'!D4603,IF(currency="EUR",'Future et co'!E4603,IF(currency="GBP",'Future et co'!F4603,FALSE)))</f>
        <v>RFR USD</v>
      </c>
      <c r="D4603" t="str">
        <f t="shared" ca="1" si="356"/>
        <v>RFR USD</v>
      </c>
      <c r="E4603" t="str">
        <f t="shared" ca="1" si="357"/>
        <v>RFR EUR</v>
      </c>
      <c r="F4603" t="str">
        <f t="shared" ca="1" si="358"/>
        <v>RFR GBP</v>
      </c>
      <c r="J4603" s="1"/>
      <c r="N4603" s="1"/>
      <c r="R4603" s="1"/>
      <c r="V4603" s="1"/>
      <c r="AB4603" s="1"/>
      <c r="AF4603" s="1"/>
      <c r="AJ4603" s="1"/>
      <c r="AN4603" s="1"/>
      <c r="AS4603" s="1"/>
      <c r="AX4603" s="1"/>
    </row>
    <row r="4604" spans="1:50" x14ac:dyDescent="0.3">
      <c r="A4604" s="19">
        <f t="shared" si="359"/>
        <v>52359</v>
      </c>
      <c r="B4604">
        <f t="shared" ca="1" si="355"/>
        <v>-17.241666666666667</v>
      </c>
      <c r="C4604" t="str">
        <f ca="1">IF(currency="USD",'Future et co'!D4604,IF(currency="EUR",'Future et co'!E4604,IF(currency="GBP",'Future et co'!F4604,FALSE)))</f>
        <v>RFR USD</v>
      </c>
      <c r="D4604" t="str">
        <f t="shared" ca="1" si="356"/>
        <v>RFR USD</v>
      </c>
      <c r="E4604" t="str">
        <f t="shared" ca="1" si="357"/>
        <v>RFR EUR</v>
      </c>
      <c r="F4604" t="str">
        <f t="shared" ca="1" si="358"/>
        <v>RFR GBP</v>
      </c>
      <c r="J4604" s="1"/>
      <c r="N4604" s="1"/>
      <c r="R4604" s="1"/>
      <c r="V4604" s="1"/>
      <c r="AB4604" s="1"/>
      <c r="AF4604" s="1"/>
      <c r="AJ4604" s="1"/>
      <c r="AN4604" s="1"/>
      <c r="AS4604" s="1"/>
      <c r="AX4604" s="1"/>
    </row>
    <row r="4605" spans="1:50" x14ac:dyDescent="0.3">
      <c r="A4605" s="19">
        <f t="shared" si="359"/>
        <v>52362</v>
      </c>
      <c r="B4605">
        <f t="shared" ca="1" si="355"/>
        <v>-17.25</v>
      </c>
      <c r="C4605" t="str">
        <f ca="1">IF(currency="USD",'Future et co'!D4605,IF(currency="EUR",'Future et co'!E4605,IF(currency="GBP",'Future et co'!F4605,FALSE)))</f>
        <v>RFR USD</v>
      </c>
      <c r="D4605" t="str">
        <f t="shared" ca="1" si="356"/>
        <v>RFR USD</v>
      </c>
      <c r="E4605" t="str">
        <f t="shared" ca="1" si="357"/>
        <v>RFR EUR</v>
      </c>
      <c r="F4605" t="str">
        <f t="shared" ca="1" si="358"/>
        <v>RFR GBP</v>
      </c>
      <c r="J4605" s="1"/>
      <c r="N4605" s="1"/>
      <c r="R4605" s="1"/>
      <c r="V4605" s="1"/>
      <c r="AB4605" s="1"/>
      <c r="AF4605" s="1"/>
      <c r="AJ4605" s="1"/>
      <c r="AN4605" s="1"/>
      <c r="AS4605" s="1"/>
      <c r="AX4605" s="1"/>
    </row>
    <row r="4606" spans="1:50" x14ac:dyDescent="0.3">
      <c r="A4606" s="19">
        <f t="shared" si="359"/>
        <v>52363</v>
      </c>
      <c r="B4606">
        <f t="shared" ca="1" si="355"/>
        <v>-17.252777777777776</v>
      </c>
      <c r="C4606" t="str">
        <f ca="1">IF(currency="USD",'Future et co'!D4606,IF(currency="EUR",'Future et co'!E4606,IF(currency="GBP",'Future et co'!F4606,FALSE)))</f>
        <v>RFR USD</v>
      </c>
      <c r="D4606" t="str">
        <f t="shared" ca="1" si="356"/>
        <v>RFR USD</v>
      </c>
      <c r="E4606" t="str">
        <f t="shared" ca="1" si="357"/>
        <v>RFR EUR</v>
      </c>
      <c r="F4606" t="str">
        <f t="shared" ca="1" si="358"/>
        <v>RFR GBP</v>
      </c>
      <c r="J4606" s="1"/>
      <c r="N4606" s="1"/>
      <c r="R4606" s="1"/>
      <c r="V4606" s="1"/>
      <c r="AB4606" s="1"/>
      <c r="AF4606" s="1"/>
      <c r="AJ4606" s="1"/>
      <c r="AN4606" s="1"/>
      <c r="AS4606" s="1"/>
      <c r="AX4606" s="1"/>
    </row>
    <row r="4607" spans="1:50" x14ac:dyDescent="0.3">
      <c r="A4607" s="19">
        <f t="shared" si="359"/>
        <v>52364</v>
      </c>
      <c r="B4607">
        <f t="shared" ca="1" si="355"/>
        <v>-17.255555555555556</v>
      </c>
      <c r="C4607" t="str">
        <f ca="1">IF(currency="USD",'Future et co'!D4607,IF(currency="EUR",'Future et co'!E4607,IF(currency="GBP",'Future et co'!F4607,FALSE)))</f>
        <v>RFR USD</v>
      </c>
      <c r="D4607" t="str">
        <f t="shared" ca="1" si="356"/>
        <v>RFR USD</v>
      </c>
      <c r="E4607" t="str">
        <f t="shared" ca="1" si="357"/>
        <v>RFR EUR</v>
      </c>
      <c r="F4607" t="str">
        <f t="shared" ca="1" si="358"/>
        <v>RFR GBP</v>
      </c>
      <c r="J4607" s="1"/>
      <c r="N4607" s="1"/>
      <c r="R4607" s="1"/>
      <c r="V4607" s="1"/>
      <c r="AB4607" s="1"/>
      <c r="AF4607" s="1"/>
      <c r="AJ4607" s="1"/>
      <c r="AN4607" s="1"/>
      <c r="AS4607" s="1"/>
      <c r="AX4607" s="1"/>
    </row>
    <row r="4608" spans="1:50" x14ac:dyDescent="0.3">
      <c r="A4608" s="19">
        <f t="shared" si="359"/>
        <v>52365</v>
      </c>
      <c r="B4608">
        <f t="shared" ca="1" si="355"/>
        <v>-17.258333333333333</v>
      </c>
      <c r="C4608" t="str">
        <f ca="1">IF(currency="USD",'Future et co'!D4608,IF(currency="EUR",'Future et co'!E4608,IF(currency="GBP",'Future et co'!F4608,FALSE)))</f>
        <v>RFR USD</v>
      </c>
      <c r="D4608" t="str">
        <f t="shared" ca="1" si="356"/>
        <v>RFR USD</v>
      </c>
      <c r="E4608" t="str">
        <f t="shared" ca="1" si="357"/>
        <v>RFR EUR</v>
      </c>
      <c r="F4608" t="str">
        <f t="shared" ca="1" si="358"/>
        <v>RFR GBP</v>
      </c>
      <c r="J4608" s="1"/>
      <c r="N4608" s="1"/>
      <c r="R4608" s="1"/>
      <c r="V4608" s="1"/>
      <c r="AB4608" s="1"/>
      <c r="AF4608" s="1"/>
      <c r="AJ4608" s="1"/>
      <c r="AN4608" s="1"/>
      <c r="AS4608" s="1"/>
      <c r="AX4608" s="1"/>
    </row>
    <row r="4609" spans="1:50" x14ac:dyDescent="0.3">
      <c r="A4609" s="19">
        <f t="shared" si="359"/>
        <v>52366</v>
      </c>
      <c r="B4609">
        <f t="shared" ca="1" si="355"/>
        <v>-17.261111111111113</v>
      </c>
      <c r="C4609" t="str">
        <f ca="1">IF(currency="USD",'Future et co'!D4609,IF(currency="EUR",'Future et co'!E4609,IF(currency="GBP",'Future et co'!F4609,FALSE)))</f>
        <v>RFR USD</v>
      </c>
      <c r="D4609" t="str">
        <f t="shared" ca="1" si="356"/>
        <v>RFR USD</v>
      </c>
      <c r="E4609" t="str">
        <f t="shared" ca="1" si="357"/>
        <v>RFR EUR</v>
      </c>
      <c r="F4609" t="str">
        <f t="shared" ca="1" si="358"/>
        <v>RFR GBP</v>
      </c>
      <c r="J4609" s="1"/>
      <c r="N4609" s="1"/>
      <c r="R4609" s="1"/>
      <c r="V4609" s="1"/>
      <c r="AB4609" s="1"/>
      <c r="AF4609" s="1"/>
      <c r="AJ4609" s="1"/>
      <c r="AN4609" s="1"/>
      <c r="AS4609" s="1"/>
      <c r="AX4609" s="1"/>
    </row>
    <row r="4610" spans="1:50" x14ac:dyDescent="0.3">
      <c r="A4610" s="19">
        <f t="shared" si="359"/>
        <v>52369</v>
      </c>
      <c r="B4610">
        <f t="shared" ca="1" si="355"/>
        <v>-17.269444444444446</v>
      </c>
      <c r="C4610" t="str">
        <f ca="1">IF(currency="USD",'Future et co'!D4610,IF(currency="EUR",'Future et co'!E4610,IF(currency="GBP",'Future et co'!F4610,FALSE)))</f>
        <v>RFR USD</v>
      </c>
      <c r="D4610" t="str">
        <f t="shared" ca="1" si="356"/>
        <v>RFR USD</v>
      </c>
      <c r="E4610" t="str">
        <f t="shared" ca="1" si="357"/>
        <v>RFR EUR</v>
      </c>
      <c r="F4610" t="str">
        <f t="shared" ca="1" si="358"/>
        <v>RFR GBP</v>
      </c>
      <c r="J4610" s="1"/>
      <c r="N4610" s="1"/>
      <c r="R4610" s="1"/>
      <c r="V4610" s="1"/>
      <c r="AB4610" s="1"/>
      <c r="AF4610" s="1"/>
      <c r="AJ4610" s="1"/>
      <c r="AN4610" s="1"/>
      <c r="AS4610" s="1"/>
      <c r="AX4610" s="1"/>
    </row>
    <row r="4611" spans="1:50" x14ac:dyDescent="0.3">
      <c r="A4611" s="19">
        <f t="shared" si="359"/>
        <v>52370</v>
      </c>
      <c r="B4611">
        <f t="shared" ca="1" si="355"/>
        <v>-17.272222222222222</v>
      </c>
      <c r="C4611" t="str">
        <f ca="1">IF(currency="USD",'Future et co'!D4611,IF(currency="EUR",'Future et co'!E4611,IF(currency="GBP",'Future et co'!F4611,FALSE)))</f>
        <v>RFR USD</v>
      </c>
      <c r="D4611" t="str">
        <f t="shared" ca="1" si="356"/>
        <v>RFR USD</v>
      </c>
      <c r="E4611" t="str">
        <f t="shared" ca="1" si="357"/>
        <v>RFR EUR</v>
      </c>
      <c r="F4611" t="str">
        <f t="shared" ca="1" si="358"/>
        <v>RFR GBP</v>
      </c>
      <c r="J4611" s="1"/>
      <c r="N4611" s="1"/>
      <c r="R4611" s="1"/>
      <c r="V4611" s="1"/>
      <c r="AB4611" s="1"/>
      <c r="AF4611" s="1"/>
      <c r="AJ4611" s="1"/>
      <c r="AN4611" s="1"/>
      <c r="AS4611" s="1"/>
      <c r="AX4611" s="1"/>
    </row>
    <row r="4612" spans="1:50" x14ac:dyDescent="0.3">
      <c r="A4612" s="19">
        <f t="shared" si="359"/>
        <v>52371</v>
      </c>
      <c r="B4612">
        <f t="shared" ca="1" si="355"/>
        <v>-17.274999999999999</v>
      </c>
      <c r="C4612" t="str">
        <f ca="1">IF(currency="USD",'Future et co'!D4612,IF(currency="EUR",'Future et co'!E4612,IF(currency="GBP",'Future et co'!F4612,FALSE)))</f>
        <v>RFR USD</v>
      </c>
      <c r="D4612" t="str">
        <f t="shared" ca="1" si="356"/>
        <v>RFR USD</v>
      </c>
      <c r="E4612" t="str">
        <f t="shared" ca="1" si="357"/>
        <v>RFR EUR</v>
      </c>
      <c r="F4612" t="str">
        <f t="shared" ca="1" si="358"/>
        <v>RFR GBP</v>
      </c>
      <c r="J4612" s="1"/>
      <c r="N4612" s="1"/>
      <c r="R4612" s="1"/>
      <c r="V4612" s="1"/>
      <c r="AB4612" s="1"/>
      <c r="AF4612" s="1"/>
      <c r="AJ4612" s="1"/>
      <c r="AN4612" s="1"/>
      <c r="AS4612" s="1"/>
      <c r="AX4612" s="1"/>
    </row>
    <row r="4613" spans="1:50" x14ac:dyDescent="0.3">
      <c r="A4613" s="19">
        <f t="shared" si="359"/>
        <v>52372</v>
      </c>
      <c r="B4613">
        <f t="shared" ca="1" si="355"/>
        <v>-17.277777777777779</v>
      </c>
      <c r="C4613" t="str">
        <f ca="1">IF(currency="USD",'Future et co'!D4613,IF(currency="EUR",'Future et co'!E4613,IF(currency="GBP",'Future et co'!F4613,FALSE)))</f>
        <v>RFR USD</v>
      </c>
      <c r="D4613" t="str">
        <f t="shared" ca="1" si="356"/>
        <v>RFR USD</v>
      </c>
      <c r="E4613" t="str">
        <f t="shared" ca="1" si="357"/>
        <v>RFR EUR</v>
      </c>
      <c r="F4613" t="str">
        <f t="shared" ca="1" si="358"/>
        <v>RFR GBP</v>
      </c>
      <c r="J4613" s="1"/>
      <c r="N4613" s="1"/>
      <c r="R4613" s="1"/>
      <c r="V4613" s="1"/>
      <c r="AB4613" s="1"/>
      <c r="AF4613" s="1"/>
      <c r="AJ4613" s="1"/>
      <c r="AN4613" s="1"/>
      <c r="AS4613" s="1"/>
      <c r="AX4613" s="1"/>
    </row>
    <row r="4614" spans="1:50" x14ac:dyDescent="0.3">
      <c r="A4614" s="19">
        <f t="shared" si="359"/>
        <v>52373</v>
      </c>
      <c r="B4614">
        <f t="shared" ca="1" si="355"/>
        <v>-17.280555555555555</v>
      </c>
      <c r="C4614" t="str">
        <f ca="1">IF(currency="USD",'Future et co'!D4614,IF(currency="EUR",'Future et co'!E4614,IF(currency="GBP",'Future et co'!F4614,FALSE)))</f>
        <v>RFR USD</v>
      </c>
      <c r="D4614" t="str">
        <f t="shared" ca="1" si="356"/>
        <v>RFR USD</v>
      </c>
      <c r="E4614" t="str">
        <f t="shared" ca="1" si="357"/>
        <v>RFR EUR</v>
      </c>
      <c r="F4614" t="str">
        <f t="shared" ca="1" si="358"/>
        <v>RFR GBP</v>
      </c>
      <c r="J4614" s="1"/>
      <c r="N4614" s="1"/>
      <c r="R4614" s="1"/>
      <c r="V4614" s="1"/>
      <c r="AB4614" s="1"/>
      <c r="AF4614" s="1"/>
      <c r="AJ4614" s="1"/>
      <c r="AN4614" s="1"/>
      <c r="AS4614" s="1"/>
      <c r="AX4614" s="1"/>
    </row>
    <row r="4615" spans="1:50" x14ac:dyDescent="0.3">
      <c r="A4615" s="19">
        <f t="shared" si="359"/>
        <v>52376</v>
      </c>
      <c r="B4615">
        <f t="shared" ca="1" si="355"/>
        <v>-17.288888888888888</v>
      </c>
      <c r="C4615" t="str">
        <f ca="1">IF(currency="USD",'Future et co'!D4615,IF(currency="EUR",'Future et co'!E4615,IF(currency="GBP",'Future et co'!F4615,FALSE)))</f>
        <v>RFR USD</v>
      </c>
      <c r="D4615" t="str">
        <f t="shared" ca="1" si="356"/>
        <v>RFR USD</v>
      </c>
      <c r="E4615" t="str">
        <f t="shared" ca="1" si="357"/>
        <v>RFR EUR</v>
      </c>
      <c r="F4615" t="str">
        <f t="shared" ca="1" si="358"/>
        <v>RFR GBP</v>
      </c>
      <c r="J4615" s="1"/>
      <c r="N4615" s="1"/>
      <c r="R4615" s="1"/>
      <c r="V4615" s="1"/>
      <c r="AB4615" s="1"/>
      <c r="AF4615" s="1"/>
      <c r="AJ4615" s="1"/>
      <c r="AN4615" s="1"/>
      <c r="AS4615" s="1"/>
      <c r="AX4615" s="1"/>
    </row>
    <row r="4616" spans="1:50" x14ac:dyDescent="0.3">
      <c r="A4616" s="19">
        <f t="shared" si="359"/>
        <v>52377</v>
      </c>
      <c r="B4616">
        <f t="shared" ca="1" si="355"/>
        <v>-17.291666666666668</v>
      </c>
      <c r="C4616" t="str">
        <f ca="1">IF(currency="USD",'Future et co'!D4616,IF(currency="EUR",'Future et co'!E4616,IF(currency="GBP",'Future et co'!F4616,FALSE)))</f>
        <v>RFR USD</v>
      </c>
      <c r="D4616" t="str">
        <f t="shared" ca="1" si="356"/>
        <v>RFR USD</v>
      </c>
      <c r="E4616" t="str">
        <f t="shared" ca="1" si="357"/>
        <v>RFR EUR</v>
      </c>
      <c r="F4616" t="str">
        <f t="shared" ca="1" si="358"/>
        <v>RFR GBP</v>
      </c>
      <c r="J4616" s="1"/>
      <c r="N4616" s="1"/>
      <c r="R4616" s="1"/>
      <c r="V4616" s="1"/>
      <c r="AB4616" s="1"/>
      <c r="AF4616" s="1"/>
      <c r="AJ4616" s="1"/>
      <c r="AN4616" s="1"/>
      <c r="AS4616" s="1"/>
      <c r="AX4616" s="1"/>
    </row>
    <row r="4617" spans="1:50" x14ac:dyDescent="0.3">
      <c r="A4617" s="19">
        <f t="shared" si="359"/>
        <v>52378</v>
      </c>
      <c r="B4617">
        <f t="shared" ca="1" si="355"/>
        <v>-17.294444444444444</v>
      </c>
      <c r="C4617" t="str">
        <f ca="1">IF(currency="USD",'Future et co'!D4617,IF(currency="EUR",'Future et co'!E4617,IF(currency="GBP",'Future et co'!F4617,FALSE)))</f>
        <v>RFR USD</v>
      </c>
      <c r="D4617" t="str">
        <f t="shared" ca="1" si="356"/>
        <v>RFR USD</v>
      </c>
      <c r="E4617" t="str">
        <f t="shared" ca="1" si="357"/>
        <v>RFR EUR</v>
      </c>
      <c r="F4617" t="str">
        <f t="shared" ca="1" si="358"/>
        <v>RFR GBP</v>
      </c>
      <c r="J4617" s="1"/>
      <c r="N4617" s="1"/>
      <c r="R4617" s="1"/>
      <c r="V4617" s="1"/>
      <c r="AB4617" s="1"/>
      <c r="AF4617" s="1"/>
      <c r="AJ4617" s="1"/>
      <c r="AN4617" s="1"/>
      <c r="AS4617" s="1"/>
      <c r="AX4617" s="1"/>
    </row>
    <row r="4618" spans="1:50" x14ac:dyDescent="0.3">
      <c r="A4618" s="19">
        <f t="shared" si="359"/>
        <v>52379</v>
      </c>
      <c r="B4618">
        <f t="shared" ca="1" si="355"/>
        <v>-17.297222222222221</v>
      </c>
      <c r="C4618" t="str">
        <f ca="1">IF(currency="USD",'Future et co'!D4618,IF(currency="EUR",'Future et co'!E4618,IF(currency="GBP",'Future et co'!F4618,FALSE)))</f>
        <v>RFR USD</v>
      </c>
      <c r="D4618" t="str">
        <f t="shared" ca="1" si="356"/>
        <v>RFR USD</v>
      </c>
      <c r="E4618" t="str">
        <f t="shared" ca="1" si="357"/>
        <v>RFR EUR</v>
      </c>
      <c r="F4618" t="str">
        <f t="shared" ca="1" si="358"/>
        <v>RFR GBP</v>
      </c>
      <c r="J4618" s="1"/>
      <c r="N4618" s="1"/>
      <c r="R4618" s="1"/>
      <c r="V4618" s="1"/>
      <c r="AB4618" s="1"/>
      <c r="AF4618" s="1"/>
      <c r="AJ4618" s="1"/>
      <c r="AN4618" s="1"/>
      <c r="AS4618" s="1"/>
      <c r="AX4618" s="1"/>
    </row>
    <row r="4619" spans="1:50" x14ac:dyDescent="0.3">
      <c r="A4619" s="19">
        <f t="shared" si="359"/>
        <v>52380</v>
      </c>
      <c r="B4619">
        <f t="shared" ref="B4619:B4682" ca="1" si="360">($B$7-A4619)/360</f>
        <v>-17.3</v>
      </c>
      <c r="C4619" t="str">
        <f ca="1">IF(currency="USD",'Future et co'!D4619,IF(currency="EUR",'Future et co'!E4619,IF(currency="GBP",'Future et co'!F4619,FALSE)))</f>
        <v>RFR USD</v>
      </c>
      <c r="D4619" t="str">
        <f t="shared" ref="D4619:D4682" ca="1" si="361">IFERROR(IF(B4619&lt;0.25,VLOOKUP(A4619,$J$11:$L$5325,3,FALSE),IF(AND(B4619&gt;=0.25,B4619&lt;0.5),VLOOKUP(A4619,$N$11:$P$5325,3,FALSE),IF(AND(B4619&gt;=0.5,B4619&lt;1),VLOOKUP(A4619,$R$11:$T$5325,3,FALSE),VLOOKUP(A4619,$V$11:$X$5010,3,FALSE)))),D4618)</f>
        <v>RFR USD</v>
      </c>
      <c r="E4619" t="str">
        <f t="shared" ref="E4619:E4682" ca="1" si="362">IFERROR(IF(B4619&lt;0.25,VLOOKUP(A4619,$AF$11:$AH$5325,3,FALSE),IF(AND(B4619&gt;=0.25,B4619&lt;0.5),VLOOKUP(A4619,$AJ$11:$AL$5325,3,FALSE),VLOOKUP(A4619,$AN$11:$AP$5325,3,FALSE))),E4618)</f>
        <v>RFR EUR</v>
      </c>
      <c r="F4619" t="str">
        <f t="shared" ref="F4619:F4682" ca="1" si="363">IFERROR(VLOOKUP(A4619,$AS$11:$AU$9999,3,FALSE),F4618)</f>
        <v>RFR GBP</v>
      </c>
      <c r="J4619" s="1"/>
      <c r="N4619" s="1"/>
      <c r="R4619" s="1"/>
      <c r="V4619" s="1"/>
      <c r="AB4619" s="1"/>
      <c r="AF4619" s="1"/>
      <c r="AJ4619" s="1"/>
      <c r="AN4619" s="1"/>
      <c r="AS4619" s="1"/>
      <c r="AX4619" s="1"/>
    </row>
    <row r="4620" spans="1:50" x14ac:dyDescent="0.3">
      <c r="A4620" s="19">
        <f t="shared" si="359"/>
        <v>52383</v>
      </c>
      <c r="B4620">
        <f t="shared" ca="1" si="360"/>
        <v>-17.308333333333334</v>
      </c>
      <c r="C4620" t="str">
        <f ca="1">IF(currency="USD",'Future et co'!D4620,IF(currency="EUR",'Future et co'!E4620,IF(currency="GBP",'Future et co'!F4620,FALSE)))</f>
        <v>RFR USD</v>
      </c>
      <c r="D4620" t="str">
        <f t="shared" ca="1" si="361"/>
        <v>RFR USD</v>
      </c>
      <c r="E4620" t="str">
        <f t="shared" ca="1" si="362"/>
        <v>RFR EUR</v>
      </c>
      <c r="F4620" t="str">
        <f t="shared" ca="1" si="363"/>
        <v>RFR GBP</v>
      </c>
      <c r="J4620" s="1"/>
      <c r="N4620" s="1"/>
      <c r="R4620" s="1"/>
      <c r="V4620" s="1"/>
      <c r="AB4620" s="1"/>
      <c r="AF4620" s="1"/>
      <c r="AJ4620" s="1"/>
      <c r="AN4620" s="1"/>
      <c r="AS4620" s="1"/>
      <c r="AX4620" s="1"/>
    </row>
    <row r="4621" spans="1:50" x14ac:dyDescent="0.3">
      <c r="A4621" s="19">
        <f t="shared" ref="A4621:A4684" si="364">WORKDAY(A4620,1)</f>
        <v>52384</v>
      </c>
      <c r="B4621">
        <f t="shared" ca="1" si="360"/>
        <v>-17.31111111111111</v>
      </c>
      <c r="C4621" t="str">
        <f ca="1">IF(currency="USD",'Future et co'!D4621,IF(currency="EUR",'Future et co'!E4621,IF(currency="GBP",'Future et co'!F4621,FALSE)))</f>
        <v>RFR USD</v>
      </c>
      <c r="D4621" t="str">
        <f t="shared" ca="1" si="361"/>
        <v>RFR USD</v>
      </c>
      <c r="E4621" t="str">
        <f t="shared" ca="1" si="362"/>
        <v>RFR EUR</v>
      </c>
      <c r="F4621" t="str">
        <f t="shared" ca="1" si="363"/>
        <v>RFR GBP</v>
      </c>
      <c r="J4621" s="1"/>
      <c r="N4621" s="1"/>
      <c r="R4621" s="1"/>
      <c r="V4621" s="1"/>
      <c r="AB4621" s="1"/>
      <c r="AF4621" s="1"/>
      <c r="AJ4621" s="1"/>
      <c r="AN4621" s="1"/>
      <c r="AS4621" s="1"/>
      <c r="AX4621" s="1"/>
    </row>
    <row r="4622" spans="1:50" x14ac:dyDescent="0.3">
      <c r="A4622" s="19">
        <f t="shared" si="364"/>
        <v>52385</v>
      </c>
      <c r="B4622">
        <f t="shared" ca="1" si="360"/>
        <v>-17.31388888888889</v>
      </c>
      <c r="C4622" t="str">
        <f ca="1">IF(currency="USD",'Future et co'!D4622,IF(currency="EUR",'Future et co'!E4622,IF(currency="GBP",'Future et co'!F4622,FALSE)))</f>
        <v>RFR USD</v>
      </c>
      <c r="D4622" t="str">
        <f t="shared" ca="1" si="361"/>
        <v>RFR USD</v>
      </c>
      <c r="E4622" t="str">
        <f t="shared" ca="1" si="362"/>
        <v>RFR EUR</v>
      </c>
      <c r="F4622" t="str">
        <f t="shared" ca="1" si="363"/>
        <v>RFR GBP</v>
      </c>
      <c r="J4622" s="1"/>
      <c r="N4622" s="1"/>
      <c r="R4622" s="1"/>
      <c r="V4622" s="1"/>
      <c r="AB4622" s="1"/>
      <c r="AF4622" s="1"/>
      <c r="AJ4622" s="1"/>
      <c r="AN4622" s="1"/>
      <c r="AS4622" s="1"/>
      <c r="AX4622" s="1"/>
    </row>
    <row r="4623" spans="1:50" x14ac:dyDescent="0.3">
      <c r="A4623" s="19">
        <f t="shared" si="364"/>
        <v>52386</v>
      </c>
      <c r="B4623">
        <f t="shared" ca="1" si="360"/>
        <v>-17.316666666666666</v>
      </c>
      <c r="C4623" t="str">
        <f ca="1">IF(currency="USD",'Future et co'!D4623,IF(currency="EUR",'Future et co'!E4623,IF(currency="GBP",'Future et co'!F4623,FALSE)))</f>
        <v>RFR USD</v>
      </c>
      <c r="D4623" t="str">
        <f t="shared" ca="1" si="361"/>
        <v>RFR USD</v>
      </c>
      <c r="E4623" t="str">
        <f t="shared" ca="1" si="362"/>
        <v>RFR EUR</v>
      </c>
      <c r="F4623" t="str">
        <f t="shared" ca="1" si="363"/>
        <v>RFR GBP</v>
      </c>
      <c r="J4623" s="1"/>
      <c r="N4623" s="1"/>
      <c r="R4623" s="1"/>
      <c r="V4623" s="1"/>
      <c r="AB4623" s="1"/>
      <c r="AF4623" s="1"/>
      <c r="AJ4623" s="1"/>
      <c r="AN4623" s="1"/>
      <c r="AS4623" s="1"/>
      <c r="AX4623" s="1"/>
    </row>
    <row r="4624" spans="1:50" x14ac:dyDescent="0.3">
      <c r="A4624" s="19">
        <f t="shared" si="364"/>
        <v>52387</v>
      </c>
      <c r="B4624">
        <f t="shared" ca="1" si="360"/>
        <v>-17.319444444444443</v>
      </c>
      <c r="C4624" t="str">
        <f ca="1">IF(currency="USD",'Future et co'!D4624,IF(currency="EUR",'Future et co'!E4624,IF(currency="GBP",'Future et co'!F4624,FALSE)))</f>
        <v>RFR USD</v>
      </c>
      <c r="D4624" t="str">
        <f t="shared" ca="1" si="361"/>
        <v>RFR USD</v>
      </c>
      <c r="E4624" t="str">
        <f t="shared" ca="1" si="362"/>
        <v>RFR EUR</v>
      </c>
      <c r="F4624" t="str">
        <f t="shared" ca="1" si="363"/>
        <v>RFR GBP</v>
      </c>
      <c r="J4624" s="1"/>
      <c r="N4624" s="1"/>
      <c r="R4624" s="1"/>
      <c r="V4624" s="1"/>
      <c r="AB4624" s="1"/>
      <c r="AF4624" s="1"/>
      <c r="AJ4624" s="1"/>
      <c r="AN4624" s="1"/>
      <c r="AS4624" s="1"/>
      <c r="AX4624" s="1"/>
    </row>
    <row r="4625" spans="1:50" x14ac:dyDescent="0.3">
      <c r="A4625" s="19">
        <f t="shared" si="364"/>
        <v>52390</v>
      </c>
      <c r="B4625">
        <f t="shared" ca="1" si="360"/>
        <v>-17.327777777777779</v>
      </c>
      <c r="C4625" t="str">
        <f ca="1">IF(currency="USD",'Future et co'!D4625,IF(currency="EUR",'Future et co'!E4625,IF(currency="GBP",'Future et co'!F4625,FALSE)))</f>
        <v>RFR USD</v>
      </c>
      <c r="D4625" t="str">
        <f t="shared" ca="1" si="361"/>
        <v>RFR USD</v>
      </c>
      <c r="E4625" t="str">
        <f t="shared" ca="1" si="362"/>
        <v>RFR EUR</v>
      </c>
      <c r="F4625" t="str">
        <f t="shared" ca="1" si="363"/>
        <v>RFR GBP</v>
      </c>
      <c r="J4625" s="1"/>
      <c r="N4625" s="1"/>
      <c r="R4625" s="1"/>
      <c r="V4625" s="1"/>
      <c r="AB4625" s="1"/>
      <c r="AF4625" s="1"/>
      <c r="AJ4625" s="1"/>
      <c r="AN4625" s="1"/>
      <c r="AS4625" s="1"/>
      <c r="AX4625" s="1"/>
    </row>
    <row r="4626" spans="1:50" x14ac:dyDescent="0.3">
      <c r="A4626" s="19">
        <f t="shared" si="364"/>
        <v>52391</v>
      </c>
      <c r="B4626">
        <f t="shared" ca="1" si="360"/>
        <v>-17.330555555555556</v>
      </c>
      <c r="C4626" t="str">
        <f ca="1">IF(currency="USD",'Future et co'!D4626,IF(currency="EUR",'Future et co'!E4626,IF(currency="GBP",'Future et co'!F4626,FALSE)))</f>
        <v>RFR USD</v>
      </c>
      <c r="D4626" t="str">
        <f t="shared" ca="1" si="361"/>
        <v>RFR USD</v>
      </c>
      <c r="E4626" t="str">
        <f t="shared" ca="1" si="362"/>
        <v>RFR EUR</v>
      </c>
      <c r="F4626" t="str">
        <f t="shared" ca="1" si="363"/>
        <v>RFR GBP</v>
      </c>
      <c r="J4626" s="1"/>
      <c r="N4626" s="1"/>
      <c r="R4626" s="1"/>
      <c r="V4626" s="1"/>
      <c r="AB4626" s="1"/>
      <c r="AF4626" s="1"/>
      <c r="AJ4626" s="1"/>
      <c r="AN4626" s="1"/>
      <c r="AS4626" s="1"/>
      <c r="AX4626" s="1"/>
    </row>
    <row r="4627" spans="1:50" x14ac:dyDescent="0.3">
      <c r="A4627" s="19">
        <f t="shared" si="364"/>
        <v>52392</v>
      </c>
      <c r="B4627">
        <f t="shared" ca="1" si="360"/>
        <v>-17.333333333333332</v>
      </c>
      <c r="C4627" t="str">
        <f ca="1">IF(currency="USD",'Future et co'!D4627,IF(currency="EUR",'Future et co'!E4627,IF(currency="GBP",'Future et co'!F4627,FALSE)))</f>
        <v>RFR USD</v>
      </c>
      <c r="D4627" t="str">
        <f t="shared" ca="1" si="361"/>
        <v>RFR USD</v>
      </c>
      <c r="E4627" t="str">
        <f t="shared" ca="1" si="362"/>
        <v>RFR EUR</v>
      </c>
      <c r="F4627" t="str">
        <f t="shared" ca="1" si="363"/>
        <v>RFR GBP</v>
      </c>
      <c r="J4627" s="1"/>
      <c r="N4627" s="1"/>
      <c r="R4627" s="1"/>
      <c r="V4627" s="1"/>
      <c r="AB4627" s="1"/>
      <c r="AF4627" s="1"/>
      <c r="AJ4627" s="1"/>
      <c r="AN4627" s="1"/>
      <c r="AS4627" s="1"/>
      <c r="AX4627" s="1"/>
    </row>
    <row r="4628" spans="1:50" x14ac:dyDescent="0.3">
      <c r="A4628" s="19">
        <f t="shared" si="364"/>
        <v>52393</v>
      </c>
      <c r="B4628">
        <f t="shared" ca="1" si="360"/>
        <v>-17.336111111111112</v>
      </c>
      <c r="C4628" t="str">
        <f ca="1">IF(currency="USD",'Future et co'!D4628,IF(currency="EUR",'Future et co'!E4628,IF(currency="GBP",'Future et co'!F4628,FALSE)))</f>
        <v>RFR USD</v>
      </c>
      <c r="D4628" t="str">
        <f t="shared" ca="1" si="361"/>
        <v>RFR USD</v>
      </c>
      <c r="E4628" t="str">
        <f t="shared" ca="1" si="362"/>
        <v>RFR EUR</v>
      </c>
      <c r="F4628" t="str">
        <f t="shared" ca="1" si="363"/>
        <v>RFR GBP</v>
      </c>
      <c r="J4628" s="1"/>
      <c r="N4628" s="1"/>
      <c r="R4628" s="1"/>
      <c r="V4628" s="1"/>
      <c r="AB4628" s="1"/>
      <c r="AF4628" s="1"/>
      <c r="AJ4628" s="1"/>
      <c r="AN4628" s="1"/>
      <c r="AS4628" s="1"/>
      <c r="AX4628" s="1"/>
    </row>
    <row r="4629" spans="1:50" x14ac:dyDescent="0.3">
      <c r="A4629" s="19">
        <f t="shared" si="364"/>
        <v>52394</v>
      </c>
      <c r="B4629">
        <f t="shared" ca="1" si="360"/>
        <v>-17.338888888888889</v>
      </c>
      <c r="C4629" t="str">
        <f ca="1">IF(currency="USD",'Future et co'!D4629,IF(currency="EUR",'Future et co'!E4629,IF(currency="GBP",'Future et co'!F4629,FALSE)))</f>
        <v>RFR USD</v>
      </c>
      <c r="D4629" t="str">
        <f t="shared" ca="1" si="361"/>
        <v>RFR USD</v>
      </c>
      <c r="E4629" t="str">
        <f t="shared" ca="1" si="362"/>
        <v>RFR EUR</v>
      </c>
      <c r="F4629" t="str">
        <f t="shared" ca="1" si="363"/>
        <v>RFR GBP</v>
      </c>
      <c r="J4629" s="1"/>
      <c r="N4629" s="1"/>
      <c r="R4629" s="1"/>
      <c r="V4629" s="1"/>
      <c r="AB4629" s="1"/>
      <c r="AF4629" s="1"/>
      <c r="AJ4629" s="1"/>
      <c r="AN4629" s="1"/>
      <c r="AS4629" s="1"/>
      <c r="AX4629" s="1"/>
    </row>
    <row r="4630" spans="1:50" x14ac:dyDescent="0.3">
      <c r="A4630" s="19">
        <f t="shared" si="364"/>
        <v>52397</v>
      </c>
      <c r="B4630">
        <f t="shared" ca="1" si="360"/>
        <v>-17.347222222222221</v>
      </c>
      <c r="C4630" t="str">
        <f ca="1">IF(currency="USD",'Future et co'!D4630,IF(currency="EUR",'Future et co'!E4630,IF(currency="GBP",'Future et co'!F4630,FALSE)))</f>
        <v>RFR USD</v>
      </c>
      <c r="D4630" t="str">
        <f t="shared" ca="1" si="361"/>
        <v>RFR USD</v>
      </c>
      <c r="E4630" t="str">
        <f t="shared" ca="1" si="362"/>
        <v>RFR EUR</v>
      </c>
      <c r="F4630" t="str">
        <f t="shared" ca="1" si="363"/>
        <v>RFR GBP</v>
      </c>
      <c r="J4630" s="1"/>
      <c r="N4630" s="1"/>
      <c r="R4630" s="1"/>
      <c r="V4630" s="1"/>
      <c r="AB4630" s="1"/>
      <c r="AF4630" s="1"/>
      <c r="AJ4630" s="1"/>
      <c r="AN4630" s="1"/>
      <c r="AS4630" s="1"/>
      <c r="AX4630" s="1"/>
    </row>
    <row r="4631" spans="1:50" x14ac:dyDescent="0.3">
      <c r="A4631" s="19">
        <f t="shared" si="364"/>
        <v>52398</v>
      </c>
      <c r="B4631">
        <f t="shared" ca="1" si="360"/>
        <v>-17.350000000000001</v>
      </c>
      <c r="C4631" t="str">
        <f ca="1">IF(currency="USD",'Future et co'!D4631,IF(currency="EUR",'Future et co'!E4631,IF(currency="GBP",'Future et co'!F4631,FALSE)))</f>
        <v>RFR USD</v>
      </c>
      <c r="D4631" t="str">
        <f t="shared" ca="1" si="361"/>
        <v>RFR USD</v>
      </c>
      <c r="E4631" t="str">
        <f t="shared" ca="1" si="362"/>
        <v>RFR EUR</v>
      </c>
      <c r="F4631" t="str">
        <f t="shared" ca="1" si="363"/>
        <v>RFR GBP</v>
      </c>
      <c r="J4631" s="1"/>
      <c r="N4631" s="1"/>
      <c r="R4631" s="1"/>
      <c r="V4631" s="1"/>
      <c r="AB4631" s="1"/>
      <c r="AF4631" s="1"/>
      <c r="AJ4631" s="1"/>
      <c r="AN4631" s="1"/>
      <c r="AS4631" s="1"/>
      <c r="AX4631" s="1"/>
    </row>
    <row r="4632" spans="1:50" x14ac:dyDescent="0.3">
      <c r="A4632" s="19">
        <f t="shared" si="364"/>
        <v>52399</v>
      </c>
      <c r="B4632">
        <f t="shared" ca="1" si="360"/>
        <v>-17.352777777777778</v>
      </c>
      <c r="C4632" t="str">
        <f ca="1">IF(currency="USD",'Future et co'!D4632,IF(currency="EUR",'Future et co'!E4632,IF(currency="GBP",'Future et co'!F4632,FALSE)))</f>
        <v>RFR USD</v>
      </c>
      <c r="D4632" t="str">
        <f t="shared" ca="1" si="361"/>
        <v>RFR USD</v>
      </c>
      <c r="E4632" t="str">
        <f t="shared" ca="1" si="362"/>
        <v>RFR EUR</v>
      </c>
      <c r="F4632" t="str">
        <f t="shared" ca="1" si="363"/>
        <v>RFR GBP</v>
      </c>
      <c r="J4632" s="1"/>
      <c r="N4632" s="1"/>
      <c r="R4632" s="1"/>
      <c r="V4632" s="1"/>
      <c r="AB4632" s="1"/>
      <c r="AF4632" s="1"/>
      <c r="AJ4632" s="1"/>
      <c r="AN4632" s="1"/>
      <c r="AS4632" s="1"/>
      <c r="AX4632" s="1"/>
    </row>
    <row r="4633" spans="1:50" x14ac:dyDescent="0.3">
      <c r="A4633" s="19">
        <f t="shared" si="364"/>
        <v>52400</v>
      </c>
      <c r="B4633">
        <f t="shared" ca="1" si="360"/>
        <v>-17.355555555555554</v>
      </c>
      <c r="C4633" t="str">
        <f ca="1">IF(currency="USD",'Future et co'!D4633,IF(currency="EUR",'Future et co'!E4633,IF(currency="GBP",'Future et co'!F4633,FALSE)))</f>
        <v>RFR USD</v>
      </c>
      <c r="D4633" t="str">
        <f t="shared" ca="1" si="361"/>
        <v>RFR USD</v>
      </c>
      <c r="E4633" t="str">
        <f t="shared" ca="1" si="362"/>
        <v>RFR EUR</v>
      </c>
      <c r="F4633" t="str">
        <f t="shared" ca="1" si="363"/>
        <v>RFR GBP</v>
      </c>
      <c r="J4633" s="1"/>
      <c r="N4633" s="1"/>
      <c r="R4633" s="1"/>
      <c r="V4633" s="1"/>
      <c r="AB4633" s="1"/>
      <c r="AF4633" s="1"/>
      <c r="AJ4633" s="1"/>
      <c r="AN4633" s="1"/>
      <c r="AS4633" s="1"/>
      <c r="AX4633" s="1"/>
    </row>
    <row r="4634" spans="1:50" x14ac:dyDescent="0.3">
      <c r="A4634" s="19">
        <f t="shared" si="364"/>
        <v>52401</v>
      </c>
      <c r="B4634">
        <f t="shared" ca="1" si="360"/>
        <v>-17.358333333333334</v>
      </c>
      <c r="C4634" t="str">
        <f ca="1">IF(currency="USD",'Future et co'!D4634,IF(currency="EUR",'Future et co'!E4634,IF(currency="GBP",'Future et co'!F4634,FALSE)))</f>
        <v>RFR USD</v>
      </c>
      <c r="D4634" t="str">
        <f t="shared" ca="1" si="361"/>
        <v>RFR USD</v>
      </c>
      <c r="E4634" t="str">
        <f t="shared" ca="1" si="362"/>
        <v>RFR EUR</v>
      </c>
      <c r="F4634" t="str">
        <f t="shared" ca="1" si="363"/>
        <v>RFR GBP</v>
      </c>
      <c r="J4634" s="1"/>
      <c r="N4634" s="1"/>
      <c r="R4634" s="1"/>
      <c r="V4634" s="1"/>
      <c r="AB4634" s="1"/>
      <c r="AF4634" s="1"/>
      <c r="AJ4634" s="1"/>
      <c r="AN4634" s="1"/>
      <c r="AS4634" s="1"/>
      <c r="AX4634" s="1"/>
    </row>
    <row r="4635" spans="1:50" x14ac:dyDescent="0.3">
      <c r="A4635" s="19">
        <f t="shared" si="364"/>
        <v>52404</v>
      </c>
      <c r="B4635">
        <f t="shared" ca="1" si="360"/>
        <v>-17.366666666666667</v>
      </c>
      <c r="C4635" t="str">
        <f ca="1">IF(currency="USD",'Future et co'!D4635,IF(currency="EUR",'Future et co'!E4635,IF(currency="GBP",'Future et co'!F4635,FALSE)))</f>
        <v>RFR USD</v>
      </c>
      <c r="D4635" t="str">
        <f t="shared" ca="1" si="361"/>
        <v>RFR USD</v>
      </c>
      <c r="E4635" t="str">
        <f t="shared" ca="1" si="362"/>
        <v>RFR EUR</v>
      </c>
      <c r="F4635" t="str">
        <f t="shared" ca="1" si="363"/>
        <v>RFR GBP</v>
      </c>
      <c r="J4635" s="1"/>
      <c r="N4635" s="1"/>
      <c r="R4635" s="1"/>
      <c r="V4635" s="1"/>
      <c r="AB4635" s="1"/>
      <c r="AF4635" s="1"/>
      <c r="AJ4635" s="1"/>
      <c r="AN4635" s="1"/>
      <c r="AS4635" s="1"/>
      <c r="AX4635" s="1"/>
    </row>
    <row r="4636" spans="1:50" x14ac:dyDescent="0.3">
      <c r="A4636" s="19">
        <f t="shared" si="364"/>
        <v>52405</v>
      </c>
      <c r="B4636">
        <f t="shared" ca="1" si="360"/>
        <v>-17.369444444444444</v>
      </c>
      <c r="C4636" t="str">
        <f ca="1">IF(currency="USD",'Future et co'!D4636,IF(currency="EUR",'Future et co'!E4636,IF(currency="GBP",'Future et co'!F4636,FALSE)))</f>
        <v>RFR USD</v>
      </c>
      <c r="D4636" t="str">
        <f t="shared" ca="1" si="361"/>
        <v>RFR USD</v>
      </c>
      <c r="E4636" t="str">
        <f t="shared" ca="1" si="362"/>
        <v>RFR EUR</v>
      </c>
      <c r="F4636" t="str">
        <f t="shared" ca="1" si="363"/>
        <v>RFR GBP</v>
      </c>
      <c r="J4636" s="1"/>
      <c r="N4636" s="1"/>
      <c r="R4636" s="1"/>
      <c r="V4636" s="1"/>
      <c r="AB4636" s="1"/>
      <c r="AF4636" s="1"/>
      <c r="AJ4636" s="1"/>
      <c r="AN4636" s="1"/>
      <c r="AS4636" s="1"/>
      <c r="AX4636" s="1"/>
    </row>
    <row r="4637" spans="1:50" x14ac:dyDescent="0.3">
      <c r="A4637" s="19">
        <f t="shared" si="364"/>
        <v>52406</v>
      </c>
      <c r="B4637">
        <f t="shared" ca="1" si="360"/>
        <v>-17.372222222222224</v>
      </c>
      <c r="C4637" t="str">
        <f ca="1">IF(currency="USD",'Future et co'!D4637,IF(currency="EUR",'Future et co'!E4637,IF(currency="GBP",'Future et co'!F4637,FALSE)))</f>
        <v>RFR USD</v>
      </c>
      <c r="D4637" t="str">
        <f t="shared" ca="1" si="361"/>
        <v>RFR USD</v>
      </c>
      <c r="E4637" t="str">
        <f t="shared" ca="1" si="362"/>
        <v>RFR EUR</v>
      </c>
      <c r="F4637" t="str">
        <f t="shared" ca="1" si="363"/>
        <v>RFR GBP</v>
      </c>
      <c r="J4637" s="1"/>
      <c r="N4637" s="1"/>
      <c r="R4637" s="1"/>
      <c r="V4637" s="1"/>
      <c r="AB4637" s="1"/>
      <c r="AF4637" s="1"/>
      <c r="AJ4637" s="1"/>
      <c r="AN4637" s="1"/>
      <c r="AS4637" s="1"/>
      <c r="AX4637" s="1"/>
    </row>
    <row r="4638" spans="1:50" x14ac:dyDescent="0.3">
      <c r="A4638" s="19">
        <f t="shared" si="364"/>
        <v>52407</v>
      </c>
      <c r="B4638">
        <f t="shared" ca="1" si="360"/>
        <v>-17.375</v>
      </c>
      <c r="C4638" t="str">
        <f ca="1">IF(currency="USD",'Future et co'!D4638,IF(currency="EUR",'Future et co'!E4638,IF(currency="GBP",'Future et co'!F4638,FALSE)))</f>
        <v>RFR USD</v>
      </c>
      <c r="D4638" t="str">
        <f t="shared" ca="1" si="361"/>
        <v>RFR USD</v>
      </c>
      <c r="E4638" t="str">
        <f t="shared" ca="1" si="362"/>
        <v>RFR EUR</v>
      </c>
      <c r="F4638" t="str">
        <f t="shared" ca="1" si="363"/>
        <v>RFR GBP</v>
      </c>
      <c r="J4638" s="1"/>
      <c r="N4638" s="1"/>
      <c r="R4638" s="1"/>
      <c r="V4638" s="1"/>
      <c r="AB4638" s="1"/>
      <c r="AF4638" s="1"/>
      <c r="AJ4638" s="1"/>
      <c r="AN4638" s="1"/>
      <c r="AS4638" s="1"/>
      <c r="AX4638" s="1"/>
    </row>
    <row r="4639" spans="1:50" x14ac:dyDescent="0.3">
      <c r="A4639" s="19">
        <f t="shared" si="364"/>
        <v>52408</v>
      </c>
      <c r="B4639">
        <f t="shared" ca="1" si="360"/>
        <v>-17.377777777777776</v>
      </c>
      <c r="C4639" t="str">
        <f ca="1">IF(currency="USD",'Future et co'!D4639,IF(currency="EUR",'Future et co'!E4639,IF(currency="GBP",'Future et co'!F4639,FALSE)))</f>
        <v>RFR USD</v>
      </c>
      <c r="D4639" t="str">
        <f t="shared" ca="1" si="361"/>
        <v>RFR USD</v>
      </c>
      <c r="E4639" t="str">
        <f t="shared" ca="1" si="362"/>
        <v>RFR EUR</v>
      </c>
      <c r="F4639" t="str">
        <f t="shared" ca="1" si="363"/>
        <v>RFR GBP</v>
      </c>
      <c r="J4639" s="1"/>
      <c r="N4639" s="1"/>
      <c r="R4639" s="1"/>
      <c r="V4639" s="1"/>
      <c r="AB4639" s="1"/>
      <c r="AF4639" s="1"/>
      <c r="AJ4639" s="1"/>
      <c r="AN4639" s="1"/>
      <c r="AS4639" s="1"/>
      <c r="AX4639" s="1"/>
    </row>
    <row r="4640" spans="1:50" x14ac:dyDescent="0.3">
      <c r="A4640" s="19">
        <f t="shared" si="364"/>
        <v>52411</v>
      </c>
      <c r="B4640">
        <f t="shared" ca="1" si="360"/>
        <v>-17.386111111111113</v>
      </c>
      <c r="C4640" t="str">
        <f ca="1">IF(currency="USD",'Future et co'!D4640,IF(currency="EUR",'Future et co'!E4640,IF(currency="GBP",'Future et co'!F4640,FALSE)))</f>
        <v>RFR USD</v>
      </c>
      <c r="D4640" t="str">
        <f t="shared" ca="1" si="361"/>
        <v>RFR USD</v>
      </c>
      <c r="E4640" t="str">
        <f t="shared" ca="1" si="362"/>
        <v>RFR EUR</v>
      </c>
      <c r="F4640" t="str">
        <f t="shared" ca="1" si="363"/>
        <v>RFR GBP</v>
      </c>
      <c r="J4640" s="1"/>
      <c r="N4640" s="1"/>
      <c r="R4640" s="1"/>
      <c r="V4640" s="1"/>
      <c r="AB4640" s="1"/>
      <c r="AF4640" s="1"/>
      <c r="AJ4640" s="1"/>
      <c r="AN4640" s="1"/>
      <c r="AS4640" s="1"/>
      <c r="AX4640" s="1"/>
    </row>
    <row r="4641" spans="1:50" x14ac:dyDescent="0.3">
      <c r="A4641" s="19">
        <f t="shared" si="364"/>
        <v>52412</v>
      </c>
      <c r="B4641">
        <f t="shared" ca="1" si="360"/>
        <v>-17.388888888888889</v>
      </c>
      <c r="C4641" t="str">
        <f ca="1">IF(currency="USD",'Future et co'!D4641,IF(currency="EUR",'Future et co'!E4641,IF(currency="GBP",'Future et co'!F4641,FALSE)))</f>
        <v>RFR USD</v>
      </c>
      <c r="D4641" t="str">
        <f t="shared" ca="1" si="361"/>
        <v>RFR USD</v>
      </c>
      <c r="E4641" t="str">
        <f t="shared" ca="1" si="362"/>
        <v>RFR EUR</v>
      </c>
      <c r="F4641" t="str">
        <f t="shared" ca="1" si="363"/>
        <v>RFR GBP</v>
      </c>
      <c r="J4641" s="1"/>
      <c r="N4641" s="1"/>
      <c r="R4641" s="1"/>
      <c r="V4641" s="1"/>
      <c r="AB4641" s="1"/>
      <c r="AF4641" s="1"/>
      <c r="AJ4641" s="1"/>
      <c r="AN4641" s="1"/>
      <c r="AS4641" s="1"/>
      <c r="AX4641" s="1"/>
    </row>
    <row r="4642" spans="1:50" x14ac:dyDescent="0.3">
      <c r="A4642" s="19">
        <f t="shared" si="364"/>
        <v>52413</v>
      </c>
      <c r="B4642">
        <f t="shared" ca="1" si="360"/>
        <v>-17.391666666666666</v>
      </c>
      <c r="C4642" t="str">
        <f ca="1">IF(currency="USD",'Future et co'!D4642,IF(currency="EUR",'Future et co'!E4642,IF(currency="GBP",'Future et co'!F4642,FALSE)))</f>
        <v>RFR USD</v>
      </c>
      <c r="D4642" t="str">
        <f t="shared" ca="1" si="361"/>
        <v>RFR USD</v>
      </c>
      <c r="E4642" t="str">
        <f t="shared" ca="1" si="362"/>
        <v>RFR EUR</v>
      </c>
      <c r="F4642" t="str">
        <f t="shared" ca="1" si="363"/>
        <v>RFR GBP</v>
      </c>
      <c r="J4642" s="1"/>
      <c r="N4642" s="1"/>
      <c r="R4642" s="1"/>
      <c r="V4642" s="1"/>
      <c r="AB4642" s="1"/>
      <c r="AF4642" s="1"/>
      <c r="AJ4642" s="1"/>
      <c r="AN4642" s="1"/>
      <c r="AS4642" s="1"/>
      <c r="AX4642" s="1"/>
    </row>
    <row r="4643" spans="1:50" x14ac:dyDescent="0.3">
      <c r="A4643" s="19">
        <f t="shared" si="364"/>
        <v>52414</v>
      </c>
      <c r="B4643">
        <f t="shared" ca="1" si="360"/>
        <v>-17.394444444444446</v>
      </c>
      <c r="C4643" t="str">
        <f ca="1">IF(currency="USD",'Future et co'!D4643,IF(currency="EUR",'Future et co'!E4643,IF(currency="GBP",'Future et co'!F4643,FALSE)))</f>
        <v>RFR USD</v>
      </c>
      <c r="D4643" t="str">
        <f t="shared" ca="1" si="361"/>
        <v>RFR USD</v>
      </c>
      <c r="E4643" t="str">
        <f t="shared" ca="1" si="362"/>
        <v>RFR EUR</v>
      </c>
      <c r="F4643" t="str">
        <f t="shared" ca="1" si="363"/>
        <v>RFR GBP</v>
      </c>
      <c r="J4643" s="1"/>
      <c r="N4643" s="1"/>
      <c r="R4643" s="1"/>
      <c r="V4643" s="1"/>
      <c r="AB4643" s="1"/>
      <c r="AF4643" s="1"/>
      <c r="AJ4643" s="1"/>
      <c r="AN4643" s="1"/>
      <c r="AS4643" s="1"/>
      <c r="AX4643" s="1"/>
    </row>
    <row r="4644" spans="1:50" x14ac:dyDescent="0.3">
      <c r="A4644" s="19">
        <f t="shared" si="364"/>
        <v>52415</v>
      </c>
      <c r="B4644">
        <f t="shared" ca="1" si="360"/>
        <v>-17.397222222222222</v>
      </c>
      <c r="C4644" t="str">
        <f ca="1">IF(currency="USD",'Future et co'!D4644,IF(currency="EUR",'Future et co'!E4644,IF(currency="GBP",'Future et co'!F4644,FALSE)))</f>
        <v>RFR USD</v>
      </c>
      <c r="D4644" t="str">
        <f t="shared" ca="1" si="361"/>
        <v>RFR USD</v>
      </c>
      <c r="E4644" t="str">
        <f t="shared" ca="1" si="362"/>
        <v>RFR EUR</v>
      </c>
      <c r="F4644" t="str">
        <f t="shared" ca="1" si="363"/>
        <v>RFR GBP</v>
      </c>
      <c r="J4644" s="1"/>
      <c r="N4644" s="1"/>
      <c r="R4644" s="1"/>
      <c r="V4644" s="1"/>
      <c r="AB4644" s="1"/>
      <c r="AF4644" s="1"/>
      <c r="AJ4644" s="1"/>
      <c r="AN4644" s="1"/>
      <c r="AS4644" s="1"/>
      <c r="AX4644" s="1"/>
    </row>
    <row r="4645" spans="1:50" x14ac:dyDescent="0.3">
      <c r="A4645" s="19">
        <f t="shared" si="364"/>
        <v>52418</v>
      </c>
      <c r="B4645">
        <f t="shared" ca="1" si="360"/>
        <v>-17.405555555555555</v>
      </c>
      <c r="C4645" t="str">
        <f ca="1">IF(currency="USD",'Future et co'!D4645,IF(currency="EUR",'Future et co'!E4645,IF(currency="GBP",'Future et co'!F4645,FALSE)))</f>
        <v>RFR USD</v>
      </c>
      <c r="D4645" t="str">
        <f t="shared" ca="1" si="361"/>
        <v>RFR USD</v>
      </c>
      <c r="E4645" t="str">
        <f t="shared" ca="1" si="362"/>
        <v>RFR EUR</v>
      </c>
      <c r="F4645" t="str">
        <f t="shared" ca="1" si="363"/>
        <v>RFR GBP</v>
      </c>
      <c r="J4645" s="1"/>
      <c r="N4645" s="1"/>
      <c r="R4645" s="1"/>
      <c r="V4645" s="1"/>
      <c r="AB4645" s="1"/>
      <c r="AF4645" s="1"/>
      <c r="AJ4645" s="1"/>
      <c r="AN4645" s="1"/>
      <c r="AS4645" s="1"/>
      <c r="AX4645" s="1"/>
    </row>
    <row r="4646" spans="1:50" x14ac:dyDescent="0.3">
      <c r="A4646" s="19">
        <f t="shared" si="364"/>
        <v>52419</v>
      </c>
      <c r="B4646">
        <f t="shared" ca="1" si="360"/>
        <v>-17.408333333333335</v>
      </c>
      <c r="C4646" t="str">
        <f ca="1">IF(currency="USD",'Future et co'!D4646,IF(currency="EUR",'Future et co'!E4646,IF(currency="GBP",'Future et co'!F4646,FALSE)))</f>
        <v>RFR USD</v>
      </c>
      <c r="D4646" t="str">
        <f t="shared" ca="1" si="361"/>
        <v>RFR USD</v>
      </c>
      <c r="E4646" t="str">
        <f t="shared" ca="1" si="362"/>
        <v>RFR EUR</v>
      </c>
      <c r="F4646" t="str">
        <f t="shared" ca="1" si="363"/>
        <v>RFR GBP</v>
      </c>
      <c r="J4646" s="1"/>
      <c r="N4646" s="1"/>
      <c r="R4646" s="1"/>
      <c r="V4646" s="1"/>
      <c r="AB4646" s="1"/>
      <c r="AF4646" s="1"/>
      <c r="AJ4646" s="1"/>
      <c r="AN4646" s="1"/>
      <c r="AS4646" s="1"/>
      <c r="AX4646" s="1"/>
    </row>
    <row r="4647" spans="1:50" x14ac:dyDescent="0.3">
      <c r="A4647" s="19">
        <f t="shared" si="364"/>
        <v>52420</v>
      </c>
      <c r="B4647">
        <f t="shared" ca="1" si="360"/>
        <v>-17.411111111111111</v>
      </c>
      <c r="C4647" t="str">
        <f ca="1">IF(currency="USD",'Future et co'!D4647,IF(currency="EUR",'Future et co'!E4647,IF(currency="GBP",'Future et co'!F4647,FALSE)))</f>
        <v>RFR USD</v>
      </c>
      <c r="D4647" t="str">
        <f t="shared" ca="1" si="361"/>
        <v>RFR USD</v>
      </c>
      <c r="E4647" t="str">
        <f t="shared" ca="1" si="362"/>
        <v>RFR EUR</v>
      </c>
      <c r="F4647" t="str">
        <f t="shared" ca="1" si="363"/>
        <v>RFR GBP</v>
      </c>
      <c r="J4647" s="1"/>
      <c r="N4647" s="1"/>
      <c r="R4647" s="1"/>
      <c r="V4647" s="1"/>
      <c r="AB4647" s="1"/>
      <c r="AF4647" s="1"/>
      <c r="AJ4647" s="1"/>
      <c r="AN4647" s="1"/>
      <c r="AS4647" s="1"/>
      <c r="AX4647" s="1"/>
    </row>
    <row r="4648" spans="1:50" x14ac:dyDescent="0.3">
      <c r="A4648" s="19">
        <f t="shared" si="364"/>
        <v>52421</v>
      </c>
      <c r="B4648">
        <f t="shared" ca="1" si="360"/>
        <v>-17.413888888888888</v>
      </c>
      <c r="C4648" t="str">
        <f ca="1">IF(currency="USD",'Future et co'!D4648,IF(currency="EUR",'Future et co'!E4648,IF(currency="GBP",'Future et co'!F4648,FALSE)))</f>
        <v>RFR USD</v>
      </c>
      <c r="D4648" t="str">
        <f t="shared" ca="1" si="361"/>
        <v>RFR USD</v>
      </c>
      <c r="E4648" t="str">
        <f t="shared" ca="1" si="362"/>
        <v>RFR EUR</v>
      </c>
      <c r="F4648" t="str">
        <f t="shared" ca="1" si="363"/>
        <v>RFR GBP</v>
      </c>
      <c r="J4648" s="1"/>
      <c r="N4648" s="1"/>
      <c r="R4648" s="1"/>
      <c r="V4648" s="1"/>
      <c r="AB4648" s="1"/>
      <c r="AF4648" s="1"/>
      <c r="AJ4648" s="1"/>
      <c r="AN4648" s="1"/>
      <c r="AS4648" s="1"/>
      <c r="AX4648" s="1"/>
    </row>
    <row r="4649" spans="1:50" x14ac:dyDescent="0.3">
      <c r="A4649" s="19">
        <f t="shared" si="364"/>
        <v>52422</v>
      </c>
      <c r="B4649">
        <f t="shared" ca="1" si="360"/>
        <v>-17.416666666666668</v>
      </c>
      <c r="C4649" t="str">
        <f ca="1">IF(currency="USD",'Future et co'!D4649,IF(currency="EUR",'Future et co'!E4649,IF(currency="GBP",'Future et co'!F4649,FALSE)))</f>
        <v>RFR USD</v>
      </c>
      <c r="D4649" t="str">
        <f t="shared" ca="1" si="361"/>
        <v>RFR USD</v>
      </c>
      <c r="E4649" t="str">
        <f t="shared" ca="1" si="362"/>
        <v>RFR EUR</v>
      </c>
      <c r="F4649" t="str">
        <f t="shared" ca="1" si="363"/>
        <v>RFR GBP</v>
      </c>
      <c r="J4649" s="1"/>
      <c r="N4649" s="1"/>
      <c r="R4649" s="1"/>
      <c r="V4649" s="1"/>
      <c r="AB4649" s="1"/>
      <c r="AF4649" s="1"/>
      <c r="AJ4649" s="1"/>
      <c r="AN4649" s="1"/>
      <c r="AS4649" s="1"/>
      <c r="AX4649" s="1"/>
    </row>
    <row r="4650" spans="1:50" x14ac:dyDescent="0.3">
      <c r="A4650" s="19">
        <f t="shared" si="364"/>
        <v>52425</v>
      </c>
      <c r="B4650">
        <f t="shared" ca="1" si="360"/>
        <v>-17.425000000000001</v>
      </c>
      <c r="C4650" t="str">
        <f ca="1">IF(currency="USD",'Future et co'!D4650,IF(currency="EUR",'Future et co'!E4650,IF(currency="GBP",'Future et co'!F4650,FALSE)))</f>
        <v>RFR USD</v>
      </c>
      <c r="D4650" t="str">
        <f t="shared" ca="1" si="361"/>
        <v>RFR USD</v>
      </c>
      <c r="E4650" t="str">
        <f t="shared" ca="1" si="362"/>
        <v>RFR EUR</v>
      </c>
      <c r="F4650" t="str">
        <f t="shared" ca="1" si="363"/>
        <v>RFR GBP</v>
      </c>
      <c r="J4650" s="1"/>
      <c r="N4650" s="1"/>
      <c r="R4650" s="1"/>
      <c r="V4650" s="1"/>
      <c r="AB4650" s="1"/>
      <c r="AF4650" s="1"/>
      <c r="AJ4650" s="1"/>
      <c r="AN4650" s="1"/>
      <c r="AS4650" s="1"/>
      <c r="AX4650" s="1"/>
    </row>
    <row r="4651" spans="1:50" x14ac:dyDescent="0.3">
      <c r="A4651" s="19">
        <f t="shared" si="364"/>
        <v>52426</v>
      </c>
      <c r="B4651">
        <f t="shared" ca="1" si="360"/>
        <v>-17.427777777777777</v>
      </c>
      <c r="C4651" t="str">
        <f ca="1">IF(currency="USD",'Future et co'!D4651,IF(currency="EUR",'Future et co'!E4651,IF(currency="GBP",'Future et co'!F4651,FALSE)))</f>
        <v>RFR USD</v>
      </c>
      <c r="D4651" t="str">
        <f t="shared" ca="1" si="361"/>
        <v>RFR USD</v>
      </c>
      <c r="E4651" t="str">
        <f t="shared" ca="1" si="362"/>
        <v>RFR EUR</v>
      </c>
      <c r="F4651" t="str">
        <f t="shared" ca="1" si="363"/>
        <v>RFR GBP</v>
      </c>
      <c r="J4651" s="1"/>
      <c r="N4651" s="1"/>
      <c r="R4651" s="1"/>
      <c r="V4651" s="1"/>
      <c r="AB4651" s="1"/>
      <c r="AF4651" s="1"/>
      <c r="AJ4651" s="1"/>
      <c r="AN4651" s="1"/>
      <c r="AS4651" s="1"/>
      <c r="AX4651" s="1"/>
    </row>
    <row r="4652" spans="1:50" x14ac:dyDescent="0.3">
      <c r="A4652" s="19">
        <f t="shared" si="364"/>
        <v>52427</v>
      </c>
      <c r="B4652">
        <f t="shared" ca="1" si="360"/>
        <v>-17.430555555555557</v>
      </c>
      <c r="C4652" t="str">
        <f ca="1">IF(currency="USD",'Future et co'!D4652,IF(currency="EUR",'Future et co'!E4652,IF(currency="GBP",'Future et co'!F4652,FALSE)))</f>
        <v>RFR USD</v>
      </c>
      <c r="D4652" t="str">
        <f t="shared" ca="1" si="361"/>
        <v>RFR USD</v>
      </c>
      <c r="E4652" t="str">
        <f t="shared" ca="1" si="362"/>
        <v>RFR EUR</v>
      </c>
      <c r="F4652" t="str">
        <f t="shared" ca="1" si="363"/>
        <v>RFR GBP</v>
      </c>
      <c r="J4652" s="1"/>
      <c r="N4652" s="1"/>
      <c r="R4652" s="1"/>
      <c r="V4652" s="1"/>
      <c r="AB4652" s="1"/>
      <c r="AF4652" s="1"/>
      <c r="AJ4652" s="1"/>
      <c r="AN4652" s="1"/>
      <c r="AS4652" s="1"/>
      <c r="AX4652" s="1"/>
    </row>
    <row r="4653" spans="1:50" x14ac:dyDescent="0.3">
      <c r="A4653" s="19">
        <f t="shared" si="364"/>
        <v>52428</v>
      </c>
      <c r="B4653">
        <f t="shared" ca="1" si="360"/>
        <v>-17.433333333333334</v>
      </c>
      <c r="C4653" t="str">
        <f ca="1">IF(currency="USD",'Future et co'!D4653,IF(currency="EUR",'Future et co'!E4653,IF(currency="GBP",'Future et co'!F4653,FALSE)))</f>
        <v>RFR USD</v>
      </c>
      <c r="D4653" t="str">
        <f t="shared" ca="1" si="361"/>
        <v>RFR USD</v>
      </c>
      <c r="E4653" t="str">
        <f t="shared" ca="1" si="362"/>
        <v>RFR EUR</v>
      </c>
      <c r="F4653" t="str">
        <f t="shared" ca="1" si="363"/>
        <v>RFR GBP</v>
      </c>
      <c r="J4653" s="1"/>
      <c r="N4653" s="1"/>
      <c r="R4653" s="1"/>
      <c r="V4653" s="1"/>
      <c r="AB4653" s="1"/>
      <c r="AF4653" s="1"/>
      <c r="AJ4653" s="1"/>
      <c r="AN4653" s="1"/>
      <c r="AS4653" s="1"/>
      <c r="AX4653" s="1"/>
    </row>
    <row r="4654" spans="1:50" x14ac:dyDescent="0.3">
      <c r="A4654" s="19">
        <f t="shared" si="364"/>
        <v>52429</v>
      </c>
      <c r="B4654">
        <f t="shared" ca="1" si="360"/>
        <v>-17.43611111111111</v>
      </c>
      <c r="C4654" t="str">
        <f ca="1">IF(currency="USD",'Future et co'!D4654,IF(currency="EUR",'Future et co'!E4654,IF(currency="GBP",'Future et co'!F4654,FALSE)))</f>
        <v>RFR USD</v>
      </c>
      <c r="D4654" t="str">
        <f t="shared" ca="1" si="361"/>
        <v>RFR USD</v>
      </c>
      <c r="E4654" t="str">
        <f t="shared" ca="1" si="362"/>
        <v>RFR EUR</v>
      </c>
      <c r="F4654" t="str">
        <f t="shared" ca="1" si="363"/>
        <v>RFR GBP</v>
      </c>
      <c r="J4654" s="1"/>
      <c r="N4654" s="1"/>
      <c r="R4654" s="1"/>
      <c r="V4654" s="1"/>
      <c r="AB4654" s="1"/>
      <c r="AF4654" s="1"/>
      <c r="AJ4654" s="1"/>
      <c r="AN4654" s="1"/>
      <c r="AS4654" s="1"/>
      <c r="AX4654" s="1"/>
    </row>
    <row r="4655" spans="1:50" x14ac:dyDescent="0.3">
      <c r="A4655" s="19">
        <f t="shared" si="364"/>
        <v>52432</v>
      </c>
      <c r="B4655">
        <f t="shared" ca="1" si="360"/>
        <v>-17.444444444444443</v>
      </c>
      <c r="C4655" t="str">
        <f ca="1">IF(currency="USD",'Future et co'!D4655,IF(currency="EUR",'Future et co'!E4655,IF(currency="GBP",'Future et co'!F4655,FALSE)))</f>
        <v>RFR USD</v>
      </c>
      <c r="D4655" t="str">
        <f t="shared" ca="1" si="361"/>
        <v>RFR USD</v>
      </c>
      <c r="E4655" t="str">
        <f t="shared" ca="1" si="362"/>
        <v>RFR EUR</v>
      </c>
      <c r="F4655" t="str">
        <f t="shared" ca="1" si="363"/>
        <v>RFR GBP</v>
      </c>
      <c r="J4655" s="1"/>
      <c r="N4655" s="1"/>
      <c r="R4655" s="1"/>
      <c r="V4655" s="1"/>
      <c r="AB4655" s="1"/>
      <c r="AF4655" s="1"/>
      <c r="AJ4655" s="1"/>
      <c r="AN4655" s="1"/>
      <c r="AS4655" s="1"/>
      <c r="AX4655" s="1"/>
    </row>
    <row r="4656" spans="1:50" x14ac:dyDescent="0.3">
      <c r="A4656" s="19">
        <f t="shared" si="364"/>
        <v>52433</v>
      </c>
      <c r="B4656">
        <f t="shared" ca="1" si="360"/>
        <v>-17.447222222222223</v>
      </c>
      <c r="C4656" t="str">
        <f ca="1">IF(currency="USD",'Future et co'!D4656,IF(currency="EUR",'Future et co'!E4656,IF(currency="GBP",'Future et co'!F4656,FALSE)))</f>
        <v>RFR USD</v>
      </c>
      <c r="D4656" t="str">
        <f t="shared" ca="1" si="361"/>
        <v>RFR USD</v>
      </c>
      <c r="E4656" t="str">
        <f t="shared" ca="1" si="362"/>
        <v>RFR EUR</v>
      </c>
      <c r="F4656" t="str">
        <f t="shared" ca="1" si="363"/>
        <v>RFR GBP</v>
      </c>
      <c r="J4656" s="1"/>
      <c r="N4656" s="1"/>
      <c r="R4656" s="1"/>
      <c r="V4656" s="1"/>
      <c r="AB4656" s="1"/>
      <c r="AF4656" s="1"/>
      <c r="AJ4656" s="1"/>
      <c r="AN4656" s="1"/>
      <c r="AS4656" s="1"/>
      <c r="AX4656" s="1"/>
    </row>
    <row r="4657" spans="1:50" x14ac:dyDescent="0.3">
      <c r="A4657" s="19">
        <f t="shared" si="364"/>
        <v>52434</v>
      </c>
      <c r="B4657">
        <f t="shared" ca="1" si="360"/>
        <v>-17.45</v>
      </c>
      <c r="C4657" t="str">
        <f ca="1">IF(currency="USD",'Future et co'!D4657,IF(currency="EUR",'Future et co'!E4657,IF(currency="GBP",'Future et co'!F4657,FALSE)))</f>
        <v>RFR USD</v>
      </c>
      <c r="D4657" t="str">
        <f t="shared" ca="1" si="361"/>
        <v>RFR USD</v>
      </c>
      <c r="E4657" t="str">
        <f t="shared" ca="1" si="362"/>
        <v>RFR EUR</v>
      </c>
      <c r="F4657" t="str">
        <f t="shared" ca="1" si="363"/>
        <v>RFR GBP</v>
      </c>
      <c r="J4657" s="1"/>
      <c r="N4657" s="1"/>
      <c r="R4657" s="1"/>
      <c r="V4657" s="1"/>
      <c r="AB4657" s="1"/>
      <c r="AF4657" s="1"/>
      <c r="AJ4657" s="1"/>
      <c r="AN4657" s="1"/>
      <c r="AS4657" s="1"/>
      <c r="AX4657" s="1"/>
    </row>
    <row r="4658" spans="1:50" x14ac:dyDescent="0.3">
      <c r="A4658" s="19">
        <f t="shared" si="364"/>
        <v>52435</v>
      </c>
      <c r="B4658">
        <f t="shared" ca="1" si="360"/>
        <v>-17.452777777777779</v>
      </c>
      <c r="C4658" t="str">
        <f ca="1">IF(currency="USD",'Future et co'!D4658,IF(currency="EUR",'Future et co'!E4658,IF(currency="GBP",'Future et co'!F4658,FALSE)))</f>
        <v>RFR USD</v>
      </c>
      <c r="D4658" t="str">
        <f t="shared" ca="1" si="361"/>
        <v>RFR USD</v>
      </c>
      <c r="E4658" t="str">
        <f t="shared" ca="1" si="362"/>
        <v>RFR EUR</v>
      </c>
      <c r="F4658" t="str">
        <f t="shared" ca="1" si="363"/>
        <v>RFR GBP</v>
      </c>
      <c r="J4658" s="1"/>
      <c r="N4658" s="1"/>
      <c r="R4658" s="1"/>
      <c r="V4658" s="1"/>
      <c r="AB4658" s="1"/>
      <c r="AF4658" s="1"/>
      <c r="AJ4658" s="1"/>
      <c r="AN4658" s="1"/>
      <c r="AS4658" s="1"/>
      <c r="AX4658" s="1"/>
    </row>
    <row r="4659" spans="1:50" x14ac:dyDescent="0.3">
      <c r="A4659" s="19">
        <f t="shared" si="364"/>
        <v>52436</v>
      </c>
      <c r="B4659">
        <f t="shared" ca="1" si="360"/>
        <v>-17.455555555555556</v>
      </c>
      <c r="C4659" t="str">
        <f ca="1">IF(currency="USD",'Future et co'!D4659,IF(currency="EUR",'Future et co'!E4659,IF(currency="GBP",'Future et co'!F4659,FALSE)))</f>
        <v>RFR USD</v>
      </c>
      <c r="D4659" t="str">
        <f t="shared" ca="1" si="361"/>
        <v>RFR USD</v>
      </c>
      <c r="E4659" t="str">
        <f t="shared" ca="1" si="362"/>
        <v>RFR EUR</v>
      </c>
      <c r="F4659" t="str">
        <f t="shared" ca="1" si="363"/>
        <v>RFR GBP</v>
      </c>
      <c r="J4659" s="1"/>
      <c r="N4659" s="1"/>
      <c r="R4659" s="1"/>
      <c r="V4659" s="1"/>
      <c r="AB4659" s="1"/>
      <c r="AF4659" s="1"/>
      <c r="AJ4659" s="1"/>
      <c r="AN4659" s="1"/>
      <c r="AS4659" s="1"/>
      <c r="AX4659" s="1"/>
    </row>
    <row r="4660" spans="1:50" x14ac:dyDescent="0.3">
      <c r="A4660" s="19">
        <f t="shared" si="364"/>
        <v>52439</v>
      </c>
      <c r="B4660">
        <f t="shared" ca="1" si="360"/>
        <v>-17.463888888888889</v>
      </c>
      <c r="C4660" t="str">
        <f ca="1">IF(currency="USD",'Future et co'!D4660,IF(currency="EUR",'Future et co'!E4660,IF(currency="GBP",'Future et co'!F4660,FALSE)))</f>
        <v>RFR USD</v>
      </c>
      <c r="D4660" t="str">
        <f t="shared" ca="1" si="361"/>
        <v>RFR USD</v>
      </c>
      <c r="E4660" t="str">
        <f t="shared" ca="1" si="362"/>
        <v>RFR EUR</v>
      </c>
      <c r="F4660" t="str">
        <f t="shared" ca="1" si="363"/>
        <v>RFR GBP</v>
      </c>
      <c r="J4660" s="1"/>
      <c r="N4660" s="1"/>
      <c r="R4660" s="1"/>
      <c r="V4660" s="1"/>
      <c r="AB4660" s="1"/>
      <c r="AF4660" s="1"/>
      <c r="AJ4660" s="1"/>
      <c r="AN4660" s="1"/>
      <c r="AS4660" s="1"/>
      <c r="AX4660" s="1"/>
    </row>
    <row r="4661" spans="1:50" x14ac:dyDescent="0.3">
      <c r="A4661" s="19">
        <f t="shared" si="364"/>
        <v>52440</v>
      </c>
      <c r="B4661">
        <f t="shared" ca="1" si="360"/>
        <v>-17.466666666666665</v>
      </c>
      <c r="C4661" t="str">
        <f ca="1">IF(currency="USD",'Future et co'!D4661,IF(currency="EUR",'Future et co'!E4661,IF(currency="GBP",'Future et co'!F4661,FALSE)))</f>
        <v>RFR USD</v>
      </c>
      <c r="D4661" t="str">
        <f t="shared" ca="1" si="361"/>
        <v>RFR USD</v>
      </c>
      <c r="E4661" t="str">
        <f t="shared" ca="1" si="362"/>
        <v>RFR EUR</v>
      </c>
      <c r="F4661" t="str">
        <f t="shared" ca="1" si="363"/>
        <v>RFR GBP</v>
      </c>
      <c r="J4661" s="1"/>
      <c r="N4661" s="1"/>
      <c r="R4661" s="1"/>
      <c r="V4661" s="1"/>
      <c r="AB4661" s="1"/>
      <c r="AF4661" s="1"/>
      <c r="AJ4661" s="1"/>
      <c r="AN4661" s="1"/>
      <c r="AS4661" s="1"/>
      <c r="AX4661" s="1"/>
    </row>
    <row r="4662" spans="1:50" x14ac:dyDescent="0.3">
      <c r="A4662" s="19">
        <f t="shared" si="364"/>
        <v>52441</v>
      </c>
      <c r="B4662">
        <f t="shared" ca="1" si="360"/>
        <v>-17.469444444444445</v>
      </c>
      <c r="C4662" t="str">
        <f ca="1">IF(currency="USD",'Future et co'!D4662,IF(currency="EUR",'Future et co'!E4662,IF(currency="GBP",'Future et co'!F4662,FALSE)))</f>
        <v>RFR USD</v>
      </c>
      <c r="D4662" t="str">
        <f t="shared" ca="1" si="361"/>
        <v>RFR USD</v>
      </c>
      <c r="E4662" t="str">
        <f t="shared" ca="1" si="362"/>
        <v>RFR EUR</v>
      </c>
      <c r="F4662" t="str">
        <f t="shared" ca="1" si="363"/>
        <v>RFR GBP</v>
      </c>
      <c r="J4662" s="1"/>
      <c r="N4662" s="1"/>
      <c r="R4662" s="1"/>
      <c r="V4662" s="1"/>
      <c r="AB4662" s="1"/>
      <c r="AF4662" s="1"/>
      <c r="AJ4662" s="1"/>
      <c r="AN4662" s="1"/>
      <c r="AS4662" s="1"/>
      <c r="AX4662" s="1"/>
    </row>
    <row r="4663" spans="1:50" x14ac:dyDescent="0.3">
      <c r="A4663" s="19">
        <f t="shared" si="364"/>
        <v>52442</v>
      </c>
      <c r="B4663">
        <f t="shared" ca="1" si="360"/>
        <v>-17.472222222222221</v>
      </c>
      <c r="C4663" t="str">
        <f ca="1">IF(currency="USD",'Future et co'!D4663,IF(currency="EUR",'Future et co'!E4663,IF(currency="GBP",'Future et co'!F4663,FALSE)))</f>
        <v>RFR USD</v>
      </c>
      <c r="D4663" t="str">
        <f t="shared" ca="1" si="361"/>
        <v>RFR USD</v>
      </c>
      <c r="E4663" t="str">
        <f t="shared" ca="1" si="362"/>
        <v>RFR EUR</v>
      </c>
      <c r="F4663" t="str">
        <f t="shared" ca="1" si="363"/>
        <v>RFR GBP</v>
      </c>
      <c r="J4663" s="1"/>
      <c r="N4663" s="1"/>
      <c r="R4663" s="1"/>
      <c r="V4663" s="1"/>
      <c r="AB4663" s="1"/>
      <c r="AF4663" s="1"/>
      <c r="AJ4663" s="1"/>
      <c r="AN4663" s="1"/>
      <c r="AS4663" s="1"/>
      <c r="AX4663" s="1"/>
    </row>
    <row r="4664" spans="1:50" x14ac:dyDescent="0.3">
      <c r="A4664" s="19">
        <f t="shared" si="364"/>
        <v>52443</v>
      </c>
      <c r="B4664">
        <f t="shared" ca="1" si="360"/>
        <v>-17.475000000000001</v>
      </c>
      <c r="C4664" t="str">
        <f ca="1">IF(currency="USD",'Future et co'!D4664,IF(currency="EUR",'Future et co'!E4664,IF(currency="GBP",'Future et co'!F4664,FALSE)))</f>
        <v>RFR USD</v>
      </c>
      <c r="D4664" t="str">
        <f t="shared" ca="1" si="361"/>
        <v>RFR USD</v>
      </c>
      <c r="E4664" t="str">
        <f t="shared" ca="1" si="362"/>
        <v>RFR EUR</v>
      </c>
      <c r="F4664" t="str">
        <f t="shared" ca="1" si="363"/>
        <v>RFR GBP</v>
      </c>
      <c r="J4664" s="1"/>
      <c r="N4664" s="1"/>
      <c r="R4664" s="1"/>
      <c r="V4664" s="1"/>
      <c r="AB4664" s="1"/>
      <c r="AF4664" s="1"/>
      <c r="AJ4664" s="1"/>
      <c r="AN4664" s="1"/>
      <c r="AS4664" s="1"/>
      <c r="AX4664" s="1"/>
    </row>
    <row r="4665" spans="1:50" x14ac:dyDescent="0.3">
      <c r="A4665" s="19">
        <f t="shared" si="364"/>
        <v>52446</v>
      </c>
      <c r="B4665">
        <f t="shared" ca="1" si="360"/>
        <v>-17.483333333333334</v>
      </c>
      <c r="C4665" t="str">
        <f ca="1">IF(currency="USD",'Future et co'!D4665,IF(currency="EUR",'Future et co'!E4665,IF(currency="GBP",'Future et co'!F4665,FALSE)))</f>
        <v>RFR USD</v>
      </c>
      <c r="D4665" t="str">
        <f t="shared" ca="1" si="361"/>
        <v>RFR USD</v>
      </c>
      <c r="E4665" t="str">
        <f t="shared" ca="1" si="362"/>
        <v>RFR EUR</v>
      </c>
      <c r="F4665" t="str">
        <f t="shared" ca="1" si="363"/>
        <v>RFR GBP</v>
      </c>
      <c r="J4665" s="1"/>
      <c r="N4665" s="1"/>
      <c r="R4665" s="1"/>
      <c r="V4665" s="1"/>
      <c r="AB4665" s="1"/>
      <c r="AF4665" s="1"/>
      <c r="AJ4665" s="1"/>
      <c r="AN4665" s="1"/>
      <c r="AS4665" s="1"/>
      <c r="AX4665" s="1"/>
    </row>
    <row r="4666" spans="1:50" x14ac:dyDescent="0.3">
      <c r="A4666" s="19">
        <f t="shared" si="364"/>
        <v>52447</v>
      </c>
      <c r="B4666">
        <f t="shared" ca="1" si="360"/>
        <v>-17.486111111111111</v>
      </c>
      <c r="C4666" t="str">
        <f ca="1">IF(currency="USD",'Future et co'!D4666,IF(currency="EUR",'Future et co'!E4666,IF(currency="GBP",'Future et co'!F4666,FALSE)))</f>
        <v>RFR USD</v>
      </c>
      <c r="D4666" t="str">
        <f t="shared" ca="1" si="361"/>
        <v>RFR USD</v>
      </c>
      <c r="E4666" t="str">
        <f t="shared" ca="1" si="362"/>
        <v>RFR EUR</v>
      </c>
      <c r="F4666" t="str">
        <f t="shared" ca="1" si="363"/>
        <v>RFR GBP</v>
      </c>
      <c r="J4666" s="1"/>
      <c r="N4666" s="1"/>
      <c r="R4666" s="1"/>
      <c r="V4666" s="1"/>
      <c r="AB4666" s="1"/>
      <c r="AF4666" s="1"/>
      <c r="AJ4666" s="1"/>
      <c r="AN4666" s="1"/>
      <c r="AS4666" s="1"/>
      <c r="AX4666" s="1"/>
    </row>
    <row r="4667" spans="1:50" x14ac:dyDescent="0.3">
      <c r="A4667" s="19">
        <f t="shared" si="364"/>
        <v>52448</v>
      </c>
      <c r="B4667">
        <f t="shared" ca="1" si="360"/>
        <v>-17.488888888888887</v>
      </c>
      <c r="C4667" t="str">
        <f ca="1">IF(currency="USD",'Future et co'!D4667,IF(currency="EUR",'Future et co'!E4667,IF(currency="GBP",'Future et co'!F4667,FALSE)))</f>
        <v>RFR USD</v>
      </c>
      <c r="D4667" t="str">
        <f t="shared" ca="1" si="361"/>
        <v>RFR USD</v>
      </c>
      <c r="E4667" t="str">
        <f t="shared" ca="1" si="362"/>
        <v>RFR EUR</v>
      </c>
      <c r="F4667" t="str">
        <f t="shared" ca="1" si="363"/>
        <v>RFR GBP</v>
      </c>
      <c r="J4667" s="1"/>
      <c r="N4667" s="1"/>
      <c r="R4667" s="1"/>
      <c r="V4667" s="1"/>
      <c r="AB4667" s="1"/>
      <c r="AF4667" s="1"/>
      <c r="AJ4667" s="1"/>
      <c r="AN4667" s="1"/>
      <c r="AS4667" s="1"/>
      <c r="AX4667" s="1"/>
    </row>
    <row r="4668" spans="1:50" x14ac:dyDescent="0.3">
      <c r="A4668" s="19">
        <f t="shared" si="364"/>
        <v>52449</v>
      </c>
      <c r="B4668">
        <f t="shared" ca="1" si="360"/>
        <v>-17.491666666666667</v>
      </c>
      <c r="C4668" t="str">
        <f ca="1">IF(currency="USD",'Future et co'!D4668,IF(currency="EUR",'Future et co'!E4668,IF(currency="GBP",'Future et co'!F4668,FALSE)))</f>
        <v>RFR USD</v>
      </c>
      <c r="D4668" t="str">
        <f t="shared" ca="1" si="361"/>
        <v>RFR USD</v>
      </c>
      <c r="E4668" t="str">
        <f t="shared" ca="1" si="362"/>
        <v>RFR EUR</v>
      </c>
      <c r="F4668" t="str">
        <f t="shared" ca="1" si="363"/>
        <v>RFR GBP</v>
      </c>
      <c r="J4668" s="1"/>
      <c r="N4668" s="1"/>
      <c r="R4668" s="1"/>
      <c r="V4668" s="1"/>
      <c r="AB4668" s="1"/>
      <c r="AF4668" s="1"/>
      <c r="AJ4668" s="1"/>
      <c r="AN4668" s="1"/>
      <c r="AS4668" s="1"/>
      <c r="AX4668" s="1"/>
    </row>
    <row r="4669" spans="1:50" x14ac:dyDescent="0.3">
      <c r="A4669" s="19">
        <f t="shared" si="364"/>
        <v>52450</v>
      </c>
      <c r="B4669">
        <f t="shared" ca="1" si="360"/>
        <v>-17.494444444444444</v>
      </c>
      <c r="C4669" t="str">
        <f ca="1">IF(currency="USD",'Future et co'!D4669,IF(currency="EUR",'Future et co'!E4669,IF(currency="GBP",'Future et co'!F4669,FALSE)))</f>
        <v>RFR USD</v>
      </c>
      <c r="D4669" t="str">
        <f t="shared" ca="1" si="361"/>
        <v>RFR USD</v>
      </c>
      <c r="E4669" t="str">
        <f t="shared" ca="1" si="362"/>
        <v>RFR EUR</v>
      </c>
      <c r="F4669" t="str">
        <f t="shared" ca="1" si="363"/>
        <v>RFR GBP</v>
      </c>
      <c r="J4669" s="1"/>
      <c r="N4669" s="1"/>
      <c r="R4669" s="1"/>
      <c r="V4669" s="1"/>
      <c r="AB4669" s="1"/>
      <c r="AF4669" s="1"/>
      <c r="AJ4669" s="1"/>
      <c r="AN4669" s="1"/>
      <c r="AS4669" s="1"/>
      <c r="AX4669" s="1"/>
    </row>
    <row r="4670" spans="1:50" x14ac:dyDescent="0.3">
      <c r="A4670" s="19">
        <f t="shared" si="364"/>
        <v>52453</v>
      </c>
      <c r="B4670">
        <f t="shared" ca="1" si="360"/>
        <v>-17.502777777777776</v>
      </c>
      <c r="C4670" t="str">
        <f ca="1">IF(currency="USD",'Future et co'!D4670,IF(currency="EUR",'Future et co'!E4670,IF(currency="GBP",'Future et co'!F4670,FALSE)))</f>
        <v>RFR USD</v>
      </c>
      <c r="D4670" t="str">
        <f t="shared" ca="1" si="361"/>
        <v>RFR USD</v>
      </c>
      <c r="E4670" t="str">
        <f t="shared" ca="1" si="362"/>
        <v>RFR EUR</v>
      </c>
      <c r="F4670" t="str">
        <f t="shared" ca="1" si="363"/>
        <v>RFR GBP</v>
      </c>
      <c r="J4670" s="1"/>
      <c r="N4670" s="1"/>
      <c r="R4670" s="1"/>
      <c r="V4670" s="1"/>
      <c r="AB4670" s="1"/>
      <c r="AF4670" s="1"/>
      <c r="AJ4670" s="1"/>
      <c r="AN4670" s="1"/>
      <c r="AS4670" s="1"/>
      <c r="AX4670" s="1"/>
    </row>
    <row r="4671" spans="1:50" x14ac:dyDescent="0.3">
      <c r="A4671" s="19">
        <f t="shared" si="364"/>
        <v>52454</v>
      </c>
      <c r="B4671">
        <f t="shared" ca="1" si="360"/>
        <v>-17.505555555555556</v>
      </c>
      <c r="C4671" t="str">
        <f ca="1">IF(currency="USD",'Future et co'!D4671,IF(currency="EUR",'Future et co'!E4671,IF(currency="GBP",'Future et co'!F4671,FALSE)))</f>
        <v>RFR USD</v>
      </c>
      <c r="D4671" t="str">
        <f t="shared" ca="1" si="361"/>
        <v>RFR USD</v>
      </c>
      <c r="E4671" t="str">
        <f t="shared" ca="1" si="362"/>
        <v>RFR EUR</v>
      </c>
      <c r="F4671" t="str">
        <f t="shared" ca="1" si="363"/>
        <v>RFR GBP</v>
      </c>
      <c r="J4671" s="1"/>
      <c r="N4671" s="1"/>
      <c r="R4671" s="1"/>
      <c r="V4671" s="1"/>
      <c r="AB4671" s="1"/>
      <c r="AF4671" s="1"/>
      <c r="AJ4671" s="1"/>
      <c r="AN4671" s="1"/>
      <c r="AS4671" s="1"/>
      <c r="AX4671" s="1"/>
    </row>
    <row r="4672" spans="1:50" x14ac:dyDescent="0.3">
      <c r="A4672" s="19">
        <f t="shared" si="364"/>
        <v>52455</v>
      </c>
      <c r="B4672">
        <f t="shared" ca="1" si="360"/>
        <v>-17.508333333333333</v>
      </c>
      <c r="C4672" t="str">
        <f ca="1">IF(currency="USD",'Future et co'!D4672,IF(currency="EUR",'Future et co'!E4672,IF(currency="GBP",'Future et co'!F4672,FALSE)))</f>
        <v>RFR USD</v>
      </c>
      <c r="D4672" t="str">
        <f t="shared" ca="1" si="361"/>
        <v>RFR USD</v>
      </c>
      <c r="E4672" t="str">
        <f t="shared" ca="1" si="362"/>
        <v>RFR EUR</v>
      </c>
      <c r="F4672" t="str">
        <f t="shared" ca="1" si="363"/>
        <v>RFR GBP</v>
      </c>
      <c r="J4672" s="1"/>
      <c r="N4672" s="1"/>
      <c r="R4672" s="1"/>
      <c r="V4672" s="1"/>
      <c r="AB4672" s="1"/>
      <c r="AF4672" s="1"/>
      <c r="AJ4672" s="1"/>
      <c r="AN4672" s="1"/>
      <c r="AS4672" s="1"/>
      <c r="AX4672" s="1"/>
    </row>
    <row r="4673" spans="1:50" x14ac:dyDescent="0.3">
      <c r="A4673" s="19">
        <f t="shared" si="364"/>
        <v>52456</v>
      </c>
      <c r="B4673">
        <f t="shared" ca="1" si="360"/>
        <v>-17.511111111111113</v>
      </c>
      <c r="C4673" t="str">
        <f ca="1">IF(currency="USD",'Future et co'!D4673,IF(currency="EUR",'Future et co'!E4673,IF(currency="GBP",'Future et co'!F4673,FALSE)))</f>
        <v>RFR USD</v>
      </c>
      <c r="D4673" t="str">
        <f t="shared" ca="1" si="361"/>
        <v>RFR USD</v>
      </c>
      <c r="E4673" t="str">
        <f t="shared" ca="1" si="362"/>
        <v>RFR EUR</v>
      </c>
      <c r="F4673" t="str">
        <f t="shared" ca="1" si="363"/>
        <v>RFR GBP</v>
      </c>
      <c r="J4673" s="1"/>
      <c r="N4673" s="1"/>
      <c r="R4673" s="1"/>
      <c r="V4673" s="1"/>
      <c r="AB4673" s="1"/>
      <c r="AF4673" s="1"/>
      <c r="AJ4673" s="1"/>
      <c r="AN4673" s="1"/>
      <c r="AS4673" s="1"/>
      <c r="AX4673" s="1"/>
    </row>
    <row r="4674" spans="1:50" x14ac:dyDescent="0.3">
      <c r="A4674" s="19">
        <f t="shared" si="364"/>
        <v>52457</v>
      </c>
      <c r="B4674">
        <f t="shared" ca="1" si="360"/>
        <v>-17.513888888888889</v>
      </c>
      <c r="C4674" t="str">
        <f ca="1">IF(currency="USD",'Future et co'!D4674,IF(currency="EUR",'Future et co'!E4674,IF(currency="GBP",'Future et co'!F4674,FALSE)))</f>
        <v>RFR USD</v>
      </c>
      <c r="D4674" t="str">
        <f t="shared" ca="1" si="361"/>
        <v>RFR USD</v>
      </c>
      <c r="E4674" t="str">
        <f t="shared" ca="1" si="362"/>
        <v>RFR EUR</v>
      </c>
      <c r="F4674" t="str">
        <f t="shared" ca="1" si="363"/>
        <v>RFR GBP</v>
      </c>
      <c r="J4674" s="1"/>
      <c r="N4674" s="1"/>
      <c r="R4674" s="1"/>
      <c r="V4674" s="1"/>
      <c r="AB4674" s="1"/>
      <c r="AF4674" s="1"/>
      <c r="AJ4674" s="1"/>
      <c r="AN4674" s="1"/>
      <c r="AS4674" s="1"/>
      <c r="AX4674" s="1"/>
    </row>
    <row r="4675" spans="1:50" x14ac:dyDescent="0.3">
      <c r="A4675" s="19">
        <f t="shared" si="364"/>
        <v>52460</v>
      </c>
      <c r="B4675">
        <f t="shared" ca="1" si="360"/>
        <v>-17.522222222222222</v>
      </c>
      <c r="C4675" t="str">
        <f ca="1">IF(currency="USD",'Future et co'!D4675,IF(currency="EUR",'Future et co'!E4675,IF(currency="GBP",'Future et co'!F4675,FALSE)))</f>
        <v>RFR USD</v>
      </c>
      <c r="D4675" t="str">
        <f t="shared" ca="1" si="361"/>
        <v>RFR USD</v>
      </c>
      <c r="E4675" t="str">
        <f t="shared" ca="1" si="362"/>
        <v>RFR EUR</v>
      </c>
      <c r="F4675" t="str">
        <f t="shared" ca="1" si="363"/>
        <v>RFR GBP</v>
      </c>
      <c r="J4675" s="1"/>
      <c r="N4675" s="1"/>
      <c r="R4675" s="1"/>
      <c r="V4675" s="1"/>
      <c r="AB4675" s="1"/>
      <c r="AF4675" s="1"/>
      <c r="AJ4675" s="1"/>
      <c r="AN4675" s="1"/>
      <c r="AS4675" s="1"/>
      <c r="AX4675" s="1"/>
    </row>
    <row r="4676" spans="1:50" x14ac:dyDescent="0.3">
      <c r="A4676" s="19">
        <f t="shared" si="364"/>
        <v>52461</v>
      </c>
      <c r="B4676">
        <f t="shared" ca="1" si="360"/>
        <v>-17.524999999999999</v>
      </c>
      <c r="C4676" t="str">
        <f ca="1">IF(currency="USD",'Future et co'!D4676,IF(currency="EUR",'Future et co'!E4676,IF(currency="GBP",'Future et co'!F4676,FALSE)))</f>
        <v>RFR USD</v>
      </c>
      <c r="D4676" t="str">
        <f t="shared" ca="1" si="361"/>
        <v>RFR USD</v>
      </c>
      <c r="E4676" t="str">
        <f t="shared" ca="1" si="362"/>
        <v>RFR EUR</v>
      </c>
      <c r="F4676" t="str">
        <f t="shared" ca="1" si="363"/>
        <v>RFR GBP</v>
      </c>
      <c r="J4676" s="1"/>
      <c r="N4676" s="1"/>
      <c r="R4676" s="1"/>
      <c r="V4676" s="1"/>
      <c r="AB4676" s="1"/>
      <c r="AF4676" s="1"/>
      <c r="AJ4676" s="1"/>
      <c r="AN4676" s="1"/>
      <c r="AS4676" s="1"/>
      <c r="AX4676" s="1"/>
    </row>
    <row r="4677" spans="1:50" x14ac:dyDescent="0.3">
      <c r="A4677" s="19">
        <f t="shared" si="364"/>
        <v>52462</v>
      </c>
      <c r="B4677">
        <f t="shared" ca="1" si="360"/>
        <v>-17.527777777777779</v>
      </c>
      <c r="C4677" t="str">
        <f ca="1">IF(currency="USD",'Future et co'!D4677,IF(currency="EUR",'Future et co'!E4677,IF(currency="GBP",'Future et co'!F4677,FALSE)))</f>
        <v>RFR USD</v>
      </c>
      <c r="D4677" t="str">
        <f t="shared" ca="1" si="361"/>
        <v>RFR USD</v>
      </c>
      <c r="E4677" t="str">
        <f t="shared" ca="1" si="362"/>
        <v>RFR EUR</v>
      </c>
      <c r="F4677" t="str">
        <f t="shared" ca="1" si="363"/>
        <v>RFR GBP</v>
      </c>
      <c r="J4677" s="1"/>
      <c r="N4677" s="1"/>
      <c r="R4677" s="1"/>
      <c r="V4677" s="1"/>
      <c r="AB4677" s="1"/>
      <c r="AF4677" s="1"/>
      <c r="AJ4677" s="1"/>
      <c r="AN4677" s="1"/>
      <c r="AS4677" s="1"/>
      <c r="AX4677" s="1"/>
    </row>
    <row r="4678" spans="1:50" x14ac:dyDescent="0.3">
      <c r="A4678" s="19">
        <f t="shared" si="364"/>
        <v>52463</v>
      </c>
      <c r="B4678">
        <f t="shared" ca="1" si="360"/>
        <v>-17.530555555555555</v>
      </c>
      <c r="C4678" t="str">
        <f ca="1">IF(currency="USD",'Future et co'!D4678,IF(currency="EUR",'Future et co'!E4678,IF(currency="GBP",'Future et co'!F4678,FALSE)))</f>
        <v>RFR USD</v>
      </c>
      <c r="D4678" t="str">
        <f t="shared" ca="1" si="361"/>
        <v>RFR USD</v>
      </c>
      <c r="E4678" t="str">
        <f t="shared" ca="1" si="362"/>
        <v>RFR EUR</v>
      </c>
      <c r="F4678" t="str">
        <f t="shared" ca="1" si="363"/>
        <v>RFR GBP</v>
      </c>
      <c r="J4678" s="1"/>
      <c r="N4678" s="1"/>
      <c r="R4678" s="1"/>
      <c r="V4678" s="1"/>
      <c r="AB4678" s="1"/>
      <c r="AF4678" s="1"/>
      <c r="AJ4678" s="1"/>
      <c r="AN4678" s="1"/>
      <c r="AS4678" s="1"/>
      <c r="AX4678" s="1"/>
    </row>
    <row r="4679" spans="1:50" x14ac:dyDescent="0.3">
      <c r="A4679" s="19">
        <f t="shared" si="364"/>
        <v>52464</v>
      </c>
      <c r="B4679">
        <f t="shared" ca="1" si="360"/>
        <v>-17.533333333333335</v>
      </c>
      <c r="C4679" t="str">
        <f ca="1">IF(currency="USD",'Future et co'!D4679,IF(currency="EUR",'Future et co'!E4679,IF(currency="GBP",'Future et co'!F4679,FALSE)))</f>
        <v>RFR USD</v>
      </c>
      <c r="D4679" t="str">
        <f t="shared" ca="1" si="361"/>
        <v>RFR USD</v>
      </c>
      <c r="E4679" t="str">
        <f t="shared" ca="1" si="362"/>
        <v>RFR EUR</v>
      </c>
      <c r="F4679" t="str">
        <f t="shared" ca="1" si="363"/>
        <v>RFR GBP</v>
      </c>
      <c r="J4679" s="1"/>
      <c r="N4679" s="1"/>
      <c r="R4679" s="1"/>
      <c r="V4679" s="1"/>
      <c r="AB4679" s="1"/>
      <c r="AF4679" s="1"/>
      <c r="AJ4679" s="1"/>
      <c r="AN4679" s="1"/>
      <c r="AS4679" s="1"/>
      <c r="AX4679" s="1"/>
    </row>
    <row r="4680" spans="1:50" x14ac:dyDescent="0.3">
      <c r="A4680" s="19">
        <f t="shared" si="364"/>
        <v>52467</v>
      </c>
      <c r="B4680">
        <f t="shared" ca="1" si="360"/>
        <v>-17.541666666666668</v>
      </c>
      <c r="C4680" t="str">
        <f ca="1">IF(currency="USD",'Future et co'!D4680,IF(currency="EUR",'Future et co'!E4680,IF(currency="GBP",'Future et co'!F4680,FALSE)))</f>
        <v>RFR USD</v>
      </c>
      <c r="D4680" t="str">
        <f t="shared" ca="1" si="361"/>
        <v>RFR USD</v>
      </c>
      <c r="E4680" t="str">
        <f t="shared" ca="1" si="362"/>
        <v>RFR EUR</v>
      </c>
      <c r="F4680" t="str">
        <f t="shared" ca="1" si="363"/>
        <v>RFR GBP</v>
      </c>
      <c r="J4680" s="1"/>
      <c r="N4680" s="1"/>
      <c r="R4680" s="1"/>
      <c r="V4680" s="1"/>
      <c r="AB4680" s="1"/>
      <c r="AF4680" s="1"/>
      <c r="AJ4680" s="1"/>
      <c r="AN4680" s="1"/>
      <c r="AS4680" s="1"/>
      <c r="AX4680" s="1"/>
    </row>
    <row r="4681" spans="1:50" x14ac:dyDescent="0.3">
      <c r="A4681" s="19">
        <f t="shared" si="364"/>
        <v>52468</v>
      </c>
      <c r="B4681">
        <f t="shared" ca="1" si="360"/>
        <v>-17.544444444444444</v>
      </c>
      <c r="C4681" t="str">
        <f ca="1">IF(currency="USD",'Future et co'!D4681,IF(currency="EUR",'Future et co'!E4681,IF(currency="GBP",'Future et co'!F4681,FALSE)))</f>
        <v>RFR USD</v>
      </c>
      <c r="D4681" t="str">
        <f t="shared" ca="1" si="361"/>
        <v>RFR USD</v>
      </c>
      <c r="E4681" t="str">
        <f t="shared" ca="1" si="362"/>
        <v>RFR EUR</v>
      </c>
      <c r="F4681" t="str">
        <f t="shared" ca="1" si="363"/>
        <v>RFR GBP</v>
      </c>
      <c r="J4681" s="1"/>
      <c r="N4681" s="1"/>
      <c r="R4681" s="1"/>
      <c r="V4681" s="1"/>
      <c r="AB4681" s="1"/>
      <c r="AF4681" s="1"/>
      <c r="AJ4681" s="1"/>
      <c r="AN4681" s="1"/>
      <c r="AS4681" s="1"/>
      <c r="AX4681" s="1"/>
    </row>
    <row r="4682" spans="1:50" x14ac:dyDescent="0.3">
      <c r="A4682" s="19">
        <f t="shared" si="364"/>
        <v>52469</v>
      </c>
      <c r="B4682">
        <f t="shared" ca="1" si="360"/>
        <v>-17.547222222222221</v>
      </c>
      <c r="C4682" t="str">
        <f ca="1">IF(currency="USD",'Future et co'!D4682,IF(currency="EUR",'Future et co'!E4682,IF(currency="GBP",'Future et co'!F4682,FALSE)))</f>
        <v>RFR USD</v>
      </c>
      <c r="D4682" t="str">
        <f t="shared" ca="1" si="361"/>
        <v>RFR USD</v>
      </c>
      <c r="E4682" t="str">
        <f t="shared" ca="1" si="362"/>
        <v>RFR EUR</v>
      </c>
      <c r="F4682" t="str">
        <f t="shared" ca="1" si="363"/>
        <v>RFR GBP</v>
      </c>
      <c r="J4682" s="1"/>
      <c r="N4682" s="1"/>
      <c r="R4682" s="1"/>
      <c r="V4682" s="1"/>
      <c r="AB4682" s="1"/>
      <c r="AF4682" s="1"/>
      <c r="AJ4682" s="1"/>
      <c r="AN4682" s="1"/>
      <c r="AS4682" s="1"/>
      <c r="AX4682" s="1"/>
    </row>
    <row r="4683" spans="1:50" x14ac:dyDescent="0.3">
      <c r="A4683" s="19">
        <f t="shared" si="364"/>
        <v>52470</v>
      </c>
      <c r="B4683">
        <f t="shared" ref="B4683:B4746" ca="1" si="365">($B$7-A4683)/360</f>
        <v>-17.55</v>
      </c>
      <c r="C4683" t="str">
        <f ca="1">IF(currency="USD",'Future et co'!D4683,IF(currency="EUR",'Future et co'!E4683,IF(currency="GBP",'Future et co'!F4683,FALSE)))</f>
        <v>RFR USD</v>
      </c>
      <c r="D4683" t="str">
        <f t="shared" ref="D4683:D4746" ca="1" si="366">IFERROR(IF(B4683&lt;0.25,VLOOKUP(A4683,$J$11:$L$5325,3,FALSE),IF(AND(B4683&gt;=0.25,B4683&lt;0.5),VLOOKUP(A4683,$N$11:$P$5325,3,FALSE),IF(AND(B4683&gt;=0.5,B4683&lt;1),VLOOKUP(A4683,$R$11:$T$5325,3,FALSE),VLOOKUP(A4683,$V$11:$X$5010,3,FALSE)))),D4682)</f>
        <v>RFR USD</v>
      </c>
      <c r="E4683" t="str">
        <f t="shared" ref="E4683:E4746" ca="1" si="367">IFERROR(IF(B4683&lt;0.25,VLOOKUP(A4683,$AF$11:$AH$5325,3,FALSE),IF(AND(B4683&gt;=0.25,B4683&lt;0.5),VLOOKUP(A4683,$AJ$11:$AL$5325,3,FALSE),VLOOKUP(A4683,$AN$11:$AP$5325,3,FALSE))),E4682)</f>
        <v>RFR EUR</v>
      </c>
      <c r="F4683" t="str">
        <f t="shared" ref="F4683:F4746" ca="1" si="368">IFERROR(VLOOKUP(A4683,$AS$11:$AU$9999,3,FALSE),F4682)</f>
        <v>RFR GBP</v>
      </c>
      <c r="J4683" s="1"/>
      <c r="N4683" s="1"/>
      <c r="R4683" s="1"/>
      <c r="V4683" s="1"/>
      <c r="AB4683" s="1"/>
      <c r="AF4683" s="1"/>
      <c r="AJ4683" s="1"/>
      <c r="AN4683" s="1"/>
      <c r="AS4683" s="1"/>
      <c r="AX4683" s="1"/>
    </row>
    <row r="4684" spans="1:50" x14ac:dyDescent="0.3">
      <c r="A4684" s="19">
        <f t="shared" si="364"/>
        <v>52471</v>
      </c>
      <c r="B4684">
        <f t="shared" ca="1" si="365"/>
        <v>-17.552777777777777</v>
      </c>
      <c r="C4684" t="str">
        <f ca="1">IF(currency="USD",'Future et co'!D4684,IF(currency="EUR",'Future et co'!E4684,IF(currency="GBP",'Future et co'!F4684,FALSE)))</f>
        <v>RFR USD</v>
      </c>
      <c r="D4684" t="str">
        <f t="shared" ca="1" si="366"/>
        <v>RFR USD</v>
      </c>
      <c r="E4684" t="str">
        <f t="shared" ca="1" si="367"/>
        <v>RFR EUR</v>
      </c>
      <c r="F4684" t="str">
        <f t="shared" ca="1" si="368"/>
        <v>RFR GBP</v>
      </c>
      <c r="J4684" s="1"/>
      <c r="N4684" s="1"/>
      <c r="R4684" s="1"/>
      <c r="V4684" s="1"/>
      <c r="AB4684" s="1"/>
      <c r="AF4684" s="1"/>
      <c r="AJ4684" s="1"/>
      <c r="AN4684" s="1"/>
      <c r="AS4684" s="1"/>
      <c r="AX4684" s="1"/>
    </row>
    <row r="4685" spans="1:50" x14ac:dyDescent="0.3">
      <c r="A4685" s="19">
        <f t="shared" ref="A4685:A4748" si="369">WORKDAY(A4684,1)</f>
        <v>52474</v>
      </c>
      <c r="B4685">
        <f t="shared" ca="1" si="365"/>
        <v>-17.56111111111111</v>
      </c>
      <c r="C4685" t="str">
        <f ca="1">IF(currency="USD",'Future et co'!D4685,IF(currency="EUR",'Future et co'!E4685,IF(currency="GBP",'Future et co'!F4685,FALSE)))</f>
        <v>RFR USD</v>
      </c>
      <c r="D4685" t="str">
        <f t="shared" ca="1" si="366"/>
        <v>RFR USD</v>
      </c>
      <c r="E4685" t="str">
        <f t="shared" ca="1" si="367"/>
        <v>RFR EUR</v>
      </c>
      <c r="F4685" t="str">
        <f t="shared" ca="1" si="368"/>
        <v>RFR GBP</v>
      </c>
      <c r="J4685" s="1"/>
      <c r="N4685" s="1"/>
      <c r="R4685" s="1"/>
      <c r="V4685" s="1"/>
      <c r="AB4685" s="1"/>
      <c r="AF4685" s="1"/>
      <c r="AJ4685" s="1"/>
      <c r="AN4685" s="1"/>
      <c r="AS4685" s="1"/>
      <c r="AX4685" s="1"/>
    </row>
    <row r="4686" spans="1:50" x14ac:dyDescent="0.3">
      <c r="A4686" s="19">
        <f t="shared" si="369"/>
        <v>52475</v>
      </c>
      <c r="B4686">
        <f t="shared" ca="1" si="365"/>
        <v>-17.56388888888889</v>
      </c>
      <c r="C4686" t="str">
        <f ca="1">IF(currency="USD",'Future et co'!D4686,IF(currency="EUR",'Future et co'!E4686,IF(currency="GBP",'Future et co'!F4686,FALSE)))</f>
        <v>RFR USD</v>
      </c>
      <c r="D4686" t="str">
        <f t="shared" ca="1" si="366"/>
        <v>RFR USD</v>
      </c>
      <c r="E4686" t="str">
        <f t="shared" ca="1" si="367"/>
        <v>RFR EUR</v>
      </c>
      <c r="F4686" t="str">
        <f t="shared" ca="1" si="368"/>
        <v>RFR GBP</v>
      </c>
      <c r="J4686" s="1"/>
      <c r="N4686" s="1"/>
      <c r="R4686" s="1"/>
      <c r="V4686" s="1"/>
      <c r="AB4686" s="1"/>
      <c r="AF4686" s="1"/>
      <c r="AJ4686" s="1"/>
      <c r="AN4686" s="1"/>
      <c r="AS4686" s="1"/>
      <c r="AX4686" s="1"/>
    </row>
    <row r="4687" spans="1:50" x14ac:dyDescent="0.3">
      <c r="A4687" s="19">
        <f t="shared" si="369"/>
        <v>52476</v>
      </c>
      <c r="B4687">
        <f t="shared" ca="1" si="365"/>
        <v>-17.566666666666666</v>
      </c>
      <c r="C4687" t="str">
        <f ca="1">IF(currency="USD",'Future et co'!D4687,IF(currency="EUR",'Future et co'!E4687,IF(currency="GBP",'Future et co'!F4687,FALSE)))</f>
        <v>RFR USD</v>
      </c>
      <c r="D4687" t="str">
        <f t="shared" ca="1" si="366"/>
        <v>RFR USD</v>
      </c>
      <c r="E4687" t="str">
        <f t="shared" ca="1" si="367"/>
        <v>RFR EUR</v>
      </c>
      <c r="F4687" t="str">
        <f t="shared" ca="1" si="368"/>
        <v>RFR GBP</v>
      </c>
      <c r="J4687" s="1"/>
      <c r="N4687" s="1"/>
      <c r="R4687" s="1"/>
      <c r="V4687" s="1"/>
      <c r="AB4687" s="1"/>
      <c r="AF4687" s="1"/>
      <c r="AJ4687" s="1"/>
      <c r="AN4687" s="1"/>
      <c r="AS4687" s="1"/>
      <c r="AX4687" s="1"/>
    </row>
    <row r="4688" spans="1:50" x14ac:dyDescent="0.3">
      <c r="A4688" s="19">
        <f t="shared" si="369"/>
        <v>52477</v>
      </c>
      <c r="B4688">
        <f t="shared" ca="1" si="365"/>
        <v>-17.569444444444443</v>
      </c>
      <c r="C4688" t="str">
        <f ca="1">IF(currency="USD",'Future et co'!D4688,IF(currency="EUR",'Future et co'!E4688,IF(currency="GBP",'Future et co'!F4688,FALSE)))</f>
        <v>RFR USD</v>
      </c>
      <c r="D4688" t="str">
        <f t="shared" ca="1" si="366"/>
        <v>RFR USD</v>
      </c>
      <c r="E4688" t="str">
        <f t="shared" ca="1" si="367"/>
        <v>RFR EUR</v>
      </c>
      <c r="F4688" t="str">
        <f t="shared" ca="1" si="368"/>
        <v>RFR GBP</v>
      </c>
      <c r="J4688" s="1"/>
      <c r="N4688" s="1"/>
      <c r="R4688" s="1"/>
      <c r="V4688" s="1"/>
      <c r="AB4688" s="1"/>
      <c r="AF4688" s="1"/>
      <c r="AJ4688" s="1"/>
      <c r="AN4688" s="1"/>
      <c r="AS4688" s="1"/>
      <c r="AX4688" s="1"/>
    </row>
    <row r="4689" spans="1:50" x14ac:dyDescent="0.3">
      <c r="A4689" s="19">
        <f t="shared" si="369"/>
        <v>52478</v>
      </c>
      <c r="B4689">
        <f t="shared" ca="1" si="365"/>
        <v>-17.572222222222223</v>
      </c>
      <c r="C4689" t="str">
        <f ca="1">IF(currency="USD",'Future et co'!D4689,IF(currency="EUR",'Future et co'!E4689,IF(currency="GBP",'Future et co'!F4689,FALSE)))</f>
        <v>RFR USD</v>
      </c>
      <c r="D4689" t="str">
        <f t="shared" ca="1" si="366"/>
        <v>RFR USD</v>
      </c>
      <c r="E4689" t="str">
        <f t="shared" ca="1" si="367"/>
        <v>RFR EUR</v>
      </c>
      <c r="F4689" t="str">
        <f t="shared" ca="1" si="368"/>
        <v>RFR GBP</v>
      </c>
      <c r="J4689" s="1"/>
      <c r="N4689" s="1"/>
      <c r="R4689" s="1"/>
      <c r="V4689" s="1"/>
      <c r="AB4689" s="1"/>
      <c r="AF4689" s="1"/>
      <c r="AJ4689" s="1"/>
      <c r="AN4689" s="1"/>
      <c r="AS4689" s="1"/>
      <c r="AX4689" s="1"/>
    </row>
    <row r="4690" spans="1:50" x14ac:dyDescent="0.3">
      <c r="A4690" s="19">
        <f t="shared" si="369"/>
        <v>52481</v>
      </c>
      <c r="B4690">
        <f t="shared" ca="1" si="365"/>
        <v>-17.580555555555556</v>
      </c>
      <c r="C4690" t="str">
        <f ca="1">IF(currency="USD",'Future et co'!D4690,IF(currency="EUR",'Future et co'!E4690,IF(currency="GBP",'Future et co'!F4690,FALSE)))</f>
        <v>RFR USD</v>
      </c>
      <c r="D4690" t="str">
        <f t="shared" ca="1" si="366"/>
        <v>RFR USD</v>
      </c>
      <c r="E4690" t="str">
        <f t="shared" ca="1" si="367"/>
        <v>RFR EUR</v>
      </c>
      <c r="F4690" t="str">
        <f t="shared" ca="1" si="368"/>
        <v>RFR GBP</v>
      </c>
      <c r="J4690" s="1"/>
      <c r="N4690" s="1"/>
      <c r="R4690" s="1"/>
      <c r="V4690" s="1"/>
      <c r="AB4690" s="1"/>
      <c r="AF4690" s="1"/>
      <c r="AJ4690" s="1"/>
      <c r="AN4690" s="1"/>
      <c r="AS4690" s="1"/>
      <c r="AX4690" s="1"/>
    </row>
    <row r="4691" spans="1:50" x14ac:dyDescent="0.3">
      <c r="A4691" s="19">
        <f t="shared" si="369"/>
        <v>52482</v>
      </c>
      <c r="B4691">
        <f t="shared" ca="1" si="365"/>
        <v>-17.583333333333332</v>
      </c>
      <c r="C4691" t="str">
        <f ca="1">IF(currency="USD",'Future et co'!D4691,IF(currency="EUR",'Future et co'!E4691,IF(currency="GBP",'Future et co'!F4691,FALSE)))</f>
        <v>RFR USD</v>
      </c>
      <c r="D4691" t="str">
        <f t="shared" ca="1" si="366"/>
        <v>RFR USD</v>
      </c>
      <c r="E4691" t="str">
        <f t="shared" ca="1" si="367"/>
        <v>RFR EUR</v>
      </c>
      <c r="F4691" t="str">
        <f t="shared" ca="1" si="368"/>
        <v>RFR GBP</v>
      </c>
      <c r="J4691" s="1"/>
      <c r="N4691" s="1"/>
      <c r="R4691" s="1"/>
      <c r="V4691" s="1"/>
      <c r="AB4691" s="1"/>
      <c r="AF4691" s="1"/>
      <c r="AJ4691" s="1"/>
      <c r="AN4691" s="1"/>
      <c r="AS4691" s="1"/>
      <c r="AX4691" s="1"/>
    </row>
    <row r="4692" spans="1:50" x14ac:dyDescent="0.3">
      <c r="A4692" s="19">
        <f t="shared" si="369"/>
        <v>52483</v>
      </c>
      <c r="B4692">
        <f t="shared" ca="1" si="365"/>
        <v>-17.586111111111112</v>
      </c>
      <c r="C4692" t="str">
        <f ca="1">IF(currency="USD",'Future et co'!D4692,IF(currency="EUR",'Future et co'!E4692,IF(currency="GBP",'Future et co'!F4692,FALSE)))</f>
        <v>RFR USD</v>
      </c>
      <c r="D4692" t="str">
        <f t="shared" ca="1" si="366"/>
        <v>RFR USD</v>
      </c>
      <c r="E4692" t="str">
        <f t="shared" ca="1" si="367"/>
        <v>RFR EUR</v>
      </c>
      <c r="F4692" t="str">
        <f t="shared" ca="1" si="368"/>
        <v>RFR GBP</v>
      </c>
      <c r="J4692" s="1"/>
      <c r="N4692" s="1"/>
      <c r="R4692" s="1"/>
      <c r="V4692" s="1"/>
      <c r="AB4692" s="1"/>
      <c r="AF4692" s="1"/>
      <c r="AJ4692" s="1"/>
      <c r="AN4692" s="1"/>
      <c r="AS4692" s="1"/>
      <c r="AX4692" s="1"/>
    </row>
    <row r="4693" spans="1:50" x14ac:dyDescent="0.3">
      <c r="A4693" s="19">
        <f t="shared" si="369"/>
        <v>52484</v>
      </c>
      <c r="B4693">
        <f t="shared" ca="1" si="365"/>
        <v>-17.588888888888889</v>
      </c>
      <c r="C4693" t="str">
        <f ca="1">IF(currency="USD",'Future et co'!D4693,IF(currency="EUR",'Future et co'!E4693,IF(currency="GBP",'Future et co'!F4693,FALSE)))</f>
        <v>RFR USD</v>
      </c>
      <c r="D4693" t="str">
        <f t="shared" ca="1" si="366"/>
        <v>RFR USD</v>
      </c>
      <c r="E4693" t="str">
        <f t="shared" ca="1" si="367"/>
        <v>RFR EUR</v>
      </c>
      <c r="F4693" t="str">
        <f t="shared" ca="1" si="368"/>
        <v>RFR GBP</v>
      </c>
      <c r="J4693" s="1"/>
      <c r="N4693" s="1"/>
      <c r="R4693" s="1"/>
      <c r="V4693" s="1"/>
      <c r="AB4693" s="1"/>
      <c r="AF4693" s="1"/>
      <c r="AJ4693" s="1"/>
      <c r="AN4693" s="1"/>
      <c r="AS4693" s="1"/>
      <c r="AX4693" s="1"/>
    </row>
    <row r="4694" spans="1:50" x14ac:dyDescent="0.3">
      <c r="A4694" s="19">
        <f t="shared" si="369"/>
        <v>52485</v>
      </c>
      <c r="B4694">
        <f t="shared" ca="1" si="365"/>
        <v>-17.591666666666665</v>
      </c>
      <c r="C4694" t="str">
        <f ca="1">IF(currency="USD",'Future et co'!D4694,IF(currency="EUR",'Future et co'!E4694,IF(currency="GBP",'Future et co'!F4694,FALSE)))</f>
        <v>RFR USD</v>
      </c>
      <c r="D4694" t="str">
        <f t="shared" ca="1" si="366"/>
        <v>RFR USD</v>
      </c>
      <c r="E4694" t="str">
        <f t="shared" ca="1" si="367"/>
        <v>RFR EUR</v>
      </c>
      <c r="F4694" t="str">
        <f t="shared" ca="1" si="368"/>
        <v>RFR GBP</v>
      </c>
      <c r="J4694" s="1"/>
      <c r="N4694" s="1"/>
      <c r="R4694" s="1"/>
      <c r="V4694" s="1"/>
      <c r="AB4694" s="1"/>
      <c r="AF4694" s="1"/>
      <c r="AJ4694" s="1"/>
      <c r="AN4694" s="1"/>
      <c r="AS4694" s="1"/>
      <c r="AX4694" s="1"/>
    </row>
    <row r="4695" spans="1:50" x14ac:dyDescent="0.3">
      <c r="A4695" s="19">
        <f t="shared" si="369"/>
        <v>52488</v>
      </c>
      <c r="B4695">
        <f t="shared" ca="1" si="365"/>
        <v>-17.600000000000001</v>
      </c>
      <c r="C4695" t="str">
        <f ca="1">IF(currency="USD",'Future et co'!D4695,IF(currency="EUR",'Future et co'!E4695,IF(currency="GBP",'Future et co'!F4695,FALSE)))</f>
        <v>RFR USD</v>
      </c>
      <c r="D4695" t="str">
        <f t="shared" ca="1" si="366"/>
        <v>RFR USD</v>
      </c>
      <c r="E4695" t="str">
        <f t="shared" ca="1" si="367"/>
        <v>RFR EUR</v>
      </c>
      <c r="F4695" t="str">
        <f t="shared" ca="1" si="368"/>
        <v>RFR GBP</v>
      </c>
      <c r="J4695" s="1"/>
      <c r="N4695" s="1"/>
      <c r="R4695" s="1"/>
      <c r="V4695" s="1"/>
      <c r="AB4695" s="1"/>
      <c r="AF4695" s="1"/>
      <c r="AJ4695" s="1"/>
      <c r="AN4695" s="1"/>
      <c r="AS4695" s="1"/>
      <c r="AX4695" s="1"/>
    </row>
    <row r="4696" spans="1:50" x14ac:dyDescent="0.3">
      <c r="A4696" s="19">
        <f t="shared" si="369"/>
        <v>52489</v>
      </c>
      <c r="B4696">
        <f t="shared" ca="1" si="365"/>
        <v>-17.602777777777778</v>
      </c>
      <c r="C4696" t="str">
        <f ca="1">IF(currency="USD",'Future et co'!D4696,IF(currency="EUR",'Future et co'!E4696,IF(currency="GBP",'Future et co'!F4696,FALSE)))</f>
        <v>RFR USD</v>
      </c>
      <c r="D4696" t="str">
        <f t="shared" ca="1" si="366"/>
        <v>RFR USD</v>
      </c>
      <c r="E4696" t="str">
        <f t="shared" ca="1" si="367"/>
        <v>RFR EUR</v>
      </c>
      <c r="F4696" t="str">
        <f t="shared" ca="1" si="368"/>
        <v>RFR GBP</v>
      </c>
      <c r="J4696" s="1"/>
      <c r="N4696" s="1"/>
      <c r="R4696" s="1"/>
      <c r="V4696" s="1"/>
      <c r="AB4696" s="1"/>
      <c r="AF4696" s="1"/>
      <c r="AJ4696" s="1"/>
      <c r="AN4696" s="1"/>
      <c r="AS4696" s="1"/>
      <c r="AX4696" s="1"/>
    </row>
    <row r="4697" spans="1:50" x14ac:dyDescent="0.3">
      <c r="A4697" s="19">
        <f t="shared" si="369"/>
        <v>52490</v>
      </c>
      <c r="B4697">
        <f t="shared" ca="1" si="365"/>
        <v>-17.605555555555554</v>
      </c>
      <c r="C4697" t="str">
        <f ca="1">IF(currency="USD",'Future et co'!D4697,IF(currency="EUR",'Future et co'!E4697,IF(currency="GBP",'Future et co'!F4697,FALSE)))</f>
        <v>RFR USD</v>
      </c>
      <c r="D4697" t="str">
        <f t="shared" ca="1" si="366"/>
        <v>RFR USD</v>
      </c>
      <c r="E4697" t="str">
        <f t="shared" ca="1" si="367"/>
        <v>RFR EUR</v>
      </c>
      <c r="F4697" t="str">
        <f t="shared" ca="1" si="368"/>
        <v>RFR GBP</v>
      </c>
      <c r="J4697" s="1"/>
      <c r="N4697" s="1"/>
      <c r="R4697" s="1"/>
      <c r="V4697" s="1"/>
      <c r="AB4697" s="1"/>
      <c r="AF4697" s="1"/>
      <c r="AJ4697" s="1"/>
      <c r="AN4697" s="1"/>
      <c r="AS4697" s="1"/>
      <c r="AX4697" s="1"/>
    </row>
    <row r="4698" spans="1:50" x14ac:dyDescent="0.3">
      <c r="A4698" s="19">
        <f t="shared" si="369"/>
        <v>52491</v>
      </c>
      <c r="B4698">
        <f t="shared" ca="1" si="365"/>
        <v>-17.608333333333334</v>
      </c>
      <c r="C4698" t="str">
        <f ca="1">IF(currency="USD",'Future et co'!D4698,IF(currency="EUR",'Future et co'!E4698,IF(currency="GBP",'Future et co'!F4698,FALSE)))</f>
        <v>RFR USD</v>
      </c>
      <c r="D4698" t="str">
        <f t="shared" ca="1" si="366"/>
        <v>RFR USD</v>
      </c>
      <c r="E4698" t="str">
        <f t="shared" ca="1" si="367"/>
        <v>RFR EUR</v>
      </c>
      <c r="F4698" t="str">
        <f t="shared" ca="1" si="368"/>
        <v>RFR GBP</v>
      </c>
      <c r="J4698" s="1"/>
      <c r="N4698" s="1"/>
      <c r="R4698" s="1"/>
      <c r="V4698" s="1"/>
      <c r="AB4698" s="1"/>
      <c r="AF4698" s="1"/>
      <c r="AJ4698" s="1"/>
      <c r="AN4698" s="1"/>
      <c r="AS4698" s="1"/>
      <c r="AX4698" s="1"/>
    </row>
    <row r="4699" spans="1:50" x14ac:dyDescent="0.3">
      <c r="A4699" s="19">
        <f t="shared" si="369"/>
        <v>52492</v>
      </c>
      <c r="B4699">
        <f t="shared" ca="1" si="365"/>
        <v>-17.611111111111111</v>
      </c>
      <c r="C4699" t="str">
        <f ca="1">IF(currency="USD",'Future et co'!D4699,IF(currency="EUR",'Future et co'!E4699,IF(currency="GBP",'Future et co'!F4699,FALSE)))</f>
        <v>RFR USD</v>
      </c>
      <c r="D4699" t="str">
        <f t="shared" ca="1" si="366"/>
        <v>RFR USD</v>
      </c>
      <c r="E4699" t="str">
        <f t="shared" ca="1" si="367"/>
        <v>RFR EUR</v>
      </c>
      <c r="F4699" t="str">
        <f t="shared" ca="1" si="368"/>
        <v>RFR GBP</v>
      </c>
      <c r="J4699" s="1"/>
      <c r="N4699" s="1"/>
      <c r="R4699" s="1"/>
      <c r="V4699" s="1"/>
      <c r="AB4699" s="1"/>
      <c r="AF4699" s="1"/>
      <c r="AJ4699" s="1"/>
      <c r="AN4699" s="1"/>
      <c r="AS4699" s="1"/>
      <c r="AX4699" s="1"/>
    </row>
    <row r="4700" spans="1:50" x14ac:dyDescent="0.3">
      <c r="A4700" s="19">
        <f t="shared" si="369"/>
        <v>52495</v>
      </c>
      <c r="B4700">
        <f t="shared" ca="1" si="365"/>
        <v>-17.619444444444444</v>
      </c>
      <c r="C4700" t="str">
        <f ca="1">IF(currency="USD",'Future et co'!D4700,IF(currency="EUR",'Future et co'!E4700,IF(currency="GBP",'Future et co'!F4700,FALSE)))</f>
        <v>RFR USD</v>
      </c>
      <c r="D4700" t="str">
        <f t="shared" ca="1" si="366"/>
        <v>RFR USD</v>
      </c>
      <c r="E4700" t="str">
        <f t="shared" ca="1" si="367"/>
        <v>RFR EUR</v>
      </c>
      <c r="F4700" t="str">
        <f t="shared" ca="1" si="368"/>
        <v>RFR GBP</v>
      </c>
      <c r="J4700" s="1"/>
      <c r="N4700" s="1"/>
      <c r="R4700" s="1"/>
      <c r="V4700" s="1"/>
      <c r="AB4700" s="1"/>
      <c r="AF4700" s="1"/>
      <c r="AJ4700" s="1"/>
      <c r="AN4700" s="1"/>
      <c r="AS4700" s="1"/>
      <c r="AX4700" s="1"/>
    </row>
    <row r="4701" spans="1:50" x14ac:dyDescent="0.3">
      <c r="A4701" s="19">
        <f t="shared" si="369"/>
        <v>52496</v>
      </c>
      <c r="B4701">
        <f t="shared" ca="1" si="365"/>
        <v>-17.622222222222224</v>
      </c>
      <c r="C4701" t="str">
        <f ca="1">IF(currency="USD",'Future et co'!D4701,IF(currency="EUR",'Future et co'!E4701,IF(currency="GBP",'Future et co'!F4701,FALSE)))</f>
        <v>RFR USD</v>
      </c>
      <c r="D4701" t="str">
        <f t="shared" ca="1" si="366"/>
        <v>RFR USD</v>
      </c>
      <c r="E4701" t="str">
        <f t="shared" ca="1" si="367"/>
        <v>RFR EUR</v>
      </c>
      <c r="F4701" t="str">
        <f t="shared" ca="1" si="368"/>
        <v>RFR GBP</v>
      </c>
      <c r="J4701" s="1"/>
      <c r="N4701" s="1"/>
      <c r="R4701" s="1"/>
      <c r="V4701" s="1"/>
      <c r="AB4701" s="1"/>
      <c r="AF4701" s="1"/>
      <c r="AJ4701" s="1"/>
      <c r="AN4701" s="1"/>
      <c r="AS4701" s="1"/>
      <c r="AX4701" s="1"/>
    </row>
    <row r="4702" spans="1:50" x14ac:dyDescent="0.3">
      <c r="A4702" s="19">
        <f t="shared" si="369"/>
        <v>52497</v>
      </c>
      <c r="B4702">
        <f t="shared" ca="1" si="365"/>
        <v>-17.625</v>
      </c>
      <c r="C4702" t="str">
        <f ca="1">IF(currency="USD",'Future et co'!D4702,IF(currency="EUR",'Future et co'!E4702,IF(currency="GBP",'Future et co'!F4702,FALSE)))</f>
        <v>RFR USD</v>
      </c>
      <c r="D4702" t="str">
        <f t="shared" ca="1" si="366"/>
        <v>RFR USD</v>
      </c>
      <c r="E4702" t="str">
        <f t="shared" ca="1" si="367"/>
        <v>RFR EUR</v>
      </c>
      <c r="F4702" t="str">
        <f t="shared" ca="1" si="368"/>
        <v>RFR GBP</v>
      </c>
      <c r="J4702" s="1"/>
      <c r="N4702" s="1"/>
      <c r="R4702" s="1"/>
      <c r="V4702" s="1"/>
      <c r="AB4702" s="1"/>
      <c r="AF4702" s="1"/>
      <c r="AJ4702" s="1"/>
      <c r="AN4702" s="1"/>
      <c r="AS4702" s="1"/>
      <c r="AX4702" s="1"/>
    </row>
    <row r="4703" spans="1:50" x14ac:dyDescent="0.3">
      <c r="A4703" s="19">
        <f t="shared" si="369"/>
        <v>52498</v>
      </c>
      <c r="B4703">
        <f t="shared" ca="1" si="365"/>
        <v>-17.627777777777776</v>
      </c>
      <c r="C4703" t="str">
        <f ca="1">IF(currency="USD",'Future et co'!D4703,IF(currency="EUR",'Future et co'!E4703,IF(currency="GBP",'Future et co'!F4703,FALSE)))</f>
        <v>RFR USD</v>
      </c>
      <c r="D4703" t="str">
        <f t="shared" ca="1" si="366"/>
        <v>RFR USD</v>
      </c>
      <c r="E4703" t="str">
        <f t="shared" ca="1" si="367"/>
        <v>RFR EUR</v>
      </c>
      <c r="F4703" t="str">
        <f t="shared" ca="1" si="368"/>
        <v>RFR GBP</v>
      </c>
      <c r="J4703" s="1"/>
      <c r="N4703" s="1"/>
      <c r="R4703" s="1"/>
      <c r="V4703" s="1"/>
      <c r="AB4703" s="1"/>
      <c r="AF4703" s="1"/>
      <c r="AJ4703" s="1"/>
      <c r="AN4703" s="1"/>
      <c r="AS4703" s="1"/>
      <c r="AX4703" s="1"/>
    </row>
    <row r="4704" spans="1:50" x14ac:dyDescent="0.3">
      <c r="A4704" s="19">
        <f t="shared" si="369"/>
        <v>52499</v>
      </c>
      <c r="B4704">
        <f t="shared" ca="1" si="365"/>
        <v>-17.630555555555556</v>
      </c>
      <c r="C4704" t="str">
        <f ca="1">IF(currency="USD",'Future et co'!D4704,IF(currency="EUR",'Future et co'!E4704,IF(currency="GBP",'Future et co'!F4704,FALSE)))</f>
        <v>RFR USD</v>
      </c>
      <c r="D4704" t="str">
        <f t="shared" ca="1" si="366"/>
        <v>RFR USD</v>
      </c>
      <c r="E4704" t="str">
        <f t="shared" ca="1" si="367"/>
        <v>RFR EUR</v>
      </c>
      <c r="F4704" t="str">
        <f t="shared" ca="1" si="368"/>
        <v>RFR GBP</v>
      </c>
      <c r="J4704" s="1"/>
      <c r="N4704" s="1"/>
      <c r="R4704" s="1"/>
      <c r="V4704" s="1"/>
      <c r="AB4704" s="1"/>
      <c r="AF4704" s="1"/>
      <c r="AJ4704" s="1"/>
      <c r="AN4704" s="1"/>
      <c r="AS4704" s="1"/>
      <c r="AX4704" s="1"/>
    </row>
    <row r="4705" spans="1:50" x14ac:dyDescent="0.3">
      <c r="A4705" s="19">
        <f t="shared" si="369"/>
        <v>52502</v>
      </c>
      <c r="B4705">
        <f t="shared" ca="1" si="365"/>
        <v>-17.638888888888889</v>
      </c>
      <c r="C4705" t="str">
        <f ca="1">IF(currency="USD",'Future et co'!D4705,IF(currency="EUR",'Future et co'!E4705,IF(currency="GBP",'Future et co'!F4705,FALSE)))</f>
        <v>RFR USD</v>
      </c>
      <c r="D4705" t="str">
        <f t="shared" ca="1" si="366"/>
        <v>RFR USD</v>
      </c>
      <c r="E4705" t="str">
        <f t="shared" ca="1" si="367"/>
        <v>RFR EUR</v>
      </c>
      <c r="F4705" t="str">
        <f t="shared" ca="1" si="368"/>
        <v>RFR GBP</v>
      </c>
      <c r="J4705" s="1"/>
      <c r="N4705" s="1"/>
      <c r="R4705" s="1"/>
      <c r="V4705" s="1"/>
      <c r="AB4705" s="1"/>
      <c r="AF4705" s="1"/>
      <c r="AJ4705" s="1"/>
      <c r="AN4705" s="1"/>
      <c r="AS4705" s="1"/>
      <c r="AX4705" s="1"/>
    </row>
    <row r="4706" spans="1:50" x14ac:dyDescent="0.3">
      <c r="A4706" s="19">
        <f t="shared" si="369"/>
        <v>52503</v>
      </c>
      <c r="B4706">
        <f t="shared" ca="1" si="365"/>
        <v>-17.641666666666666</v>
      </c>
      <c r="C4706" t="str">
        <f ca="1">IF(currency="USD",'Future et co'!D4706,IF(currency="EUR",'Future et co'!E4706,IF(currency="GBP",'Future et co'!F4706,FALSE)))</f>
        <v>RFR USD</v>
      </c>
      <c r="D4706" t="str">
        <f t="shared" ca="1" si="366"/>
        <v>RFR USD</v>
      </c>
      <c r="E4706" t="str">
        <f t="shared" ca="1" si="367"/>
        <v>RFR EUR</v>
      </c>
      <c r="F4706" t="str">
        <f t="shared" ca="1" si="368"/>
        <v>RFR GBP</v>
      </c>
      <c r="J4706" s="1"/>
      <c r="N4706" s="1"/>
      <c r="R4706" s="1"/>
      <c r="V4706" s="1"/>
      <c r="AB4706" s="1"/>
      <c r="AF4706" s="1"/>
      <c r="AJ4706" s="1"/>
      <c r="AN4706" s="1"/>
      <c r="AS4706" s="1"/>
      <c r="AX4706" s="1"/>
    </row>
    <row r="4707" spans="1:50" x14ac:dyDescent="0.3">
      <c r="A4707" s="19">
        <f t="shared" si="369"/>
        <v>52504</v>
      </c>
      <c r="B4707">
        <f t="shared" ca="1" si="365"/>
        <v>-17.644444444444446</v>
      </c>
      <c r="C4707" t="str">
        <f ca="1">IF(currency="USD",'Future et co'!D4707,IF(currency="EUR",'Future et co'!E4707,IF(currency="GBP",'Future et co'!F4707,FALSE)))</f>
        <v>RFR USD</v>
      </c>
      <c r="D4707" t="str">
        <f t="shared" ca="1" si="366"/>
        <v>RFR USD</v>
      </c>
      <c r="E4707" t="str">
        <f t="shared" ca="1" si="367"/>
        <v>RFR EUR</v>
      </c>
      <c r="F4707" t="str">
        <f t="shared" ca="1" si="368"/>
        <v>RFR GBP</v>
      </c>
      <c r="J4707" s="1"/>
      <c r="N4707" s="1"/>
      <c r="R4707" s="1"/>
      <c r="V4707" s="1"/>
      <c r="AB4707" s="1"/>
      <c r="AF4707" s="1"/>
      <c r="AJ4707" s="1"/>
      <c r="AN4707" s="1"/>
      <c r="AS4707" s="1"/>
      <c r="AX4707" s="1"/>
    </row>
    <row r="4708" spans="1:50" x14ac:dyDescent="0.3">
      <c r="A4708" s="19">
        <f t="shared" si="369"/>
        <v>52505</v>
      </c>
      <c r="B4708">
        <f t="shared" ca="1" si="365"/>
        <v>-17.647222222222222</v>
      </c>
      <c r="C4708" t="str">
        <f ca="1">IF(currency="USD",'Future et co'!D4708,IF(currency="EUR",'Future et co'!E4708,IF(currency="GBP",'Future et co'!F4708,FALSE)))</f>
        <v>RFR USD</v>
      </c>
      <c r="D4708" t="str">
        <f t="shared" ca="1" si="366"/>
        <v>RFR USD</v>
      </c>
      <c r="E4708" t="str">
        <f t="shared" ca="1" si="367"/>
        <v>RFR EUR</v>
      </c>
      <c r="F4708" t="str">
        <f t="shared" ca="1" si="368"/>
        <v>RFR GBP</v>
      </c>
      <c r="J4708" s="1"/>
      <c r="N4708" s="1"/>
      <c r="R4708" s="1"/>
      <c r="V4708" s="1"/>
      <c r="AB4708" s="1"/>
      <c r="AF4708" s="1"/>
      <c r="AJ4708" s="1"/>
      <c r="AN4708" s="1"/>
      <c r="AS4708" s="1"/>
      <c r="AX4708" s="1"/>
    </row>
    <row r="4709" spans="1:50" x14ac:dyDescent="0.3">
      <c r="A4709" s="19">
        <f t="shared" si="369"/>
        <v>52506</v>
      </c>
      <c r="B4709">
        <f t="shared" ca="1" si="365"/>
        <v>-17.649999999999999</v>
      </c>
      <c r="C4709" t="str">
        <f ca="1">IF(currency="USD",'Future et co'!D4709,IF(currency="EUR",'Future et co'!E4709,IF(currency="GBP",'Future et co'!F4709,FALSE)))</f>
        <v>RFR USD</v>
      </c>
      <c r="D4709" t="str">
        <f t="shared" ca="1" si="366"/>
        <v>RFR USD</v>
      </c>
      <c r="E4709" t="str">
        <f t="shared" ca="1" si="367"/>
        <v>RFR EUR</v>
      </c>
      <c r="F4709" t="str">
        <f t="shared" ca="1" si="368"/>
        <v>RFR GBP</v>
      </c>
      <c r="J4709" s="1"/>
      <c r="N4709" s="1"/>
      <c r="R4709" s="1"/>
      <c r="V4709" s="1"/>
      <c r="AB4709" s="1"/>
      <c r="AF4709" s="1"/>
      <c r="AJ4709" s="1"/>
      <c r="AN4709" s="1"/>
      <c r="AS4709" s="1"/>
      <c r="AX4709" s="1"/>
    </row>
    <row r="4710" spans="1:50" x14ac:dyDescent="0.3">
      <c r="A4710" s="19">
        <f t="shared" si="369"/>
        <v>52509</v>
      </c>
      <c r="B4710">
        <f t="shared" ca="1" si="365"/>
        <v>-17.658333333333335</v>
      </c>
      <c r="C4710" t="str">
        <f ca="1">IF(currency="USD",'Future et co'!D4710,IF(currency="EUR",'Future et co'!E4710,IF(currency="GBP",'Future et co'!F4710,FALSE)))</f>
        <v>RFR USD</v>
      </c>
      <c r="D4710" t="str">
        <f t="shared" ca="1" si="366"/>
        <v>RFR USD</v>
      </c>
      <c r="E4710" t="str">
        <f t="shared" ca="1" si="367"/>
        <v>RFR EUR</v>
      </c>
      <c r="F4710" t="str">
        <f t="shared" ca="1" si="368"/>
        <v>RFR GBP</v>
      </c>
      <c r="J4710" s="1"/>
      <c r="N4710" s="1"/>
      <c r="R4710" s="1"/>
      <c r="V4710" s="1"/>
      <c r="AB4710" s="1"/>
      <c r="AF4710" s="1"/>
      <c r="AJ4710" s="1"/>
      <c r="AN4710" s="1"/>
      <c r="AS4710" s="1"/>
      <c r="AX4710" s="1"/>
    </row>
    <row r="4711" spans="1:50" x14ac:dyDescent="0.3">
      <c r="A4711" s="19">
        <f t="shared" si="369"/>
        <v>52510</v>
      </c>
      <c r="B4711">
        <f t="shared" ca="1" si="365"/>
        <v>-17.661111111111111</v>
      </c>
      <c r="C4711" t="str">
        <f ca="1">IF(currency="USD",'Future et co'!D4711,IF(currency="EUR",'Future et co'!E4711,IF(currency="GBP",'Future et co'!F4711,FALSE)))</f>
        <v>RFR USD</v>
      </c>
      <c r="D4711" t="str">
        <f t="shared" ca="1" si="366"/>
        <v>RFR USD</v>
      </c>
      <c r="E4711" t="str">
        <f t="shared" ca="1" si="367"/>
        <v>RFR EUR</v>
      </c>
      <c r="F4711" t="str">
        <f t="shared" ca="1" si="368"/>
        <v>RFR GBP</v>
      </c>
      <c r="J4711" s="1"/>
      <c r="N4711" s="1"/>
      <c r="R4711" s="1"/>
      <c r="V4711" s="1"/>
      <c r="AB4711" s="1"/>
      <c r="AF4711" s="1"/>
      <c r="AJ4711" s="1"/>
      <c r="AN4711" s="1"/>
      <c r="AS4711" s="1"/>
      <c r="AX4711" s="1"/>
    </row>
    <row r="4712" spans="1:50" x14ac:dyDescent="0.3">
      <c r="A4712" s="19">
        <f t="shared" si="369"/>
        <v>52511</v>
      </c>
      <c r="B4712">
        <f t="shared" ca="1" si="365"/>
        <v>-17.663888888888888</v>
      </c>
      <c r="C4712" t="str">
        <f ca="1">IF(currency="USD",'Future et co'!D4712,IF(currency="EUR",'Future et co'!E4712,IF(currency="GBP",'Future et co'!F4712,FALSE)))</f>
        <v>RFR USD</v>
      </c>
      <c r="D4712" t="str">
        <f t="shared" ca="1" si="366"/>
        <v>RFR USD</v>
      </c>
      <c r="E4712" t="str">
        <f t="shared" ca="1" si="367"/>
        <v>RFR EUR</v>
      </c>
      <c r="F4712" t="str">
        <f t="shared" ca="1" si="368"/>
        <v>RFR GBP</v>
      </c>
      <c r="J4712" s="1"/>
      <c r="N4712" s="1"/>
      <c r="R4712" s="1"/>
      <c r="V4712" s="1"/>
      <c r="AB4712" s="1"/>
      <c r="AF4712" s="1"/>
      <c r="AJ4712" s="1"/>
      <c r="AN4712" s="1"/>
      <c r="AS4712" s="1"/>
      <c r="AX4712" s="1"/>
    </row>
    <row r="4713" spans="1:50" x14ac:dyDescent="0.3">
      <c r="A4713" s="19">
        <f t="shared" si="369"/>
        <v>52512</v>
      </c>
      <c r="B4713">
        <f t="shared" ca="1" si="365"/>
        <v>-17.666666666666668</v>
      </c>
      <c r="C4713" t="str">
        <f ca="1">IF(currency="USD",'Future et co'!D4713,IF(currency="EUR",'Future et co'!E4713,IF(currency="GBP",'Future et co'!F4713,FALSE)))</f>
        <v>RFR USD</v>
      </c>
      <c r="D4713" t="str">
        <f t="shared" ca="1" si="366"/>
        <v>RFR USD</v>
      </c>
      <c r="E4713" t="str">
        <f t="shared" ca="1" si="367"/>
        <v>RFR EUR</v>
      </c>
      <c r="F4713" t="str">
        <f t="shared" ca="1" si="368"/>
        <v>RFR GBP</v>
      </c>
      <c r="J4713" s="1"/>
      <c r="N4713" s="1"/>
      <c r="R4713" s="1"/>
      <c r="V4713" s="1"/>
      <c r="AB4713" s="1"/>
      <c r="AF4713" s="1"/>
      <c r="AJ4713" s="1"/>
      <c r="AN4713" s="1"/>
      <c r="AS4713" s="1"/>
      <c r="AX4713" s="1"/>
    </row>
    <row r="4714" spans="1:50" x14ac:dyDescent="0.3">
      <c r="A4714" s="19">
        <f t="shared" si="369"/>
        <v>52513</v>
      </c>
      <c r="B4714">
        <f t="shared" ca="1" si="365"/>
        <v>-17.669444444444444</v>
      </c>
      <c r="C4714" t="str">
        <f ca="1">IF(currency="USD",'Future et co'!D4714,IF(currency="EUR",'Future et co'!E4714,IF(currency="GBP",'Future et co'!F4714,FALSE)))</f>
        <v>RFR USD</v>
      </c>
      <c r="D4714" t="str">
        <f t="shared" ca="1" si="366"/>
        <v>RFR USD</v>
      </c>
      <c r="E4714" t="str">
        <f t="shared" ca="1" si="367"/>
        <v>RFR EUR</v>
      </c>
      <c r="F4714" t="str">
        <f t="shared" ca="1" si="368"/>
        <v>RFR GBP</v>
      </c>
      <c r="J4714" s="1"/>
      <c r="N4714" s="1"/>
      <c r="R4714" s="1"/>
      <c r="V4714" s="1"/>
      <c r="AB4714" s="1"/>
      <c r="AF4714" s="1"/>
      <c r="AJ4714" s="1"/>
      <c r="AN4714" s="1"/>
      <c r="AS4714" s="1"/>
      <c r="AX4714" s="1"/>
    </row>
    <row r="4715" spans="1:50" x14ac:dyDescent="0.3">
      <c r="A4715" s="19">
        <f t="shared" si="369"/>
        <v>52516</v>
      </c>
      <c r="B4715">
        <f t="shared" ca="1" si="365"/>
        <v>-17.677777777777777</v>
      </c>
      <c r="C4715" t="str">
        <f ca="1">IF(currency="USD",'Future et co'!D4715,IF(currency="EUR",'Future et co'!E4715,IF(currency="GBP",'Future et co'!F4715,FALSE)))</f>
        <v>RFR USD</v>
      </c>
      <c r="D4715" t="str">
        <f t="shared" ca="1" si="366"/>
        <v>RFR USD</v>
      </c>
      <c r="E4715" t="str">
        <f t="shared" ca="1" si="367"/>
        <v>RFR EUR</v>
      </c>
      <c r="F4715" t="str">
        <f t="shared" ca="1" si="368"/>
        <v>RFR GBP</v>
      </c>
      <c r="J4715" s="1"/>
      <c r="N4715" s="1"/>
      <c r="R4715" s="1"/>
      <c r="V4715" s="1"/>
      <c r="AB4715" s="1"/>
      <c r="AF4715" s="1"/>
      <c r="AJ4715" s="1"/>
      <c r="AN4715" s="1"/>
      <c r="AS4715" s="1"/>
      <c r="AX4715" s="1"/>
    </row>
    <row r="4716" spans="1:50" x14ac:dyDescent="0.3">
      <c r="A4716" s="19">
        <f t="shared" si="369"/>
        <v>52517</v>
      </c>
      <c r="B4716">
        <f t="shared" ca="1" si="365"/>
        <v>-17.680555555555557</v>
      </c>
      <c r="C4716" t="str">
        <f ca="1">IF(currency="USD",'Future et co'!D4716,IF(currency="EUR",'Future et co'!E4716,IF(currency="GBP",'Future et co'!F4716,FALSE)))</f>
        <v>RFR USD</v>
      </c>
      <c r="D4716" t="str">
        <f t="shared" ca="1" si="366"/>
        <v>RFR USD</v>
      </c>
      <c r="E4716" t="str">
        <f t="shared" ca="1" si="367"/>
        <v>RFR EUR</v>
      </c>
      <c r="F4716" t="str">
        <f t="shared" ca="1" si="368"/>
        <v>RFR GBP</v>
      </c>
      <c r="J4716" s="1"/>
      <c r="N4716" s="1"/>
      <c r="R4716" s="1"/>
      <c r="V4716" s="1"/>
      <c r="AB4716" s="1"/>
      <c r="AF4716" s="1"/>
      <c r="AJ4716" s="1"/>
      <c r="AN4716" s="1"/>
      <c r="AS4716" s="1"/>
      <c r="AX4716" s="1"/>
    </row>
    <row r="4717" spans="1:50" x14ac:dyDescent="0.3">
      <c r="A4717" s="19">
        <f t="shared" si="369"/>
        <v>52518</v>
      </c>
      <c r="B4717">
        <f t="shared" ca="1" si="365"/>
        <v>-17.683333333333334</v>
      </c>
      <c r="C4717" t="str">
        <f ca="1">IF(currency="USD",'Future et co'!D4717,IF(currency="EUR",'Future et co'!E4717,IF(currency="GBP",'Future et co'!F4717,FALSE)))</f>
        <v>RFR USD</v>
      </c>
      <c r="D4717" t="str">
        <f t="shared" ca="1" si="366"/>
        <v>RFR USD</v>
      </c>
      <c r="E4717" t="str">
        <f t="shared" ca="1" si="367"/>
        <v>RFR EUR</v>
      </c>
      <c r="F4717" t="str">
        <f t="shared" ca="1" si="368"/>
        <v>RFR GBP</v>
      </c>
      <c r="J4717" s="1"/>
      <c r="N4717" s="1"/>
      <c r="R4717" s="1"/>
      <c r="V4717" s="1"/>
      <c r="AB4717" s="1"/>
      <c r="AF4717" s="1"/>
      <c r="AJ4717" s="1"/>
      <c r="AN4717" s="1"/>
      <c r="AS4717" s="1"/>
      <c r="AX4717" s="1"/>
    </row>
    <row r="4718" spans="1:50" x14ac:dyDescent="0.3">
      <c r="A4718" s="19">
        <f t="shared" si="369"/>
        <v>52519</v>
      </c>
      <c r="B4718">
        <f t="shared" ca="1" si="365"/>
        <v>-17.68611111111111</v>
      </c>
      <c r="C4718" t="str">
        <f ca="1">IF(currency="USD",'Future et co'!D4718,IF(currency="EUR",'Future et co'!E4718,IF(currency="GBP",'Future et co'!F4718,FALSE)))</f>
        <v>RFR USD</v>
      </c>
      <c r="D4718" t="str">
        <f t="shared" ca="1" si="366"/>
        <v>RFR USD</v>
      </c>
      <c r="E4718" t="str">
        <f t="shared" ca="1" si="367"/>
        <v>RFR EUR</v>
      </c>
      <c r="F4718" t="str">
        <f t="shared" ca="1" si="368"/>
        <v>RFR GBP</v>
      </c>
      <c r="J4718" s="1"/>
      <c r="N4718" s="1"/>
      <c r="R4718" s="1"/>
      <c r="V4718" s="1"/>
      <c r="AB4718" s="1"/>
      <c r="AF4718" s="1"/>
      <c r="AJ4718" s="1"/>
      <c r="AN4718" s="1"/>
      <c r="AS4718" s="1"/>
      <c r="AX4718" s="1"/>
    </row>
    <row r="4719" spans="1:50" x14ac:dyDescent="0.3">
      <c r="A4719" s="19">
        <f t="shared" si="369"/>
        <v>52520</v>
      </c>
      <c r="B4719">
        <f t="shared" ca="1" si="365"/>
        <v>-17.68888888888889</v>
      </c>
      <c r="C4719" t="str">
        <f ca="1">IF(currency="USD",'Future et co'!D4719,IF(currency="EUR",'Future et co'!E4719,IF(currency="GBP",'Future et co'!F4719,FALSE)))</f>
        <v>RFR USD</v>
      </c>
      <c r="D4719" t="str">
        <f t="shared" ca="1" si="366"/>
        <v>RFR USD</v>
      </c>
      <c r="E4719" t="str">
        <f t="shared" ca="1" si="367"/>
        <v>RFR EUR</v>
      </c>
      <c r="F4719" t="str">
        <f t="shared" ca="1" si="368"/>
        <v>RFR GBP</v>
      </c>
      <c r="J4719" s="1"/>
      <c r="N4719" s="1"/>
      <c r="R4719" s="1"/>
      <c r="V4719" s="1"/>
      <c r="AB4719" s="1"/>
      <c r="AF4719" s="1"/>
      <c r="AJ4719" s="1"/>
      <c r="AN4719" s="1"/>
      <c r="AS4719" s="1"/>
      <c r="AX4719" s="1"/>
    </row>
    <row r="4720" spans="1:50" x14ac:dyDescent="0.3">
      <c r="A4720" s="19">
        <f t="shared" si="369"/>
        <v>52523</v>
      </c>
      <c r="B4720">
        <f t="shared" ca="1" si="365"/>
        <v>-17.697222222222223</v>
      </c>
      <c r="C4720" t="str">
        <f ca="1">IF(currency="USD",'Future et co'!D4720,IF(currency="EUR",'Future et co'!E4720,IF(currency="GBP",'Future et co'!F4720,FALSE)))</f>
        <v>RFR USD</v>
      </c>
      <c r="D4720" t="str">
        <f t="shared" ca="1" si="366"/>
        <v>RFR USD</v>
      </c>
      <c r="E4720" t="str">
        <f t="shared" ca="1" si="367"/>
        <v>RFR EUR</v>
      </c>
      <c r="F4720" t="str">
        <f t="shared" ca="1" si="368"/>
        <v>RFR GBP</v>
      </c>
      <c r="J4720" s="1"/>
      <c r="N4720" s="1"/>
      <c r="R4720" s="1"/>
      <c r="V4720" s="1"/>
      <c r="AB4720" s="1"/>
      <c r="AF4720" s="1"/>
      <c r="AJ4720" s="1"/>
      <c r="AN4720" s="1"/>
      <c r="AS4720" s="1"/>
      <c r="AX4720" s="1"/>
    </row>
    <row r="4721" spans="1:50" x14ac:dyDescent="0.3">
      <c r="A4721" s="19">
        <f t="shared" si="369"/>
        <v>52524</v>
      </c>
      <c r="B4721">
        <f t="shared" ca="1" si="365"/>
        <v>-17.7</v>
      </c>
      <c r="C4721" t="str">
        <f ca="1">IF(currency="USD",'Future et co'!D4721,IF(currency="EUR",'Future et co'!E4721,IF(currency="GBP",'Future et co'!F4721,FALSE)))</f>
        <v>RFR USD</v>
      </c>
      <c r="D4721" t="str">
        <f t="shared" ca="1" si="366"/>
        <v>RFR USD</v>
      </c>
      <c r="E4721" t="str">
        <f t="shared" ca="1" si="367"/>
        <v>RFR EUR</v>
      </c>
      <c r="F4721" t="str">
        <f t="shared" ca="1" si="368"/>
        <v>RFR GBP</v>
      </c>
      <c r="J4721" s="1"/>
      <c r="N4721" s="1"/>
      <c r="R4721" s="1"/>
      <c r="V4721" s="1"/>
      <c r="AB4721" s="1"/>
      <c r="AF4721" s="1"/>
      <c r="AJ4721" s="1"/>
      <c r="AN4721" s="1"/>
      <c r="AS4721" s="1"/>
      <c r="AX4721" s="1"/>
    </row>
    <row r="4722" spans="1:50" x14ac:dyDescent="0.3">
      <c r="A4722" s="19">
        <f t="shared" si="369"/>
        <v>52525</v>
      </c>
      <c r="B4722">
        <f t="shared" ca="1" si="365"/>
        <v>-17.702777777777779</v>
      </c>
      <c r="C4722" t="str">
        <f ca="1">IF(currency="USD",'Future et co'!D4722,IF(currency="EUR",'Future et co'!E4722,IF(currency="GBP",'Future et co'!F4722,FALSE)))</f>
        <v>RFR USD</v>
      </c>
      <c r="D4722" t="str">
        <f t="shared" ca="1" si="366"/>
        <v>RFR USD</v>
      </c>
      <c r="E4722" t="str">
        <f t="shared" ca="1" si="367"/>
        <v>RFR EUR</v>
      </c>
      <c r="F4722" t="str">
        <f t="shared" ca="1" si="368"/>
        <v>RFR GBP</v>
      </c>
      <c r="J4722" s="1"/>
      <c r="N4722" s="1"/>
      <c r="R4722" s="1"/>
      <c r="V4722" s="1"/>
      <c r="AB4722" s="1"/>
      <c r="AF4722" s="1"/>
      <c r="AJ4722" s="1"/>
      <c r="AN4722" s="1"/>
      <c r="AS4722" s="1"/>
      <c r="AX4722" s="1"/>
    </row>
    <row r="4723" spans="1:50" x14ac:dyDescent="0.3">
      <c r="A4723" s="19">
        <f t="shared" si="369"/>
        <v>52526</v>
      </c>
      <c r="B4723">
        <f t="shared" ca="1" si="365"/>
        <v>-17.705555555555556</v>
      </c>
      <c r="C4723" t="str">
        <f ca="1">IF(currency="USD",'Future et co'!D4723,IF(currency="EUR",'Future et co'!E4723,IF(currency="GBP",'Future et co'!F4723,FALSE)))</f>
        <v>RFR USD</v>
      </c>
      <c r="D4723" t="str">
        <f t="shared" ca="1" si="366"/>
        <v>RFR USD</v>
      </c>
      <c r="E4723" t="str">
        <f t="shared" ca="1" si="367"/>
        <v>RFR EUR</v>
      </c>
      <c r="F4723" t="str">
        <f t="shared" ca="1" si="368"/>
        <v>RFR GBP</v>
      </c>
      <c r="J4723" s="1"/>
      <c r="N4723" s="1"/>
      <c r="R4723" s="1"/>
      <c r="V4723" s="1"/>
      <c r="AB4723" s="1"/>
      <c r="AF4723" s="1"/>
      <c r="AJ4723" s="1"/>
      <c r="AN4723" s="1"/>
      <c r="AS4723" s="1"/>
      <c r="AX4723" s="1"/>
    </row>
    <row r="4724" spans="1:50" x14ac:dyDescent="0.3">
      <c r="A4724" s="19">
        <f t="shared" si="369"/>
        <v>52527</v>
      </c>
      <c r="B4724">
        <f t="shared" ca="1" si="365"/>
        <v>-17.708333333333332</v>
      </c>
      <c r="C4724" t="str">
        <f ca="1">IF(currency="USD",'Future et co'!D4724,IF(currency="EUR",'Future et co'!E4724,IF(currency="GBP",'Future et co'!F4724,FALSE)))</f>
        <v>RFR USD</v>
      </c>
      <c r="D4724" t="str">
        <f t="shared" ca="1" si="366"/>
        <v>RFR USD</v>
      </c>
      <c r="E4724" t="str">
        <f t="shared" ca="1" si="367"/>
        <v>RFR EUR</v>
      </c>
      <c r="F4724" t="str">
        <f t="shared" ca="1" si="368"/>
        <v>RFR GBP</v>
      </c>
      <c r="J4724" s="1"/>
      <c r="N4724" s="1"/>
      <c r="R4724" s="1"/>
      <c r="V4724" s="1"/>
      <c r="AB4724" s="1"/>
      <c r="AF4724" s="1"/>
      <c r="AJ4724" s="1"/>
      <c r="AN4724" s="1"/>
      <c r="AS4724" s="1"/>
      <c r="AX4724" s="1"/>
    </row>
    <row r="4725" spans="1:50" x14ac:dyDescent="0.3">
      <c r="A4725" s="19">
        <f t="shared" si="369"/>
        <v>52530</v>
      </c>
      <c r="B4725">
        <f t="shared" ca="1" si="365"/>
        <v>-17.716666666666665</v>
      </c>
      <c r="C4725" t="str">
        <f ca="1">IF(currency="USD",'Future et co'!D4725,IF(currency="EUR",'Future et co'!E4725,IF(currency="GBP",'Future et co'!F4725,FALSE)))</f>
        <v>RFR USD</v>
      </c>
      <c r="D4725" t="str">
        <f t="shared" ca="1" si="366"/>
        <v>RFR USD</v>
      </c>
      <c r="E4725" t="str">
        <f t="shared" ca="1" si="367"/>
        <v>RFR EUR</v>
      </c>
      <c r="F4725" t="str">
        <f t="shared" ca="1" si="368"/>
        <v>RFR GBP</v>
      </c>
      <c r="J4725" s="1"/>
      <c r="N4725" s="1"/>
      <c r="R4725" s="1"/>
      <c r="V4725" s="1"/>
      <c r="AB4725" s="1"/>
      <c r="AF4725" s="1"/>
      <c r="AJ4725" s="1"/>
      <c r="AN4725" s="1"/>
      <c r="AS4725" s="1"/>
      <c r="AX4725" s="1"/>
    </row>
    <row r="4726" spans="1:50" x14ac:dyDescent="0.3">
      <c r="A4726" s="19">
        <f t="shared" si="369"/>
        <v>52531</v>
      </c>
      <c r="B4726">
        <f t="shared" ca="1" si="365"/>
        <v>-17.719444444444445</v>
      </c>
      <c r="C4726" t="str">
        <f ca="1">IF(currency="USD",'Future et co'!D4726,IF(currency="EUR",'Future et co'!E4726,IF(currency="GBP",'Future et co'!F4726,FALSE)))</f>
        <v>RFR USD</v>
      </c>
      <c r="D4726" t="str">
        <f t="shared" ca="1" si="366"/>
        <v>RFR USD</v>
      </c>
      <c r="E4726" t="str">
        <f t="shared" ca="1" si="367"/>
        <v>RFR EUR</v>
      </c>
      <c r="F4726" t="str">
        <f t="shared" ca="1" si="368"/>
        <v>RFR GBP</v>
      </c>
      <c r="J4726" s="1"/>
      <c r="N4726" s="1"/>
      <c r="R4726" s="1"/>
      <c r="V4726" s="1"/>
      <c r="AB4726" s="1"/>
      <c r="AF4726" s="1"/>
      <c r="AJ4726" s="1"/>
      <c r="AN4726" s="1"/>
      <c r="AS4726" s="1"/>
      <c r="AX4726" s="1"/>
    </row>
    <row r="4727" spans="1:50" x14ac:dyDescent="0.3">
      <c r="A4727" s="19">
        <f t="shared" si="369"/>
        <v>52532</v>
      </c>
      <c r="B4727">
        <f t="shared" ca="1" si="365"/>
        <v>-17.722222222222221</v>
      </c>
      <c r="C4727" t="str">
        <f ca="1">IF(currency="USD",'Future et co'!D4727,IF(currency="EUR",'Future et co'!E4727,IF(currency="GBP",'Future et co'!F4727,FALSE)))</f>
        <v>RFR USD</v>
      </c>
      <c r="D4727" t="str">
        <f t="shared" ca="1" si="366"/>
        <v>RFR USD</v>
      </c>
      <c r="E4727" t="str">
        <f t="shared" ca="1" si="367"/>
        <v>RFR EUR</v>
      </c>
      <c r="F4727" t="str">
        <f t="shared" ca="1" si="368"/>
        <v>RFR GBP</v>
      </c>
      <c r="J4727" s="1"/>
      <c r="N4727" s="1"/>
      <c r="R4727" s="1"/>
      <c r="V4727" s="1"/>
      <c r="AB4727" s="1"/>
      <c r="AF4727" s="1"/>
      <c r="AJ4727" s="1"/>
      <c r="AN4727" s="1"/>
      <c r="AS4727" s="1"/>
      <c r="AX4727" s="1"/>
    </row>
    <row r="4728" spans="1:50" x14ac:dyDescent="0.3">
      <c r="A4728" s="19">
        <f t="shared" si="369"/>
        <v>52533</v>
      </c>
      <c r="B4728">
        <f t="shared" ca="1" si="365"/>
        <v>-17.725000000000001</v>
      </c>
      <c r="C4728" t="str">
        <f ca="1">IF(currency="USD",'Future et co'!D4728,IF(currency="EUR",'Future et co'!E4728,IF(currency="GBP",'Future et co'!F4728,FALSE)))</f>
        <v>RFR USD</v>
      </c>
      <c r="D4728" t="str">
        <f t="shared" ca="1" si="366"/>
        <v>RFR USD</v>
      </c>
      <c r="E4728" t="str">
        <f t="shared" ca="1" si="367"/>
        <v>RFR EUR</v>
      </c>
      <c r="F4728" t="str">
        <f t="shared" ca="1" si="368"/>
        <v>RFR GBP</v>
      </c>
      <c r="J4728" s="1"/>
      <c r="N4728" s="1"/>
      <c r="R4728" s="1"/>
      <c r="V4728" s="1"/>
      <c r="AB4728" s="1"/>
      <c r="AF4728" s="1"/>
      <c r="AJ4728" s="1"/>
      <c r="AN4728" s="1"/>
      <c r="AS4728" s="1"/>
      <c r="AX4728" s="1"/>
    </row>
    <row r="4729" spans="1:50" x14ac:dyDescent="0.3">
      <c r="A4729" s="19">
        <f t="shared" si="369"/>
        <v>52534</v>
      </c>
      <c r="B4729">
        <f t="shared" ca="1" si="365"/>
        <v>-17.727777777777778</v>
      </c>
      <c r="C4729" t="str">
        <f ca="1">IF(currency="USD",'Future et co'!D4729,IF(currency="EUR",'Future et co'!E4729,IF(currency="GBP",'Future et co'!F4729,FALSE)))</f>
        <v>RFR USD</v>
      </c>
      <c r="D4729" t="str">
        <f t="shared" ca="1" si="366"/>
        <v>RFR USD</v>
      </c>
      <c r="E4729" t="str">
        <f t="shared" ca="1" si="367"/>
        <v>RFR EUR</v>
      </c>
      <c r="F4729" t="str">
        <f t="shared" ca="1" si="368"/>
        <v>RFR GBP</v>
      </c>
      <c r="J4729" s="1"/>
      <c r="N4729" s="1"/>
      <c r="R4729" s="1"/>
      <c r="V4729" s="1"/>
      <c r="AB4729" s="1"/>
      <c r="AF4729" s="1"/>
      <c r="AJ4729" s="1"/>
      <c r="AN4729" s="1"/>
      <c r="AS4729" s="1"/>
      <c r="AX4729" s="1"/>
    </row>
    <row r="4730" spans="1:50" x14ac:dyDescent="0.3">
      <c r="A4730" s="19">
        <f t="shared" si="369"/>
        <v>52537</v>
      </c>
      <c r="B4730">
        <f t="shared" ca="1" si="365"/>
        <v>-17.736111111111111</v>
      </c>
      <c r="C4730" t="str">
        <f ca="1">IF(currency="USD",'Future et co'!D4730,IF(currency="EUR",'Future et co'!E4730,IF(currency="GBP",'Future et co'!F4730,FALSE)))</f>
        <v>RFR USD</v>
      </c>
      <c r="D4730" t="str">
        <f t="shared" ca="1" si="366"/>
        <v>RFR USD</v>
      </c>
      <c r="E4730" t="str">
        <f t="shared" ca="1" si="367"/>
        <v>RFR EUR</v>
      </c>
      <c r="F4730" t="str">
        <f t="shared" ca="1" si="368"/>
        <v>RFR GBP</v>
      </c>
      <c r="J4730" s="1"/>
      <c r="N4730" s="1"/>
      <c r="R4730" s="1"/>
      <c r="V4730" s="1"/>
      <c r="AB4730" s="1"/>
      <c r="AF4730" s="1"/>
      <c r="AJ4730" s="1"/>
      <c r="AN4730" s="1"/>
      <c r="AS4730" s="1"/>
      <c r="AX4730" s="1"/>
    </row>
    <row r="4731" spans="1:50" x14ac:dyDescent="0.3">
      <c r="A4731" s="19">
        <f t="shared" si="369"/>
        <v>52538</v>
      </c>
      <c r="B4731">
        <f t="shared" ca="1" si="365"/>
        <v>-17.738888888888887</v>
      </c>
      <c r="C4731" t="str">
        <f ca="1">IF(currency="USD",'Future et co'!D4731,IF(currency="EUR",'Future et co'!E4731,IF(currency="GBP",'Future et co'!F4731,FALSE)))</f>
        <v>RFR USD</v>
      </c>
      <c r="D4731" t="str">
        <f t="shared" ca="1" si="366"/>
        <v>RFR USD</v>
      </c>
      <c r="E4731" t="str">
        <f t="shared" ca="1" si="367"/>
        <v>RFR EUR</v>
      </c>
      <c r="F4731" t="str">
        <f t="shared" ca="1" si="368"/>
        <v>RFR GBP</v>
      </c>
      <c r="J4731" s="1"/>
      <c r="N4731" s="1"/>
      <c r="R4731" s="1"/>
      <c r="V4731" s="1"/>
      <c r="AB4731" s="1"/>
      <c r="AF4731" s="1"/>
      <c r="AJ4731" s="1"/>
      <c r="AN4731" s="1"/>
      <c r="AS4731" s="1"/>
      <c r="AX4731" s="1"/>
    </row>
    <row r="4732" spans="1:50" x14ac:dyDescent="0.3">
      <c r="A4732" s="19">
        <f t="shared" si="369"/>
        <v>52539</v>
      </c>
      <c r="B4732">
        <f t="shared" ca="1" si="365"/>
        <v>-17.741666666666667</v>
      </c>
      <c r="C4732" t="str">
        <f ca="1">IF(currency="USD",'Future et co'!D4732,IF(currency="EUR",'Future et co'!E4732,IF(currency="GBP",'Future et co'!F4732,FALSE)))</f>
        <v>RFR USD</v>
      </c>
      <c r="D4732" t="str">
        <f t="shared" ca="1" si="366"/>
        <v>RFR USD</v>
      </c>
      <c r="E4732" t="str">
        <f t="shared" ca="1" si="367"/>
        <v>RFR EUR</v>
      </c>
      <c r="F4732" t="str">
        <f t="shared" ca="1" si="368"/>
        <v>RFR GBP</v>
      </c>
      <c r="J4732" s="1"/>
      <c r="N4732" s="1"/>
      <c r="R4732" s="1"/>
      <c r="V4732" s="1"/>
      <c r="AB4732" s="1"/>
      <c r="AF4732" s="1"/>
      <c r="AJ4732" s="1"/>
      <c r="AN4732" s="1"/>
      <c r="AS4732" s="1"/>
      <c r="AX4732" s="1"/>
    </row>
    <row r="4733" spans="1:50" x14ac:dyDescent="0.3">
      <c r="A4733" s="19">
        <f t="shared" si="369"/>
        <v>52540</v>
      </c>
      <c r="B4733">
        <f t="shared" ca="1" si="365"/>
        <v>-17.744444444444444</v>
      </c>
      <c r="C4733" t="str">
        <f ca="1">IF(currency="USD",'Future et co'!D4733,IF(currency="EUR",'Future et co'!E4733,IF(currency="GBP",'Future et co'!F4733,FALSE)))</f>
        <v>RFR USD</v>
      </c>
      <c r="D4733" t="str">
        <f t="shared" ca="1" si="366"/>
        <v>RFR USD</v>
      </c>
      <c r="E4733" t="str">
        <f t="shared" ca="1" si="367"/>
        <v>RFR EUR</v>
      </c>
      <c r="F4733" t="str">
        <f t="shared" ca="1" si="368"/>
        <v>RFR GBP</v>
      </c>
      <c r="J4733" s="1"/>
      <c r="N4733" s="1"/>
      <c r="R4733" s="1"/>
      <c r="V4733" s="1"/>
      <c r="AB4733" s="1"/>
      <c r="AF4733" s="1"/>
      <c r="AJ4733" s="1"/>
      <c r="AN4733" s="1"/>
      <c r="AS4733" s="1"/>
      <c r="AX4733" s="1"/>
    </row>
    <row r="4734" spans="1:50" x14ac:dyDescent="0.3">
      <c r="A4734" s="19">
        <f t="shared" si="369"/>
        <v>52541</v>
      </c>
      <c r="B4734">
        <f t="shared" ca="1" si="365"/>
        <v>-17.747222222222224</v>
      </c>
      <c r="C4734" t="str">
        <f ca="1">IF(currency="USD",'Future et co'!D4734,IF(currency="EUR",'Future et co'!E4734,IF(currency="GBP",'Future et co'!F4734,FALSE)))</f>
        <v>RFR USD</v>
      </c>
      <c r="D4734" t="str">
        <f t="shared" ca="1" si="366"/>
        <v>RFR USD</v>
      </c>
      <c r="E4734" t="str">
        <f t="shared" ca="1" si="367"/>
        <v>RFR EUR</v>
      </c>
      <c r="F4734" t="str">
        <f t="shared" ca="1" si="368"/>
        <v>RFR GBP</v>
      </c>
      <c r="J4734" s="1"/>
      <c r="N4734" s="1"/>
      <c r="R4734" s="1"/>
      <c r="V4734" s="1"/>
      <c r="AB4734" s="1"/>
      <c r="AF4734" s="1"/>
      <c r="AJ4734" s="1"/>
      <c r="AN4734" s="1"/>
      <c r="AS4734" s="1"/>
      <c r="AX4734" s="1"/>
    </row>
    <row r="4735" spans="1:50" x14ac:dyDescent="0.3">
      <c r="A4735" s="19">
        <f t="shared" si="369"/>
        <v>52544</v>
      </c>
      <c r="B4735">
        <f t="shared" ca="1" si="365"/>
        <v>-17.755555555555556</v>
      </c>
      <c r="C4735" t="str">
        <f ca="1">IF(currency="USD",'Future et co'!D4735,IF(currency="EUR",'Future et co'!E4735,IF(currency="GBP",'Future et co'!F4735,FALSE)))</f>
        <v>RFR USD</v>
      </c>
      <c r="D4735" t="str">
        <f t="shared" ca="1" si="366"/>
        <v>RFR USD</v>
      </c>
      <c r="E4735" t="str">
        <f t="shared" ca="1" si="367"/>
        <v>RFR EUR</v>
      </c>
      <c r="F4735" t="str">
        <f t="shared" ca="1" si="368"/>
        <v>RFR GBP</v>
      </c>
      <c r="J4735" s="1"/>
      <c r="N4735" s="1"/>
      <c r="R4735" s="1"/>
      <c r="V4735" s="1"/>
      <c r="AB4735" s="1"/>
      <c r="AF4735" s="1"/>
      <c r="AJ4735" s="1"/>
      <c r="AN4735" s="1"/>
      <c r="AS4735" s="1"/>
      <c r="AX4735" s="1"/>
    </row>
    <row r="4736" spans="1:50" x14ac:dyDescent="0.3">
      <c r="A4736" s="19">
        <f t="shared" si="369"/>
        <v>52545</v>
      </c>
      <c r="B4736">
        <f t="shared" ca="1" si="365"/>
        <v>-17.758333333333333</v>
      </c>
      <c r="C4736" t="str">
        <f ca="1">IF(currency="USD",'Future et co'!D4736,IF(currency="EUR",'Future et co'!E4736,IF(currency="GBP",'Future et co'!F4736,FALSE)))</f>
        <v>RFR USD</v>
      </c>
      <c r="D4736" t="str">
        <f t="shared" ca="1" si="366"/>
        <v>RFR USD</v>
      </c>
      <c r="E4736" t="str">
        <f t="shared" ca="1" si="367"/>
        <v>RFR EUR</v>
      </c>
      <c r="F4736" t="str">
        <f t="shared" ca="1" si="368"/>
        <v>RFR GBP</v>
      </c>
      <c r="J4736" s="1"/>
      <c r="N4736" s="1"/>
      <c r="R4736" s="1"/>
      <c r="V4736" s="1"/>
      <c r="AB4736" s="1"/>
      <c r="AF4736" s="1"/>
      <c r="AJ4736" s="1"/>
      <c r="AN4736" s="1"/>
      <c r="AS4736" s="1"/>
      <c r="AX4736" s="1"/>
    </row>
    <row r="4737" spans="1:50" x14ac:dyDescent="0.3">
      <c r="A4737" s="19">
        <f t="shared" si="369"/>
        <v>52546</v>
      </c>
      <c r="B4737">
        <f t="shared" ca="1" si="365"/>
        <v>-17.761111111111113</v>
      </c>
      <c r="C4737" t="str">
        <f ca="1">IF(currency="USD",'Future et co'!D4737,IF(currency="EUR",'Future et co'!E4737,IF(currency="GBP",'Future et co'!F4737,FALSE)))</f>
        <v>RFR USD</v>
      </c>
      <c r="D4737" t="str">
        <f t="shared" ca="1" si="366"/>
        <v>RFR USD</v>
      </c>
      <c r="E4737" t="str">
        <f t="shared" ca="1" si="367"/>
        <v>RFR EUR</v>
      </c>
      <c r="F4737" t="str">
        <f t="shared" ca="1" si="368"/>
        <v>RFR GBP</v>
      </c>
      <c r="J4737" s="1"/>
      <c r="N4737" s="1"/>
      <c r="R4737" s="1"/>
      <c r="V4737" s="1"/>
      <c r="AB4737" s="1"/>
      <c r="AF4737" s="1"/>
      <c r="AJ4737" s="1"/>
      <c r="AN4737" s="1"/>
      <c r="AS4737" s="1"/>
      <c r="AX4737" s="1"/>
    </row>
    <row r="4738" spans="1:50" x14ac:dyDescent="0.3">
      <c r="A4738" s="19">
        <f t="shared" si="369"/>
        <v>52547</v>
      </c>
      <c r="B4738">
        <f t="shared" ca="1" si="365"/>
        <v>-17.763888888888889</v>
      </c>
      <c r="C4738" t="str">
        <f ca="1">IF(currency="USD",'Future et co'!D4738,IF(currency="EUR",'Future et co'!E4738,IF(currency="GBP",'Future et co'!F4738,FALSE)))</f>
        <v>RFR USD</v>
      </c>
      <c r="D4738" t="str">
        <f t="shared" ca="1" si="366"/>
        <v>RFR USD</v>
      </c>
      <c r="E4738" t="str">
        <f t="shared" ca="1" si="367"/>
        <v>RFR EUR</v>
      </c>
      <c r="F4738" t="str">
        <f t="shared" ca="1" si="368"/>
        <v>RFR GBP</v>
      </c>
      <c r="J4738" s="1"/>
      <c r="N4738" s="1"/>
      <c r="R4738" s="1"/>
      <c r="V4738" s="1"/>
      <c r="AB4738" s="1"/>
      <c r="AF4738" s="1"/>
      <c r="AJ4738" s="1"/>
      <c r="AN4738" s="1"/>
      <c r="AS4738" s="1"/>
      <c r="AX4738" s="1"/>
    </row>
    <row r="4739" spans="1:50" x14ac:dyDescent="0.3">
      <c r="A4739" s="19">
        <f t="shared" si="369"/>
        <v>52548</v>
      </c>
      <c r="B4739">
        <f t="shared" ca="1" si="365"/>
        <v>-17.766666666666666</v>
      </c>
      <c r="C4739" t="str">
        <f ca="1">IF(currency="USD",'Future et co'!D4739,IF(currency="EUR",'Future et co'!E4739,IF(currency="GBP",'Future et co'!F4739,FALSE)))</f>
        <v>RFR USD</v>
      </c>
      <c r="D4739" t="str">
        <f t="shared" ca="1" si="366"/>
        <v>RFR USD</v>
      </c>
      <c r="E4739" t="str">
        <f t="shared" ca="1" si="367"/>
        <v>RFR EUR</v>
      </c>
      <c r="F4739" t="str">
        <f t="shared" ca="1" si="368"/>
        <v>RFR GBP</v>
      </c>
      <c r="J4739" s="1"/>
      <c r="N4739" s="1"/>
      <c r="R4739" s="1"/>
      <c r="V4739" s="1"/>
      <c r="AB4739" s="1"/>
      <c r="AF4739" s="1"/>
      <c r="AJ4739" s="1"/>
      <c r="AN4739" s="1"/>
      <c r="AS4739" s="1"/>
      <c r="AX4739" s="1"/>
    </row>
    <row r="4740" spans="1:50" x14ac:dyDescent="0.3">
      <c r="A4740" s="19">
        <f t="shared" si="369"/>
        <v>52551</v>
      </c>
      <c r="B4740">
        <f t="shared" ca="1" si="365"/>
        <v>-17.774999999999999</v>
      </c>
      <c r="C4740" t="str">
        <f ca="1">IF(currency="USD",'Future et co'!D4740,IF(currency="EUR",'Future et co'!E4740,IF(currency="GBP",'Future et co'!F4740,FALSE)))</f>
        <v>RFR USD</v>
      </c>
      <c r="D4740" t="str">
        <f t="shared" ca="1" si="366"/>
        <v>RFR USD</v>
      </c>
      <c r="E4740" t="str">
        <f t="shared" ca="1" si="367"/>
        <v>RFR EUR</v>
      </c>
      <c r="F4740" t="str">
        <f t="shared" ca="1" si="368"/>
        <v>RFR GBP</v>
      </c>
      <c r="J4740" s="1"/>
      <c r="N4740" s="1"/>
      <c r="R4740" s="1"/>
      <c r="V4740" s="1"/>
      <c r="AB4740" s="1"/>
      <c r="AF4740" s="1"/>
      <c r="AJ4740" s="1"/>
      <c r="AN4740" s="1"/>
      <c r="AS4740" s="1"/>
      <c r="AX4740" s="1"/>
    </row>
    <row r="4741" spans="1:50" x14ac:dyDescent="0.3">
      <c r="A4741" s="19">
        <f t="shared" si="369"/>
        <v>52552</v>
      </c>
      <c r="B4741">
        <f t="shared" ca="1" si="365"/>
        <v>-17.777777777777779</v>
      </c>
      <c r="C4741" t="str">
        <f ca="1">IF(currency="USD",'Future et co'!D4741,IF(currency="EUR",'Future et co'!E4741,IF(currency="GBP",'Future et co'!F4741,FALSE)))</f>
        <v>RFR USD</v>
      </c>
      <c r="D4741" t="str">
        <f t="shared" ca="1" si="366"/>
        <v>RFR USD</v>
      </c>
      <c r="E4741" t="str">
        <f t="shared" ca="1" si="367"/>
        <v>RFR EUR</v>
      </c>
      <c r="F4741" t="str">
        <f t="shared" ca="1" si="368"/>
        <v>RFR GBP</v>
      </c>
      <c r="J4741" s="1"/>
      <c r="N4741" s="1"/>
      <c r="R4741" s="1"/>
      <c r="V4741" s="1"/>
      <c r="AB4741" s="1"/>
      <c r="AF4741" s="1"/>
      <c r="AJ4741" s="1"/>
      <c r="AN4741" s="1"/>
      <c r="AS4741" s="1"/>
      <c r="AX4741" s="1"/>
    </row>
    <row r="4742" spans="1:50" x14ac:dyDescent="0.3">
      <c r="A4742" s="19">
        <f t="shared" si="369"/>
        <v>52553</v>
      </c>
      <c r="B4742">
        <f t="shared" ca="1" si="365"/>
        <v>-17.780555555555555</v>
      </c>
      <c r="C4742" t="str">
        <f ca="1">IF(currency="USD",'Future et co'!D4742,IF(currency="EUR",'Future et co'!E4742,IF(currency="GBP",'Future et co'!F4742,FALSE)))</f>
        <v>RFR USD</v>
      </c>
      <c r="D4742" t="str">
        <f t="shared" ca="1" si="366"/>
        <v>RFR USD</v>
      </c>
      <c r="E4742" t="str">
        <f t="shared" ca="1" si="367"/>
        <v>RFR EUR</v>
      </c>
      <c r="F4742" t="str">
        <f t="shared" ca="1" si="368"/>
        <v>RFR GBP</v>
      </c>
      <c r="J4742" s="1"/>
      <c r="N4742" s="1"/>
      <c r="R4742" s="1"/>
      <c r="V4742" s="1"/>
      <c r="AB4742" s="1"/>
      <c r="AF4742" s="1"/>
      <c r="AJ4742" s="1"/>
      <c r="AN4742" s="1"/>
      <c r="AS4742" s="1"/>
      <c r="AX4742" s="1"/>
    </row>
    <row r="4743" spans="1:50" x14ac:dyDescent="0.3">
      <c r="A4743" s="19">
        <f t="shared" si="369"/>
        <v>52554</v>
      </c>
      <c r="B4743">
        <f t="shared" ca="1" si="365"/>
        <v>-17.783333333333335</v>
      </c>
      <c r="C4743" t="str">
        <f ca="1">IF(currency="USD",'Future et co'!D4743,IF(currency="EUR",'Future et co'!E4743,IF(currency="GBP",'Future et co'!F4743,FALSE)))</f>
        <v>RFR USD</v>
      </c>
      <c r="D4743" t="str">
        <f t="shared" ca="1" si="366"/>
        <v>RFR USD</v>
      </c>
      <c r="E4743" t="str">
        <f t="shared" ca="1" si="367"/>
        <v>RFR EUR</v>
      </c>
      <c r="F4743" t="str">
        <f t="shared" ca="1" si="368"/>
        <v>RFR GBP</v>
      </c>
      <c r="J4743" s="1"/>
      <c r="N4743" s="1"/>
      <c r="R4743" s="1"/>
      <c r="V4743" s="1"/>
      <c r="AB4743" s="1"/>
      <c r="AF4743" s="1"/>
      <c r="AJ4743" s="1"/>
      <c r="AN4743" s="1"/>
      <c r="AS4743" s="1"/>
      <c r="AX4743" s="1"/>
    </row>
    <row r="4744" spans="1:50" x14ac:dyDescent="0.3">
      <c r="A4744" s="19">
        <f t="shared" si="369"/>
        <v>52555</v>
      </c>
      <c r="B4744">
        <f t="shared" ca="1" si="365"/>
        <v>-17.786111111111111</v>
      </c>
      <c r="C4744" t="str">
        <f ca="1">IF(currency="USD",'Future et co'!D4744,IF(currency="EUR",'Future et co'!E4744,IF(currency="GBP",'Future et co'!F4744,FALSE)))</f>
        <v>RFR USD</v>
      </c>
      <c r="D4744" t="str">
        <f t="shared" ca="1" si="366"/>
        <v>RFR USD</v>
      </c>
      <c r="E4744" t="str">
        <f t="shared" ca="1" si="367"/>
        <v>RFR EUR</v>
      </c>
      <c r="F4744" t="str">
        <f t="shared" ca="1" si="368"/>
        <v>RFR GBP</v>
      </c>
      <c r="J4744" s="1"/>
      <c r="N4744" s="1"/>
      <c r="R4744" s="1"/>
      <c r="V4744" s="1"/>
      <c r="AB4744" s="1"/>
      <c r="AF4744" s="1"/>
      <c r="AJ4744" s="1"/>
      <c r="AN4744" s="1"/>
      <c r="AS4744" s="1"/>
      <c r="AX4744" s="1"/>
    </row>
    <row r="4745" spans="1:50" x14ac:dyDescent="0.3">
      <c r="A4745" s="19">
        <f t="shared" si="369"/>
        <v>52558</v>
      </c>
      <c r="B4745">
        <f t="shared" ca="1" si="365"/>
        <v>-17.794444444444444</v>
      </c>
      <c r="C4745" t="str">
        <f ca="1">IF(currency="USD",'Future et co'!D4745,IF(currency="EUR",'Future et co'!E4745,IF(currency="GBP",'Future et co'!F4745,FALSE)))</f>
        <v>RFR USD</v>
      </c>
      <c r="D4745" t="str">
        <f t="shared" ca="1" si="366"/>
        <v>RFR USD</v>
      </c>
      <c r="E4745" t="str">
        <f t="shared" ca="1" si="367"/>
        <v>RFR EUR</v>
      </c>
      <c r="F4745" t="str">
        <f t="shared" ca="1" si="368"/>
        <v>RFR GBP</v>
      </c>
      <c r="J4745" s="1"/>
      <c r="N4745" s="1"/>
      <c r="R4745" s="1"/>
      <c r="V4745" s="1"/>
      <c r="AB4745" s="1"/>
      <c r="AF4745" s="1"/>
      <c r="AJ4745" s="1"/>
      <c r="AN4745" s="1"/>
      <c r="AS4745" s="1"/>
      <c r="AX4745" s="1"/>
    </row>
    <row r="4746" spans="1:50" x14ac:dyDescent="0.3">
      <c r="A4746" s="19">
        <f t="shared" si="369"/>
        <v>52559</v>
      </c>
      <c r="B4746">
        <f t="shared" ca="1" si="365"/>
        <v>-17.797222222222221</v>
      </c>
      <c r="C4746" t="str">
        <f ca="1">IF(currency="USD",'Future et co'!D4746,IF(currency="EUR",'Future et co'!E4746,IF(currency="GBP",'Future et co'!F4746,FALSE)))</f>
        <v>RFR USD</v>
      </c>
      <c r="D4746" t="str">
        <f t="shared" ca="1" si="366"/>
        <v>RFR USD</v>
      </c>
      <c r="E4746" t="str">
        <f t="shared" ca="1" si="367"/>
        <v>RFR EUR</v>
      </c>
      <c r="F4746" t="str">
        <f t="shared" ca="1" si="368"/>
        <v>RFR GBP</v>
      </c>
      <c r="J4746" s="1"/>
      <c r="N4746" s="1"/>
      <c r="R4746" s="1"/>
      <c r="V4746" s="1"/>
      <c r="AB4746" s="1"/>
      <c r="AF4746" s="1"/>
      <c r="AJ4746" s="1"/>
      <c r="AN4746" s="1"/>
      <c r="AS4746" s="1"/>
      <c r="AX4746" s="1"/>
    </row>
    <row r="4747" spans="1:50" x14ac:dyDescent="0.3">
      <c r="A4747" s="19">
        <f t="shared" si="369"/>
        <v>52560</v>
      </c>
      <c r="B4747">
        <f t="shared" ref="B4747:B4810" ca="1" si="370">($B$7-A4747)/360</f>
        <v>-17.8</v>
      </c>
      <c r="C4747" t="str">
        <f ca="1">IF(currency="USD",'Future et co'!D4747,IF(currency="EUR",'Future et co'!E4747,IF(currency="GBP",'Future et co'!F4747,FALSE)))</f>
        <v>RFR USD</v>
      </c>
      <c r="D4747" t="str">
        <f t="shared" ref="D4747:D4810" ca="1" si="371">IFERROR(IF(B4747&lt;0.25,VLOOKUP(A4747,$J$11:$L$5325,3,FALSE),IF(AND(B4747&gt;=0.25,B4747&lt;0.5),VLOOKUP(A4747,$N$11:$P$5325,3,FALSE),IF(AND(B4747&gt;=0.5,B4747&lt;1),VLOOKUP(A4747,$R$11:$T$5325,3,FALSE),VLOOKUP(A4747,$V$11:$X$5010,3,FALSE)))),D4746)</f>
        <v>RFR USD</v>
      </c>
      <c r="E4747" t="str">
        <f t="shared" ref="E4747:E4810" ca="1" si="372">IFERROR(IF(B4747&lt;0.25,VLOOKUP(A4747,$AF$11:$AH$5325,3,FALSE),IF(AND(B4747&gt;=0.25,B4747&lt;0.5),VLOOKUP(A4747,$AJ$11:$AL$5325,3,FALSE),VLOOKUP(A4747,$AN$11:$AP$5325,3,FALSE))),E4746)</f>
        <v>RFR EUR</v>
      </c>
      <c r="F4747" t="str">
        <f t="shared" ref="F4747:F4810" ca="1" si="373">IFERROR(VLOOKUP(A4747,$AS$11:$AU$9999,3,FALSE),F4746)</f>
        <v>RFR GBP</v>
      </c>
      <c r="J4747" s="1"/>
      <c r="N4747" s="1"/>
      <c r="R4747" s="1"/>
      <c r="V4747" s="1"/>
      <c r="AB4747" s="1"/>
      <c r="AF4747" s="1"/>
      <c r="AJ4747" s="1"/>
      <c r="AN4747" s="1"/>
      <c r="AS4747" s="1"/>
      <c r="AX4747" s="1"/>
    </row>
    <row r="4748" spans="1:50" x14ac:dyDescent="0.3">
      <c r="A4748" s="19">
        <f t="shared" si="369"/>
        <v>52561</v>
      </c>
      <c r="B4748">
        <f t="shared" ca="1" si="370"/>
        <v>-17.802777777777777</v>
      </c>
      <c r="C4748" t="str">
        <f ca="1">IF(currency="USD",'Future et co'!D4748,IF(currency="EUR",'Future et co'!E4748,IF(currency="GBP",'Future et co'!F4748,FALSE)))</f>
        <v>RFR USD</v>
      </c>
      <c r="D4748" t="str">
        <f t="shared" ca="1" si="371"/>
        <v>RFR USD</v>
      </c>
      <c r="E4748" t="str">
        <f t="shared" ca="1" si="372"/>
        <v>RFR EUR</v>
      </c>
      <c r="F4748" t="str">
        <f t="shared" ca="1" si="373"/>
        <v>RFR GBP</v>
      </c>
      <c r="J4748" s="1"/>
      <c r="N4748" s="1"/>
      <c r="R4748" s="1"/>
      <c r="V4748" s="1"/>
      <c r="AB4748" s="1"/>
      <c r="AF4748" s="1"/>
      <c r="AJ4748" s="1"/>
      <c r="AN4748" s="1"/>
      <c r="AS4748" s="1"/>
      <c r="AX4748" s="1"/>
    </row>
    <row r="4749" spans="1:50" x14ac:dyDescent="0.3">
      <c r="A4749" s="19">
        <f t="shared" ref="A4749:A4812" si="374">WORKDAY(A4748,1)</f>
        <v>52562</v>
      </c>
      <c r="B4749">
        <f t="shared" ca="1" si="370"/>
        <v>-17.805555555555557</v>
      </c>
      <c r="C4749" t="str">
        <f ca="1">IF(currency="USD",'Future et co'!D4749,IF(currency="EUR",'Future et co'!E4749,IF(currency="GBP",'Future et co'!F4749,FALSE)))</f>
        <v>RFR USD</v>
      </c>
      <c r="D4749" t="str">
        <f t="shared" ca="1" si="371"/>
        <v>RFR USD</v>
      </c>
      <c r="E4749" t="str">
        <f t="shared" ca="1" si="372"/>
        <v>RFR EUR</v>
      </c>
      <c r="F4749" t="str">
        <f t="shared" ca="1" si="373"/>
        <v>RFR GBP</v>
      </c>
      <c r="J4749" s="1"/>
      <c r="N4749" s="1"/>
      <c r="R4749" s="1"/>
      <c r="V4749" s="1"/>
      <c r="AB4749" s="1"/>
      <c r="AF4749" s="1"/>
      <c r="AJ4749" s="1"/>
      <c r="AN4749" s="1"/>
      <c r="AS4749" s="1"/>
      <c r="AX4749" s="1"/>
    </row>
    <row r="4750" spans="1:50" x14ac:dyDescent="0.3">
      <c r="A4750" s="19">
        <f t="shared" si="374"/>
        <v>52565</v>
      </c>
      <c r="B4750">
        <f t="shared" ca="1" si="370"/>
        <v>-17.81388888888889</v>
      </c>
      <c r="C4750" t="str">
        <f ca="1">IF(currency="USD",'Future et co'!D4750,IF(currency="EUR",'Future et co'!E4750,IF(currency="GBP",'Future et co'!F4750,FALSE)))</f>
        <v>RFR USD</v>
      </c>
      <c r="D4750" t="str">
        <f t="shared" ca="1" si="371"/>
        <v>RFR USD</v>
      </c>
      <c r="E4750" t="str">
        <f t="shared" ca="1" si="372"/>
        <v>RFR EUR</v>
      </c>
      <c r="F4750" t="str">
        <f t="shared" ca="1" si="373"/>
        <v>RFR GBP</v>
      </c>
      <c r="J4750" s="1"/>
      <c r="N4750" s="1"/>
      <c r="R4750" s="1"/>
      <c r="V4750" s="1"/>
      <c r="AB4750" s="1"/>
      <c r="AF4750" s="1"/>
      <c r="AJ4750" s="1"/>
      <c r="AN4750" s="1"/>
      <c r="AS4750" s="1"/>
      <c r="AX4750" s="1"/>
    </row>
    <row r="4751" spans="1:50" x14ac:dyDescent="0.3">
      <c r="A4751" s="19">
        <f t="shared" si="374"/>
        <v>52566</v>
      </c>
      <c r="B4751">
        <f t="shared" ca="1" si="370"/>
        <v>-17.816666666666666</v>
      </c>
      <c r="C4751" t="str">
        <f ca="1">IF(currency="USD",'Future et co'!D4751,IF(currency="EUR",'Future et co'!E4751,IF(currency="GBP",'Future et co'!F4751,FALSE)))</f>
        <v>RFR USD</v>
      </c>
      <c r="D4751" t="str">
        <f t="shared" ca="1" si="371"/>
        <v>RFR USD</v>
      </c>
      <c r="E4751" t="str">
        <f t="shared" ca="1" si="372"/>
        <v>RFR EUR</v>
      </c>
      <c r="F4751" t="str">
        <f t="shared" ca="1" si="373"/>
        <v>RFR GBP</v>
      </c>
      <c r="J4751" s="1"/>
      <c r="N4751" s="1"/>
      <c r="R4751" s="1"/>
      <c r="V4751" s="1"/>
      <c r="AB4751" s="1"/>
      <c r="AF4751" s="1"/>
      <c r="AJ4751" s="1"/>
      <c r="AN4751" s="1"/>
      <c r="AS4751" s="1"/>
      <c r="AX4751" s="1"/>
    </row>
    <row r="4752" spans="1:50" x14ac:dyDescent="0.3">
      <c r="A4752" s="19">
        <f t="shared" si="374"/>
        <v>52567</v>
      </c>
      <c r="B4752">
        <f t="shared" ca="1" si="370"/>
        <v>-17.819444444444443</v>
      </c>
      <c r="C4752" t="str">
        <f ca="1">IF(currency="USD",'Future et co'!D4752,IF(currency="EUR",'Future et co'!E4752,IF(currency="GBP",'Future et co'!F4752,FALSE)))</f>
        <v>RFR USD</v>
      </c>
      <c r="D4752" t="str">
        <f t="shared" ca="1" si="371"/>
        <v>RFR USD</v>
      </c>
      <c r="E4752" t="str">
        <f t="shared" ca="1" si="372"/>
        <v>RFR EUR</v>
      </c>
      <c r="F4752" t="str">
        <f t="shared" ca="1" si="373"/>
        <v>RFR GBP</v>
      </c>
      <c r="J4752" s="1"/>
      <c r="N4752" s="1"/>
      <c r="R4752" s="1"/>
      <c r="V4752" s="1"/>
      <c r="AB4752" s="1"/>
      <c r="AF4752" s="1"/>
      <c r="AJ4752" s="1"/>
      <c r="AN4752" s="1"/>
      <c r="AS4752" s="1"/>
      <c r="AX4752" s="1"/>
    </row>
    <row r="4753" spans="1:50" x14ac:dyDescent="0.3">
      <c r="A4753" s="19">
        <f t="shared" si="374"/>
        <v>52568</v>
      </c>
      <c r="B4753">
        <f t="shared" ca="1" si="370"/>
        <v>-17.822222222222223</v>
      </c>
      <c r="C4753" t="str">
        <f ca="1">IF(currency="USD",'Future et co'!D4753,IF(currency="EUR",'Future et co'!E4753,IF(currency="GBP",'Future et co'!F4753,FALSE)))</f>
        <v>RFR USD</v>
      </c>
      <c r="D4753" t="str">
        <f t="shared" ca="1" si="371"/>
        <v>RFR USD</v>
      </c>
      <c r="E4753" t="str">
        <f t="shared" ca="1" si="372"/>
        <v>RFR EUR</v>
      </c>
      <c r="F4753" t="str">
        <f t="shared" ca="1" si="373"/>
        <v>RFR GBP</v>
      </c>
      <c r="J4753" s="1"/>
      <c r="N4753" s="1"/>
      <c r="R4753" s="1"/>
      <c r="V4753" s="1"/>
      <c r="AB4753" s="1"/>
      <c r="AF4753" s="1"/>
      <c r="AJ4753" s="1"/>
      <c r="AN4753" s="1"/>
      <c r="AS4753" s="1"/>
      <c r="AX4753" s="1"/>
    </row>
    <row r="4754" spans="1:50" x14ac:dyDescent="0.3">
      <c r="A4754" s="19">
        <f t="shared" si="374"/>
        <v>52569</v>
      </c>
      <c r="B4754">
        <f t="shared" ca="1" si="370"/>
        <v>-17.824999999999999</v>
      </c>
      <c r="C4754" t="str">
        <f ca="1">IF(currency="USD",'Future et co'!D4754,IF(currency="EUR",'Future et co'!E4754,IF(currency="GBP",'Future et co'!F4754,FALSE)))</f>
        <v>RFR USD</v>
      </c>
      <c r="D4754" t="str">
        <f t="shared" ca="1" si="371"/>
        <v>RFR USD</v>
      </c>
      <c r="E4754" t="str">
        <f t="shared" ca="1" si="372"/>
        <v>RFR EUR</v>
      </c>
      <c r="F4754" t="str">
        <f t="shared" ca="1" si="373"/>
        <v>RFR GBP</v>
      </c>
      <c r="J4754" s="1"/>
      <c r="N4754" s="1"/>
      <c r="R4754" s="1"/>
      <c r="V4754" s="1"/>
      <c r="AB4754" s="1"/>
      <c r="AF4754" s="1"/>
      <c r="AJ4754" s="1"/>
      <c r="AN4754" s="1"/>
      <c r="AS4754" s="1"/>
      <c r="AX4754" s="1"/>
    </row>
    <row r="4755" spans="1:50" x14ac:dyDescent="0.3">
      <c r="A4755" s="19">
        <f t="shared" si="374"/>
        <v>52572</v>
      </c>
      <c r="B4755">
        <f t="shared" ca="1" si="370"/>
        <v>-17.833333333333332</v>
      </c>
      <c r="C4755" t="str">
        <f ca="1">IF(currency="USD",'Future et co'!D4755,IF(currency="EUR",'Future et co'!E4755,IF(currency="GBP",'Future et co'!F4755,FALSE)))</f>
        <v>RFR USD</v>
      </c>
      <c r="D4755" t="str">
        <f t="shared" ca="1" si="371"/>
        <v>RFR USD</v>
      </c>
      <c r="E4755" t="str">
        <f t="shared" ca="1" si="372"/>
        <v>RFR EUR</v>
      </c>
      <c r="F4755" t="str">
        <f t="shared" ca="1" si="373"/>
        <v>RFR GBP</v>
      </c>
      <c r="J4755" s="1"/>
      <c r="N4755" s="1"/>
      <c r="R4755" s="1"/>
      <c r="V4755" s="1"/>
      <c r="AB4755" s="1"/>
      <c r="AF4755" s="1"/>
      <c r="AJ4755" s="1"/>
      <c r="AN4755" s="1"/>
      <c r="AS4755" s="1"/>
      <c r="AX4755" s="1"/>
    </row>
    <row r="4756" spans="1:50" x14ac:dyDescent="0.3">
      <c r="A4756" s="19">
        <f t="shared" si="374"/>
        <v>52573</v>
      </c>
      <c r="B4756">
        <f t="shared" ca="1" si="370"/>
        <v>-17.836111111111112</v>
      </c>
      <c r="C4756" t="str">
        <f ca="1">IF(currency="USD",'Future et co'!D4756,IF(currency="EUR",'Future et co'!E4756,IF(currency="GBP",'Future et co'!F4756,FALSE)))</f>
        <v>RFR USD</v>
      </c>
      <c r="D4756" t="str">
        <f t="shared" ca="1" si="371"/>
        <v>RFR USD</v>
      </c>
      <c r="E4756" t="str">
        <f t="shared" ca="1" si="372"/>
        <v>RFR EUR</v>
      </c>
      <c r="F4756" t="str">
        <f t="shared" ca="1" si="373"/>
        <v>RFR GBP</v>
      </c>
      <c r="J4756" s="1"/>
      <c r="N4756" s="1"/>
      <c r="R4756" s="1"/>
      <c r="V4756" s="1"/>
      <c r="AB4756" s="1"/>
      <c r="AF4756" s="1"/>
      <c r="AJ4756" s="1"/>
      <c r="AN4756" s="1"/>
      <c r="AS4756" s="1"/>
      <c r="AX4756" s="1"/>
    </row>
    <row r="4757" spans="1:50" x14ac:dyDescent="0.3">
      <c r="A4757" s="19">
        <f t="shared" si="374"/>
        <v>52574</v>
      </c>
      <c r="B4757">
        <f t="shared" ca="1" si="370"/>
        <v>-17.838888888888889</v>
      </c>
      <c r="C4757" t="str">
        <f ca="1">IF(currency="USD",'Future et co'!D4757,IF(currency="EUR",'Future et co'!E4757,IF(currency="GBP",'Future et co'!F4757,FALSE)))</f>
        <v>RFR USD</v>
      </c>
      <c r="D4757" t="str">
        <f t="shared" ca="1" si="371"/>
        <v>RFR USD</v>
      </c>
      <c r="E4757" t="str">
        <f t="shared" ca="1" si="372"/>
        <v>RFR EUR</v>
      </c>
      <c r="F4757" t="str">
        <f t="shared" ca="1" si="373"/>
        <v>RFR GBP</v>
      </c>
      <c r="J4757" s="1"/>
      <c r="N4757" s="1"/>
      <c r="R4757" s="1"/>
      <c r="V4757" s="1"/>
      <c r="AB4757" s="1"/>
      <c r="AF4757" s="1"/>
      <c r="AJ4757" s="1"/>
      <c r="AN4757" s="1"/>
      <c r="AS4757" s="1"/>
      <c r="AX4757" s="1"/>
    </row>
    <row r="4758" spans="1:50" x14ac:dyDescent="0.3">
      <c r="A4758" s="19">
        <f t="shared" si="374"/>
        <v>52575</v>
      </c>
      <c r="B4758">
        <f t="shared" ca="1" si="370"/>
        <v>-17.841666666666665</v>
      </c>
      <c r="C4758" t="str">
        <f ca="1">IF(currency="USD",'Future et co'!D4758,IF(currency="EUR",'Future et co'!E4758,IF(currency="GBP",'Future et co'!F4758,FALSE)))</f>
        <v>RFR USD</v>
      </c>
      <c r="D4758" t="str">
        <f t="shared" ca="1" si="371"/>
        <v>RFR USD</v>
      </c>
      <c r="E4758" t="str">
        <f t="shared" ca="1" si="372"/>
        <v>RFR EUR</v>
      </c>
      <c r="F4758" t="str">
        <f t="shared" ca="1" si="373"/>
        <v>RFR GBP</v>
      </c>
      <c r="J4758" s="1"/>
      <c r="N4758" s="1"/>
      <c r="R4758" s="1"/>
      <c r="V4758" s="1"/>
      <c r="AB4758" s="1"/>
      <c r="AF4758" s="1"/>
      <c r="AJ4758" s="1"/>
      <c r="AN4758" s="1"/>
      <c r="AS4758" s="1"/>
      <c r="AX4758" s="1"/>
    </row>
    <row r="4759" spans="1:50" x14ac:dyDescent="0.3">
      <c r="A4759" s="19">
        <f t="shared" si="374"/>
        <v>52576</v>
      </c>
      <c r="B4759">
        <f t="shared" ca="1" si="370"/>
        <v>-17.844444444444445</v>
      </c>
      <c r="C4759" t="str">
        <f ca="1">IF(currency="USD",'Future et co'!D4759,IF(currency="EUR",'Future et co'!E4759,IF(currency="GBP",'Future et co'!F4759,FALSE)))</f>
        <v>RFR USD</v>
      </c>
      <c r="D4759" t="str">
        <f t="shared" ca="1" si="371"/>
        <v>RFR USD</v>
      </c>
      <c r="E4759" t="str">
        <f t="shared" ca="1" si="372"/>
        <v>RFR EUR</v>
      </c>
      <c r="F4759" t="str">
        <f t="shared" ca="1" si="373"/>
        <v>RFR GBP</v>
      </c>
      <c r="J4759" s="1"/>
      <c r="N4759" s="1"/>
      <c r="R4759" s="1"/>
      <c r="V4759" s="1"/>
      <c r="AB4759" s="1"/>
      <c r="AF4759" s="1"/>
      <c r="AJ4759" s="1"/>
      <c r="AN4759" s="1"/>
      <c r="AS4759" s="1"/>
      <c r="AX4759" s="1"/>
    </row>
    <row r="4760" spans="1:50" x14ac:dyDescent="0.3">
      <c r="A4760" s="19">
        <f t="shared" si="374"/>
        <v>52579</v>
      </c>
      <c r="B4760">
        <f t="shared" ca="1" si="370"/>
        <v>-17.852777777777778</v>
      </c>
      <c r="C4760" t="str">
        <f ca="1">IF(currency="USD",'Future et co'!D4760,IF(currency="EUR",'Future et co'!E4760,IF(currency="GBP",'Future et co'!F4760,FALSE)))</f>
        <v>RFR USD</v>
      </c>
      <c r="D4760" t="str">
        <f t="shared" ca="1" si="371"/>
        <v>RFR USD</v>
      </c>
      <c r="E4760" t="str">
        <f t="shared" ca="1" si="372"/>
        <v>RFR EUR</v>
      </c>
      <c r="F4760" t="str">
        <f t="shared" ca="1" si="373"/>
        <v>RFR GBP</v>
      </c>
      <c r="J4760" s="1"/>
      <c r="N4760" s="1"/>
      <c r="R4760" s="1"/>
      <c r="V4760" s="1"/>
      <c r="AB4760" s="1"/>
      <c r="AF4760" s="1"/>
      <c r="AJ4760" s="1"/>
      <c r="AN4760" s="1"/>
      <c r="AS4760" s="1"/>
      <c r="AX4760" s="1"/>
    </row>
    <row r="4761" spans="1:50" x14ac:dyDescent="0.3">
      <c r="A4761" s="19">
        <f t="shared" si="374"/>
        <v>52580</v>
      </c>
      <c r="B4761">
        <f t="shared" ca="1" si="370"/>
        <v>-17.855555555555554</v>
      </c>
      <c r="C4761" t="str">
        <f ca="1">IF(currency="USD",'Future et co'!D4761,IF(currency="EUR",'Future et co'!E4761,IF(currency="GBP",'Future et co'!F4761,FALSE)))</f>
        <v>RFR USD</v>
      </c>
      <c r="D4761" t="str">
        <f t="shared" ca="1" si="371"/>
        <v>RFR USD</v>
      </c>
      <c r="E4761" t="str">
        <f t="shared" ca="1" si="372"/>
        <v>RFR EUR</v>
      </c>
      <c r="F4761" t="str">
        <f t="shared" ca="1" si="373"/>
        <v>RFR GBP</v>
      </c>
      <c r="J4761" s="1"/>
      <c r="N4761" s="1"/>
      <c r="R4761" s="1"/>
      <c r="V4761" s="1"/>
      <c r="AB4761" s="1"/>
      <c r="AF4761" s="1"/>
      <c r="AJ4761" s="1"/>
      <c r="AN4761" s="1"/>
      <c r="AS4761" s="1"/>
      <c r="AX4761" s="1"/>
    </row>
    <row r="4762" spans="1:50" x14ac:dyDescent="0.3">
      <c r="A4762" s="19">
        <f t="shared" si="374"/>
        <v>52581</v>
      </c>
      <c r="B4762">
        <f t="shared" ca="1" si="370"/>
        <v>-17.858333333333334</v>
      </c>
      <c r="C4762" t="str">
        <f ca="1">IF(currency="USD",'Future et co'!D4762,IF(currency="EUR",'Future et co'!E4762,IF(currency="GBP",'Future et co'!F4762,FALSE)))</f>
        <v>RFR USD</v>
      </c>
      <c r="D4762" t="str">
        <f t="shared" ca="1" si="371"/>
        <v>RFR USD</v>
      </c>
      <c r="E4762" t="str">
        <f t="shared" ca="1" si="372"/>
        <v>RFR EUR</v>
      </c>
      <c r="F4762" t="str">
        <f t="shared" ca="1" si="373"/>
        <v>RFR GBP</v>
      </c>
      <c r="J4762" s="1"/>
      <c r="N4762" s="1"/>
      <c r="R4762" s="1"/>
      <c r="V4762" s="1"/>
      <c r="AB4762" s="1"/>
      <c r="AF4762" s="1"/>
      <c r="AJ4762" s="1"/>
      <c r="AN4762" s="1"/>
      <c r="AS4762" s="1"/>
      <c r="AX4762" s="1"/>
    </row>
    <row r="4763" spans="1:50" x14ac:dyDescent="0.3">
      <c r="A4763" s="19">
        <f t="shared" si="374"/>
        <v>52582</v>
      </c>
      <c r="B4763">
        <f t="shared" ca="1" si="370"/>
        <v>-17.861111111111111</v>
      </c>
      <c r="C4763" t="str">
        <f ca="1">IF(currency="USD",'Future et co'!D4763,IF(currency="EUR",'Future et co'!E4763,IF(currency="GBP",'Future et co'!F4763,FALSE)))</f>
        <v>RFR USD</v>
      </c>
      <c r="D4763" t="str">
        <f t="shared" ca="1" si="371"/>
        <v>RFR USD</v>
      </c>
      <c r="E4763" t="str">
        <f t="shared" ca="1" si="372"/>
        <v>RFR EUR</v>
      </c>
      <c r="F4763" t="str">
        <f t="shared" ca="1" si="373"/>
        <v>RFR GBP</v>
      </c>
      <c r="J4763" s="1"/>
      <c r="N4763" s="1"/>
      <c r="R4763" s="1"/>
      <c r="V4763" s="1"/>
      <c r="AB4763" s="1"/>
      <c r="AF4763" s="1"/>
      <c r="AJ4763" s="1"/>
      <c r="AN4763" s="1"/>
      <c r="AS4763" s="1"/>
      <c r="AX4763" s="1"/>
    </row>
    <row r="4764" spans="1:50" x14ac:dyDescent="0.3">
      <c r="A4764" s="19">
        <f t="shared" si="374"/>
        <v>52583</v>
      </c>
      <c r="B4764">
        <f t="shared" ca="1" si="370"/>
        <v>-17.863888888888887</v>
      </c>
      <c r="C4764" t="str">
        <f ca="1">IF(currency="USD",'Future et co'!D4764,IF(currency="EUR",'Future et co'!E4764,IF(currency="GBP",'Future et co'!F4764,FALSE)))</f>
        <v>RFR USD</v>
      </c>
      <c r="D4764" t="str">
        <f t="shared" ca="1" si="371"/>
        <v>RFR USD</v>
      </c>
      <c r="E4764" t="str">
        <f t="shared" ca="1" si="372"/>
        <v>RFR EUR</v>
      </c>
      <c r="F4764" t="str">
        <f t="shared" ca="1" si="373"/>
        <v>RFR GBP</v>
      </c>
      <c r="J4764" s="1"/>
      <c r="N4764" s="1"/>
      <c r="R4764" s="1"/>
      <c r="V4764" s="1"/>
      <c r="AB4764" s="1"/>
      <c r="AF4764" s="1"/>
      <c r="AJ4764" s="1"/>
      <c r="AN4764" s="1"/>
      <c r="AS4764" s="1"/>
      <c r="AX4764" s="1"/>
    </row>
    <row r="4765" spans="1:50" x14ac:dyDescent="0.3">
      <c r="A4765" s="19">
        <f t="shared" si="374"/>
        <v>52586</v>
      </c>
      <c r="B4765">
        <f t="shared" ca="1" si="370"/>
        <v>-17.872222222222224</v>
      </c>
      <c r="C4765" t="str">
        <f ca="1">IF(currency="USD",'Future et co'!D4765,IF(currency="EUR",'Future et co'!E4765,IF(currency="GBP",'Future et co'!F4765,FALSE)))</f>
        <v>RFR USD</v>
      </c>
      <c r="D4765" t="str">
        <f t="shared" ca="1" si="371"/>
        <v>RFR USD</v>
      </c>
      <c r="E4765" t="str">
        <f t="shared" ca="1" si="372"/>
        <v>RFR EUR</v>
      </c>
      <c r="F4765" t="str">
        <f t="shared" ca="1" si="373"/>
        <v>RFR GBP</v>
      </c>
      <c r="J4765" s="1"/>
      <c r="N4765" s="1"/>
      <c r="R4765" s="1"/>
      <c r="V4765" s="1"/>
      <c r="AB4765" s="1"/>
      <c r="AF4765" s="1"/>
      <c r="AJ4765" s="1"/>
      <c r="AN4765" s="1"/>
      <c r="AS4765" s="1"/>
      <c r="AX4765" s="1"/>
    </row>
    <row r="4766" spans="1:50" x14ac:dyDescent="0.3">
      <c r="A4766" s="19">
        <f t="shared" si="374"/>
        <v>52587</v>
      </c>
      <c r="B4766">
        <f t="shared" ca="1" si="370"/>
        <v>-17.875</v>
      </c>
      <c r="C4766" t="str">
        <f ca="1">IF(currency="USD",'Future et co'!D4766,IF(currency="EUR",'Future et co'!E4766,IF(currency="GBP",'Future et co'!F4766,FALSE)))</f>
        <v>RFR USD</v>
      </c>
      <c r="D4766" t="str">
        <f t="shared" ca="1" si="371"/>
        <v>RFR USD</v>
      </c>
      <c r="E4766" t="str">
        <f t="shared" ca="1" si="372"/>
        <v>RFR EUR</v>
      </c>
      <c r="F4766" t="str">
        <f t="shared" ca="1" si="373"/>
        <v>RFR GBP</v>
      </c>
      <c r="J4766" s="1"/>
      <c r="N4766" s="1"/>
      <c r="R4766" s="1"/>
      <c r="V4766" s="1"/>
      <c r="AB4766" s="1"/>
      <c r="AF4766" s="1"/>
      <c r="AJ4766" s="1"/>
      <c r="AN4766" s="1"/>
      <c r="AS4766" s="1"/>
      <c r="AX4766" s="1"/>
    </row>
    <row r="4767" spans="1:50" x14ac:dyDescent="0.3">
      <c r="A4767" s="19">
        <f t="shared" si="374"/>
        <v>52588</v>
      </c>
      <c r="B4767">
        <f t="shared" ca="1" si="370"/>
        <v>-17.877777777777776</v>
      </c>
      <c r="C4767" t="str">
        <f ca="1">IF(currency="USD",'Future et co'!D4767,IF(currency="EUR",'Future et co'!E4767,IF(currency="GBP",'Future et co'!F4767,FALSE)))</f>
        <v>RFR USD</v>
      </c>
      <c r="D4767" t="str">
        <f t="shared" ca="1" si="371"/>
        <v>RFR USD</v>
      </c>
      <c r="E4767" t="str">
        <f t="shared" ca="1" si="372"/>
        <v>RFR EUR</v>
      </c>
      <c r="F4767" t="str">
        <f t="shared" ca="1" si="373"/>
        <v>RFR GBP</v>
      </c>
      <c r="J4767" s="1"/>
      <c r="N4767" s="1"/>
      <c r="R4767" s="1"/>
      <c r="V4767" s="1"/>
      <c r="AB4767" s="1"/>
      <c r="AF4767" s="1"/>
      <c r="AJ4767" s="1"/>
      <c r="AN4767" s="1"/>
      <c r="AS4767" s="1"/>
      <c r="AX4767" s="1"/>
    </row>
    <row r="4768" spans="1:50" x14ac:dyDescent="0.3">
      <c r="A4768" s="19">
        <f t="shared" si="374"/>
        <v>52589</v>
      </c>
      <c r="B4768">
        <f t="shared" ca="1" si="370"/>
        <v>-17.880555555555556</v>
      </c>
      <c r="C4768" t="str">
        <f ca="1">IF(currency="USD",'Future et co'!D4768,IF(currency="EUR",'Future et co'!E4768,IF(currency="GBP",'Future et co'!F4768,FALSE)))</f>
        <v>RFR USD</v>
      </c>
      <c r="D4768" t="str">
        <f t="shared" ca="1" si="371"/>
        <v>RFR USD</v>
      </c>
      <c r="E4768" t="str">
        <f t="shared" ca="1" si="372"/>
        <v>RFR EUR</v>
      </c>
      <c r="F4768" t="str">
        <f t="shared" ca="1" si="373"/>
        <v>RFR GBP</v>
      </c>
      <c r="J4768" s="1"/>
      <c r="N4768" s="1"/>
      <c r="R4768" s="1"/>
      <c r="V4768" s="1"/>
      <c r="AB4768" s="1"/>
      <c r="AF4768" s="1"/>
      <c r="AJ4768" s="1"/>
      <c r="AN4768" s="1"/>
      <c r="AS4768" s="1"/>
      <c r="AX4768" s="1"/>
    </row>
    <row r="4769" spans="1:50" x14ac:dyDescent="0.3">
      <c r="A4769" s="19">
        <f t="shared" si="374"/>
        <v>52590</v>
      </c>
      <c r="B4769">
        <f t="shared" ca="1" si="370"/>
        <v>-17.883333333333333</v>
      </c>
      <c r="C4769" t="str">
        <f ca="1">IF(currency="USD",'Future et co'!D4769,IF(currency="EUR",'Future et co'!E4769,IF(currency="GBP",'Future et co'!F4769,FALSE)))</f>
        <v>RFR USD</v>
      </c>
      <c r="D4769" t="str">
        <f t="shared" ca="1" si="371"/>
        <v>RFR USD</v>
      </c>
      <c r="E4769" t="str">
        <f t="shared" ca="1" si="372"/>
        <v>RFR EUR</v>
      </c>
      <c r="F4769" t="str">
        <f t="shared" ca="1" si="373"/>
        <v>RFR GBP</v>
      </c>
      <c r="J4769" s="1"/>
      <c r="N4769" s="1"/>
      <c r="R4769" s="1"/>
      <c r="V4769" s="1"/>
      <c r="AB4769" s="1"/>
      <c r="AF4769" s="1"/>
      <c r="AJ4769" s="1"/>
      <c r="AN4769" s="1"/>
      <c r="AS4769" s="1"/>
      <c r="AX4769" s="1"/>
    </row>
    <row r="4770" spans="1:50" x14ac:dyDescent="0.3">
      <c r="A4770" s="19">
        <f t="shared" si="374"/>
        <v>52593</v>
      </c>
      <c r="B4770">
        <f t="shared" ca="1" si="370"/>
        <v>-17.891666666666666</v>
      </c>
      <c r="C4770" t="str">
        <f ca="1">IF(currency="USD",'Future et co'!D4770,IF(currency="EUR",'Future et co'!E4770,IF(currency="GBP",'Future et co'!F4770,FALSE)))</f>
        <v>RFR USD</v>
      </c>
      <c r="D4770" t="str">
        <f t="shared" ca="1" si="371"/>
        <v>RFR USD</v>
      </c>
      <c r="E4770" t="str">
        <f t="shared" ca="1" si="372"/>
        <v>RFR EUR</v>
      </c>
      <c r="F4770" t="str">
        <f t="shared" ca="1" si="373"/>
        <v>RFR GBP</v>
      </c>
      <c r="J4770" s="1"/>
      <c r="N4770" s="1"/>
      <c r="R4770" s="1"/>
      <c r="V4770" s="1"/>
      <c r="AB4770" s="1"/>
      <c r="AF4770" s="1"/>
      <c r="AJ4770" s="1"/>
      <c r="AN4770" s="1"/>
      <c r="AS4770" s="1"/>
      <c r="AX4770" s="1"/>
    </row>
    <row r="4771" spans="1:50" x14ac:dyDescent="0.3">
      <c r="A4771" s="19">
        <f t="shared" si="374"/>
        <v>52594</v>
      </c>
      <c r="B4771">
        <f t="shared" ca="1" si="370"/>
        <v>-17.894444444444446</v>
      </c>
      <c r="C4771" t="str">
        <f ca="1">IF(currency="USD",'Future et co'!D4771,IF(currency="EUR",'Future et co'!E4771,IF(currency="GBP",'Future et co'!F4771,FALSE)))</f>
        <v>RFR USD</v>
      </c>
      <c r="D4771" t="str">
        <f t="shared" ca="1" si="371"/>
        <v>RFR USD</v>
      </c>
      <c r="E4771" t="str">
        <f t="shared" ca="1" si="372"/>
        <v>RFR EUR</v>
      </c>
      <c r="F4771" t="str">
        <f t="shared" ca="1" si="373"/>
        <v>RFR GBP</v>
      </c>
      <c r="J4771" s="1"/>
      <c r="N4771" s="1"/>
      <c r="R4771" s="1"/>
      <c r="V4771" s="1"/>
      <c r="AB4771" s="1"/>
      <c r="AF4771" s="1"/>
      <c r="AJ4771" s="1"/>
      <c r="AN4771" s="1"/>
      <c r="AS4771" s="1"/>
      <c r="AX4771" s="1"/>
    </row>
    <row r="4772" spans="1:50" x14ac:dyDescent="0.3">
      <c r="A4772" s="19">
        <f t="shared" si="374"/>
        <v>52595</v>
      </c>
      <c r="B4772">
        <f t="shared" ca="1" si="370"/>
        <v>-17.897222222222222</v>
      </c>
      <c r="C4772" t="str">
        <f ca="1">IF(currency="USD",'Future et co'!D4772,IF(currency="EUR",'Future et co'!E4772,IF(currency="GBP",'Future et co'!F4772,FALSE)))</f>
        <v>RFR USD</v>
      </c>
      <c r="D4772" t="str">
        <f t="shared" ca="1" si="371"/>
        <v>RFR USD</v>
      </c>
      <c r="E4772" t="str">
        <f t="shared" ca="1" si="372"/>
        <v>RFR EUR</v>
      </c>
      <c r="F4772" t="str">
        <f t="shared" ca="1" si="373"/>
        <v>RFR GBP</v>
      </c>
      <c r="J4772" s="1"/>
      <c r="N4772" s="1"/>
      <c r="R4772" s="1"/>
      <c r="V4772" s="1"/>
      <c r="AB4772" s="1"/>
      <c r="AF4772" s="1"/>
      <c r="AJ4772" s="1"/>
      <c r="AN4772" s="1"/>
      <c r="AS4772" s="1"/>
      <c r="AX4772" s="1"/>
    </row>
    <row r="4773" spans="1:50" x14ac:dyDescent="0.3">
      <c r="A4773" s="19">
        <f t="shared" si="374"/>
        <v>52596</v>
      </c>
      <c r="B4773">
        <f t="shared" ca="1" si="370"/>
        <v>-17.899999999999999</v>
      </c>
      <c r="C4773" t="str">
        <f ca="1">IF(currency="USD",'Future et co'!D4773,IF(currency="EUR",'Future et co'!E4773,IF(currency="GBP",'Future et co'!F4773,FALSE)))</f>
        <v>RFR USD</v>
      </c>
      <c r="D4773" t="str">
        <f t="shared" ca="1" si="371"/>
        <v>RFR USD</v>
      </c>
      <c r="E4773" t="str">
        <f t="shared" ca="1" si="372"/>
        <v>RFR EUR</v>
      </c>
      <c r="F4773" t="str">
        <f t="shared" ca="1" si="373"/>
        <v>RFR GBP</v>
      </c>
      <c r="J4773" s="1"/>
      <c r="N4773" s="1"/>
      <c r="R4773" s="1"/>
      <c r="V4773" s="1"/>
      <c r="AB4773" s="1"/>
      <c r="AF4773" s="1"/>
      <c r="AJ4773" s="1"/>
      <c r="AN4773" s="1"/>
      <c r="AS4773" s="1"/>
      <c r="AX4773" s="1"/>
    </row>
    <row r="4774" spans="1:50" x14ac:dyDescent="0.3">
      <c r="A4774" s="19">
        <f t="shared" si="374"/>
        <v>52597</v>
      </c>
      <c r="B4774">
        <f t="shared" ca="1" si="370"/>
        <v>-17.902777777777779</v>
      </c>
      <c r="C4774" t="str">
        <f ca="1">IF(currency="USD",'Future et co'!D4774,IF(currency="EUR",'Future et co'!E4774,IF(currency="GBP",'Future et co'!F4774,FALSE)))</f>
        <v>RFR USD</v>
      </c>
      <c r="D4774" t="str">
        <f t="shared" ca="1" si="371"/>
        <v>RFR USD</v>
      </c>
      <c r="E4774" t="str">
        <f t="shared" ca="1" si="372"/>
        <v>RFR EUR</v>
      </c>
      <c r="F4774" t="str">
        <f t="shared" ca="1" si="373"/>
        <v>RFR GBP</v>
      </c>
      <c r="J4774" s="1"/>
      <c r="N4774" s="1"/>
      <c r="R4774" s="1"/>
      <c r="V4774" s="1"/>
      <c r="AB4774" s="1"/>
      <c r="AF4774" s="1"/>
      <c r="AJ4774" s="1"/>
      <c r="AN4774" s="1"/>
      <c r="AS4774" s="1"/>
      <c r="AX4774" s="1"/>
    </row>
    <row r="4775" spans="1:50" x14ac:dyDescent="0.3">
      <c r="A4775" s="19">
        <f t="shared" si="374"/>
        <v>52600</v>
      </c>
      <c r="B4775">
        <f t="shared" ca="1" si="370"/>
        <v>-17.911111111111111</v>
      </c>
      <c r="C4775" t="str">
        <f ca="1">IF(currency="USD",'Future et co'!D4775,IF(currency="EUR",'Future et co'!E4775,IF(currency="GBP",'Future et co'!F4775,FALSE)))</f>
        <v>RFR USD</v>
      </c>
      <c r="D4775" t="str">
        <f t="shared" ca="1" si="371"/>
        <v>RFR USD</v>
      </c>
      <c r="E4775" t="str">
        <f t="shared" ca="1" si="372"/>
        <v>RFR EUR</v>
      </c>
      <c r="F4775" t="str">
        <f t="shared" ca="1" si="373"/>
        <v>RFR GBP</v>
      </c>
      <c r="J4775" s="1"/>
      <c r="N4775" s="1"/>
      <c r="R4775" s="1"/>
      <c r="V4775" s="1"/>
      <c r="AB4775" s="1"/>
      <c r="AF4775" s="1"/>
      <c r="AJ4775" s="1"/>
      <c r="AN4775" s="1"/>
      <c r="AS4775" s="1"/>
      <c r="AX4775" s="1"/>
    </row>
    <row r="4776" spans="1:50" x14ac:dyDescent="0.3">
      <c r="A4776" s="19">
        <f t="shared" si="374"/>
        <v>52601</v>
      </c>
      <c r="B4776">
        <f t="shared" ca="1" si="370"/>
        <v>-17.913888888888888</v>
      </c>
      <c r="C4776" t="str">
        <f ca="1">IF(currency="USD",'Future et co'!D4776,IF(currency="EUR",'Future et co'!E4776,IF(currency="GBP",'Future et co'!F4776,FALSE)))</f>
        <v>RFR USD</v>
      </c>
      <c r="D4776" t="str">
        <f t="shared" ca="1" si="371"/>
        <v>RFR USD</v>
      </c>
      <c r="E4776" t="str">
        <f t="shared" ca="1" si="372"/>
        <v>RFR EUR</v>
      </c>
      <c r="F4776" t="str">
        <f t="shared" ca="1" si="373"/>
        <v>RFR GBP</v>
      </c>
      <c r="J4776" s="1"/>
      <c r="N4776" s="1"/>
      <c r="R4776" s="1"/>
      <c r="V4776" s="1"/>
      <c r="AB4776" s="1"/>
      <c r="AF4776" s="1"/>
      <c r="AJ4776" s="1"/>
      <c r="AN4776" s="1"/>
      <c r="AS4776" s="1"/>
      <c r="AX4776" s="1"/>
    </row>
    <row r="4777" spans="1:50" x14ac:dyDescent="0.3">
      <c r="A4777" s="19">
        <f t="shared" si="374"/>
        <v>52602</v>
      </c>
      <c r="B4777">
        <f t="shared" ca="1" si="370"/>
        <v>-17.916666666666668</v>
      </c>
      <c r="C4777" t="str">
        <f ca="1">IF(currency="USD",'Future et co'!D4777,IF(currency="EUR",'Future et co'!E4777,IF(currency="GBP",'Future et co'!F4777,FALSE)))</f>
        <v>RFR USD</v>
      </c>
      <c r="D4777" t="str">
        <f t="shared" ca="1" si="371"/>
        <v>RFR USD</v>
      </c>
      <c r="E4777" t="str">
        <f t="shared" ca="1" si="372"/>
        <v>RFR EUR</v>
      </c>
      <c r="F4777" t="str">
        <f t="shared" ca="1" si="373"/>
        <v>RFR GBP</v>
      </c>
      <c r="J4777" s="1"/>
      <c r="N4777" s="1"/>
      <c r="R4777" s="1"/>
      <c r="V4777" s="1"/>
      <c r="AB4777" s="1"/>
      <c r="AF4777" s="1"/>
      <c r="AJ4777" s="1"/>
      <c r="AN4777" s="1"/>
      <c r="AS4777" s="1"/>
      <c r="AX4777" s="1"/>
    </row>
    <row r="4778" spans="1:50" x14ac:dyDescent="0.3">
      <c r="A4778" s="19">
        <f t="shared" si="374"/>
        <v>52603</v>
      </c>
      <c r="B4778">
        <f t="shared" ca="1" si="370"/>
        <v>-17.919444444444444</v>
      </c>
      <c r="C4778" t="str">
        <f ca="1">IF(currency="USD",'Future et co'!D4778,IF(currency="EUR",'Future et co'!E4778,IF(currency="GBP",'Future et co'!F4778,FALSE)))</f>
        <v>RFR USD</v>
      </c>
      <c r="D4778" t="str">
        <f t="shared" ca="1" si="371"/>
        <v>RFR USD</v>
      </c>
      <c r="E4778" t="str">
        <f t="shared" ca="1" si="372"/>
        <v>RFR EUR</v>
      </c>
      <c r="F4778" t="str">
        <f t="shared" ca="1" si="373"/>
        <v>RFR GBP</v>
      </c>
      <c r="J4778" s="1"/>
      <c r="N4778" s="1"/>
      <c r="R4778" s="1"/>
      <c r="V4778" s="1"/>
      <c r="AB4778" s="1"/>
      <c r="AF4778" s="1"/>
      <c r="AJ4778" s="1"/>
      <c r="AN4778" s="1"/>
      <c r="AS4778" s="1"/>
      <c r="AX4778" s="1"/>
    </row>
    <row r="4779" spans="1:50" x14ac:dyDescent="0.3">
      <c r="A4779" s="19">
        <f t="shared" si="374"/>
        <v>52604</v>
      </c>
      <c r="B4779">
        <f t="shared" ca="1" si="370"/>
        <v>-17.922222222222221</v>
      </c>
      <c r="C4779" t="str">
        <f ca="1">IF(currency="USD",'Future et co'!D4779,IF(currency="EUR",'Future et co'!E4779,IF(currency="GBP",'Future et co'!F4779,FALSE)))</f>
        <v>RFR USD</v>
      </c>
      <c r="D4779" t="str">
        <f t="shared" ca="1" si="371"/>
        <v>RFR USD</v>
      </c>
      <c r="E4779" t="str">
        <f t="shared" ca="1" si="372"/>
        <v>RFR EUR</v>
      </c>
      <c r="F4779" t="str">
        <f t="shared" ca="1" si="373"/>
        <v>RFR GBP</v>
      </c>
      <c r="J4779" s="1"/>
      <c r="N4779" s="1"/>
      <c r="R4779" s="1"/>
      <c r="V4779" s="1"/>
      <c r="AB4779" s="1"/>
      <c r="AF4779" s="1"/>
      <c r="AJ4779" s="1"/>
      <c r="AN4779" s="1"/>
      <c r="AS4779" s="1"/>
      <c r="AX4779" s="1"/>
    </row>
    <row r="4780" spans="1:50" x14ac:dyDescent="0.3">
      <c r="A4780" s="19">
        <f t="shared" si="374"/>
        <v>52607</v>
      </c>
      <c r="B4780">
        <f t="shared" ca="1" si="370"/>
        <v>-17.930555555555557</v>
      </c>
      <c r="C4780" t="str">
        <f ca="1">IF(currency="USD",'Future et co'!D4780,IF(currency="EUR",'Future et co'!E4780,IF(currency="GBP",'Future et co'!F4780,FALSE)))</f>
        <v>RFR USD</v>
      </c>
      <c r="D4780" t="str">
        <f t="shared" ca="1" si="371"/>
        <v>RFR USD</v>
      </c>
      <c r="E4780" t="str">
        <f t="shared" ca="1" si="372"/>
        <v>RFR EUR</v>
      </c>
      <c r="F4780" t="str">
        <f t="shared" ca="1" si="373"/>
        <v>RFR GBP</v>
      </c>
      <c r="J4780" s="1"/>
      <c r="N4780" s="1"/>
      <c r="R4780" s="1"/>
      <c r="V4780" s="1"/>
      <c r="AB4780" s="1"/>
      <c r="AF4780" s="1"/>
      <c r="AJ4780" s="1"/>
      <c r="AN4780" s="1"/>
      <c r="AS4780" s="1"/>
      <c r="AX4780" s="1"/>
    </row>
    <row r="4781" spans="1:50" x14ac:dyDescent="0.3">
      <c r="A4781" s="19">
        <f t="shared" si="374"/>
        <v>52608</v>
      </c>
      <c r="B4781">
        <f t="shared" ca="1" si="370"/>
        <v>-17.933333333333334</v>
      </c>
      <c r="C4781" t="str">
        <f ca="1">IF(currency="USD",'Future et co'!D4781,IF(currency="EUR",'Future et co'!E4781,IF(currency="GBP",'Future et co'!F4781,FALSE)))</f>
        <v>RFR USD</v>
      </c>
      <c r="D4781" t="str">
        <f t="shared" ca="1" si="371"/>
        <v>RFR USD</v>
      </c>
      <c r="E4781" t="str">
        <f t="shared" ca="1" si="372"/>
        <v>RFR EUR</v>
      </c>
      <c r="F4781" t="str">
        <f t="shared" ca="1" si="373"/>
        <v>RFR GBP</v>
      </c>
      <c r="J4781" s="1"/>
      <c r="N4781" s="1"/>
      <c r="R4781" s="1"/>
      <c r="V4781" s="1"/>
      <c r="AB4781" s="1"/>
      <c r="AF4781" s="1"/>
      <c r="AJ4781" s="1"/>
      <c r="AN4781" s="1"/>
      <c r="AS4781" s="1"/>
      <c r="AX4781" s="1"/>
    </row>
    <row r="4782" spans="1:50" x14ac:dyDescent="0.3">
      <c r="A4782" s="19">
        <f t="shared" si="374"/>
        <v>52609</v>
      </c>
      <c r="B4782">
        <f t="shared" ca="1" si="370"/>
        <v>-17.93611111111111</v>
      </c>
      <c r="C4782" t="str">
        <f ca="1">IF(currency="USD",'Future et co'!D4782,IF(currency="EUR",'Future et co'!E4782,IF(currency="GBP",'Future et co'!F4782,FALSE)))</f>
        <v>RFR USD</v>
      </c>
      <c r="D4782" t="str">
        <f t="shared" ca="1" si="371"/>
        <v>RFR USD</v>
      </c>
      <c r="E4782" t="str">
        <f t="shared" ca="1" si="372"/>
        <v>RFR EUR</v>
      </c>
      <c r="F4782" t="str">
        <f t="shared" ca="1" si="373"/>
        <v>RFR GBP</v>
      </c>
      <c r="J4782" s="1"/>
      <c r="N4782" s="1"/>
      <c r="R4782" s="1"/>
      <c r="V4782" s="1"/>
      <c r="AB4782" s="1"/>
      <c r="AF4782" s="1"/>
      <c r="AJ4782" s="1"/>
      <c r="AN4782" s="1"/>
      <c r="AS4782" s="1"/>
      <c r="AX4782" s="1"/>
    </row>
    <row r="4783" spans="1:50" x14ac:dyDescent="0.3">
      <c r="A4783" s="19">
        <f t="shared" si="374"/>
        <v>52610</v>
      </c>
      <c r="B4783">
        <f t="shared" ca="1" si="370"/>
        <v>-17.93888888888889</v>
      </c>
      <c r="C4783" t="str">
        <f ca="1">IF(currency="USD",'Future et co'!D4783,IF(currency="EUR",'Future et co'!E4783,IF(currency="GBP",'Future et co'!F4783,FALSE)))</f>
        <v>RFR USD</v>
      </c>
      <c r="D4783" t="str">
        <f t="shared" ca="1" si="371"/>
        <v>RFR USD</v>
      </c>
      <c r="E4783" t="str">
        <f t="shared" ca="1" si="372"/>
        <v>RFR EUR</v>
      </c>
      <c r="F4783" t="str">
        <f t="shared" ca="1" si="373"/>
        <v>RFR GBP</v>
      </c>
      <c r="J4783" s="1"/>
      <c r="N4783" s="1"/>
      <c r="R4783" s="1"/>
      <c r="V4783" s="1"/>
      <c r="AB4783" s="1"/>
      <c r="AF4783" s="1"/>
      <c r="AJ4783" s="1"/>
      <c r="AN4783" s="1"/>
      <c r="AS4783" s="1"/>
      <c r="AX4783" s="1"/>
    </row>
    <row r="4784" spans="1:50" x14ac:dyDescent="0.3">
      <c r="A4784" s="19">
        <f t="shared" si="374"/>
        <v>52611</v>
      </c>
      <c r="B4784">
        <f t="shared" ca="1" si="370"/>
        <v>-17.941666666666666</v>
      </c>
      <c r="C4784" t="str">
        <f ca="1">IF(currency="USD",'Future et co'!D4784,IF(currency="EUR",'Future et co'!E4784,IF(currency="GBP",'Future et co'!F4784,FALSE)))</f>
        <v>RFR USD</v>
      </c>
      <c r="D4784" t="str">
        <f t="shared" ca="1" si="371"/>
        <v>RFR USD</v>
      </c>
      <c r="E4784" t="str">
        <f t="shared" ca="1" si="372"/>
        <v>RFR EUR</v>
      </c>
      <c r="F4784" t="str">
        <f t="shared" ca="1" si="373"/>
        <v>RFR GBP</v>
      </c>
      <c r="J4784" s="1"/>
      <c r="N4784" s="1"/>
      <c r="R4784" s="1"/>
      <c r="V4784" s="1"/>
      <c r="AB4784" s="1"/>
      <c r="AF4784" s="1"/>
      <c r="AJ4784" s="1"/>
      <c r="AN4784" s="1"/>
      <c r="AS4784" s="1"/>
      <c r="AX4784" s="1"/>
    </row>
    <row r="4785" spans="1:50" x14ac:dyDescent="0.3">
      <c r="A4785" s="19">
        <f t="shared" si="374"/>
        <v>52614</v>
      </c>
      <c r="B4785">
        <f t="shared" ca="1" si="370"/>
        <v>-17.95</v>
      </c>
      <c r="C4785" t="str">
        <f ca="1">IF(currency="USD",'Future et co'!D4785,IF(currency="EUR",'Future et co'!E4785,IF(currency="GBP",'Future et co'!F4785,FALSE)))</f>
        <v>RFR USD</v>
      </c>
      <c r="D4785" t="str">
        <f t="shared" ca="1" si="371"/>
        <v>RFR USD</v>
      </c>
      <c r="E4785" t="str">
        <f t="shared" ca="1" si="372"/>
        <v>RFR EUR</v>
      </c>
      <c r="F4785" t="str">
        <f t="shared" ca="1" si="373"/>
        <v>RFR GBP</v>
      </c>
      <c r="J4785" s="1"/>
      <c r="N4785" s="1"/>
      <c r="R4785" s="1"/>
      <c r="V4785" s="1"/>
      <c r="AB4785" s="1"/>
      <c r="AF4785" s="1"/>
      <c r="AJ4785" s="1"/>
      <c r="AN4785" s="1"/>
      <c r="AS4785" s="1"/>
      <c r="AX4785" s="1"/>
    </row>
    <row r="4786" spans="1:50" x14ac:dyDescent="0.3">
      <c r="A4786" s="19">
        <f t="shared" si="374"/>
        <v>52615</v>
      </c>
      <c r="B4786">
        <f t="shared" ca="1" si="370"/>
        <v>-17.952777777777779</v>
      </c>
      <c r="C4786" t="str">
        <f ca="1">IF(currency="USD",'Future et co'!D4786,IF(currency="EUR",'Future et co'!E4786,IF(currency="GBP",'Future et co'!F4786,FALSE)))</f>
        <v>RFR USD</v>
      </c>
      <c r="D4786" t="str">
        <f t="shared" ca="1" si="371"/>
        <v>RFR USD</v>
      </c>
      <c r="E4786" t="str">
        <f t="shared" ca="1" si="372"/>
        <v>RFR EUR</v>
      </c>
      <c r="F4786" t="str">
        <f t="shared" ca="1" si="373"/>
        <v>RFR GBP</v>
      </c>
      <c r="J4786" s="1"/>
      <c r="N4786" s="1"/>
      <c r="R4786" s="1"/>
      <c r="V4786" s="1"/>
      <c r="AB4786" s="1"/>
      <c r="AF4786" s="1"/>
      <c r="AJ4786" s="1"/>
      <c r="AN4786" s="1"/>
      <c r="AS4786" s="1"/>
      <c r="AX4786" s="1"/>
    </row>
    <row r="4787" spans="1:50" x14ac:dyDescent="0.3">
      <c r="A4787" s="19">
        <f t="shared" si="374"/>
        <v>52616</v>
      </c>
      <c r="B4787">
        <f t="shared" ca="1" si="370"/>
        <v>-17.955555555555556</v>
      </c>
      <c r="C4787" t="str">
        <f ca="1">IF(currency="USD",'Future et co'!D4787,IF(currency="EUR",'Future et co'!E4787,IF(currency="GBP",'Future et co'!F4787,FALSE)))</f>
        <v>RFR USD</v>
      </c>
      <c r="D4787" t="str">
        <f t="shared" ca="1" si="371"/>
        <v>RFR USD</v>
      </c>
      <c r="E4787" t="str">
        <f t="shared" ca="1" si="372"/>
        <v>RFR EUR</v>
      </c>
      <c r="F4787" t="str">
        <f t="shared" ca="1" si="373"/>
        <v>RFR GBP</v>
      </c>
      <c r="J4787" s="1"/>
      <c r="N4787" s="1"/>
      <c r="R4787" s="1"/>
      <c r="V4787" s="1"/>
      <c r="AB4787" s="1"/>
      <c r="AF4787" s="1"/>
      <c r="AJ4787" s="1"/>
      <c r="AN4787" s="1"/>
      <c r="AS4787" s="1"/>
      <c r="AX4787" s="1"/>
    </row>
    <row r="4788" spans="1:50" x14ac:dyDescent="0.3">
      <c r="A4788" s="19">
        <f t="shared" si="374"/>
        <v>52617</v>
      </c>
      <c r="B4788">
        <f t="shared" ca="1" si="370"/>
        <v>-17.958333333333332</v>
      </c>
      <c r="C4788" t="str">
        <f ca="1">IF(currency="USD",'Future et co'!D4788,IF(currency="EUR",'Future et co'!E4788,IF(currency="GBP",'Future et co'!F4788,FALSE)))</f>
        <v>RFR USD</v>
      </c>
      <c r="D4788" t="str">
        <f t="shared" ca="1" si="371"/>
        <v>RFR USD</v>
      </c>
      <c r="E4788" t="str">
        <f t="shared" ca="1" si="372"/>
        <v>RFR EUR</v>
      </c>
      <c r="F4788" t="str">
        <f t="shared" ca="1" si="373"/>
        <v>RFR GBP</v>
      </c>
      <c r="J4788" s="1"/>
      <c r="N4788" s="1"/>
      <c r="R4788" s="1"/>
      <c r="V4788" s="1"/>
      <c r="AB4788" s="1"/>
      <c r="AF4788" s="1"/>
      <c r="AJ4788" s="1"/>
      <c r="AN4788" s="1"/>
      <c r="AS4788" s="1"/>
      <c r="AX4788" s="1"/>
    </row>
    <row r="4789" spans="1:50" x14ac:dyDescent="0.3">
      <c r="A4789" s="19">
        <f t="shared" si="374"/>
        <v>52618</v>
      </c>
      <c r="B4789">
        <f t="shared" ca="1" si="370"/>
        <v>-17.961111111111112</v>
      </c>
      <c r="C4789" t="str">
        <f ca="1">IF(currency="USD",'Future et co'!D4789,IF(currency="EUR",'Future et co'!E4789,IF(currency="GBP",'Future et co'!F4789,FALSE)))</f>
        <v>RFR USD</v>
      </c>
      <c r="D4789" t="str">
        <f t="shared" ca="1" si="371"/>
        <v>RFR USD</v>
      </c>
      <c r="E4789" t="str">
        <f t="shared" ca="1" si="372"/>
        <v>RFR EUR</v>
      </c>
      <c r="F4789" t="str">
        <f t="shared" ca="1" si="373"/>
        <v>RFR GBP</v>
      </c>
      <c r="J4789" s="1"/>
      <c r="N4789" s="1"/>
      <c r="R4789" s="1"/>
      <c r="V4789" s="1"/>
      <c r="AB4789" s="1"/>
      <c r="AF4789" s="1"/>
      <c r="AJ4789" s="1"/>
      <c r="AN4789" s="1"/>
      <c r="AS4789" s="1"/>
      <c r="AX4789" s="1"/>
    </row>
    <row r="4790" spans="1:50" x14ac:dyDescent="0.3">
      <c r="A4790" s="19">
        <f t="shared" si="374"/>
        <v>52621</v>
      </c>
      <c r="B4790">
        <f t="shared" ca="1" si="370"/>
        <v>-17.969444444444445</v>
      </c>
      <c r="C4790" t="str">
        <f ca="1">IF(currency="USD",'Future et co'!D4790,IF(currency="EUR",'Future et co'!E4790,IF(currency="GBP",'Future et co'!F4790,FALSE)))</f>
        <v>RFR USD</v>
      </c>
      <c r="D4790" t="str">
        <f t="shared" ca="1" si="371"/>
        <v>RFR USD</v>
      </c>
      <c r="E4790" t="str">
        <f t="shared" ca="1" si="372"/>
        <v>RFR EUR</v>
      </c>
      <c r="F4790" t="str">
        <f t="shared" ca="1" si="373"/>
        <v>RFR GBP</v>
      </c>
      <c r="J4790" s="1"/>
      <c r="N4790" s="1"/>
      <c r="R4790" s="1"/>
      <c r="V4790" s="1"/>
      <c r="AB4790" s="1"/>
      <c r="AF4790" s="1"/>
      <c r="AJ4790" s="1"/>
      <c r="AN4790" s="1"/>
      <c r="AS4790" s="1"/>
      <c r="AX4790" s="1"/>
    </row>
    <row r="4791" spans="1:50" x14ac:dyDescent="0.3">
      <c r="A4791" s="19">
        <f t="shared" si="374"/>
        <v>52622</v>
      </c>
      <c r="B4791">
        <f t="shared" ca="1" si="370"/>
        <v>-17.972222222222221</v>
      </c>
      <c r="C4791" t="str">
        <f ca="1">IF(currency="USD",'Future et co'!D4791,IF(currency="EUR",'Future et co'!E4791,IF(currency="GBP",'Future et co'!F4791,FALSE)))</f>
        <v>RFR USD</v>
      </c>
      <c r="D4791" t="str">
        <f t="shared" ca="1" si="371"/>
        <v>RFR USD</v>
      </c>
      <c r="E4791" t="str">
        <f t="shared" ca="1" si="372"/>
        <v>RFR EUR</v>
      </c>
      <c r="F4791" t="str">
        <f t="shared" ca="1" si="373"/>
        <v>RFR GBP</v>
      </c>
      <c r="J4791" s="1"/>
      <c r="N4791" s="1"/>
      <c r="R4791" s="1"/>
      <c r="V4791" s="1"/>
      <c r="AB4791" s="1"/>
      <c r="AF4791" s="1"/>
      <c r="AJ4791" s="1"/>
      <c r="AN4791" s="1"/>
      <c r="AS4791" s="1"/>
      <c r="AX4791" s="1"/>
    </row>
    <row r="4792" spans="1:50" x14ac:dyDescent="0.3">
      <c r="A4792" s="19">
        <f t="shared" si="374"/>
        <v>52623</v>
      </c>
      <c r="B4792">
        <f t="shared" ca="1" si="370"/>
        <v>-17.975000000000001</v>
      </c>
      <c r="C4792" t="str">
        <f ca="1">IF(currency="USD",'Future et co'!D4792,IF(currency="EUR",'Future et co'!E4792,IF(currency="GBP",'Future et co'!F4792,FALSE)))</f>
        <v>RFR USD</v>
      </c>
      <c r="D4792" t="str">
        <f t="shared" ca="1" si="371"/>
        <v>RFR USD</v>
      </c>
      <c r="E4792" t="str">
        <f t="shared" ca="1" si="372"/>
        <v>RFR EUR</v>
      </c>
      <c r="F4792" t="str">
        <f t="shared" ca="1" si="373"/>
        <v>RFR GBP</v>
      </c>
      <c r="J4792" s="1"/>
      <c r="N4792" s="1"/>
      <c r="R4792" s="1"/>
      <c r="V4792" s="1"/>
      <c r="AB4792" s="1"/>
      <c r="AF4792" s="1"/>
      <c r="AJ4792" s="1"/>
      <c r="AN4792" s="1"/>
      <c r="AS4792" s="1"/>
      <c r="AX4792" s="1"/>
    </row>
    <row r="4793" spans="1:50" x14ac:dyDescent="0.3">
      <c r="A4793" s="19">
        <f t="shared" si="374"/>
        <v>52624</v>
      </c>
      <c r="B4793">
        <f t="shared" ca="1" si="370"/>
        <v>-17.977777777777778</v>
      </c>
      <c r="C4793" t="str">
        <f ca="1">IF(currency="USD",'Future et co'!D4793,IF(currency="EUR",'Future et co'!E4793,IF(currency="GBP",'Future et co'!F4793,FALSE)))</f>
        <v>RFR USD</v>
      </c>
      <c r="D4793" t="str">
        <f t="shared" ca="1" si="371"/>
        <v>RFR USD</v>
      </c>
      <c r="E4793" t="str">
        <f t="shared" ca="1" si="372"/>
        <v>RFR EUR</v>
      </c>
      <c r="F4793" t="str">
        <f t="shared" ca="1" si="373"/>
        <v>RFR GBP</v>
      </c>
      <c r="J4793" s="1"/>
      <c r="N4793" s="1"/>
      <c r="R4793" s="1"/>
      <c r="V4793" s="1"/>
      <c r="AB4793" s="1"/>
      <c r="AF4793" s="1"/>
      <c r="AJ4793" s="1"/>
      <c r="AN4793" s="1"/>
      <c r="AS4793" s="1"/>
      <c r="AX4793" s="1"/>
    </row>
    <row r="4794" spans="1:50" x14ac:dyDescent="0.3">
      <c r="A4794" s="19">
        <f t="shared" si="374"/>
        <v>52625</v>
      </c>
      <c r="B4794">
        <f t="shared" ca="1" si="370"/>
        <v>-17.980555555555554</v>
      </c>
      <c r="C4794" t="str">
        <f ca="1">IF(currency="USD",'Future et co'!D4794,IF(currency="EUR",'Future et co'!E4794,IF(currency="GBP",'Future et co'!F4794,FALSE)))</f>
        <v>RFR USD</v>
      </c>
      <c r="D4794" t="str">
        <f t="shared" ca="1" si="371"/>
        <v>RFR USD</v>
      </c>
      <c r="E4794" t="str">
        <f t="shared" ca="1" si="372"/>
        <v>RFR EUR</v>
      </c>
      <c r="F4794" t="str">
        <f t="shared" ca="1" si="373"/>
        <v>RFR GBP</v>
      </c>
      <c r="J4794" s="1"/>
      <c r="N4794" s="1"/>
      <c r="R4794" s="1"/>
      <c r="V4794" s="1"/>
      <c r="AB4794" s="1"/>
      <c r="AF4794" s="1"/>
      <c r="AJ4794" s="1"/>
      <c r="AN4794" s="1"/>
      <c r="AS4794" s="1"/>
      <c r="AX4794" s="1"/>
    </row>
    <row r="4795" spans="1:50" x14ac:dyDescent="0.3">
      <c r="A4795" s="19">
        <f t="shared" si="374"/>
        <v>52628</v>
      </c>
      <c r="B4795">
        <f t="shared" ca="1" si="370"/>
        <v>-17.988888888888887</v>
      </c>
      <c r="C4795" t="str">
        <f ca="1">IF(currency="USD",'Future et co'!D4795,IF(currency="EUR",'Future et co'!E4795,IF(currency="GBP",'Future et co'!F4795,FALSE)))</f>
        <v>RFR USD</v>
      </c>
      <c r="D4795" t="str">
        <f t="shared" ca="1" si="371"/>
        <v>RFR USD</v>
      </c>
      <c r="E4795" t="str">
        <f t="shared" ca="1" si="372"/>
        <v>RFR EUR</v>
      </c>
      <c r="F4795" t="str">
        <f t="shared" ca="1" si="373"/>
        <v>RFR GBP</v>
      </c>
      <c r="J4795" s="1"/>
      <c r="N4795" s="1"/>
      <c r="R4795" s="1"/>
      <c r="V4795" s="1"/>
      <c r="AB4795" s="1"/>
      <c r="AF4795" s="1"/>
      <c r="AJ4795" s="1"/>
      <c r="AN4795" s="1"/>
      <c r="AS4795" s="1"/>
      <c r="AX4795" s="1"/>
    </row>
    <row r="4796" spans="1:50" x14ac:dyDescent="0.3">
      <c r="A4796" s="19">
        <f t="shared" si="374"/>
        <v>52629</v>
      </c>
      <c r="B4796">
        <f t="shared" ca="1" si="370"/>
        <v>-17.991666666666667</v>
      </c>
      <c r="C4796" t="str">
        <f ca="1">IF(currency="USD",'Future et co'!D4796,IF(currency="EUR",'Future et co'!E4796,IF(currency="GBP",'Future et co'!F4796,FALSE)))</f>
        <v>RFR USD</v>
      </c>
      <c r="D4796" t="str">
        <f t="shared" ca="1" si="371"/>
        <v>RFR USD</v>
      </c>
      <c r="E4796" t="str">
        <f t="shared" ca="1" si="372"/>
        <v>RFR EUR</v>
      </c>
      <c r="F4796" t="str">
        <f t="shared" ca="1" si="373"/>
        <v>RFR GBP</v>
      </c>
      <c r="J4796" s="1"/>
      <c r="N4796" s="1"/>
      <c r="R4796" s="1"/>
      <c r="V4796" s="1"/>
      <c r="AB4796" s="1"/>
      <c r="AF4796" s="1"/>
      <c r="AJ4796" s="1"/>
      <c r="AN4796" s="1"/>
      <c r="AS4796" s="1"/>
      <c r="AX4796" s="1"/>
    </row>
    <row r="4797" spans="1:50" x14ac:dyDescent="0.3">
      <c r="A4797" s="19">
        <f t="shared" si="374"/>
        <v>52630</v>
      </c>
      <c r="B4797">
        <f t="shared" ca="1" si="370"/>
        <v>-17.994444444444444</v>
      </c>
      <c r="C4797" t="str">
        <f ca="1">IF(currency="USD",'Future et co'!D4797,IF(currency="EUR",'Future et co'!E4797,IF(currency="GBP",'Future et co'!F4797,FALSE)))</f>
        <v>RFR USD</v>
      </c>
      <c r="D4797" t="str">
        <f t="shared" ca="1" si="371"/>
        <v>RFR USD</v>
      </c>
      <c r="E4797" t="str">
        <f t="shared" ca="1" si="372"/>
        <v>RFR EUR</v>
      </c>
      <c r="F4797" t="str">
        <f t="shared" ca="1" si="373"/>
        <v>RFR GBP</v>
      </c>
      <c r="J4797" s="1"/>
      <c r="N4797" s="1"/>
      <c r="R4797" s="1"/>
      <c r="V4797" s="1"/>
      <c r="AB4797" s="1"/>
      <c r="AF4797" s="1"/>
      <c r="AJ4797" s="1"/>
      <c r="AN4797" s="1"/>
      <c r="AS4797" s="1"/>
      <c r="AX4797" s="1"/>
    </row>
    <row r="4798" spans="1:50" x14ac:dyDescent="0.3">
      <c r="A4798" s="19">
        <f t="shared" si="374"/>
        <v>52631</v>
      </c>
      <c r="B4798">
        <f t="shared" ca="1" si="370"/>
        <v>-17.997222222222224</v>
      </c>
      <c r="C4798" t="str">
        <f ca="1">IF(currency="USD",'Future et co'!D4798,IF(currency="EUR",'Future et co'!E4798,IF(currency="GBP",'Future et co'!F4798,FALSE)))</f>
        <v>RFR USD</v>
      </c>
      <c r="D4798" t="str">
        <f t="shared" ca="1" si="371"/>
        <v>RFR USD</v>
      </c>
      <c r="E4798" t="str">
        <f t="shared" ca="1" si="372"/>
        <v>RFR EUR</v>
      </c>
      <c r="F4798" t="str">
        <f t="shared" ca="1" si="373"/>
        <v>RFR GBP</v>
      </c>
      <c r="J4798" s="1"/>
      <c r="N4798" s="1"/>
      <c r="R4798" s="1"/>
      <c r="V4798" s="1"/>
      <c r="AB4798" s="1"/>
      <c r="AF4798" s="1"/>
      <c r="AJ4798" s="1"/>
      <c r="AN4798" s="1"/>
      <c r="AS4798" s="1"/>
      <c r="AX4798" s="1"/>
    </row>
    <row r="4799" spans="1:50" x14ac:dyDescent="0.3">
      <c r="A4799" s="19">
        <f t="shared" si="374"/>
        <v>52632</v>
      </c>
      <c r="B4799">
        <f t="shared" ca="1" si="370"/>
        <v>-18</v>
      </c>
      <c r="C4799" t="str">
        <f ca="1">IF(currency="USD",'Future et co'!D4799,IF(currency="EUR",'Future et co'!E4799,IF(currency="GBP",'Future et co'!F4799,FALSE)))</f>
        <v>RFR USD</v>
      </c>
      <c r="D4799" t="str">
        <f t="shared" ca="1" si="371"/>
        <v>RFR USD</v>
      </c>
      <c r="E4799" t="str">
        <f t="shared" ca="1" si="372"/>
        <v>RFR EUR</v>
      </c>
      <c r="F4799" t="str">
        <f t="shared" ca="1" si="373"/>
        <v>RFR GBP</v>
      </c>
      <c r="J4799" s="1"/>
      <c r="N4799" s="1"/>
      <c r="R4799" s="1"/>
      <c r="V4799" s="1"/>
      <c r="AB4799" s="1"/>
      <c r="AF4799" s="1"/>
      <c r="AJ4799" s="1"/>
      <c r="AN4799" s="1"/>
      <c r="AS4799" s="1"/>
      <c r="AX4799" s="1"/>
    </row>
    <row r="4800" spans="1:50" x14ac:dyDescent="0.3">
      <c r="A4800" s="19">
        <f t="shared" si="374"/>
        <v>52635</v>
      </c>
      <c r="B4800">
        <f t="shared" ca="1" si="370"/>
        <v>-18.008333333333333</v>
      </c>
      <c r="C4800" t="str">
        <f ca="1">IF(currency="USD",'Future et co'!D4800,IF(currency="EUR",'Future et co'!E4800,IF(currency="GBP",'Future et co'!F4800,FALSE)))</f>
        <v>RFR USD</v>
      </c>
      <c r="D4800" t="str">
        <f t="shared" ca="1" si="371"/>
        <v>RFR USD</v>
      </c>
      <c r="E4800" t="str">
        <f t="shared" ca="1" si="372"/>
        <v>RFR EUR</v>
      </c>
      <c r="F4800" t="str">
        <f t="shared" ca="1" si="373"/>
        <v>RFR GBP</v>
      </c>
      <c r="J4800" s="1"/>
      <c r="N4800" s="1"/>
      <c r="R4800" s="1"/>
      <c r="V4800" s="1"/>
      <c r="AB4800" s="1"/>
      <c r="AF4800" s="1"/>
      <c r="AJ4800" s="1"/>
      <c r="AN4800" s="1"/>
      <c r="AS4800" s="1"/>
      <c r="AX4800" s="1"/>
    </row>
    <row r="4801" spans="1:50" x14ac:dyDescent="0.3">
      <c r="A4801" s="19">
        <f t="shared" si="374"/>
        <v>52636</v>
      </c>
      <c r="B4801">
        <f t="shared" ca="1" si="370"/>
        <v>-18.011111111111113</v>
      </c>
      <c r="C4801" t="str">
        <f ca="1">IF(currency="USD",'Future et co'!D4801,IF(currency="EUR",'Future et co'!E4801,IF(currency="GBP",'Future et co'!F4801,FALSE)))</f>
        <v>RFR USD</v>
      </c>
      <c r="D4801" t="str">
        <f t="shared" ca="1" si="371"/>
        <v>RFR USD</v>
      </c>
      <c r="E4801" t="str">
        <f t="shared" ca="1" si="372"/>
        <v>RFR EUR</v>
      </c>
      <c r="F4801" t="str">
        <f t="shared" ca="1" si="373"/>
        <v>RFR GBP</v>
      </c>
      <c r="J4801" s="1"/>
      <c r="N4801" s="1"/>
      <c r="R4801" s="1"/>
      <c r="V4801" s="1"/>
      <c r="AB4801" s="1"/>
      <c r="AF4801" s="1"/>
      <c r="AJ4801" s="1"/>
      <c r="AN4801" s="1"/>
      <c r="AS4801" s="1"/>
      <c r="AX4801" s="1"/>
    </row>
    <row r="4802" spans="1:50" x14ac:dyDescent="0.3">
      <c r="A4802" s="19">
        <f t="shared" si="374"/>
        <v>52637</v>
      </c>
      <c r="B4802">
        <f t="shared" ca="1" si="370"/>
        <v>-18.013888888888889</v>
      </c>
      <c r="C4802" t="str">
        <f ca="1">IF(currency="USD",'Future et co'!D4802,IF(currency="EUR",'Future et co'!E4802,IF(currency="GBP",'Future et co'!F4802,FALSE)))</f>
        <v>RFR USD</v>
      </c>
      <c r="D4802" t="str">
        <f t="shared" ca="1" si="371"/>
        <v>RFR USD</v>
      </c>
      <c r="E4802" t="str">
        <f t="shared" ca="1" si="372"/>
        <v>RFR EUR</v>
      </c>
      <c r="F4802" t="str">
        <f t="shared" ca="1" si="373"/>
        <v>RFR GBP</v>
      </c>
      <c r="J4802" s="1"/>
      <c r="N4802" s="1"/>
      <c r="R4802" s="1"/>
      <c r="V4802" s="1"/>
      <c r="AB4802" s="1"/>
      <c r="AF4802" s="1"/>
      <c r="AJ4802" s="1"/>
      <c r="AN4802" s="1"/>
      <c r="AS4802" s="1"/>
      <c r="AX4802" s="1"/>
    </row>
    <row r="4803" spans="1:50" x14ac:dyDescent="0.3">
      <c r="A4803" s="19">
        <f t="shared" si="374"/>
        <v>52638</v>
      </c>
      <c r="B4803">
        <f t="shared" ca="1" si="370"/>
        <v>-18.016666666666666</v>
      </c>
      <c r="C4803" t="str">
        <f ca="1">IF(currency="USD",'Future et co'!D4803,IF(currency="EUR",'Future et co'!E4803,IF(currency="GBP",'Future et co'!F4803,FALSE)))</f>
        <v>RFR USD</v>
      </c>
      <c r="D4803" t="str">
        <f t="shared" ca="1" si="371"/>
        <v>RFR USD</v>
      </c>
      <c r="E4803" t="str">
        <f t="shared" ca="1" si="372"/>
        <v>RFR EUR</v>
      </c>
      <c r="F4803" t="str">
        <f t="shared" ca="1" si="373"/>
        <v>RFR GBP</v>
      </c>
      <c r="J4803" s="1"/>
      <c r="N4803" s="1"/>
      <c r="R4803" s="1"/>
      <c r="V4803" s="1"/>
      <c r="AB4803" s="1"/>
      <c r="AF4803" s="1"/>
      <c r="AJ4803" s="1"/>
      <c r="AN4803" s="1"/>
      <c r="AS4803" s="1"/>
      <c r="AX4803" s="1"/>
    </row>
    <row r="4804" spans="1:50" x14ac:dyDescent="0.3">
      <c r="A4804" s="19">
        <f t="shared" si="374"/>
        <v>52639</v>
      </c>
      <c r="B4804">
        <f t="shared" ca="1" si="370"/>
        <v>-18.019444444444446</v>
      </c>
      <c r="C4804" t="str">
        <f ca="1">IF(currency="USD",'Future et co'!D4804,IF(currency="EUR",'Future et co'!E4804,IF(currency="GBP",'Future et co'!F4804,FALSE)))</f>
        <v>RFR USD</v>
      </c>
      <c r="D4804" t="str">
        <f t="shared" ca="1" si="371"/>
        <v>RFR USD</v>
      </c>
      <c r="E4804" t="str">
        <f t="shared" ca="1" si="372"/>
        <v>RFR EUR</v>
      </c>
      <c r="F4804" t="str">
        <f t="shared" ca="1" si="373"/>
        <v>RFR GBP</v>
      </c>
      <c r="J4804" s="1"/>
      <c r="N4804" s="1"/>
      <c r="R4804" s="1"/>
      <c r="V4804" s="1"/>
      <c r="AB4804" s="1"/>
      <c r="AF4804" s="1"/>
      <c r="AJ4804" s="1"/>
      <c r="AN4804" s="1"/>
      <c r="AS4804" s="1"/>
      <c r="AX4804" s="1"/>
    </row>
    <row r="4805" spans="1:50" x14ac:dyDescent="0.3">
      <c r="A4805" s="19">
        <f t="shared" si="374"/>
        <v>52642</v>
      </c>
      <c r="B4805">
        <f t="shared" ca="1" si="370"/>
        <v>-18.027777777777779</v>
      </c>
      <c r="C4805" t="str">
        <f ca="1">IF(currency="USD",'Future et co'!D4805,IF(currency="EUR",'Future et co'!E4805,IF(currency="GBP",'Future et co'!F4805,FALSE)))</f>
        <v>RFR USD</v>
      </c>
      <c r="D4805" t="str">
        <f t="shared" ca="1" si="371"/>
        <v>RFR USD</v>
      </c>
      <c r="E4805" t="str">
        <f t="shared" ca="1" si="372"/>
        <v>RFR EUR</v>
      </c>
      <c r="F4805" t="str">
        <f t="shared" ca="1" si="373"/>
        <v>RFR GBP</v>
      </c>
      <c r="J4805" s="1"/>
      <c r="N4805" s="1"/>
      <c r="R4805" s="1"/>
      <c r="V4805" s="1"/>
      <c r="AB4805" s="1"/>
      <c r="AF4805" s="1"/>
      <c r="AJ4805" s="1"/>
      <c r="AN4805" s="1"/>
      <c r="AS4805" s="1"/>
      <c r="AX4805" s="1"/>
    </row>
    <row r="4806" spans="1:50" x14ac:dyDescent="0.3">
      <c r="A4806" s="19">
        <f t="shared" si="374"/>
        <v>52643</v>
      </c>
      <c r="B4806">
        <f t="shared" ca="1" si="370"/>
        <v>-18.030555555555555</v>
      </c>
      <c r="C4806" t="str">
        <f ca="1">IF(currency="USD",'Future et co'!D4806,IF(currency="EUR",'Future et co'!E4806,IF(currency="GBP",'Future et co'!F4806,FALSE)))</f>
        <v>RFR USD</v>
      </c>
      <c r="D4806" t="str">
        <f t="shared" ca="1" si="371"/>
        <v>RFR USD</v>
      </c>
      <c r="E4806" t="str">
        <f t="shared" ca="1" si="372"/>
        <v>RFR EUR</v>
      </c>
      <c r="F4806" t="str">
        <f t="shared" ca="1" si="373"/>
        <v>RFR GBP</v>
      </c>
      <c r="J4806" s="1"/>
      <c r="N4806" s="1"/>
      <c r="R4806" s="1"/>
      <c r="V4806" s="1"/>
      <c r="AB4806" s="1"/>
      <c r="AF4806" s="1"/>
      <c r="AJ4806" s="1"/>
      <c r="AN4806" s="1"/>
      <c r="AS4806" s="1"/>
      <c r="AX4806" s="1"/>
    </row>
    <row r="4807" spans="1:50" x14ac:dyDescent="0.3">
      <c r="A4807" s="19">
        <f t="shared" si="374"/>
        <v>52644</v>
      </c>
      <c r="B4807">
        <f t="shared" ca="1" si="370"/>
        <v>-18.033333333333335</v>
      </c>
      <c r="C4807" t="str">
        <f ca="1">IF(currency="USD",'Future et co'!D4807,IF(currency="EUR",'Future et co'!E4807,IF(currency="GBP",'Future et co'!F4807,FALSE)))</f>
        <v>RFR USD</v>
      </c>
      <c r="D4807" t="str">
        <f t="shared" ca="1" si="371"/>
        <v>RFR USD</v>
      </c>
      <c r="E4807" t="str">
        <f t="shared" ca="1" si="372"/>
        <v>RFR EUR</v>
      </c>
      <c r="F4807" t="str">
        <f t="shared" ca="1" si="373"/>
        <v>RFR GBP</v>
      </c>
      <c r="J4807" s="1"/>
      <c r="N4807" s="1"/>
      <c r="R4807" s="1"/>
      <c r="V4807" s="1"/>
      <c r="AB4807" s="1"/>
      <c r="AF4807" s="1"/>
      <c r="AJ4807" s="1"/>
      <c r="AN4807" s="1"/>
      <c r="AS4807" s="1"/>
      <c r="AX4807" s="1"/>
    </row>
    <row r="4808" spans="1:50" x14ac:dyDescent="0.3">
      <c r="A4808" s="19">
        <f t="shared" si="374"/>
        <v>52645</v>
      </c>
      <c r="B4808">
        <f t="shared" ca="1" si="370"/>
        <v>-18.036111111111111</v>
      </c>
      <c r="C4808" t="str">
        <f ca="1">IF(currency="USD",'Future et co'!D4808,IF(currency="EUR",'Future et co'!E4808,IF(currency="GBP",'Future et co'!F4808,FALSE)))</f>
        <v>RFR USD</v>
      </c>
      <c r="D4808" t="str">
        <f t="shared" ca="1" si="371"/>
        <v>RFR USD</v>
      </c>
      <c r="E4808" t="str">
        <f t="shared" ca="1" si="372"/>
        <v>RFR EUR</v>
      </c>
      <c r="F4808" t="str">
        <f t="shared" ca="1" si="373"/>
        <v>RFR GBP</v>
      </c>
      <c r="J4808" s="1"/>
      <c r="N4808" s="1"/>
      <c r="R4808" s="1"/>
      <c r="V4808" s="1"/>
      <c r="AB4808" s="1"/>
      <c r="AF4808" s="1"/>
      <c r="AJ4808" s="1"/>
      <c r="AN4808" s="1"/>
      <c r="AS4808" s="1"/>
      <c r="AX4808" s="1"/>
    </row>
    <row r="4809" spans="1:50" x14ac:dyDescent="0.3">
      <c r="A4809" s="19">
        <f t="shared" si="374"/>
        <v>52646</v>
      </c>
      <c r="B4809">
        <f t="shared" ca="1" si="370"/>
        <v>-18.038888888888888</v>
      </c>
      <c r="C4809" t="str">
        <f ca="1">IF(currency="USD",'Future et co'!D4809,IF(currency="EUR",'Future et co'!E4809,IF(currency="GBP",'Future et co'!F4809,FALSE)))</f>
        <v>RFR USD</v>
      </c>
      <c r="D4809" t="str">
        <f t="shared" ca="1" si="371"/>
        <v>RFR USD</v>
      </c>
      <c r="E4809" t="str">
        <f t="shared" ca="1" si="372"/>
        <v>RFR EUR</v>
      </c>
      <c r="F4809" t="str">
        <f t="shared" ca="1" si="373"/>
        <v>RFR GBP</v>
      </c>
      <c r="J4809" s="1"/>
      <c r="N4809" s="1"/>
      <c r="R4809" s="1"/>
      <c r="V4809" s="1"/>
      <c r="AB4809" s="1"/>
      <c r="AF4809" s="1"/>
      <c r="AJ4809" s="1"/>
      <c r="AN4809" s="1"/>
      <c r="AS4809" s="1"/>
      <c r="AX4809" s="1"/>
    </row>
    <row r="4810" spans="1:50" x14ac:dyDescent="0.3">
      <c r="A4810" s="19">
        <f t="shared" si="374"/>
        <v>52649</v>
      </c>
      <c r="B4810">
        <f t="shared" ca="1" si="370"/>
        <v>-18.047222222222221</v>
      </c>
      <c r="C4810" t="str">
        <f ca="1">IF(currency="USD",'Future et co'!D4810,IF(currency="EUR",'Future et co'!E4810,IF(currency="GBP",'Future et co'!F4810,FALSE)))</f>
        <v>RFR USD</v>
      </c>
      <c r="D4810" t="str">
        <f t="shared" ca="1" si="371"/>
        <v>RFR USD</v>
      </c>
      <c r="E4810" t="str">
        <f t="shared" ca="1" si="372"/>
        <v>RFR EUR</v>
      </c>
      <c r="F4810" t="str">
        <f t="shared" ca="1" si="373"/>
        <v>RFR GBP</v>
      </c>
      <c r="J4810" s="1"/>
      <c r="N4810" s="1"/>
      <c r="R4810" s="1"/>
      <c r="V4810" s="1"/>
      <c r="AB4810" s="1"/>
      <c r="AF4810" s="1"/>
      <c r="AJ4810" s="1"/>
      <c r="AN4810" s="1"/>
      <c r="AS4810" s="1"/>
      <c r="AX4810" s="1"/>
    </row>
    <row r="4811" spans="1:50" x14ac:dyDescent="0.3">
      <c r="A4811" s="19">
        <f t="shared" si="374"/>
        <v>52650</v>
      </c>
      <c r="B4811">
        <f t="shared" ref="B4811:B4874" ca="1" si="375">($B$7-A4811)/360</f>
        <v>-18.05</v>
      </c>
      <c r="C4811" t="str">
        <f ca="1">IF(currency="USD",'Future et co'!D4811,IF(currency="EUR",'Future et co'!E4811,IF(currency="GBP",'Future et co'!F4811,FALSE)))</f>
        <v>RFR USD</v>
      </c>
      <c r="D4811" t="str">
        <f t="shared" ref="D4811:D4874" ca="1" si="376">IFERROR(IF(B4811&lt;0.25,VLOOKUP(A4811,$J$11:$L$5325,3,FALSE),IF(AND(B4811&gt;=0.25,B4811&lt;0.5),VLOOKUP(A4811,$N$11:$P$5325,3,FALSE),IF(AND(B4811&gt;=0.5,B4811&lt;1),VLOOKUP(A4811,$R$11:$T$5325,3,FALSE),VLOOKUP(A4811,$V$11:$X$5010,3,FALSE)))),D4810)</f>
        <v>RFR USD</v>
      </c>
      <c r="E4811" t="str">
        <f t="shared" ref="E4811:E4874" ca="1" si="377">IFERROR(IF(B4811&lt;0.25,VLOOKUP(A4811,$AF$11:$AH$5325,3,FALSE),IF(AND(B4811&gt;=0.25,B4811&lt;0.5),VLOOKUP(A4811,$AJ$11:$AL$5325,3,FALSE),VLOOKUP(A4811,$AN$11:$AP$5325,3,FALSE))),E4810)</f>
        <v>RFR EUR</v>
      </c>
      <c r="F4811" t="str">
        <f t="shared" ref="F4811:F4874" ca="1" si="378">IFERROR(VLOOKUP(A4811,$AS$11:$AU$9999,3,FALSE),F4810)</f>
        <v>RFR GBP</v>
      </c>
      <c r="J4811" s="1"/>
      <c r="N4811" s="1"/>
      <c r="R4811" s="1"/>
      <c r="V4811" s="1"/>
      <c r="AB4811" s="1"/>
      <c r="AF4811" s="1"/>
      <c r="AJ4811" s="1"/>
      <c r="AN4811" s="1"/>
      <c r="AS4811" s="1"/>
      <c r="AX4811" s="1"/>
    </row>
    <row r="4812" spans="1:50" x14ac:dyDescent="0.3">
      <c r="A4812" s="19">
        <f t="shared" si="374"/>
        <v>52651</v>
      </c>
      <c r="B4812">
        <f t="shared" ca="1" si="375"/>
        <v>-18.052777777777777</v>
      </c>
      <c r="C4812" t="str">
        <f ca="1">IF(currency="USD",'Future et co'!D4812,IF(currency="EUR",'Future et co'!E4812,IF(currency="GBP",'Future et co'!F4812,FALSE)))</f>
        <v>RFR USD</v>
      </c>
      <c r="D4812" t="str">
        <f t="shared" ca="1" si="376"/>
        <v>RFR USD</v>
      </c>
      <c r="E4812" t="str">
        <f t="shared" ca="1" si="377"/>
        <v>RFR EUR</v>
      </c>
      <c r="F4812" t="str">
        <f t="shared" ca="1" si="378"/>
        <v>RFR GBP</v>
      </c>
      <c r="J4812" s="1"/>
      <c r="N4812" s="1"/>
      <c r="R4812" s="1"/>
      <c r="V4812" s="1"/>
      <c r="AB4812" s="1"/>
      <c r="AF4812" s="1"/>
      <c r="AJ4812" s="1"/>
      <c r="AN4812" s="1"/>
      <c r="AS4812" s="1"/>
      <c r="AX4812" s="1"/>
    </row>
    <row r="4813" spans="1:50" x14ac:dyDescent="0.3">
      <c r="A4813" s="19">
        <f t="shared" ref="A4813:A4876" si="379">WORKDAY(A4812,1)</f>
        <v>52652</v>
      </c>
      <c r="B4813">
        <f t="shared" ca="1" si="375"/>
        <v>-18.055555555555557</v>
      </c>
      <c r="C4813" t="str">
        <f ca="1">IF(currency="USD",'Future et co'!D4813,IF(currency="EUR",'Future et co'!E4813,IF(currency="GBP",'Future et co'!F4813,FALSE)))</f>
        <v>RFR USD</v>
      </c>
      <c r="D4813" t="str">
        <f t="shared" ca="1" si="376"/>
        <v>RFR USD</v>
      </c>
      <c r="E4813" t="str">
        <f t="shared" ca="1" si="377"/>
        <v>RFR EUR</v>
      </c>
      <c r="F4813" t="str">
        <f t="shared" ca="1" si="378"/>
        <v>RFR GBP</v>
      </c>
      <c r="J4813" s="1"/>
      <c r="N4813" s="1"/>
      <c r="R4813" s="1"/>
      <c r="V4813" s="1"/>
      <c r="AB4813" s="1"/>
      <c r="AF4813" s="1"/>
      <c r="AJ4813" s="1"/>
      <c r="AN4813" s="1"/>
      <c r="AS4813" s="1"/>
      <c r="AX4813" s="1"/>
    </row>
    <row r="4814" spans="1:50" x14ac:dyDescent="0.3">
      <c r="A4814" s="19">
        <f t="shared" si="379"/>
        <v>52653</v>
      </c>
      <c r="B4814">
        <f t="shared" ca="1" si="375"/>
        <v>-18.058333333333334</v>
      </c>
      <c r="C4814" t="str">
        <f ca="1">IF(currency="USD",'Future et co'!D4814,IF(currency="EUR",'Future et co'!E4814,IF(currency="GBP",'Future et co'!F4814,FALSE)))</f>
        <v>RFR USD</v>
      </c>
      <c r="D4814" t="str">
        <f t="shared" ca="1" si="376"/>
        <v>RFR USD</v>
      </c>
      <c r="E4814" t="str">
        <f t="shared" ca="1" si="377"/>
        <v>RFR EUR</v>
      </c>
      <c r="F4814" t="str">
        <f t="shared" ca="1" si="378"/>
        <v>RFR GBP</v>
      </c>
      <c r="J4814" s="1"/>
      <c r="N4814" s="1"/>
      <c r="R4814" s="1"/>
      <c r="V4814" s="1"/>
      <c r="AB4814" s="1"/>
      <c r="AF4814" s="1"/>
      <c r="AJ4814" s="1"/>
      <c r="AN4814" s="1"/>
      <c r="AS4814" s="1"/>
      <c r="AX4814" s="1"/>
    </row>
    <row r="4815" spans="1:50" x14ac:dyDescent="0.3">
      <c r="A4815" s="19">
        <f t="shared" si="379"/>
        <v>52656</v>
      </c>
      <c r="B4815">
        <f t="shared" ca="1" si="375"/>
        <v>-18.066666666666666</v>
      </c>
      <c r="C4815" t="str">
        <f ca="1">IF(currency="USD",'Future et co'!D4815,IF(currency="EUR",'Future et co'!E4815,IF(currency="GBP",'Future et co'!F4815,FALSE)))</f>
        <v>RFR USD</v>
      </c>
      <c r="D4815" t="str">
        <f t="shared" ca="1" si="376"/>
        <v>RFR USD</v>
      </c>
      <c r="E4815" t="str">
        <f t="shared" ca="1" si="377"/>
        <v>RFR EUR</v>
      </c>
      <c r="F4815" t="str">
        <f t="shared" ca="1" si="378"/>
        <v>RFR GBP</v>
      </c>
      <c r="J4815" s="1"/>
      <c r="N4815" s="1"/>
      <c r="R4815" s="1"/>
      <c r="V4815" s="1"/>
      <c r="AB4815" s="1"/>
      <c r="AF4815" s="1"/>
      <c r="AJ4815" s="1"/>
      <c r="AN4815" s="1"/>
      <c r="AS4815" s="1"/>
      <c r="AX4815" s="1"/>
    </row>
    <row r="4816" spans="1:50" x14ac:dyDescent="0.3">
      <c r="A4816" s="19">
        <f t="shared" si="379"/>
        <v>52657</v>
      </c>
      <c r="B4816">
        <f t="shared" ca="1" si="375"/>
        <v>-18.069444444444443</v>
      </c>
      <c r="C4816" t="str">
        <f ca="1">IF(currency="USD",'Future et co'!D4816,IF(currency="EUR",'Future et co'!E4816,IF(currency="GBP",'Future et co'!F4816,FALSE)))</f>
        <v>RFR USD</v>
      </c>
      <c r="D4816" t="str">
        <f t="shared" ca="1" si="376"/>
        <v>RFR USD</v>
      </c>
      <c r="E4816" t="str">
        <f t="shared" ca="1" si="377"/>
        <v>RFR EUR</v>
      </c>
      <c r="F4816" t="str">
        <f t="shared" ca="1" si="378"/>
        <v>RFR GBP</v>
      </c>
      <c r="J4816" s="1"/>
      <c r="N4816" s="1"/>
      <c r="R4816" s="1"/>
      <c r="V4816" s="1"/>
      <c r="AB4816" s="1"/>
      <c r="AF4816" s="1"/>
      <c r="AJ4816" s="1"/>
      <c r="AN4816" s="1"/>
      <c r="AS4816" s="1"/>
      <c r="AX4816" s="1"/>
    </row>
    <row r="4817" spans="1:50" x14ac:dyDescent="0.3">
      <c r="A4817" s="19">
        <f t="shared" si="379"/>
        <v>52658</v>
      </c>
      <c r="B4817">
        <f t="shared" ca="1" si="375"/>
        <v>-18.072222222222223</v>
      </c>
      <c r="C4817" t="str">
        <f ca="1">IF(currency="USD",'Future et co'!D4817,IF(currency="EUR",'Future et co'!E4817,IF(currency="GBP",'Future et co'!F4817,FALSE)))</f>
        <v>RFR USD</v>
      </c>
      <c r="D4817" t="str">
        <f t="shared" ca="1" si="376"/>
        <v>RFR USD</v>
      </c>
      <c r="E4817" t="str">
        <f t="shared" ca="1" si="377"/>
        <v>RFR EUR</v>
      </c>
      <c r="F4817" t="str">
        <f t="shared" ca="1" si="378"/>
        <v>RFR GBP</v>
      </c>
      <c r="J4817" s="1"/>
      <c r="N4817" s="1"/>
      <c r="R4817" s="1"/>
      <c r="V4817" s="1"/>
      <c r="AB4817" s="1"/>
      <c r="AF4817" s="1"/>
      <c r="AJ4817" s="1"/>
      <c r="AN4817" s="1"/>
      <c r="AS4817" s="1"/>
      <c r="AX4817" s="1"/>
    </row>
    <row r="4818" spans="1:50" x14ac:dyDescent="0.3">
      <c r="A4818" s="19">
        <f t="shared" si="379"/>
        <v>52659</v>
      </c>
      <c r="B4818">
        <f t="shared" ca="1" si="375"/>
        <v>-18.074999999999999</v>
      </c>
      <c r="C4818" t="str">
        <f ca="1">IF(currency="USD",'Future et co'!D4818,IF(currency="EUR",'Future et co'!E4818,IF(currency="GBP",'Future et co'!F4818,FALSE)))</f>
        <v>RFR USD</v>
      </c>
      <c r="D4818" t="str">
        <f t="shared" ca="1" si="376"/>
        <v>RFR USD</v>
      </c>
      <c r="E4818" t="str">
        <f t="shared" ca="1" si="377"/>
        <v>RFR EUR</v>
      </c>
      <c r="F4818" t="str">
        <f t="shared" ca="1" si="378"/>
        <v>RFR GBP</v>
      </c>
      <c r="J4818" s="1"/>
      <c r="N4818" s="1"/>
      <c r="R4818" s="1"/>
      <c r="V4818" s="1"/>
      <c r="AB4818" s="1"/>
      <c r="AF4818" s="1"/>
      <c r="AJ4818" s="1"/>
      <c r="AN4818" s="1"/>
      <c r="AS4818" s="1"/>
      <c r="AX4818" s="1"/>
    </row>
    <row r="4819" spans="1:50" x14ac:dyDescent="0.3">
      <c r="A4819" s="19">
        <f t="shared" si="379"/>
        <v>52660</v>
      </c>
      <c r="B4819">
        <f t="shared" ca="1" si="375"/>
        <v>-18.077777777777779</v>
      </c>
      <c r="C4819" t="str">
        <f ca="1">IF(currency="USD",'Future et co'!D4819,IF(currency="EUR",'Future et co'!E4819,IF(currency="GBP",'Future et co'!F4819,FALSE)))</f>
        <v>RFR USD</v>
      </c>
      <c r="D4819" t="str">
        <f t="shared" ca="1" si="376"/>
        <v>RFR USD</v>
      </c>
      <c r="E4819" t="str">
        <f t="shared" ca="1" si="377"/>
        <v>RFR EUR</v>
      </c>
      <c r="F4819" t="str">
        <f t="shared" ca="1" si="378"/>
        <v>RFR GBP</v>
      </c>
      <c r="J4819" s="1"/>
      <c r="N4819" s="1"/>
      <c r="R4819" s="1"/>
      <c r="V4819" s="1"/>
      <c r="AB4819" s="1"/>
      <c r="AF4819" s="1"/>
      <c r="AJ4819" s="1"/>
      <c r="AN4819" s="1"/>
      <c r="AS4819" s="1"/>
      <c r="AX4819" s="1"/>
    </row>
    <row r="4820" spans="1:50" x14ac:dyDescent="0.3">
      <c r="A4820" s="19">
        <f t="shared" si="379"/>
        <v>52663</v>
      </c>
      <c r="B4820">
        <f t="shared" ca="1" si="375"/>
        <v>-18.086111111111112</v>
      </c>
      <c r="C4820" t="str">
        <f ca="1">IF(currency="USD",'Future et co'!D4820,IF(currency="EUR",'Future et co'!E4820,IF(currency="GBP",'Future et co'!F4820,FALSE)))</f>
        <v>RFR USD</v>
      </c>
      <c r="D4820" t="str">
        <f t="shared" ca="1" si="376"/>
        <v>RFR USD</v>
      </c>
      <c r="E4820" t="str">
        <f t="shared" ca="1" si="377"/>
        <v>RFR EUR</v>
      </c>
      <c r="F4820" t="str">
        <f t="shared" ca="1" si="378"/>
        <v>RFR GBP</v>
      </c>
      <c r="J4820" s="1"/>
      <c r="N4820" s="1"/>
      <c r="R4820" s="1"/>
      <c r="V4820" s="1"/>
      <c r="AB4820" s="1"/>
      <c r="AF4820" s="1"/>
      <c r="AJ4820" s="1"/>
      <c r="AN4820" s="1"/>
      <c r="AS4820" s="1"/>
      <c r="AX4820" s="1"/>
    </row>
    <row r="4821" spans="1:50" x14ac:dyDescent="0.3">
      <c r="A4821" s="19">
        <f t="shared" si="379"/>
        <v>52664</v>
      </c>
      <c r="B4821">
        <f t="shared" ca="1" si="375"/>
        <v>-18.088888888888889</v>
      </c>
      <c r="C4821" t="str">
        <f ca="1">IF(currency="USD",'Future et co'!D4821,IF(currency="EUR",'Future et co'!E4821,IF(currency="GBP",'Future et co'!F4821,FALSE)))</f>
        <v>RFR USD</v>
      </c>
      <c r="D4821" t="str">
        <f t="shared" ca="1" si="376"/>
        <v>RFR USD</v>
      </c>
      <c r="E4821" t="str">
        <f t="shared" ca="1" si="377"/>
        <v>RFR EUR</v>
      </c>
      <c r="F4821" t="str">
        <f t="shared" ca="1" si="378"/>
        <v>RFR GBP</v>
      </c>
      <c r="J4821" s="1"/>
      <c r="N4821" s="1"/>
      <c r="R4821" s="1"/>
      <c r="V4821" s="1"/>
      <c r="AB4821" s="1"/>
      <c r="AF4821" s="1"/>
      <c r="AJ4821" s="1"/>
      <c r="AN4821" s="1"/>
      <c r="AS4821" s="1"/>
      <c r="AX4821" s="1"/>
    </row>
    <row r="4822" spans="1:50" x14ac:dyDescent="0.3">
      <c r="A4822" s="19">
        <f t="shared" si="379"/>
        <v>52665</v>
      </c>
      <c r="B4822">
        <f t="shared" ca="1" si="375"/>
        <v>-18.091666666666665</v>
      </c>
      <c r="C4822" t="str">
        <f ca="1">IF(currency="USD",'Future et co'!D4822,IF(currency="EUR",'Future et co'!E4822,IF(currency="GBP",'Future et co'!F4822,FALSE)))</f>
        <v>RFR USD</v>
      </c>
      <c r="D4822" t="str">
        <f t="shared" ca="1" si="376"/>
        <v>RFR USD</v>
      </c>
      <c r="E4822" t="str">
        <f t="shared" ca="1" si="377"/>
        <v>RFR EUR</v>
      </c>
      <c r="F4822" t="str">
        <f t="shared" ca="1" si="378"/>
        <v>RFR GBP</v>
      </c>
      <c r="J4822" s="1"/>
      <c r="N4822" s="1"/>
      <c r="R4822" s="1"/>
      <c r="V4822" s="1"/>
      <c r="AB4822" s="1"/>
      <c r="AF4822" s="1"/>
      <c r="AJ4822" s="1"/>
      <c r="AN4822" s="1"/>
      <c r="AS4822" s="1"/>
      <c r="AX4822" s="1"/>
    </row>
    <row r="4823" spans="1:50" x14ac:dyDescent="0.3">
      <c r="A4823" s="19">
        <f t="shared" si="379"/>
        <v>52666</v>
      </c>
      <c r="B4823">
        <f t="shared" ca="1" si="375"/>
        <v>-18.094444444444445</v>
      </c>
      <c r="C4823" t="str">
        <f ca="1">IF(currency="USD",'Future et co'!D4823,IF(currency="EUR",'Future et co'!E4823,IF(currency="GBP",'Future et co'!F4823,FALSE)))</f>
        <v>RFR USD</v>
      </c>
      <c r="D4823" t="str">
        <f t="shared" ca="1" si="376"/>
        <v>RFR USD</v>
      </c>
      <c r="E4823" t="str">
        <f t="shared" ca="1" si="377"/>
        <v>RFR EUR</v>
      </c>
      <c r="F4823" t="str">
        <f t="shared" ca="1" si="378"/>
        <v>RFR GBP</v>
      </c>
      <c r="J4823" s="1"/>
      <c r="N4823" s="1"/>
      <c r="R4823" s="1"/>
      <c r="V4823" s="1"/>
      <c r="AB4823" s="1"/>
      <c r="AF4823" s="1"/>
      <c r="AJ4823" s="1"/>
      <c r="AN4823" s="1"/>
      <c r="AS4823" s="1"/>
      <c r="AX4823" s="1"/>
    </row>
    <row r="4824" spans="1:50" x14ac:dyDescent="0.3">
      <c r="A4824" s="19">
        <f t="shared" si="379"/>
        <v>52667</v>
      </c>
      <c r="B4824">
        <f t="shared" ca="1" si="375"/>
        <v>-18.097222222222221</v>
      </c>
      <c r="C4824" t="str">
        <f ca="1">IF(currency="USD",'Future et co'!D4824,IF(currency="EUR",'Future et co'!E4824,IF(currency="GBP",'Future et co'!F4824,FALSE)))</f>
        <v>RFR USD</v>
      </c>
      <c r="D4824" t="str">
        <f t="shared" ca="1" si="376"/>
        <v>RFR USD</v>
      </c>
      <c r="E4824" t="str">
        <f t="shared" ca="1" si="377"/>
        <v>RFR EUR</v>
      </c>
      <c r="F4824" t="str">
        <f t="shared" ca="1" si="378"/>
        <v>RFR GBP</v>
      </c>
      <c r="J4824" s="1"/>
      <c r="N4824" s="1"/>
      <c r="R4824" s="1"/>
      <c r="V4824" s="1"/>
      <c r="AB4824" s="1"/>
      <c r="AF4824" s="1"/>
      <c r="AJ4824" s="1"/>
      <c r="AN4824" s="1"/>
      <c r="AS4824" s="1"/>
      <c r="AX4824" s="1"/>
    </row>
    <row r="4825" spans="1:50" x14ac:dyDescent="0.3">
      <c r="A4825" s="19">
        <f t="shared" si="379"/>
        <v>52670</v>
      </c>
      <c r="B4825">
        <f t="shared" ca="1" si="375"/>
        <v>-18.105555555555554</v>
      </c>
      <c r="C4825" t="str">
        <f ca="1">IF(currency="USD",'Future et co'!D4825,IF(currency="EUR",'Future et co'!E4825,IF(currency="GBP",'Future et co'!F4825,FALSE)))</f>
        <v>RFR USD</v>
      </c>
      <c r="D4825" t="str">
        <f t="shared" ca="1" si="376"/>
        <v>RFR USD</v>
      </c>
      <c r="E4825" t="str">
        <f t="shared" ca="1" si="377"/>
        <v>RFR EUR</v>
      </c>
      <c r="F4825" t="str">
        <f t="shared" ca="1" si="378"/>
        <v>RFR GBP</v>
      </c>
      <c r="J4825" s="1"/>
      <c r="N4825" s="1"/>
      <c r="R4825" s="1"/>
      <c r="V4825" s="1"/>
      <c r="AB4825" s="1"/>
      <c r="AF4825" s="1"/>
      <c r="AJ4825" s="1"/>
      <c r="AN4825" s="1"/>
      <c r="AS4825" s="1"/>
      <c r="AX4825" s="1"/>
    </row>
    <row r="4826" spans="1:50" x14ac:dyDescent="0.3">
      <c r="A4826" s="19">
        <f t="shared" si="379"/>
        <v>52671</v>
      </c>
      <c r="B4826">
        <f t="shared" ca="1" si="375"/>
        <v>-18.108333333333334</v>
      </c>
      <c r="C4826" t="str">
        <f ca="1">IF(currency="USD",'Future et co'!D4826,IF(currency="EUR",'Future et co'!E4826,IF(currency="GBP",'Future et co'!F4826,FALSE)))</f>
        <v>RFR USD</v>
      </c>
      <c r="D4826" t="str">
        <f t="shared" ca="1" si="376"/>
        <v>RFR USD</v>
      </c>
      <c r="E4826" t="str">
        <f t="shared" ca="1" si="377"/>
        <v>RFR EUR</v>
      </c>
      <c r="F4826" t="str">
        <f t="shared" ca="1" si="378"/>
        <v>RFR GBP</v>
      </c>
      <c r="J4826" s="1"/>
      <c r="N4826" s="1"/>
      <c r="R4826" s="1"/>
      <c r="V4826" s="1"/>
      <c r="AB4826" s="1"/>
      <c r="AF4826" s="1"/>
      <c r="AJ4826" s="1"/>
      <c r="AN4826" s="1"/>
      <c r="AS4826" s="1"/>
      <c r="AX4826" s="1"/>
    </row>
    <row r="4827" spans="1:50" x14ac:dyDescent="0.3">
      <c r="A4827" s="19">
        <f t="shared" si="379"/>
        <v>52672</v>
      </c>
      <c r="B4827">
        <f t="shared" ca="1" si="375"/>
        <v>-18.111111111111111</v>
      </c>
      <c r="C4827" t="str">
        <f ca="1">IF(currency="USD",'Future et co'!D4827,IF(currency="EUR",'Future et co'!E4827,IF(currency="GBP",'Future et co'!F4827,FALSE)))</f>
        <v>RFR USD</v>
      </c>
      <c r="D4827" t="str">
        <f t="shared" ca="1" si="376"/>
        <v>RFR USD</v>
      </c>
      <c r="E4827" t="str">
        <f t="shared" ca="1" si="377"/>
        <v>RFR EUR</v>
      </c>
      <c r="F4827" t="str">
        <f t="shared" ca="1" si="378"/>
        <v>RFR GBP</v>
      </c>
      <c r="J4827" s="1"/>
      <c r="N4827" s="1"/>
      <c r="R4827" s="1"/>
      <c r="V4827" s="1"/>
      <c r="AB4827" s="1"/>
      <c r="AF4827" s="1"/>
      <c r="AJ4827" s="1"/>
      <c r="AN4827" s="1"/>
      <c r="AS4827" s="1"/>
      <c r="AX4827" s="1"/>
    </row>
    <row r="4828" spans="1:50" x14ac:dyDescent="0.3">
      <c r="A4828" s="19">
        <f t="shared" si="379"/>
        <v>52673</v>
      </c>
      <c r="B4828">
        <f t="shared" ca="1" si="375"/>
        <v>-18.113888888888887</v>
      </c>
      <c r="C4828" t="str">
        <f ca="1">IF(currency="USD",'Future et co'!D4828,IF(currency="EUR",'Future et co'!E4828,IF(currency="GBP",'Future et co'!F4828,FALSE)))</f>
        <v>RFR USD</v>
      </c>
      <c r="D4828" t="str">
        <f t="shared" ca="1" si="376"/>
        <v>RFR USD</v>
      </c>
      <c r="E4828" t="str">
        <f t="shared" ca="1" si="377"/>
        <v>RFR EUR</v>
      </c>
      <c r="F4828" t="str">
        <f t="shared" ca="1" si="378"/>
        <v>RFR GBP</v>
      </c>
      <c r="J4828" s="1"/>
      <c r="N4828" s="1"/>
      <c r="R4828" s="1"/>
      <c r="V4828" s="1"/>
      <c r="AB4828" s="1"/>
      <c r="AF4828" s="1"/>
      <c r="AJ4828" s="1"/>
      <c r="AN4828" s="1"/>
      <c r="AS4828" s="1"/>
      <c r="AX4828" s="1"/>
    </row>
    <row r="4829" spans="1:50" x14ac:dyDescent="0.3">
      <c r="A4829" s="19">
        <f t="shared" si="379"/>
        <v>52674</v>
      </c>
      <c r="B4829">
        <f t="shared" ca="1" si="375"/>
        <v>-18.116666666666667</v>
      </c>
      <c r="C4829" t="str">
        <f ca="1">IF(currency="USD",'Future et co'!D4829,IF(currency="EUR",'Future et co'!E4829,IF(currency="GBP",'Future et co'!F4829,FALSE)))</f>
        <v>RFR USD</v>
      </c>
      <c r="D4829" t="str">
        <f t="shared" ca="1" si="376"/>
        <v>RFR USD</v>
      </c>
      <c r="E4829" t="str">
        <f t="shared" ca="1" si="377"/>
        <v>RFR EUR</v>
      </c>
      <c r="F4829" t="str">
        <f t="shared" ca="1" si="378"/>
        <v>RFR GBP</v>
      </c>
      <c r="J4829" s="1"/>
      <c r="N4829" s="1"/>
      <c r="R4829" s="1"/>
      <c r="V4829" s="1"/>
      <c r="AB4829" s="1"/>
      <c r="AF4829" s="1"/>
      <c r="AJ4829" s="1"/>
      <c r="AN4829" s="1"/>
      <c r="AS4829" s="1"/>
      <c r="AX4829" s="1"/>
    </row>
    <row r="4830" spans="1:50" x14ac:dyDescent="0.3">
      <c r="A4830" s="19">
        <f t="shared" si="379"/>
        <v>52677</v>
      </c>
      <c r="B4830">
        <f t="shared" ca="1" si="375"/>
        <v>-18.125</v>
      </c>
      <c r="C4830" t="str">
        <f ca="1">IF(currency="USD",'Future et co'!D4830,IF(currency="EUR",'Future et co'!E4830,IF(currency="GBP",'Future et co'!F4830,FALSE)))</f>
        <v>RFR USD</v>
      </c>
      <c r="D4830" t="str">
        <f t="shared" ca="1" si="376"/>
        <v>RFR USD</v>
      </c>
      <c r="E4830" t="str">
        <f t="shared" ca="1" si="377"/>
        <v>RFR EUR</v>
      </c>
      <c r="F4830" t="str">
        <f t="shared" ca="1" si="378"/>
        <v>RFR GBP</v>
      </c>
      <c r="J4830" s="1"/>
      <c r="N4830" s="1"/>
      <c r="R4830" s="1"/>
      <c r="V4830" s="1"/>
      <c r="AB4830" s="1"/>
      <c r="AF4830" s="1"/>
      <c r="AJ4830" s="1"/>
      <c r="AN4830" s="1"/>
      <c r="AS4830" s="1"/>
      <c r="AX4830" s="1"/>
    </row>
    <row r="4831" spans="1:50" x14ac:dyDescent="0.3">
      <c r="A4831" s="19">
        <f t="shared" si="379"/>
        <v>52678</v>
      </c>
      <c r="B4831">
        <f t="shared" ca="1" si="375"/>
        <v>-18.127777777777776</v>
      </c>
      <c r="C4831" t="str">
        <f ca="1">IF(currency="USD",'Future et co'!D4831,IF(currency="EUR",'Future et co'!E4831,IF(currency="GBP",'Future et co'!F4831,FALSE)))</f>
        <v>RFR USD</v>
      </c>
      <c r="D4831" t="str">
        <f t="shared" ca="1" si="376"/>
        <v>RFR USD</v>
      </c>
      <c r="E4831" t="str">
        <f t="shared" ca="1" si="377"/>
        <v>RFR EUR</v>
      </c>
      <c r="F4831" t="str">
        <f t="shared" ca="1" si="378"/>
        <v>RFR GBP</v>
      </c>
      <c r="J4831" s="1"/>
      <c r="N4831" s="1"/>
      <c r="R4831" s="1"/>
      <c r="V4831" s="1"/>
      <c r="AB4831" s="1"/>
      <c r="AF4831" s="1"/>
      <c r="AJ4831" s="1"/>
      <c r="AN4831" s="1"/>
      <c r="AS4831" s="1"/>
      <c r="AX4831" s="1"/>
    </row>
    <row r="4832" spans="1:50" x14ac:dyDescent="0.3">
      <c r="A4832" s="19">
        <f t="shared" si="379"/>
        <v>52679</v>
      </c>
      <c r="B4832">
        <f t="shared" ca="1" si="375"/>
        <v>-18.130555555555556</v>
      </c>
      <c r="C4832" t="str">
        <f ca="1">IF(currency="USD",'Future et co'!D4832,IF(currency="EUR",'Future et co'!E4832,IF(currency="GBP",'Future et co'!F4832,FALSE)))</f>
        <v>RFR USD</v>
      </c>
      <c r="D4832" t="str">
        <f t="shared" ca="1" si="376"/>
        <v>RFR USD</v>
      </c>
      <c r="E4832" t="str">
        <f t="shared" ca="1" si="377"/>
        <v>RFR EUR</v>
      </c>
      <c r="F4832" t="str">
        <f t="shared" ca="1" si="378"/>
        <v>RFR GBP</v>
      </c>
      <c r="J4832" s="1"/>
      <c r="N4832" s="1"/>
      <c r="R4832" s="1"/>
      <c r="V4832" s="1"/>
      <c r="AB4832" s="1"/>
      <c r="AF4832" s="1"/>
      <c r="AJ4832" s="1"/>
      <c r="AN4832" s="1"/>
      <c r="AS4832" s="1"/>
      <c r="AX4832" s="1"/>
    </row>
    <row r="4833" spans="1:50" x14ac:dyDescent="0.3">
      <c r="A4833" s="19">
        <f t="shared" si="379"/>
        <v>52680</v>
      </c>
      <c r="B4833">
        <f t="shared" ca="1" si="375"/>
        <v>-18.133333333333333</v>
      </c>
      <c r="C4833" t="str">
        <f ca="1">IF(currency="USD",'Future et co'!D4833,IF(currency="EUR",'Future et co'!E4833,IF(currency="GBP",'Future et co'!F4833,FALSE)))</f>
        <v>RFR USD</v>
      </c>
      <c r="D4833" t="str">
        <f t="shared" ca="1" si="376"/>
        <v>RFR USD</v>
      </c>
      <c r="E4833" t="str">
        <f t="shared" ca="1" si="377"/>
        <v>RFR EUR</v>
      </c>
      <c r="F4833" t="str">
        <f t="shared" ca="1" si="378"/>
        <v>RFR GBP</v>
      </c>
      <c r="J4833" s="1"/>
      <c r="N4833" s="1"/>
      <c r="R4833" s="1"/>
      <c r="V4833" s="1"/>
      <c r="AB4833" s="1"/>
      <c r="AF4833" s="1"/>
      <c r="AJ4833" s="1"/>
      <c r="AN4833" s="1"/>
      <c r="AS4833" s="1"/>
      <c r="AX4833" s="1"/>
    </row>
    <row r="4834" spans="1:50" x14ac:dyDescent="0.3">
      <c r="A4834" s="19">
        <f t="shared" si="379"/>
        <v>52681</v>
      </c>
      <c r="B4834">
        <f t="shared" ca="1" si="375"/>
        <v>-18.136111111111113</v>
      </c>
      <c r="C4834" t="str">
        <f ca="1">IF(currency="USD",'Future et co'!D4834,IF(currency="EUR",'Future et co'!E4834,IF(currency="GBP",'Future et co'!F4834,FALSE)))</f>
        <v>RFR USD</v>
      </c>
      <c r="D4834" t="str">
        <f t="shared" ca="1" si="376"/>
        <v>RFR USD</v>
      </c>
      <c r="E4834" t="str">
        <f t="shared" ca="1" si="377"/>
        <v>RFR EUR</v>
      </c>
      <c r="F4834" t="str">
        <f t="shared" ca="1" si="378"/>
        <v>RFR GBP</v>
      </c>
      <c r="J4834" s="1"/>
      <c r="N4834" s="1"/>
      <c r="R4834" s="1"/>
      <c r="V4834" s="1"/>
      <c r="AB4834" s="1"/>
      <c r="AF4834" s="1"/>
      <c r="AJ4834" s="1"/>
      <c r="AN4834" s="1"/>
      <c r="AS4834" s="1"/>
      <c r="AX4834" s="1"/>
    </row>
    <row r="4835" spans="1:50" x14ac:dyDescent="0.3">
      <c r="A4835" s="19">
        <f t="shared" si="379"/>
        <v>52684</v>
      </c>
      <c r="B4835">
        <f t="shared" ca="1" si="375"/>
        <v>-18.144444444444446</v>
      </c>
      <c r="C4835" t="str">
        <f ca="1">IF(currency="USD",'Future et co'!D4835,IF(currency="EUR",'Future et co'!E4835,IF(currency="GBP",'Future et co'!F4835,FALSE)))</f>
        <v>RFR USD</v>
      </c>
      <c r="D4835" t="str">
        <f t="shared" ca="1" si="376"/>
        <v>RFR USD</v>
      </c>
      <c r="E4835" t="str">
        <f t="shared" ca="1" si="377"/>
        <v>RFR EUR</v>
      </c>
      <c r="F4835" t="str">
        <f t="shared" ca="1" si="378"/>
        <v>RFR GBP</v>
      </c>
      <c r="J4835" s="1"/>
      <c r="N4835" s="1"/>
      <c r="R4835" s="1"/>
      <c r="V4835" s="1"/>
      <c r="AB4835" s="1"/>
      <c r="AF4835" s="1"/>
      <c r="AJ4835" s="1"/>
      <c r="AN4835" s="1"/>
      <c r="AS4835" s="1"/>
      <c r="AX4835" s="1"/>
    </row>
    <row r="4836" spans="1:50" x14ac:dyDescent="0.3">
      <c r="A4836" s="19">
        <f t="shared" si="379"/>
        <v>52685</v>
      </c>
      <c r="B4836">
        <f t="shared" ca="1" si="375"/>
        <v>-18.147222222222222</v>
      </c>
      <c r="C4836" t="str">
        <f ca="1">IF(currency="USD",'Future et co'!D4836,IF(currency="EUR",'Future et co'!E4836,IF(currency="GBP",'Future et co'!F4836,FALSE)))</f>
        <v>RFR USD</v>
      </c>
      <c r="D4836" t="str">
        <f t="shared" ca="1" si="376"/>
        <v>RFR USD</v>
      </c>
      <c r="E4836" t="str">
        <f t="shared" ca="1" si="377"/>
        <v>RFR EUR</v>
      </c>
      <c r="F4836" t="str">
        <f t="shared" ca="1" si="378"/>
        <v>RFR GBP</v>
      </c>
      <c r="J4836" s="1"/>
      <c r="N4836" s="1"/>
      <c r="R4836" s="1"/>
      <c r="V4836" s="1"/>
      <c r="AB4836" s="1"/>
      <c r="AF4836" s="1"/>
      <c r="AJ4836" s="1"/>
      <c r="AN4836" s="1"/>
      <c r="AS4836" s="1"/>
      <c r="AX4836" s="1"/>
    </row>
    <row r="4837" spans="1:50" x14ac:dyDescent="0.3">
      <c r="A4837" s="19">
        <f t="shared" si="379"/>
        <v>52686</v>
      </c>
      <c r="B4837">
        <f t="shared" ca="1" si="375"/>
        <v>-18.149999999999999</v>
      </c>
      <c r="C4837" t="str">
        <f ca="1">IF(currency="USD",'Future et co'!D4837,IF(currency="EUR",'Future et co'!E4837,IF(currency="GBP",'Future et co'!F4837,FALSE)))</f>
        <v>RFR USD</v>
      </c>
      <c r="D4837" t="str">
        <f t="shared" ca="1" si="376"/>
        <v>RFR USD</v>
      </c>
      <c r="E4837" t="str">
        <f t="shared" ca="1" si="377"/>
        <v>RFR EUR</v>
      </c>
      <c r="F4837" t="str">
        <f t="shared" ca="1" si="378"/>
        <v>RFR GBP</v>
      </c>
      <c r="J4837" s="1"/>
      <c r="N4837" s="1"/>
      <c r="R4837" s="1"/>
      <c r="V4837" s="1"/>
      <c r="AB4837" s="1"/>
      <c r="AF4837" s="1"/>
      <c r="AJ4837" s="1"/>
      <c r="AN4837" s="1"/>
      <c r="AS4837" s="1"/>
      <c r="AX4837" s="1"/>
    </row>
    <row r="4838" spans="1:50" x14ac:dyDescent="0.3">
      <c r="A4838" s="19">
        <f t="shared" si="379"/>
        <v>52687</v>
      </c>
      <c r="B4838">
        <f t="shared" ca="1" si="375"/>
        <v>-18.152777777777779</v>
      </c>
      <c r="C4838" t="str">
        <f ca="1">IF(currency="USD",'Future et co'!D4838,IF(currency="EUR",'Future et co'!E4838,IF(currency="GBP",'Future et co'!F4838,FALSE)))</f>
        <v>RFR USD</v>
      </c>
      <c r="D4838" t="str">
        <f t="shared" ca="1" si="376"/>
        <v>RFR USD</v>
      </c>
      <c r="E4838" t="str">
        <f t="shared" ca="1" si="377"/>
        <v>RFR EUR</v>
      </c>
      <c r="F4838" t="str">
        <f t="shared" ca="1" si="378"/>
        <v>RFR GBP</v>
      </c>
      <c r="J4838" s="1"/>
      <c r="N4838" s="1"/>
      <c r="R4838" s="1"/>
      <c r="V4838" s="1"/>
      <c r="AB4838" s="1"/>
      <c r="AF4838" s="1"/>
      <c r="AJ4838" s="1"/>
      <c r="AN4838" s="1"/>
      <c r="AS4838" s="1"/>
      <c r="AX4838" s="1"/>
    </row>
    <row r="4839" spans="1:50" x14ac:dyDescent="0.3">
      <c r="A4839" s="19">
        <f t="shared" si="379"/>
        <v>52688</v>
      </c>
      <c r="B4839">
        <f t="shared" ca="1" si="375"/>
        <v>-18.155555555555555</v>
      </c>
      <c r="C4839" t="str">
        <f ca="1">IF(currency="USD",'Future et co'!D4839,IF(currency="EUR",'Future et co'!E4839,IF(currency="GBP",'Future et co'!F4839,FALSE)))</f>
        <v>RFR USD</v>
      </c>
      <c r="D4839" t="str">
        <f t="shared" ca="1" si="376"/>
        <v>RFR USD</v>
      </c>
      <c r="E4839" t="str">
        <f t="shared" ca="1" si="377"/>
        <v>RFR EUR</v>
      </c>
      <c r="F4839" t="str">
        <f t="shared" ca="1" si="378"/>
        <v>RFR GBP</v>
      </c>
      <c r="J4839" s="1"/>
      <c r="N4839" s="1"/>
      <c r="R4839" s="1"/>
      <c r="V4839" s="1"/>
      <c r="AB4839" s="1"/>
      <c r="AF4839" s="1"/>
      <c r="AJ4839" s="1"/>
      <c r="AN4839" s="1"/>
      <c r="AS4839" s="1"/>
      <c r="AX4839" s="1"/>
    </row>
    <row r="4840" spans="1:50" x14ac:dyDescent="0.3">
      <c r="A4840" s="19">
        <f t="shared" si="379"/>
        <v>52691</v>
      </c>
      <c r="B4840">
        <f t="shared" ca="1" si="375"/>
        <v>-18.163888888888888</v>
      </c>
      <c r="C4840" t="str">
        <f ca="1">IF(currency="USD",'Future et co'!D4840,IF(currency="EUR",'Future et co'!E4840,IF(currency="GBP",'Future et co'!F4840,FALSE)))</f>
        <v>RFR USD</v>
      </c>
      <c r="D4840" t="str">
        <f t="shared" ca="1" si="376"/>
        <v>RFR USD</v>
      </c>
      <c r="E4840" t="str">
        <f t="shared" ca="1" si="377"/>
        <v>RFR EUR</v>
      </c>
      <c r="F4840" t="str">
        <f t="shared" ca="1" si="378"/>
        <v>RFR GBP</v>
      </c>
      <c r="J4840" s="1"/>
      <c r="N4840" s="1"/>
      <c r="R4840" s="1"/>
      <c r="V4840" s="1"/>
      <c r="AB4840" s="1"/>
      <c r="AF4840" s="1"/>
      <c r="AJ4840" s="1"/>
      <c r="AN4840" s="1"/>
      <c r="AS4840" s="1"/>
      <c r="AX4840" s="1"/>
    </row>
    <row r="4841" spans="1:50" x14ac:dyDescent="0.3">
      <c r="A4841" s="19">
        <f t="shared" si="379"/>
        <v>52692</v>
      </c>
      <c r="B4841">
        <f t="shared" ca="1" si="375"/>
        <v>-18.166666666666668</v>
      </c>
      <c r="C4841" t="str">
        <f ca="1">IF(currency="USD",'Future et co'!D4841,IF(currency="EUR",'Future et co'!E4841,IF(currency="GBP",'Future et co'!F4841,FALSE)))</f>
        <v>RFR USD</v>
      </c>
      <c r="D4841" t="str">
        <f t="shared" ca="1" si="376"/>
        <v>RFR USD</v>
      </c>
      <c r="E4841" t="str">
        <f t="shared" ca="1" si="377"/>
        <v>RFR EUR</v>
      </c>
      <c r="F4841" t="str">
        <f t="shared" ca="1" si="378"/>
        <v>RFR GBP</v>
      </c>
      <c r="J4841" s="1"/>
      <c r="N4841" s="1"/>
      <c r="R4841" s="1"/>
      <c r="V4841" s="1"/>
      <c r="AB4841" s="1"/>
      <c r="AF4841" s="1"/>
      <c r="AJ4841" s="1"/>
      <c r="AN4841" s="1"/>
      <c r="AS4841" s="1"/>
      <c r="AX4841" s="1"/>
    </row>
    <row r="4842" spans="1:50" x14ac:dyDescent="0.3">
      <c r="A4842" s="19">
        <f t="shared" si="379"/>
        <v>52693</v>
      </c>
      <c r="B4842">
        <f t="shared" ca="1" si="375"/>
        <v>-18.169444444444444</v>
      </c>
      <c r="C4842" t="str">
        <f ca="1">IF(currency="USD",'Future et co'!D4842,IF(currency="EUR",'Future et co'!E4842,IF(currency="GBP",'Future et co'!F4842,FALSE)))</f>
        <v>RFR USD</v>
      </c>
      <c r="D4842" t="str">
        <f t="shared" ca="1" si="376"/>
        <v>RFR USD</v>
      </c>
      <c r="E4842" t="str">
        <f t="shared" ca="1" si="377"/>
        <v>RFR EUR</v>
      </c>
      <c r="F4842" t="str">
        <f t="shared" ca="1" si="378"/>
        <v>RFR GBP</v>
      </c>
      <c r="J4842" s="1"/>
      <c r="N4842" s="1"/>
      <c r="R4842" s="1"/>
      <c r="V4842" s="1"/>
      <c r="AB4842" s="1"/>
      <c r="AF4842" s="1"/>
      <c r="AJ4842" s="1"/>
      <c r="AN4842" s="1"/>
      <c r="AS4842" s="1"/>
      <c r="AX4842" s="1"/>
    </row>
    <row r="4843" spans="1:50" x14ac:dyDescent="0.3">
      <c r="A4843" s="19">
        <f t="shared" si="379"/>
        <v>52694</v>
      </c>
      <c r="B4843">
        <f t="shared" ca="1" si="375"/>
        <v>-18.172222222222221</v>
      </c>
      <c r="C4843" t="str">
        <f ca="1">IF(currency="USD",'Future et co'!D4843,IF(currency="EUR",'Future et co'!E4843,IF(currency="GBP",'Future et co'!F4843,FALSE)))</f>
        <v>RFR USD</v>
      </c>
      <c r="D4843" t="str">
        <f t="shared" ca="1" si="376"/>
        <v>RFR USD</v>
      </c>
      <c r="E4843" t="str">
        <f t="shared" ca="1" si="377"/>
        <v>RFR EUR</v>
      </c>
      <c r="F4843" t="str">
        <f t="shared" ca="1" si="378"/>
        <v>RFR GBP</v>
      </c>
      <c r="J4843" s="1"/>
      <c r="N4843" s="1"/>
      <c r="R4843" s="1"/>
      <c r="V4843" s="1"/>
      <c r="AB4843" s="1"/>
      <c r="AF4843" s="1"/>
      <c r="AJ4843" s="1"/>
      <c r="AN4843" s="1"/>
      <c r="AS4843" s="1"/>
      <c r="AX4843" s="1"/>
    </row>
    <row r="4844" spans="1:50" x14ac:dyDescent="0.3">
      <c r="A4844" s="19">
        <f t="shared" si="379"/>
        <v>52695</v>
      </c>
      <c r="B4844">
        <f t="shared" ca="1" si="375"/>
        <v>-18.175000000000001</v>
      </c>
      <c r="C4844" t="str">
        <f ca="1">IF(currency="USD",'Future et co'!D4844,IF(currency="EUR",'Future et co'!E4844,IF(currency="GBP",'Future et co'!F4844,FALSE)))</f>
        <v>RFR USD</v>
      </c>
      <c r="D4844" t="str">
        <f t="shared" ca="1" si="376"/>
        <v>RFR USD</v>
      </c>
      <c r="E4844" t="str">
        <f t="shared" ca="1" si="377"/>
        <v>RFR EUR</v>
      </c>
      <c r="F4844" t="str">
        <f t="shared" ca="1" si="378"/>
        <v>RFR GBP</v>
      </c>
      <c r="J4844" s="1"/>
      <c r="N4844" s="1"/>
      <c r="R4844" s="1"/>
      <c r="V4844" s="1"/>
      <c r="AB4844" s="1"/>
      <c r="AF4844" s="1"/>
      <c r="AJ4844" s="1"/>
      <c r="AN4844" s="1"/>
      <c r="AS4844" s="1"/>
      <c r="AX4844" s="1"/>
    </row>
    <row r="4845" spans="1:50" x14ac:dyDescent="0.3">
      <c r="A4845" s="19">
        <f t="shared" si="379"/>
        <v>52698</v>
      </c>
      <c r="B4845">
        <f t="shared" ca="1" si="375"/>
        <v>-18.183333333333334</v>
      </c>
      <c r="C4845" t="str">
        <f ca="1">IF(currency="USD",'Future et co'!D4845,IF(currency="EUR",'Future et co'!E4845,IF(currency="GBP",'Future et co'!F4845,FALSE)))</f>
        <v>RFR USD</v>
      </c>
      <c r="D4845" t="str">
        <f t="shared" ca="1" si="376"/>
        <v>RFR USD</v>
      </c>
      <c r="E4845" t="str">
        <f t="shared" ca="1" si="377"/>
        <v>RFR EUR</v>
      </c>
      <c r="F4845" t="str">
        <f t="shared" ca="1" si="378"/>
        <v>RFR GBP</v>
      </c>
      <c r="J4845" s="1"/>
      <c r="N4845" s="1"/>
      <c r="R4845" s="1"/>
      <c r="V4845" s="1"/>
      <c r="AB4845" s="1"/>
      <c r="AF4845" s="1"/>
      <c r="AJ4845" s="1"/>
      <c r="AN4845" s="1"/>
      <c r="AS4845" s="1"/>
      <c r="AX4845" s="1"/>
    </row>
    <row r="4846" spans="1:50" x14ac:dyDescent="0.3">
      <c r="A4846" s="19">
        <f t="shared" si="379"/>
        <v>52699</v>
      </c>
      <c r="B4846">
        <f t="shared" ca="1" si="375"/>
        <v>-18.18611111111111</v>
      </c>
      <c r="C4846" t="str">
        <f ca="1">IF(currency="USD",'Future et co'!D4846,IF(currency="EUR",'Future et co'!E4846,IF(currency="GBP",'Future et co'!F4846,FALSE)))</f>
        <v>RFR USD</v>
      </c>
      <c r="D4846" t="str">
        <f t="shared" ca="1" si="376"/>
        <v>RFR USD</v>
      </c>
      <c r="E4846" t="str">
        <f t="shared" ca="1" si="377"/>
        <v>RFR EUR</v>
      </c>
      <c r="F4846" t="str">
        <f t="shared" ca="1" si="378"/>
        <v>RFR GBP</v>
      </c>
      <c r="J4846" s="1"/>
      <c r="N4846" s="1"/>
      <c r="R4846" s="1"/>
      <c r="V4846" s="1"/>
      <c r="AB4846" s="1"/>
      <c r="AF4846" s="1"/>
      <c r="AJ4846" s="1"/>
      <c r="AN4846" s="1"/>
      <c r="AS4846" s="1"/>
      <c r="AX4846" s="1"/>
    </row>
    <row r="4847" spans="1:50" x14ac:dyDescent="0.3">
      <c r="A4847" s="19">
        <f t="shared" si="379"/>
        <v>52700</v>
      </c>
      <c r="B4847">
        <f t="shared" ca="1" si="375"/>
        <v>-18.18888888888889</v>
      </c>
      <c r="C4847" t="str">
        <f ca="1">IF(currency="USD",'Future et co'!D4847,IF(currency="EUR",'Future et co'!E4847,IF(currency="GBP",'Future et co'!F4847,FALSE)))</f>
        <v>RFR USD</v>
      </c>
      <c r="D4847" t="str">
        <f t="shared" ca="1" si="376"/>
        <v>RFR USD</v>
      </c>
      <c r="E4847" t="str">
        <f t="shared" ca="1" si="377"/>
        <v>RFR EUR</v>
      </c>
      <c r="F4847" t="str">
        <f t="shared" ca="1" si="378"/>
        <v>RFR GBP</v>
      </c>
      <c r="J4847" s="1"/>
      <c r="N4847" s="1"/>
      <c r="R4847" s="1"/>
      <c r="V4847" s="1"/>
      <c r="AB4847" s="1"/>
      <c r="AF4847" s="1"/>
      <c r="AJ4847" s="1"/>
      <c r="AN4847" s="1"/>
      <c r="AS4847" s="1"/>
      <c r="AX4847" s="1"/>
    </row>
    <row r="4848" spans="1:50" x14ac:dyDescent="0.3">
      <c r="A4848" s="19">
        <f t="shared" si="379"/>
        <v>52701</v>
      </c>
      <c r="B4848">
        <f t="shared" ca="1" si="375"/>
        <v>-18.191666666666666</v>
      </c>
      <c r="C4848" t="str">
        <f ca="1">IF(currency="USD",'Future et co'!D4848,IF(currency="EUR",'Future et co'!E4848,IF(currency="GBP",'Future et co'!F4848,FALSE)))</f>
        <v>RFR USD</v>
      </c>
      <c r="D4848" t="str">
        <f t="shared" ca="1" si="376"/>
        <v>RFR USD</v>
      </c>
      <c r="E4848" t="str">
        <f t="shared" ca="1" si="377"/>
        <v>RFR EUR</v>
      </c>
      <c r="F4848" t="str">
        <f t="shared" ca="1" si="378"/>
        <v>RFR GBP</v>
      </c>
      <c r="J4848" s="1"/>
      <c r="N4848" s="1"/>
      <c r="R4848" s="1"/>
      <c r="V4848" s="1"/>
      <c r="AB4848" s="1"/>
      <c r="AF4848" s="1"/>
      <c r="AJ4848" s="1"/>
      <c r="AN4848" s="1"/>
      <c r="AS4848" s="1"/>
      <c r="AX4848" s="1"/>
    </row>
    <row r="4849" spans="1:50" x14ac:dyDescent="0.3">
      <c r="A4849" s="19">
        <f t="shared" si="379"/>
        <v>52702</v>
      </c>
      <c r="B4849">
        <f t="shared" ca="1" si="375"/>
        <v>-18.194444444444443</v>
      </c>
      <c r="C4849" t="str">
        <f ca="1">IF(currency="USD",'Future et co'!D4849,IF(currency="EUR",'Future et co'!E4849,IF(currency="GBP",'Future et co'!F4849,FALSE)))</f>
        <v>RFR USD</v>
      </c>
      <c r="D4849" t="str">
        <f t="shared" ca="1" si="376"/>
        <v>RFR USD</v>
      </c>
      <c r="E4849" t="str">
        <f t="shared" ca="1" si="377"/>
        <v>RFR EUR</v>
      </c>
      <c r="F4849" t="str">
        <f t="shared" ca="1" si="378"/>
        <v>RFR GBP</v>
      </c>
      <c r="J4849" s="1"/>
      <c r="N4849" s="1"/>
      <c r="R4849" s="1"/>
      <c r="V4849" s="1"/>
      <c r="AB4849" s="1"/>
      <c r="AF4849" s="1"/>
      <c r="AJ4849" s="1"/>
      <c r="AN4849" s="1"/>
      <c r="AS4849" s="1"/>
      <c r="AX4849" s="1"/>
    </row>
    <row r="4850" spans="1:50" x14ac:dyDescent="0.3">
      <c r="A4850" s="19">
        <f t="shared" si="379"/>
        <v>52705</v>
      </c>
      <c r="B4850">
        <f t="shared" ca="1" si="375"/>
        <v>-18.202777777777779</v>
      </c>
      <c r="C4850" t="str">
        <f ca="1">IF(currency="USD",'Future et co'!D4850,IF(currency="EUR",'Future et co'!E4850,IF(currency="GBP",'Future et co'!F4850,FALSE)))</f>
        <v>RFR USD</v>
      </c>
      <c r="D4850" t="str">
        <f t="shared" ca="1" si="376"/>
        <v>RFR USD</v>
      </c>
      <c r="E4850" t="str">
        <f t="shared" ca="1" si="377"/>
        <v>RFR EUR</v>
      </c>
      <c r="F4850" t="str">
        <f t="shared" ca="1" si="378"/>
        <v>RFR GBP</v>
      </c>
      <c r="J4850" s="1"/>
      <c r="N4850" s="1"/>
      <c r="R4850" s="1"/>
      <c r="V4850" s="1"/>
      <c r="AB4850" s="1"/>
      <c r="AF4850" s="1"/>
      <c r="AJ4850" s="1"/>
      <c r="AN4850" s="1"/>
      <c r="AS4850" s="1"/>
      <c r="AX4850" s="1"/>
    </row>
    <row r="4851" spans="1:50" x14ac:dyDescent="0.3">
      <c r="A4851" s="19">
        <f t="shared" si="379"/>
        <v>52706</v>
      </c>
      <c r="B4851">
        <f t="shared" ca="1" si="375"/>
        <v>-18.205555555555556</v>
      </c>
      <c r="C4851" t="str">
        <f ca="1">IF(currency="USD",'Future et co'!D4851,IF(currency="EUR",'Future et co'!E4851,IF(currency="GBP",'Future et co'!F4851,FALSE)))</f>
        <v>RFR USD</v>
      </c>
      <c r="D4851" t="str">
        <f t="shared" ca="1" si="376"/>
        <v>RFR USD</v>
      </c>
      <c r="E4851" t="str">
        <f t="shared" ca="1" si="377"/>
        <v>RFR EUR</v>
      </c>
      <c r="F4851" t="str">
        <f t="shared" ca="1" si="378"/>
        <v>RFR GBP</v>
      </c>
      <c r="J4851" s="1"/>
      <c r="N4851" s="1"/>
      <c r="R4851" s="1"/>
      <c r="V4851" s="1"/>
      <c r="AB4851" s="1"/>
      <c r="AF4851" s="1"/>
      <c r="AJ4851" s="1"/>
      <c r="AN4851" s="1"/>
      <c r="AS4851" s="1"/>
      <c r="AX4851" s="1"/>
    </row>
    <row r="4852" spans="1:50" x14ac:dyDescent="0.3">
      <c r="A4852" s="19">
        <f t="shared" si="379"/>
        <v>52707</v>
      </c>
      <c r="B4852">
        <f t="shared" ca="1" si="375"/>
        <v>-18.208333333333332</v>
      </c>
      <c r="C4852" t="str">
        <f ca="1">IF(currency="USD",'Future et co'!D4852,IF(currency="EUR",'Future et co'!E4852,IF(currency="GBP",'Future et co'!F4852,FALSE)))</f>
        <v>RFR USD</v>
      </c>
      <c r="D4852" t="str">
        <f t="shared" ca="1" si="376"/>
        <v>RFR USD</v>
      </c>
      <c r="E4852" t="str">
        <f t="shared" ca="1" si="377"/>
        <v>RFR EUR</v>
      </c>
      <c r="F4852" t="str">
        <f t="shared" ca="1" si="378"/>
        <v>RFR GBP</v>
      </c>
      <c r="J4852" s="1"/>
      <c r="N4852" s="1"/>
      <c r="R4852" s="1"/>
      <c r="V4852" s="1"/>
      <c r="AB4852" s="1"/>
      <c r="AF4852" s="1"/>
      <c r="AJ4852" s="1"/>
      <c r="AN4852" s="1"/>
      <c r="AS4852" s="1"/>
      <c r="AX4852" s="1"/>
    </row>
    <row r="4853" spans="1:50" x14ac:dyDescent="0.3">
      <c r="A4853" s="19">
        <f t="shared" si="379"/>
        <v>52708</v>
      </c>
      <c r="B4853">
        <f t="shared" ca="1" si="375"/>
        <v>-18.211111111111112</v>
      </c>
      <c r="C4853" t="str">
        <f ca="1">IF(currency="USD",'Future et co'!D4853,IF(currency="EUR",'Future et co'!E4853,IF(currency="GBP",'Future et co'!F4853,FALSE)))</f>
        <v>RFR USD</v>
      </c>
      <c r="D4853" t="str">
        <f t="shared" ca="1" si="376"/>
        <v>RFR USD</v>
      </c>
      <c r="E4853" t="str">
        <f t="shared" ca="1" si="377"/>
        <v>RFR EUR</v>
      </c>
      <c r="F4853" t="str">
        <f t="shared" ca="1" si="378"/>
        <v>RFR GBP</v>
      </c>
      <c r="J4853" s="1"/>
      <c r="N4853" s="1"/>
      <c r="R4853" s="1"/>
      <c r="V4853" s="1"/>
      <c r="AB4853" s="1"/>
      <c r="AF4853" s="1"/>
      <c r="AJ4853" s="1"/>
      <c r="AN4853" s="1"/>
      <c r="AS4853" s="1"/>
      <c r="AX4853" s="1"/>
    </row>
    <row r="4854" spans="1:50" x14ac:dyDescent="0.3">
      <c r="A4854" s="19">
        <f t="shared" si="379"/>
        <v>52709</v>
      </c>
      <c r="B4854">
        <f t="shared" ca="1" si="375"/>
        <v>-18.213888888888889</v>
      </c>
      <c r="C4854" t="str">
        <f ca="1">IF(currency="USD",'Future et co'!D4854,IF(currency="EUR",'Future et co'!E4854,IF(currency="GBP",'Future et co'!F4854,FALSE)))</f>
        <v>RFR USD</v>
      </c>
      <c r="D4854" t="str">
        <f t="shared" ca="1" si="376"/>
        <v>RFR USD</v>
      </c>
      <c r="E4854" t="str">
        <f t="shared" ca="1" si="377"/>
        <v>RFR EUR</v>
      </c>
      <c r="F4854" t="str">
        <f t="shared" ca="1" si="378"/>
        <v>RFR GBP</v>
      </c>
      <c r="J4854" s="1"/>
      <c r="N4854" s="1"/>
      <c r="R4854" s="1"/>
      <c r="V4854" s="1"/>
      <c r="AB4854" s="1"/>
      <c r="AF4854" s="1"/>
      <c r="AJ4854" s="1"/>
      <c r="AN4854" s="1"/>
      <c r="AS4854" s="1"/>
      <c r="AX4854" s="1"/>
    </row>
    <row r="4855" spans="1:50" x14ac:dyDescent="0.3">
      <c r="A4855" s="19">
        <f t="shared" si="379"/>
        <v>52712</v>
      </c>
      <c r="B4855">
        <f t="shared" ca="1" si="375"/>
        <v>-18.222222222222221</v>
      </c>
      <c r="C4855" t="str">
        <f ca="1">IF(currency="USD",'Future et co'!D4855,IF(currency="EUR",'Future et co'!E4855,IF(currency="GBP",'Future et co'!F4855,FALSE)))</f>
        <v>RFR USD</v>
      </c>
      <c r="D4855" t="str">
        <f t="shared" ca="1" si="376"/>
        <v>RFR USD</v>
      </c>
      <c r="E4855" t="str">
        <f t="shared" ca="1" si="377"/>
        <v>RFR EUR</v>
      </c>
      <c r="F4855" t="str">
        <f t="shared" ca="1" si="378"/>
        <v>RFR GBP</v>
      </c>
      <c r="J4855" s="1"/>
      <c r="N4855" s="1"/>
      <c r="R4855" s="1"/>
      <c r="V4855" s="1"/>
      <c r="AB4855" s="1"/>
      <c r="AF4855" s="1"/>
      <c r="AJ4855" s="1"/>
      <c r="AN4855" s="1"/>
      <c r="AS4855" s="1"/>
      <c r="AX4855" s="1"/>
    </row>
    <row r="4856" spans="1:50" x14ac:dyDescent="0.3">
      <c r="A4856" s="19">
        <f t="shared" si="379"/>
        <v>52713</v>
      </c>
      <c r="B4856">
        <f t="shared" ca="1" si="375"/>
        <v>-18.225000000000001</v>
      </c>
      <c r="C4856" t="str">
        <f ca="1">IF(currency="USD",'Future et co'!D4856,IF(currency="EUR",'Future et co'!E4856,IF(currency="GBP",'Future et co'!F4856,FALSE)))</f>
        <v>RFR USD</v>
      </c>
      <c r="D4856" t="str">
        <f t="shared" ca="1" si="376"/>
        <v>RFR USD</v>
      </c>
      <c r="E4856" t="str">
        <f t="shared" ca="1" si="377"/>
        <v>RFR EUR</v>
      </c>
      <c r="F4856" t="str">
        <f t="shared" ca="1" si="378"/>
        <v>RFR GBP</v>
      </c>
      <c r="J4856" s="1"/>
      <c r="N4856" s="1"/>
      <c r="R4856" s="1"/>
      <c r="V4856" s="1"/>
      <c r="AB4856" s="1"/>
      <c r="AF4856" s="1"/>
      <c r="AJ4856" s="1"/>
      <c r="AN4856" s="1"/>
      <c r="AS4856" s="1"/>
      <c r="AX4856" s="1"/>
    </row>
    <row r="4857" spans="1:50" x14ac:dyDescent="0.3">
      <c r="A4857" s="19">
        <f t="shared" si="379"/>
        <v>52714</v>
      </c>
      <c r="B4857">
        <f t="shared" ca="1" si="375"/>
        <v>-18.227777777777778</v>
      </c>
      <c r="C4857" t="str">
        <f ca="1">IF(currency="USD",'Future et co'!D4857,IF(currency="EUR",'Future et co'!E4857,IF(currency="GBP",'Future et co'!F4857,FALSE)))</f>
        <v>RFR USD</v>
      </c>
      <c r="D4857" t="str">
        <f t="shared" ca="1" si="376"/>
        <v>RFR USD</v>
      </c>
      <c r="E4857" t="str">
        <f t="shared" ca="1" si="377"/>
        <v>RFR EUR</v>
      </c>
      <c r="F4857" t="str">
        <f t="shared" ca="1" si="378"/>
        <v>RFR GBP</v>
      </c>
      <c r="J4857" s="1"/>
      <c r="N4857" s="1"/>
      <c r="R4857" s="1"/>
      <c r="V4857" s="1"/>
      <c r="AB4857" s="1"/>
      <c r="AF4857" s="1"/>
      <c r="AJ4857" s="1"/>
      <c r="AN4857" s="1"/>
      <c r="AS4857" s="1"/>
      <c r="AX4857" s="1"/>
    </row>
    <row r="4858" spans="1:50" x14ac:dyDescent="0.3">
      <c r="A4858" s="19">
        <f t="shared" si="379"/>
        <v>52715</v>
      </c>
      <c r="B4858">
        <f t="shared" ca="1" si="375"/>
        <v>-18.230555555555554</v>
      </c>
      <c r="C4858" t="str">
        <f ca="1">IF(currency="USD",'Future et co'!D4858,IF(currency="EUR",'Future et co'!E4858,IF(currency="GBP",'Future et co'!F4858,FALSE)))</f>
        <v>RFR USD</v>
      </c>
      <c r="D4858" t="str">
        <f t="shared" ca="1" si="376"/>
        <v>RFR USD</v>
      </c>
      <c r="E4858" t="str">
        <f t="shared" ca="1" si="377"/>
        <v>RFR EUR</v>
      </c>
      <c r="F4858" t="str">
        <f t="shared" ca="1" si="378"/>
        <v>RFR GBP</v>
      </c>
      <c r="J4858" s="1"/>
      <c r="N4858" s="1"/>
      <c r="R4858" s="1"/>
      <c r="V4858" s="1"/>
      <c r="AB4858" s="1"/>
      <c r="AF4858" s="1"/>
      <c r="AJ4858" s="1"/>
      <c r="AN4858" s="1"/>
      <c r="AS4858" s="1"/>
      <c r="AX4858" s="1"/>
    </row>
    <row r="4859" spans="1:50" x14ac:dyDescent="0.3">
      <c r="A4859" s="19">
        <f t="shared" si="379"/>
        <v>52716</v>
      </c>
      <c r="B4859">
        <f t="shared" ca="1" si="375"/>
        <v>-18.233333333333334</v>
      </c>
      <c r="C4859" t="str">
        <f ca="1">IF(currency="USD",'Future et co'!D4859,IF(currency="EUR",'Future et co'!E4859,IF(currency="GBP",'Future et co'!F4859,FALSE)))</f>
        <v>RFR USD</v>
      </c>
      <c r="D4859" t="str">
        <f t="shared" ca="1" si="376"/>
        <v>RFR USD</v>
      </c>
      <c r="E4859" t="str">
        <f t="shared" ca="1" si="377"/>
        <v>RFR EUR</v>
      </c>
      <c r="F4859" t="str">
        <f t="shared" ca="1" si="378"/>
        <v>RFR GBP</v>
      </c>
      <c r="J4859" s="1"/>
      <c r="N4859" s="1"/>
      <c r="R4859" s="1"/>
      <c r="V4859" s="1"/>
      <c r="AB4859" s="1"/>
      <c r="AF4859" s="1"/>
      <c r="AJ4859" s="1"/>
      <c r="AN4859" s="1"/>
      <c r="AS4859" s="1"/>
      <c r="AX4859" s="1"/>
    </row>
    <row r="4860" spans="1:50" x14ac:dyDescent="0.3">
      <c r="A4860" s="19">
        <f t="shared" si="379"/>
        <v>52719</v>
      </c>
      <c r="B4860">
        <f t="shared" ca="1" si="375"/>
        <v>-18.241666666666667</v>
      </c>
      <c r="C4860" t="str">
        <f ca="1">IF(currency="USD",'Future et co'!D4860,IF(currency="EUR",'Future et co'!E4860,IF(currency="GBP",'Future et co'!F4860,FALSE)))</f>
        <v>RFR USD</v>
      </c>
      <c r="D4860" t="str">
        <f t="shared" ca="1" si="376"/>
        <v>RFR USD</v>
      </c>
      <c r="E4860" t="str">
        <f t="shared" ca="1" si="377"/>
        <v>RFR EUR</v>
      </c>
      <c r="F4860" t="str">
        <f t="shared" ca="1" si="378"/>
        <v>RFR GBP</v>
      </c>
      <c r="J4860" s="1"/>
      <c r="N4860" s="1"/>
      <c r="R4860" s="1"/>
      <c r="V4860" s="1"/>
      <c r="AB4860" s="1"/>
      <c r="AF4860" s="1"/>
      <c r="AJ4860" s="1"/>
      <c r="AN4860" s="1"/>
      <c r="AS4860" s="1"/>
      <c r="AX4860" s="1"/>
    </row>
    <row r="4861" spans="1:50" x14ac:dyDescent="0.3">
      <c r="A4861" s="19">
        <f t="shared" si="379"/>
        <v>52720</v>
      </c>
      <c r="B4861">
        <f t="shared" ca="1" si="375"/>
        <v>-18.244444444444444</v>
      </c>
      <c r="C4861" t="str">
        <f ca="1">IF(currency="USD",'Future et co'!D4861,IF(currency="EUR",'Future et co'!E4861,IF(currency="GBP",'Future et co'!F4861,FALSE)))</f>
        <v>RFR USD</v>
      </c>
      <c r="D4861" t="str">
        <f t="shared" ca="1" si="376"/>
        <v>RFR USD</v>
      </c>
      <c r="E4861" t="str">
        <f t="shared" ca="1" si="377"/>
        <v>RFR EUR</v>
      </c>
      <c r="F4861" t="str">
        <f t="shared" ca="1" si="378"/>
        <v>RFR GBP</v>
      </c>
      <c r="J4861" s="1"/>
      <c r="N4861" s="1"/>
      <c r="R4861" s="1"/>
      <c r="V4861" s="1"/>
      <c r="AB4861" s="1"/>
      <c r="AF4861" s="1"/>
      <c r="AJ4861" s="1"/>
      <c r="AN4861" s="1"/>
      <c r="AS4861" s="1"/>
      <c r="AX4861" s="1"/>
    </row>
    <row r="4862" spans="1:50" x14ac:dyDescent="0.3">
      <c r="A4862" s="19">
        <f t="shared" si="379"/>
        <v>52721</v>
      </c>
      <c r="B4862">
        <f t="shared" ca="1" si="375"/>
        <v>-18.247222222222224</v>
      </c>
      <c r="C4862" t="str">
        <f ca="1">IF(currency="USD",'Future et co'!D4862,IF(currency="EUR",'Future et co'!E4862,IF(currency="GBP",'Future et co'!F4862,FALSE)))</f>
        <v>RFR USD</v>
      </c>
      <c r="D4862" t="str">
        <f t="shared" ca="1" si="376"/>
        <v>RFR USD</v>
      </c>
      <c r="E4862" t="str">
        <f t="shared" ca="1" si="377"/>
        <v>RFR EUR</v>
      </c>
      <c r="F4862" t="str">
        <f t="shared" ca="1" si="378"/>
        <v>RFR GBP</v>
      </c>
      <c r="J4862" s="1"/>
      <c r="N4862" s="1"/>
      <c r="R4862" s="1"/>
      <c r="V4862" s="1"/>
      <c r="AB4862" s="1"/>
      <c r="AF4862" s="1"/>
      <c r="AJ4862" s="1"/>
      <c r="AN4862" s="1"/>
      <c r="AS4862" s="1"/>
      <c r="AX4862" s="1"/>
    </row>
    <row r="4863" spans="1:50" x14ac:dyDescent="0.3">
      <c r="A4863" s="19">
        <f t="shared" si="379"/>
        <v>52722</v>
      </c>
      <c r="B4863">
        <f t="shared" ca="1" si="375"/>
        <v>-18.25</v>
      </c>
      <c r="C4863" t="str">
        <f ca="1">IF(currency="USD",'Future et co'!D4863,IF(currency="EUR",'Future et co'!E4863,IF(currency="GBP",'Future et co'!F4863,FALSE)))</f>
        <v>RFR USD</v>
      </c>
      <c r="D4863" t="str">
        <f t="shared" ca="1" si="376"/>
        <v>RFR USD</v>
      </c>
      <c r="E4863" t="str">
        <f t="shared" ca="1" si="377"/>
        <v>RFR EUR</v>
      </c>
      <c r="F4863" t="str">
        <f t="shared" ca="1" si="378"/>
        <v>RFR GBP</v>
      </c>
      <c r="J4863" s="1"/>
      <c r="N4863" s="1"/>
      <c r="R4863" s="1"/>
      <c r="V4863" s="1"/>
      <c r="AB4863" s="1"/>
      <c r="AF4863" s="1"/>
      <c r="AJ4863" s="1"/>
      <c r="AN4863" s="1"/>
      <c r="AS4863" s="1"/>
      <c r="AX4863" s="1"/>
    </row>
    <row r="4864" spans="1:50" x14ac:dyDescent="0.3">
      <c r="A4864" s="19">
        <f t="shared" si="379"/>
        <v>52723</v>
      </c>
      <c r="B4864">
        <f t="shared" ca="1" si="375"/>
        <v>-18.252777777777776</v>
      </c>
      <c r="C4864" t="str">
        <f ca="1">IF(currency="USD",'Future et co'!D4864,IF(currency="EUR",'Future et co'!E4864,IF(currency="GBP",'Future et co'!F4864,FALSE)))</f>
        <v>RFR USD</v>
      </c>
      <c r="D4864" t="str">
        <f t="shared" ca="1" si="376"/>
        <v>RFR USD</v>
      </c>
      <c r="E4864" t="str">
        <f t="shared" ca="1" si="377"/>
        <v>RFR EUR</v>
      </c>
      <c r="F4864" t="str">
        <f t="shared" ca="1" si="378"/>
        <v>RFR GBP</v>
      </c>
      <c r="J4864" s="1"/>
      <c r="N4864" s="1"/>
      <c r="R4864" s="1"/>
      <c r="V4864" s="1"/>
      <c r="AB4864" s="1"/>
      <c r="AF4864" s="1"/>
      <c r="AJ4864" s="1"/>
      <c r="AN4864" s="1"/>
      <c r="AS4864" s="1"/>
      <c r="AX4864" s="1"/>
    </row>
    <row r="4865" spans="1:50" x14ac:dyDescent="0.3">
      <c r="A4865" s="19">
        <f t="shared" si="379"/>
        <v>52726</v>
      </c>
      <c r="B4865">
        <f t="shared" ca="1" si="375"/>
        <v>-18.261111111111113</v>
      </c>
      <c r="C4865" t="str">
        <f ca="1">IF(currency="USD",'Future et co'!D4865,IF(currency="EUR",'Future et co'!E4865,IF(currency="GBP",'Future et co'!F4865,FALSE)))</f>
        <v>RFR USD</v>
      </c>
      <c r="D4865" t="str">
        <f t="shared" ca="1" si="376"/>
        <v>RFR USD</v>
      </c>
      <c r="E4865" t="str">
        <f t="shared" ca="1" si="377"/>
        <v>RFR EUR</v>
      </c>
      <c r="F4865" t="str">
        <f t="shared" ca="1" si="378"/>
        <v>RFR GBP</v>
      </c>
      <c r="J4865" s="1"/>
      <c r="N4865" s="1"/>
      <c r="R4865" s="1"/>
      <c r="V4865" s="1"/>
      <c r="AB4865" s="1"/>
      <c r="AF4865" s="1"/>
      <c r="AJ4865" s="1"/>
      <c r="AN4865" s="1"/>
      <c r="AS4865" s="1"/>
      <c r="AX4865" s="1"/>
    </row>
    <row r="4866" spans="1:50" x14ac:dyDescent="0.3">
      <c r="A4866" s="19">
        <f t="shared" si="379"/>
        <v>52727</v>
      </c>
      <c r="B4866">
        <f t="shared" ca="1" si="375"/>
        <v>-18.263888888888889</v>
      </c>
      <c r="C4866" t="str">
        <f ca="1">IF(currency="USD",'Future et co'!D4866,IF(currency="EUR",'Future et co'!E4866,IF(currency="GBP",'Future et co'!F4866,FALSE)))</f>
        <v>RFR USD</v>
      </c>
      <c r="D4866" t="str">
        <f t="shared" ca="1" si="376"/>
        <v>RFR USD</v>
      </c>
      <c r="E4866" t="str">
        <f t="shared" ca="1" si="377"/>
        <v>RFR EUR</v>
      </c>
      <c r="F4866" t="str">
        <f t="shared" ca="1" si="378"/>
        <v>RFR GBP</v>
      </c>
      <c r="J4866" s="1"/>
      <c r="N4866" s="1"/>
      <c r="R4866" s="1"/>
      <c r="V4866" s="1"/>
      <c r="AB4866" s="1"/>
      <c r="AF4866" s="1"/>
      <c r="AJ4866" s="1"/>
      <c r="AN4866" s="1"/>
      <c r="AS4866" s="1"/>
      <c r="AX4866" s="1"/>
    </row>
    <row r="4867" spans="1:50" x14ac:dyDescent="0.3">
      <c r="A4867" s="19">
        <f t="shared" si="379"/>
        <v>52728</v>
      </c>
      <c r="B4867">
        <f t="shared" ca="1" si="375"/>
        <v>-18.266666666666666</v>
      </c>
      <c r="C4867" t="str">
        <f ca="1">IF(currency="USD",'Future et co'!D4867,IF(currency="EUR",'Future et co'!E4867,IF(currency="GBP",'Future et co'!F4867,FALSE)))</f>
        <v>RFR USD</v>
      </c>
      <c r="D4867" t="str">
        <f t="shared" ca="1" si="376"/>
        <v>RFR USD</v>
      </c>
      <c r="E4867" t="str">
        <f t="shared" ca="1" si="377"/>
        <v>RFR EUR</v>
      </c>
      <c r="F4867" t="str">
        <f t="shared" ca="1" si="378"/>
        <v>RFR GBP</v>
      </c>
      <c r="J4867" s="1"/>
      <c r="N4867" s="1"/>
      <c r="R4867" s="1"/>
      <c r="V4867" s="1"/>
      <c r="AB4867" s="1"/>
      <c r="AF4867" s="1"/>
      <c r="AJ4867" s="1"/>
      <c r="AN4867" s="1"/>
      <c r="AS4867" s="1"/>
      <c r="AX4867" s="1"/>
    </row>
    <row r="4868" spans="1:50" x14ac:dyDescent="0.3">
      <c r="A4868" s="19">
        <f t="shared" si="379"/>
        <v>52729</v>
      </c>
      <c r="B4868">
        <f t="shared" ca="1" si="375"/>
        <v>-18.269444444444446</v>
      </c>
      <c r="C4868" t="str">
        <f ca="1">IF(currency="USD",'Future et co'!D4868,IF(currency="EUR",'Future et co'!E4868,IF(currency="GBP",'Future et co'!F4868,FALSE)))</f>
        <v>RFR USD</v>
      </c>
      <c r="D4868" t="str">
        <f t="shared" ca="1" si="376"/>
        <v>RFR USD</v>
      </c>
      <c r="E4868" t="str">
        <f t="shared" ca="1" si="377"/>
        <v>RFR EUR</v>
      </c>
      <c r="F4868" t="str">
        <f t="shared" ca="1" si="378"/>
        <v>RFR GBP</v>
      </c>
      <c r="J4868" s="1"/>
      <c r="N4868" s="1"/>
      <c r="R4868" s="1"/>
      <c r="V4868" s="1"/>
      <c r="AB4868" s="1"/>
      <c r="AF4868" s="1"/>
      <c r="AJ4868" s="1"/>
      <c r="AN4868" s="1"/>
      <c r="AS4868" s="1"/>
      <c r="AX4868" s="1"/>
    </row>
    <row r="4869" spans="1:50" x14ac:dyDescent="0.3">
      <c r="A4869" s="19">
        <f t="shared" si="379"/>
        <v>52730</v>
      </c>
      <c r="B4869">
        <f t="shared" ca="1" si="375"/>
        <v>-18.272222222222222</v>
      </c>
      <c r="C4869" t="str">
        <f ca="1">IF(currency="USD",'Future et co'!D4869,IF(currency="EUR",'Future et co'!E4869,IF(currency="GBP",'Future et co'!F4869,FALSE)))</f>
        <v>RFR USD</v>
      </c>
      <c r="D4869" t="str">
        <f t="shared" ca="1" si="376"/>
        <v>RFR USD</v>
      </c>
      <c r="E4869" t="str">
        <f t="shared" ca="1" si="377"/>
        <v>RFR EUR</v>
      </c>
      <c r="F4869" t="str">
        <f t="shared" ca="1" si="378"/>
        <v>RFR GBP</v>
      </c>
      <c r="J4869" s="1"/>
      <c r="N4869" s="1"/>
      <c r="R4869" s="1"/>
      <c r="V4869" s="1"/>
      <c r="AB4869" s="1"/>
      <c r="AF4869" s="1"/>
      <c r="AJ4869" s="1"/>
      <c r="AN4869" s="1"/>
      <c r="AS4869" s="1"/>
      <c r="AX4869" s="1"/>
    </row>
    <row r="4870" spans="1:50" x14ac:dyDescent="0.3">
      <c r="A4870" s="19">
        <f t="shared" si="379"/>
        <v>52733</v>
      </c>
      <c r="B4870">
        <f t="shared" ca="1" si="375"/>
        <v>-18.280555555555555</v>
      </c>
      <c r="C4870" t="str">
        <f ca="1">IF(currency="USD",'Future et co'!D4870,IF(currency="EUR",'Future et co'!E4870,IF(currency="GBP",'Future et co'!F4870,FALSE)))</f>
        <v>RFR USD</v>
      </c>
      <c r="D4870" t="str">
        <f t="shared" ca="1" si="376"/>
        <v>RFR USD</v>
      </c>
      <c r="E4870" t="str">
        <f t="shared" ca="1" si="377"/>
        <v>RFR EUR</v>
      </c>
      <c r="F4870" t="str">
        <f t="shared" ca="1" si="378"/>
        <v>RFR GBP</v>
      </c>
      <c r="J4870" s="1"/>
      <c r="N4870" s="1"/>
      <c r="R4870" s="1"/>
      <c r="V4870" s="1"/>
      <c r="AB4870" s="1"/>
      <c r="AF4870" s="1"/>
      <c r="AJ4870" s="1"/>
      <c r="AN4870" s="1"/>
      <c r="AS4870" s="1"/>
      <c r="AX4870" s="1"/>
    </row>
    <row r="4871" spans="1:50" x14ac:dyDescent="0.3">
      <c r="A4871" s="19">
        <f t="shared" si="379"/>
        <v>52734</v>
      </c>
      <c r="B4871">
        <f t="shared" ca="1" si="375"/>
        <v>-18.283333333333335</v>
      </c>
      <c r="C4871" t="str">
        <f ca="1">IF(currency="USD",'Future et co'!D4871,IF(currency="EUR",'Future et co'!E4871,IF(currency="GBP",'Future et co'!F4871,FALSE)))</f>
        <v>RFR USD</v>
      </c>
      <c r="D4871" t="str">
        <f t="shared" ca="1" si="376"/>
        <v>RFR USD</v>
      </c>
      <c r="E4871" t="str">
        <f t="shared" ca="1" si="377"/>
        <v>RFR EUR</v>
      </c>
      <c r="F4871" t="str">
        <f t="shared" ca="1" si="378"/>
        <v>RFR GBP</v>
      </c>
      <c r="J4871" s="1"/>
      <c r="N4871" s="1"/>
      <c r="R4871" s="1"/>
      <c r="V4871" s="1"/>
      <c r="AB4871" s="1"/>
      <c r="AF4871" s="1"/>
      <c r="AJ4871" s="1"/>
      <c r="AN4871" s="1"/>
      <c r="AS4871" s="1"/>
      <c r="AX4871" s="1"/>
    </row>
    <row r="4872" spans="1:50" x14ac:dyDescent="0.3">
      <c r="A4872" s="19">
        <f t="shared" si="379"/>
        <v>52735</v>
      </c>
      <c r="B4872">
        <f t="shared" ca="1" si="375"/>
        <v>-18.286111111111111</v>
      </c>
      <c r="C4872" t="str">
        <f ca="1">IF(currency="USD",'Future et co'!D4872,IF(currency="EUR",'Future et co'!E4872,IF(currency="GBP",'Future et co'!F4872,FALSE)))</f>
        <v>RFR USD</v>
      </c>
      <c r="D4872" t="str">
        <f t="shared" ca="1" si="376"/>
        <v>RFR USD</v>
      </c>
      <c r="E4872" t="str">
        <f t="shared" ca="1" si="377"/>
        <v>RFR EUR</v>
      </c>
      <c r="F4872" t="str">
        <f t="shared" ca="1" si="378"/>
        <v>RFR GBP</v>
      </c>
      <c r="J4872" s="1"/>
      <c r="N4872" s="1"/>
      <c r="R4872" s="1"/>
      <c r="V4872" s="1"/>
      <c r="AB4872" s="1"/>
      <c r="AF4872" s="1"/>
      <c r="AJ4872" s="1"/>
      <c r="AN4872" s="1"/>
      <c r="AS4872" s="1"/>
      <c r="AX4872" s="1"/>
    </row>
    <row r="4873" spans="1:50" x14ac:dyDescent="0.3">
      <c r="A4873" s="19">
        <f t="shared" si="379"/>
        <v>52736</v>
      </c>
      <c r="B4873">
        <f t="shared" ca="1" si="375"/>
        <v>-18.288888888888888</v>
      </c>
      <c r="C4873" t="str">
        <f ca="1">IF(currency="USD",'Future et co'!D4873,IF(currency="EUR",'Future et co'!E4873,IF(currency="GBP",'Future et co'!F4873,FALSE)))</f>
        <v>RFR USD</v>
      </c>
      <c r="D4873" t="str">
        <f t="shared" ca="1" si="376"/>
        <v>RFR USD</v>
      </c>
      <c r="E4873" t="str">
        <f t="shared" ca="1" si="377"/>
        <v>RFR EUR</v>
      </c>
      <c r="F4873" t="str">
        <f t="shared" ca="1" si="378"/>
        <v>RFR GBP</v>
      </c>
      <c r="J4873" s="1"/>
      <c r="N4873" s="1"/>
      <c r="R4873" s="1"/>
      <c r="V4873" s="1"/>
      <c r="AB4873" s="1"/>
      <c r="AF4873" s="1"/>
      <c r="AJ4873" s="1"/>
      <c r="AN4873" s="1"/>
      <c r="AS4873" s="1"/>
      <c r="AX4873" s="1"/>
    </row>
    <row r="4874" spans="1:50" x14ac:dyDescent="0.3">
      <c r="A4874" s="19">
        <f t="shared" si="379"/>
        <v>52737</v>
      </c>
      <c r="B4874">
        <f t="shared" ca="1" si="375"/>
        <v>-18.291666666666668</v>
      </c>
      <c r="C4874" t="str">
        <f ca="1">IF(currency="USD",'Future et co'!D4874,IF(currency="EUR",'Future et co'!E4874,IF(currency="GBP",'Future et co'!F4874,FALSE)))</f>
        <v>RFR USD</v>
      </c>
      <c r="D4874" t="str">
        <f t="shared" ca="1" si="376"/>
        <v>RFR USD</v>
      </c>
      <c r="E4874" t="str">
        <f t="shared" ca="1" si="377"/>
        <v>RFR EUR</v>
      </c>
      <c r="F4874" t="str">
        <f t="shared" ca="1" si="378"/>
        <v>RFR GBP</v>
      </c>
      <c r="J4874" s="1"/>
      <c r="N4874" s="1"/>
      <c r="R4874" s="1"/>
      <c r="V4874" s="1"/>
      <c r="AB4874" s="1"/>
      <c r="AF4874" s="1"/>
      <c r="AJ4874" s="1"/>
      <c r="AN4874" s="1"/>
      <c r="AS4874" s="1"/>
      <c r="AX4874" s="1"/>
    </row>
    <row r="4875" spans="1:50" x14ac:dyDescent="0.3">
      <c r="A4875" s="19">
        <f t="shared" si="379"/>
        <v>52740</v>
      </c>
      <c r="B4875">
        <f t="shared" ref="B4875:B4938" ca="1" si="380">($B$7-A4875)/360</f>
        <v>-18.3</v>
      </c>
      <c r="C4875" t="str">
        <f ca="1">IF(currency="USD",'Future et co'!D4875,IF(currency="EUR",'Future et co'!E4875,IF(currency="GBP",'Future et co'!F4875,FALSE)))</f>
        <v>RFR USD</v>
      </c>
      <c r="D4875" t="str">
        <f t="shared" ref="D4875:D4938" ca="1" si="381">IFERROR(IF(B4875&lt;0.25,VLOOKUP(A4875,$J$11:$L$5325,3,FALSE),IF(AND(B4875&gt;=0.25,B4875&lt;0.5),VLOOKUP(A4875,$N$11:$P$5325,3,FALSE),IF(AND(B4875&gt;=0.5,B4875&lt;1),VLOOKUP(A4875,$R$11:$T$5325,3,FALSE),VLOOKUP(A4875,$V$11:$X$5010,3,FALSE)))),D4874)</f>
        <v>RFR USD</v>
      </c>
      <c r="E4875" t="str">
        <f t="shared" ref="E4875:E4938" ca="1" si="382">IFERROR(IF(B4875&lt;0.25,VLOOKUP(A4875,$AF$11:$AH$5325,3,FALSE),IF(AND(B4875&gt;=0.25,B4875&lt;0.5),VLOOKUP(A4875,$AJ$11:$AL$5325,3,FALSE),VLOOKUP(A4875,$AN$11:$AP$5325,3,FALSE))),E4874)</f>
        <v>RFR EUR</v>
      </c>
      <c r="F4875" t="str">
        <f t="shared" ref="F4875:F4938" ca="1" si="383">IFERROR(VLOOKUP(A4875,$AS$11:$AU$9999,3,FALSE),F4874)</f>
        <v>RFR GBP</v>
      </c>
      <c r="J4875" s="1"/>
      <c r="N4875" s="1"/>
      <c r="R4875" s="1"/>
      <c r="V4875" s="1"/>
      <c r="AB4875" s="1"/>
      <c r="AF4875" s="1"/>
      <c r="AJ4875" s="1"/>
      <c r="AN4875" s="1"/>
      <c r="AS4875" s="1"/>
      <c r="AX4875" s="1"/>
    </row>
    <row r="4876" spans="1:50" x14ac:dyDescent="0.3">
      <c r="A4876" s="19">
        <f t="shared" si="379"/>
        <v>52741</v>
      </c>
      <c r="B4876">
        <f t="shared" ca="1" si="380"/>
        <v>-18.302777777777777</v>
      </c>
      <c r="C4876" t="str">
        <f ca="1">IF(currency="USD",'Future et co'!D4876,IF(currency="EUR",'Future et co'!E4876,IF(currency="GBP",'Future et co'!F4876,FALSE)))</f>
        <v>RFR USD</v>
      </c>
      <c r="D4876" t="str">
        <f t="shared" ca="1" si="381"/>
        <v>RFR USD</v>
      </c>
      <c r="E4876" t="str">
        <f t="shared" ca="1" si="382"/>
        <v>RFR EUR</v>
      </c>
      <c r="F4876" t="str">
        <f t="shared" ca="1" si="383"/>
        <v>RFR GBP</v>
      </c>
      <c r="J4876" s="1"/>
      <c r="N4876" s="1"/>
      <c r="R4876" s="1"/>
      <c r="V4876" s="1"/>
      <c r="AB4876" s="1"/>
      <c r="AF4876" s="1"/>
      <c r="AJ4876" s="1"/>
      <c r="AN4876" s="1"/>
      <c r="AS4876" s="1"/>
      <c r="AX4876" s="1"/>
    </row>
    <row r="4877" spans="1:50" x14ac:dyDescent="0.3">
      <c r="A4877" s="19">
        <f t="shared" ref="A4877:A4940" si="384">WORKDAY(A4876,1)</f>
        <v>52742</v>
      </c>
      <c r="B4877">
        <f t="shared" ca="1" si="380"/>
        <v>-18.305555555555557</v>
      </c>
      <c r="C4877" t="str">
        <f ca="1">IF(currency="USD",'Future et co'!D4877,IF(currency="EUR",'Future et co'!E4877,IF(currency="GBP",'Future et co'!F4877,FALSE)))</f>
        <v>RFR USD</v>
      </c>
      <c r="D4877" t="str">
        <f t="shared" ca="1" si="381"/>
        <v>RFR USD</v>
      </c>
      <c r="E4877" t="str">
        <f t="shared" ca="1" si="382"/>
        <v>RFR EUR</v>
      </c>
      <c r="F4877" t="str">
        <f t="shared" ca="1" si="383"/>
        <v>RFR GBP</v>
      </c>
      <c r="J4877" s="1"/>
      <c r="N4877" s="1"/>
      <c r="R4877" s="1"/>
      <c r="V4877" s="1"/>
      <c r="AB4877" s="1"/>
      <c r="AF4877" s="1"/>
      <c r="AJ4877" s="1"/>
      <c r="AN4877" s="1"/>
      <c r="AS4877" s="1"/>
      <c r="AX4877" s="1"/>
    </row>
    <row r="4878" spans="1:50" x14ac:dyDescent="0.3">
      <c r="A4878" s="19">
        <f t="shared" si="384"/>
        <v>52743</v>
      </c>
      <c r="B4878">
        <f t="shared" ca="1" si="380"/>
        <v>-18.308333333333334</v>
      </c>
      <c r="C4878" t="str">
        <f ca="1">IF(currency="USD",'Future et co'!D4878,IF(currency="EUR",'Future et co'!E4878,IF(currency="GBP",'Future et co'!F4878,FALSE)))</f>
        <v>RFR USD</v>
      </c>
      <c r="D4878" t="str">
        <f t="shared" ca="1" si="381"/>
        <v>RFR USD</v>
      </c>
      <c r="E4878" t="str">
        <f t="shared" ca="1" si="382"/>
        <v>RFR EUR</v>
      </c>
      <c r="F4878" t="str">
        <f t="shared" ca="1" si="383"/>
        <v>RFR GBP</v>
      </c>
      <c r="J4878" s="1"/>
      <c r="N4878" s="1"/>
      <c r="R4878" s="1"/>
      <c r="V4878" s="1"/>
      <c r="AB4878" s="1"/>
      <c r="AF4878" s="1"/>
      <c r="AJ4878" s="1"/>
      <c r="AN4878" s="1"/>
      <c r="AS4878" s="1"/>
      <c r="AX4878" s="1"/>
    </row>
    <row r="4879" spans="1:50" x14ac:dyDescent="0.3">
      <c r="A4879" s="19">
        <f t="shared" si="384"/>
        <v>52744</v>
      </c>
      <c r="B4879">
        <f t="shared" ca="1" si="380"/>
        <v>-18.31111111111111</v>
      </c>
      <c r="C4879" t="str">
        <f ca="1">IF(currency="USD",'Future et co'!D4879,IF(currency="EUR",'Future et co'!E4879,IF(currency="GBP",'Future et co'!F4879,FALSE)))</f>
        <v>RFR USD</v>
      </c>
      <c r="D4879" t="str">
        <f t="shared" ca="1" si="381"/>
        <v>RFR USD</v>
      </c>
      <c r="E4879" t="str">
        <f t="shared" ca="1" si="382"/>
        <v>RFR EUR</v>
      </c>
      <c r="F4879" t="str">
        <f t="shared" ca="1" si="383"/>
        <v>RFR GBP</v>
      </c>
      <c r="J4879" s="1"/>
      <c r="N4879" s="1"/>
      <c r="R4879" s="1"/>
      <c r="V4879" s="1"/>
      <c r="AB4879" s="1"/>
      <c r="AF4879" s="1"/>
      <c r="AJ4879" s="1"/>
      <c r="AN4879" s="1"/>
      <c r="AS4879" s="1"/>
      <c r="AX4879" s="1"/>
    </row>
    <row r="4880" spans="1:50" x14ac:dyDescent="0.3">
      <c r="A4880" s="19">
        <f t="shared" si="384"/>
        <v>52747</v>
      </c>
      <c r="B4880">
        <f t="shared" ca="1" si="380"/>
        <v>-18.319444444444443</v>
      </c>
      <c r="C4880" t="str">
        <f ca="1">IF(currency="USD",'Future et co'!D4880,IF(currency="EUR",'Future et co'!E4880,IF(currency="GBP",'Future et co'!F4880,FALSE)))</f>
        <v>RFR USD</v>
      </c>
      <c r="D4880" t="str">
        <f t="shared" ca="1" si="381"/>
        <v>RFR USD</v>
      </c>
      <c r="E4880" t="str">
        <f t="shared" ca="1" si="382"/>
        <v>RFR EUR</v>
      </c>
      <c r="F4880" t="str">
        <f t="shared" ca="1" si="383"/>
        <v>RFR GBP</v>
      </c>
      <c r="J4880" s="1"/>
      <c r="N4880" s="1"/>
      <c r="R4880" s="1"/>
      <c r="V4880" s="1"/>
      <c r="AB4880" s="1"/>
      <c r="AF4880" s="1"/>
      <c r="AJ4880" s="1"/>
      <c r="AN4880" s="1"/>
      <c r="AS4880" s="1"/>
      <c r="AX4880" s="1"/>
    </row>
    <row r="4881" spans="1:50" x14ac:dyDescent="0.3">
      <c r="A4881" s="19">
        <f t="shared" si="384"/>
        <v>52748</v>
      </c>
      <c r="B4881">
        <f t="shared" ca="1" si="380"/>
        <v>-18.322222222222223</v>
      </c>
      <c r="C4881" t="str">
        <f ca="1">IF(currency="USD",'Future et co'!D4881,IF(currency="EUR",'Future et co'!E4881,IF(currency="GBP",'Future et co'!F4881,FALSE)))</f>
        <v>RFR USD</v>
      </c>
      <c r="D4881" t="str">
        <f t="shared" ca="1" si="381"/>
        <v>RFR USD</v>
      </c>
      <c r="E4881" t="str">
        <f t="shared" ca="1" si="382"/>
        <v>RFR EUR</v>
      </c>
      <c r="F4881" t="str">
        <f t="shared" ca="1" si="383"/>
        <v>RFR GBP</v>
      </c>
      <c r="J4881" s="1"/>
      <c r="N4881" s="1"/>
      <c r="R4881" s="1"/>
      <c r="V4881" s="1"/>
      <c r="AB4881" s="1"/>
      <c r="AF4881" s="1"/>
      <c r="AJ4881" s="1"/>
      <c r="AN4881" s="1"/>
      <c r="AS4881" s="1"/>
      <c r="AX4881" s="1"/>
    </row>
    <row r="4882" spans="1:50" x14ac:dyDescent="0.3">
      <c r="A4882" s="19">
        <f t="shared" si="384"/>
        <v>52749</v>
      </c>
      <c r="B4882">
        <f t="shared" ca="1" si="380"/>
        <v>-18.324999999999999</v>
      </c>
      <c r="C4882" t="str">
        <f ca="1">IF(currency="USD",'Future et co'!D4882,IF(currency="EUR",'Future et co'!E4882,IF(currency="GBP",'Future et co'!F4882,FALSE)))</f>
        <v>RFR USD</v>
      </c>
      <c r="D4882" t="str">
        <f t="shared" ca="1" si="381"/>
        <v>RFR USD</v>
      </c>
      <c r="E4882" t="str">
        <f t="shared" ca="1" si="382"/>
        <v>RFR EUR</v>
      </c>
      <c r="F4882" t="str">
        <f t="shared" ca="1" si="383"/>
        <v>RFR GBP</v>
      </c>
      <c r="J4882" s="1"/>
      <c r="N4882" s="1"/>
      <c r="R4882" s="1"/>
      <c r="V4882" s="1"/>
      <c r="AB4882" s="1"/>
      <c r="AF4882" s="1"/>
      <c r="AJ4882" s="1"/>
      <c r="AN4882" s="1"/>
      <c r="AS4882" s="1"/>
      <c r="AX4882" s="1"/>
    </row>
    <row r="4883" spans="1:50" x14ac:dyDescent="0.3">
      <c r="A4883" s="19">
        <f t="shared" si="384"/>
        <v>52750</v>
      </c>
      <c r="B4883">
        <f t="shared" ca="1" si="380"/>
        <v>-18.327777777777779</v>
      </c>
      <c r="C4883" t="str">
        <f ca="1">IF(currency="USD",'Future et co'!D4883,IF(currency="EUR",'Future et co'!E4883,IF(currency="GBP",'Future et co'!F4883,FALSE)))</f>
        <v>RFR USD</v>
      </c>
      <c r="D4883" t="str">
        <f t="shared" ca="1" si="381"/>
        <v>RFR USD</v>
      </c>
      <c r="E4883" t="str">
        <f t="shared" ca="1" si="382"/>
        <v>RFR EUR</v>
      </c>
      <c r="F4883" t="str">
        <f t="shared" ca="1" si="383"/>
        <v>RFR GBP</v>
      </c>
      <c r="J4883" s="1"/>
      <c r="N4883" s="1"/>
      <c r="R4883" s="1"/>
      <c r="V4883" s="1"/>
      <c r="AB4883" s="1"/>
      <c r="AF4883" s="1"/>
      <c r="AJ4883" s="1"/>
      <c r="AN4883" s="1"/>
      <c r="AS4883" s="1"/>
      <c r="AX4883" s="1"/>
    </row>
    <row r="4884" spans="1:50" x14ac:dyDescent="0.3">
      <c r="A4884" s="19">
        <f t="shared" si="384"/>
        <v>52751</v>
      </c>
      <c r="B4884">
        <f t="shared" ca="1" si="380"/>
        <v>-18.330555555555556</v>
      </c>
      <c r="C4884" t="str">
        <f ca="1">IF(currency="USD",'Future et co'!D4884,IF(currency="EUR",'Future et co'!E4884,IF(currency="GBP",'Future et co'!F4884,FALSE)))</f>
        <v>RFR USD</v>
      </c>
      <c r="D4884" t="str">
        <f t="shared" ca="1" si="381"/>
        <v>RFR USD</v>
      </c>
      <c r="E4884" t="str">
        <f t="shared" ca="1" si="382"/>
        <v>RFR EUR</v>
      </c>
      <c r="F4884" t="str">
        <f t="shared" ca="1" si="383"/>
        <v>RFR GBP</v>
      </c>
      <c r="J4884" s="1"/>
      <c r="N4884" s="1"/>
      <c r="R4884" s="1"/>
      <c r="V4884" s="1"/>
      <c r="AB4884" s="1"/>
      <c r="AF4884" s="1"/>
      <c r="AJ4884" s="1"/>
      <c r="AN4884" s="1"/>
      <c r="AS4884" s="1"/>
      <c r="AX4884" s="1"/>
    </row>
    <row r="4885" spans="1:50" x14ac:dyDescent="0.3">
      <c r="A4885" s="19">
        <f t="shared" si="384"/>
        <v>52754</v>
      </c>
      <c r="B4885">
        <f t="shared" ca="1" si="380"/>
        <v>-18.338888888888889</v>
      </c>
      <c r="C4885" t="str">
        <f ca="1">IF(currency="USD",'Future et co'!D4885,IF(currency="EUR",'Future et co'!E4885,IF(currency="GBP",'Future et co'!F4885,FALSE)))</f>
        <v>RFR USD</v>
      </c>
      <c r="D4885" t="str">
        <f t="shared" ca="1" si="381"/>
        <v>RFR USD</v>
      </c>
      <c r="E4885" t="str">
        <f t="shared" ca="1" si="382"/>
        <v>RFR EUR</v>
      </c>
      <c r="F4885" t="str">
        <f t="shared" ca="1" si="383"/>
        <v>RFR GBP</v>
      </c>
      <c r="J4885" s="1"/>
      <c r="N4885" s="1"/>
      <c r="R4885" s="1"/>
      <c r="V4885" s="1"/>
      <c r="AB4885" s="1"/>
      <c r="AF4885" s="1"/>
      <c r="AJ4885" s="1"/>
      <c r="AN4885" s="1"/>
      <c r="AS4885" s="1"/>
      <c r="AX4885" s="1"/>
    </row>
    <row r="4886" spans="1:50" x14ac:dyDescent="0.3">
      <c r="A4886" s="19">
        <f t="shared" si="384"/>
        <v>52755</v>
      </c>
      <c r="B4886">
        <f t="shared" ca="1" si="380"/>
        <v>-18.341666666666665</v>
      </c>
      <c r="C4886" t="str">
        <f ca="1">IF(currency="USD",'Future et co'!D4886,IF(currency="EUR",'Future et co'!E4886,IF(currency="GBP",'Future et co'!F4886,FALSE)))</f>
        <v>RFR USD</v>
      </c>
      <c r="D4886" t="str">
        <f t="shared" ca="1" si="381"/>
        <v>RFR USD</v>
      </c>
      <c r="E4886" t="str">
        <f t="shared" ca="1" si="382"/>
        <v>RFR EUR</v>
      </c>
      <c r="F4886" t="str">
        <f t="shared" ca="1" si="383"/>
        <v>RFR GBP</v>
      </c>
      <c r="J4886" s="1"/>
      <c r="N4886" s="1"/>
      <c r="R4886" s="1"/>
      <c r="V4886" s="1"/>
      <c r="AB4886" s="1"/>
      <c r="AF4886" s="1"/>
      <c r="AJ4886" s="1"/>
      <c r="AN4886" s="1"/>
      <c r="AS4886" s="1"/>
      <c r="AX4886" s="1"/>
    </row>
    <row r="4887" spans="1:50" x14ac:dyDescent="0.3">
      <c r="A4887" s="19">
        <f t="shared" si="384"/>
        <v>52756</v>
      </c>
      <c r="B4887">
        <f t="shared" ca="1" si="380"/>
        <v>-18.344444444444445</v>
      </c>
      <c r="C4887" t="str">
        <f ca="1">IF(currency="USD",'Future et co'!D4887,IF(currency="EUR",'Future et co'!E4887,IF(currency="GBP",'Future et co'!F4887,FALSE)))</f>
        <v>RFR USD</v>
      </c>
      <c r="D4887" t="str">
        <f t="shared" ca="1" si="381"/>
        <v>RFR USD</v>
      </c>
      <c r="E4887" t="str">
        <f t="shared" ca="1" si="382"/>
        <v>RFR EUR</v>
      </c>
      <c r="F4887" t="str">
        <f t="shared" ca="1" si="383"/>
        <v>RFR GBP</v>
      </c>
      <c r="J4887" s="1"/>
      <c r="N4887" s="1"/>
      <c r="R4887" s="1"/>
      <c r="V4887" s="1"/>
      <c r="AB4887" s="1"/>
      <c r="AF4887" s="1"/>
      <c r="AJ4887" s="1"/>
      <c r="AN4887" s="1"/>
      <c r="AS4887" s="1"/>
      <c r="AX4887" s="1"/>
    </row>
    <row r="4888" spans="1:50" x14ac:dyDescent="0.3">
      <c r="A4888" s="19">
        <f t="shared" si="384"/>
        <v>52757</v>
      </c>
      <c r="B4888">
        <f t="shared" ca="1" si="380"/>
        <v>-18.347222222222221</v>
      </c>
      <c r="C4888" t="str">
        <f ca="1">IF(currency="USD",'Future et co'!D4888,IF(currency="EUR",'Future et co'!E4888,IF(currency="GBP",'Future et co'!F4888,FALSE)))</f>
        <v>RFR USD</v>
      </c>
      <c r="D4888" t="str">
        <f t="shared" ca="1" si="381"/>
        <v>RFR USD</v>
      </c>
      <c r="E4888" t="str">
        <f t="shared" ca="1" si="382"/>
        <v>RFR EUR</v>
      </c>
      <c r="F4888" t="str">
        <f t="shared" ca="1" si="383"/>
        <v>RFR GBP</v>
      </c>
      <c r="J4888" s="1"/>
      <c r="N4888" s="1"/>
      <c r="R4888" s="1"/>
      <c r="V4888" s="1"/>
      <c r="AB4888" s="1"/>
      <c r="AF4888" s="1"/>
      <c r="AJ4888" s="1"/>
      <c r="AN4888" s="1"/>
      <c r="AS4888" s="1"/>
      <c r="AX4888" s="1"/>
    </row>
    <row r="4889" spans="1:50" x14ac:dyDescent="0.3">
      <c r="A4889" s="19">
        <f t="shared" si="384"/>
        <v>52758</v>
      </c>
      <c r="B4889">
        <f t="shared" ca="1" si="380"/>
        <v>-18.350000000000001</v>
      </c>
      <c r="C4889" t="str">
        <f ca="1">IF(currency="USD",'Future et co'!D4889,IF(currency="EUR",'Future et co'!E4889,IF(currency="GBP",'Future et co'!F4889,FALSE)))</f>
        <v>RFR USD</v>
      </c>
      <c r="D4889" t="str">
        <f t="shared" ca="1" si="381"/>
        <v>RFR USD</v>
      </c>
      <c r="E4889" t="str">
        <f t="shared" ca="1" si="382"/>
        <v>RFR EUR</v>
      </c>
      <c r="F4889" t="str">
        <f t="shared" ca="1" si="383"/>
        <v>RFR GBP</v>
      </c>
      <c r="J4889" s="1"/>
      <c r="N4889" s="1"/>
      <c r="R4889" s="1"/>
      <c r="V4889" s="1"/>
      <c r="AB4889" s="1"/>
      <c r="AF4889" s="1"/>
      <c r="AJ4889" s="1"/>
      <c r="AN4889" s="1"/>
      <c r="AS4889" s="1"/>
      <c r="AX4889" s="1"/>
    </row>
    <row r="4890" spans="1:50" x14ac:dyDescent="0.3">
      <c r="A4890" s="19">
        <f t="shared" si="384"/>
        <v>52761</v>
      </c>
      <c r="B4890">
        <f t="shared" ca="1" si="380"/>
        <v>-18.358333333333334</v>
      </c>
      <c r="C4890" t="str">
        <f ca="1">IF(currency="USD",'Future et co'!D4890,IF(currency="EUR",'Future et co'!E4890,IF(currency="GBP",'Future et co'!F4890,FALSE)))</f>
        <v>RFR USD</v>
      </c>
      <c r="D4890" t="str">
        <f t="shared" ca="1" si="381"/>
        <v>RFR USD</v>
      </c>
      <c r="E4890" t="str">
        <f t="shared" ca="1" si="382"/>
        <v>RFR EUR</v>
      </c>
      <c r="F4890" t="str">
        <f t="shared" ca="1" si="383"/>
        <v>RFR GBP</v>
      </c>
      <c r="J4890" s="1"/>
      <c r="N4890" s="1"/>
      <c r="R4890" s="1"/>
      <c r="V4890" s="1"/>
      <c r="AB4890" s="1"/>
      <c r="AF4890" s="1"/>
      <c r="AJ4890" s="1"/>
      <c r="AN4890" s="1"/>
      <c r="AS4890" s="1"/>
      <c r="AX4890" s="1"/>
    </row>
    <row r="4891" spans="1:50" x14ac:dyDescent="0.3">
      <c r="A4891" s="19">
        <f t="shared" si="384"/>
        <v>52762</v>
      </c>
      <c r="B4891">
        <f t="shared" ca="1" si="380"/>
        <v>-18.361111111111111</v>
      </c>
      <c r="C4891" t="str">
        <f ca="1">IF(currency="USD",'Future et co'!D4891,IF(currency="EUR",'Future et co'!E4891,IF(currency="GBP",'Future et co'!F4891,FALSE)))</f>
        <v>RFR USD</v>
      </c>
      <c r="D4891" t="str">
        <f t="shared" ca="1" si="381"/>
        <v>RFR USD</v>
      </c>
      <c r="E4891" t="str">
        <f t="shared" ca="1" si="382"/>
        <v>RFR EUR</v>
      </c>
      <c r="F4891" t="str">
        <f t="shared" ca="1" si="383"/>
        <v>RFR GBP</v>
      </c>
      <c r="J4891" s="1"/>
      <c r="N4891" s="1"/>
      <c r="R4891" s="1"/>
      <c r="V4891" s="1"/>
      <c r="AB4891" s="1"/>
      <c r="AF4891" s="1"/>
      <c r="AJ4891" s="1"/>
      <c r="AN4891" s="1"/>
      <c r="AS4891" s="1"/>
      <c r="AX4891" s="1"/>
    </row>
    <row r="4892" spans="1:50" x14ac:dyDescent="0.3">
      <c r="A4892" s="19">
        <f t="shared" si="384"/>
        <v>52763</v>
      </c>
      <c r="B4892">
        <f t="shared" ca="1" si="380"/>
        <v>-18.363888888888887</v>
      </c>
      <c r="C4892" t="str">
        <f ca="1">IF(currency="USD",'Future et co'!D4892,IF(currency="EUR",'Future et co'!E4892,IF(currency="GBP",'Future et co'!F4892,FALSE)))</f>
        <v>RFR USD</v>
      </c>
      <c r="D4892" t="str">
        <f t="shared" ca="1" si="381"/>
        <v>RFR USD</v>
      </c>
      <c r="E4892" t="str">
        <f t="shared" ca="1" si="382"/>
        <v>RFR EUR</v>
      </c>
      <c r="F4892" t="str">
        <f t="shared" ca="1" si="383"/>
        <v>RFR GBP</v>
      </c>
      <c r="J4892" s="1"/>
      <c r="N4892" s="1"/>
      <c r="R4892" s="1"/>
      <c r="V4892" s="1"/>
      <c r="AB4892" s="1"/>
      <c r="AF4892" s="1"/>
      <c r="AJ4892" s="1"/>
      <c r="AN4892" s="1"/>
      <c r="AS4892" s="1"/>
      <c r="AX4892" s="1"/>
    </row>
    <row r="4893" spans="1:50" x14ac:dyDescent="0.3">
      <c r="A4893" s="19">
        <f t="shared" si="384"/>
        <v>52764</v>
      </c>
      <c r="B4893">
        <f t="shared" ca="1" si="380"/>
        <v>-18.366666666666667</v>
      </c>
      <c r="C4893" t="str">
        <f ca="1">IF(currency="USD",'Future et co'!D4893,IF(currency="EUR",'Future et co'!E4893,IF(currency="GBP",'Future et co'!F4893,FALSE)))</f>
        <v>RFR USD</v>
      </c>
      <c r="D4893" t="str">
        <f t="shared" ca="1" si="381"/>
        <v>RFR USD</v>
      </c>
      <c r="E4893" t="str">
        <f t="shared" ca="1" si="382"/>
        <v>RFR EUR</v>
      </c>
      <c r="F4893" t="str">
        <f t="shared" ca="1" si="383"/>
        <v>RFR GBP</v>
      </c>
      <c r="J4893" s="1"/>
      <c r="N4893" s="1"/>
      <c r="R4893" s="1"/>
      <c r="V4893" s="1"/>
      <c r="AB4893" s="1"/>
      <c r="AF4893" s="1"/>
      <c r="AJ4893" s="1"/>
      <c r="AN4893" s="1"/>
      <c r="AS4893" s="1"/>
      <c r="AX4893" s="1"/>
    </row>
    <row r="4894" spans="1:50" x14ac:dyDescent="0.3">
      <c r="A4894" s="19">
        <f t="shared" si="384"/>
        <v>52765</v>
      </c>
      <c r="B4894">
        <f t="shared" ca="1" si="380"/>
        <v>-18.369444444444444</v>
      </c>
      <c r="C4894" t="str">
        <f ca="1">IF(currency="USD",'Future et co'!D4894,IF(currency="EUR",'Future et co'!E4894,IF(currency="GBP",'Future et co'!F4894,FALSE)))</f>
        <v>RFR USD</v>
      </c>
      <c r="D4894" t="str">
        <f t="shared" ca="1" si="381"/>
        <v>RFR USD</v>
      </c>
      <c r="E4894" t="str">
        <f t="shared" ca="1" si="382"/>
        <v>RFR EUR</v>
      </c>
      <c r="F4894" t="str">
        <f t="shared" ca="1" si="383"/>
        <v>RFR GBP</v>
      </c>
      <c r="J4894" s="1"/>
      <c r="N4894" s="1"/>
      <c r="R4894" s="1"/>
      <c r="V4894" s="1"/>
      <c r="AB4894" s="1"/>
      <c r="AF4894" s="1"/>
      <c r="AJ4894" s="1"/>
      <c r="AN4894" s="1"/>
      <c r="AS4894" s="1"/>
      <c r="AX4894" s="1"/>
    </row>
    <row r="4895" spans="1:50" x14ac:dyDescent="0.3">
      <c r="A4895" s="19">
        <f t="shared" si="384"/>
        <v>52768</v>
      </c>
      <c r="B4895">
        <f t="shared" ca="1" si="380"/>
        <v>-18.377777777777776</v>
      </c>
      <c r="C4895" t="str">
        <f ca="1">IF(currency="USD",'Future et co'!D4895,IF(currency="EUR",'Future et co'!E4895,IF(currency="GBP",'Future et co'!F4895,FALSE)))</f>
        <v>RFR USD</v>
      </c>
      <c r="D4895" t="str">
        <f t="shared" ca="1" si="381"/>
        <v>RFR USD</v>
      </c>
      <c r="E4895" t="str">
        <f t="shared" ca="1" si="382"/>
        <v>RFR EUR</v>
      </c>
      <c r="F4895" t="str">
        <f t="shared" ca="1" si="383"/>
        <v>RFR GBP</v>
      </c>
      <c r="J4895" s="1"/>
      <c r="N4895" s="1"/>
      <c r="R4895" s="1"/>
      <c r="V4895" s="1"/>
      <c r="AB4895" s="1"/>
      <c r="AF4895" s="1"/>
      <c r="AJ4895" s="1"/>
      <c r="AN4895" s="1"/>
      <c r="AS4895" s="1"/>
      <c r="AX4895" s="1"/>
    </row>
    <row r="4896" spans="1:50" x14ac:dyDescent="0.3">
      <c r="A4896" s="19">
        <f t="shared" si="384"/>
        <v>52769</v>
      </c>
      <c r="B4896">
        <f t="shared" ca="1" si="380"/>
        <v>-18.380555555555556</v>
      </c>
      <c r="C4896" t="str">
        <f ca="1">IF(currency="USD",'Future et co'!D4896,IF(currency="EUR",'Future et co'!E4896,IF(currency="GBP",'Future et co'!F4896,FALSE)))</f>
        <v>RFR USD</v>
      </c>
      <c r="D4896" t="str">
        <f t="shared" ca="1" si="381"/>
        <v>RFR USD</v>
      </c>
      <c r="E4896" t="str">
        <f t="shared" ca="1" si="382"/>
        <v>RFR EUR</v>
      </c>
      <c r="F4896" t="str">
        <f t="shared" ca="1" si="383"/>
        <v>RFR GBP</v>
      </c>
      <c r="J4896" s="1"/>
      <c r="N4896" s="1"/>
      <c r="R4896" s="1"/>
      <c r="V4896" s="1"/>
      <c r="AB4896" s="1"/>
      <c r="AF4896" s="1"/>
      <c r="AJ4896" s="1"/>
      <c r="AN4896" s="1"/>
      <c r="AS4896" s="1"/>
      <c r="AX4896" s="1"/>
    </row>
    <row r="4897" spans="1:50" x14ac:dyDescent="0.3">
      <c r="A4897" s="19">
        <f t="shared" si="384"/>
        <v>52770</v>
      </c>
      <c r="B4897">
        <f t="shared" ca="1" si="380"/>
        <v>-18.383333333333333</v>
      </c>
      <c r="C4897" t="str">
        <f ca="1">IF(currency="USD",'Future et co'!D4897,IF(currency="EUR",'Future et co'!E4897,IF(currency="GBP",'Future et co'!F4897,FALSE)))</f>
        <v>RFR USD</v>
      </c>
      <c r="D4897" t="str">
        <f t="shared" ca="1" si="381"/>
        <v>RFR USD</v>
      </c>
      <c r="E4897" t="str">
        <f t="shared" ca="1" si="382"/>
        <v>RFR EUR</v>
      </c>
      <c r="F4897" t="str">
        <f t="shared" ca="1" si="383"/>
        <v>RFR GBP</v>
      </c>
      <c r="J4897" s="1"/>
      <c r="N4897" s="1"/>
      <c r="R4897" s="1"/>
      <c r="V4897" s="1"/>
      <c r="AB4897" s="1"/>
      <c r="AF4897" s="1"/>
      <c r="AJ4897" s="1"/>
      <c r="AN4897" s="1"/>
      <c r="AS4897" s="1"/>
      <c r="AX4897" s="1"/>
    </row>
    <row r="4898" spans="1:50" x14ac:dyDescent="0.3">
      <c r="A4898" s="19">
        <f t="shared" si="384"/>
        <v>52771</v>
      </c>
      <c r="B4898">
        <f t="shared" ca="1" si="380"/>
        <v>-18.386111111111113</v>
      </c>
      <c r="C4898" t="str">
        <f ca="1">IF(currency="USD",'Future et co'!D4898,IF(currency="EUR",'Future et co'!E4898,IF(currency="GBP",'Future et co'!F4898,FALSE)))</f>
        <v>RFR USD</v>
      </c>
      <c r="D4898" t="str">
        <f t="shared" ca="1" si="381"/>
        <v>RFR USD</v>
      </c>
      <c r="E4898" t="str">
        <f t="shared" ca="1" si="382"/>
        <v>RFR EUR</v>
      </c>
      <c r="F4898" t="str">
        <f t="shared" ca="1" si="383"/>
        <v>RFR GBP</v>
      </c>
      <c r="J4898" s="1"/>
      <c r="N4898" s="1"/>
      <c r="R4898" s="1"/>
      <c r="V4898" s="1"/>
      <c r="AB4898" s="1"/>
      <c r="AF4898" s="1"/>
      <c r="AJ4898" s="1"/>
      <c r="AN4898" s="1"/>
      <c r="AS4898" s="1"/>
      <c r="AX4898" s="1"/>
    </row>
    <row r="4899" spans="1:50" x14ac:dyDescent="0.3">
      <c r="A4899" s="19">
        <f t="shared" si="384"/>
        <v>52772</v>
      </c>
      <c r="B4899">
        <f t="shared" ca="1" si="380"/>
        <v>-18.388888888888889</v>
      </c>
      <c r="C4899" t="str">
        <f ca="1">IF(currency="USD",'Future et co'!D4899,IF(currency="EUR",'Future et co'!E4899,IF(currency="GBP",'Future et co'!F4899,FALSE)))</f>
        <v>RFR USD</v>
      </c>
      <c r="D4899" t="str">
        <f t="shared" ca="1" si="381"/>
        <v>RFR USD</v>
      </c>
      <c r="E4899" t="str">
        <f t="shared" ca="1" si="382"/>
        <v>RFR EUR</v>
      </c>
      <c r="F4899" t="str">
        <f t="shared" ca="1" si="383"/>
        <v>RFR GBP</v>
      </c>
      <c r="J4899" s="1"/>
      <c r="N4899" s="1"/>
      <c r="R4899" s="1"/>
      <c r="V4899" s="1"/>
      <c r="AB4899" s="1"/>
      <c r="AF4899" s="1"/>
      <c r="AJ4899" s="1"/>
      <c r="AN4899" s="1"/>
      <c r="AS4899" s="1"/>
      <c r="AX4899" s="1"/>
    </row>
    <row r="4900" spans="1:50" x14ac:dyDescent="0.3">
      <c r="A4900" s="19">
        <f t="shared" si="384"/>
        <v>52775</v>
      </c>
      <c r="B4900">
        <f t="shared" ca="1" si="380"/>
        <v>-18.397222222222222</v>
      </c>
      <c r="C4900" t="str">
        <f ca="1">IF(currency="USD",'Future et co'!D4900,IF(currency="EUR",'Future et co'!E4900,IF(currency="GBP",'Future et co'!F4900,FALSE)))</f>
        <v>RFR USD</v>
      </c>
      <c r="D4900" t="str">
        <f t="shared" ca="1" si="381"/>
        <v>RFR USD</v>
      </c>
      <c r="E4900" t="str">
        <f t="shared" ca="1" si="382"/>
        <v>RFR EUR</v>
      </c>
      <c r="F4900" t="str">
        <f t="shared" ca="1" si="383"/>
        <v>RFR GBP</v>
      </c>
      <c r="J4900" s="1"/>
      <c r="N4900" s="1"/>
      <c r="R4900" s="1"/>
      <c r="V4900" s="1"/>
      <c r="AB4900" s="1"/>
      <c r="AF4900" s="1"/>
      <c r="AJ4900" s="1"/>
      <c r="AN4900" s="1"/>
      <c r="AS4900" s="1"/>
      <c r="AX4900" s="1"/>
    </row>
    <row r="4901" spans="1:50" x14ac:dyDescent="0.3">
      <c r="A4901" s="19">
        <f t="shared" si="384"/>
        <v>52776</v>
      </c>
      <c r="B4901">
        <f t="shared" ca="1" si="380"/>
        <v>-18.399999999999999</v>
      </c>
      <c r="C4901" t="str">
        <f ca="1">IF(currency="USD",'Future et co'!D4901,IF(currency="EUR",'Future et co'!E4901,IF(currency="GBP",'Future et co'!F4901,FALSE)))</f>
        <v>RFR USD</v>
      </c>
      <c r="D4901" t="str">
        <f t="shared" ca="1" si="381"/>
        <v>RFR USD</v>
      </c>
      <c r="E4901" t="str">
        <f t="shared" ca="1" si="382"/>
        <v>RFR EUR</v>
      </c>
      <c r="F4901" t="str">
        <f t="shared" ca="1" si="383"/>
        <v>RFR GBP</v>
      </c>
      <c r="J4901" s="1"/>
      <c r="N4901" s="1"/>
      <c r="R4901" s="1"/>
      <c r="V4901" s="1"/>
      <c r="AB4901" s="1"/>
      <c r="AF4901" s="1"/>
      <c r="AJ4901" s="1"/>
      <c r="AN4901" s="1"/>
      <c r="AS4901" s="1"/>
      <c r="AX4901" s="1"/>
    </row>
    <row r="4902" spans="1:50" x14ac:dyDescent="0.3">
      <c r="A4902" s="19">
        <f t="shared" si="384"/>
        <v>52777</v>
      </c>
      <c r="B4902">
        <f t="shared" ca="1" si="380"/>
        <v>-18.402777777777779</v>
      </c>
      <c r="C4902" t="str">
        <f ca="1">IF(currency="USD",'Future et co'!D4902,IF(currency="EUR",'Future et co'!E4902,IF(currency="GBP",'Future et co'!F4902,FALSE)))</f>
        <v>RFR USD</v>
      </c>
      <c r="D4902" t="str">
        <f t="shared" ca="1" si="381"/>
        <v>RFR USD</v>
      </c>
      <c r="E4902" t="str">
        <f t="shared" ca="1" si="382"/>
        <v>RFR EUR</v>
      </c>
      <c r="F4902" t="str">
        <f t="shared" ca="1" si="383"/>
        <v>RFR GBP</v>
      </c>
      <c r="J4902" s="1"/>
      <c r="N4902" s="1"/>
      <c r="R4902" s="1"/>
      <c r="V4902" s="1"/>
      <c r="AB4902" s="1"/>
      <c r="AF4902" s="1"/>
      <c r="AJ4902" s="1"/>
      <c r="AN4902" s="1"/>
      <c r="AS4902" s="1"/>
      <c r="AX4902" s="1"/>
    </row>
    <row r="4903" spans="1:50" x14ac:dyDescent="0.3">
      <c r="A4903" s="19">
        <f t="shared" si="384"/>
        <v>52778</v>
      </c>
      <c r="B4903">
        <f t="shared" ca="1" si="380"/>
        <v>-18.405555555555555</v>
      </c>
      <c r="C4903" t="str">
        <f ca="1">IF(currency="USD",'Future et co'!D4903,IF(currency="EUR",'Future et co'!E4903,IF(currency="GBP",'Future et co'!F4903,FALSE)))</f>
        <v>RFR USD</v>
      </c>
      <c r="D4903" t="str">
        <f t="shared" ca="1" si="381"/>
        <v>RFR USD</v>
      </c>
      <c r="E4903" t="str">
        <f t="shared" ca="1" si="382"/>
        <v>RFR EUR</v>
      </c>
      <c r="F4903" t="str">
        <f t="shared" ca="1" si="383"/>
        <v>RFR GBP</v>
      </c>
      <c r="J4903" s="1"/>
      <c r="N4903" s="1"/>
      <c r="R4903" s="1"/>
      <c r="V4903" s="1"/>
      <c r="AB4903" s="1"/>
      <c r="AF4903" s="1"/>
      <c r="AJ4903" s="1"/>
      <c r="AN4903" s="1"/>
      <c r="AS4903" s="1"/>
      <c r="AX4903" s="1"/>
    </row>
    <row r="4904" spans="1:50" x14ac:dyDescent="0.3">
      <c r="A4904" s="19">
        <f t="shared" si="384"/>
        <v>52779</v>
      </c>
      <c r="B4904">
        <f t="shared" ca="1" si="380"/>
        <v>-18.408333333333335</v>
      </c>
      <c r="C4904" t="str">
        <f ca="1">IF(currency="USD",'Future et co'!D4904,IF(currency="EUR",'Future et co'!E4904,IF(currency="GBP",'Future et co'!F4904,FALSE)))</f>
        <v>RFR USD</v>
      </c>
      <c r="D4904" t="str">
        <f t="shared" ca="1" si="381"/>
        <v>RFR USD</v>
      </c>
      <c r="E4904" t="str">
        <f t="shared" ca="1" si="382"/>
        <v>RFR EUR</v>
      </c>
      <c r="F4904" t="str">
        <f t="shared" ca="1" si="383"/>
        <v>RFR GBP</v>
      </c>
      <c r="J4904" s="1"/>
      <c r="N4904" s="1"/>
      <c r="R4904" s="1"/>
      <c r="V4904" s="1"/>
      <c r="AB4904" s="1"/>
      <c r="AF4904" s="1"/>
      <c r="AJ4904" s="1"/>
      <c r="AN4904" s="1"/>
      <c r="AS4904" s="1"/>
      <c r="AX4904" s="1"/>
    </row>
    <row r="4905" spans="1:50" x14ac:dyDescent="0.3">
      <c r="A4905" s="19">
        <f t="shared" si="384"/>
        <v>52782</v>
      </c>
      <c r="B4905">
        <f t="shared" ca="1" si="380"/>
        <v>-18.416666666666668</v>
      </c>
      <c r="C4905" t="str">
        <f ca="1">IF(currency="USD",'Future et co'!D4905,IF(currency="EUR",'Future et co'!E4905,IF(currency="GBP",'Future et co'!F4905,FALSE)))</f>
        <v>RFR USD</v>
      </c>
      <c r="D4905" t="str">
        <f t="shared" ca="1" si="381"/>
        <v>RFR USD</v>
      </c>
      <c r="E4905" t="str">
        <f t="shared" ca="1" si="382"/>
        <v>RFR EUR</v>
      </c>
      <c r="F4905" t="str">
        <f t="shared" ca="1" si="383"/>
        <v>RFR GBP</v>
      </c>
      <c r="J4905" s="1"/>
      <c r="N4905" s="1"/>
      <c r="R4905" s="1"/>
      <c r="V4905" s="1"/>
      <c r="AB4905" s="1"/>
      <c r="AF4905" s="1"/>
      <c r="AJ4905" s="1"/>
      <c r="AN4905" s="1"/>
      <c r="AS4905" s="1"/>
      <c r="AX4905" s="1"/>
    </row>
    <row r="4906" spans="1:50" x14ac:dyDescent="0.3">
      <c r="A4906" s="19">
        <f t="shared" si="384"/>
        <v>52783</v>
      </c>
      <c r="B4906">
        <f t="shared" ca="1" si="380"/>
        <v>-18.419444444444444</v>
      </c>
      <c r="C4906" t="str">
        <f ca="1">IF(currency="USD",'Future et co'!D4906,IF(currency="EUR",'Future et co'!E4906,IF(currency="GBP",'Future et co'!F4906,FALSE)))</f>
        <v>RFR USD</v>
      </c>
      <c r="D4906" t="str">
        <f t="shared" ca="1" si="381"/>
        <v>RFR USD</v>
      </c>
      <c r="E4906" t="str">
        <f t="shared" ca="1" si="382"/>
        <v>RFR EUR</v>
      </c>
      <c r="F4906" t="str">
        <f t="shared" ca="1" si="383"/>
        <v>RFR GBP</v>
      </c>
      <c r="J4906" s="1"/>
      <c r="N4906" s="1"/>
      <c r="R4906" s="1"/>
      <c r="V4906" s="1"/>
      <c r="AB4906" s="1"/>
      <c r="AF4906" s="1"/>
      <c r="AJ4906" s="1"/>
      <c r="AN4906" s="1"/>
      <c r="AS4906" s="1"/>
      <c r="AX4906" s="1"/>
    </row>
    <row r="4907" spans="1:50" x14ac:dyDescent="0.3">
      <c r="A4907" s="19">
        <f t="shared" si="384"/>
        <v>52784</v>
      </c>
      <c r="B4907">
        <f t="shared" ca="1" si="380"/>
        <v>-18.422222222222221</v>
      </c>
      <c r="C4907" t="str">
        <f ca="1">IF(currency="USD",'Future et co'!D4907,IF(currency="EUR",'Future et co'!E4907,IF(currency="GBP",'Future et co'!F4907,FALSE)))</f>
        <v>RFR USD</v>
      </c>
      <c r="D4907" t="str">
        <f t="shared" ca="1" si="381"/>
        <v>RFR USD</v>
      </c>
      <c r="E4907" t="str">
        <f t="shared" ca="1" si="382"/>
        <v>RFR EUR</v>
      </c>
      <c r="F4907" t="str">
        <f t="shared" ca="1" si="383"/>
        <v>RFR GBP</v>
      </c>
      <c r="J4907" s="1"/>
      <c r="N4907" s="1"/>
      <c r="R4907" s="1"/>
      <c r="V4907" s="1"/>
      <c r="AB4907" s="1"/>
      <c r="AF4907" s="1"/>
      <c r="AJ4907" s="1"/>
      <c r="AN4907" s="1"/>
      <c r="AS4907" s="1"/>
      <c r="AX4907" s="1"/>
    </row>
    <row r="4908" spans="1:50" x14ac:dyDescent="0.3">
      <c r="A4908" s="19">
        <f t="shared" si="384"/>
        <v>52785</v>
      </c>
      <c r="B4908">
        <f t="shared" ca="1" si="380"/>
        <v>-18.425000000000001</v>
      </c>
      <c r="C4908" t="str">
        <f ca="1">IF(currency="USD",'Future et co'!D4908,IF(currency="EUR",'Future et co'!E4908,IF(currency="GBP",'Future et co'!F4908,FALSE)))</f>
        <v>RFR USD</v>
      </c>
      <c r="D4908" t="str">
        <f t="shared" ca="1" si="381"/>
        <v>RFR USD</v>
      </c>
      <c r="E4908" t="str">
        <f t="shared" ca="1" si="382"/>
        <v>RFR EUR</v>
      </c>
      <c r="F4908" t="str">
        <f t="shared" ca="1" si="383"/>
        <v>RFR GBP</v>
      </c>
      <c r="J4908" s="1"/>
      <c r="N4908" s="1"/>
      <c r="R4908" s="1"/>
      <c r="V4908" s="1"/>
      <c r="AB4908" s="1"/>
      <c r="AF4908" s="1"/>
      <c r="AJ4908" s="1"/>
      <c r="AN4908" s="1"/>
      <c r="AS4908" s="1"/>
      <c r="AX4908" s="1"/>
    </row>
    <row r="4909" spans="1:50" x14ac:dyDescent="0.3">
      <c r="A4909" s="19">
        <f t="shared" si="384"/>
        <v>52786</v>
      </c>
      <c r="B4909">
        <f t="shared" ca="1" si="380"/>
        <v>-18.427777777777777</v>
      </c>
      <c r="C4909" t="str">
        <f ca="1">IF(currency="USD",'Future et co'!D4909,IF(currency="EUR",'Future et co'!E4909,IF(currency="GBP",'Future et co'!F4909,FALSE)))</f>
        <v>RFR USD</v>
      </c>
      <c r="D4909" t="str">
        <f t="shared" ca="1" si="381"/>
        <v>RFR USD</v>
      </c>
      <c r="E4909" t="str">
        <f t="shared" ca="1" si="382"/>
        <v>RFR EUR</v>
      </c>
      <c r="F4909" t="str">
        <f t="shared" ca="1" si="383"/>
        <v>RFR GBP</v>
      </c>
      <c r="J4909" s="1"/>
      <c r="N4909" s="1"/>
      <c r="R4909" s="1"/>
      <c r="V4909" s="1"/>
      <c r="AB4909" s="1"/>
      <c r="AF4909" s="1"/>
      <c r="AJ4909" s="1"/>
      <c r="AN4909" s="1"/>
      <c r="AS4909" s="1"/>
      <c r="AX4909" s="1"/>
    </row>
    <row r="4910" spans="1:50" x14ac:dyDescent="0.3">
      <c r="A4910" s="19">
        <f t="shared" si="384"/>
        <v>52789</v>
      </c>
      <c r="B4910">
        <f t="shared" ca="1" si="380"/>
        <v>-18.43611111111111</v>
      </c>
      <c r="C4910" t="str">
        <f ca="1">IF(currency="USD",'Future et co'!D4910,IF(currency="EUR",'Future et co'!E4910,IF(currency="GBP",'Future et co'!F4910,FALSE)))</f>
        <v>RFR USD</v>
      </c>
      <c r="D4910" t="str">
        <f t="shared" ca="1" si="381"/>
        <v>RFR USD</v>
      </c>
      <c r="E4910" t="str">
        <f t="shared" ca="1" si="382"/>
        <v>RFR EUR</v>
      </c>
      <c r="F4910" t="str">
        <f t="shared" ca="1" si="383"/>
        <v>RFR GBP</v>
      </c>
      <c r="J4910" s="1"/>
      <c r="N4910" s="1"/>
      <c r="R4910" s="1"/>
      <c r="V4910" s="1"/>
      <c r="AB4910" s="1"/>
      <c r="AF4910" s="1"/>
      <c r="AJ4910" s="1"/>
      <c r="AN4910" s="1"/>
      <c r="AS4910" s="1"/>
      <c r="AX4910" s="1"/>
    </row>
    <row r="4911" spans="1:50" x14ac:dyDescent="0.3">
      <c r="A4911" s="19">
        <f t="shared" si="384"/>
        <v>52790</v>
      </c>
      <c r="B4911">
        <f t="shared" ca="1" si="380"/>
        <v>-18.43888888888889</v>
      </c>
      <c r="C4911" t="str">
        <f ca="1">IF(currency="USD",'Future et co'!D4911,IF(currency="EUR",'Future et co'!E4911,IF(currency="GBP",'Future et co'!F4911,FALSE)))</f>
        <v>RFR USD</v>
      </c>
      <c r="D4911" t="str">
        <f t="shared" ca="1" si="381"/>
        <v>RFR USD</v>
      </c>
      <c r="E4911" t="str">
        <f t="shared" ca="1" si="382"/>
        <v>RFR EUR</v>
      </c>
      <c r="F4911" t="str">
        <f t="shared" ca="1" si="383"/>
        <v>RFR GBP</v>
      </c>
      <c r="J4911" s="1"/>
      <c r="N4911" s="1"/>
      <c r="R4911" s="1"/>
      <c r="V4911" s="1"/>
      <c r="AB4911" s="1"/>
      <c r="AF4911" s="1"/>
      <c r="AJ4911" s="1"/>
      <c r="AN4911" s="1"/>
      <c r="AS4911" s="1"/>
      <c r="AX4911" s="1"/>
    </row>
    <row r="4912" spans="1:50" x14ac:dyDescent="0.3">
      <c r="A4912" s="19">
        <f t="shared" si="384"/>
        <v>52791</v>
      </c>
      <c r="B4912">
        <f t="shared" ca="1" si="380"/>
        <v>-18.441666666666666</v>
      </c>
      <c r="C4912" t="str">
        <f ca="1">IF(currency="USD",'Future et co'!D4912,IF(currency="EUR",'Future et co'!E4912,IF(currency="GBP",'Future et co'!F4912,FALSE)))</f>
        <v>RFR USD</v>
      </c>
      <c r="D4912" t="str">
        <f t="shared" ca="1" si="381"/>
        <v>RFR USD</v>
      </c>
      <c r="E4912" t="str">
        <f t="shared" ca="1" si="382"/>
        <v>RFR EUR</v>
      </c>
      <c r="F4912" t="str">
        <f t="shared" ca="1" si="383"/>
        <v>RFR GBP</v>
      </c>
      <c r="J4912" s="1"/>
      <c r="N4912" s="1"/>
      <c r="R4912" s="1"/>
      <c r="V4912" s="1"/>
      <c r="AB4912" s="1"/>
      <c r="AF4912" s="1"/>
      <c r="AJ4912" s="1"/>
      <c r="AN4912" s="1"/>
      <c r="AS4912" s="1"/>
      <c r="AX4912" s="1"/>
    </row>
    <row r="4913" spans="1:50" x14ac:dyDescent="0.3">
      <c r="A4913" s="19">
        <f t="shared" si="384"/>
        <v>52792</v>
      </c>
      <c r="B4913">
        <f t="shared" ca="1" si="380"/>
        <v>-18.444444444444443</v>
      </c>
      <c r="C4913" t="str">
        <f ca="1">IF(currency="USD",'Future et co'!D4913,IF(currency="EUR",'Future et co'!E4913,IF(currency="GBP",'Future et co'!F4913,FALSE)))</f>
        <v>RFR USD</v>
      </c>
      <c r="D4913" t="str">
        <f t="shared" ca="1" si="381"/>
        <v>RFR USD</v>
      </c>
      <c r="E4913" t="str">
        <f t="shared" ca="1" si="382"/>
        <v>RFR EUR</v>
      </c>
      <c r="F4913" t="str">
        <f t="shared" ca="1" si="383"/>
        <v>RFR GBP</v>
      </c>
      <c r="J4913" s="1"/>
      <c r="N4913" s="1"/>
      <c r="R4913" s="1"/>
      <c r="V4913" s="1"/>
      <c r="AB4913" s="1"/>
      <c r="AF4913" s="1"/>
      <c r="AJ4913" s="1"/>
      <c r="AN4913" s="1"/>
      <c r="AS4913" s="1"/>
      <c r="AX4913" s="1"/>
    </row>
    <row r="4914" spans="1:50" x14ac:dyDescent="0.3">
      <c r="A4914" s="19">
        <f t="shared" si="384"/>
        <v>52793</v>
      </c>
      <c r="B4914">
        <f t="shared" ca="1" si="380"/>
        <v>-18.447222222222223</v>
      </c>
      <c r="C4914" t="str">
        <f ca="1">IF(currency="USD",'Future et co'!D4914,IF(currency="EUR",'Future et co'!E4914,IF(currency="GBP",'Future et co'!F4914,FALSE)))</f>
        <v>RFR USD</v>
      </c>
      <c r="D4914" t="str">
        <f t="shared" ca="1" si="381"/>
        <v>RFR USD</v>
      </c>
      <c r="E4914" t="str">
        <f t="shared" ca="1" si="382"/>
        <v>RFR EUR</v>
      </c>
      <c r="F4914" t="str">
        <f t="shared" ca="1" si="383"/>
        <v>RFR GBP</v>
      </c>
      <c r="J4914" s="1"/>
      <c r="N4914" s="1"/>
      <c r="R4914" s="1"/>
      <c r="V4914" s="1"/>
      <c r="AB4914" s="1"/>
      <c r="AF4914" s="1"/>
      <c r="AJ4914" s="1"/>
      <c r="AN4914" s="1"/>
      <c r="AS4914" s="1"/>
      <c r="AX4914" s="1"/>
    </row>
    <row r="4915" spans="1:50" x14ac:dyDescent="0.3">
      <c r="A4915" s="19">
        <f t="shared" si="384"/>
        <v>52796</v>
      </c>
      <c r="B4915">
        <f t="shared" ca="1" si="380"/>
        <v>-18.455555555555556</v>
      </c>
      <c r="C4915" t="str">
        <f ca="1">IF(currency="USD",'Future et co'!D4915,IF(currency="EUR",'Future et co'!E4915,IF(currency="GBP",'Future et co'!F4915,FALSE)))</f>
        <v>RFR USD</v>
      </c>
      <c r="D4915" t="str">
        <f t="shared" ca="1" si="381"/>
        <v>RFR USD</v>
      </c>
      <c r="E4915" t="str">
        <f t="shared" ca="1" si="382"/>
        <v>RFR EUR</v>
      </c>
      <c r="F4915" t="str">
        <f t="shared" ca="1" si="383"/>
        <v>RFR GBP</v>
      </c>
      <c r="J4915" s="1"/>
      <c r="N4915" s="1"/>
      <c r="R4915" s="1"/>
      <c r="V4915" s="1"/>
      <c r="AB4915" s="1"/>
      <c r="AF4915" s="1"/>
      <c r="AJ4915" s="1"/>
      <c r="AN4915" s="1"/>
      <c r="AS4915" s="1"/>
      <c r="AX4915" s="1"/>
    </row>
    <row r="4916" spans="1:50" x14ac:dyDescent="0.3">
      <c r="A4916" s="19">
        <f t="shared" si="384"/>
        <v>52797</v>
      </c>
      <c r="B4916">
        <f t="shared" ca="1" si="380"/>
        <v>-18.458333333333332</v>
      </c>
      <c r="C4916" t="str">
        <f ca="1">IF(currency="USD",'Future et co'!D4916,IF(currency="EUR",'Future et co'!E4916,IF(currency="GBP",'Future et co'!F4916,FALSE)))</f>
        <v>RFR USD</v>
      </c>
      <c r="D4916" t="str">
        <f t="shared" ca="1" si="381"/>
        <v>RFR USD</v>
      </c>
      <c r="E4916" t="str">
        <f t="shared" ca="1" si="382"/>
        <v>RFR EUR</v>
      </c>
      <c r="F4916" t="str">
        <f t="shared" ca="1" si="383"/>
        <v>RFR GBP</v>
      </c>
      <c r="J4916" s="1"/>
      <c r="N4916" s="1"/>
      <c r="R4916" s="1"/>
      <c r="V4916" s="1"/>
      <c r="AB4916" s="1"/>
      <c r="AF4916" s="1"/>
      <c r="AJ4916" s="1"/>
      <c r="AN4916" s="1"/>
      <c r="AS4916" s="1"/>
      <c r="AX4916" s="1"/>
    </row>
    <row r="4917" spans="1:50" x14ac:dyDescent="0.3">
      <c r="A4917" s="19">
        <f t="shared" si="384"/>
        <v>52798</v>
      </c>
      <c r="B4917">
        <f t="shared" ca="1" si="380"/>
        <v>-18.461111111111112</v>
      </c>
      <c r="C4917" t="str">
        <f ca="1">IF(currency="USD",'Future et co'!D4917,IF(currency="EUR",'Future et co'!E4917,IF(currency="GBP",'Future et co'!F4917,FALSE)))</f>
        <v>RFR USD</v>
      </c>
      <c r="D4917" t="str">
        <f t="shared" ca="1" si="381"/>
        <v>RFR USD</v>
      </c>
      <c r="E4917" t="str">
        <f t="shared" ca="1" si="382"/>
        <v>RFR EUR</v>
      </c>
      <c r="F4917" t="str">
        <f t="shared" ca="1" si="383"/>
        <v>RFR GBP</v>
      </c>
      <c r="J4917" s="1"/>
      <c r="N4917" s="1"/>
      <c r="R4917" s="1"/>
      <c r="V4917" s="1"/>
      <c r="AB4917" s="1"/>
      <c r="AF4917" s="1"/>
      <c r="AJ4917" s="1"/>
      <c r="AN4917" s="1"/>
      <c r="AS4917" s="1"/>
      <c r="AX4917" s="1"/>
    </row>
    <row r="4918" spans="1:50" x14ac:dyDescent="0.3">
      <c r="A4918" s="19">
        <f t="shared" si="384"/>
        <v>52799</v>
      </c>
      <c r="B4918">
        <f t="shared" ca="1" si="380"/>
        <v>-18.463888888888889</v>
      </c>
      <c r="C4918" t="str">
        <f ca="1">IF(currency="USD",'Future et co'!D4918,IF(currency="EUR",'Future et co'!E4918,IF(currency="GBP",'Future et co'!F4918,FALSE)))</f>
        <v>RFR USD</v>
      </c>
      <c r="D4918" t="str">
        <f t="shared" ca="1" si="381"/>
        <v>RFR USD</v>
      </c>
      <c r="E4918" t="str">
        <f t="shared" ca="1" si="382"/>
        <v>RFR EUR</v>
      </c>
      <c r="F4918" t="str">
        <f t="shared" ca="1" si="383"/>
        <v>RFR GBP</v>
      </c>
      <c r="J4918" s="1"/>
      <c r="N4918" s="1"/>
      <c r="R4918" s="1"/>
      <c r="V4918" s="1"/>
      <c r="AB4918" s="1"/>
      <c r="AF4918" s="1"/>
      <c r="AJ4918" s="1"/>
      <c r="AN4918" s="1"/>
      <c r="AS4918" s="1"/>
      <c r="AX4918" s="1"/>
    </row>
    <row r="4919" spans="1:50" x14ac:dyDescent="0.3">
      <c r="A4919" s="19">
        <f t="shared" si="384"/>
        <v>52800</v>
      </c>
      <c r="B4919">
        <f t="shared" ca="1" si="380"/>
        <v>-18.466666666666665</v>
      </c>
      <c r="C4919" t="str">
        <f ca="1">IF(currency="USD",'Future et co'!D4919,IF(currency="EUR",'Future et co'!E4919,IF(currency="GBP",'Future et co'!F4919,FALSE)))</f>
        <v>RFR USD</v>
      </c>
      <c r="D4919" t="str">
        <f t="shared" ca="1" si="381"/>
        <v>RFR USD</v>
      </c>
      <c r="E4919" t="str">
        <f t="shared" ca="1" si="382"/>
        <v>RFR EUR</v>
      </c>
      <c r="F4919" t="str">
        <f t="shared" ca="1" si="383"/>
        <v>RFR GBP</v>
      </c>
      <c r="J4919" s="1"/>
      <c r="N4919" s="1"/>
      <c r="R4919" s="1"/>
      <c r="V4919" s="1"/>
      <c r="AB4919" s="1"/>
      <c r="AF4919" s="1"/>
      <c r="AJ4919" s="1"/>
      <c r="AN4919" s="1"/>
      <c r="AS4919" s="1"/>
      <c r="AX4919" s="1"/>
    </row>
    <row r="4920" spans="1:50" x14ac:dyDescent="0.3">
      <c r="A4920" s="19">
        <f t="shared" si="384"/>
        <v>52803</v>
      </c>
      <c r="B4920">
        <f t="shared" ca="1" si="380"/>
        <v>-18.475000000000001</v>
      </c>
      <c r="C4920" t="str">
        <f ca="1">IF(currency="USD",'Future et co'!D4920,IF(currency="EUR",'Future et co'!E4920,IF(currency="GBP",'Future et co'!F4920,FALSE)))</f>
        <v>RFR USD</v>
      </c>
      <c r="D4920" t="str">
        <f t="shared" ca="1" si="381"/>
        <v>RFR USD</v>
      </c>
      <c r="E4920" t="str">
        <f t="shared" ca="1" si="382"/>
        <v>RFR EUR</v>
      </c>
      <c r="F4920" t="str">
        <f t="shared" ca="1" si="383"/>
        <v>RFR GBP</v>
      </c>
      <c r="J4920" s="1"/>
      <c r="N4920" s="1"/>
      <c r="R4920" s="1"/>
      <c r="V4920" s="1"/>
      <c r="AB4920" s="1"/>
      <c r="AF4920" s="1"/>
      <c r="AJ4920" s="1"/>
      <c r="AN4920" s="1"/>
      <c r="AS4920" s="1"/>
      <c r="AX4920" s="1"/>
    </row>
    <row r="4921" spans="1:50" x14ac:dyDescent="0.3">
      <c r="A4921" s="19">
        <f t="shared" si="384"/>
        <v>52804</v>
      </c>
      <c r="B4921">
        <f t="shared" ca="1" si="380"/>
        <v>-18.477777777777778</v>
      </c>
      <c r="C4921" t="str">
        <f ca="1">IF(currency="USD",'Future et co'!D4921,IF(currency="EUR",'Future et co'!E4921,IF(currency="GBP",'Future et co'!F4921,FALSE)))</f>
        <v>RFR USD</v>
      </c>
      <c r="D4921" t="str">
        <f t="shared" ca="1" si="381"/>
        <v>RFR USD</v>
      </c>
      <c r="E4921" t="str">
        <f t="shared" ca="1" si="382"/>
        <v>RFR EUR</v>
      </c>
      <c r="F4921" t="str">
        <f t="shared" ca="1" si="383"/>
        <v>RFR GBP</v>
      </c>
      <c r="J4921" s="1"/>
      <c r="N4921" s="1"/>
      <c r="R4921" s="1"/>
      <c r="V4921" s="1"/>
      <c r="AB4921" s="1"/>
      <c r="AF4921" s="1"/>
      <c r="AJ4921" s="1"/>
      <c r="AN4921" s="1"/>
      <c r="AS4921" s="1"/>
      <c r="AX4921" s="1"/>
    </row>
    <row r="4922" spans="1:50" x14ac:dyDescent="0.3">
      <c r="A4922" s="19">
        <f t="shared" si="384"/>
        <v>52805</v>
      </c>
      <c r="B4922">
        <f t="shared" ca="1" si="380"/>
        <v>-18.480555555555554</v>
      </c>
      <c r="C4922" t="str">
        <f ca="1">IF(currency="USD",'Future et co'!D4922,IF(currency="EUR",'Future et co'!E4922,IF(currency="GBP",'Future et co'!F4922,FALSE)))</f>
        <v>RFR USD</v>
      </c>
      <c r="D4922" t="str">
        <f t="shared" ca="1" si="381"/>
        <v>RFR USD</v>
      </c>
      <c r="E4922" t="str">
        <f t="shared" ca="1" si="382"/>
        <v>RFR EUR</v>
      </c>
      <c r="F4922" t="str">
        <f t="shared" ca="1" si="383"/>
        <v>RFR GBP</v>
      </c>
      <c r="J4922" s="1"/>
      <c r="N4922" s="1"/>
      <c r="R4922" s="1"/>
      <c r="V4922" s="1"/>
      <c r="AB4922" s="1"/>
      <c r="AF4922" s="1"/>
      <c r="AJ4922" s="1"/>
      <c r="AN4922" s="1"/>
      <c r="AS4922" s="1"/>
      <c r="AX4922" s="1"/>
    </row>
    <row r="4923" spans="1:50" x14ac:dyDescent="0.3">
      <c r="A4923" s="19">
        <f t="shared" si="384"/>
        <v>52806</v>
      </c>
      <c r="B4923">
        <f t="shared" ca="1" si="380"/>
        <v>-18.483333333333334</v>
      </c>
      <c r="C4923" t="str">
        <f ca="1">IF(currency="USD",'Future et co'!D4923,IF(currency="EUR",'Future et co'!E4923,IF(currency="GBP",'Future et co'!F4923,FALSE)))</f>
        <v>RFR USD</v>
      </c>
      <c r="D4923" t="str">
        <f t="shared" ca="1" si="381"/>
        <v>RFR USD</v>
      </c>
      <c r="E4923" t="str">
        <f t="shared" ca="1" si="382"/>
        <v>RFR EUR</v>
      </c>
      <c r="F4923" t="str">
        <f t="shared" ca="1" si="383"/>
        <v>RFR GBP</v>
      </c>
      <c r="J4923" s="1"/>
      <c r="N4923" s="1"/>
      <c r="R4923" s="1"/>
      <c r="V4923" s="1"/>
      <c r="AB4923" s="1"/>
      <c r="AF4923" s="1"/>
      <c r="AJ4923" s="1"/>
      <c r="AN4923" s="1"/>
      <c r="AS4923" s="1"/>
      <c r="AX4923" s="1"/>
    </row>
    <row r="4924" spans="1:50" x14ac:dyDescent="0.3">
      <c r="A4924" s="19">
        <f t="shared" si="384"/>
        <v>52807</v>
      </c>
      <c r="B4924">
        <f t="shared" ca="1" si="380"/>
        <v>-18.486111111111111</v>
      </c>
      <c r="C4924" t="str">
        <f ca="1">IF(currency="USD",'Future et co'!D4924,IF(currency="EUR",'Future et co'!E4924,IF(currency="GBP",'Future et co'!F4924,FALSE)))</f>
        <v>RFR USD</v>
      </c>
      <c r="D4924" t="str">
        <f t="shared" ca="1" si="381"/>
        <v>RFR USD</v>
      </c>
      <c r="E4924" t="str">
        <f t="shared" ca="1" si="382"/>
        <v>RFR EUR</v>
      </c>
      <c r="F4924" t="str">
        <f t="shared" ca="1" si="383"/>
        <v>RFR GBP</v>
      </c>
      <c r="J4924" s="1"/>
      <c r="N4924" s="1"/>
      <c r="R4924" s="1"/>
      <c r="V4924" s="1"/>
      <c r="AB4924" s="1"/>
      <c r="AF4924" s="1"/>
      <c r="AJ4924" s="1"/>
      <c r="AN4924" s="1"/>
      <c r="AS4924" s="1"/>
      <c r="AX4924" s="1"/>
    </row>
    <row r="4925" spans="1:50" x14ac:dyDescent="0.3">
      <c r="A4925" s="19">
        <f t="shared" si="384"/>
        <v>52810</v>
      </c>
      <c r="B4925">
        <f t="shared" ca="1" si="380"/>
        <v>-18.494444444444444</v>
      </c>
      <c r="C4925" t="str">
        <f ca="1">IF(currency="USD",'Future et co'!D4925,IF(currency="EUR",'Future et co'!E4925,IF(currency="GBP",'Future et co'!F4925,FALSE)))</f>
        <v>RFR USD</v>
      </c>
      <c r="D4925" t="str">
        <f t="shared" ca="1" si="381"/>
        <v>RFR USD</v>
      </c>
      <c r="E4925" t="str">
        <f t="shared" ca="1" si="382"/>
        <v>RFR EUR</v>
      </c>
      <c r="F4925" t="str">
        <f t="shared" ca="1" si="383"/>
        <v>RFR GBP</v>
      </c>
      <c r="J4925" s="1"/>
      <c r="N4925" s="1"/>
      <c r="R4925" s="1"/>
      <c r="V4925" s="1"/>
      <c r="AB4925" s="1"/>
      <c r="AF4925" s="1"/>
      <c r="AJ4925" s="1"/>
      <c r="AN4925" s="1"/>
      <c r="AS4925" s="1"/>
      <c r="AX4925" s="1"/>
    </row>
    <row r="4926" spans="1:50" x14ac:dyDescent="0.3">
      <c r="A4926" s="19">
        <f t="shared" si="384"/>
        <v>52811</v>
      </c>
      <c r="B4926">
        <f t="shared" ca="1" si="380"/>
        <v>-18.497222222222224</v>
      </c>
      <c r="C4926" t="str">
        <f ca="1">IF(currency="USD",'Future et co'!D4926,IF(currency="EUR",'Future et co'!E4926,IF(currency="GBP",'Future et co'!F4926,FALSE)))</f>
        <v>RFR USD</v>
      </c>
      <c r="D4926" t="str">
        <f t="shared" ca="1" si="381"/>
        <v>RFR USD</v>
      </c>
      <c r="E4926" t="str">
        <f t="shared" ca="1" si="382"/>
        <v>RFR EUR</v>
      </c>
      <c r="F4926" t="str">
        <f t="shared" ca="1" si="383"/>
        <v>RFR GBP</v>
      </c>
      <c r="J4926" s="1"/>
      <c r="N4926" s="1"/>
      <c r="R4926" s="1"/>
      <c r="V4926" s="1"/>
      <c r="AB4926" s="1"/>
      <c r="AF4926" s="1"/>
      <c r="AJ4926" s="1"/>
      <c r="AN4926" s="1"/>
      <c r="AS4926" s="1"/>
      <c r="AX4926" s="1"/>
    </row>
    <row r="4927" spans="1:50" x14ac:dyDescent="0.3">
      <c r="A4927" s="19">
        <f t="shared" si="384"/>
        <v>52812</v>
      </c>
      <c r="B4927">
        <f t="shared" ca="1" si="380"/>
        <v>-18.5</v>
      </c>
      <c r="C4927" t="str">
        <f ca="1">IF(currency="USD",'Future et co'!D4927,IF(currency="EUR",'Future et co'!E4927,IF(currency="GBP",'Future et co'!F4927,FALSE)))</f>
        <v>RFR USD</v>
      </c>
      <c r="D4927" t="str">
        <f t="shared" ca="1" si="381"/>
        <v>RFR USD</v>
      </c>
      <c r="E4927" t="str">
        <f t="shared" ca="1" si="382"/>
        <v>RFR EUR</v>
      </c>
      <c r="F4927" t="str">
        <f t="shared" ca="1" si="383"/>
        <v>RFR GBP</v>
      </c>
      <c r="J4927" s="1"/>
      <c r="N4927" s="1"/>
      <c r="R4927" s="1"/>
      <c r="V4927" s="1"/>
      <c r="AB4927" s="1"/>
      <c r="AF4927" s="1"/>
      <c r="AJ4927" s="1"/>
      <c r="AN4927" s="1"/>
      <c r="AS4927" s="1"/>
      <c r="AX4927" s="1"/>
    </row>
    <row r="4928" spans="1:50" x14ac:dyDescent="0.3">
      <c r="A4928" s="19">
        <f t="shared" si="384"/>
        <v>52813</v>
      </c>
      <c r="B4928">
        <f t="shared" ca="1" si="380"/>
        <v>-18.502777777777776</v>
      </c>
      <c r="C4928" t="str">
        <f ca="1">IF(currency="USD",'Future et co'!D4928,IF(currency="EUR",'Future et co'!E4928,IF(currency="GBP",'Future et co'!F4928,FALSE)))</f>
        <v>RFR USD</v>
      </c>
      <c r="D4928" t="str">
        <f t="shared" ca="1" si="381"/>
        <v>RFR USD</v>
      </c>
      <c r="E4928" t="str">
        <f t="shared" ca="1" si="382"/>
        <v>RFR EUR</v>
      </c>
      <c r="F4928" t="str">
        <f t="shared" ca="1" si="383"/>
        <v>RFR GBP</v>
      </c>
      <c r="J4928" s="1"/>
      <c r="N4928" s="1"/>
      <c r="R4928" s="1"/>
      <c r="V4928" s="1"/>
      <c r="AB4928" s="1"/>
      <c r="AF4928" s="1"/>
      <c r="AJ4928" s="1"/>
      <c r="AN4928" s="1"/>
      <c r="AS4928" s="1"/>
      <c r="AX4928" s="1"/>
    </row>
    <row r="4929" spans="1:50" x14ac:dyDescent="0.3">
      <c r="A4929" s="19">
        <f t="shared" si="384"/>
        <v>52814</v>
      </c>
      <c r="B4929">
        <f t="shared" ca="1" si="380"/>
        <v>-18.505555555555556</v>
      </c>
      <c r="C4929" t="str">
        <f ca="1">IF(currency="USD",'Future et co'!D4929,IF(currency="EUR",'Future et co'!E4929,IF(currency="GBP",'Future et co'!F4929,FALSE)))</f>
        <v>RFR USD</v>
      </c>
      <c r="D4929" t="str">
        <f t="shared" ca="1" si="381"/>
        <v>RFR USD</v>
      </c>
      <c r="E4929" t="str">
        <f t="shared" ca="1" si="382"/>
        <v>RFR EUR</v>
      </c>
      <c r="F4929" t="str">
        <f t="shared" ca="1" si="383"/>
        <v>RFR GBP</v>
      </c>
      <c r="J4929" s="1"/>
      <c r="N4929" s="1"/>
      <c r="R4929" s="1"/>
      <c r="V4929" s="1"/>
      <c r="AB4929" s="1"/>
      <c r="AF4929" s="1"/>
      <c r="AJ4929" s="1"/>
      <c r="AN4929" s="1"/>
      <c r="AS4929" s="1"/>
      <c r="AX4929" s="1"/>
    </row>
    <row r="4930" spans="1:50" x14ac:dyDescent="0.3">
      <c r="A4930" s="19">
        <f t="shared" si="384"/>
        <v>52817</v>
      </c>
      <c r="B4930">
        <f t="shared" ca="1" si="380"/>
        <v>-18.513888888888889</v>
      </c>
      <c r="C4930" t="str">
        <f ca="1">IF(currency="USD",'Future et co'!D4930,IF(currency="EUR",'Future et co'!E4930,IF(currency="GBP",'Future et co'!F4930,FALSE)))</f>
        <v>RFR USD</v>
      </c>
      <c r="D4930" t="str">
        <f t="shared" ca="1" si="381"/>
        <v>RFR USD</v>
      </c>
      <c r="E4930" t="str">
        <f t="shared" ca="1" si="382"/>
        <v>RFR EUR</v>
      </c>
      <c r="F4930" t="str">
        <f t="shared" ca="1" si="383"/>
        <v>RFR GBP</v>
      </c>
      <c r="J4930" s="1"/>
      <c r="N4930" s="1"/>
      <c r="R4930" s="1"/>
      <c r="V4930" s="1"/>
      <c r="AB4930" s="1"/>
      <c r="AF4930" s="1"/>
      <c r="AJ4930" s="1"/>
      <c r="AN4930" s="1"/>
      <c r="AS4930" s="1"/>
      <c r="AX4930" s="1"/>
    </row>
    <row r="4931" spans="1:50" x14ac:dyDescent="0.3">
      <c r="A4931" s="19">
        <f t="shared" si="384"/>
        <v>52818</v>
      </c>
      <c r="B4931">
        <f t="shared" ca="1" si="380"/>
        <v>-18.516666666666666</v>
      </c>
      <c r="C4931" t="str">
        <f ca="1">IF(currency="USD",'Future et co'!D4931,IF(currency="EUR",'Future et co'!E4931,IF(currency="GBP",'Future et co'!F4931,FALSE)))</f>
        <v>RFR USD</v>
      </c>
      <c r="D4931" t="str">
        <f t="shared" ca="1" si="381"/>
        <v>RFR USD</v>
      </c>
      <c r="E4931" t="str">
        <f t="shared" ca="1" si="382"/>
        <v>RFR EUR</v>
      </c>
      <c r="F4931" t="str">
        <f t="shared" ca="1" si="383"/>
        <v>RFR GBP</v>
      </c>
      <c r="J4931" s="1"/>
      <c r="N4931" s="1"/>
      <c r="R4931" s="1"/>
      <c r="V4931" s="1"/>
      <c r="AB4931" s="1"/>
      <c r="AF4931" s="1"/>
      <c r="AJ4931" s="1"/>
      <c r="AN4931" s="1"/>
      <c r="AS4931" s="1"/>
      <c r="AX4931" s="1"/>
    </row>
    <row r="4932" spans="1:50" x14ac:dyDescent="0.3">
      <c r="A4932" s="19">
        <f t="shared" si="384"/>
        <v>52819</v>
      </c>
      <c r="B4932">
        <f t="shared" ca="1" si="380"/>
        <v>-18.519444444444446</v>
      </c>
      <c r="C4932" t="str">
        <f ca="1">IF(currency="USD",'Future et co'!D4932,IF(currency="EUR",'Future et co'!E4932,IF(currency="GBP",'Future et co'!F4932,FALSE)))</f>
        <v>RFR USD</v>
      </c>
      <c r="D4932" t="str">
        <f t="shared" ca="1" si="381"/>
        <v>RFR USD</v>
      </c>
      <c r="E4932" t="str">
        <f t="shared" ca="1" si="382"/>
        <v>RFR EUR</v>
      </c>
      <c r="F4932" t="str">
        <f t="shared" ca="1" si="383"/>
        <v>RFR GBP</v>
      </c>
      <c r="J4932" s="1"/>
      <c r="N4932" s="1"/>
      <c r="R4932" s="1"/>
      <c r="V4932" s="1"/>
      <c r="AB4932" s="1"/>
      <c r="AF4932" s="1"/>
      <c r="AJ4932" s="1"/>
      <c r="AN4932" s="1"/>
      <c r="AS4932" s="1"/>
      <c r="AX4932" s="1"/>
    </row>
    <row r="4933" spans="1:50" x14ac:dyDescent="0.3">
      <c r="A4933" s="19">
        <f t="shared" si="384"/>
        <v>52820</v>
      </c>
      <c r="B4933">
        <f t="shared" ca="1" si="380"/>
        <v>-18.522222222222222</v>
      </c>
      <c r="C4933" t="str">
        <f ca="1">IF(currency="USD",'Future et co'!D4933,IF(currency="EUR",'Future et co'!E4933,IF(currency="GBP",'Future et co'!F4933,FALSE)))</f>
        <v>RFR USD</v>
      </c>
      <c r="D4933" t="str">
        <f t="shared" ca="1" si="381"/>
        <v>RFR USD</v>
      </c>
      <c r="E4933" t="str">
        <f t="shared" ca="1" si="382"/>
        <v>RFR EUR</v>
      </c>
      <c r="F4933" t="str">
        <f t="shared" ca="1" si="383"/>
        <v>RFR GBP</v>
      </c>
      <c r="J4933" s="1"/>
      <c r="N4933" s="1"/>
      <c r="R4933" s="1"/>
      <c r="V4933" s="1"/>
      <c r="AB4933" s="1"/>
      <c r="AF4933" s="1"/>
      <c r="AJ4933" s="1"/>
      <c r="AN4933" s="1"/>
      <c r="AS4933" s="1"/>
      <c r="AX4933" s="1"/>
    </row>
    <row r="4934" spans="1:50" x14ac:dyDescent="0.3">
      <c r="A4934" s="19">
        <f t="shared" si="384"/>
        <v>52821</v>
      </c>
      <c r="B4934">
        <f t="shared" ca="1" si="380"/>
        <v>-18.524999999999999</v>
      </c>
      <c r="C4934" t="str">
        <f ca="1">IF(currency="USD",'Future et co'!D4934,IF(currency="EUR",'Future et co'!E4934,IF(currency="GBP",'Future et co'!F4934,FALSE)))</f>
        <v>RFR USD</v>
      </c>
      <c r="D4934" t="str">
        <f t="shared" ca="1" si="381"/>
        <v>RFR USD</v>
      </c>
      <c r="E4934" t="str">
        <f t="shared" ca="1" si="382"/>
        <v>RFR EUR</v>
      </c>
      <c r="F4934" t="str">
        <f t="shared" ca="1" si="383"/>
        <v>RFR GBP</v>
      </c>
      <c r="J4934" s="1"/>
      <c r="N4934" s="1"/>
      <c r="R4934" s="1"/>
      <c r="V4934" s="1"/>
      <c r="AB4934" s="1"/>
      <c r="AF4934" s="1"/>
      <c r="AJ4934" s="1"/>
      <c r="AN4934" s="1"/>
      <c r="AS4934" s="1"/>
      <c r="AX4934" s="1"/>
    </row>
    <row r="4935" spans="1:50" x14ac:dyDescent="0.3">
      <c r="A4935" s="19">
        <f t="shared" si="384"/>
        <v>52824</v>
      </c>
      <c r="B4935">
        <f t="shared" ca="1" si="380"/>
        <v>-18.533333333333335</v>
      </c>
      <c r="C4935" t="str">
        <f ca="1">IF(currency="USD",'Future et co'!D4935,IF(currency="EUR",'Future et co'!E4935,IF(currency="GBP",'Future et co'!F4935,FALSE)))</f>
        <v>RFR USD</v>
      </c>
      <c r="D4935" t="str">
        <f t="shared" ca="1" si="381"/>
        <v>RFR USD</v>
      </c>
      <c r="E4935" t="str">
        <f t="shared" ca="1" si="382"/>
        <v>RFR EUR</v>
      </c>
      <c r="F4935" t="str">
        <f t="shared" ca="1" si="383"/>
        <v>RFR GBP</v>
      </c>
      <c r="J4935" s="1"/>
      <c r="N4935" s="1"/>
      <c r="R4935" s="1"/>
      <c r="V4935" s="1"/>
      <c r="AB4935" s="1"/>
      <c r="AF4935" s="1"/>
      <c r="AJ4935" s="1"/>
      <c r="AN4935" s="1"/>
      <c r="AS4935" s="1"/>
      <c r="AX4935" s="1"/>
    </row>
    <row r="4936" spans="1:50" x14ac:dyDescent="0.3">
      <c r="A4936" s="19">
        <f t="shared" si="384"/>
        <v>52825</v>
      </c>
      <c r="B4936">
        <f t="shared" ca="1" si="380"/>
        <v>-18.536111111111111</v>
      </c>
      <c r="C4936" t="str">
        <f ca="1">IF(currency="USD",'Future et co'!D4936,IF(currency="EUR",'Future et co'!E4936,IF(currency="GBP",'Future et co'!F4936,FALSE)))</f>
        <v>RFR USD</v>
      </c>
      <c r="D4936" t="str">
        <f t="shared" ca="1" si="381"/>
        <v>RFR USD</v>
      </c>
      <c r="E4936" t="str">
        <f t="shared" ca="1" si="382"/>
        <v>RFR EUR</v>
      </c>
      <c r="F4936" t="str">
        <f t="shared" ca="1" si="383"/>
        <v>RFR GBP</v>
      </c>
      <c r="J4936" s="1"/>
      <c r="N4936" s="1"/>
      <c r="R4936" s="1"/>
      <c r="V4936" s="1"/>
      <c r="AB4936" s="1"/>
      <c r="AF4936" s="1"/>
      <c r="AJ4936" s="1"/>
      <c r="AN4936" s="1"/>
      <c r="AS4936" s="1"/>
      <c r="AX4936" s="1"/>
    </row>
    <row r="4937" spans="1:50" x14ac:dyDescent="0.3">
      <c r="A4937" s="19">
        <f t="shared" si="384"/>
        <v>52826</v>
      </c>
      <c r="B4937">
        <f t="shared" ca="1" si="380"/>
        <v>-18.538888888888888</v>
      </c>
      <c r="C4937" t="str">
        <f ca="1">IF(currency="USD",'Future et co'!D4937,IF(currency="EUR",'Future et co'!E4937,IF(currency="GBP",'Future et co'!F4937,FALSE)))</f>
        <v>RFR USD</v>
      </c>
      <c r="D4937" t="str">
        <f t="shared" ca="1" si="381"/>
        <v>RFR USD</v>
      </c>
      <c r="E4937" t="str">
        <f t="shared" ca="1" si="382"/>
        <v>RFR EUR</v>
      </c>
      <c r="F4937" t="str">
        <f t="shared" ca="1" si="383"/>
        <v>RFR GBP</v>
      </c>
      <c r="J4937" s="1"/>
      <c r="N4937" s="1"/>
      <c r="R4937" s="1"/>
      <c r="V4937" s="1"/>
      <c r="AB4937" s="1"/>
      <c r="AF4937" s="1"/>
      <c r="AJ4937" s="1"/>
      <c r="AN4937" s="1"/>
      <c r="AS4937" s="1"/>
      <c r="AX4937" s="1"/>
    </row>
    <row r="4938" spans="1:50" x14ac:dyDescent="0.3">
      <c r="A4938" s="19">
        <f t="shared" si="384"/>
        <v>52827</v>
      </c>
      <c r="B4938">
        <f t="shared" ca="1" si="380"/>
        <v>-18.541666666666668</v>
      </c>
      <c r="C4938" t="str">
        <f ca="1">IF(currency="USD",'Future et co'!D4938,IF(currency="EUR",'Future et co'!E4938,IF(currency="GBP",'Future et co'!F4938,FALSE)))</f>
        <v>RFR USD</v>
      </c>
      <c r="D4938" t="str">
        <f t="shared" ca="1" si="381"/>
        <v>RFR USD</v>
      </c>
      <c r="E4938" t="str">
        <f t="shared" ca="1" si="382"/>
        <v>RFR EUR</v>
      </c>
      <c r="F4938" t="str">
        <f t="shared" ca="1" si="383"/>
        <v>RFR GBP</v>
      </c>
      <c r="J4938" s="1"/>
      <c r="N4938" s="1"/>
      <c r="R4938" s="1"/>
      <c r="V4938" s="1"/>
      <c r="AB4938" s="1"/>
      <c r="AF4938" s="1"/>
      <c r="AJ4938" s="1"/>
      <c r="AN4938" s="1"/>
      <c r="AS4938" s="1"/>
      <c r="AX4938" s="1"/>
    </row>
    <row r="4939" spans="1:50" x14ac:dyDescent="0.3">
      <c r="A4939" s="19">
        <f t="shared" si="384"/>
        <v>52828</v>
      </c>
      <c r="B4939">
        <f t="shared" ref="B4939:B5002" ca="1" si="385">($B$7-A4939)/360</f>
        <v>-18.544444444444444</v>
      </c>
      <c r="C4939" t="str">
        <f ca="1">IF(currency="USD",'Future et co'!D4939,IF(currency="EUR",'Future et co'!E4939,IF(currency="GBP",'Future et co'!F4939,FALSE)))</f>
        <v>RFR USD</v>
      </c>
      <c r="D4939" t="str">
        <f t="shared" ref="D4939:D5002" ca="1" si="386">IFERROR(IF(B4939&lt;0.25,VLOOKUP(A4939,$J$11:$L$5325,3,FALSE),IF(AND(B4939&gt;=0.25,B4939&lt;0.5),VLOOKUP(A4939,$N$11:$P$5325,3,FALSE),IF(AND(B4939&gt;=0.5,B4939&lt;1),VLOOKUP(A4939,$R$11:$T$5325,3,FALSE),VLOOKUP(A4939,$V$11:$X$5010,3,FALSE)))),D4938)</f>
        <v>RFR USD</v>
      </c>
      <c r="E4939" t="str">
        <f t="shared" ref="E4939:E5002" ca="1" si="387">IFERROR(IF(B4939&lt;0.25,VLOOKUP(A4939,$AF$11:$AH$5325,3,FALSE),IF(AND(B4939&gt;=0.25,B4939&lt;0.5),VLOOKUP(A4939,$AJ$11:$AL$5325,3,FALSE),VLOOKUP(A4939,$AN$11:$AP$5325,3,FALSE))),E4938)</f>
        <v>RFR EUR</v>
      </c>
      <c r="F4939" t="str">
        <f t="shared" ref="F4939:F5002" ca="1" si="388">IFERROR(VLOOKUP(A4939,$AS$11:$AU$9999,3,FALSE),F4938)</f>
        <v>RFR GBP</v>
      </c>
      <c r="J4939" s="1"/>
      <c r="N4939" s="1"/>
      <c r="R4939" s="1"/>
      <c r="V4939" s="1"/>
      <c r="AB4939" s="1"/>
      <c r="AF4939" s="1"/>
      <c r="AJ4939" s="1"/>
      <c r="AN4939" s="1"/>
      <c r="AS4939" s="1"/>
      <c r="AX4939" s="1"/>
    </row>
    <row r="4940" spans="1:50" x14ac:dyDescent="0.3">
      <c r="A4940" s="19">
        <f t="shared" si="384"/>
        <v>52831</v>
      </c>
      <c r="B4940">
        <f t="shared" ca="1" si="385"/>
        <v>-18.552777777777777</v>
      </c>
      <c r="C4940" t="str">
        <f ca="1">IF(currency="USD",'Future et co'!D4940,IF(currency="EUR",'Future et co'!E4940,IF(currency="GBP",'Future et co'!F4940,FALSE)))</f>
        <v>RFR USD</v>
      </c>
      <c r="D4940" t="str">
        <f t="shared" ca="1" si="386"/>
        <v>RFR USD</v>
      </c>
      <c r="E4940" t="str">
        <f t="shared" ca="1" si="387"/>
        <v>RFR EUR</v>
      </c>
      <c r="F4940" t="str">
        <f t="shared" ca="1" si="388"/>
        <v>RFR GBP</v>
      </c>
      <c r="J4940" s="1"/>
      <c r="N4940" s="1"/>
      <c r="R4940" s="1"/>
      <c r="V4940" s="1"/>
      <c r="AB4940" s="1"/>
      <c r="AF4940" s="1"/>
      <c r="AJ4940" s="1"/>
      <c r="AN4940" s="1"/>
      <c r="AS4940" s="1"/>
      <c r="AX4940" s="1"/>
    </row>
    <row r="4941" spans="1:50" x14ac:dyDescent="0.3">
      <c r="A4941" s="19">
        <f t="shared" ref="A4941:A5004" si="389">WORKDAY(A4940,1)</f>
        <v>52832</v>
      </c>
      <c r="B4941">
        <f t="shared" ca="1" si="385"/>
        <v>-18.555555555555557</v>
      </c>
      <c r="C4941" t="str">
        <f ca="1">IF(currency="USD",'Future et co'!D4941,IF(currency="EUR",'Future et co'!E4941,IF(currency="GBP",'Future et co'!F4941,FALSE)))</f>
        <v>RFR USD</v>
      </c>
      <c r="D4941" t="str">
        <f t="shared" ca="1" si="386"/>
        <v>RFR USD</v>
      </c>
      <c r="E4941" t="str">
        <f t="shared" ca="1" si="387"/>
        <v>RFR EUR</v>
      </c>
      <c r="F4941" t="str">
        <f t="shared" ca="1" si="388"/>
        <v>RFR GBP</v>
      </c>
      <c r="J4941" s="1"/>
      <c r="N4941" s="1"/>
      <c r="R4941" s="1"/>
      <c r="V4941" s="1"/>
      <c r="AB4941" s="1"/>
      <c r="AF4941" s="1"/>
      <c r="AJ4941" s="1"/>
      <c r="AN4941" s="1"/>
      <c r="AS4941" s="1"/>
      <c r="AX4941" s="1"/>
    </row>
    <row r="4942" spans="1:50" x14ac:dyDescent="0.3">
      <c r="A4942" s="19">
        <f t="shared" si="389"/>
        <v>52833</v>
      </c>
      <c r="B4942">
        <f t="shared" ca="1" si="385"/>
        <v>-18.558333333333334</v>
      </c>
      <c r="C4942" t="str">
        <f ca="1">IF(currency="USD",'Future et co'!D4942,IF(currency="EUR",'Future et co'!E4942,IF(currency="GBP",'Future et co'!F4942,FALSE)))</f>
        <v>RFR USD</v>
      </c>
      <c r="D4942" t="str">
        <f t="shared" ca="1" si="386"/>
        <v>RFR USD</v>
      </c>
      <c r="E4942" t="str">
        <f t="shared" ca="1" si="387"/>
        <v>RFR EUR</v>
      </c>
      <c r="F4942" t="str">
        <f t="shared" ca="1" si="388"/>
        <v>RFR GBP</v>
      </c>
      <c r="J4942" s="1"/>
      <c r="N4942" s="1"/>
      <c r="R4942" s="1"/>
      <c r="V4942" s="1"/>
      <c r="AB4942" s="1"/>
      <c r="AF4942" s="1"/>
      <c r="AJ4942" s="1"/>
      <c r="AN4942" s="1"/>
      <c r="AS4942" s="1"/>
      <c r="AX4942" s="1"/>
    </row>
    <row r="4943" spans="1:50" x14ac:dyDescent="0.3">
      <c r="A4943" s="19">
        <f t="shared" si="389"/>
        <v>52834</v>
      </c>
      <c r="B4943">
        <f t="shared" ca="1" si="385"/>
        <v>-18.56111111111111</v>
      </c>
      <c r="C4943" t="str">
        <f ca="1">IF(currency="USD",'Future et co'!D4943,IF(currency="EUR",'Future et co'!E4943,IF(currency="GBP",'Future et co'!F4943,FALSE)))</f>
        <v>RFR USD</v>
      </c>
      <c r="D4943" t="str">
        <f t="shared" ca="1" si="386"/>
        <v>RFR USD</v>
      </c>
      <c r="E4943" t="str">
        <f t="shared" ca="1" si="387"/>
        <v>RFR EUR</v>
      </c>
      <c r="F4943" t="str">
        <f t="shared" ca="1" si="388"/>
        <v>RFR GBP</v>
      </c>
      <c r="J4943" s="1"/>
      <c r="N4943" s="1"/>
      <c r="R4943" s="1"/>
      <c r="V4943" s="1"/>
      <c r="AB4943" s="1"/>
      <c r="AF4943" s="1"/>
      <c r="AJ4943" s="1"/>
      <c r="AN4943" s="1"/>
      <c r="AS4943" s="1"/>
      <c r="AX4943" s="1"/>
    </row>
    <row r="4944" spans="1:50" x14ac:dyDescent="0.3">
      <c r="A4944" s="19">
        <f t="shared" si="389"/>
        <v>52835</v>
      </c>
      <c r="B4944">
        <f t="shared" ca="1" si="385"/>
        <v>-18.56388888888889</v>
      </c>
      <c r="C4944" t="str">
        <f ca="1">IF(currency="USD",'Future et co'!D4944,IF(currency="EUR",'Future et co'!E4944,IF(currency="GBP",'Future et co'!F4944,FALSE)))</f>
        <v>RFR USD</v>
      </c>
      <c r="D4944" t="str">
        <f t="shared" ca="1" si="386"/>
        <v>RFR USD</v>
      </c>
      <c r="E4944" t="str">
        <f t="shared" ca="1" si="387"/>
        <v>RFR EUR</v>
      </c>
      <c r="F4944" t="str">
        <f t="shared" ca="1" si="388"/>
        <v>RFR GBP</v>
      </c>
      <c r="J4944" s="1"/>
      <c r="N4944" s="1"/>
      <c r="R4944" s="1"/>
      <c r="V4944" s="1"/>
      <c r="AB4944" s="1"/>
      <c r="AF4944" s="1"/>
      <c r="AJ4944" s="1"/>
      <c r="AN4944" s="1"/>
      <c r="AS4944" s="1"/>
      <c r="AX4944" s="1"/>
    </row>
    <row r="4945" spans="1:50" x14ac:dyDescent="0.3">
      <c r="A4945" s="19">
        <f t="shared" si="389"/>
        <v>52838</v>
      </c>
      <c r="B4945">
        <f t="shared" ca="1" si="385"/>
        <v>-18.572222222222223</v>
      </c>
      <c r="C4945" t="str">
        <f ca="1">IF(currency="USD",'Future et co'!D4945,IF(currency="EUR",'Future et co'!E4945,IF(currency="GBP",'Future et co'!F4945,FALSE)))</f>
        <v>RFR USD</v>
      </c>
      <c r="D4945" t="str">
        <f t="shared" ca="1" si="386"/>
        <v>RFR USD</v>
      </c>
      <c r="E4945" t="str">
        <f t="shared" ca="1" si="387"/>
        <v>RFR EUR</v>
      </c>
      <c r="F4945" t="str">
        <f t="shared" ca="1" si="388"/>
        <v>RFR GBP</v>
      </c>
      <c r="J4945" s="1"/>
      <c r="N4945" s="1"/>
      <c r="R4945" s="1"/>
      <c r="V4945" s="1"/>
      <c r="AB4945" s="1"/>
      <c r="AF4945" s="1"/>
      <c r="AJ4945" s="1"/>
      <c r="AN4945" s="1"/>
      <c r="AS4945" s="1"/>
      <c r="AX4945" s="1"/>
    </row>
    <row r="4946" spans="1:50" x14ac:dyDescent="0.3">
      <c r="A4946" s="19">
        <f t="shared" si="389"/>
        <v>52839</v>
      </c>
      <c r="B4946">
        <f t="shared" ca="1" si="385"/>
        <v>-18.574999999999999</v>
      </c>
      <c r="C4946" t="str">
        <f ca="1">IF(currency="USD",'Future et co'!D4946,IF(currency="EUR",'Future et co'!E4946,IF(currency="GBP",'Future et co'!F4946,FALSE)))</f>
        <v>RFR USD</v>
      </c>
      <c r="D4946" t="str">
        <f t="shared" ca="1" si="386"/>
        <v>RFR USD</v>
      </c>
      <c r="E4946" t="str">
        <f t="shared" ca="1" si="387"/>
        <v>RFR EUR</v>
      </c>
      <c r="F4946" t="str">
        <f t="shared" ca="1" si="388"/>
        <v>RFR GBP</v>
      </c>
      <c r="J4946" s="1"/>
      <c r="N4946" s="1"/>
      <c r="R4946" s="1"/>
      <c r="V4946" s="1"/>
      <c r="AB4946" s="1"/>
      <c r="AF4946" s="1"/>
      <c r="AJ4946" s="1"/>
      <c r="AN4946" s="1"/>
      <c r="AS4946" s="1"/>
      <c r="AX4946" s="1"/>
    </row>
    <row r="4947" spans="1:50" x14ac:dyDescent="0.3">
      <c r="A4947" s="19">
        <f t="shared" si="389"/>
        <v>52840</v>
      </c>
      <c r="B4947">
        <f t="shared" ca="1" si="385"/>
        <v>-18.577777777777779</v>
      </c>
      <c r="C4947" t="str">
        <f ca="1">IF(currency="USD",'Future et co'!D4947,IF(currency="EUR",'Future et co'!E4947,IF(currency="GBP",'Future et co'!F4947,FALSE)))</f>
        <v>RFR USD</v>
      </c>
      <c r="D4947" t="str">
        <f t="shared" ca="1" si="386"/>
        <v>RFR USD</v>
      </c>
      <c r="E4947" t="str">
        <f t="shared" ca="1" si="387"/>
        <v>RFR EUR</v>
      </c>
      <c r="F4947" t="str">
        <f t="shared" ca="1" si="388"/>
        <v>RFR GBP</v>
      </c>
      <c r="J4947" s="1"/>
      <c r="N4947" s="1"/>
      <c r="R4947" s="1"/>
      <c r="V4947" s="1"/>
      <c r="AB4947" s="1"/>
      <c r="AF4947" s="1"/>
      <c r="AJ4947" s="1"/>
      <c r="AN4947" s="1"/>
      <c r="AS4947" s="1"/>
      <c r="AX4947" s="1"/>
    </row>
    <row r="4948" spans="1:50" x14ac:dyDescent="0.3">
      <c r="A4948" s="19">
        <f t="shared" si="389"/>
        <v>52841</v>
      </c>
      <c r="B4948">
        <f t="shared" ca="1" si="385"/>
        <v>-18.580555555555556</v>
      </c>
      <c r="C4948" t="str">
        <f ca="1">IF(currency="USD",'Future et co'!D4948,IF(currency="EUR",'Future et co'!E4948,IF(currency="GBP",'Future et co'!F4948,FALSE)))</f>
        <v>RFR USD</v>
      </c>
      <c r="D4948" t="str">
        <f t="shared" ca="1" si="386"/>
        <v>RFR USD</v>
      </c>
      <c r="E4948" t="str">
        <f t="shared" ca="1" si="387"/>
        <v>RFR EUR</v>
      </c>
      <c r="F4948" t="str">
        <f t="shared" ca="1" si="388"/>
        <v>RFR GBP</v>
      </c>
      <c r="J4948" s="1"/>
      <c r="N4948" s="1"/>
      <c r="R4948" s="1"/>
      <c r="V4948" s="1"/>
      <c r="AB4948" s="1"/>
      <c r="AF4948" s="1"/>
      <c r="AJ4948" s="1"/>
      <c r="AN4948" s="1"/>
      <c r="AS4948" s="1"/>
      <c r="AX4948" s="1"/>
    </row>
    <row r="4949" spans="1:50" x14ac:dyDescent="0.3">
      <c r="A4949" s="19">
        <f t="shared" si="389"/>
        <v>52842</v>
      </c>
      <c r="B4949">
        <f t="shared" ca="1" si="385"/>
        <v>-18.583333333333332</v>
      </c>
      <c r="C4949" t="str">
        <f ca="1">IF(currency="USD",'Future et co'!D4949,IF(currency="EUR",'Future et co'!E4949,IF(currency="GBP",'Future et co'!F4949,FALSE)))</f>
        <v>RFR USD</v>
      </c>
      <c r="D4949" t="str">
        <f t="shared" ca="1" si="386"/>
        <v>RFR USD</v>
      </c>
      <c r="E4949" t="str">
        <f t="shared" ca="1" si="387"/>
        <v>RFR EUR</v>
      </c>
      <c r="F4949" t="str">
        <f t="shared" ca="1" si="388"/>
        <v>RFR GBP</v>
      </c>
      <c r="J4949" s="1"/>
      <c r="N4949" s="1"/>
      <c r="R4949" s="1"/>
      <c r="V4949" s="1"/>
      <c r="AB4949" s="1"/>
      <c r="AF4949" s="1"/>
      <c r="AJ4949" s="1"/>
      <c r="AN4949" s="1"/>
      <c r="AS4949" s="1"/>
      <c r="AX4949" s="1"/>
    </row>
    <row r="4950" spans="1:50" x14ac:dyDescent="0.3">
      <c r="A4950" s="19">
        <f t="shared" si="389"/>
        <v>52845</v>
      </c>
      <c r="B4950">
        <f t="shared" ca="1" si="385"/>
        <v>-18.591666666666665</v>
      </c>
      <c r="C4950" t="str">
        <f ca="1">IF(currency="USD",'Future et co'!D4950,IF(currency="EUR",'Future et co'!E4950,IF(currency="GBP",'Future et co'!F4950,FALSE)))</f>
        <v>RFR USD</v>
      </c>
      <c r="D4950" t="str">
        <f t="shared" ca="1" si="386"/>
        <v>RFR USD</v>
      </c>
      <c r="E4950" t="str">
        <f t="shared" ca="1" si="387"/>
        <v>RFR EUR</v>
      </c>
      <c r="F4950" t="str">
        <f t="shared" ca="1" si="388"/>
        <v>RFR GBP</v>
      </c>
      <c r="J4950" s="1"/>
      <c r="N4950" s="1"/>
      <c r="R4950" s="1"/>
      <c r="V4950" s="1"/>
      <c r="AB4950" s="1"/>
      <c r="AF4950" s="1"/>
      <c r="AJ4950" s="1"/>
      <c r="AN4950" s="1"/>
      <c r="AS4950" s="1"/>
      <c r="AX4950" s="1"/>
    </row>
    <row r="4951" spans="1:50" x14ac:dyDescent="0.3">
      <c r="A4951" s="19">
        <f t="shared" si="389"/>
        <v>52846</v>
      </c>
      <c r="B4951">
        <f t="shared" ca="1" si="385"/>
        <v>-18.594444444444445</v>
      </c>
      <c r="C4951" t="str">
        <f ca="1">IF(currency="USD",'Future et co'!D4951,IF(currency="EUR",'Future et co'!E4951,IF(currency="GBP",'Future et co'!F4951,FALSE)))</f>
        <v>RFR USD</v>
      </c>
      <c r="D4951" t="str">
        <f t="shared" ca="1" si="386"/>
        <v>RFR USD</v>
      </c>
      <c r="E4951" t="str">
        <f t="shared" ca="1" si="387"/>
        <v>RFR EUR</v>
      </c>
      <c r="F4951" t="str">
        <f t="shared" ca="1" si="388"/>
        <v>RFR GBP</v>
      </c>
      <c r="J4951" s="1"/>
      <c r="N4951" s="1"/>
      <c r="R4951" s="1"/>
      <c r="V4951" s="1"/>
      <c r="AB4951" s="1"/>
      <c r="AF4951" s="1"/>
      <c r="AJ4951" s="1"/>
      <c r="AN4951" s="1"/>
      <c r="AS4951" s="1"/>
      <c r="AX4951" s="1"/>
    </row>
    <row r="4952" spans="1:50" x14ac:dyDescent="0.3">
      <c r="A4952" s="19">
        <f t="shared" si="389"/>
        <v>52847</v>
      </c>
      <c r="B4952">
        <f t="shared" ca="1" si="385"/>
        <v>-18.597222222222221</v>
      </c>
      <c r="C4952" t="str">
        <f ca="1">IF(currency="USD",'Future et co'!D4952,IF(currency="EUR",'Future et co'!E4952,IF(currency="GBP",'Future et co'!F4952,FALSE)))</f>
        <v>RFR USD</v>
      </c>
      <c r="D4952" t="str">
        <f t="shared" ca="1" si="386"/>
        <v>RFR USD</v>
      </c>
      <c r="E4952" t="str">
        <f t="shared" ca="1" si="387"/>
        <v>RFR EUR</v>
      </c>
      <c r="F4952" t="str">
        <f t="shared" ca="1" si="388"/>
        <v>RFR GBP</v>
      </c>
      <c r="J4952" s="1"/>
      <c r="N4952" s="1"/>
      <c r="R4952" s="1"/>
      <c r="V4952" s="1"/>
      <c r="AB4952" s="1"/>
      <c r="AF4952" s="1"/>
      <c r="AJ4952" s="1"/>
      <c r="AN4952" s="1"/>
      <c r="AS4952" s="1"/>
      <c r="AX4952" s="1"/>
    </row>
    <row r="4953" spans="1:50" x14ac:dyDescent="0.3">
      <c r="A4953" s="19">
        <f t="shared" si="389"/>
        <v>52848</v>
      </c>
      <c r="B4953">
        <f t="shared" ca="1" si="385"/>
        <v>-18.600000000000001</v>
      </c>
      <c r="C4953" t="str">
        <f ca="1">IF(currency="USD",'Future et co'!D4953,IF(currency="EUR",'Future et co'!E4953,IF(currency="GBP",'Future et co'!F4953,FALSE)))</f>
        <v>RFR USD</v>
      </c>
      <c r="D4953" t="str">
        <f t="shared" ca="1" si="386"/>
        <v>RFR USD</v>
      </c>
      <c r="E4953" t="str">
        <f t="shared" ca="1" si="387"/>
        <v>RFR EUR</v>
      </c>
      <c r="F4953" t="str">
        <f t="shared" ca="1" si="388"/>
        <v>RFR GBP</v>
      </c>
      <c r="J4953" s="1"/>
      <c r="N4953" s="1"/>
      <c r="R4953" s="1"/>
      <c r="V4953" s="1"/>
      <c r="AB4953" s="1"/>
      <c r="AF4953" s="1"/>
      <c r="AJ4953" s="1"/>
      <c r="AN4953" s="1"/>
      <c r="AS4953" s="1"/>
      <c r="AX4953" s="1"/>
    </row>
    <row r="4954" spans="1:50" x14ac:dyDescent="0.3">
      <c r="A4954" s="19">
        <f t="shared" si="389"/>
        <v>52849</v>
      </c>
      <c r="B4954">
        <f t="shared" ca="1" si="385"/>
        <v>-18.602777777777778</v>
      </c>
      <c r="C4954" t="str">
        <f ca="1">IF(currency="USD",'Future et co'!D4954,IF(currency="EUR",'Future et co'!E4954,IF(currency="GBP",'Future et co'!F4954,FALSE)))</f>
        <v>RFR USD</v>
      </c>
      <c r="D4954" t="str">
        <f t="shared" ca="1" si="386"/>
        <v>RFR USD</v>
      </c>
      <c r="E4954" t="str">
        <f t="shared" ca="1" si="387"/>
        <v>RFR EUR</v>
      </c>
      <c r="F4954" t="str">
        <f t="shared" ca="1" si="388"/>
        <v>RFR GBP</v>
      </c>
      <c r="J4954" s="1"/>
      <c r="N4954" s="1"/>
      <c r="R4954" s="1"/>
      <c r="V4954" s="1"/>
      <c r="AB4954" s="1"/>
      <c r="AF4954" s="1"/>
      <c r="AJ4954" s="1"/>
      <c r="AN4954" s="1"/>
      <c r="AS4954" s="1"/>
      <c r="AX4954" s="1"/>
    </row>
    <row r="4955" spans="1:50" x14ac:dyDescent="0.3">
      <c r="A4955" s="19">
        <f t="shared" si="389"/>
        <v>52852</v>
      </c>
      <c r="B4955">
        <f t="shared" ca="1" si="385"/>
        <v>-18.611111111111111</v>
      </c>
      <c r="C4955" t="str">
        <f ca="1">IF(currency="USD",'Future et co'!D4955,IF(currency="EUR",'Future et co'!E4955,IF(currency="GBP",'Future et co'!F4955,FALSE)))</f>
        <v>RFR USD</v>
      </c>
      <c r="D4955" t="str">
        <f t="shared" ca="1" si="386"/>
        <v>RFR USD</v>
      </c>
      <c r="E4955" t="str">
        <f t="shared" ca="1" si="387"/>
        <v>RFR EUR</v>
      </c>
      <c r="F4955" t="str">
        <f t="shared" ca="1" si="388"/>
        <v>RFR GBP</v>
      </c>
      <c r="J4955" s="1"/>
      <c r="N4955" s="1"/>
      <c r="R4955" s="1"/>
      <c r="V4955" s="1"/>
      <c r="AB4955" s="1"/>
      <c r="AF4955" s="1"/>
      <c r="AJ4955" s="1"/>
      <c r="AN4955" s="1"/>
      <c r="AS4955" s="1"/>
      <c r="AX4955" s="1"/>
    </row>
    <row r="4956" spans="1:50" x14ac:dyDescent="0.3">
      <c r="A4956" s="19">
        <f t="shared" si="389"/>
        <v>52853</v>
      </c>
      <c r="B4956">
        <f t="shared" ca="1" si="385"/>
        <v>-18.613888888888887</v>
      </c>
      <c r="C4956" t="str">
        <f ca="1">IF(currency="USD",'Future et co'!D4956,IF(currency="EUR",'Future et co'!E4956,IF(currency="GBP",'Future et co'!F4956,FALSE)))</f>
        <v>RFR USD</v>
      </c>
      <c r="D4956" t="str">
        <f t="shared" ca="1" si="386"/>
        <v>RFR USD</v>
      </c>
      <c r="E4956" t="str">
        <f t="shared" ca="1" si="387"/>
        <v>RFR EUR</v>
      </c>
      <c r="F4956" t="str">
        <f t="shared" ca="1" si="388"/>
        <v>RFR GBP</v>
      </c>
      <c r="J4956" s="1"/>
      <c r="N4956" s="1"/>
      <c r="R4956" s="1"/>
      <c r="V4956" s="1"/>
      <c r="AB4956" s="1"/>
      <c r="AF4956" s="1"/>
      <c r="AJ4956" s="1"/>
      <c r="AN4956" s="1"/>
      <c r="AS4956" s="1"/>
      <c r="AX4956" s="1"/>
    </row>
    <row r="4957" spans="1:50" x14ac:dyDescent="0.3">
      <c r="A4957" s="19">
        <f t="shared" si="389"/>
        <v>52854</v>
      </c>
      <c r="B4957">
        <f t="shared" ca="1" si="385"/>
        <v>-18.616666666666667</v>
      </c>
      <c r="C4957" t="str">
        <f ca="1">IF(currency="USD",'Future et co'!D4957,IF(currency="EUR",'Future et co'!E4957,IF(currency="GBP",'Future et co'!F4957,FALSE)))</f>
        <v>RFR USD</v>
      </c>
      <c r="D4957" t="str">
        <f t="shared" ca="1" si="386"/>
        <v>RFR USD</v>
      </c>
      <c r="E4957" t="str">
        <f t="shared" ca="1" si="387"/>
        <v>RFR EUR</v>
      </c>
      <c r="F4957" t="str">
        <f t="shared" ca="1" si="388"/>
        <v>RFR GBP</v>
      </c>
      <c r="J4957" s="1"/>
      <c r="N4957" s="1"/>
      <c r="R4957" s="1"/>
      <c r="V4957" s="1"/>
      <c r="AB4957" s="1"/>
      <c r="AF4957" s="1"/>
      <c r="AJ4957" s="1"/>
      <c r="AN4957" s="1"/>
      <c r="AS4957" s="1"/>
      <c r="AX4957" s="1"/>
    </row>
    <row r="4958" spans="1:50" x14ac:dyDescent="0.3">
      <c r="A4958" s="19">
        <f t="shared" si="389"/>
        <v>52855</v>
      </c>
      <c r="B4958">
        <f t="shared" ca="1" si="385"/>
        <v>-18.619444444444444</v>
      </c>
      <c r="C4958" t="str">
        <f ca="1">IF(currency="USD",'Future et co'!D4958,IF(currency="EUR",'Future et co'!E4958,IF(currency="GBP",'Future et co'!F4958,FALSE)))</f>
        <v>RFR USD</v>
      </c>
      <c r="D4958" t="str">
        <f t="shared" ca="1" si="386"/>
        <v>RFR USD</v>
      </c>
      <c r="E4958" t="str">
        <f t="shared" ca="1" si="387"/>
        <v>RFR EUR</v>
      </c>
      <c r="F4958" t="str">
        <f t="shared" ca="1" si="388"/>
        <v>RFR GBP</v>
      </c>
      <c r="J4958" s="1"/>
      <c r="N4958" s="1"/>
      <c r="R4958" s="1"/>
      <c r="V4958" s="1"/>
      <c r="AB4958" s="1"/>
      <c r="AF4958" s="1"/>
      <c r="AJ4958" s="1"/>
      <c r="AN4958" s="1"/>
      <c r="AS4958" s="1"/>
      <c r="AX4958" s="1"/>
    </row>
    <row r="4959" spans="1:50" x14ac:dyDescent="0.3">
      <c r="A4959" s="19">
        <f t="shared" si="389"/>
        <v>52856</v>
      </c>
      <c r="B4959">
        <f t="shared" ca="1" si="385"/>
        <v>-18.622222222222224</v>
      </c>
      <c r="C4959" t="str">
        <f ca="1">IF(currency="USD",'Future et co'!D4959,IF(currency="EUR",'Future et co'!E4959,IF(currency="GBP",'Future et co'!F4959,FALSE)))</f>
        <v>RFR USD</v>
      </c>
      <c r="D4959" t="str">
        <f t="shared" ca="1" si="386"/>
        <v>RFR USD</v>
      </c>
      <c r="E4959" t="str">
        <f t="shared" ca="1" si="387"/>
        <v>RFR EUR</v>
      </c>
      <c r="F4959" t="str">
        <f t="shared" ca="1" si="388"/>
        <v>RFR GBP</v>
      </c>
      <c r="J4959" s="1"/>
      <c r="N4959" s="1"/>
      <c r="R4959" s="1"/>
      <c r="V4959" s="1"/>
      <c r="AB4959" s="1"/>
      <c r="AF4959" s="1"/>
      <c r="AJ4959" s="1"/>
      <c r="AN4959" s="1"/>
      <c r="AS4959" s="1"/>
      <c r="AX4959" s="1"/>
    </row>
    <row r="4960" spans="1:50" x14ac:dyDescent="0.3">
      <c r="A4960" s="19">
        <f t="shared" si="389"/>
        <v>52859</v>
      </c>
      <c r="B4960">
        <f t="shared" ca="1" si="385"/>
        <v>-18.630555555555556</v>
      </c>
      <c r="C4960" t="str">
        <f ca="1">IF(currency="USD",'Future et co'!D4960,IF(currency="EUR",'Future et co'!E4960,IF(currency="GBP",'Future et co'!F4960,FALSE)))</f>
        <v>RFR USD</v>
      </c>
      <c r="D4960" t="str">
        <f t="shared" ca="1" si="386"/>
        <v>RFR USD</v>
      </c>
      <c r="E4960" t="str">
        <f t="shared" ca="1" si="387"/>
        <v>RFR EUR</v>
      </c>
      <c r="F4960" t="str">
        <f t="shared" ca="1" si="388"/>
        <v>RFR GBP</v>
      </c>
      <c r="J4960" s="1"/>
      <c r="N4960" s="1"/>
      <c r="R4960" s="1"/>
      <c r="V4960" s="1"/>
      <c r="AB4960" s="1"/>
      <c r="AF4960" s="1"/>
      <c r="AJ4960" s="1"/>
      <c r="AN4960" s="1"/>
      <c r="AS4960" s="1"/>
      <c r="AX4960" s="1"/>
    </row>
    <row r="4961" spans="1:50" x14ac:dyDescent="0.3">
      <c r="A4961" s="19">
        <f t="shared" si="389"/>
        <v>52860</v>
      </c>
      <c r="B4961">
        <f t="shared" ca="1" si="385"/>
        <v>-18.633333333333333</v>
      </c>
      <c r="C4961" t="str">
        <f ca="1">IF(currency="USD",'Future et co'!D4961,IF(currency="EUR",'Future et co'!E4961,IF(currency="GBP",'Future et co'!F4961,FALSE)))</f>
        <v>RFR USD</v>
      </c>
      <c r="D4961" t="str">
        <f t="shared" ca="1" si="386"/>
        <v>RFR USD</v>
      </c>
      <c r="E4961" t="str">
        <f t="shared" ca="1" si="387"/>
        <v>RFR EUR</v>
      </c>
      <c r="F4961" t="str">
        <f t="shared" ca="1" si="388"/>
        <v>RFR GBP</v>
      </c>
      <c r="J4961" s="1"/>
      <c r="N4961" s="1"/>
      <c r="R4961" s="1"/>
      <c r="V4961" s="1"/>
      <c r="AB4961" s="1"/>
      <c r="AF4961" s="1"/>
      <c r="AJ4961" s="1"/>
      <c r="AN4961" s="1"/>
      <c r="AS4961" s="1"/>
      <c r="AX4961" s="1"/>
    </row>
    <row r="4962" spans="1:50" x14ac:dyDescent="0.3">
      <c r="A4962" s="19">
        <f t="shared" si="389"/>
        <v>52861</v>
      </c>
      <c r="B4962">
        <f t="shared" ca="1" si="385"/>
        <v>-18.636111111111113</v>
      </c>
      <c r="C4962" t="str">
        <f ca="1">IF(currency="USD",'Future et co'!D4962,IF(currency="EUR",'Future et co'!E4962,IF(currency="GBP",'Future et co'!F4962,FALSE)))</f>
        <v>RFR USD</v>
      </c>
      <c r="D4962" t="str">
        <f t="shared" ca="1" si="386"/>
        <v>RFR USD</v>
      </c>
      <c r="E4962" t="str">
        <f t="shared" ca="1" si="387"/>
        <v>RFR EUR</v>
      </c>
      <c r="F4962" t="str">
        <f t="shared" ca="1" si="388"/>
        <v>RFR GBP</v>
      </c>
      <c r="J4962" s="1"/>
      <c r="N4962" s="1"/>
      <c r="R4962" s="1"/>
      <c r="V4962" s="1"/>
      <c r="AB4962" s="1"/>
      <c r="AF4962" s="1"/>
      <c r="AJ4962" s="1"/>
      <c r="AN4962" s="1"/>
      <c r="AS4962" s="1"/>
      <c r="AX4962" s="1"/>
    </row>
    <row r="4963" spans="1:50" x14ac:dyDescent="0.3">
      <c r="A4963" s="19">
        <f t="shared" si="389"/>
        <v>52862</v>
      </c>
      <c r="B4963">
        <f t="shared" ca="1" si="385"/>
        <v>-18.638888888888889</v>
      </c>
      <c r="C4963" t="str">
        <f ca="1">IF(currency="USD",'Future et co'!D4963,IF(currency="EUR",'Future et co'!E4963,IF(currency="GBP",'Future et co'!F4963,FALSE)))</f>
        <v>RFR USD</v>
      </c>
      <c r="D4963" t="str">
        <f t="shared" ca="1" si="386"/>
        <v>RFR USD</v>
      </c>
      <c r="E4963" t="str">
        <f t="shared" ca="1" si="387"/>
        <v>RFR EUR</v>
      </c>
      <c r="F4963" t="str">
        <f t="shared" ca="1" si="388"/>
        <v>RFR GBP</v>
      </c>
      <c r="J4963" s="1"/>
      <c r="N4963" s="1"/>
      <c r="R4963" s="1"/>
      <c r="V4963" s="1"/>
      <c r="AB4963" s="1"/>
      <c r="AF4963" s="1"/>
      <c r="AJ4963" s="1"/>
      <c r="AN4963" s="1"/>
      <c r="AS4963" s="1"/>
      <c r="AX4963" s="1"/>
    </row>
    <row r="4964" spans="1:50" x14ac:dyDescent="0.3">
      <c r="A4964" s="19">
        <f t="shared" si="389"/>
        <v>52863</v>
      </c>
      <c r="B4964">
        <f t="shared" ca="1" si="385"/>
        <v>-18.641666666666666</v>
      </c>
      <c r="C4964" t="str">
        <f ca="1">IF(currency="USD",'Future et co'!D4964,IF(currency="EUR",'Future et co'!E4964,IF(currency="GBP",'Future et co'!F4964,FALSE)))</f>
        <v>RFR USD</v>
      </c>
      <c r="D4964" t="str">
        <f t="shared" ca="1" si="386"/>
        <v>RFR USD</v>
      </c>
      <c r="E4964" t="str">
        <f t="shared" ca="1" si="387"/>
        <v>RFR EUR</v>
      </c>
      <c r="F4964" t="str">
        <f t="shared" ca="1" si="388"/>
        <v>RFR GBP</v>
      </c>
      <c r="J4964" s="1"/>
      <c r="N4964" s="1"/>
      <c r="R4964" s="1"/>
      <c r="V4964" s="1"/>
      <c r="AB4964" s="1"/>
      <c r="AF4964" s="1"/>
      <c r="AJ4964" s="1"/>
      <c r="AN4964" s="1"/>
      <c r="AS4964" s="1"/>
      <c r="AX4964" s="1"/>
    </row>
    <row r="4965" spans="1:50" x14ac:dyDescent="0.3">
      <c r="A4965" s="19">
        <f t="shared" si="389"/>
        <v>52866</v>
      </c>
      <c r="B4965">
        <f t="shared" ca="1" si="385"/>
        <v>-18.649999999999999</v>
      </c>
      <c r="C4965" t="str">
        <f ca="1">IF(currency="USD",'Future et co'!D4965,IF(currency="EUR",'Future et co'!E4965,IF(currency="GBP",'Future et co'!F4965,FALSE)))</f>
        <v>RFR USD</v>
      </c>
      <c r="D4965" t="str">
        <f t="shared" ca="1" si="386"/>
        <v>RFR USD</v>
      </c>
      <c r="E4965" t="str">
        <f t="shared" ca="1" si="387"/>
        <v>RFR EUR</v>
      </c>
      <c r="F4965" t="str">
        <f t="shared" ca="1" si="388"/>
        <v>RFR GBP</v>
      </c>
      <c r="J4965" s="1"/>
      <c r="N4965" s="1"/>
      <c r="R4965" s="1"/>
      <c r="V4965" s="1"/>
      <c r="AB4965" s="1"/>
      <c r="AF4965" s="1"/>
      <c r="AJ4965" s="1"/>
      <c r="AN4965" s="1"/>
      <c r="AS4965" s="1"/>
      <c r="AX4965" s="1"/>
    </row>
    <row r="4966" spans="1:50" x14ac:dyDescent="0.3">
      <c r="A4966" s="19">
        <f t="shared" si="389"/>
        <v>52867</v>
      </c>
      <c r="B4966">
        <f t="shared" ca="1" si="385"/>
        <v>-18.652777777777779</v>
      </c>
      <c r="C4966" t="str">
        <f ca="1">IF(currency="USD",'Future et co'!D4966,IF(currency="EUR",'Future et co'!E4966,IF(currency="GBP",'Future et co'!F4966,FALSE)))</f>
        <v>RFR USD</v>
      </c>
      <c r="D4966" t="str">
        <f t="shared" ca="1" si="386"/>
        <v>RFR USD</v>
      </c>
      <c r="E4966" t="str">
        <f t="shared" ca="1" si="387"/>
        <v>RFR EUR</v>
      </c>
      <c r="F4966" t="str">
        <f t="shared" ca="1" si="388"/>
        <v>RFR GBP</v>
      </c>
      <c r="J4966" s="1"/>
      <c r="N4966" s="1"/>
      <c r="R4966" s="1"/>
      <c r="V4966" s="1"/>
      <c r="AB4966" s="1"/>
      <c r="AF4966" s="1"/>
      <c r="AJ4966" s="1"/>
      <c r="AN4966" s="1"/>
      <c r="AS4966" s="1"/>
      <c r="AX4966" s="1"/>
    </row>
    <row r="4967" spans="1:50" x14ac:dyDescent="0.3">
      <c r="A4967" s="19">
        <f t="shared" si="389"/>
        <v>52868</v>
      </c>
      <c r="B4967">
        <f t="shared" ca="1" si="385"/>
        <v>-18.655555555555555</v>
      </c>
      <c r="C4967" t="str">
        <f ca="1">IF(currency="USD",'Future et co'!D4967,IF(currency="EUR",'Future et co'!E4967,IF(currency="GBP",'Future et co'!F4967,FALSE)))</f>
        <v>RFR USD</v>
      </c>
      <c r="D4967" t="str">
        <f t="shared" ca="1" si="386"/>
        <v>RFR USD</v>
      </c>
      <c r="E4967" t="str">
        <f t="shared" ca="1" si="387"/>
        <v>RFR EUR</v>
      </c>
      <c r="F4967" t="str">
        <f t="shared" ca="1" si="388"/>
        <v>RFR GBP</v>
      </c>
      <c r="J4967" s="1"/>
      <c r="N4967" s="1"/>
      <c r="R4967" s="1"/>
      <c r="V4967" s="1"/>
      <c r="AB4967" s="1"/>
      <c r="AF4967" s="1"/>
      <c r="AJ4967" s="1"/>
      <c r="AN4967" s="1"/>
      <c r="AS4967" s="1"/>
      <c r="AX4967" s="1"/>
    </row>
    <row r="4968" spans="1:50" x14ac:dyDescent="0.3">
      <c r="A4968" s="19">
        <f t="shared" si="389"/>
        <v>52869</v>
      </c>
      <c r="B4968">
        <f t="shared" ca="1" si="385"/>
        <v>-18.658333333333335</v>
      </c>
      <c r="C4968" t="str">
        <f ca="1">IF(currency="USD",'Future et co'!D4968,IF(currency="EUR",'Future et co'!E4968,IF(currency="GBP",'Future et co'!F4968,FALSE)))</f>
        <v>RFR USD</v>
      </c>
      <c r="D4968" t="str">
        <f t="shared" ca="1" si="386"/>
        <v>RFR USD</v>
      </c>
      <c r="E4968" t="str">
        <f t="shared" ca="1" si="387"/>
        <v>RFR EUR</v>
      </c>
      <c r="F4968" t="str">
        <f t="shared" ca="1" si="388"/>
        <v>RFR GBP</v>
      </c>
      <c r="J4968" s="1"/>
      <c r="N4968" s="1"/>
      <c r="R4968" s="1"/>
      <c r="V4968" s="1"/>
      <c r="AB4968" s="1"/>
      <c r="AF4968" s="1"/>
      <c r="AJ4968" s="1"/>
      <c r="AN4968" s="1"/>
      <c r="AS4968" s="1"/>
      <c r="AX4968" s="1"/>
    </row>
    <row r="4969" spans="1:50" x14ac:dyDescent="0.3">
      <c r="A4969" s="19">
        <f t="shared" si="389"/>
        <v>52870</v>
      </c>
      <c r="B4969">
        <f t="shared" ca="1" si="385"/>
        <v>-18.661111111111111</v>
      </c>
      <c r="C4969" t="str">
        <f ca="1">IF(currency="USD",'Future et co'!D4969,IF(currency="EUR",'Future et co'!E4969,IF(currency="GBP",'Future et co'!F4969,FALSE)))</f>
        <v>RFR USD</v>
      </c>
      <c r="D4969" t="str">
        <f t="shared" ca="1" si="386"/>
        <v>RFR USD</v>
      </c>
      <c r="E4969" t="str">
        <f t="shared" ca="1" si="387"/>
        <v>RFR EUR</v>
      </c>
      <c r="F4969" t="str">
        <f t="shared" ca="1" si="388"/>
        <v>RFR GBP</v>
      </c>
      <c r="J4969" s="1"/>
      <c r="N4969" s="1"/>
      <c r="R4969" s="1"/>
      <c r="V4969" s="1"/>
      <c r="AB4969" s="1"/>
      <c r="AF4969" s="1"/>
      <c r="AJ4969" s="1"/>
      <c r="AN4969" s="1"/>
      <c r="AS4969" s="1"/>
      <c r="AX4969" s="1"/>
    </row>
    <row r="4970" spans="1:50" x14ac:dyDescent="0.3">
      <c r="A4970" s="19">
        <f t="shared" si="389"/>
        <v>52873</v>
      </c>
      <c r="B4970">
        <f t="shared" ca="1" si="385"/>
        <v>-18.669444444444444</v>
      </c>
      <c r="C4970" t="str">
        <f ca="1">IF(currency="USD",'Future et co'!D4970,IF(currency="EUR",'Future et co'!E4970,IF(currency="GBP",'Future et co'!F4970,FALSE)))</f>
        <v>RFR USD</v>
      </c>
      <c r="D4970" t="str">
        <f t="shared" ca="1" si="386"/>
        <v>RFR USD</v>
      </c>
      <c r="E4970" t="str">
        <f t="shared" ca="1" si="387"/>
        <v>RFR EUR</v>
      </c>
      <c r="F4970" t="str">
        <f t="shared" ca="1" si="388"/>
        <v>RFR GBP</v>
      </c>
      <c r="J4970" s="1"/>
      <c r="N4970" s="1"/>
      <c r="R4970" s="1"/>
      <c r="V4970" s="1"/>
      <c r="AB4970" s="1"/>
      <c r="AF4970" s="1"/>
      <c r="AJ4970" s="1"/>
      <c r="AN4970" s="1"/>
      <c r="AS4970" s="1"/>
      <c r="AX4970" s="1"/>
    </row>
    <row r="4971" spans="1:50" x14ac:dyDescent="0.3">
      <c r="A4971" s="19">
        <f t="shared" si="389"/>
        <v>52874</v>
      </c>
      <c r="B4971">
        <f t="shared" ca="1" si="385"/>
        <v>-18.672222222222221</v>
      </c>
      <c r="C4971" t="str">
        <f ca="1">IF(currency="USD",'Future et co'!D4971,IF(currency="EUR",'Future et co'!E4971,IF(currency="GBP",'Future et co'!F4971,FALSE)))</f>
        <v>RFR USD</v>
      </c>
      <c r="D4971" t="str">
        <f t="shared" ca="1" si="386"/>
        <v>RFR USD</v>
      </c>
      <c r="E4971" t="str">
        <f t="shared" ca="1" si="387"/>
        <v>RFR EUR</v>
      </c>
      <c r="F4971" t="str">
        <f t="shared" ca="1" si="388"/>
        <v>RFR GBP</v>
      </c>
      <c r="J4971" s="1"/>
      <c r="N4971" s="1"/>
      <c r="R4971" s="1"/>
      <c r="V4971" s="1"/>
      <c r="AB4971" s="1"/>
      <c r="AF4971" s="1"/>
      <c r="AJ4971" s="1"/>
      <c r="AN4971" s="1"/>
      <c r="AS4971" s="1"/>
      <c r="AX4971" s="1"/>
    </row>
    <row r="4972" spans="1:50" x14ac:dyDescent="0.3">
      <c r="A4972" s="19">
        <f t="shared" si="389"/>
        <v>52875</v>
      </c>
      <c r="B4972">
        <f t="shared" ca="1" si="385"/>
        <v>-18.675000000000001</v>
      </c>
      <c r="C4972" t="str">
        <f ca="1">IF(currency="USD",'Future et co'!D4972,IF(currency="EUR",'Future et co'!E4972,IF(currency="GBP",'Future et co'!F4972,FALSE)))</f>
        <v>RFR USD</v>
      </c>
      <c r="D4972" t="str">
        <f t="shared" ca="1" si="386"/>
        <v>RFR USD</v>
      </c>
      <c r="E4972" t="str">
        <f t="shared" ca="1" si="387"/>
        <v>RFR EUR</v>
      </c>
      <c r="F4972" t="str">
        <f t="shared" ca="1" si="388"/>
        <v>RFR GBP</v>
      </c>
      <c r="J4972" s="1"/>
      <c r="N4972" s="1"/>
      <c r="R4972" s="1"/>
      <c r="V4972" s="1"/>
      <c r="AB4972" s="1"/>
      <c r="AF4972" s="1"/>
      <c r="AJ4972" s="1"/>
      <c r="AN4972" s="1"/>
      <c r="AS4972" s="1"/>
      <c r="AX4972" s="1"/>
    </row>
    <row r="4973" spans="1:50" x14ac:dyDescent="0.3">
      <c r="A4973" s="19">
        <f t="shared" si="389"/>
        <v>52876</v>
      </c>
      <c r="B4973">
        <f t="shared" ca="1" si="385"/>
        <v>-18.677777777777777</v>
      </c>
      <c r="C4973" t="str">
        <f ca="1">IF(currency="USD",'Future et co'!D4973,IF(currency="EUR",'Future et co'!E4973,IF(currency="GBP",'Future et co'!F4973,FALSE)))</f>
        <v>RFR USD</v>
      </c>
      <c r="D4973" t="str">
        <f t="shared" ca="1" si="386"/>
        <v>RFR USD</v>
      </c>
      <c r="E4973" t="str">
        <f t="shared" ca="1" si="387"/>
        <v>RFR EUR</v>
      </c>
      <c r="F4973" t="str">
        <f t="shared" ca="1" si="388"/>
        <v>RFR GBP</v>
      </c>
      <c r="J4973" s="1"/>
      <c r="N4973" s="1"/>
      <c r="R4973" s="1"/>
      <c r="V4973" s="1"/>
      <c r="AB4973" s="1"/>
      <c r="AF4973" s="1"/>
      <c r="AJ4973" s="1"/>
      <c r="AN4973" s="1"/>
      <c r="AS4973" s="1"/>
      <c r="AX4973" s="1"/>
    </row>
    <row r="4974" spans="1:50" x14ac:dyDescent="0.3">
      <c r="A4974" s="19">
        <f t="shared" si="389"/>
        <v>52877</v>
      </c>
      <c r="B4974">
        <f t="shared" ca="1" si="385"/>
        <v>-18.680555555555557</v>
      </c>
      <c r="C4974" t="str">
        <f ca="1">IF(currency="USD",'Future et co'!D4974,IF(currency="EUR",'Future et co'!E4974,IF(currency="GBP",'Future et co'!F4974,FALSE)))</f>
        <v>RFR USD</v>
      </c>
      <c r="D4974" t="str">
        <f t="shared" ca="1" si="386"/>
        <v>RFR USD</v>
      </c>
      <c r="E4974" t="str">
        <f t="shared" ca="1" si="387"/>
        <v>RFR EUR</v>
      </c>
      <c r="F4974" t="str">
        <f t="shared" ca="1" si="388"/>
        <v>RFR GBP</v>
      </c>
      <c r="J4974" s="1"/>
      <c r="N4974" s="1"/>
      <c r="R4974" s="1"/>
      <c r="V4974" s="1"/>
      <c r="AB4974" s="1"/>
      <c r="AF4974" s="1"/>
      <c r="AJ4974" s="1"/>
      <c r="AN4974" s="1"/>
      <c r="AS4974" s="1"/>
      <c r="AX4974" s="1"/>
    </row>
    <row r="4975" spans="1:50" x14ac:dyDescent="0.3">
      <c r="A4975" s="19">
        <f t="shared" si="389"/>
        <v>52880</v>
      </c>
      <c r="B4975">
        <f t="shared" ca="1" si="385"/>
        <v>-18.68888888888889</v>
      </c>
      <c r="C4975" t="str">
        <f ca="1">IF(currency="USD",'Future et co'!D4975,IF(currency="EUR",'Future et co'!E4975,IF(currency="GBP",'Future et co'!F4975,FALSE)))</f>
        <v>RFR USD</v>
      </c>
      <c r="D4975" t="str">
        <f t="shared" ca="1" si="386"/>
        <v>RFR USD</v>
      </c>
      <c r="E4975" t="str">
        <f t="shared" ca="1" si="387"/>
        <v>RFR EUR</v>
      </c>
      <c r="F4975" t="str">
        <f t="shared" ca="1" si="388"/>
        <v>RFR GBP</v>
      </c>
      <c r="J4975" s="1"/>
      <c r="N4975" s="1"/>
      <c r="R4975" s="1"/>
      <c r="V4975" s="1"/>
      <c r="AB4975" s="1"/>
      <c r="AF4975" s="1"/>
      <c r="AJ4975" s="1"/>
      <c r="AN4975" s="1"/>
      <c r="AS4975" s="1"/>
      <c r="AX4975" s="1"/>
    </row>
    <row r="4976" spans="1:50" x14ac:dyDescent="0.3">
      <c r="A4976" s="19">
        <f t="shared" si="389"/>
        <v>52881</v>
      </c>
      <c r="B4976">
        <f t="shared" ca="1" si="385"/>
        <v>-18.691666666666666</v>
      </c>
      <c r="C4976" t="str">
        <f ca="1">IF(currency="USD",'Future et co'!D4976,IF(currency="EUR",'Future et co'!E4976,IF(currency="GBP",'Future et co'!F4976,FALSE)))</f>
        <v>RFR USD</v>
      </c>
      <c r="D4976" t="str">
        <f t="shared" ca="1" si="386"/>
        <v>RFR USD</v>
      </c>
      <c r="E4976" t="str">
        <f t="shared" ca="1" si="387"/>
        <v>RFR EUR</v>
      </c>
      <c r="F4976" t="str">
        <f t="shared" ca="1" si="388"/>
        <v>RFR GBP</v>
      </c>
      <c r="J4976" s="1"/>
      <c r="N4976" s="1"/>
      <c r="R4976" s="1"/>
      <c r="V4976" s="1"/>
      <c r="AB4976" s="1"/>
      <c r="AF4976" s="1"/>
      <c r="AJ4976" s="1"/>
      <c r="AN4976" s="1"/>
      <c r="AS4976" s="1"/>
      <c r="AX4976" s="1"/>
    </row>
    <row r="4977" spans="1:50" x14ac:dyDescent="0.3">
      <c r="A4977" s="19">
        <f t="shared" si="389"/>
        <v>52882</v>
      </c>
      <c r="B4977">
        <f t="shared" ca="1" si="385"/>
        <v>-18.694444444444443</v>
      </c>
      <c r="C4977" t="str">
        <f ca="1">IF(currency="USD",'Future et co'!D4977,IF(currency="EUR",'Future et co'!E4977,IF(currency="GBP",'Future et co'!F4977,FALSE)))</f>
        <v>RFR USD</v>
      </c>
      <c r="D4977" t="str">
        <f t="shared" ca="1" si="386"/>
        <v>RFR USD</v>
      </c>
      <c r="E4977" t="str">
        <f t="shared" ca="1" si="387"/>
        <v>RFR EUR</v>
      </c>
      <c r="F4977" t="str">
        <f t="shared" ca="1" si="388"/>
        <v>RFR GBP</v>
      </c>
      <c r="J4977" s="1"/>
      <c r="N4977" s="1"/>
      <c r="R4977" s="1"/>
      <c r="V4977" s="1"/>
      <c r="AB4977" s="1"/>
      <c r="AF4977" s="1"/>
      <c r="AJ4977" s="1"/>
      <c r="AN4977" s="1"/>
      <c r="AS4977" s="1"/>
      <c r="AX4977" s="1"/>
    </row>
    <row r="4978" spans="1:50" x14ac:dyDescent="0.3">
      <c r="A4978" s="19">
        <f t="shared" si="389"/>
        <v>52883</v>
      </c>
      <c r="B4978">
        <f t="shared" ca="1" si="385"/>
        <v>-18.697222222222223</v>
      </c>
      <c r="C4978" t="str">
        <f ca="1">IF(currency="USD",'Future et co'!D4978,IF(currency="EUR",'Future et co'!E4978,IF(currency="GBP",'Future et co'!F4978,FALSE)))</f>
        <v>RFR USD</v>
      </c>
      <c r="D4978" t="str">
        <f t="shared" ca="1" si="386"/>
        <v>RFR USD</v>
      </c>
      <c r="E4978" t="str">
        <f t="shared" ca="1" si="387"/>
        <v>RFR EUR</v>
      </c>
      <c r="F4978" t="str">
        <f t="shared" ca="1" si="388"/>
        <v>RFR GBP</v>
      </c>
      <c r="J4978" s="1"/>
      <c r="N4978" s="1"/>
      <c r="R4978" s="1"/>
      <c r="V4978" s="1"/>
      <c r="AB4978" s="1"/>
      <c r="AF4978" s="1"/>
      <c r="AJ4978" s="1"/>
      <c r="AN4978" s="1"/>
      <c r="AS4978" s="1"/>
      <c r="AX4978" s="1"/>
    </row>
    <row r="4979" spans="1:50" x14ac:dyDescent="0.3">
      <c r="A4979" s="19">
        <f t="shared" si="389"/>
        <v>52884</v>
      </c>
      <c r="B4979">
        <f t="shared" ca="1" si="385"/>
        <v>-18.7</v>
      </c>
      <c r="C4979" t="str">
        <f ca="1">IF(currency="USD",'Future et co'!D4979,IF(currency="EUR",'Future et co'!E4979,IF(currency="GBP",'Future et co'!F4979,FALSE)))</f>
        <v>RFR USD</v>
      </c>
      <c r="D4979" t="str">
        <f t="shared" ca="1" si="386"/>
        <v>RFR USD</v>
      </c>
      <c r="E4979" t="str">
        <f t="shared" ca="1" si="387"/>
        <v>RFR EUR</v>
      </c>
      <c r="F4979" t="str">
        <f t="shared" ca="1" si="388"/>
        <v>RFR GBP</v>
      </c>
      <c r="J4979" s="1"/>
      <c r="N4979" s="1"/>
      <c r="R4979" s="1"/>
      <c r="V4979" s="1"/>
      <c r="AB4979" s="1"/>
      <c r="AF4979" s="1"/>
      <c r="AJ4979" s="1"/>
      <c r="AN4979" s="1"/>
      <c r="AS4979" s="1"/>
      <c r="AX4979" s="1"/>
    </row>
    <row r="4980" spans="1:50" x14ac:dyDescent="0.3">
      <c r="A4980" s="19">
        <f t="shared" si="389"/>
        <v>52887</v>
      </c>
      <c r="B4980">
        <f t="shared" ca="1" si="385"/>
        <v>-18.708333333333332</v>
      </c>
      <c r="C4980" t="str">
        <f ca="1">IF(currency="USD",'Future et co'!D4980,IF(currency="EUR",'Future et co'!E4980,IF(currency="GBP",'Future et co'!F4980,FALSE)))</f>
        <v>RFR USD</v>
      </c>
      <c r="D4980" t="str">
        <f t="shared" ca="1" si="386"/>
        <v>RFR USD</v>
      </c>
      <c r="E4980" t="str">
        <f t="shared" ca="1" si="387"/>
        <v>RFR EUR</v>
      </c>
      <c r="F4980" t="str">
        <f t="shared" ca="1" si="388"/>
        <v>RFR GBP</v>
      </c>
      <c r="J4980" s="1"/>
      <c r="N4980" s="1"/>
      <c r="R4980" s="1"/>
      <c r="V4980" s="1"/>
      <c r="AB4980" s="1"/>
      <c r="AF4980" s="1"/>
      <c r="AJ4980" s="1"/>
      <c r="AN4980" s="1"/>
      <c r="AS4980" s="1"/>
      <c r="AX4980" s="1"/>
    </row>
    <row r="4981" spans="1:50" x14ac:dyDescent="0.3">
      <c r="A4981" s="19">
        <f t="shared" si="389"/>
        <v>52888</v>
      </c>
      <c r="B4981">
        <f t="shared" ca="1" si="385"/>
        <v>-18.711111111111112</v>
      </c>
      <c r="C4981" t="str">
        <f ca="1">IF(currency="USD",'Future et co'!D4981,IF(currency="EUR",'Future et co'!E4981,IF(currency="GBP",'Future et co'!F4981,FALSE)))</f>
        <v>RFR USD</v>
      </c>
      <c r="D4981" t="str">
        <f t="shared" ca="1" si="386"/>
        <v>RFR USD</v>
      </c>
      <c r="E4981" t="str">
        <f t="shared" ca="1" si="387"/>
        <v>RFR EUR</v>
      </c>
      <c r="F4981" t="str">
        <f t="shared" ca="1" si="388"/>
        <v>RFR GBP</v>
      </c>
      <c r="J4981" s="1"/>
      <c r="N4981" s="1"/>
      <c r="R4981" s="1"/>
      <c r="V4981" s="1"/>
      <c r="AB4981" s="1"/>
      <c r="AF4981" s="1"/>
      <c r="AJ4981" s="1"/>
      <c r="AN4981" s="1"/>
      <c r="AS4981" s="1"/>
      <c r="AX4981" s="1"/>
    </row>
    <row r="4982" spans="1:50" x14ac:dyDescent="0.3">
      <c r="A4982" s="19">
        <f t="shared" si="389"/>
        <v>52889</v>
      </c>
      <c r="B4982">
        <f t="shared" ca="1" si="385"/>
        <v>-18.713888888888889</v>
      </c>
      <c r="C4982" t="str">
        <f ca="1">IF(currency="USD",'Future et co'!D4982,IF(currency="EUR",'Future et co'!E4982,IF(currency="GBP",'Future et co'!F4982,FALSE)))</f>
        <v>RFR USD</v>
      </c>
      <c r="D4982" t="str">
        <f t="shared" ca="1" si="386"/>
        <v>RFR USD</v>
      </c>
      <c r="E4982" t="str">
        <f t="shared" ca="1" si="387"/>
        <v>RFR EUR</v>
      </c>
      <c r="F4982" t="str">
        <f t="shared" ca="1" si="388"/>
        <v>RFR GBP</v>
      </c>
      <c r="J4982" s="1"/>
      <c r="N4982" s="1"/>
      <c r="R4982" s="1"/>
      <c r="V4982" s="1"/>
      <c r="AB4982" s="1"/>
      <c r="AF4982" s="1"/>
      <c r="AJ4982" s="1"/>
      <c r="AN4982" s="1"/>
      <c r="AS4982" s="1"/>
      <c r="AX4982" s="1"/>
    </row>
    <row r="4983" spans="1:50" x14ac:dyDescent="0.3">
      <c r="A4983" s="19">
        <f t="shared" si="389"/>
        <v>52890</v>
      </c>
      <c r="B4983">
        <f t="shared" ca="1" si="385"/>
        <v>-18.716666666666665</v>
      </c>
      <c r="C4983" t="str">
        <f ca="1">IF(currency="USD",'Future et co'!D4983,IF(currency="EUR",'Future et co'!E4983,IF(currency="GBP",'Future et co'!F4983,FALSE)))</f>
        <v>RFR USD</v>
      </c>
      <c r="D4983" t="str">
        <f t="shared" ca="1" si="386"/>
        <v>RFR USD</v>
      </c>
      <c r="E4983" t="str">
        <f t="shared" ca="1" si="387"/>
        <v>RFR EUR</v>
      </c>
      <c r="F4983" t="str">
        <f t="shared" ca="1" si="388"/>
        <v>RFR GBP</v>
      </c>
      <c r="J4983" s="1"/>
      <c r="N4983" s="1"/>
      <c r="R4983" s="1"/>
      <c r="V4983" s="1"/>
      <c r="AB4983" s="1"/>
      <c r="AF4983" s="1"/>
      <c r="AJ4983" s="1"/>
      <c r="AN4983" s="1"/>
      <c r="AS4983" s="1"/>
      <c r="AX4983" s="1"/>
    </row>
    <row r="4984" spans="1:50" x14ac:dyDescent="0.3">
      <c r="A4984" s="19">
        <f t="shared" si="389"/>
        <v>52891</v>
      </c>
      <c r="B4984">
        <f t="shared" ca="1" si="385"/>
        <v>-18.719444444444445</v>
      </c>
      <c r="C4984" t="str">
        <f ca="1">IF(currency="USD",'Future et co'!D4984,IF(currency="EUR",'Future et co'!E4984,IF(currency="GBP",'Future et co'!F4984,FALSE)))</f>
        <v>RFR USD</v>
      </c>
      <c r="D4984" t="str">
        <f t="shared" ca="1" si="386"/>
        <v>RFR USD</v>
      </c>
      <c r="E4984" t="str">
        <f t="shared" ca="1" si="387"/>
        <v>RFR EUR</v>
      </c>
      <c r="F4984" t="str">
        <f t="shared" ca="1" si="388"/>
        <v>RFR GBP</v>
      </c>
      <c r="J4984" s="1"/>
      <c r="N4984" s="1"/>
      <c r="R4984" s="1"/>
      <c r="V4984" s="1"/>
      <c r="AB4984" s="1"/>
      <c r="AF4984" s="1"/>
      <c r="AJ4984" s="1"/>
      <c r="AN4984" s="1"/>
      <c r="AS4984" s="1"/>
      <c r="AX4984" s="1"/>
    </row>
    <row r="4985" spans="1:50" x14ac:dyDescent="0.3">
      <c r="A4985" s="19">
        <f t="shared" si="389"/>
        <v>52894</v>
      </c>
      <c r="B4985">
        <f t="shared" ca="1" si="385"/>
        <v>-18.727777777777778</v>
      </c>
      <c r="C4985" t="str">
        <f ca="1">IF(currency="USD",'Future et co'!D4985,IF(currency="EUR",'Future et co'!E4985,IF(currency="GBP",'Future et co'!F4985,FALSE)))</f>
        <v>RFR USD</v>
      </c>
      <c r="D4985" t="str">
        <f t="shared" ca="1" si="386"/>
        <v>RFR USD</v>
      </c>
      <c r="E4985" t="str">
        <f t="shared" ca="1" si="387"/>
        <v>RFR EUR</v>
      </c>
      <c r="F4985" t="str">
        <f t="shared" ca="1" si="388"/>
        <v>RFR GBP</v>
      </c>
      <c r="J4985" s="1"/>
      <c r="N4985" s="1"/>
      <c r="R4985" s="1"/>
      <c r="V4985" s="1"/>
      <c r="AB4985" s="1"/>
      <c r="AF4985" s="1"/>
      <c r="AJ4985" s="1"/>
      <c r="AN4985" s="1"/>
      <c r="AS4985" s="1"/>
      <c r="AX4985" s="1"/>
    </row>
    <row r="4986" spans="1:50" x14ac:dyDescent="0.3">
      <c r="A4986" s="19">
        <f t="shared" si="389"/>
        <v>52895</v>
      </c>
      <c r="B4986">
        <f t="shared" ca="1" si="385"/>
        <v>-18.730555555555554</v>
      </c>
      <c r="C4986" t="str">
        <f ca="1">IF(currency="USD",'Future et co'!D4986,IF(currency="EUR",'Future et co'!E4986,IF(currency="GBP",'Future et co'!F4986,FALSE)))</f>
        <v>RFR USD</v>
      </c>
      <c r="D4986" t="str">
        <f t="shared" ca="1" si="386"/>
        <v>RFR USD</v>
      </c>
      <c r="E4986" t="str">
        <f t="shared" ca="1" si="387"/>
        <v>RFR EUR</v>
      </c>
      <c r="F4986" t="str">
        <f t="shared" ca="1" si="388"/>
        <v>RFR GBP</v>
      </c>
      <c r="J4986" s="1"/>
      <c r="N4986" s="1"/>
      <c r="R4986" s="1"/>
      <c r="V4986" s="1"/>
      <c r="AB4986" s="1"/>
      <c r="AF4986" s="1"/>
      <c r="AJ4986" s="1"/>
      <c r="AN4986" s="1"/>
      <c r="AS4986" s="1"/>
      <c r="AX4986" s="1"/>
    </row>
    <row r="4987" spans="1:50" x14ac:dyDescent="0.3">
      <c r="A4987" s="19">
        <f t="shared" si="389"/>
        <v>52896</v>
      </c>
      <c r="B4987">
        <f t="shared" ca="1" si="385"/>
        <v>-18.733333333333334</v>
      </c>
      <c r="C4987" t="str">
        <f ca="1">IF(currency="USD",'Future et co'!D4987,IF(currency="EUR",'Future et co'!E4987,IF(currency="GBP",'Future et co'!F4987,FALSE)))</f>
        <v>RFR USD</v>
      </c>
      <c r="D4987" t="str">
        <f t="shared" ca="1" si="386"/>
        <v>RFR USD</v>
      </c>
      <c r="E4987" t="str">
        <f t="shared" ca="1" si="387"/>
        <v>RFR EUR</v>
      </c>
      <c r="F4987" t="str">
        <f t="shared" ca="1" si="388"/>
        <v>RFR GBP</v>
      </c>
      <c r="J4987" s="1"/>
      <c r="N4987" s="1"/>
      <c r="R4987" s="1"/>
      <c r="V4987" s="1"/>
      <c r="AB4987" s="1"/>
      <c r="AF4987" s="1"/>
      <c r="AJ4987" s="1"/>
      <c r="AN4987" s="1"/>
      <c r="AS4987" s="1"/>
      <c r="AX4987" s="1"/>
    </row>
    <row r="4988" spans="1:50" x14ac:dyDescent="0.3">
      <c r="A4988" s="19">
        <f t="shared" si="389"/>
        <v>52897</v>
      </c>
      <c r="B4988">
        <f t="shared" ca="1" si="385"/>
        <v>-18.736111111111111</v>
      </c>
      <c r="C4988" t="str">
        <f ca="1">IF(currency="USD",'Future et co'!D4988,IF(currency="EUR",'Future et co'!E4988,IF(currency="GBP",'Future et co'!F4988,FALSE)))</f>
        <v>RFR USD</v>
      </c>
      <c r="D4988" t="str">
        <f t="shared" ca="1" si="386"/>
        <v>RFR USD</v>
      </c>
      <c r="E4988" t="str">
        <f t="shared" ca="1" si="387"/>
        <v>RFR EUR</v>
      </c>
      <c r="F4988" t="str">
        <f t="shared" ca="1" si="388"/>
        <v>RFR GBP</v>
      </c>
      <c r="J4988" s="1"/>
      <c r="N4988" s="1"/>
      <c r="R4988" s="1"/>
      <c r="V4988" s="1"/>
      <c r="AB4988" s="1"/>
      <c r="AF4988" s="1"/>
      <c r="AJ4988" s="1"/>
      <c r="AN4988" s="1"/>
      <c r="AS4988" s="1"/>
      <c r="AX4988" s="1"/>
    </row>
    <row r="4989" spans="1:50" x14ac:dyDescent="0.3">
      <c r="A4989" s="19">
        <f t="shared" si="389"/>
        <v>52898</v>
      </c>
      <c r="B4989">
        <f t="shared" ca="1" si="385"/>
        <v>-18.738888888888887</v>
      </c>
      <c r="C4989" t="str">
        <f ca="1">IF(currency="USD",'Future et co'!D4989,IF(currency="EUR",'Future et co'!E4989,IF(currency="GBP",'Future et co'!F4989,FALSE)))</f>
        <v>RFR USD</v>
      </c>
      <c r="D4989" t="str">
        <f t="shared" ca="1" si="386"/>
        <v>RFR USD</v>
      </c>
      <c r="E4989" t="str">
        <f t="shared" ca="1" si="387"/>
        <v>RFR EUR</v>
      </c>
      <c r="F4989" t="str">
        <f t="shared" ca="1" si="388"/>
        <v>RFR GBP</v>
      </c>
      <c r="J4989" s="1"/>
      <c r="N4989" s="1"/>
      <c r="R4989" s="1"/>
      <c r="V4989" s="1"/>
      <c r="AB4989" s="1"/>
      <c r="AF4989" s="1"/>
      <c r="AJ4989" s="1"/>
      <c r="AN4989" s="1"/>
      <c r="AS4989" s="1"/>
      <c r="AX4989" s="1"/>
    </row>
    <row r="4990" spans="1:50" x14ac:dyDescent="0.3">
      <c r="A4990" s="19">
        <f t="shared" si="389"/>
        <v>52901</v>
      </c>
      <c r="B4990">
        <f t="shared" ca="1" si="385"/>
        <v>-18.747222222222224</v>
      </c>
      <c r="C4990" t="str">
        <f ca="1">IF(currency="USD",'Future et co'!D4990,IF(currency="EUR",'Future et co'!E4990,IF(currency="GBP",'Future et co'!F4990,FALSE)))</f>
        <v>RFR USD</v>
      </c>
      <c r="D4990" t="str">
        <f t="shared" ca="1" si="386"/>
        <v>RFR USD</v>
      </c>
      <c r="E4990" t="str">
        <f t="shared" ca="1" si="387"/>
        <v>RFR EUR</v>
      </c>
      <c r="F4990" t="str">
        <f t="shared" ca="1" si="388"/>
        <v>RFR GBP</v>
      </c>
      <c r="J4990" s="1"/>
      <c r="N4990" s="1"/>
      <c r="R4990" s="1"/>
      <c r="V4990" s="1"/>
      <c r="AB4990" s="1"/>
      <c r="AF4990" s="1"/>
      <c r="AJ4990" s="1"/>
      <c r="AN4990" s="1"/>
      <c r="AS4990" s="1"/>
      <c r="AX4990" s="1"/>
    </row>
    <row r="4991" spans="1:50" x14ac:dyDescent="0.3">
      <c r="A4991" s="19">
        <f t="shared" si="389"/>
        <v>52902</v>
      </c>
      <c r="B4991">
        <f t="shared" ca="1" si="385"/>
        <v>-18.75</v>
      </c>
      <c r="C4991" t="str">
        <f ca="1">IF(currency="USD",'Future et co'!D4991,IF(currency="EUR",'Future et co'!E4991,IF(currency="GBP",'Future et co'!F4991,FALSE)))</f>
        <v>RFR USD</v>
      </c>
      <c r="D4991" t="str">
        <f t="shared" ca="1" si="386"/>
        <v>RFR USD</v>
      </c>
      <c r="E4991" t="str">
        <f t="shared" ca="1" si="387"/>
        <v>RFR EUR</v>
      </c>
      <c r="F4991" t="str">
        <f t="shared" ca="1" si="388"/>
        <v>RFR GBP</v>
      </c>
      <c r="J4991" s="1"/>
      <c r="N4991" s="1"/>
      <c r="R4991" s="1"/>
      <c r="V4991" s="1"/>
      <c r="AB4991" s="1"/>
      <c r="AF4991" s="1"/>
      <c r="AJ4991" s="1"/>
      <c r="AN4991" s="1"/>
      <c r="AS4991" s="1"/>
      <c r="AX4991" s="1"/>
    </row>
    <row r="4992" spans="1:50" x14ac:dyDescent="0.3">
      <c r="A4992" s="19">
        <f t="shared" si="389"/>
        <v>52903</v>
      </c>
      <c r="B4992">
        <f t="shared" ca="1" si="385"/>
        <v>-18.752777777777776</v>
      </c>
      <c r="C4992" t="str">
        <f ca="1">IF(currency="USD",'Future et co'!D4992,IF(currency="EUR",'Future et co'!E4992,IF(currency="GBP",'Future et co'!F4992,FALSE)))</f>
        <v>RFR USD</v>
      </c>
      <c r="D4992" t="str">
        <f t="shared" ca="1" si="386"/>
        <v>RFR USD</v>
      </c>
      <c r="E4992" t="str">
        <f t="shared" ca="1" si="387"/>
        <v>RFR EUR</v>
      </c>
      <c r="F4992" t="str">
        <f t="shared" ca="1" si="388"/>
        <v>RFR GBP</v>
      </c>
      <c r="J4992" s="1"/>
      <c r="N4992" s="1"/>
      <c r="R4992" s="1"/>
      <c r="V4992" s="1"/>
      <c r="AB4992" s="1"/>
      <c r="AF4992" s="1"/>
      <c r="AJ4992" s="1"/>
      <c r="AN4992" s="1"/>
      <c r="AS4992" s="1"/>
      <c r="AX4992" s="1"/>
    </row>
    <row r="4993" spans="1:50" x14ac:dyDescent="0.3">
      <c r="A4993" s="19">
        <f t="shared" si="389"/>
        <v>52904</v>
      </c>
      <c r="B4993">
        <f t="shared" ca="1" si="385"/>
        <v>-18.755555555555556</v>
      </c>
      <c r="C4993" t="str">
        <f ca="1">IF(currency="USD",'Future et co'!D4993,IF(currency="EUR",'Future et co'!E4993,IF(currency="GBP",'Future et co'!F4993,FALSE)))</f>
        <v>RFR USD</v>
      </c>
      <c r="D4993" t="str">
        <f t="shared" ca="1" si="386"/>
        <v>RFR USD</v>
      </c>
      <c r="E4993" t="str">
        <f t="shared" ca="1" si="387"/>
        <v>RFR EUR</v>
      </c>
      <c r="F4993" t="str">
        <f t="shared" ca="1" si="388"/>
        <v>RFR GBP</v>
      </c>
      <c r="J4993" s="1"/>
      <c r="N4993" s="1"/>
      <c r="R4993" s="1"/>
      <c r="V4993" s="1"/>
      <c r="AB4993" s="1"/>
      <c r="AF4993" s="1"/>
      <c r="AJ4993" s="1"/>
      <c r="AN4993" s="1"/>
      <c r="AS4993" s="1"/>
      <c r="AX4993" s="1"/>
    </row>
    <row r="4994" spans="1:50" x14ac:dyDescent="0.3">
      <c r="A4994" s="19">
        <f t="shared" si="389"/>
        <v>52905</v>
      </c>
      <c r="B4994">
        <f t="shared" ca="1" si="385"/>
        <v>-18.758333333333333</v>
      </c>
      <c r="C4994" t="str">
        <f ca="1">IF(currency="USD",'Future et co'!D4994,IF(currency="EUR",'Future et co'!E4994,IF(currency="GBP",'Future et co'!F4994,FALSE)))</f>
        <v>RFR USD</v>
      </c>
      <c r="D4994" t="str">
        <f t="shared" ca="1" si="386"/>
        <v>RFR USD</v>
      </c>
      <c r="E4994" t="str">
        <f t="shared" ca="1" si="387"/>
        <v>RFR EUR</v>
      </c>
      <c r="F4994" t="str">
        <f t="shared" ca="1" si="388"/>
        <v>RFR GBP</v>
      </c>
      <c r="J4994" s="1"/>
      <c r="N4994" s="1"/>
      <c r="R4994" s="1"/>
      <c r="V4994" s="1"/>
      <c r="AB4994" s="1"/>
      <c r="AF4994" s="1"/>
      <c r="AJ4994" s="1"/>
      <c r="AN4994" s="1"/>
      <c r="AS4994" s="1"/>
      <c r="AX4994" s="1"/>
    </row>
    <row r="4995" spans="1:50" x14ac:dyDescent="0.3">
      <c r="A4995" s="19">
        <f t="shared" si="389"/>
        <v>52908</v>
      </c>
      <c r="B4995">
        <f t="shared" ca="1" si="385"/>
        <v>-18.766666666666666</v>
      </c>
      <c r="C4995" t="str">
        <f ca="1">IF(currency="USD",'Future et co'!D4995,IF(currency="EUR",'Future et co'!E4995,IF(currency="GBP",'Future et co'!F4995,FALSE)))</f>
        <v>RFR USD</v>
      </c>
      <c r="D4995" t="str">
        <f t="shared" ca="1" si="386"/>
        <v>RFR USD</v>
      </c>
      <c r="E4995" t="str">
        <f t="shared" ca="1" si="387"/>
        <v>RFR EUR</v>
      </c>
      <c r="F4995" t="str">
        <f t="shared" ca="1" si="388"/>
        <v>RFR GBP</v>
      </c>
      <c r="J4995" s="1"/>
      <c r="N4995" s="1"/>
      <c r="R4995" s="1"/>
      <c r="V4995" s="1"/>
      <c r="AB4995" s="1"/>
      <c r="AF4995" s="1"/>
      <c r="AJ4995" s="1"/>
      <c r="AN4995" s="1"/>
      <c r="AS4995" s="1"/>
      <c r="AX4995" s="1"/>
    </row>
    <row r="4996" spans="1:50" x14ac:dyDescent="0.3">
      <c r="A4996" s="19">
        <f t="shared" si="389"/>
        <v>52909</v>
      </c>
      <c r="B4996">
        <f t="shared" ca="1" si="385"/>
        <v>-18.769444444444446</v>
      </c>
      <c r="C4996" t="str">
        <f ca="1">IF(currency="USD",'Future et co'!D4996,IF(currency="EUR",'Future et co'!E4996,IF(currency="GBP",'Future et co'!F4996,FALSE)))</f>
        <v>RFR USD</v>
      </c>
      <c r="D4996" t="str">
        <f t="shared" ca="1" si="386"/>
        <v>RFR USD</v>
      </c>
      <c r="E4996" t="str">
        <f t="shared" ca="1" si="387"/>
        <v>RFR EUR</v>
      </c>
      <c r="F4996" t="str">
        <f t="shared" ca="1" si="388"/>
        <v>RFR GBP</v>
      </c>
      <c r="J4996" s="1"/>
      <c r="N4996" s="1"/>
      <c r="R4996" s="1"/>
      <c r="V4996" s="1"/>
      <c r="AB4996" s="1"/>
      <c r="AF4996" s="1"/>
      <c r="AJ4996" s="1"/>
      <c r="AN4996" s="1"/>
      <c r="AS4996" s="1"/>
      <c r="AX4996" s="1"/>
    </row>
    <row r="4997" spans="1:50" x14ac:dyDescent="0.3">
      <c r="A4997" s="19">
        <f t="shared" si="389"/>
        <v>52910</v>
      </c>
      <c r="B4997">
        <f t="shared" ca="1" si="385"/>
        <v>-18.772222222222222</v>
      </c>
      <c r="C4997" t="str">
        <f ca="1">IF(currency="USD",'Future et co'!D4997,IF(currency="EUR",'Future et co'!E4997,IF(currency="GBP",'Future et co'!F4997,FALSE)))</f>
        <v>RFR USD</v>
      </c>
      <c r="D4997" t="str">
        <f t="shared" ca="1" si="386"/>
        <v>RFR USD</v>
      </c>
      <c r="E4997" t="str">
        <f t="shared" ca="1" si="387"/>
        <v>RFR EUR</v>
      </c>
      <c r="F4997" t="str">
        <f t="shared" ca="1" si="388"/>
        <v>RFR GBP</v>
      </c>
      <c r="J4997" s="1"/>
      <c r="N4997" s="1"/>
      <c r="R4997" s="1"/>
      <c r="V4997" s="1"/>
      <c r="AB4997" s="1"/>
      <c r="AF4997" s="1"/>
      <c r="AJ4997" s="1"/>
      <c r="AN4997" s="1"/>
      <c r="AS4997" s="1"/>
      <c r="AX4997" s="1"/>
    </row>
    <row r="4998" spans="1:50" x14ac:dyDescent="0.3">
      <c r="A4998" s="19">
        <f t="shared" si="389"/>
        <v>52911</v>
      </c>
      <c r="B4998">
        <f t="shared" ca="1" si="385"/>
        <v>-18.774999999999999</v>
      </c>
      <c r="C4998" t="str">
        <f ca="1">IF(currency="USD",'Future et co'!D4998,IF(currency="EUR",'Future et co'!E4998,IF(currency="GBP",'Future et co'!F4998,FALSE)))</f>
        <v>RFR USD</v>
      </c>
      <c r="D4998" t="str">
        <f t="shared" ca="1" si="386"/>
        <v>RFR USD</v>
      </c>
      <c r="E4998" t="str">
        <f t="shared" ca="1" si="387"/>
        <v>RFR EUR</v>
      </c>
      <c r="F4998" t="str">
        <f t="shared" ca="1" si="388"/>
        <v>RFR GBP</v>
      </c>
      <c r="J4998" s="1"/>
      <c r="N4998" s="1"/>
      <c r="R4998" s="1"/>
      <c r="V4998" s="1"/>
      <c r="AB4998" s="1"/>
      <c r="AF4998" s="1"/>
      <c r="AJ4998" s="1"/>
      <c r="AN4998" s="1"/>
      <c r="AS4998" s="1"/>
      <c r="AX4998" s="1"/>
    </row>
    <row r="4999" spans="1:50" x14ac:dyDescent="0.3">
      <c r="A4999" s="19">
        <f t="shared" si="389"/>
        <v>52912</v>
      </c>
      <c r="B4999">
        <f t="shared" ca="1" si="385"/>
        <v>-18.777777777777779</v>
      </c>
      <c r="C4999" t="str">
        <f ca="1">IF(currency="USD",'Future et co'!D4999,IF(currency="EUR",'Future et co'!E4999,IF(currency="GBP",'Future et co'!F4999,FALSE)))</f>
        <v>RFR USD</v>
      </c>
      <c r="D4999" t="str">
        <f t="shared" ca="1" si="386"/>
        <v>RFR USD</v>
      </c>
      <c r="E4999" t="str">
        <f t="shared" ca="1" si="387"/>
        <v>RFR EUR</v>
      </c>
      <c r="F4999" t="str">
        <f t="shared" ca="1" si="388"/>
        <v>RFR GBP</v>
      </c>
      <c r="J4999" s="1"/>
      <c r="N4999" s="1"/>
      <c r="R4999" s="1"/>
      <c r="V4999" s="1"/>
      <c r="AB4999" s="1"/>
      <c r="AF4999" s="1"/>
      <c r="AJ4999" s="1"/>
      <c r="AN4999" s="1"/>
      <c r="AS4999" s="1"/>
      <c r="AX4999" s="1"/>
    </row>
    <row r="5000" spans="1:50" x14ac:dyDescent="0.3">
      <c r="A5000" s="19">
        <f t="shared" si="389"/>
        <v>52915</v>
      </c>
      <c r="B5000">
        <f t="shared" ca="1" si="385"/>
        <v>-18.786111111111111</v>
      </c>
      <c r="C5000" t="str">
        <f ca="1">IF(currency="USD",'Future et co'!D5000,IF(currency="EUR",'Future et co'!E5000,IF(currency="GBP",'Future et co'!F5000,FALSE)))</f>
        <v>RFR USD</v>
      </c>
      <c r="D5000" t="str">
        <f t="shared" ca="1" si="386"/>
        <v>RFR USD</v>
      </c>
      <c r="E5000" t="str">
        <f t="shared" ca="1" si="387"/>
        <v>RFR EUR</v>
      </c>
      <c r="F5000" t="str">
        <f t="shared" ca="1" si="388"/>
        <v>RFR GBP</v>
      </c>
      <c r="J5000" s="1"/>
      <c r="N5000" s="1"/>
      <c r="R5000" s="1"/>
      <c r="V5000" s="1"/>
      <c r="AB5000" s="1"/>
      <c r="AF5000" s="1"/>
      <c r="AJ5000" s="1"/>
      <c r="AN5000" s="1"/>
      <c r="AS5000" s="1"/>
      <c r="AX5000" s="1"/>
    </row>
    <row r="5001" spans="1:50" x14ac:dyDescent="0.3">
      <c r="A5001" s="19">
        <f t="shared" si="389"/>
        <v>52916</v>
      </c>
      <c r="B5001">
        <f t="shared" ca="1" si="385"/>
        <v>-18.788888888888888</v>
      </c>
      <c r="C5001" t="str">
        <f ca="1">IF(currency="USD",'Future et co'!D5001,IF(currency="EUR",'Future et co'!E5001,IF(currency="GBP",'Future et co'!F5001,FALSE)))</f>
        <v>RFR USD</v>
      </c>
      <c r="D5001" t="str">
        <f t="shared" ca="1" si="386"/>
        <v>RFR USD</v>
      </c>
      <c r="E5001" t="str">
        <f t="shared" ca="1" si="387"/>
        <v>RFR EUR</v>
      </c>
      <c r="F5001" t="str">
        <f t="shared" ca="1" si="388"/>
        <v>RFR GBP</v>
      </c>
      <c r="J5001" s="1"/>
      <c r="N5001" s="1"/>
      <c r="R5001" s="1"/>
      <c r="V5001" s="1"/>
      <c r="AB5001" s="1"/>
      <c r="AF5001" s="1"/>
      <c r="AJ5001" s="1"/>
      <c r="AN5001" s="1"/>
      <c r="AS5001" s="1"/>
      <c r="AX5001" s="1"/>
    </row>
    <row r="5002" spans="1:50" x14ac:dyDescent="0.3">
      <c r="A5002" s="19">
        <f t="shared" si="389"/>
        <v>52917</v>
      </c>
      <c r="B5002">
        <f t="shared" ca="1" si="385"/>
        <v>-18.791666666666668</v>
      </c>
      <c r="C5002" t="str">
        <f ca="1">IF(currency="USD",'Future et co'!D5002,IF(currency="EUR",'Future et co'!E5002,IF(currency="GBP",'Future et co'!F5002,FALSE)))</f>
        <v>RFR USD</v>
      </c>
      <c r="D5002" t="str">
        <f t="shared" ca="1" si="386"/>
        <v>RFR USD</v>
      </c>
      <c r="E5002" t="str">
        <f t="shared" ca="1" si="387"/>
        <v>RFR EUR</v>
      </c>
      <c r="F5002" t="str">
        <f t="shared" ca="1" si="388"/>
        <v>RFR GBP</v>
      </c>
      <c r="J5002" s="1"/>
      <c r="N5002" s="1"/>
      <c r="R5002" s="1"/>
      <c r="V5002" s="1"/>
      <c r="AB5002" s="1"/>
      <c r="AF5002" s="1"/>
      <c r="AJ5002" s="1"/>
      <c r="AN5002" s="1"/>
      <c r="AS5002" s="1"/>
      <c r="AX5002" s="1"/>
    </row>
    <row r="5003" spans="1:50" x14ac:dyDescent="0.3">
      <c r="A5003" s="19">
        <f t="shared" si="389"/>
        <v>52918</v>
      </c>
      <c r="B5003">
        <f t="shared" ref="B5003:B5066" ca="1" si="390">($B$7-A5003)/360</f>
        <v>-18.794444444444444</v>
      </c>
      <c r="C5003" t="str">
        <f ca="1">IF(currency="USD",'Future et co'!D5003,IF(currency="EUR",'Future et co'!E5003,IF(currency="GBP",'Future et co'!F5003,FALSE)))</f>
        <v>RFR USD</v>
      </c>
      <c r="D5003" t="str">
        <f t="shared" ref="D5003:D5066" ca="1" si="391">IFERROR(IF(B5003&lt;0.25,VLOOKUP(A5003,$J$11:$L$5325,3,FALSE),IF(AND(B5003&gt;=0.25,B5003&lt;0.5),VLOOKUP(A5003,$N$11:$P$5325,3,FALSE),IF(AND(B5003&gt;=0.5,B5003&lt;1),VLOOKUP(A5003,$R$11:$T$5325,3,FALSE),VLOOKUP(A5003,$V$11:$X$5010,3,FALSE)))),D5002)</f>
        <v>RFR USD</v>
      </c>
      <c r="E5003" t="str">
        <f t="shared" ref="E5003:E5066" ca="1" si="392">IFERROR(IF(B5003&lt;0.25,VLOOKUP(A5003,$AF$11:$AH$5325,3,FALSE),IF(AND(B5003&gt;=0.25,B5003&lt;0.5),VLOOKUP(A5003,$AJ$11:$AL$5325,3,FALSE),VLOOKUP(A5003,$AN$11:$AP$5325,3,FALSE))),E5002)</f>
        <v>RFR EUR</v>
      </c>
      <c r="F5003" t="str">
        <f t="shared" ref="F5003:F5066" ca="1" si="393">IFERROR(VLOOKUP(A5003,$AS$11:$AU$9999,3,FALSE),F5002)</f>
        <v>RFR GBP</v>
      </c>
      <c r="J5003" s="1"/>
      <c r="N5003" s="1"/>
      <c r="R5003" s="1"/>
      <c r="V5003" s="1"/>
      <c r="AB5003" s="1"/>
      <c r="AF5003" s="1"/>
      <c r="AJ5003" s="1"/>
      <c r="AN5003" s="1"/>
      <c r="AS5003" s="1"/>
      <c r="AX5003" s="1"/>
    </row>
    <row r="5004" spans="1:50" x14ac:dyDescent="0.3">
      <c r="A5004" s="19">
        <f t="shared" si="389"/>
        <v>52919</v>
      </c>
      <c r="B5004">
        <f t="shared" ca="1" si="390"/>
        <v>-18.797222222222221</v>
      </c>
      <c r="C5004" t="str">
        <f ca="1">IF(currency="USD",'Future et co'!D5004,IF(currency="EUR",'Future et co'!E5004,IF(currency="GBP",'Future et co'!F5004,FALSE)))</f>
        <v>RFR USD</v>
      </c>
      <c r="D5004" t="str">
        <f t="shared" ca="1" si="391"/>
        <v>RFR USD</v>
      </c>
      <c r="E5004" t="str">
        <f t="shared" ca="1" si="392"/>
        <v>RFR EUR</v>
      </c>
      <c r="F5004" t="str">
        <f t="shared" ca="1" si="393"/>
        <v>RFR GBP</v>
      </c>
      <c r="J5004" s="1"/>
      <c r="N5004" s="1"/>
      <c r="R5004" s="1"/>
      <c r="V5004" s="1"/>
      <c r="AB5004" s="1"/>
      <c r="AF5004" s="1"/>
      <c r="AJ5004" s="1"/>
      <c r="AN5004" s="1"/>
      <c r="AS5004" s="1"/>
      <c r="AX5004" s="1"/>
    </row>
    <row r="5005" spans="1:50" x14ac:dyDescent="0.3">
      <c r="A5005" s="19">
        <f t="shared" ref="A5005:A5068" si="394">WORKDAY(A5004,1)</f>
        <v>52922</v>
      </c>
      <c r="B5005">
        <f t="shared" ca="1" si="390"/>
        <v>-18.805555555555557</v>
      </c>
      <c r="C5005" t="str">
        <f ca="1">IF(currency="USD",'Future et co'!D5005,IF(currency="EUR",'Future et co'!E5005,IF(currency="GBP",'Future et co'!F5005,FALSE)))</f>
        <v>RFR USD</v>
      </c>
      <c r="D5005" t="str">
        <f t="shared" ca="1" si="391"/>
        <v>RFR USD</v>
      </c>
      <c r="E5005" t="str">
        <f t="shared" ca="1" si="392"/>
        <v>RFR EUR</v>
      </c>
      <c r="F5005" t="str">
        <f t="shared" ca="1" si="393"/>
        <v>RFR GBP</v>
      </c>
      <c r="J5005" s="1"/>
      <c r="N5005" s="1"/>
      <c r="R5005" s="1"/>
      <c r="V5005" s="1"/>
      <c r="AB5005" s="1"/>
      <c r="AF5005" s="1"/>
      <c r="AJ5005" s="1"/>
      <c r="AN5005" s="1"/>
      <c r="AS5005" s="1"/>
      <c r="AX5005" s="1"/>
    </row>
    <row r="5006" spans="1:50" x14ac:dyDescent="0.3">
      <c r="A5006" s="19">
        <f t="shared" si="394"/>
        <v>52923</v>
      </c>
      <c r="B5006">
        <f t="shared" ca="1" si="390"/>
        <v>-18.808333333333334</v>
      </c>
      <c r="C5006" t="str">
        <f ca="1">IF(currency="USD",'Future et co'!D5006,IF(currency="EUR",'Future et co'!E5006,IF(currency="GBP",'Future et co'!F5006,FALSE)))</f>
        <v>RFR USD</v>
      </c>
      <c r="D5006" t="str">
        <f t="shared" ca="1" si="391"/>
        <v>RFR USD</v>
      </c>
      <c r="E5006" t="str">
        <f t="shared" ca="1" si="392"/>
        <v>RFR EUR</v>
      </c>
      <c r="F5006" t="str">
        <f t="shared" ca="1" si="393"/>
        <v>RFR GBP</v>
      </c>
      <c r="J5006" s="1"/>
      <c r="N5006" s="1"/>
      <c r="R5006" s="1"/>
      <c r="V5006" s="1"/>
      <c r="AB5006" s="1"/>
      <c r="AF5006" s="1"/>
      <c r="AJ5006" s="1"/>
      <c r="AN5006" s="1"/>
      <c r="AS5006" s="1"/>
      <c r="AX5006" s="1"/>
    </row>
    <row r="5007" spans="1:50" x14ac:dyDescent="0.3">
      <c r="A5007" s="19">
        <f t="shared" si="394"/>
        <v>52924</v>
      </c>
      <c r="B5007">
        <f t="shared" ca="1" si="390"/>
        <v>-18.81111111111111</v>
      </c>
      <c r="C5007" t="str">
        <f ca="1">IF(currency="USD",'Future et co'!D5007,IF(currency="EUR",'Future et co'!E5007,IF(currency="GBP",'Future et co'!F5007,FALSE)))</f>
        <v>RFR USD</v>
      </c>
      <c r="D5007" t="str">
        <f t="shared" ca="1" si="391"/>
        <v>RFR USD</v>
      </c>
      <c r="E5007" t="str">
        <f t="shared" ca="1" si="392"/>
        <v>RFR EUR</v>
      </c>
      <c r="F5007" t="str">
        <f t="shared" ca="1" si="393"/>
        <v>RFR GBP</v>
      </c>
      <c r="J5007" s="1"/>
      <c r="N5007" s="1"/>
      <c r="R5007" s="1"/>
      <c r="V5007" s="1"/>
      <c r="AB5007" s="1"/>
      <c r="AF5007" s="1"/>
      <c r="AJ5007" s="1"/>
      <c r="AN5007" s="1"/>
      <c r="AS5007" s="1"/>
      <c r="AX5007" s="1"/>
    </row>
    <row r="5008" spans="1:50" x14ac:dyDescent="0.3">
      <c r="A5008" s="19">
        <f t="shared" si="394"/>
        <v>52925</v>
      </c>
      <c r="B5008">
        <f t="shared" ca="1" si="390"/>
        <v>-18.81388888888889</v>
      </c>
      <c r="C5008" t="str">
        <f ca="1">IF(currency="USD",'Future et co'!D5008,IF(currency="EUR",'Future et co'!E5008,IF(currency="GBP",'Future et co'!F5008,FALSE)))</f>
        <v>RFR USD</v>
      </c>
      <c r="D5008" t="str">
        <f t="shared" ca="1" si="391"/>
        <v>RFR USD</v>
      </c>
      <c r="E5008" t="str">
        <f t="shared" ca="1" si="392"/>
        <v>RFR EUR</v>
      </c>
      <c r="F5008" t="str">
        <f t="shared" ca="1" si="393"/>
        <v>RFR GBP</v>
      </c>
      <c r="J5008" s="1"/>
      <c r="N5008" s="1"/>
      <c r="R5008" s="1"/>
      <c r="V5008" s="1"/>
      <c r="AB5008" s="1"/>
      <c r="AF5008" s="1"/>
      <c r="AJ5008" s="1"/>
      <c r="AN5008" s="1"/>
      <c r="AS5008" s="1"/>
      <c r="AX5008" s="1"/>
    </row>
    <row r="5009" spans="1:50" x14ac:dyDescent="0.3">
      <c r="A5009" s="19">
        <f t="shared" si="394"/>
        <v>52926</v>
      </c>
      <c r="B5009">
        <f t="shared" ca="1" si="390"/>
        <v>-18.816666666666666</v>
      </c>
      <c r="C5009" t="str">
        <f ca="1">IF(currency="USD",'Future et co'!D5009,IF(currency="EUR",'Future et co'!E5009,IF(currency="GBP",'Future et co'!F5009,FALSE)))</f>
        <v>RFR USD</v>
      </c>
      <c r="D5009" t="str">
        <f t="shared" ca="1" si="391"/>
        <v>RFR USD</v>
      </c>
      <c r="E5009" t="str">
        <f t="shared" ca="1" si="392"/>
        <v>RFR EUR</v>
      </c>
      <c r="F5009" t="str">
        <f t="shared" ca="1" si="393"/>
        <v>RFR GBP</v>
      </c>
      <c r="J5009" s="1"/>
      <c r="N5009" s="1"/>
      <c r="R5009" s="1"/>
      <c r="V5009" s="1"/>
      <c r="AB5009" s="1"/>
      <c r="AF5009" s="1"/>
      <c r="AJ5009" s="1"/>
      <c r="AN5009" s="1"/>
      <c r="AS5009" s="1"/>
      <c r="AX5009" s="1"/>
    </row>
    <row r="5010" spans="1:50" x14ac:dyDescent="0.3">
      <c r="A5010" s="19">
        <f t="shared" si="394"/>
        <v>52929</v>
      </c>
      <c r="B5010">
        <f t="shared" ca="1" si="390"/>
        <v>-18.824999999999999</v>
      </c>
      <c r="C5010" t="str">
        <f ca="1">IF(currency="USD",'Future et co'!D5010,IF(currency="EUR",'Future et co'!E5010,IF(currency="GBP",'Future et co'!F5010,FALSE)))</f>
        <v>RFR USD</v>
      </c>
      <c r="D5010" t="str">
        <f t="shared" ca="1" si="391"/>
        <v>RFR USD</v>
      </c>
      <c r="E5010" t="str">
        <f t="shared" ca="1" si="392"/>
        <v>RFR EUR</v>
      </c>
      <c r="F5010" t="str">
        <f t="shared" ca="1" si="393"/>
        <v>RFR GBP</v>
      </c>
      <c r="J5010" s="1"/>
      <c r="N5010" s="1"/>
      <c r="R5010" s="1"/>
      <c r="V5010" s="1"/>
      <c r="AB5010" s="1"/>
      <c r="AF5010" s="1"/>
      <c r="AJ5010" s="1"/>
      <c r="AN5010" s="1"/>
      <c r="AS5010" s="1"/>
      <c r="AX5010" s="1"/>
    </row>
    <row r="5011" spans="1:50" x14ac:dyDescent="0.3">
      <c r="A5011" s="19">
        <f t="shared" si="394"/>
        <v>52930</v>
      </c>
      <c r="B5011">
        <f t="shared" ca="1" si="390"/>
        <v>-18.827777777777779</v>
      </c>
      <c r="C5011" t="str">
        <f ca="1">IF(currency="USD",'Future et co'!D5011,IF(currency="EUR",'Future et co'!E5011,IF(currency="GBP",'Future et co'!F5011,FALSE)))</f>
        <v>RFR USD</v>
      </c>
      <c r="D5011" t="str">
        <f t="shared" ca="1" si="391"/>
        <v>RFR USD</v>
      </c>
      <c r="E5011" t="str">
        <f t="shared" ca="1" si="392"/>
        <v>RFR EUR</v>
      </c>
      <c r="F5011" t="str">
        <f t="shared" ca="1" si="393"/>
        <v>RFR GBP</v>
      </c>
      <c r="J5011" s="1"/>
      <c r="N5011" s="1"/>
      <c r="R5011" s="1"/>
      <c r="AB5011" s="1"/>
      <c r="AF5011" s="1"/>
      <c r="AJ5011" s="1"/>
      <c r="AS5011" s="1"/>
      <c r="AX5011" s="1"/>
    </row>
    <row r="5012" spans="1:50" x14ac:dyDescent="0.3">
      <c r="A5012" s="19">
        <f t="shared" si="394"/>
        <v>52931</v>
      </c>
      <c r="B5012">
        <f t="shared" ca="1" si="390"/>
        <v>-18.830555555555556</v>
      </c>
      <c r="C5012" t="str">
        <f ca="1">IF(currency="USD",'Future et co'!D5012,IF(currency="EUR",'Future et co'!E5012,IF(currency="GBP",'Future et co'!F5012,FALSE)))</f>
        <v>RFR USD</v>
      </c>
      <c r="D5012" t="str">
        <f t="shared" ca="1" si="391"/>
        <v>RFR USD</v>
      </c>
      <c r="E5012" t="str">
        <f t="shared" ca="1" si="392"/>
        <v>RFR EUR</v>
      </c>
      <c r="F5012" t="str">
        <f t="shared" ca="1" si="393"/>
        <v>RFR GBP</v>
      </c>
      <c r="J5012" s="1"/>
      <c r="N5012" s="1"/>
      <c r="R5012" s="1"/>
      <c r="AB5012" s="1"/>
      <c r="AF5012" s="1"/>
      <c r="AJ5012" s="1"/>
      <c r="AS5012" s="1"/>
      <c r="AX5012" s="1"/>
    </row>
    <row r="5013" spans="1:50" x14ac:dyDescent="0.3">
      <c r="A5013" s="19">
        <f t="shared" si="394"/>
        <v>52932</v>
      </c>
      <c r="B5013">
        <f t="shared" ca="1" si="390"/>
        <v>-18.833333333333332</v>
      </c>
      <c r="C5013" t="str">
        <f ca="1">IF(currency="USD",'Future et co'!D5013,IF(currency="EUR",'Future et co'!E5013,IF(currency="GBP",'Future et co'!F5013,FALSE)))</f>
        <v>RFR USD</v>
      </c>
      <c r="D5013" t="str">
        <f t="shared" ca="1" si="391"/>
        <v>RFR USD</v>
      </c>
      <c r="E5013" t="str">
        <f t="shared" ca="1" si="392"/>
        <v>RFR EUR</v>
      </c>
      <c r="F5013" t="str">
        <f t="shared" ca="1" si="393"/>
        <v>RFR GBP</v>
      </c>
      <c r="J5013" s="1"/>
      <c r="N5013" s="1"/>
      <c r="R5013" s="1"/>
      <c r="AB5013" s="1"/>
      <c r="AF5013" s="1"/>
      <c r="AJ5013" s="1"/>
      <c r="AS5013" s="1"/>
      <c r="AX5013" s="1"/>
    </row>
    <row r="5014" spans="1:50" x14ac:dyDescent="0.3">
      <c r="A5014" s="19">
        <f t="shared" si="394"/>
        <v>52933</v>
      </c>
      <c r="B5014">
        <f t="shared" ca="1" si="390"/>
        <v>-18.836111111111112</v>
      </c>
      <c r="C5014" t="str">
        <f ca="1">IF(currency="USD",'Future et co'!D5014,IF(currency="EUR",'Future et co'!E5014,IF(currency="GBP",'Future et co'!F5014,FALSE)))</f>
        <v>RFR USD</v>
      </c>
      <c r="D5014" t="str">
        <f t="shared" ca="1" si="391"/>
        <v>RFR USD</v>
      </c>
      <c r="E5014" t="str">
        <f t="shared" ca="1" si="392"/>
        <v>RFR EUR</v>
      </c>
      <c r="F5014" t="str">
        <f t="shared" ca="1" si="393"/>
        <v>RFR GBP</v>
      </c>
      <c r="J5014" s="1"/>
      <c r="N5014" s="1"/>
      <c r="R5014" s="1"/>
      <c r="AB5014" s="1"/>
      <c r="AF5014" s="1"/>
      <c r="AJ5014" s="1"/>
      <c r="AS5014" s="1"/>
      <c r="AX5014" s="1"/>
    </row>
    <row r="5015" spans="1:50" x14ac:dyDescent="0.3">
      <c r="A5015" s="19">
        <f t="shared" si="394"/>
        <v>52936</v>
      </c>
      <c r="B5015">
        <f t="shared" ca="1" si="390"/>
        <v>-18.844444444444445</v>
      </c>
      <c r="C5015" t="str">
        <f ca="1">IF(currency="USD",'Future et co'!D5015,IF(currency="EUR",'Future et co'!E5015,IF(currency="GBP",'Future et co'!F5015,FALSE)))</f>
        <v>RFR USD</v>
      </c>
      <c r="D5015" t="str">
        <f t="shared" ca="1" si="391"/>
        <v>RFR USD</v>
      </c>
      <c r="E5015" t="str">
        <f t="shared" ca="1" si="392"/>
        <v>RFR EUR</v>
      </c>
      <c r="F5015" t="str">
        <f t="shared" ca="1" si="393"/>
        <v>RFR GBP</v>
      </c>
      <c r="J5015" s="1"/>
      <c r="N5015" s="1"/>
      <c r="R5015" s="1"/>
      <c r="AB5015" s="1"/>
      <c r="AF5015" s="1"/>
      <c r="AJ5015" s="1"/>
      <c r="AS5015" s="1"/>
      <c r="AX5015" s="1"/>
    </row>
    <row r="5016" spans="1:50" x14ac:dyDescent="0.3">
      <c r="A5016" s="19">
        <f t="shared" si="394"/>
        <v>52937</v>
      </c>
      <c r="B5016">
        <f t="shared" ca="1" si="390"/>
        <v>-18.847222222222221</v>
      </c>
      <c r="C5016" t="str">
        <f ca="1">IF(currency="USD",'Future et co'!D5016,IF(currency="EUR",'Future et co'!E5016,IF(currency="GBP",'Future et co'!F5016,FALSE)))</f>
        <v>RFR USD</v>
      </c>
      <c r="D5016" t="str">
        <f t="shared" ca="1" si="391"/>
        <v>RFR USD</v>
      </c>
      <c r="E5016" t="str">
        <f t="shared" ca="1" si="392"/>
        <v>RFR EUR</v>
      </c>
      <c r="F5016" t="str">
        <f t="shared" ca="1" si="393"/>
        <v>RFR GBP</v>
      </c>
      <c r="J5016" s="1"/>
      <c r="N5016" s="1"/>
      <c r="R5016" s="1"/>
      <c r="AB5016" s="1"/>
      <c r="AF5016" s="1"/>
      <c r="AJ5016" s="1"/>
      <c r="AS5016" s="1"/>
      <c r="AX5016" s="1"/>
    </row>
    <row r="5017" spans="1:50" x14ac:dyDescent="0.3">
      <c r="A5017" s="19">
        <f t="shared" si="394"/>
        <v>52938</v>
      </c>
      <c r="B5017">
        <f t="shared" ca="1" si="390"/>
        <v>-18.850000000000001</v>
      </c>
      <c r="C5017" t="str">
        <f ca="1">IF(currency="USD",'Future et co'!D5017,IF(currency="EUR",'Future et co'!E5017,IF(currency="GBP",'Future et co'!F5017,FALSE)))</f>
        <v>RFR USD</v>
      </c>
      <c r="D5017" t="str">
        <f t="shared" ca="1" si="391"/>
        <v>RFR USD</v>
      </c>
      <c r="E5017" t="str">
        <f t="shared" ca="1" si="392"/>
        <v>RFR EUR</v>
      </c>
      <c r="F5017" t="str">
        <f t="shared" ca="1" si="393"/>
        <v>RFR GBP</v>
      </c>
      <c r="J5017" s="1"/>
      <c r="N5017" s="1"/>
      <c r="R5017" s="1"/>
      <c r="AB5017" s="1"/>
      <c r="AF5017" s="1"/>
      <c r="AJ5017" s="1"/>
      <c r="AS5017" s="1"/>
      <c r="AX5017" s="1"/>
    </row>
    <row r="5018" spans="1:50" x14ac:dyDescent="0.3">
      <c r="A5018" s="19">
        <f t="shared" si="394"/>
        <v>52939</v>
      </c>
      <c r="B5018">
        <f t="shared" ca="1" si="390"/>
        <v>-18.852777777777778</v>
      </c>
      <c r="C5018" t="str">
        <f ca="1">IF(currency="USD",'Future et co'!D5018,IF(currency="EUR",'Future et co'!E5018,IF(currency="GBP",'Future et co'!F5018,FALSE)))</f>
        <v>RFR USD</v>
      </c>
      <c r="D5018" t="str">
        <f t="shared" ca="1" si="391"/>
        <v>RFR USD</v>
      </c>
      <c r="E5018" t="str">
        <f t="shared" ca="1" si="392"/>
        <v>RFR EUR</v>
      </c>
      <c r="F5018" t="str">
        <f t="shared" ca="1" si="393"/>
        <v>RFR GBP</v>
      </c>
      <c r="J5018" s="1"/>
      <c r="N5018" s="1"/>
      <c r="R5018" s="1"/>
      <c r="AB5018" s="1"/>
      <c r="AF5018" s="1"/>
      <c r="AJ5018" s="1"/>
      <c r="AS5018" s="1"/>
      <c r="AX5018" s="1"/>
    </row>
    <row r="5019" spans="1:50" x14ac:dyDescent="0.3">
      <c r="A5019" s="19">
        <f t="shared" si="394"/>
        <v>52940</v>
      </c>
      <c r="B5019">
        <f t="shared" ca="1" si="390"/>
        <v>-18.855555555555554</v>
      </c>
      <c r="C5019" t="str">
        <f ca="1">IF(currency="USD",'Future et co'!D5019,IF(currency="EUR",'Future et co'!E5019,IF(currency="GBP",'Future et co'!F5019,FALSE)))</f>
        <v>RFR USD</v>
      </c>
      <c r="D5019" t="str">
        <f t="shared" ca="1" si="391"/>
        <v>RFR USD</v>
      </c>
      <c r="E5019" t="str">
        <f t="shared" ca="1" si="392"/>
        <v>RFR EUR</v>
      </c>
      <c r="F5019" t="str">
        <f t="shared" ca="1" si="393"/>
        <v>RFR GBP</v>
      </c>
      <c r="J5019" s="1"/>
      <c r="N5019" s="1"/>
      <c r="R5019" s="1"/>
      <c r="AB5019" s="1"/>
      <c r="AF5019" s="1"/>
      <c r="AJ5019" s="1"/>
      <c r="AS5019" s="1"/>
      <c r="AX5019" s="1"/>
    </row>
    <row r="5020" spans="1:50" x14ac:dyDescent="0.3">
      <c r="A5020" s="19">
        <f t="shared" si="394"/>
        <v>52943</v>
      </c>
      <c r="B5020">
        <f t="shared" ca="1" si="390"/>
        <v>-18.863888888888887</v>
      </c>
      <c r="C5020" t="str">
        <f ca="1">IF(currency="USD",'Future et co'!D5020,IF(currency="EUR",'Future et co'!E5020,IF(currency="GBP",'Future et co'!F5020,FALSE)))</f>
        <v>RFR USD</v>
      </c>
      <c r="D5020" t="str">
        <f t="shared" ca="1" si="391"/>
        <v>RFR USD</v>
      </c>
      <c r="E5020" t="str">
        <f t="shared" ca="1" si="392"/>
        <v>RFR EUR</v>
      </c>
      <c r="F5020" t="str">
        <f t="shared" ca="1" si="393"/>
        <v>RFR GBP</v>
      </c>
      <c r="J5020" s="1"/>
      <c r="N5020" s="1"/>
      <c r="R5020" s="1"/>
      <c r="AB5020" s="1"/>
      <c r="AF5020" s="1"/>
      <c r="AJ5020" s="1"/>
      <c r="AS5020" s="1"/>
      <c r="AX5020" s="1"/>
    </row>
    <row r="5021" spans="1:50" x14ac:dyDescent="0.3">
      <c r="A5021" s="19">
        <f t="shared" si="394"/>
        <v>52944</v>
      </c>
      <c r="B5021">
        <f t="shared" ca="1" si="390"/>
        <v>-18.866666666666667</v>
      </c>
      <c r="C5021" t="str">
        <f ca="1">IF(currency="USD",'Future et co'!D5021,IF(currency="EUR",'Future et co'!E5021,IF(currency="GBP",'Future et co'!F5021,FALSE)))</f>
        <v>RFR USD</v>
      </c>
      <c r="D5021" t="str">
        <f t="shared" ca="1" si="391"/>
        <v>RFR USD</v>
      </c>
      <c r="E5021" t="str">
        <f t="shared" ca="1" si="392"/>
        <v>RFR EUR</v>
      </c>
      <c r="F5021" t="str">
        <f t="shared" ca="1" si="393"/>
        <v>RFR GBP</v>
      </c>
      <c r="J5021" s="1"/>
      <c r="N5021" s="1"/>
      <c r="R5021" s="1"/>
      <c r="AB5021" s="1"/>
      <c r="AF5021" s="1"/>
      <c r="AJ5021" s="1"/>
      <c r="AS5021" s="1"/>
      <c r="AX5021" s="1"/>
    </row>
    <row r="5022" spans="1:50" x14ac:dyDescent="0.3">
      <c r="A5022" s="19">
        <f t="shared" si="394"/>
        <v>52945</v>
      </c>
      <c r="B5022">
        <f t="shared" ca="1" si="390"/>
        <v>-18.869444444444444</v>
      </c>
      <c r="C5022" t="str">
        <f ca="1">IF(currency="USD",'Future et co'!D5022,IF(currency="EUR",'Future et co'!E5022,IF(currency="GBP",'Future et co'!F5022,FALSE)))</f>
        <v>RFR USD</v>
      </c>
      <c r="D5022" t="str">
        <f t="shared" ca="1" si="391"/>
        <v>RFR USD</v>
      </c>
      <c r="E5022" t="str">
        <f t="shared" ca="1" si="392"/>
        <v>RFR EUR</v>
      </c>
      <c r="F5022" t="str">
        <f t="shared" ca="1" si="393"/>
        <v>RFR GBP</v>
      </c>
      <c r="J5022" s="1"/>
      <c r="N5022" s="1"/>
      <c r="R5022" s="1"/>
      <c r="AB5022" s="1"/>
      <c r="AF5022" s="1"/>
      <c r="AJ5022" s="1"/>
      <c r="AS5022" s="1"/>
      <c r="AX5022" s="1"/>
    </row>
    <row r="5023" spans="1:50" x14ac:dyDescent="0.3">
      <c r="A5023" s="19">
        <f t="shared" si="394"/>
        <v>52946</v>
      </c>
      <c r="B5023">
        <f t="shared" ca="1" si="390"/>
        <v>-18.872222222222224</v>
      </c>
      <c r="C5023" t="str">
        <f ca="1">IF(currency="USD",'Future et co'!D5023,IF(currency="EUR",'Future et co'!E5023,IF(currency="GBP",'Future et co'!F5023,FALSE)))</f>
        <v>RFR USD</v>
      </c>
      <c r="D5023" t="str">
        <f t="shared" ca="1" si="391"/>
        <v>RFR USD</v>
      </c>
      <c r="E5023" t="str">
        <f t="shared" ca="1" si="392"/>
        <v>RFR EUR</v>
      </c>
      <c r="F5023" t="str">
        <f t="shared" ca="1" si="393"/>
        <v>RFR GBP</v>
      </c>
      <c r="J5023" s="1"/>
      <c r="N5023" s="1"/>
      <c r="R5023" s="1"/>
      <c r="AB5023" s="1"/>
      <c r="AF5023" s="1"/>
      <c r="AJ5023" s="1"/>
      <c r="AS5023" s="1"/>
      <c r="AX5023" s="1"/>
    </row>
    <row r="5024" spans="1:50" x14ac:dyDescent="0.3">
      <c r="A5024" s="19">
        <f t="shared" si="394"/>
        <v>52947</v>
      </c>
      <c r="B5024">
        <f t="shared" ca="1" si="390"/>
        <v>-18.875</v>
      </c>
      <c r="C5024" t="str">
        <f ca="1">IF(currency="USD",'Future et co'!D5024,IF(currency="EUR",'Future et co'!E5024,IF(currency="GBP",'Future et co'!F5024,FALSE)))</f>
        <v>RFR USD</v>
      </c>
      <c r="D5024" t="str">
        <f t="shared" ca="1" si="391"/>
        <v>RFR USD</v>
      </c>
      <c r="E5024" t="str">
        <f t="shared" ca="1" si="392"/>
        <v>RFR EUR</v>
      </c>
      <c r="F5024" t="str">
        <f t="shared" ca="1" si="393"/>
        <v>RFR GBP</v>
      </c>
      <c r="J5024" s="1"/>
      <c r="N5024" s="1"/>
      <c r="R5024" s="1"/>
      <c r="AB5024" s="1"/>
      <c r="AF5024" s="1"/>
      <c r="AJ5024" s="1"/>
      <c r="AS5024" s="1"/>
      <c r="AX5024" s="1"/>
    </row>
    <row r="5025" spans="1:50" x14ac:dyDescent="0.3">
      <c r="A5025" s="19">
        <f t="shared" si="394"/>
        <v>52950</v>
      </c>
      <c r="B5025">
        <f t="shared" ca="1" si="390"/>
        <v>-18.883333333333333</v>
      </c>
      <c r="C5025" t="str">
        <f ca="1">IF(currency="USD",'Future et co'!D5025,IF(currency="EUR",'Future et co'!E5025,IF(currency="GBP",'Future et co'!F5025,FALSE)))</f>
        <v>RFR USD</v>
      </c>
      <c r="D5025" t="str">
        <f t="shared" ca="1" si="391"/>
        <v>RFR USD</v>
      </c>
      <c r="E5025" t="str">
        <f t="shared" ca="1" si="392"/>
        <v>RFR EUR</v>
      </c>
      <c r="F5025" t="str">
        <f t="shared" ca="1" si="393"/>
        <v>RFR GBP</v>
      </c>
      <c r="J5025" s="1"/>
      <c r="N5025" s="1"/>
      <c r="R5025" s="1"/>
      <c r="AB5025" s="1"/>
      <c r="AF5025" s="1"/>
      <c r="AJ5025" s="1"/>
      <c r="AS5025" s="1"/>
      <c r="AX5025" s="1"/>
    </row>
    <row r="5026" spans="1:50" x14ac:dyDescent="0.3">
      <c r="A5026" s="19">
        <f t="shared" si="394"/>
        <v>52951</v>
      </c>
      <c r="B5026">
        <f t="shared" ca="1" si="390"/>
        <v>-18.886111111111113</v>
      </c>
      <c r="C5026" t="str">
        <f ca="1">IF(currency="USD",'Future et co'!D5026,IF(currency="EUR",'Future et co'!E5026,IF(currency="GBP",'Future et co'!F5026,FALSE)))</f>
        <v>RFR USD</v>
      </c>
      <c r="D5026" t="str">
        <f t="shared" ca="1" si="391"/>
        <v>RFR USD</v>
      </c>
      <c r="E5026" t="str">
        <f t="shared" ca="1" si="392"/>
        <v>RFR EUR</v>
      </c>
      <c r="F5026" t="str">
        <f t="shared" ca="1" si="393"/>
        <v>RFR GBP</v>
      </c>
      <c r="J5026" s="1"/>
      <c r="N5026" s="1"/>
      <c r="R5026" s="1"/>
      <c r="AB5026" s="1"/>
      <c r="AF5026" s="1"/>
      <c r="AJ5026" s="1"/>
      <c r="AS5026" s="1"/>
      <c r="AX5026" s="1"/>
    </row>
    <row r="5027" spans="1:50" x14ac:dyDescent="0.3">
      <c r="A5027" s="19">
        <f t="shared" si="394"/>
        <v>52952</v>
      </c>
      <c r="B5027">
        <f t="shared" ca="1" si="390"/>
        <v>-18.888888888888889</v>
      </c>
      <c r="C5027" t="str">
        <f ca="1">IF(currency="USD",'Future et co'!D5027,IF(currency="EUR",'Future et co'!E5027,IF(currency="GBP",'Future et co'!F5027,FALSE)))</f>
        <v>RFR USD</v>
      </c>
      <c r="D5027" t="str">
        <f t="shared" ca="1" si="391"/>
        <v>RFR USD</v>
      </c>
      <c r="E5027" t="str">
        <f t="shared" ca="1" si="392"/>
        <v>RFR EUR</v>
      </c>
      <c r="F5027" t="str">
        <f t="shared" ca="1" si="393"/>
        <v>RFR GBP</v>
      </c>
      <c r="J5027" s="1"/>
      <c r="N5027" s="1"/>
      <c r="R5027" s="1"/>
      <c r="AB5027" s="1"/>
      <c r="AF5027" s="1"/>
      <c r="AJ5027" s="1"/>
      <c r="AS5027" s="1"/>
      <c r="AX5027" s="1"/>
    </row>
    <row r="5028" spans="1:50" x14ac:dyDescent="0.3">
      <c r="A5028" s="19">
        <f t="shared" si="394"/>
        <v>52953</v>
      </c>
      <c r="B5028">
        <f t="shared" ca="1" si="390"/>
        <v>-18.891666666666666</v>
      </c>
      <c r="C5028" t="str">
        <f ca="1">IF(currency="USD",'Future et co'!D5028,IF(currency="EUR",'Future et co'!E5028,IF(currency="GBP",'Future et co'!F5028,FALSE)))</f>
        <v>RFR USD</v>
      </c>
      <c r="D5028" t="str">
        <f t="shared" ca="1" si="391"/>
        <v>RFR USD</v>
      </c>
      <c r="E5028" t="str">
        <f t="shared" ca="1" si="392"/>
        <v>RFR EUR</v>
      </c>
      <c r="F5028" t="str">
        <f t="shared" ca="1" si="393"/>
        <v>RFR GBP</v>
      </c>
      <c r="J5028" s="1"/>
      <c r="N5028" s="1"/>
      <c r="R5028" s="1"/>
      <c r="AB5028" s="1"/>
      <c r="AF5028" s="1"/>
      <c r="AJ5028" s="1"/>
      <c r="AS5028" s="1"/>
      <c r="AX5028" s="1"/>
    </row>
    <row r="5029" spans="1:50" x14ac:dyDescent="0.3">
      <c r="A5029" s="19">
        <f t="shared" si="394"/>
        <v>52954</v>
      </c>
      <c r="B5029">
        <f t="shared" ca="1" si="390"/>
        <v>-18.894444444444446</v>
      </c>
      <c r="C5029" t="str">
        <f ca="1">IF(currency="USD",'Future et co'!D5029,IF(currency="EUR",'Future et co'!E5029,IF(currency="GBP",'Future et co'!F5029,FALSE)))</f>
        <v>RFR USD</v>
      </c>
      <c r="D5029" t="str">
        <f t="shared" ca="1" si="391"/>
        <v>RFR USD</v>
      </c>
      <c r="E5029" t="str">
        <f t="shared" ca="1" si="392"/>
        <v>RFR EUR</v>
      </c>
      <c r="F5029" t="str">
        <f t="shared" ca="1" si="393"/>
        <v>RFR GBP</v>
      </c>
      <c r="J5029" s="1"/>
      <c r="N5029" s="1"/>
      <c r="R5029" s="1"/>
      <c r="AB5029" s="1"/>
      <c r="AF5029" s="1"/>
      <c r="AJ5029" s="1"/>
      <c r="AS5029" s="1"/>
      <c r="AX5029" s="1"/>
    </row>
    <row r="5030" spans="1:50" x14ac:dyDescent="0.3">
      <c r="A5030" s="19">
        <f t="shared" si="394"/>
        <v>52957</v>
      </c>
      <c r="B5030">
        <f t="shared" ca="1" si="390"/>
        <v>-18.902777777777779</v>
      </c>
      <c r="C5030" t="str">
        <f ca="1">IF(currency="USD",'Future et co'!D5030,IF(currency="EUR",'Future et co'!E5030,IF(currency="GBP",'Future et co'!F5030,FALSE)))</f>
        <v>RFR USD</v>
      </c>
      <c r="D5030" t="str">
        <f t="shared" ca="1" si="391"/>
        <v>RFR USD</v>
      </c>
      <c r="E5030" t="str">
        <f t="shared" ca="1" si="392"/>
        <v>RFR EUR</v>
      </c>
      <c r="F5030" t="str">
        <f t="shared" ca="1" si="393"/>
        <v>RFR GBP</v>
      </c>
      <c r="J5030" s="1"/>
      <c r="N5030" s="1"/>
      <c r="R5030" s="1"/>
      <c r="AB5030" s="1"/>
      <c r="AF5030" s="1"/>
      <c r="AJ5030" s="1"/>
      <c r="AS5030" s="1"/>
      <c r="AX5030" s="1"/>
    </row>
    <row r="5031" spans="1:50" x14ac:dyDescent="0.3">
      <c r="A5031" s="19">
        <f t="shared" si="394"/>
        <v>52958</v>
      </c>
      <c r="B5031">
        <f t="shared" ca="1" si="390"/>
        <v>-18.905555555555555</v>
      </c>
      <c r="C5031" t="str">
        <f ca="1">IF(currency="USD",'Future et co'!D5031,IF(currency="EUR",'Future et co'!E5031,IF(currency="GBP",'Future et co'!F5031,FALSE)))</f>
        <v>RFR USD</v>
      </c>
      <c r="D5031" t="str">
        <f t="shared" ca="1" si="391"/>
        <v>RFR USD</v>
      </c>
      <c r="E5031" t="str">
        <f t="shared" ca="1" si="392"/>
        <v>RFR EUR</v>
      </c>
      <c r="F5031" t="str">
        <f t="shared" ca="1" si="393"/>
        <v>RFR GBP</v>
      </c>
      <c r="J5031" s="1"/>
      <c r="N5031" s="1"/>
      <c r="R5031" s="1"/>
      <c r="AB5031" s="1"/>
      <c r="AF5031" s="1"/>
      <c r="AJ5031" s="1"/>
      <c r="AS5031" s="1"/>
      <c r="AX5031" s="1"/>
    </row>
    <row r="5032" spans="1:50" x14ac:dyDescent="0.3">
      <c r="A5032" s="19">
        <f t="shared" si="394"/>
        <v>52959</v>
      </c>
      <c r="B5032">
        <f t="shared" ca="1" si="390"/>
        <v>-18.908333333333335</v>
      </c>
      <c r="C5032" t="str">
        <f ca="1">IF(currency="USD",'Future et co'!D5032,IF(currency="EUR",'Future et co'!E5032,IF(currency="GBP",'Future et co'!F5032,FALSE)))</f>
        <v>RFR USD</v>
      </c>
      <c r="D5032" t="str">
        <f t="shared" ca="1" si="391"/>
        <v>RFR USD</v>
      </c>
      <c r="E5032" t="str">
        <f t="shared" ca="1" si="392"/>
        <v>RFR EUR</v>
      </c>
      <c r="F5032" t="str">
        <f t="shared" ca="1" si="393"/>
        <v>RFR GBP</v>
      </c>
      <c r="J5032" s="1"/>
      <c r="N5032" s="1"/>
      <c r="R5032" s="1"/>
      <c r="AB5032" s="1"/>
      <c r="AF5032" s="1"/>
      <c r="AJ5032" s="1"/>
      <c r="AS5032" s="1"/>
      <c r="AX5032" s="1"/>
    </row>
    <row r="5033" spans="1:50" x14ac:dyDescent="0.3">
      <c r="A5033" s="19">
        <f t="shared" si="394"/>
        <v>52960</v>
      </c>
      <c r="B5033">
        <f t="shared" ca="1" si="390"/>
        <v>-18.911111111111111</v>
      </c>
      <c r="C5033" t="str">
        <f ca="1">IF(currency="USD",'Future et co'!D5033,IF(currency="EUR",'Future et co'!E5033,IF(currency="GBP",'Future et co'!F5033,FALSE)))</f>
        <v>RFR USD</v>
      </c>
      <c r="D5033" t="str">
        <f t="shared" ca="1" si="391"/>
        <v>RFR USD</v>
      </c>
      <c r="E5033" t="str">
        <f t="shared" ca="1" si="392"/>
        <v>RFR EUR</v>
      </c>
      <c r="F5033" t="str">
        <f t="shared" ca="1" si="393"/>
        <v>RFR GBP</v>
      </c>
      <c r="J5033" s="1"/>
      <c r="N5033" s="1"/>
      <c r="R5033" s="1"/>
      <c r="AB5033" s="1"/>
      <c r="AF5033" s="1"/>
      <c r="AJ5033" s="1"/>
      <c r="AS5033" s="1"/>
      <c r="AX5033" s="1"/>
    </row>
    <row r="5034" spans="1:50" x14ac:dyDescent="0.3">
      <c r="A5034" s="19">
        <f t="shared" si="394"/>
        <v>52961</v>
      </c>
      <c r="B5034">
        <f t="shared" ca="1" si="390"/>
        <v>-18.913888888888888</v>
      </c>
      <c r="C5034" t="str">
        <f ca="1">IF(currency="USD",'Future et co'!D5034,IF(currency="EUR",'Future et co'!E5034,IF(currency="GBP",'Future et co'!F5034,FALSE)))</f>
        <v>RFR USD</v>
      </c>
      <c r="D5034" t="str">
        <f t="shared" ca="1" si="391"/>
        <v>RFR USD</v>
      </c>
      <c r="E5034" t="str">
        <f t="shared" ca="1" si="392"/>
        <v>RFR EUR</v>
      </c>
      <c r="F5034" t="str">
        <f t="shared" ca="1" si="393"/>
        <v>RFR GBP</v>
      </c>
      <c r="J5034" s="1"/>
      <c r="N5034" s="1"/>
      <c r="R5034" s="1"/>
      <c r="AB5034" s="1"/>
      <c r="AF5034" s="1"/>
      <c r="AJ5034" s="1"/>
      <c r="AS5034" s="1"/>
      <c r="AX5034" s="1"/>
    </row>
    <row r="5035" spans="1:50" x14ac:dyDescent="0.3">
      <c r="A5035" s="19">
        <f t="shared" si="394"/>
        <v>52964</v>
      </c>
      <c r="B5035">
        <f t="shared" ca="1" si="390"/>
        <v>-18.922222222222221</v>
      </c>
      <c r="C5035" t="str">
        <f ca="1">IF(currency="USD",'Future et co'!D5035,IF(currency="EUR",'Future et co'!E5035,IF(currency="GBP",'Future et co'!F5035,FALSE)))</f>
        <v>RFR USD</v>
      </c>
      <c r="D5035" t="str">
        <f t="shared" ca="1" si="391"/>
        <v>RFR USD</v>
      </c>
      <c r="E5035" t="str">
        <f t="shared" ca="1" si="392"/>
        <v>RFR EUR</v>
      </c>
      <c r="F5035" t="str">
        <f t="shared" ca="1" si="393"/>
        <v>RFR GBP</v>
      </c>
      <c r="J5035" s="1"/>
      <c r="N5035" s="1"/>
      <c r="R5035" s="1"/>
      <c r="AB5035" s="1"/>
      <c r="AF5035" s="1"/>
      <c r="AJ5035" s="1"/>
      <c r="AS5035" s="1"/>
      <c r="AX5035" s="1"/>
    </row>
    <row r="5036" spans="1:50" x14ac:dyDescent="0.3">
      <c r="A5036" s="19">
        <f t="shared" si="394"/>
        <v>52965</v>
      </c>
      <c r="B5036">
        <f t="shared" ca="1" si="390"/>
        <v>-18.925000000000001</v>
      </c>
      <c r="C5036" t="str">
        <f ca="1">IF(currency="USD",'Future et co'!D5036,IF(currency="EUR",'Future et co'!E5036,IF(currency="GBP",'Future et co'!F5036,FALSE)))</f>
        <v>RFR USD</v>
      </c>
      <c r="D5036" t="str">
        <f t="shared" ca="1" si="391"/>
        <v>RFR USD</v>
      </c>
      <c r="E5036" t="str">
        <f t="shared" ca="1" si="392"/>
        <v>RFR EUR</v>
      </c>
      <c r="F5036" t="str">
        <f t="shared" ca="1" si="393"/>
        <v>RFR GBP</v>
      </c>
      <c r="J5036" s="1"/>
      <c r="N5036" s="1"/>
      <c r="R5036" s="1"/>
      <c r="AB5036" s="1"/>
      <c r="AF5036" s="1"/>
      <c r="AJ5036" s="1"/>
      <c r="AS5036" s="1"/>
      <c r="AX5036" s="1"/>
    </row>
    <row r="5037" spans="1:50" x14ac:dyDescent="0.3">
      <c r="A5037" s="19">
        <f t="shared" si="394"/>
        <v>52966</v>
      </c>
      <c r="B5037">
        <f t="shared" ca="1" si="390"/>
        <v>-18.927777777777777</v>
      </c>
      <c r="C5037" t="str">
        <f ca="1">IF(currency="USD",'Future et co'!D5037,IF(currency="EUR",'Future et co'!E5037,IF(currency="GBP",'Future et co'!F5037,FALSE)))</f>
        <v>RFR USD</v>
      </c>
      <c r="D5037" t="str">
        <f t="shared" ca="1" si="391"/>
        <v>RFR USD</v>
      </c>
      <c r="E5037" t="str">
        <f t="shared" ca="1" si="392"/>
        <v>RFR EUR</v>
      </c>
      <c r="F5037" t="str">
        <f t="shared" ca="1" si="393"/>
        <v>RFR GBP</v>
      </c>
      <c r="J5037" s="1"/>
      <c r="N5037" s="1"/>
      <c r="R5037" s="1"/>
      <c r="AB5037" s="1"/>
      <c r="AF5037" s="1"/>
      <c r="AJ5037" s="1"/>
      <c r="AS5037" s="1"/>
      <c r="AX5037" s="1"/>
    </row>
    <row r="5038" spans="1:50" x14ac:dyDescent="0.3">
      <c r="A5038" s="19">
        <f t="shared" si="394"/>
        <v>52967</v>
      </c>
      <c r="B5038">
        <f t="shared" ca="1" si="390"/>
        <v>-18.930555555555557</v>
      </c>
      <c r="C5038" t="str">
        <f ca="1">IF(currency="USD",'Future et co'!D5038,IF(currency="EUR",'Future et co'!E5038,IF(currency="GBP",'Future et co'!F5038,FALSE)))</f>
        <v>RFR USD</v>
      </c>
      <c r="D5038" t="str">
        <f t="shared" ca="1" si="391"/>
        <v>RFR USD</v>
      </c>
      <c r="E5038" t="str">
        <f t="shared" ca="1" si="392"/>
        <v>RFR EUR</v>
      </c>
      <c r="F5038" t="str">
        <f t="shared" ca="1" si="393"/>
        <v>RFR GBP</v>
      </c>
      <c r="J5038" s="1"/>
      <c r="N5038" s="1"/>
      <c r="R5038" s="1"/>
      <c r="AB5038" s="1"/>
      <c r="AF5038" s="1"/>
      <c r="AJ5038" s="1"/>
      <c r="AS5038" s="1"/>
      <c r="AX5038" s="1"/>
    </row>
    <row r="5039" spans="1:50" x14ac:dyDescent="0.3">
      <c r="A5039" s="19">
        <f t="shared" si="394"/>
        <v>52968</v>
      </c>
      <c r="B5039">
        <f t="shared" ca="1" si="390"/>
        <v>-18.933333333333334</v>
      </c>
      <c r="C5039" t="str">
        <f ca="1">IF(currency="USD",'Future et co'!D5039,IF(currency="EUR",'Future et co'!E5039,IF(currency="GBP",'Future et co'!F5039,FALSE)))</f>
        <v>RFR USD</v>
      </c>
      <c r="D5039" t="str">
        <f t="shared" ca="1" si="391"/>
        <v>RFR USD</v>
      </c>
      <c r="E5039" t="str">
        <f t="shared" ca="1" si="392"/>
        <v>RFR EUR</v>
      </c>
      <c r="F5039" t="str">
        <f t="shared" ca="1" si="393"/>
        <v>RFR GBP</v>
      </c>
      <c r="J5039" s="1"/>
      <c r="N5039" s="1"/>
      <c r="R5039" s="1"/>
      <c r="AB5039" s="1"/>
      <c r="AF5039" s="1"/>
      <c r="AJ5039" s="1"/>
      <c r="AS5039" s="1"/>
      <c r="AX5039" s="1"/>
    </row>
    <row r="5040" spans="1:50" x14ac:dyDescent="0.3">
      <c r="A5040" s="19">
        <f t="shared" si="394"/>
        <v>52971</v>
      </c>
      <c r="B5040">
        <f t="shared" ca="1" si="390"/>
        <v>-18.941666666666666</v>
      </c>
      <c r="C5040" t="str">
        <f ca="1">IF(currency="USD",'Future et co'!D5040,IF(currency="EUR",'Future et co'!E5040,IF(currency="GBP",'Future et co'!F5040,FALSE)))</f>
        <v>RFR USD</v>
      </c>
      <c r="D5040" t="str">
        <f t="shared" ca="1" si="391"/>
        <v>RFR USD</v>
      </c>
      <c r="E5040" t="str">
        <f t="shared" ca="1" si="392"/>
        <v>RFR EUR</v>
      </c>
      <c r="F5040" t="str">
        <f t="shared" ca="1" si="393"/>
        <v>RFR GBP</v>
      </c>
      <c r="J5040" s="1"/>
      <c r="N5040" s="1"/>
      <c r="R5040" s="1"/>
      <c r="AB5040" s="1"/>
      <c r="AF5040" s="1"/>
      <c r="AJ5040" s="1"/>
      <c r="AS5040" s="1"/>
      <c r="AX5040" s="1"/>
    </row>
    <row r="5041" spans="1:50" x14ac:dyDescent="0.3">
      <c r="A5041" s="19">
        <f t="shared" si="394"/>
        <v>52972</v>
      </c>
      <c r="B5041">
        <f t="shared" ca="1" si="390"/>
        <v>-18.944444444444443</v>
      </c>
      <c r="C5041" t="str">
        <f ca="1">IF(currency="USD",'Future et co'!D5041,IF(currency="EUR",'Future et co'!E5041,IF(currency="GBP",'Future et co'!F5041,FALSE)))</f>
        <v>RFR USD</v>
      </c>
      <c r="D5041" t="str">
        <f t="shared" ca="1" si="391"/>
        <v>RFR USD</v>
      </c>
      <c r="E5041" t="str">
        <f t="shared" ca="1" si="392"/>
        <v>RFR EUR</v>
      </c>
      <c r="F5041" t="str">
        <f t="shared" ca="1" si="393"/>
        <v>RFR GBP</v>
      </c>
      <c r="J5041" s="1"/>
      <c r="N5041" s="1"/>
      <c r="R5041" s="1"/>
      <c r="AB5041" s="1"/>
      <c r="AF5041" s="1"/>
      <c r="AJ5041" s="1"/>
      <c r="AS5041" s="1"/>
      <c r="AX5041" s="1"/>
    </row>
    <row r="5042" spans="1:50" x14ac:dyDescent="0.3">
      <c r="A5042" s="19">
        <f t="shared" si="394"/>
        <v>52973</v>
      </c>
      <c r="B5042">
        <f t="shared" ca="1" si="390"/>
        <v>-18.947222222222223</v>
      </c>
      <c r="C5042" t="str">
        <f ca="1">IF(currency="USD",'Future et co'!D5042,IF(currency="EUR",'Future et co'!E5042,IF(currency="GBP",'Future et co'!F5042,FALSE)))</f>
        <v>RFR USD</v>
      </c>
      <c r="D5042" t="str">
        <f t="shared" ca="1" si="391"/>
        <v>RFR USD</v>
      </c>
      <c r="E5042" t="str">
        <f t="shared" ca="1" si="392"/>
        <v>RFR EUR</v>
      </c>
      <c r="F5042" t="str">
        <f t="shared" ca="1" si="393"/>
        <v>RFR GBP</v>
      </c>
      <c r="J5042" s="1"/>
      <c r="N5042" s="1"/>
      <c r="R5042" s="1"/>
      <c r="AB5042" s="1"/>
      <c r="AF5042" s="1"/>
      <c r="AJ5042" s="1"/>
      <c r="AS5042" s="1"/>
      <c r="AX5042" s="1"/>
    </row>
    <row r="5043" spans="1:50" x14ac:dyDescent="0.3">
      <c r="A5043" s="19">
        <f t="shared" si="394"/>
        <v>52974</v>
      </c>
      <c r="B5043">
        <f t="shared" ca="1" si="390"/>
        <v>-18.95</v>
      </c>
      <c r="C5043" t="str">
        <f ca="1">IF(currency="USD",'Future et co'!D5043,IF(currency="EUR",'Future et co'!E5043,IF(currency="GBP",'Future et co'!F5043,FALSE)))</f>
        <v>RFR USD</v>
      </c>
      <c r="D5043" t="str">
        <f t="shared" ca="1" si="391"/>
        <v>RFR USD</v>
      </c>
      <c r="E5043" t="str">
        <f t="shared" ca="1" si="392"/>
        <v>RFR EUR</v>
      </c>
      <c r="F5043" t="str">
        <f t="shared" ca="1" si="393"/>
        <v>RFR GBP</v>
      </c>
      <c r="J5043" s="1"/>
      <c r="N5043" s="1"/>
      <c r="R5043" s="1"/>
      <c r="AB5043" s="1"/>
      <c r="AF5043" s="1"/>
      <c r="AJ5043" s="1"/>
      <c r="AS5043" s="1"/>
      <c r="AX5043" s="1"/>
    </row>
    <row r="5044" spans="1:50" x14ac:dyDescent="0.3">
      <c r="A5044" s="19">
        <f t="shared" si="394"/>
        <v>52975</v>
      </c>
      <c r="B5044">
        <f t="shared" ca="1" si="390"/>
        <v>-18.952777777777779</v>
      </c>
      <c r="C5044" t="str">
        <f ca="1">IF(currency="USD",'Future et co'!D5044,IF(currency="EUR",'Future et co'!E5044,IF(currency="GBP",'Future et co'!F5044,FALSE)))</f>
        <v>RFR USD</v>
      </c>
      <c r="D5044" t="str">
        <f t="shared" ca="1" si="391"/>
        <v>RFR USD</v>
      </c>
      <c r="E5044" t="str">
        <f t="shared" ca="1" si="392"/>
        <v>RFR EUR</v>
      </c>
      <c r="F5044" t="str">
        <f t="shared" ca="1" si="393"/>
        <v>RFR GBP</v>
      </c>
      <c r="J5044" s="1"/>
      <c r="N5044" s="1"/>
      <c r="R5044" s="1"/>
      <c r="AB5044" s="1"/>
      <c r="AF5044" s="1"/>
      <c r="AJ5044" s="1"/>
      <c r="AS5044" s="1"/>
      <c r="AX5044" s="1"/>
    </row>
    <row r="5045" spans="1:50" x14ac:dyDescent="0.3">
      <c r="A5045" s="19">
        <f t="shared" si="394"/>
        <v>52978</v>
      </c>
      <c r="B5045">
        <f t="shared" ca="1" si="390"/>
        <v>-18.961111111111112</v>
      </c>
      <c r="C5045" t="str">
        <f ca="1">IF(currency="USD",'Future et co'!D5045,IF(currency="EUR",'Future et co'!E5045,IF(currency="GBP",'Future et co'!F5045,FALSE)))</f>
        <v>RFR USD</v>
      </c>
      <c r="D5045" t="str">
        <f t="shared" ca="1" si="391"/>
        <v>RFR USD</v>
      </c>
      <c r="E5045" t="str">
        <f t="shared" ca="1" si="392"/>
        <v>RFR EUR</v>
      </c>
      <c r="F5045" t="str">
        <f t="shared" ca="1" si="393"/>
        <v>RFR GBP</v>
      </c>
      <c r="J5045" s="1"/>
      <c r="N5045" s="1"/>
      <c r="R5045" s="1"/>
      <c r="AB5045" s="1"/>
      <c r="AF5045" s="1"/>
      <c r="AJ5045" s="1"/>
      <c r="AS5045" s="1"/>
      <c r="AX5045" s="1"/>
    </row>
    <row r="5046" spans="1:50" x14ac:dyDescent="0.3">
      <c r="A5046" s="19">
        <f t="shared" si="394"/>
        <v>52979</v>
      </c>
      <c r="B5046">
        <f t="shared" ca="1" si="390"/>
        <v>-18.963888888888889</v>
      </c>
      <c r="C5046" t="str">
        <f ca="1">IF(currency="USD",'Future et co'!D5046,IF(currency="EUR",'Future et co'!E5046,IF(currency="GBP",'Future et co'!F5046,FALSE)))</f>
        <v>RFR USD</v>
      </c>
      <c r="D5046" t="str">
        <f t="shared" ca="1" si="391"/>
        <v>RFR USD</v>
      </c>
      <c r="E5046" t="str">
        <f t="shared" ca="1" si="392"/>
        <v>RFR EUR</v>
      </c>
      <c r="F5046" t="str">
        <f t="shared" ca="1" si="393"/>
        <v>RFR GBP</v>
      </c>
      <c r="J5046" s="1"/>
      <c r="N5046" s="1"/>
      <c r="R5046" s="1"/>
      <c r="AB5046" s="1"/>
      <c r="AF5046" s="1"/>
      <c r="AJ5046" s="1"/>
      <c r="AS5046" s="1"/>
      <c r="AX5046" s="1"/>
    </row>
    <row r="5047" spans="1:50" x14ac:dyDescent="0.3">
      <c r="A5047" s="19">
        <f t="shared" si="394"/>
        <v>52980</v>
      </c>
      <c r="B5047">
        <f t="shared" ca="1" si="390"/>
        <v>-18.966666666666665</v>
      </c>
      <c r="C5047" t="str">
        <f ca="1">IF(currency="USD",'Future et co'!D5047,IF(currency="EUR",'Future et co'!E5047,IF(currency="GBP",'Future et co'!F5047,FALSE)))</f>
        <v>RFR USD</v>
      </c>
      <c r="D5047" t="str">
        <f t="shared" ca="1" si="391"/>
        <v>RFR USD</v>
      </c>
      <c r="E5047" t="str">
        <f t="shared" ca="1" si="392"/>
        <v>RFR EUR</v>
      </c>
      <c r="F5047" t="str">
        <f t="shared" ca="1" si="393"/>
        <v>RFR GBP</v>
      </c>
      <c r="J5047" s="1"/>
      <c r="N5047" s="1"/>
      <c r="R5047" s="1"/>
      <c r="AB5047" s="1"/>
      <c r="AF5047" s="1"/>
      <c r="AJ5047" s="1"/>
      <c r="AS5047" s="1"/>
      <c r="AX5047" s="1"/>
    </row>
    <row r="5048" spans="1:50" x14ac:dyDescent="0.3">
      <c r="A5048" s="19">
        <f t="shared" si="394"/>
        <v>52981</v>
      </c>
      <c r="B5048">
        <f t="shared" ca="1" si="390"/>
        <v>-18.969444444444445</v>
      </c>
      <c r="C5048" t="str">
        <f ca="1">IF(currency="USD",'Future et co'!D5048,IF(currency="EUR",'Future et co'!E5048,IF(currency="GBP",'Future et co'!F5048,FALSE)))</f>
        <v>RFR USD</v>
      </c>
      <c r="D5048" t="str">
        <f t="shared" ca="1" si="391"/>
        <v>RFR USD</v>
      </c>
      <c r="E5048" t="str">
        <f t="shared" ca="1" si="392"/>
        <v>RFR EUR</v>
      </c>
      <c r="F5048" t="str">
        <f t="shared" ca="1" si="393"/>
        <v>RFR GBP</v>
      </c>
      <c r="J5048" s="1"/>
      <c r="N5048" s="1"/>
      <c r="R5048" s="1"/>
      <c r="AB5048" s="1"/>
      <c r="AF5048" s="1"/>
      <c r="AJ5048" s="1"/>
      <c r="AS5048" s="1"/>
      <c r="AX5048" s="1"/>
    </row>
    <row r="5049" spans="1:50" x14ac:dyDescent="0.3">
      <c r="A5049" s="19">
        <f t="shared" si="394"/>
        <v>52982</v>
      </c>
      <c r="B5049">
        <f t="shared" ca="1" si="390"/>
        <v>-18.972222222222221</v>
      </c>
      <c r="C5049" t="str">
        <f ca="1">IF(currency="USD",'Future et co'!D5049,IF(currency="EUR",'Future et co'!E5049,IF(currency="GBP",'Future et co'!F5049,FALSE)))</f>
        <v>RFR USD</v>
      </c>
      <c r="D5049" t="str">
        <f t="shared" ca="1" si="391"/>
        <v>RFR USD</v>
      </c>
      <c r="E5049" t="str">
        <f t="shared" ca="1" si="392"/>
        <v>RFR EUR</v>
      </c>
      <c r="F5049" t="str">
        <f t="shared" ca="1" si="393"/>
        <v>RFR GBP</v>
      </c>
      <c r="J5049" s="1"/>
      <c r="N5049" s="1"/>
      <c r="R5049" s="1"/>
      <c r="AB5049" s="1"/>
      <c r="AF5049" s="1"/>
      <c r="AJ5049" s="1"/>
      <c r="AS5049" s="1"/>
      <c r="AX5049" s="1"/>
    </row>
    <row r="5050" spans="1:50" x14ac:dyDescent="0.3">
      <c r="A5050" s="19">
        <f t="shared" si="394"/>
        <v>52985</v>
      </c>
      <c r="B5050">
        <f t="shared" ca="1" si="390"/>
        <v>-18.980555555555554</v>
      </c>
      <c r="C5050" t="str">
        <f ca="1">IF(currency="USD",'Future et co'!D5050,IF(currency="EUR",'Future et co'!E5050,IF(currency="GBP",'Future et co'!F5050,FALSE)))</f>
        <v>RFR USD</v>
      </c>
      <c r="D5050" t="str">
        <f t="shared" ca="1" si="391"/>
        <v>RFR USD</v>
      </c>
      <c r="E5050" t="str">
        <f t="shared" ca="1" si="392"/>
        <v>RFR EUR</v>
      </c>
      <c r="F5050" t="str">
        <f t="shared" ca="1" si="393"/>
        <v>RFR GBP</v>
      </c>
      <c r="J5050" s="1"/>
      <c r="N5050" s="1"/>
      <c r="R5050" s="1"/>
      <c r="AB5050" s="1"/>
      <c r="AF5050" s="1"/>
      <c r="AJ5050" s="1"/>
      <c r="AS5050" s="1"/>
      <c r="AX5050" s="1"/>
    </row>
    <row r="5051" spans="1:50" x14ac:dyDescent="0.3">
      <c r="A5051" s="19">
        <f t="shared" si="394"/>
        <v>52986</v>
      </c>
      <c r="B5051">
        <f t="shared" ca="1" si="390"/>
        <v>-18.983333333333334</v>
      </c>
      <c r="C5051" t="str">
        <f ca="1">IF(currency="USD",'Future et co'!D5051,IF(currency="EUR",'Future et co'!E5051,IF(currency="GBP",'Future et co'!F5051,FALSE)))</f>
        <v>RFR USD</v>
      </c>
      <c r="D5051" t="str">
        <f t="shared" ca="1" si="391"/>
        <v>RFR USD</v>
      </c>
      <c r="E5051" t="str">
        <f t="shared" ca="1" si="392"/>
        <v>RFR EUR</v>
      </c>
      <c r="F5051" t="str">
        <f t="shared" ca="1" si="393"/>
        <v>RFR GBP</v>
      </c>
      <c r="J5051" s="1"/>
      <c r="N5051" s="1"/>
      <c r="R5051" s="1"/>
      <c r="AB5051" s="1"/>
      <c r="AF5051" s="1"/>
      <c r="AJ5051" s="1"/>
      <c r="AS5051" s="1"/>
      <c r="AX5051" s="1"/>
    </row>
    <row r="5052" spans="1:50" x14ac:dyDescent="0.3">
      <c r="A5052" s="19">
        <f t="shared" si="394"/>
        <v>52987</v>
      </c>
      <c r="B5052">
        <f t="shared" ca="1" si="390"/>
        <v>-18.986111111111111</v>
      </c>
      <c r="C5052" t="str">
        <f ca="1">IF(currency="USD",'Future et co'!D5052,IF(currency="EUR",'Future et co'!E5052,IF(currency="GBP",'Future et co'!F5052,FALSE)))</f>
        <v>RFR USD</v>
      </c>
      <c r="D5052" t="str">
        <f t="shared" ca="1" si="391"/>
        <v>RFR USD</v>
      </c>
      <c r="E5052" t="str">
        <f t="shared" ca="1" si="392"/>
        <v>RFR EUR</v>
      </c>
      <c r="F5052" t="str">
        <f t="shared" ca="1" si="393"/>
        <v>RFR GBP</v>
      </c>
      <c r="J5052" s="1"/>
      <c r="N5052" s="1"/>
      <c r="R5052" s="1"/>
      <c r="AB5052" s="1"/>
      <c r="AF5052" s="1"/>
      <c r="AJ5052" s="1"/>
      <c r="AS5052" s="1"/>
      <c r="AX5052" s="1"/>
    </row>
    <row r="5053" spans="1:50" x14ac:dyDescent="0.3">
      <c r="A5053" s="19">
        <f t="shared" si="394"/>
        <v>52988</v>
      </c>
      <c r="B5053">
        <f t="shared" ca="1" si="390"/>
        <v>-18.988888888888887</v>
      </c>
      <c r="C5053" t="str">
        <f ca="1">IF(currency="USD",'Future et co'!D5053,IF(currency="EUR",'Future et co'!E5053,IF(currency="GBP",'Future et co'!F5053,FALSE)))</f>
        <v>RFR USD</v>
      </c>
      <c r="D5053" t="str">
        <f t="shared" ca="1" si="391"/>
        <v>RFR USD</v>
      </c>
      <c r="E5053" t="str">
        <f t="shared" ca="1" si="392"/>
        <v>RFR EUR</v>
      </c>
      <c r="F5053" t="str">
        <f t="shared" ca="1" si="393"/>
        <v>RFR GBP</v>
      </c>
      <c r="J5053" s="1"/>
      <c r="N5053" s="1"/>
      <c r="R5053" s="1"/>
      <c r="AB5053" s="1"/>
      <c r="AF5053" s="1"/>
      <c r="AJ5053" s="1"/>
      <c r="AS5053" s="1"/>
      <c r="AX5053" s="1"/>
    </row>
    <row r="5054" spans="1:50" x14ac:dyDescent="0.3">
      <c r="A5054" s="19">
        <f t="shared" si="394"/>
        <v>52989</v>
      </c>
      <c r="B5054">
        <f t="shared" ca="1" si="390"/>
        <v>-18.991666666666667</v>
      </c>
      <c r="C5054" t="str">
        <f ca="1">IF(currency="USD",'Future et co'!D5054,IF(currency="EUR",'Future et co'!E5054,IF(currency="GBP",'Future et co'!F5054,FALSE)))</f>
        <v>RFR USD</v>
      </c>
      <c r="D5054" t="str">
        <f t="shared" ca="1" si="391"/>
        <v>RFR USD</v>
      </c>
      <c r="E5054" t="str">
        <f t="shared" ca="1" si="392"/>
        <v>RFR EUR</v>
      </c>
      <c r="F5054" t="str">
        <f t="shared" ca="1" si="393"/>
        <v>RFR GBP</v>
      </c>
      <c r="J5054" s="1"/>
      <c r="N5054" s="1"/>
      <c r="R5054" s="1"/>
      <c r="AB5054" s="1"/>
      <c r="AF5054" s="1"/>
      <c r="AJ5054" s="1"/>
      <c r="AS5054" s="1"/>
      <c r="AX5054" s="1"/>
    </row>
    <row r="5055" spans="1:50" x14ac:dyDescent="0.3">
      <c r="A5055" s="19">
        <f t="shared" si="394"/>
        <v>52992</v>
      </c>
      <c r="B5055">
        <f t="shared" ca="1" si="390"/>
        <v>-19</v>
      </c>
      <c r="C5055" t="str">
        <f ca="1">IF(currency="USD",'Future et co'!D5055,IF(currency="EUR",'Future et co'!E5055,IF(currency="GBP",'Future et co'!F5055,FALSE)))</f>
        <v>RFR USD</v>
      </c>
      <c r="D5055" t="str">
        <f t="shared" ca="1" si="391"/>
        <v>RFR USD</v>
      </c>
      <c r="E5055" t="str">
        <f t="shared" ca="1" si="392"/>
        <v>RFR EUR</v>
      </c>
      <c r="F5055" t="str">
        <f t="shared" ca="1" si="393"/>
        <v>RFR GBP</v>
      </c>
      <c r="J5055" s="1"/>
      <c r="N5055" s="1"/>
      <c r="R5055" s="1"/>
      <c r="AB5055" s="1"/>
      <c r="AF5055" s="1"/>
      <c r="AJ5055" s="1"/>
      <c r="AS5055" s="1"/>
      <c r="AX5055" s="1"/>
    </row>
    <row r="5056" spans="1:50" x14ac:dyDescent="0.3">
      <c r="A5056" s="19">
        <f t="shared" si="394"/>
        <v>52993</v>
      </c>
      <c r="B5056">
        <f t="shared" ca="1" si="390"/>
        <v>-19.002777777777776</v>
      </c>
      <c r="C5056" t="str">
        <f ca="1">IF(currency="USD",'Future et co'!D5056,IF(currency="EUR",'Future et co'!E5056,IF(currency="GBP",'Future et co'!F5056,FALSE)))</f>
        <v>RFR USD</v>
      </c>
      <c r="D5056" t="str">
        <f t="shared" ca="1" si="391"/>
        <v>RFR USD</v>
      </c>
      <c r="E5056" t="str">
        <f t="shared" ca="1" si="392"/>
        <v>RFR EUR</v>
      </c>
      <c r="F5056" t="str">
        <f t="shared" ca="1" si="393"/>
        <v>RFR GBP</v>
      </c>
      <c r="J5056" s="1"/>
      <c r="N5056" s="1"/>
      <c r="R5056" s="1"/>
      <c r="AB5056" s="1"/>
      <c r="AF5056" s="1"/>
      <c r="AJ5056" s="1"/>
      <c r="AS5056" s="1"/>
      <c r="AX5056" s="1"/>
    </row>
    <row r="5057" spans="1:50" x14ac:dyDescent="0.3">
      <c r="A5057" s="19">
        <f t="shared" si="394"/>
        <v>52994</v>
      </c>
      <c r="B5057">
        <f t="shared" ca="1" si="390"/>
        <v>-19.005555555555556</v>
      </c>
      <c r="C5057" t="str">
        <f ca="1">IF(currency="USD",'Future et co'!D5057,IF(currency="EUR",'Future et co'!E5057,IF(currency="GBP",'Future et co'!F5057,FALSE)))</f>
        <v>RFR USD</v>
      </c>
      <c r="D5057" t="str">
        <f t="shared" ca="1" si="391"/>
        <v>RFR USD</v>
      </c>
      <c r="E5057" t="str">
        <f t="shared" ca="1" si="392"/>
        <v>RFR EUR</v>
      </c>
      <c r="F5057" t="str">
        <f t="shared" ca="1" si="393"/>
        <v>RFR GBP</v>
      </c>
      <c r="J5057" s="1"/>
      <c r="N5057" s="1"/>
      <c r="R5057" s="1"/>
      <c r="AB5057" s="1"/>
      <c r="AF5057" s="1"/>
      <c r="AJ5057" s="1"/>
      <c r="AS5057" s="1"/>
      <c r="AX5057" s="1"/>
    </row>
    <row r="5058" spans="1:50" x14ac:dyDescent="0.3">
      <c r="A5058" s="19">
        <f t="shared" si="394"/>
        <v>52995</v>
      </c>
      <c r="B5058">
        <f t="shared" ca="1" si="390"/>
        <v>-19.008333333333333</v>
      </c>
      <c r="C5058" t="str">
        <f ca="1">IF(currency="USD",'Future et co'!D5058,IF(currency="EUR",'Future et co'!E5058,IF(currency="GBP",'Future et co'!F5058,FALSE)))</f>
        <v>RFR USD</v>
      </c>
      <c r="D5058" t="str">
        <f t="shared" ca="1" si="391"/>
        <v>RFR USD</v>
      </c>
      <c r="E5058" t="str">
        <f t="shared" ca="1" si="392"/>
        <v>RFR EUR</v>
      </c>
      <c r="F5058" t="str">
        <f t="shared" ca="1" si="393"/>
        <v>RFR GBP</v>
      </c>
      <c r="J5058" s="1"/>
      <c r="N5058" s="1"/>
      <c r="R5058" s="1"/>
      <c r="AB5058" s="1"/>
      <c r="AF5058" s="1"/>
      <c r="AJ5058" s="1"/>
      <c r="AS5058" s="1"/>
      <c r="AX5058" s="1"/>
    </row>
    <row r="5059" spans="1:50" x14ac:dyDescent="0.3">
      <c r="A5059" s="19">
        <f t="shared" si="394"/>
        <v>52996</v>
      </c>
      <c r="B5059">
        <f t="shared" ca="1" si="390"/>
        <v>-19.011111111111113</v>
      </c>
      <c r="C5059" t="str">
        <f ca="1">IF(currency="USD",'Future et co'!D5059,IF(currency="EUR",'Future et co'!E5059,IF(currency="GBP",'Future et co'!F5059,FALSE)))</f>
        <v>RFR USD</v>
      </c>
      <c r="D5059" t="str">
        <f t="shared" ca="1" si="391"/>
        <v>RFR USD</v>
      </c>
      <c r="E5059" t="str">
        <f t="shared" ca="1" si="392"/>
        <v>RFR EUR</v>
      </c>
      <c r="F5059" t="str">
        <f t="shared" ca="1" si="393"/>
        <v>RFR GBP</v>
      </c>
      <c r="J5059" s="1"/>
      <c r="N5059" s="1"/>
      <c r="R5059" s="1"/>
      <c r="AB5059" s="1"/>
      <c r="AF5059" s="1"/>
      <c r="AJ5059" s="1"/>
      <c r="AS5059" s="1"/>
      <c r="AX5059" s="1"/>
    </row>
    <row r="5060" spans="1:50" x14ac:dyDescent="0.3">
      <c r="A5060" s="19">
        <f t="shared" si="394"/>
        <v>52999</v>
      </c>
      <c r="B5060">
        <f t="shared" ca="1" si="390"/>
        <v>-19.019444444444446</v>
      </c>
      <c r="C5060" t="str">
        <f ca="1">IF(currency="USD",'Future et co'!D5060,IF(currency="EUR",'Future et co'!E5060,IF(currency="GBP",'Future et co'!F5060,FALSE)))</f>
        <v>RFR USD</v>
      </c>
      <c r="D5060" t="str">
        <f t="shared" ca="1" si="391"/>
        <v>RFR USD</v>
      </c>
      <c r="E5060" t="str">
        <f t="shared" ca="1" si="392"/>
        <v>RFR EUR</v>
      </c>
      <c r="F5060" t="str">
        <f t="shared" ca="1" si="393"/>
        <v>RFR GBP</v>
      </c>
      <c r="J5060" s="1"/>
      <c r="N5060" s="1"/>
      <c r="R5060" s="1"/>
      <c r="AB5060" s="1"/>
      <c r="AF5060" s="1"/>
      <c r="AJ5060" s="1"/>
      <c r="AS5060" s="1"/>
      <c r="AX5060" s="1"/>
    </row>
    <row r="5061" spans="1:50" x14ac:dyDescent="0.3">
      <c r="A5061" s="19">
        <f t="shared" si="394"/>
        <v>53000</v>
      </c>
      <c r="B5061">
        <f t="shared" ca="1" si="390"/>
        <v>-19.022222222222222</v>
      </c>
      <c r="C5061" t="str">
        <f ca="1">IF(currency="USD",'Future et co'!D5061,IF(currency="EUR",'Future et co'!E5061,IF(currency="GBP",'Future et co'!F5061,FALSE)))</f>
        <v>RFR USD</v>
      </c>
      <c r="D5061" t="str">
        <f t="shared" ca="1" si="391"/>
        <v>RFR USD</v>
      </c>
      <c r="E5061" t="str">
        <f t="shared" ca="1" si="392"/>
        <v>RFR EUR</v>
      </c>
      <c r="F5061" t="str">
        <f t="shared" ca="1" si="393"/>
        <v>RFR GBP</v>
      </c>
      <c r="J5061" s="1"/>
      <c r="N5061" s="1"/>
      <c r="R5061" s="1"/>
      <c r="AB5061" s="1"/>
      <c r="AF5061" s="1"/>
      <c r="AJ5061" s="1"/>
      <c r="AS5061" s="1"/>
      <c r="AX5061" s="1"/>
    </row>
    <row r="5062" spans="1:50" x14ac:dyDescent="0.3">
      <c r="A5062" s="19">
        <f t="shared" si="394"/>
        <v>53001</v>
      </c>
      <c r="B5062">
        <f t="shared" ca="1" si="390"/>
        <v>-19.024999999999999</v>
      </c>
      <c r="C5062" t="str">
        <f ca="1">IF(currency="USD",'Future et co'!D5062,IF(currency="EUR",'Future et co'!E5062,IF(currency="GBP",'Future et co'!F5062,FALSE)))</f>
        <v>RFR USD</v>
      </c>
      <c r="D5062" t="str">
        <f t="shared" ca="1" si="391"/>
        <v>RFR USD</v>
      </c>
      <c r="E5062" t="str">
        <f t="shared" ca="1" si="392"/>
        <v>RFR EUR</v>
      </c>
      <c r="F5062" t="str">
        <f t="shared" ca="1" si="393"/>
        <v>RFR GBP</v>
      </c>
      <c r="J5062" s="1"/>
      <c r="N5062" s="1"/>
      <c r="R5062" s="1"/>
      <c r="AB5062" s="1"/>
      <c r="AF5062" s="1"/>
      <c r="AJ5062" s="1"/>
      <c r="AS5062" s="1"/>
      <c r="AX5062" s="1"/>
    </row>
    <row r="5063" spans="1:50" x14ac:dyDescent="0.3">
      <c r="A5063" s="19">
        <f t="shared" si="394"/>
        <v>53002</v>
      </c>
      <c r="B5063">
        <f t="shared" ca="1" si="390"/>
        <v>-19.027777777777779</v>
      </c>
      <c r="C5063" t="str">
        <f ca="1">IF(currency="USD",'Future et co'!D5063,IF(currency="EUR",'Future et co'!E5063,IF(currency="GBP",'Future et co'!F5063,FALSE)))</f>
        <v>RFR USD</v>
      </c>
      <c r="D5063" t="str">
        <f t="shared" ca="1" si="391"/>
        <v>RFR USD</v>
      </c>
      <c r="E5063" t="str">
        <f t="shared" ca="1" si="392"/>
        <v>RFR EUR</v>
      </c>
      <c r="F5063" t="str">
        <f t="shared" ca="1" si="393"/>
        <v>RFR GBP</v>
      </c>
      <c r="J5063" s="1"/>
      <c r="N5063" s="1"/>
      <c r="R5063" s="1"/>
      <c r="AB5063" s="1"/>
      <c r="AF5063" s="1"/>
      <c r="AJ5063" s="1"/>
      <c r="AS5063" s="1"/>
      <c r="AX5063" s="1"/>
    </row>
    <row r="5064" spans="1:50" x14ac:dyDescent="0.3">
      <c r="A5064" s="19">
        <f t="shared" si="394"/>
        <v>53003</v>
      </c>
      <c r="B5064">
        <f t="shared" ca="1" si="390"/>
        <v>-19.030555555555555</v>
      </c>
      <c r="C5064" t="str">
        <f ca="1">IF(currency="USD",'Future et co'!D5064,IF(currency="EUR",'Future et co'!E5064,IF(currency="GBP",'Future et co'!F5064,FALSE)))</f>
        <v>RFR USD</v>
      </c>
      <c r="D5064" t="str">
        <f t="shared" ca="1" si="391"/>
        <v>RFR USD</v>
      </c>
      <c r="E5064" t="str">
        <f t="shared" ca="1" si="392"/>
        <v>RFR EUR</v>
      </c>
      <c r="F5064" t="str">
        <f t="shared" ca="1" si="393"/>
        <v>RFR GBP</v>
      </c>
      <c r="J5064" s="1"/>
      <c r="N5064" s="1"/>
      <c r="R5064" s="1"/>
      <c r="AB5064" s="1"/>
      <c r="AF5064" s="1"/>
      <c r="AJ5064" s="1"/>
      <c r="AS5064" s="1"/>
      <c r="AX5064" s="1"/>
    </row>
    <row r="5065" spans="1:50" x14ac:dyDescent="0.3">
      <c r="A5065" s="19">
        <f t="shared" si="394"/>
        <v>53006</v>
      </c>
      <c r="B5065">
        <f t="shared" ca="1" si="390"/>
        <v>-19.038888888888888</v>
      </c>
      <c r="C5065" t="str">
        <f ca="1">IF(currency="USD",'Future et co'!D5065,IF(currency="EUR",'Future et co'!E5065,IF(currency="GBP",'Future et co'!F5065,FALSE)))</f>
        <v>RFR USD</v>
      </c>
      <c r="D5065" t="str">
        <f t="shared" ca="1" si="391"/>
        <v>RFR USD</v>
      </c>
      <c r="E5065" t="str">
        <f t="shared" ca="1" si="392"/>
        <v>RFR EUR</v>
      </c>
      <c r="F5065" t="str">
        <f t="shared" ca="1" si="393"/>
        <v>RFR GBP</v>
      </c>
      <c r="J5065" s="1"/>
      <c r="N5065" s="1"/>
      <c r="R5065" s="1"/>
      <c r="AB5065" s="1"/>
      <c r="AF5065" s="1"/>
      <c r="AJ5065" s="1"/>
      <c r="AS5065" s="1"/>
      <c r="AX5065" s="1"/>
    </row>
    <row r="5066" spans="1:50" x14ac:dyDescent="0.3">
      <c r="A5066" s="19">
        <f t="shared" si="394"/>
        <v>53007</v>
      </c>
      <c r="B5066">
        <f t="shared" ca="1" si="390"/>
        <v>-19.041666666666668</v>
      </c>
      <c r="C5066" t="str">
        <f ca="1">IF(currency="USD",'Future et co'!D5066,IF(currency="EUR",'Future et co'!E5066,IF(currency="GBP",'Future et co'!F5066,FALSE)))</f>
        <v>RFR USD</v>
      </c>
      <c r="D5066" t="str">
        <f t="shared" ca="1" si="391"/>
        <v>RFR USD</v>
      </c>
      <c r="E5066" t="str">
        <f t="shared" ca="1" si="392"/>
        <v>RFR EUR</v>
      </c>
      <c r="F5066" t="str">
        <f t="shared" ca="1" si="393"/>
        <v>RFR GBP</v>
      </c>
      <c r="J5066" s="1"/>
      <c r="N5066" s="1"/>
      <c r="R5066" s="1"/>
      <c r="AB5066" s="1"/>
      <c r="AF5066" s="1"/>
      <c r="AJ5066" s="1"/>
      <c r="AS5066" s="1"/>
      <c r="AX5066" s="1"/>
    </row>
    <row r="5067" spans="1:50" x14ac:dyDescent="0.3">
      <c r="A5067" s="19">
        <f t="shared" si="394"/>
        <v>53008</v>
      </c>
      <c r="B5067">
        <f t="shared" ref="B5067:B5130" ca="1" si="395">($B$7-A5067)/360</f>
        <v>-19.044444444444444</v>
      </c>
      <c r="C5067" t="str">
        <f ca="1">IF(currency="USD",'Future et co'!D5067,IF(currency="EUR",'Future et co'!E5067,IF(currency="GBP",'Future et co'!F5067,FALSE)))</f>
        <v>RFR USD</v>
      </c>
      <c r="D5067" t="str">
        <f t="shared" ref="D5067:D5130" ca="1" si="396">IFERROR(IF(B5067&lt;0.25,VLOOKUP(A5067,$J$11:$L$5325,3,FALSE),IF(AND(B5067&gt;=0.25,B5067&lt;0.5),VLOOKUP(A5067,$N$11:$P$5325,3,FALSE),IF(AND(B5067&gt;=0.5,B5067&lt;1),VLOOKUP(A5067,$R$11:$T$5325,3,FALSE),VLOOKUP(A5067,$V$11:$X$5010,3,FALSE)))),D5066)</f>
        <v>RFR USD</v>
      </c>
      <c r="E5067" t="str">
        <f t="shared" ref="E5067:E5130" ca="1" si="397">IFERROR(IF(B5067&lt;0.25,VLOOKUP(A5067,$AF$11:$AH$5325,3,FALSE),IF(AND(B5067&gt;=0.25,B5067&lt;0.5),VLOOKUP(A5067,$AJ$11:$AL$5325,3,FALSE),VLOOKUP(A5067,$AN$11:$AP$5325,3,FALSE))),E5066)</f>
        <v>RFR EUR</v>
      </c>
      <c r="F5067" t="str">
        <f t="shared" ref="F5067:F5130" ca="1" si="398">IFERROR(VLOOKUP(A5067,$AS$11:$AU$9999,3,FALSE),F5066)</f>
        <v>RFR GBP</v>
      </c>
      <c r="J5067" s="1"/>
      <c r="N5067" s="1"/>
      <c r="R5067" s="1"/>
      <c r="AB5067" s="1"/>
      <c r="AF5067" s="1"/>
      <c r="AJ5067" s="1"/>
      <c r="AS5067" s="1"/>
      <c r="AX5067" s="1"/>
    </row>
    <row r="5068" spans="1:50" x14ac:dyDescent="0.3">
      <c r="A5068" s="19">
        <f t="shared" si="394"/>
        <v>53009</v>
      </c>
      <c r="B5068">
        <f t="shared" ca="1" si="395"/>
        <v>-19.047222222222221</v>
      </c>
      <c r="C5068" t="str">
        <f ca="1">IF(currency="USD",'Future et co'!D5068,IF(currency="EUR",'Future et co'!E5068,IF(currency="GBP",'Future et co'!F5068,FALSE)))</f>
        <v>RFR USD</v>
      </c>
      <c r="D5068" t="str">
        <f t="shared" ca="1" si="396"/>
        <v>RFR USD</v>
      </c>
      <c r="E5068" t="str">
        <f t="shared" ca="1" si="397"/>
        <v>RFR EUR</v>
      </c>
      <c r="F5068" t="str">
        <f t="shared" ca="1" si="398"/>
        <v>RFR GBP</v>
      </c>
      <c r="J5068" s="1"/>
      <c r="N5068" s="1"/>
      <c r="R5068" s="1"/>
      <c r="AB5068" s="1"/>
      <c r="AF5068" s="1"/>
      <c r="AJ5068" s="1"/>
      <c r="AS5068" s="1"/>
      <c r="AX5068" s="1"/>
    </row>
    <row r="5069" spans="1:50" x14ac:dyDescent="0.3">
      <c r="A5069" s="19">
        <f t="shared" ref="A5069:A5132" si="399">WORKDAY(A5068,1)</f>
        <v>53010</v>
      </c>
      <c r="B5069">
        <f t="shared" ca="1" si="395"/>
        <v>-19.05</v>
      </c>
      <c r="C5069" t="str">
        <f ca="1">IF(currency="USD",'Future et co'!D5069,IF(currency="EUR",'Future et co'!E5069,IF(currency="GBP",'Future et co'!F5069,FALSE)))</f>
        <v>RFR USD</v>
      </c>
      <c r="D5069" t="str">
        <f t="shared" ca="1" si="396"/>
        <v>RFR USD</v>
      </c>
      <c r="E5069" t="str">
        <f t="shared" ca="1" si="397"/>
        <v>RFR EUR</v>
      </c>
      <c r="F5069" t="str">
        <f t="shared" ca="1" si="398"/>
        <v>RFR GBP</v>
      </c>
      <c r="J5069" s="1"/>
      <c r="N5069" s="1"/>
      <c r="R5069" s="1"/>
      <c r="AB5069" s="1"/>
      <c r="AF5069" s="1"/>
      <c r="AJ5069" s="1"/>
      <c r="AS5069" s="1"/>
      <c r="AX5069" s="1"/>
    </row>
    <row r="5070" spans="1:50" x14ac:dyDescent="0.3">
      <c r="A5070" s="19">
        <f t="shared" si="399"/>
        <v>53013</v>
      </c>
      <c r="B5070">
        <f t="shared" ca="1" si="395"/>
        <v>-19.058333333333334</v>
      </c>
      <c r="C5070" t="str">
        <f ca="1">IF(currency="USD",'Future et co'!D5070,IF(currency="EUR",'Future et co'!E5070,IF(currency="GBP",'Future et co'!F5070,FALSE)))</f>
        <v>RFR USD</v>
      </c>
      <c r="D5070" t="str">
        <f t="shared" ca="1" si="396"/>
        <v>RFR USD</v>
      </c>
      <c r="E5070" t="str">
        <f t="shared" ca="1" si="397"/>
        <v>RFR EUR</v>
      </c>
      <c r="F5070" t="str">
        <f t="shared" ca="1" si="398"/>
        <v>RFR GBP</v>
      </c>
      <c r="J5070" s="1"/>
      <c r="N5070" s="1"/>
      <c r="R5070" s="1"/>
      <c r="AB5070" s="1"/>
      <c r="AF5070" s="1"/>
      <c r="AJ5070" s="1"/>
      <c r="AS5070" s="1"/>
      <c r="AX5070" s="1"/>
    </row>
    <row r="5071" spans="1:50" x14ac:dyDescent="0.3">
      <c r="A5071" s="19">
        <f t="shared" si="399"/>
        <v>53014</v>
      </c>
      <c r="B5071">
        <f t="shared" ca="1" si="395"/>
        <v>-19.06111111111111</v>
      </c>
      <c r="C5071" t="str">
        <f ca="1">IF(currency="USD",'Future et co'!D5071,IF(currency="EUR",'Future et co'!E5071,IF(currency="GBP",'Future et co'!F5071,FALSE)))</f>
        <v>RFR USD</v>
      </c>
      <c r="D5071" t="str">
        <f t="shared" ca="1" si="396"/>
        <v>RFR USD</v>
      </c>
      <c r="E5071" t="str">
        <f t="shared" ca="1" si="397"/>
        <v>RFR EUR</v>
      </c>
      <c r="F5071" t="str">
        <f t="shared" ca="1" si="398"/>
        <v>RFR GBP</v>
      </c>
      <c r="J5071" s="1"/>
      <c r="N5071" s="1"/>
      <c r="R5071" s="1"/>
      <c r="AB5071" s="1"/>
      <c r="AF5071" s="1"/>
      <c r="AJ5071" s="1"/>
      <c r="AS5071" s="1"/>
      <c r="AX5071" s="1"/>
    </row>
    <row r="5072" spans="1:50" x14ac:dyDescent="0.3">
      <c r="A5072" s="19">
        <f t="shared" si="399"/>
        <v>53015</v>
      </c>
      <c r="B5072">
        <f t="shared" ca="1" si="395"/>
        <v>-19.06388888888889</v>
      </c>
      <c r="C5072" t="str">
        <f ca="1">IF(currency="USD",'Future et co'!D5072,IF(currency="EUR",'Future et co'!E5072,IF(currency="GBP",'Future et co'!F5072,FALSE)))</f>
        <v>RFR USD</v>
      </c>
      <c r="D5072" t="str">
        <f t="shared" ca="1" si="396"/>
        <v>RFR USD</v>
      </c>
      <c r="E5072" t="str">
        <f t="shared" ca="1" si="397"/>
        <v>RFR EUR</v>
      </c>
      <c r="F5072" t="str">
        <f t="shared" ca="1" si="398"/>
        <v>RFR GBP</v>
      </c>
      <c r="J5072" s="1"/>
      <c r="N5072" s="1"/>
      <c r="R5072" s="1"/>
      <c r="AB5072" s="1"/>
      <c r="AF5072" s="1"/>
      <c r="AJ5072" s="1"/>
      <c r="AS5072" s="1"/>
      <c r="AX5072" s="1"/>
    </row>
    <row r="5073" spans="1:50" x14ac:dyDescent="0.3">
      <c r="A5073" s="19">
        <f t="shared" si="399"/>
        <v>53016</v>
      </c>
      <c r="B5073">
        <f t="shared" ca="1" si="395"/>
        <v>-19.066666666666666</v>
      </c>
      <c r="C5073" t="str">
        <f ca="1">IF(currency="USD",'Future et co'!D5073,IF(currency="EUR",'Future et co'!E5073,IF(currency="GBP",'Future et co'!F5073,FALSE)))</f>
        <v>RFR USD</v>
      </c>
      <c r="D5073" t="str">
        <f t="shared" ca="1" si="396"/>
        <v>RFR USD</v>
      </c>
      <c r="E5073" t="str">
        <f t="shared" ca="1" si="397"/>
        <v>RFR EUR</v>
      </c>
      <c r="F5073" t="str">
        <f t="shared" ca="1" si="398"/>
        <v>RFR GBP</v>
      </c>
      <c r="J5073" s="1"/>
      <c r="N5073" s="1"/>
      <c r="R5073" s="1"/>
      <c r="AB5073" s="1"/>
      <c r="AF5073" s="1"/>
      <c r="AJ5073" s="1"/>
      <c r="AS5073" s="1"/>
      <c r="AX5073" s="1"/>
    </row>
    <row r="5074" spans="1:50" x14ac:dyDescent="0.3">
      <c r="A5074" s="19">
        <f t="shared" si="399"/>
        <v>53017</v>
      </c>
      <c r="B5074">
        <f t="shared" ca="1" si="395"/>
        <v>-19.069444444444443</v>
      </c>
      <c r="C5074" t="str">
        <f ca="1">IF(currency="USD",'Future et co'!D5074,IF(currency="EUR",'Future et co'!E5074,IF(currency="GBP",'Future et co'!F5074,FALSE)))</f>
        <v>RFR USD</v>
      </c>
      <c r="D5074" t="str">
        <f t="shared" ca="1" si="396"/>
        <v>RFR USD</v>
      </c>
      <c r="E5074" t="str">
        <f t="shared" ca="1" si="397"/>
        <v>RFR EUR</v>
      </c>
      <c r="F5074" t="str">
        <f t="shared" ca="1" si="398"/>
        <v>RFR GBP</v>
      </c>
      <c r="J5074" s="1"/>
      <c r="N5074" s="1"/>
      <c r="R5074" s="1"/>
      <c r="AB5074" s="1"/>
      <c r="AF5074" s="1"/>
      <c r="AJ5074" s="1"/>
      <c r="AS5074" s="1"/>
      <c r="AX5074" s="1"/>
    </row>
    <row r="5075" spans="1:50" x14ac:dyDescent="0.3">
      <c r="A5075" s="19">
        <f t="shared" si="399"/>
        <v>53020</v>
      </c>
      <c r="B5075">
        <f t="shared" ca="1" si="395"/>
        <v>-19.077777777777779</v>
      </c>
      <c r="C5075" t="str">
        <f ca="1">IF(currency="USD",'Future et co'!D5075,IF(currency="EUR",'Future et co'!E5075,IF(currency="GBP",'Future et co'!F5075,FALSE)))</f>
        <v>RFR USD</v>
      </c>
      <c r="D5075" t="str">
        <f t="shared" ca="1" si="396"/>
        <v>RFR USD</v>
      </c>
      <c r="E5075" t="str">
        <f t="shared" ca="1" si="397"/>
        <v>RFR EUR</v>
      </c>
      <c r="F5075" t="str">
        <f t="shared" ca="1" si="398"/>
        <v>RFR GBP</v>
      </c>
      <c r="J5075" s="1"/>
      <c r="N5075" s="1"/>
      <c r="R5075" s="1"/>
      <c r="AB5075" s="1"/>
      <c r="AF5075" s="1"/>
      <c r="AJ5075" s="1"/>
      <c r="AS5075" s="1"/>
      <c r="AX5075" s="1"/>
    </row>
    <row r="5076" spans="1:50" x14ac:dyDescent="0.3">
      <c r="A5076" s="19">
        <f t="shared" si="399"/>
        <v>53021</v>
      </c>
      <c r="B5076">
        <f t="shared" ca="1" si="395"/>
        <v>-19.080555555555556</v>
      </c>
      <c r="C5076" t="str">
        <f ca="1">IF(currency="USD",'Future et co'!D5076,IF(currency="EUR",'Future et co'!E5076,IF(currency="GBP",'Future et co'!F5076,FALSE)))</f>
        <v>RFR USD</v>
      </c>
      <c r="D5076" t="str">
        <f t="shared" ca="1" si="396"/>
        <v>RFR USD</v>
      </c>
      <c r="E5076" t="str">
        <f t="shared" ca="1" si="397"/>
        <v>RFR EUR</v>
      </c>
      <c r="F5076" t="str">
        <f t="shared" ca="1" si="398"/>
        <v>RFR GBP</v>
      </c>
      <c r="J5076" s="1"/>
      <c r="N5076" s="1"/>
      <c r="R5076" s="1"/>
      <c r="AB5076" s="1"/>
      <c r="AF5076" s="1"/>
      <c r="AJ5076" s="1"/>
      <c r="AS5076" s="1"/>
      <c r="AX5076" s="1"/>
    </row>
    <row r="5077" spans="1:50" x14ac:dyDescent="0.3">
      <c r="A5077" s="19">
        <f t="shared" si="399"/>
        <v>53022</v>
      </c>
      <c r="B5077">
        <f t="shared" ca="1" si="395"/>
        <v>-19.083333333333332</v>
      </c>
      <c r="C5077" t="str">
        <f ca="1">IF(currency="USD",'Future et co'!D5077,IF(currency="EUR",'Future et co'!E5077,IF(currency="GBP",'Future et co'!F5077,FALSE)))</f>
        <v>RFR USD</v>
      </c>
      <c r="D5077" t="str">
        <f t="shared" ca="1" si="396"/>
        <v>RFR USD</v>
      </c>
      <c r="E5077" t="str">
        <f t="shared" ca="1" si="397"/>
        <v>RFR EUR</v>
      </c>
      <c r="F5077" t="str">
        <f t="shared" ca="1" si="398"/>
        <v>RFR GBP</v>
      </c>
      <c r="J5077" s="1"/>
      <c r="N5077" s="1"/>
      <c r="R5077" s="1"/>
      <c r="AB5077" s="1"/>
      <c r="AF5077" s="1"/>
      <c r="AJ5077" s="1"/>
      <c r="AS5077" s="1"/>
      <c r="AX5077" s="1"/>
    </row>
    <row r="5078" spans="1:50" x14ac:dyDescent="0.3">
      <c r="A5078" s="19">
        <f t="shared" si="399"/>
        <v>53023</v>
      </c>
      <c r="B5078">
        <f t="shared" ca="1" si="395"/>
        <v>-19.086111111111112</v>
      </c>
      <c r="C5078" t="str">
        <f ca="1">IF(currency="USD",'Future et co'!D5078,IF(currency="EUR",'Future et co'!E5078,IF(currency="GBP",'Future et co'!F5078,FALSE)))</f>
        <v>RFR USD</v>
      </c>
      <c r="D5078" t="str">
        <f t="shared" ca="1" si="396"/>
        <v>RFR USD</v>
      </c>
      <c r="E5078" t="str">
        <f t="shared" ca="1" si="397"/>
        <v>RFR EUR</v>
      </c>
      <c r="F5078" t="str">
        <f t="shared" ca="1" si="398"/>
        <v>RFR GBP</v>
      </c>
      <c r="J5078" s="1"/>
      <c r="N5078" s="1"/>
      <c r="R5078" s="1"/>
      <c r="AB5078" s="1"/>
      <c r="AF5078" s="1"/>
      <c r="AJ5078" s="1"/>
      <c r="AS5078" s="1"/>
      <c r="AX5078" s="1"/>
    </row>
    <row r="5079" spans="1:50" x14ac:dyDescent="0.3">
      <c r="A5079" s="19">
        <f t="shared" si="399"/>
        <v>53024</v>
      </c>
      <c r="B5079">
        <f t="shared" ca="1" si="395"/>
        <v>-19.088888888888889</v>
      </c>
      <c r="C5079" t="str">
        <f ca="1">IF(currency="USD",'Future et co'!D5079,IF(currency="EUR",'Future et co'!E5079,IF(currency="GBP",'Future et co'!F5079,FALSE)))</f>
        <v>RFR USD</v>
      </c>
      <c r="D5079" t="str">
        <f t="shared" ca="1" si="396"/>
        <v>RFR USD</v>
      </c>
      <c r="E5079" t="str">
        <f t="shared" ca="1" si="397"/>
        <v>RFR EUR</v>
      </c>
      <c r="F5079" t="str">
        <f t="shared" ca="1" si="398"/>
        <v>RFR GBP</v>
      </c>
      <c r="J5079" s="1"/>
      <c r="N5079" s="1"/>
      <c r="R5079" s="1"/>
      <c r="AB5079" s="1"/>
      <c r="AF5079" s="1"/>
      <c r="AJ5079" s="1"/>
      <c r="AS5079" s="1"/>
      <c r="AX5079" s="1"/>
    </row>
    <row r="5080" spans="1:50" x14ac:dyDescent="0.3">
      <c r="A5080" s="19">
        <f t="shared" si="399"/>
        <v>53027</v>
      </c>
      <c r="B5080">
        <f t="shared" ca="1" si="395"/>
        <v>-19.097222222222221</v>
      </c>
      <c r="C5080" t="str">
        <f ca="1">IF(currency="USD",'Future et co'!D5080,IF(currency="EUR",'Future et co'!E5080,IF(currency="GBP",'Future et co'!F5080,FALSE)))</f>
        <v>RFR USD</v>
      </c>
      <c r="D5080" t="str">
        <f t="shared" ca="1" si="396"/>
        <v>RFR USD</v>
      </c>
      <c r="E5080" t="str">
        <f t="shared" ca="1" si="397"/>
        <v>RFR EUR</v>
      </c>
      <c r="F5080" t="str">
        <f t="shared" ca="1" si="398"/>
        <v>RFR GBP</v>
      </c>
      <c r="J5080" s="1"/>
      <c r="N5080" s="1"/>
      <c r="R5080" s="1"/>
      <c r="AB5080" s="1"/>
      <c r="AF5080" s="1"/>
      <c r="AJ5080" s="1"/>
      <c r="AS5080" s="1"/>
      <c r="AX5080" s="1"/>
    </row>
    <row r="5081" spans="1:50" x14ac:dyDescent="0.3">
      <c r="A5081" s="19">
        <f t="shared" si="399"/>
        <v>53028</v>
      </c>
      <c r="B5081">
        <f t="shared" ca="1" si="395"/>
        <v>-19.100000000000001</v>
      </c>
      <c r="C5081" t="str">
        <f ca="1">IF(currency="USD",'Future et co'!D5081,IF(currency="EUR",'Future et co'!E5081,IF(currency="GBP",'Future et co'!F5081,FALSE)))</f>
        <v>RFR USD</v>
      </c>
      <c r="D5081" t="str">
        <f t="shared" ca="1" si="396"/>
        <v>RFR USD</v>
      </c>
      <c r="E5081" t="str">
        <f t="shared" ca="1" si="397"/>
        <v>RFR EUR</v>
      </c>
      <c r="F5081" t="str">
        <f t="shared" ca="1" si="398"/>
        <v>RFR GBP</v>
      </c>
      <c r="J5081" s="1"/>
      <c r="N5081" s="1"/>
      <c r="R5081" s="1"/>
      <c r="AB5081" s="1"/>
      <c r="AF5081" s="1"/>
      <c r="AJ5081" s="1"/>
      <c r="AS5081" s="1"/>
      <c r="AX5081" s="1"/>
    </row>
    <row r="5082" spans="1:50" x14ac:dyDescent="0.3">
      <c r="A5082" s="19">
        <f t="shared" si="399"/>
        <v>53029</v>
      </c>
      <c r="B5082">
        <f t="shared" ca="1" si="395"/>
        <v>-19.102777777777778</v>
      </c>
      <c r="C5082" t="str">
        <f ca="1">IF(currency="USD",'Future et co'!D5082,IF(currency="EUR",'Future et co'!E5082,IF(currency="GBP",'Future et co'!F5082,FALSE)))</f>
        <v>RFR USD</v>
      </c>
      <c r="D5082" t="str">
        <f t="shared" ca="1" si="396"/>
        <v>RFR USD</v>
      </c>
      <c r="E5082" t="str">
        <f t="shared" ca="1" si="397"/>
        <v>RFR EUR</v>
      </c>
      <c r="F5082" t="str">
        <f t="shared" ca="1" si="398"/>
        <v>RFR GBP</v>
      </c>
      <c r="J5082" s="1"/>
      <c r="N5082" s="1"/>
      <c r="R5082" s="1"/>
      <c r="AB5082" s="1"/>
      <c r="AF5082" s="1"/>
      <c r="AJ5082" s="1"/>
      <c r="AS5082" s="1"/>
      <c r="AX5082" s="1"/>
    </row>
    <row r="5083" spans="1:50" x14ac:dyDescent="0.3">
      <c r="A5083" s="19">
        <f t="shared" si="399"/>
        <v>53030</v>
      </c>
      <c r="B5083">
        <f t="shared" ca="1" si="395"/>
        <v>-19.105555555555554</v>
      </c>
      <c r="C5083" t="str">
        <f ca="1">IF(currency="USD",'Future et co'!D5083,IF(currency="EUR",'Future et co'!E5083,IF(currency="GBP",'Future et co'!F5083,FALSE)))</f>
        <v>RFR USD</v>
      </c>
      <c r="D5083" t="str">
        <f t="shared" ca="1" si="396"/>
        <v>RFR USD</v>
      </c>
      <c r="E5083" t="str">
        <f t="shared" ca="1" si="397"/>
        <v>RFR EUR</v>
      </c>
      <c r="F5083" t="str">
        <f t="shared" ca="1" si="398"/>
        <v>RFR GBP</v>
      </c>
      <c r="J5083" s="1"/>
      <c r="N5083" s="1"/>
      <c r="R5083" s="1"/>
      <c r="AB5083" s="1"/>
      <c r="AF5083" s="1"/>
      <c r="AJ5083" s="1"/>
      <c r="AS5083" s="1"/>
      <c r="AX5083" s="1"/>
    </row>
    <row r="5084" spans="1:50" x14ac:dyDescent="0.3">
      <c r="A5084" s="19">
        <f t="shared" si="399"/>
        <v>53031</v>
      </c>
      <c r="B5084">
        <f t="shared" ca="1" si="395"/>
        <v>-19.108333333333334</v>
      </c>
      <c r="C5084" t="str">
        <f ca="1">IF(currency="USD",'Future et co'!D5084,IF(currency="EUR",'Future et co'!E5084,IF(currency="GBP",'Future et co'!F5084,FALSE)))</f>
        <v>RFR USD</v>
      </c>
      <c r="D5084" t="str">
        <f t="shared" ca="1" si="396"/>
        <v>RFR USD</v>
      </c>
      <c r="E5084" t="str">
        <f t="shared" ca="1" si="397"/>
        <v>RFR EUR</v>
      </c>
      <c r="F5084" t="str">
        <f t="shared" ca="1" si="398"/>
        <v>RFR GBP</v>
      </c>
      <c r="J5084" s="1"/>
      <c r="N5084" s="1"/>
      <c r="R5084" s="1"/>
      <c r="AB5084" s="1"/>
      <c r="AF5084" s="1"/>
      <c r="AJ5084" s="1"/>
      <c r="AS5084" s="1"/>
      <c r="AX5084" s="1"/>
    </row>
    <row r="5085" spans="1:50" x14ac:dyDescent="0.3">
      <c r="A5085" s="19">
        <f t="shared" si="399"/>
        <v>53034</v>
      </c>
      <c r="B5085">
        <f t="shared" ca="1" si="395"/>
        <v>-19.116666666666667</v>
      </c>
      <c r="C5085" t="str">
        <f ca="1">IF(currency="USD",'Future et co'!D5085,IF(currency="EUR",'Future et co'!E5085,IF(currency="GBP",'Future et co'!F5085,FALSE)))</f>
        <v>RFR USD</v>
      </c>
      <c r="D5085" t="str">
        <f t="shared" ca="1" si="396"/>
        <v>RFR USD</v>
      </c>
      <c r="E5085" t="str">
        <f t="shared" ca="1" si="397"/>
        <v>RFR EUR</v>
      </c>
      <c r="F5085" t="str">
        <f t="shared" ca="1" si="398"/>
        <v>RFR GBP</v>
      </c>
      <c r="J5085" s="1"/>
      <c r="N5085" s="1"/>
      <c r="R5085" s="1"/>
      <c r="AB5085" s="1"/>
      <c r="AF5085" s="1"/>
      <c r="AJ5085" s="1"/>
      <c r="AS5085" s="1"/>
      <c r="AX5085" s="1"/>
    </row>
    <row r="5086" spans="1:50" x14ac:dyDescent="0.3">
      <c r="A5086" s="19">
        <f t="shared" si="399"/>
        <v>53035</v>
      </c>
      <c r="B5086">
        <f t="shared" ca="1" si="395"/>
        <v>-19.119444444444444</v>
      </c>
      <c r="C5086" t="str">
        <f ca="1">IF(currency="USD",'Future et co'!D5086,IF(currency="EUR",'Future et co'!E5086,IF(currency="GBP",'Future et co'!F5086,FALSE)))</f>
        <v>RFR USD</v>
      </c>
      <c r="D5086" t="str">
        <f t="shared" ca="1" si="396"/>
        <v>RFR USD</v>
      </c>
      <c r="E5086" t="str">
        <f t="shared" ca="1" si="397"/>
        <v>RFR EUR</v>
      </c>
      <c r="F5086" t="str">
        <f t="shared" ca="1" si="398"/>
        <v>RFR GBP</v>
      </c>
      <c r="J5086" s="1"/>
      <c r="N5086" s="1"/>
      <c r="R5086" s="1"/>
      <c r="AB5086" s="1"/>
      <c r="AF5086" s="1"/>
      <c r="AJ5086" s="1"/>
      <c r="AS5086" s="1"/>
      <c r="AX5086" s="1"/>
    </row>
    <row r="5087" spans="1:50" x14ac:dyDescent="0.3">
      <c r="A5087" s="19">
        <f t="shared" si="399"/>
        <v>53036</v>
      </c>
      <c r="B5087">
        <f t="shared" ca="1" si="395"/>
        <v>-19.122222222222224</v>
      </c>
      <c r="C5087" t="str">
        <f ca="1">IF(currency="USD",'Future et co'!D5087,IF(currency="EUR",'Future et co'!E5087,IF(currency="GBP",'Future et co'!F5087,FALSE)))</f>
        <v>RFR USD</v>
      </c>
      <c r="D5087" t="str">
        <f t="shared" ca="1" si="396"/>
        <v>RFR USD</v>
      </c>
      <c r="E5087" t="str">
        <f t="shared" ca="1" si="397"/>
        <v>RFR EUR</v>
      </c>
      <c r="F5087" t="str">
        <f t="shared" ca="1" si="398"/>
        <v>RFR GBP</v>
      </c>
      <c r="J5087" s="1"/>
      <c r="N5087" s="1"/>
      <c r="R5087" s="1"/>
      <c r="AB5087" s="1"/>
      <c r="AF5087" s="1"/>
      <c r="AJ5087" s="1"/>
      <c r="AS5087" s="1"/>
      <c r="AX5087" s="1"/>
    </row>
    <row r="5088" spans="1:50" x14ac:dyDescent="0.3">
      <c r="A5088" s="19">
        <f t="shared" si="399"/>
        <v>53037</v>
      </c>
      <c r="B5088">
        <f t="shared" ca="1" si="395"/>
        <v>-19.125</v>
      </c>
      <c r="C5088" t="str">
        <f ca="1">IF(currency="USD",'Future et co'!D5088,IF(currency="EUR",'Future et co'!E5088,IF(currency="GBP",'Future et co'!F5088,FALSE)))</f>
        <v>RFR USD</v>
      </c>
      <c r="D5088" t="str">
        <f t="shared" ca="1" si="396"/>
        <v>RFR USD</v>
      </c>
      <c r="E5088" t="str">
        <f t="shared" ca="1" si="397"/>
        <v>RFR EUR</v>
      </c>
      <c r="F5088" t="str">
        <f t="shared" ca="1" si="398"/>
        <v>RFR GBP</v>
      </c>
      <c r="J5088" s="1"/>
      <c r="N5088" s="1"/>
      <c r="R5088" s="1"/>
      <c r="AB5088" s="1"/>
      <c r="AF5088" s="1"/>
      <c r="AJ5088" s="1"/>
      <c r="AS5088" s="1"/>
      <c r="AX5088" s="1"/>
    </row>
    <row r="5089" spans="1:50" x14ac:dyDescent="0.3">
      <c r="A5089" s="19">
        <f t="shared" si="399"/>
        <v>53038</v>
      </c>
      <c r="B5089">
        <f t="shared" ca="1" si="395"/>
        <v>-19.127777777777776</v>
      </c>
      <c r="C5089" t="str">
        <f ca="1">IF(currency="USD",'Future et co'!D5089,IF(currency="EUR",'Future et co'!E5089,IF(currency="GBP",'Future et co'!F5089,FALSE)))</f>
        <v>RFR USD</v>
      </c>
      <c r="D5089" t="str">
        <f t="shared" ca="1" si="396"/>
        <v>RFR USD</v>
      </c>
      <c r="E5089" t="str">
        <f t="shared" ca="1" si="397"/>
        <v>RFR EUR</v>
      </c>
      <c r="F5089" t="str">
        <f t="shared" ca="1" si="398"/>
        <v>RFR GBP</v>
      </c>
      <c r="J5089" s="1"/>
      <c r="N5089" s="1"/>
      <c r="R5089" s="1"/>
      <c r="AB5089" s="1"/>
      <c r="AF5089" s="1"/>
      <c r="AJ5089" s="1"/>
      <c r="AS5089" s="1"/>
      <c r="AX5089" s="1"/>
    </row>
    <row r="5090" spans="1:50" x14ac:dyDescent="0.3">
      <c r="A5090" s="19">
        <f t="shared" si="399"/>
        <v>53041</v>
      </c>
      <c r="B5090">
        <f t="shared" ca="1" si="395"/>
        <v>-19.136111111111113</v>
      </c>
      <c r="C5090" t="str">
        <f ca="1">IF(currency="USD",'Future et co'!D5090,IF(currency="EUR",'Future et co'!E5090,IF(currency="GBP",'Future et co'!F5090,FALSE)))</f>
        <v>RFR USD</v>
      </c>
      <c r="D5090" t="str">
        <f t="shared" ca="1" si="396"/>
        <v>RFR USD</v>
      </c>
      <c r="E5090" t="str">
        <f t="shared" ca="1" si="397"/>
        <v>RFR EUR</v>
      </c>
      <c r="F5090" t="str">
        <f t="shared" ca="1" si="398"/>
        <v>RFR GBP</v>
      </c>
      <c r="J5090" s="1"/>
      <c r="N5090" s="1"/>
      <c r="R5090" s="1"/>
      <c r="AB5090" s="1"/>
      <c r="AF5090" s="1"/>
      <c r="AJ5090" s="1"/>
      <c r="AS5090" s="1"/>
      <c r="AX5090" s="1"/>
    </row>
    <row r="5091" spans="1:50" x14ac:dyDescent="0.3">
      <c r="A5091" s="19">
        <f t="shared" si="399"/>
        <v>53042</v>
      </c>
      <c r="B5091">
        <f t="shared" ca="1" si="395"/>
        <v>-19.138888888888889</v>
      </c>
      <c r="C5091" t="str">
        <f ca="1">IF(currency="USD",'Future et co'!D5091,IF(currency="EUR",'Future et co'!E5091,IF(currency="GBP",'Future et co'!F5091,FALSE)))</f>
        <v>RFR USD</v>
      </c>
      <c r="D5091" t="str">
        <f t="shared" ca="1" si="396"/>
        <v>RFR USD</v>
      </c>
      <c r="E5091" t="str">
        <f t="shared" ca="1" si="397"/>
        <v>RFR EUR</v>
      </c>
      <c r="F5091" t="str">
        <f t="shared" ca="1" si="398"/>
        <v>RFR GBP</v>
      </c>
      <c r="J5091" s="1"/>
      <c r="N5091" s="1"/>
      <c r="R5091" s="1"/>
      <c r="AB5091" s="1"/>
      <c r="AF5091" s="1"/>
      <c r="AJ5091" s="1"/>
      <c r="AS5091" s="1"/>
      <c r="AX5091" s="1"/>
    </row>
    <row r="5092" spans="1:50" x14ac:dyDescent="0.3">
      <c r="A5092" s="19">
        <f t="shared" si="399"/>
        <v>53043</v>
      </c>
      <c r="B5092">
        <f t="shared" ca="1" si="395"/>
        <v>-19.141666666666666</v>
      </c>
      <c r="C5092" t="str">
        <f ca="1">IF(currency="USD",'Future et co'!D5092,IF(currency="EUR",'Future et co'!E5092,IF(currency="GBP",'Future et co'!F5092,FALSE)))</f>
        <v>RFR USD</v>
      </c>
      <c r="D5092" t="str">
        <f t="shared" ca="1" si="396"/>
        <v>RFR USD</v>
      </c>
      <c r="E5092" t="str">
        <f t="shared" ca="1" si="397"/>
        <v>RFR EUR</v>
      </c>
      <c r="F5092" t="str">
        <f t="shared" ca="1" si="398"/>
        <v>RFR GBP</v>
      </c>
      <c r="J5092" s="1"/>
      <c r="N5092" s="1"/>
      <c r="R5092" s="1"/>
      <c r="AB5092" s="1"/>
      <c r="AF5092" s="1"/>
      <c r="AJ5092" s="1"/>
      <c r="AS5092" s="1"/>
      <c r="AX5092" s="1"/>
    </row>
    <row r="5093" spans="1:50" x14ac:dyDescent="0.3">
      <c r="A5093" s="19">
        <f t="shared" si="399"/>
        <v>53044</v>
      </c>
      <c r="B5093">
        <f t="shared" ca="1" si="395"/>
        <v>-19.144444444444446</v>
      </c>
      <c r="C5093" t="str">
        <f ca="1">IF(currency="USD",'Future et co'!D5093,IF(currency="EUR",'Future et co'!E5093,IF(currency="GBP",'Future et co'!F5093,FALSE)))</f>
        <v>RFR USD</v>
      </c>
      <c r="D5093" t="str">
        <f t="shared" ca="1" si="396"/>
        <v>RFR USD</v>
      </c>
      <c r="E5093" t="str">
        <f t="shared" ca="1" si="397"/>
        <v>RFR EUR</v>
      </c>
      <c r="F5093" t="str">
        <f t="shared" ca="1" si="398"/>
        <v>RFR GBP</v>
      </c>
      <c r="J5093" s="1"/>
      <c r="N5093" s="1"/>
      <c r="R5093" s="1"/>
      <c r="AB5093" s="1"/>
      <c r="AF5093" s="1"/>
      <c r="AJ5093" s="1"/>
      <c r="AS5093" s="1"/>
      <c r="AX5093" s="1"/>
    </row>
    <row r="5094" spans="1:50" x14ac:dyDescent="0.3">
      <c r="A5094" s="19">
        <f t="shared" si="399"/>
        <v>53045</v>
      </c>
      <c r="B5094">
        <f t="shared" ca="1" si="395"/>
        <v>-19.147222222222222</v>
      </c>
      <c r="C5094" t="str">
        <f ca="1">IF(currency="USD",'Future et co'!D5094,IF(currency="EUR",'Future et co'!E5094,IF(currency="GBP",'Future et co'!F5094,FALSE)))</f>
        <v>RFR USD</v>
      </c>
      <c r="D5094" t="str">
        <f t="shared" ca="1" si="396"/>
        <v>RFR USD</v>
      </c>
      <c r="E5094" t="str">
        <f t="shared" ca="1" si="397"/>
        <v>RFR EUR</v>
      </c>
      <c r="F5094" t="str">
        <f t="shared" ca="1" si="398"/>
        <v>RFR GBP</v>
      </c>
      <c r="J5094" s="1"/>
      <c r="N5094" s="1"/>
      <c r="R5094" s="1"/>
      <c r="AB5094" s="1"/>
      <c r="AF5094" s="1"/>
      <c r="AJ5094" s="1"/>
      <c r="AS5094" s="1"/>
      <c r="AX5094" s="1"/>
    </row>
    <row r="5095" spans="1:50" x14ac:dyDescent="0.3">
      <c r="A5095" s="19">
        <f t="shared" si="399"/>
        <v>53048</v>
      </c>
      <c r="B5095">
        <f t="shared" ca="1" si="395"/>
        <v>-19.155555555555555</v>
      </c>
      <c r="C5095" t="str">
        <f ca="1">IF(currency="USD",'Future et co'!D5095,IF(currency="EUR",'Future et co'!E5095,IF(currency="GBP",'Future et co'!F5095,FALSE)))</f>
        <v>RFR USD</v>
      </c>
      <c r="D5095" t="str">
        <f t="shared" ca="1" si="396"/>
        <v>RFR USD</v>
      </c>
      <c r="E5095" t="str">
        <f t="shared" ca="1" si="397"/>
        <v>RFR EUR</v>
      </c>
      <c r="F5095" t="str">
        <f t="shared" ca="1" si="398"/>
        <v>RFR GBP</v>
      </c>
      <c r="J5095" s="1"/>
      <c r="N5095" s="1"/>
      <c r="R5095" s="1"/>
      <c r="AB5095" s="1"/>
      <c r="AF5095" s="1"/>
      <c r="AJ5095" s="1"/>
      <c r="AS5095" s="1"/>
      <c r="AX5095" s="1"/>
    </row>
    <row r="5096" spans="1:50" x14ac:dyDescent="0.3">
      <c r="A5096" s="19">
        <f t="shared" si="399"/>
        <v>53049</v>
      </c>
      <c r="B5096">
        <f t="shared" ca="1" si="395"/>
        <v>-19.158333333333335</v>
      </c>
      <c r="C5096" t="str">
        <f ca="1">IF(currency="USD",'Future et co'!D5096,IF(currency="EUR",'Future et co'!E5096,IF(currency="GBP",'Future et co'!F5096,FALSE)))</f>
        <v>RFR USD</v>
      </c>
      <c r="D5096" t="str">
        <f t="shared" ca="1" si="396"/>
        <v>RFR USD</v>
      </c>
      <c r="E5096" t="str">
        <f t="shared" ca="1" si="397"/>
        <v>RFR EUR</v>
      </c>
      <c r="F5096" t="str">
        <f t="shared" ca="1" si="398"/>
        <v>RFR GBP</v>
      </c>
      <c r="J5096" s="1"/>
      <c r="N5096" s="1"/>
      <c r="R5096" s="1"/>
      <c r="AB5096" s="1"/>
      <c r="AF5096" s="1"/>
      <c r="AJ5096" s="1"/>
      <c r="AS5096" s="1"/>
      <c r="AX5096" s="1"/>
    </row>
    <row r="5097" spans="1:50" x14ac:dyDescent="0.3">
      <c r="A5097" s="19">
        <f t="shared" si="399"/>
        <v>53050</v>
      </c>
      <c r="B5097">
        <f t="shared" ca="1" si="395"/>
        <v>-19.161111111111111</v>
      </c>
      <c r="C5097" t="str">
        <f ca="1">IF(currency="USD",'Future et co'!D5097,IF(currency="EUR",'Future et co'!E5097,IF(currency="GBP",'Future et co'!F5097,FALSE)))</f>
        <v>RFR USD</v>
      </c>
      <c r="D5097" t="str">
        <f t="shared" ca="1" si="396"/>
        <v>RFR USD</v>
      </c>
      <c r="E5097" t="str">
        <f t="shared" ca="1" si="397"/>
        <v>RFR EUR</v>
      </c>
      <c r="F5097" t="str">
        <f t="shared" ca="1" si="398"/>
        <v>RFR GBP</v>
      </c>
      <c r="J5097" s="1"/>
      <c r="N5097" s="1"/>
      <c r="R5097" s="1"/>
      <c r="AB5097" s="1"/>
      <c r="AF5097" s="1"/>
      <c r="AJ5097" s="1"/>
      <c r="AS5097" s="1"/>
      <c r="AX5097" s="1"/>
    </row>
    <row r="5098" spans="1:50" x14ac:dyDescent="0.3">
      <c r="A5098" s="19">
        <f t="shared" si="399"/>
        <v>53051</v>
      </c>
      <c r="B5098">
        <f t="shared" ca="1" si="395"/>
        <v>-19.163888888888888</v>
      </c>
      <c r="C5098" t="str">
        <f ca="1">IF(currency="USD",'Future et co'!D5098,IF(currency="EUR",'Future et co'!E5098,IF(currency="GBP",'Future et co'!F5098,FALSE)))</f>
        <v>RFR USD</v>
      </c>
      <c r="D5098" t="str">
        <f t="shared" ca="1" si="396"/>
        <v>RFR USD</v>
      </c>
      <c r="E5098" t="str">
        <f t="shared" ca="1" si="397"/>
        <v>RFR EUR</v>
      </c>
      <c r="F5098" t="str">
        <f t="shared" ca="1" si="398"/>
        <v>RFR GBP</v>
      </c>
      <c r="J5098" s="1"/>
      <c r="N5098" s="1"/>
      <c r="R5098" s="1"/>
      <c r="AB5098" s="1"/>
      <c r="AF5098" s="1"/>
      <c r="AJ5098" s="1"/>
      <c r="AS5098" s="1"/>
      <c r="AX5098" s="1"/>
    </row>
    <row r="5099" spans="1:50" x14ac:dyDescent="0.3">
      <c r="A5099" s="19">
        <f t="shared" si="399"/>
        <v>53052</v>
      </c>
      <c r="B5099">
        <f t="shared" ca="1" si="395"/>
        <v>-19.166666666666668</v>
      </c>
      <c r="C5099" t="str">
        <f ca="1">IF(currency="USD",'Future et co'!D5099,IF(currency="EUR",'Future et co'!E5099,IF(currency="GBP",'Future et co'!F5099,FALSE)))</f>
        <v>RFR USD</v>
      </c>
      <c r="D5099" t="str">
        <f t="shared" ca="1" si="396"/>
        <v>RFR USD</v>
      </c>
      <c r="E5099" t="str">
        <f t="shared" ca="1" si="397"/>
        <v>RFR EUR</v>
      </c>
      <c r="F5099" t="str">
        <f t="shared" ca="1" si="398"/>
        <v>RFR GBP</v>
      </c>
      <c r="J5099" s="1"/>
      <c r="N5099" s="1"/>
      <c r="R5099" s="1"/>
      <c r="AB5099" s="1"/>
      <c r="AF5099" s="1"/>
      <c r="AJ5099" s="1"/>
      <c r="AS5099" s="1"/>
      <c r="AX5099" s="1"/>
    </row>
    <row r="5100" spans="1:50" x14ac:dyDescent="0.3">
      <c r="A5100" s="19">
        <f t="shared" si="399"/>
        <v>53055</v>
      </c>
      <c r="B5100">
        <f t="shared" ca="1" si="395"/>
        <v>-19.175000000000001</v>
      </c>
      <c r="C5100" t="str">
        <f ca="1">IF(currency="USD",'Future et co'!D5100,IF(currency="EUR",'Future et co'!E5100,IF(currency="GBP",'Future et co'!F5100,FALSE)))</f>
        <v>RFR USD</v>
      </c>
      <c r="D5100" t="str">
        <f t="shared" ca="1" si="396"/>
        <v>RFR USD</v>
      </c>
      <c r="E5100" t="str">
        <f t="shared" ca="1" si="397"/>
        <v>RFR EUR</v>
      </c>
      <c r="F5100" t="str">
        <f t="shared" ca="1" si="398"/>
        <v>RFR GBP</v>
      </c>
      <c r="J5100" s="1"/>
      <c r="N5100" s="1"/>
      <c r="R5100" s="1"/>
      <c r="AB5100" s="1"/>
      <c r="AF5100" s="1"/>
      <c r="AJ5100" s="1"/>
      <c r="AS5100" s="1"/>
      <c r="AX5100" s="1"/>
    </row>
    <row r="5101" spans="1:50" x14ac:dyDescent="0.3">
      <c r="A5101" s="19">
        <f t="shared" si="399"/>
        <v>53056</v>
      </c>
      <c r="B5101">
        <f t="shared" ca="1" si="395"/>
        <v>-19.177777777777777</v>
      </c>
      <c r="C5101" t="str">
        <f ca="1">IF(currency="USD",'Future et co'!D5101,IF(currency="EUR",'Future et co'!E5101,IF(currency="GBP",'Future et co'!F5101,FALSE)))</f>
        <v>RFR USD</v>
      </c>
      <c r="D5101" t="str">
        <f t="shared" ca="1" si="396"/>
        <v>RFR USD</v>
      </c>
      <c r="E5101" t="str">
        <f t="shared" ca="1" si="397"/>
        <v>RFR EUR</v>
      </c>
      <c r="F5101" t="str">
        <f t="shared" ca="1" si="398"/>
        <v>RFR GBP</v>
      </c>
      <c r="J5101" s="1"/>
      <c r="N5101" s="1"/>
      <c r="R5101" s="1"/>
      <c r="AB5101" s="1"/>
      <c r="AF5101" s="1"/>
      <c r="AJ5101" s="1"/>
      <c r="AS5101" s="1"/>
      <c r="AX5101" s="1"/>
    </row>
    <row r="5102" spans="1:50" x14ac:dyDescent="0.3">
      <c r="A5102" s="19">
        <f t="shared" si="399"/>
        <v>53057</v>
      </c>
      <c r="B5102">
        <f t="shared" ca="1" si="395"/>
        <v>-19.180555555555557</v>
      </c>
      <c r="C5102" t="str">
        <f ca="1">IF(currency="USD",'Future et co'!D5102,IF(currency="EUR",'Future et co'!E5102,IF(currency="GBP",'Future et co'!F5102,FALSE)))</f>
        <v>RFR USD</v>
      </c>
      <c r="D5102" t="str">
        <f t="shared" ca="1" si="396"/>
        <v>RFR USD</v>
      </c>
      <c r="E5102" t="str">
        <f t="shared" ca="1" si="397"/>
        <v>RFR EUR</v>
      </c>
      <c r="F5102" t="str">
        <f t="shared" ca="1" si="398"/>
        <v>RFR GBP</v>
      </c>
      <c r="J5102" s="1"/>
      <c r="N5102" s="1"/>
      <c r="R5102" s="1"/>
      <c r="AB5102" s="1"/>
      <c r="AF5102" s="1"/>
      <c r="AJ5102" s="1"/>
      <c r="AS5102" s="1"/>
      <c r="AX5102" s="1"/>
    </row>
    <row r="5103" spans="1:50" x14ac:dyDescent="0.3">
      <c r="A5103" s="19">
        <f t="shared" si="399"/>
        <v>53058</v>
      </c>
      <c r="B5103">
        <f t="shared" ca="1" si="395"/>
        <v>-19.183333333333334</v>
      </c>
      <c r="C5103" t="str">
        <f ca="1">IF(currency="USD",'Future et co'!D5103,IF(currency="EUR",'Future et co'!E5103,IF(currency="GBP",'Future et co'!F5103,FALSE)))</f>
        <v>RFR USD</v>
      </c>
      <c r="D5103" t="str">
        <f t="shared" ca="1" si="396"/>
        <v>RFR USD</v>
      </c>
      <c r="E5103" t="str">
        <f t="shared" ca="1" si="397"/>
        <v>RFR EUR</v>
      </c>
      <c r="F5103" t="str">
        <f t="shared" ca="1" si="398"/>
        <v>RFR GBP</v>
      </c>
      <c r="J5103" s="1"/>
      <c r="N5103" s="1"/>
      <c r="R5103" s="1"/>
      <c r="AB5103" s="1"/>
      <c r="AF5103" s="1"/>
      <c r="AJ5103" s="1"/>
      <c r="AS5103" s="1"/>
      <c r="AX5103" s="1"/>
    </row>
    <row r="5104" spans="1:50" x14ac:dyDescent="0.3">
      <c r="A5104" s="19">
        <f t="shared" si="399"/>
        <v>53059</v>
      </c>
      <c r="B5104">
        <f t="shared" ca="1" si="395"/>
        <v>-19.18611111111111</v>
      </c>
      <c r="C5104" t="str">
        <f ca="1">IF(currency="USD",'Future et co'!D5104,IF(currency="EUR",'Future et co'!E5104,IF(currency="GBP",'Future et co'!F5104,FALSE)))</f>
        <v>RFR USD</v>
      </c>
      <c r="D5104" t="str">
        <f t="shared" ca="1" si="396"/>
        <v>RFR USD</v>
      </c>
      <c r="E5104" t="str">
        <f t="shared" ca="1" si="397"/>
        <v>RFR EUR</v>
      </c>
      <c r="F5104" t="str">
        <f t="shared" ca="1" si="398"/>
        <v>RFR GBP</v>
      </c>
      <c r="J5104" s="1"/>
      <c r="N5104" s="1"/>
      <c r="R5104" s="1"/>
      <c r="AB5104" s="1"/>
      <c r="AF5104" s="1"/>
      <c r="AJ5104" s="1"/>
      <c r="AS5104" s="1"/>
      <c r="AX5104" s="1"/>
    </row>
    <row r="5105" spans="1:50" x14ac:dyDescent="0.3">
      <c r="A5105" s="19">
        <f t="shared" si="399"/>
        <v>53062</v>
      </c>
      <c r="B5105">
        <f t="shared" ca="1" si="395"/>
        <v>-19.194444444444443</v>
      </c>
      <c r="C5105" t="str">
        <f ca="1">IF(currency="USD",'Future et co'!D5105,IF(currency="EUR",'Future et co'!E5105,IF(currency="GBP",'Future et co'!F5105,FALSE)))</f>
        <v>RFR USD</v>
      </c>
      <c r="D5105" t="str">
        <f t="shared" ca="1" si="396"/>
        <v>RFR USD</v>
      </c>
      <c r="E5105" t="str">
        <f t="shared" ca="1" si="397"/>
        <v>RFR EUR</v>
      </c>
      <c r="F5105" t="str">
        <f t="shared" ca="1" si="398"/>
        <v>RFR GBP</v>
      </c>
      <c r="J5105" s="1"/>
      <c r="N5105" s="1"/>
      <c r="R5105" s="1"/>
      <c r="AB5105" s="1"/>
      <c r="AF5105" s="1"/>
      <c r="AJ5105" s="1"/>
      <c r="AS5105" s="1"/>
      <c r="AX5105" s="1"/>
    </row>
    <row r="5106" spans="1:50" x14ac:dyDescent="0.3">
      <c r="A5106" s="19">
        <f t="shared" si="399"/>
        <v>53063</v>
      </c>
      <c r="B5106">
        <f t="shared" ca="1" si="395"/>
        <v>-19.197222222222223</v>
      </c>
      <c r="C5106" t="str">
        <f ca="1">IF(currency="USD",'Future et co'!D5106,IF(currency="EUR",'Future et co'!E5106,IF(currency="GBP",'Future et co'!F5106,FALSE)))</f>
        <v>RFR USD</v>
      </c>
      <c r="D5106" t="str">
        <f t="shared" ca="1" si="396"/>
        <v>RFR USD</v>
      </c>
      <c r="E5106" t="str">
        <f t="shared" ca="1" si="397"/>
        <v>RFR EUR</v>
      </c>
      <c r="F5106" t="str">
        <f t="shared" ca="1" si="398"/>
        <v>RFR GBP</v>
      </c>
      <c r="J5106" s="1"/>
      <c r="N5106" s="1"/>
      <c r="R5106" s="1"/>
      <c r="AB5106" s="1"/>
      <c r="AF5106" s="1"/>
      <c r="AJ5106" s="1"/>
      <c r="AS5106" s="1"/>
      <c r="AX5106" s="1"/>
    </row>
    <row r="5107" spans="1:50" x14ac:dyDescent="0.3">
      <c r="A5107" s="19">
        <f t="shared" si="399"/>
        <v>53064</v>
      </c>
      <c r="B5107">
        <f t="shared" ca="1" si="395"/>
        <v>-19.2</v>
      </c>
      <c r="C5107" t="str">
        <f ca="1">IF(currency="USD",'Future et co'!D5107,IF(currency="EUR",'Future et co'!E5107,IF(currency="GBP",'Future et co'!F5107,FALSE)))</f>
        <v>RFR USD</v>
      </c>
      <c r="D5107" t="str">
        <f t="shared" ca="1" si="396"/>
        <v>RFR USD</v>
      </c>
      <c r="E5107" t="str">
        <f t="shared" ca="1" si="397"/>
        <v>RFR EUR</v>
      </c>
      <c r="F5107" t="str">
        <f t="shared" ca="1" si="398"/>
        <v>RFR GBP</v>
      </c>
      <c r="J5107" s="1"/>
      <c r="N5107" s="1"/>
      <c r="R5107" s="1"/>
      <c r="AB5107" s="1"/>
      <c r="AF5107" s="1"/>
      <c r="AJ5107" s="1"/>
      <c r="AS5107" s="1"/>
      <c r="AX5107" s="1"/>
    </row>
    <row r="5108" spans="1:50" x14ac:dyDescent="0.3">
      <c r="A5108" s="19">
        <f t="shared" si="399"/>
        <v>53065</v>
      </c>
      <c r="B5108">
        <f t="shared" ca="1" si="395"/>
        <v>-19.202777777777779</v>
      </c>
      <c r="C5108" t="str">
        <f ca="1">IF(currency="USD",'Future et co'!D5108,IF(currency="EUR",'Future et co'!E5108,IF(currency="GBP",'Future et co'!F5108,FALSE)))</f>
        <v>RFR USD</v>
      </c>
      <c r="D5108" t="str">
        <f t="shared" ca="1" si="396"/>
        <v>RFR USD</v>
      </c>
      <c r="E5108" t="str">
        <f t="shared" ca="1" si="397"/>
        <v>RFR EUR</v>
      </c>
      <c r="F5108" t="str">
        <f t="shared" ca="1" si="398"/>
        <v>RFR GBP</v>
      </c>
      <c r="J5108" s="1"/>
      <c r="N5108" s="1"/>
      <c r="R5108" s="1"/>
      <c r="AB5108" s="1"/>
      <c r="AF5108" s="1"/>
      <c r="AJ5108" s="1"/>
      <c r="AS5108" s="1"/>
      <c r="AX5108" s="1"/>
    </row>
    <row r="5109" spans="1:50" x14ac:dyDescent="0.3">
      <c r="A5109" s="19">
        <f t="shared" si="399"/>
        <v>53066</v>
      </c>
      <c r="B5109">
        <f t="shared" ca="1" si="395"/>
        <v>-19.205555555555556</v>
      </c>
      <c r="C5109" t="str">
        <f ca="1">IF(currency="USD",'Future et co'!D5109,IF(currency="EUR",'Future et co'!E5109,IF(currency="GBP",'Future et co'!F5109,FALSE)))</f>
        <v>RFR USD</v>
      </c>
      <c r="D5109" t="str">
        <f t="shared" ca="1" si="396"/>
        <v>RFR USD</v>
      </c>
      <c r="E5109" t="str">
        <f t="shared" ca="1" si="397"/>
        <v>RFR EUR</v>
      </c>
      <c r="F5109" t="str">
        <f t="shared" ca="1" si="398"/>
        <v>RFR GBP</v>
      </c>
      <c r="J5109" s="1"/>
      <c r="N5109" s="1"/>
      <c r="R5109" s="1"/>
      <c r="AB5109" s="1"/>
      <c r="AF5109" s="1"/>
      <c r="AJ5109" s="1"/>
      <c r="AS5109" s="1"/>
      <c r="AX5109" s="1"/>
    </row>
    <row r="5110" spans="1:50" x14ac:dyDescent="0.3">
      <c r="A5110" s="19">
        <f t="shared" si="399"/>
        <v>53069</v>
      </c>
      <c r="B5110">
        <f t="shared" ca="1" si="395"/>
        <v>-19.213888888888889</v>
      </c>
      <c r="C5110" t="str">
        <f ca="1">IF(currency="USD",'Future et co'!D5110,IF(currency="EUR",'Future et co'!E5110,IF(currency="GBP",'Future et co'!F5110,FALSE)))</f>
        <v>RFR USD</v>
      </c>
      <c r="D5110" t="str">
        <f t="shared" ca="1" si="396"/>
        <v>RFR USD</v>
      </c>
      <c r="E5110" t="str">
        <f t="shared" ca="1" si="397"/>
        <v>RFR EUR</v>
      </c>
      <c r="F5110" t="str">
        <f t="shared" ca="1" si="398"/>
        <v>RFR GBP</v>
      </c>
      <c r="J5110" s="1"/>
      <c r="N5110" s="1"/>
      <c r="R5110" s="1"/>
      <c r="AB5110" s="1"/>
      <c r="AF5110" s="1"/>
      <c r="AJ5110" s="1"/>
      <c r="AS5110" s="1"/>
      <c r="AX5110" s="1"/>
    </row>
    <row r="5111" spans="1:50" x14ac:dyDescent="0.3">
      <c r="A5111" s="19">
        <f t="shared" si="399"/>
        <v>53070</v>
      </c>
      <c r="B5111">
        <f t="shared" ca="1" si="395"/>
        <v>-19.216666666666665</v>
      </c>
      <c r="C5111" t="str">
        <f ca="1">IF(currency="USD",'Future et co'!D5111,IF(currency="EUR",'Future et co'!E5111,IF(currency="GBP",'Future et co'!F5111,FALSE)))</f>
        <v>RFR USD</v>
      </c>
      <c r="D5111" t="str">
        <f t="shared" ca="1" si="396"/>
        <v>RFR USD</v>
      </c>
      <c r="E5111" t="str">
        <f t="shared" ca="1" si="397"/>
        <v>RFR EUR</v>
      </c>
      <c r="F5111" t="str">
        <f t="shared" ca="1" si="398"/>
        <v>RFR GBP</v>
      </c>
      <c r="J5111" s="1"/>
      <c r="N5111" s="1"/>
      <c r="R5111" s="1"/>
      <c r="AB5111" s="1"/>
      <c r="AF5111" s="1"/>
      <c r="AJ5111" s="1"/>
      <c r="AS5111" s="1"/>
      <c r="AX5111" s="1"/>
    </row>
    <row r="5112" spans="1:50" x14ac:dyDescent="0.3">
      <c r="A5112" s="19">
        <f t="shared" si="399"/>
        <v>53071</v>
      </c>
      <c r="B5112">
        <f t="shared" ca="1" si="395"/>
        <v>-19.219444444444445</v>
      </c>
      <c r="C5112" t="str">
        <f ca="1">IF(currency="USD",'Future et co'!D5112,IF(currency="EUR",'Future et co'!E5112,IF(currency="GBP",'Future et co'!F5112,FALSE)))</f>
        <v>RFR USD</v>
      </c>
      <c r="D5112" t="str">
        <f t="shared" ca="1" si="396"/>
        <v>RFR USD</v>
      </c>
      <c r="E5112" t="str">
        <f t="shared" ca="1" si="397"/>
        <v>RFR EUR</v>
      </c>
      <c r="F5112" t="str">
        <f t="shared" ca="1" si="398"/>
        <v>RFR GBP</v>
      </c>
      <c r="J5112" s="1"/>
      <c r="N5112" s="1"/>
      <c r="R5112" s="1"/>
      <c r="AB5112" s="1"/>
      <c r="AF5112" s="1"/>
      <c r="AJ5112" s="1"/>
      <c r="AS5112" s="1"/>
      <c r="AX5112" s="1"/>
    </row>
    <row r="5113" spans="1:50" x14ac:dyDescent="0.3">
      <c r="A5113" s="19">
        <f t="shared" si="399"/>
        <v>53072</v>
      </c>
      <c r="B5113">
        <f t="shared" ca="1" si="395"/>
        <v>-19.222222222222221</v>
      </c>
      <c r="C5113" t="str">
        <f ca="1">IF(currency="USD",'Future et co'!D5113,IF(currency="EUR",'Future et co'!E5113,IF(currency="GBP",'Future et co'!F5113,FALSE)))</f>
        <v>RFR USD</v>
      </c>
      <c r="D5113" t="str">
        <f t="shared" ca="1" si="396"/>
        <v>RFR USD</v>
      </c>
      <c r="E5113" t="str">
        <f t="shared" ca="1" si="397"/>
        <v>RFR EUR</v>
      </c>
      <c r="F5113" t="str">
        <f t="shared" ca="1" si="398"/>
        <v>RFR GBP</v>
      </c>
      <c r="J5113" s="1"/>
      <c r="N5113" s="1"/>
      <c r="R5113" s="1"/>
      <c r="AB5113" s="1"/>
      <c r="AF5113" s="1"/>
      <c r="AJ5113" s="1"/>
      <c r="AS5113" s="1"/>
      <c r="AX5113" s="1"/>
    </row>
    <row r="5114" spans="1:50" x14ac:dyDescent="0.3">
      <c r="A5114" s="19">
        <f t="shared" si="399"/>
        <v>53073</v>
      </c>
      <c r="B5114">
        <f t="shared" ca="1" si="395"/>
        <v>-19.225000000000001</v>
      </c>
      <c r="C5114" t="str">
        <f ca="1">IF(currency="USD",'Future et co'!D5114,IF(currency="EUR",'Future et co'!E5114,IF(currency="GBP",'Future et co'!F5114,FALSE)))</f>
        <v>RFR USD</v>
      </c>
      <c r="D5114" t="str">
        <f t="shared" ca="1" si="396"/>
        <v>RFR USD</v>
      </c>
      <c r="E5114" t="str">
        <f t="shared" ca="1" si="397"/>
        <v>RFR EUR</v>
      </c>
      <c r="F5114" t="str">
        <f t="shared" ca="1" si="398"/>
        <v>RFR GBP</v>
      </c>
      <c r="J5114" s="1"/>
      <c r="N5114" s="1"/>
      <c r="R5114" s="1"/>
      <c r="AB5114" s="1"/>
      <c r="AF5114" s="1"/>
      <c r="AJ5114" s="1"/>
      <c r="AS5114" s="1"/>
      <c r="AX5114" s="1"/>
    </row>
    <row r="5115" spans="1:50" x14ac:dyDescent="0.3">
      <c r="A5115" s="19">
        <f t="shared" si="399"/>
        <v>53076</v>
      </c>
      <c r="B5115">
        <f t="shared" ca="1" si="395"/>
        <v>-19.233333333333334</v>
      </c>
      <c r="C5115" t="str">
        <f ca="1">IF(currency="USD",'Future et co'!D5115,IF(currency="EUR",'Future et co'!E5115,IF(currency="GBP",'Future et co'!F5115,FALSE)))</f>
        <v>RFR USD</v>
      </c>
      <c r="D5115" t="str">
        <f t="shared" ca="1" si="396"/>
        <v>RFR USD</v>
      </c>
      <c r="E5115" t="str">
        <f t="shared" ca="1" si="397"/>
        <v>RFR EUR</v>
      </c>
      <c r="F5115" t="str">
        <f t="shared" ca="1" si="398"/>
        <v>RFR GBP</v>
      </c>
      <c r="J5115" s="1"/>
      <c r="N5115" s="1"/>
      <c r="R5115" s="1"/>
      <c r="AB5115" s="1"/>
      <c r="AF5115" s="1"/>
      <c r="AJ5115" s="1"/>
      <c r="AS5115" s="1"/>
      <c r="AX5115" s="1"/>
    </row>
    <row r="5116" spans="1:50" x14ac:dyDescent="0.3">
      <c r="A5116" s="19">
        <f t="shared" si="399"/>
        <v>53077</v>
      </c>
      <c r="B5116">
        <f t="shared" ca="1" si="395"/>
        <v>-19.236111111111111</v>
      </c>
      <c r="C5116" t="str">
        <f ca="1">IF(currency="USD",'Future et co'!D5116,IF(currency="EUR",'Future et co'!E5116,IF(currency="GBP",'Future et co'!F5116,FALSE)))</f>
        <v>RFR USD</v>
      </c>
      <c r="D5116" t="str">
        <f t="shared" ca="1" si="396"/>
        <v>RFR USD</v>
      </c>
      <c r="E5116" t="str">
        <f t="shared" ca="1" si="397"/>
        <v>RFR EUR</v>
      </c>
      <c r="F5116" t="str">
        <f t="shared" ca="1" si="398"/>
        <v>RFR GBP</v>
      </c>
      <c r="J5116" s="1"/>
      <c r="N5116" s="1"/>
      <c r="R5116" s="1"/>
      <c r="AB5116" s="1"/>
      <c r="AF5116" s="1"/>
      <c r="AJ5116" s="1"/>
      <c r="AS5116" s="1"/>
      <c r="AX5116" s="1"/>
    </row>
    <row r="5117" spans="1:50" x14ac:dyDescent="0.3">
      <c r="A5117" s="19">
        <f t="shared" si="399"/>
        <v>53078</v>
      </c>
      <c r="B5117">
        <f t="shared" ca="1" si="395"/>
        <v>-19.238888888888887</v>
      </c>
      <c r="C5117" t="str">
        <f ca="1">IF(currency="USD",'Future et co'!D5117,IF(currency="EUR",'Future et co'!E5117,IF(currency="GBP",'Future et co'!F5117,FALSE)))</f>
        <v>RFR USD</v>
      </c>
      <c r="D5117" t="str">
        <f t="shared" ca="1" si="396"/>
        <v>RFR USD</v>
      </c>
      <c r="E5117" t="str">
        <f t="shared" ca="1" si="397"/>
        <v>RFR EUR</v>
      </c>
      <c r="F5117" t="str">
        <f t="shared" ca="1" si="398"/>
        <v>RFR GBP</v>
      </c>
      <c r="J5117" s="1"/>
      <c r="N5117" s="1"/>
      <c r="R5117" s="1"/>
      <c r="AB5117" s="1"/>
      <c r="AF5117" s="1"/>
      <c r="AJ5117" s="1"/>
      <c r="AS5117" s="1"/>
      <c r="AX5117" s="1"/>
    </row>
    <row r="5118" spans="1:50" x14ac:dyDescent="0.3">
      <c r="A5118" s="19">
        <f t="shared" si="399"/>
        <v>53079</v>
      </c>
      <c r="B5118">
        <f t="shared" ca="1" si="395"/>
        <v>-19.241666666666667</v>
      </c>
      <c r="C5118" t="str">
        <f ca="1">IF(currency="USD",'Future et co'!D5118,IF(currency="EUR",'Future et co'!E5118,IF(currency="GBP",'Future et co'!F5118,FALSE)))</f>
        <v>RFR USD</v>
      </c>
      <c r="D5118" t="str">
        <f t="shared" ca="1" si="396"/>
        <v>RFR USD</v>
      </c>
      <c r="E5118" t="str">
        <f t="shared" ca="1" si="397"/>
        <v>RFR EUR</v>
      </c>
      <c r="F5118" t="str">
        <f t="shared" ca="1" si="398"/>
        <v>RFR GBP</v>
      </c>
      <c r="J5118" s="1"/>
      <c r="N5118" s="1"/>
      <c r="R5118" s="1"/>
      <c r="AB5118" s="1"/>
      <c r="AF5118" s="1"/>
      <c r="AJ5118" s="1"/>
      <c r="AS5118" s="1"/>
      <c r="AX5118" s="1"/>
    </row>
    <row r="5119" spans="1:50" x14ac:dyDescent="0.3">
      <c r="A5119" s="19">
        <f t="shared" si="399"/>
        <v>53080</v>
      </c>
      <c r="B5119">
        <f t="shared" ca="1" si="395"/>
        <v>-19.244444444444444</v>
      </c>
      <c r="C5119" t="str">
        <f ca="1">IF(currency="USD",'Future et co'!D5119,IF(currency="EUR",'Future et co'!E5119,IF(currency="GBP",'Future et co'!F5119,FALSE)))</f>
        <v>RFR USD</v>
      </c>
      <c r="D5119" t="str">
        <f t="shared" ca="1" si="396"/>
        <v>RFR USD</v>
      </c>
      <c r="E5119" t="str">
        <f t="shared" ca="1" si="397"/>
        <v>RFR EUR</v>
      </c>
      <c r="F5119" t="str">
        <f t="shared" ca="1" si="398"/>
        <v>RFR GBP</v>
      </c>
      <c r="J5119" s="1"/>
      <c r="N5119" s="1"/>
      <c r="R5119" s="1"/>
      <c r="AB5119" s="1"/>
      <c r="AF5119" s="1"/>
      <c r="AJ5119" s="1"/>
      <c r="AS5119" s="1"/>
      <c r="AX5119" s="1"/>
    </row>
    <row r="5120" spans="1:50" x14ac:dyDescent="0.3">
      <c r="A5120" s="19">
        <f t="shared" si="399"/>
        <v>53083</v>
      </c>
      <c r="B5120">
        <f t="shared" ca="1" si="395"/>
        <v>-19.252777777777776</v>
      </c>
      <c r="C5120" t="str">
        <f ca="1">IF(currency="USD",'Future et co'!D5120,IF(currency="EUR",'Future et co'!E5120,IF(currency="GBP",'Future et co'!F5120,FALSE)))</f>
        <v>RFR USD</v>
      </c>
      <c r="D5120" t="str">
        <f t="shared" ca="1" si="396"/>
        <v>RFR USD</v>
      </c>
      <c r="E5120" t="str">
        <f t="shared" ca="1" si="397"/>
        <v>RFR EUR</v>
      </c>
      <c r="F5120" t="str">
        <f t="shared" ca="1" si="398"/>
        <v>RFR GBP</v>
      </c>
      <c r="J5120" s="1"/>
      <c r="N5120" s="1"/>
      <c r="R5120" s="1"/>
      <c r="AB5120" s="1"/>
      <c r="AF5120" s="1"/>
      <c r="AJ5120" s="1"/>
      <c r="AS5120" s="1"/>
      <c r="AX5120" s="1"/>
    </row>
    <row r="5121" spans="1:50" x14ac:dyDescent="0.3">
      <c r="A5121" s="19">
        <f t="shared" si="399"/>
        <v>53084</v>
      </c>
      <c r="B5121">
        <f t="shared" ca="1" si="395"/>
        <v>-19.255555555555556</v>
      </c>
      <c r="C5121" t="str">
        <f ca="1">IF(currency="USD",'Future et co'!D5121,IF(currency="EUR",'Future et co'!E5121,IF(currency="GBP",'Future et co'!F5121,FALSE)))</f>
        <v>RFR USD</v>
      </c>
      <c r="D5121" t="str">
        <f t="shared" ca="1" si="396"/>
        <v>RFR USD</v>
      </c>
      <c r="E5121" t="str">
        <f t="shared" ca="1" si="397"/>
        <v>RFR EUR</v>
      </c>
      <c r="F5121" t="str">
        <f t="shared" ca="1" si="398"/>
        <v>RFR GBP</v>
      </c>
      <c r="J5121" s="1"/>
      <c r="N5121" s="1"/>
      <c r="R5121" s="1"/>
      <c r="AB5121" s="1"/>
      <c r="AF5121" s="1"/>
      <c r="AJ5121" s="1"/>
      <c r="AS5121" s="1"/>
      <c r="AX5121" s="1"/>
    </row>
    <row r="5122" spans="1:50" x14ac:dyDescent="0.3">
      <c r="A5122" s="19">
        <f t="shared" si="399"/>
        <v>53085</v>
      </c>
      <c r="B5122">
        <f t="shared" ca="1" si="395"/>
        <v>-19.258333333333333</v>
      </c>
      <c r="C5122" t="str">
        <f ca="1">IF(currency="USD",'Future et co'!D5122,IF(currency="EUR",'Future et co'!E5122,IF(currency="GBP",'Future et co'!F5122,FALSE)))</f>
        <v>RFR USD</v>
      </c>
      <c r="D5122" t="str">
        <f t="shared" ca="1" si="396"/>
        <v>RFR USD</v>
      </c>
      <c r="E5122" t="str">
        <f t="shared" ca="1" si="397"/>
        <v>RFR EUR</v>
      </c>
      <c r="F5122" t="str">
        <f t="shared" ca="1" si="398"/>
        <v>RFR GBP</v>
      </c>
      <c r="J5122" s="1"/>
      <c r="N5122" s="1"/>
      <c r="R5122" s="1"/>
      <c r="AB5122" s="1"/>
      <c r="AF5122" s="1"/>
      <c r="AJ5122" s="1"/>
      <c r="AS5122" s="1"/>
      <c r="AX5122" s="1"/>
    </row>
    <row r="5123" spans="1:50" x14ac:dyDescent="0.3">
      <c r="A5123" s="19">
        <f t="shared" si="399"/>
        <v>53086</v>
      </c>
      <c r="B5123">
        <f t="shared" ca="1" si="395"/>
        <v>-19.261111111111113</v>
      </c>
      <c r="C5123" t="str">
        <f ca="1">IF(currency="USD",'Future et co'!D5123,IF(currency="EUR",'Future et co'!E5123,IF(currency="GBP",'Future et co'!F5123,FALSE)))</f>
        <v>RFR USD</v>
      </c>
      <c r="D5123" t="str">
        <f t="shared" ca="1" si="396"/>
        <v>RFR USD</v>
      </c>
      <c r="E5123" t="str">
        <f t="shared" ca="1" si="397"/>
        <v>RFR EUR</v>
      </c>
      <c r="F5123" t="str">
        <f t="shared" ca="1" si="398"/>
        <v>RFR GBP</v>
      </c>
      <c r="J5123" s="1"/>
      <c r="N5123" s="1"/>
      <c r="R5123" s="1"/>
      <c r="AB5123" s="1"/>
      <c r="AF5123" s="1"/>
      <c r="AJ5123" s="1"/>
      <c r="AS5123" s="1"/>
      <c r="AX5123" s="1"/>
    </row>
    <row r="5124" spans="1:50" x14ac:dyDescent="0.3">
      <c r="A5124" s="19">
        <f t="shared" si="399"/>
        <v>53087</v>
      </c>
      <c r="B5124">
        <f t="shared" ca="1" si="395"/>
        <v>-19.263888888888889</v>
      </c>
      <c r="C5124" t="str">
        <f ca="1">IF(currency="USD",'Future et co'!D5124,IF(currency="EUR",'Future et co'!E5124,IF(currency="GBP",'Future et co'!F5124,FALSE)))</f>
        <v>RFR USD</v>
      </c>
      <c r="D5124" t="str">
        <f t="shared" ca="1" si="396"/>
        <v>RFR USD</v>
      </c>
      <c r="E5124" t="str">
        <f t="shared" ca="1" si="397"/>
        <v>RFR EUR</v>
      </c>
      <c r="F5124" t="str">
        <f t="shared" ca="1" si="398"/>
        <v>RFR GBP</v>
      </c>
      <c r="J5124" s="1"/>
      <c r="N5124" s="1"/>
      <c r="R5124" s="1"/>
      <c r="AB5124" s="1"/>
      <c r="AF5124" s="1"/>
      <c r="AJ5124" s="1"/>
      <c r="AS5124" s="1"/>
      <c r="AX5124" s="1"/>
    </row>
    <row r="5125" spans="1:50" x14ac:dyDescent="0.3">
      <c r="A5125" s="19">
        <f t="shared" si="399"/>
        <v>53090</v>
      </c>
      <c r="B5125">
        <f t="shared" ca="1" si="395"/>
        <v>-19.272222222222222</v>
      </c>
      <c r="C5125" t="str">
        <f ca="1">IF(currency="USD",'Future et co'!D5125,IF(currency="EUR",'Future et co'!E5125,IF(currency="GBP",'Future et co'!F5125,FALSE)))</f>
        <v>RFR USD</v>
      </c>
      <c r="D5125" t="str">
        <f t="shared" ca="1" si="396"/>
        <v>RFR USD</v>
      </c>
      <c r="E5125" t="str">
        <f t="shared" ca="1" si="397"/>
        <v>RFR EUR</v>
      </c>
      <c r="F5125" t="str">
        <f t="shared" ca="1" si="398"/>
        <v>RFR GBP</v>
      </c>
      <c r="J5125" s="1"/>
      <c r="N5125" s="1"/>
      <c r="R5125" s="1"/>
      <c r="AB5125" s="1"/>
      <c r="AF5125" s="1"/>
      <c r="AJ5125" s="1"/>
      <c r="AS5125" s="1"/>
      <c r="AX5125" s="1"/>
    </row>
    <row r="5126" spans="1:50" x14ac:dyDescent="0.3">
      <c r="A5126" s="19">
        <f t="shared" si="399"/>
        <v>53091</v>
      </c>
      <c r="B5126">
        <f t="shared" ca="1" si="395"/>
        <v>-19.274999999999999</v>
      </c>
      <c r="C5126" t="str">
        <f ca="1">IF(currency="USD",'Future et co'!D5126,IF(currency="EUR",'Future et co'!E5126,IF(currency="GBP",'Future et co'!F5126,FALSE)))</f>
        <v>RFR USD</v>
      </c>
      <c r="D5126" t="str">
        <f t="shared" ca="1" si="396"/>
        <v>RFR USD</v>
      </c>
      <c r="E5126" t="str">
        <f t="shared" ca="1" si="397"/>
        <v>RFR EUR</v>
      </c>
      <c r="F5126" t="str">
        <f t="shared" ca="1" si="398"/>
        <v>RFR GBP</v>
      </c>
      <c r="J5126" s="1"/>
      <c r="K5126" s="20"/>
      <c r="N5126" s="1"/>
      <c r="O5126" s="20"/>
      <c r="R5126" s="1"/>
      <c r="AB5126" s="1"/>
      <c r="AC5126" s="20"/>
      <c r="AF5126" s="1"/>
      <c r="AG5126" s="20"/>
      <c r="AJ5126" s="1"/>
      <c r="AS5126" s="1"/>
      <c r="AT5126" s="20"/>
      <c r="AX5126" s="1"/>
    </row>
    <row r="5127" spans="1:50" x14ac:dyDescent="0.3">
      <c r="A5127" s="19">
        <f t="shared" si="399"/>
        <v>53092</v>
      </c>
      <c r="B5127">
        <f t="shared" ca="1" si="395"/>
        <v>-19.277777777777779</v>
      </c>
      <c r="C5127" t="str">
        <f ca="1">IF(currency="USD",'Future et co'!D5127,IF(currency="EUR",'Future et co'!E5127,IF(currency="GBP",'Future et co'!F5127,FALSE)))</f>
        <v>RFR USD</v>
      </c>
      <c r="D5127" t="str">
        <f t="shared" ca="1" si="396"/>
        <v>RFR USD</v>
      </c>
      <c r="E5127" t="str">
        <f t="shared" ca="1" si="397"/>
        <v>RFR EUR</v>
      </c>
      <c r="F5127" t="str">
        <f t="shared" ca="1" si="398"/>
        <v>RFR GBP</v>
      </c>
      <c r="J5127" s="1"/>
      <c r="K5127" s="20"/>
      <c r="N5127" s="1"/>
      <c r="O5127" s="20"/>
      <c r="R5127" s="1"/>
      <c r="AB5127" s="1"/>
      <c r="AC5127" s="20"/>
      <c r="AF5127" s="1"/>
      <c r="AG5127" s="20"/>
      <c r="AJ5127" s="1"/>
      <c r="AS5127" s="1"/>
      <c r="AT5127" s="20"/>
      <c r="AX5127" s="1"/>
    </row>
    <row r="5128" spans="1:50" x14ac:dyDescent="0.3">
      <c r="A5128" s="19">
        <f t="shared" si="399"/>
        <v>53093</v>
      </c>
      <c r="B5128">
        <f t="shared" ca="1" si="395"/>
        <v>-19.280555555555555</v>
      </c>
      <c r="C5128" t="str">
        <f ca="1">IF(currency="USD",'Future et co'!D5128,IF(currency="EUR",'Future et co'!E5128,IF(currency="GBP",'Future et co'!F5128,FALSE)))</f>
        <v>RFR USD</v>
      </c>
      <c r="D5128" t="str">
        <f t="shared" ca="1" si="396"/>
        <v>RFR USD</v>
      </c>
      <c r="E5128" t="str">
        <f t="shared" ca="1" si="397"/>
        <v>RFR EUR</v>
      </c>
      <c r="F5128" t="str">
        <f t="shared" ca="1" si="398"/>
        <v>RFR GBP</v>
      </c>
      <c r="J5128" s="1"/>
      <c r="K5128" s="20"/>
      <c r="N5128" s="1"/>
      <c r="O5128" s="20"/>
      <c r="R5128" s="1"/>
      <c r="AB5128" s="1"/>
      <c r="AC5128" s="20"/>
      <c r="AF5128" s="1"/>
      <c r="AG5128" s="20"/>
      <c r="AJ5128" s="1"/>
      <c r="AS5128" s="1"/>
      <c r="AT5128" s="20"/>
      <c r="AX5128" s="1"/>
    </row>
    <row r="5129" spans="1:50" x14ac:dyDescent="0.3">
      <c r="A5129" s="19">
        <f t="shared" si="399"/>
        <v>53094</v>
      </c>
      <c r="B5129">
        <f t="shared" ca="1" si="395"/>
        <v>-19.283333333333335</v>
      </c>
      <c r="C5129" t="str">
        <f ca="1">IF(currency="USD",'Future et co'!D5129,IF(currency="EUR",'Future et co'!E5129,IF(currency="GBP",'Future et co'!F5129,FALSE)))</f>
        <v>RFR USD</v>
      </c>
      <c r="D5129" t="str">
        <f t="shared" ca="1" si="396"/>
        <v>RFR USD</v>
      </c>
      <c r="E5129" t="str">
        <f t="shared" ca="1" si="397"/>
        <v>RFR EUR</v>
      </c>
      <c r="F5129" t="str">
        <f t="shared" ca="1" si="398"/>
        <v>RFR GBP</v>
      </c>
      <c r="J5129" s="1"/>
      <c r="K5129" s="20"/>
      <c r="N5129" s="1"/>
      <c r="O5129" s="20"/>
      <c r="R5129" s="1"/>
      <c r="AB5129" s="1"/>
      <c r="AC5129" s="20"/>
      <c r="AF5129" s="1"/>
      <c r="AG5129" s="20"/>
      <c r="AJ5129" s="1"/>
      <c r="AS5129" s="1"/>
      <c r="AT5129" s="20"/>
      <c r="AX5129" s="1"/>
    </row>
    <row r="5130" spans="1:50" x14ac:dyDescent="0.3">
      <c r="A5130" s="19">
        <f t="shared" si="399"/>
        <v>53097</v>
      </c>
      <c r="B5130">
        <f t="shared" ca="1" si="395"/>
        <v>-19.291666666666668</v>
      </c>
      <c r="C5130" t="str">
        <f ca="1">IF(currency="USD",'Future et co'!D5130,IF(currency="EUR",'Future et co'!E5130,IF(currency="GBP",'Future et co'!F5130,FALSE)))</f>
        <v>RFR USD</v>
      </c>
      <c r="D5130" t="str">
        <f t="shared" ca="1" si="396"/>
        <v>RFR USD</v>
      </c>
      <c r="E5130" t="str">
        <f t="shared" ca="1" si="397"/>
        <v>RFR EUR</v>
      </c>
      <c r="F5130" t="str">
        <f t="shared" ca="1" si="398"/>
        <v>RFR GBP</v>
      </c>
      <c r="J5130" s="1"/>
      <c r="K5130" s="20"/>
      <c r="N5130" s="1"/>
      <c r="O5130" s="20"/>
      <c r="R5130" s="1"/>
      <c r="AB5130" s="1"/>
      <c r="AC5130" s="20"/>
      <c r="AF5130" s="1"/>
      <c r="AG5130" s="20"/>
      <c r="AJ5130" s="1"/>
      <c r="AS5130" s="1"/>
      <c r="AT5130" s="20"/>
      <c r="AX5130" s="1"/>
    </row>
    <row r="5131" spans="1:50" x14ac:dyDescent="0.3">
      <c r="A5131" s="19">
        <f t="shared" si="399"/>
        <v>53098</v>
      </c>
      <c r="B5131">
        <f t="shared" ref="B5131:B5194" ca="1" si="400">($B$7-A5131)/360</f>
        <v>-19.294444444444444</v>
      </c>
      <c r="C5131" t="str">
        <f ca="1">IF(currency="USD",'Future et co'!D5131,IF(currency="EUR",'Future et co'!E5131,IF(currency="GBP",'Future et co'!F5131,FALSE)))</f>
        <v>RFR USD</v>
      </c>
      <c r="D5131" t="str">
        <f t="shared" ref="D5131:D5194" ca="1" si="401">IFERROR(IF(B5131&lt;0.25,VLOOKUP(A5131,$J$11:$L$5325,3,FALSE),IF(AND(B5131&gt;=0.25,B5131&lt;0.5),VLOOKUP(A5131,$N$11:$P$5325,3,FALSE),IF(AND(B5131&gt;=0.5,B5131&lt;1),VLOOKUP(A5131,$R$11:$T$5325,3,FALSE),VLOOKUP(A5131,$V$11:$X$5010,3,FALSE)))),D5130)</f>
        <v>RFR USD</v>
      </c>
      <c r="E5131" t="str">
        <f t="shared" ref="E5131:E5194" ca="1" si="402">IFERROR(IF(B5131&lt;0.25,VLOOKUP(A5131,$AF$11:$AH$5325,3,FALSE),IF(AND(B5131&gt;=0.25,B5131&lt;0.5),VLOOKUP(A5131,$AJ$11:$AL$5325,3,FALSE),VLOOKUP(A5131,$AN$11:$AP$5325,3,FALSE))),E5130)</f>
        <v>RFR EUR</v>
      </c>
      <c r="F5131" t="str">
        <f t="shared" ref="F5131:F5194" ca="1" si="403">IFERROR(VLOOKUP(A5131,$AS$11:$AU$9999,3,FALSE),F5130)</f>
        <v>RFR GBP</v>
      </c>
      <c r="J5131" s="1"/>
      <c r="K5131" s="20"/>
      <c r="N5131" s="1"/>
      <c r="O5131" s="20"/>
      <c r="R5131" s="1"/>
      <c r="AB5131" s="1"/>
      <c r="AC5131" s="20"/>
      <c r="AF5131" s="1"/>
      <c r="AG5131" s="20"/>
      <c r="AJ5131" s="1"/>
      <c r="AS5131" s="1"/>
      <c r="AT5131" s="20"/>
      <c r="AX5131" s="1"/>
    </row>
    <row r="5132" spans="1:50" x14ac:dyDescent="0.3">
      <c r="A5132" s="19">
        <f t="shared" si="399"/>
        <v>53099</v>
      </c>
      <c r="B5132">
        <f t="shared" ca="1" si="400"/>
        <v>-19.297222222222221</v>
      </c>
      <c r="C5132" t="str">
        <f ca="1">IF(currency="USD",'Future et co'!D5132,IF(currency="EUR",'Future et co'!E5132,IF(currency="GBP",'Future et co'!F5132,FALSE)))</f>
        <v>RFR USD</v>
      </c>
      <c r="D5132" t="str">
        <f t="shared" ca="1" si="401"/>
        <v>RFR USD</v>
      </c>
      <c r="E5132" t="str">
        <f t="shared" ca="1" si="402"/>
        <v>RFR EUR</v>
      </c>
      <c r="F5132" t="str">
        <f t="shared" ca="1" si="403"/>
        <v>RFR GBP</v>
      </c>
      <c r="J5132" s="1"/>
      <c r="K5132" s="20"/>
      <c r="N5132" s="1"/>
      <c r="O5132" s="20"/>
      <c r="R5132" s="1"/>
      <c r="AB5132" s="1"/>
      <c r="AC5132" s="20"/>
      <c r="AF5132" s="1"/>
      <c r="AG5132" s="20"/>
      <c r="AJ5132" s="1"/>
      <c r="AS5132" s="1"/>
      <c r="AT5132" s="20"/>
      <c r="AX5132" s="1"/>
    </row>
    <row r="5133" spans="1:50" x14ac:dyDescent="0.3">
      <c r="A5133" s="19">
        <f t="shared" ref="A5133:A5196" si="404">WORKDAY(A5132,1)</f>
        <v>53100</v>
      </c>
      <c r="B5133">
        <f t="shared" ca="1" si="400"/>
        <v>-19.3</v>
      </c>
      <c r="C5133" t="str">
        <f ca="1">IF(currency="USD",'Future et co'!D5133,IF(currency="EUR",'Future et co'!E5133,IF(currency="GBP",'Future et co'!F5133,FALSE)))</f>
        <v>RFR USD</v>
      </c>
      <c r="D5133" t="str">
        <f t="shared" ca="1" si="401"/>
        <v>RFR USD</v>
      </c>
      <c r="E5133" t="str">
        <f t="shared" ca="1" si="402"/>
        <v>RFR EUR</v>
      </c>
      <c r="F5133" t="str">
        <f t="shared" ca="1" si="403"/>
        <v>RFR GBP</v>
      </c>
      <c r="J5133" s="1"/>
      <c r="K5133" s="20"/>
      <c r="N5133" s="1"/>
      <c r="O5133" s="20"/>
      <c r="R5133" s="1"/>
      <c r="AB5133" s="1"/>
      <c r="AC5133" s="20"/>
      <c r="AF5133" s="1"/>
      <c r="AG5133" s="20"/>
      <c r="AJ5133" s="1"/>
      <c r="AS5133" s="1"/>
      <c r="AT5133" s="20"/>
      <c r="AX5133" s="1"/>
    </row>
    <row r="5134" spans="1:50" x14ac:dyDescent="0.3">
      <c r="A5134" s="19">
        <f t="shared" si="404"/>
        <v>53101</v>
      </c>
      <c r="B5134">
        <f t="shared" ca="1" si="400"/>
        <v>-19.302777777777777</v>
      </c>
      <c r="C5134" t="str">
        <f ca="1">IF(currency="USD",'Future et co'!D5134,IF(currency="EUR",'Future et co'!E5134,IF(currency="GBP",'Future et co'!F5134,FALSE)))</f>
        <v>RFR USD</v>
      </c>
      <c r="D5134" t="str">
        <f t="shared" ca="1" si="401"/>
        <v>RFR USD</v>
      </c>
      <c r="E5134" t="str">
        <f t="shared" ca="1" si="402"/>
        <v>RFR EUR</v>
      </c>
      <c r="F5134" t="str">
        <f t="shared" ca="1" si="403"/>
        <v>RFR GBP</v>
      </c>
      <c r="J5134" s="1"/>
      <c r="K5134" s="20"/>
      <c r="N5134" s="1"/>
      <c r="O5134" s="20"/>
      <c r="R5134" s="1"/>
      <c r="AB5134" s="1"/>
      <c r="AC5134" s="20"/>
      <c r="AF5134" s="1"/>
      <c r="AG5134" s="20"/>
      <c r="AJ5134" s="1"/>
      <c r="AS5134" s="1"/>
      <c r="AT5134" s="20"/>
      <c r="AX5134" s="1"/>
    </row>
    <row r="5135" spans="1:50" x14ac:dyDescent="0.3">
      <c r="A5135" s="19">
        <f t="shared" si="404"/>
        <v>53104</v>
      </c>
      <c r="B5135">
        <f t="shared" ca="1" si="400"/>
        <v>-19.31111111111111</v>
      </c>
      <c r="C5135" t="str">
        <f ca="1">IF(currency="USD",'Future et co'!D5135,IF(currency="EUR",'Future et co'!E5135,IF(currency="GBP",'Future et co'!F5135,FALSE)))</f>
        <v>RFR USD</v>
      </c>
      <c r="D5135" t="str">
        <f t="shared" ca="1" si="401"/>
        <v>RFR USD</v>
      </c>
      <c r="E5135" t="str">
        <f t="shared" ca="1" si="402"/>
        <v>RFR EUR</v>
      </c>
      <c r="F5135" t="str">
        <f t="shared" ca="1" si="403"/>
        <v>RFR GBP</v>
      </c>
      <c r="J5135" s="1"/>
      <c r="K5135" s="20"/>
      <c r="N5135" s="1"/>
      <c r="O5135" s="20"/>
      <c r="R5135" s="1"/>
      <c r="AB5135" s="1"/>
      <c r="AC5135" s="20"/>
      <c r="AF5135" s="1"/>
      <c r="AG5135" s="20"/>
      <c r="AJ5135" s="1"/>
      <c r="AS5135" s="1"/>
      <c r="AT5135" s="20"/>
      <c r="AX5135" s="1"/>
    </row>
    <row r="5136" spans="1:50" x14ac:dyDescent="0.3">
      <c r="A5136" s="19">
        <f t="shared" si="404"/>
        <v>53105</v>
      </c>
      <c r="B5136">
        <f t="shared" ca="1" si="400"/>
        <v>-19.31388888888889</v>
      </c>
      <c r="C5136" t="str">
        <f ca="1">IF(currency="USD",'Future et co'!D5136,IF(currency="EUR",'Future et co'!E5136,IF(currency="GBP",'Future et co'!F5136,FALSE)))</f>
        <v>RFR USD</v>
      </c>
      <c r="D5136" t="str">
        <f t="shared" ca="1" si="401"/>
        <v>RFR USD</v>
      </c>
      <c r="E5136" t="str">
        <f t="shared" ca="1" si="402"/>
        <v>RFR EUR</v>
      </c>
      <c r="F5136" t="str">
        <f t="shared" ca="1" si="403"/>
        <v>RFR GBP</v>
      </c>
      <c r="J5136" s="1"/>
      <c r="K5136" s="20"/>
      <c r="N5136" s="1"/>
      <c r="O5136" s="20"/>
      <c r="R5136" s="1"/>
      <c r="AB5136" s="1"/>
      <c r="AC5136" s="20"/>
      <c r="AF5136" s="1"/>
      <c r="AG5136" s="20"/>
      <c r="AJ5136" s="1"/>
      <c r="AS5136" s="1"/>
      <c r="AT5136" s="20"/>
      <c r="AX5136" s="1"/>
    </row>
    <row r="5137" spans="1:50" x14ac:dyDescent="0.3">
      <c r="A5137" s="19">
        <f t="shared" si="404"/>
        <v>53106</v>
      </c>
      <c r="B5137">
        <f t="shared" ca="1" si="400"/>
        <v>-19.316666666666666</v>
      </c>
      <c r="C5137" t="str">
        <f ca="1">IF(currency="USD",'Future et co'!D5137,IF(currency="EUR",'Future et co'!E5137,IF(currency="GBP",'Future et co'!F5137,FALSE)))</f>
        <v>RFR USD</v>
      </c>
      <c r="D5137" t="str">
        <f t="shared" ca="1" si="401"/>
        <v>RFR USD</v>
      </c>
      <c r="E5137" t="str">
        <f t="shared" ca="1" si="402"/>
        <v>RFR EUR</v>
      </c>
      <c r="F5137" t="str">
        <f t="shared" ca="1" si="403"/>
        <v>RFR GBP</v>
      </c>
      <c r="J5137" s="1"/>
      <c r="K5137" s="20"/>
      <c r="N5137" s="1"/>
      <c r="O5137" s="20"/>
      <c r="R5137" s="1"/>
      <c r="AB5137" s="1"/>
      <c r="AC5137" s="20"/>
      <c r="AF5137" s="1"/>
      <c r="AG5137" s="20"/>
      <c r="AJ5137" s="1"/>
      <c r="AS5137" s="1"/>
      <c r="AT5137" s="20"/>
      <c r="AX5137" s="1"/>
    </row>
    <row r="5138" spans="1:50" x14ac:dyDescent="0.3">
      <c r="A5138" s="19">
        <f t="shared" si="404"/>
        <v>53107</v>
      </c>
      <c r="B5138">
        <f t="shared" ca="1" si="400"/>
        <v>-19.319444444444443</v>
      </c>
      <c r="C5138" t="str">
        <f ca="1">IF(currency="USD",'Future et co'!D5138,IF(currency="EUR",'Future et co'!E5138,IF(currency="GBP",'Future et co'!F5138,FALSE)))</f>
        <v>RFR USD</v>
      </c>
      <c r="D5138" t="str">
        <f t="shared" ca="1" si="401"/>
        <v>RFR USD</v>
      </c>
      <c r="E5138" t="str">
        <f t="shared" ca="1" si="402"/>
        <v>RFR EUR</v>
      </c>
      <c r="F5138" t="str">
        <f t="shared" ca="1" si="403"/>
        <v>RFR GBP</v>
      </c>
      <c r="J5138" s="1"/>
      <c r="K5138" s="20"/>
      <c r="N5138" s="1"/>
      <c r="O5138" s="20"/>
      <c r="R5138" s="1"/>
      <c r="AB5138" s="1"/>
      <c r="AC5138" s="20"/>
      <c r="AF5138" s="1"/>
      <c r="AG5138" s="20"/>
      <c r="AJ5138" s="1"/>
      <c r="AS5138" s="1"/>
      <c r="AT5138" s="20"/>
      <c r="AX5138" s="1"/>
    </row>
    <row r="5139" spans="1:50" x14ac:dyDescent="0.3">
      <c r="A5139" s="19">
        <f t="shared" si="404"/>
        <v>53108</v>
      </c>
      <c r="B5139">
        <f t="shared" ca="1" si="400"/>
        <v>-19.322222222222223</v>
      </c>
      <c r="C5139" t="str">
        <f ca="1">IF(currency="USD",'Future et co'!D5139,IF(currency="EUR",'Future et co'!E5139,IF(currency="GBP",'Future et co'!F5139,FALSE)))</f>
        <v>RFR USD</v>
      </c>
      <c r="D5139" t="str">
        <f t="shared" ca="1" si="401"/>
        <v>RFR USD</v>
      </c>
      <c r="E5139" t="str">
        <f t="shared" ca="1" si="402"/>
        <v>RFR EUR</v>
      </c>
      <c r="F5139" t="str">
        <f t="shared" ca="1" si="403"/>
        <v>RFR GBP</v>
      </c>
      <c r="J5139" s="1"/>
      <c r="K5139" s="20"/>
      <c r="N5139" s="1"/>
      <c r="O5139" s="20"/>
      <c r="R5139" s="1"/>
      <c r="AB5139" s="1"/>
      <c r="AC5139" s="20"/>
      <c r="AF5139" s="1"/>
      <c r="AG5139" s="20"/>
      <c r="AJ5139" s="1"/>
      <c r="AS5139" s="1"/>
      <c r="AT5139" s="20"/>
      <c r="AX5139" s="1"/>
    </row>
    <row r="5140" spans="1:50" x14ac:dyDescent="0.3">
      <c r="A5140" s="19">
        <f t="shared" si="404"/>
        <v>53111</v>
      </c>
      <c r="B5140">
        <f t="shared" ca="1" si="400"/>
        <v>-19.330555555555556</v>
      </c>
      <c r="C5140" t="str">
        <f ca="1">IF(currency="USD",'Future et co'!D5140,IF(currency="EUR",'Future et co'!E5140,IF(currency="GBP",'Future et co'!F5140,FALSE)))</f>
        <v>RFR USD</v>
      </c>
      <c r="D5140" t="str">
        <f t="shared" ca="1" si="401"/>
        <v>RFR USD</v>
      </c>
      <c r="E5140" t="str">
        <f t="shared" ca="1" si="402"/>
        <v>RFR EUR</v>
      </c>
      <c r="F5140" t="str">
        <f t="shared" ca="1" si="403"/>
        <v>RFR GBP</v>
      </c>
      <c r="J5140" s="1"/>
      <c r="K5140" s="20"/>
      <c r="N5140" s="1"/>
      <c r="O5140" s="20"/>
      <c r="R5140" s="1"/>
      <c r="AB5140" s="1"/>
      <c r="AC5140" s="20"/>
      <c r="AF5140" s="1"/>
      <c r="AG5140" s="20"/>
      <c r="AJ5140" s="1"/>
      <c r="AS5140" s="1"/>
      <c r="AT5140" s="20"/>
      <c r="AX5140" s="1"/>
    </row>
    <row r="5141" spans="1:50" x14ac:dyDescent="0.3">
      <c r="A5141" s="19">
        <f t="shared" si="404"/>
        <v>53112</v>
      </c>
      <c r="B5141">
        <f t="shared" ca="1" si="400"/>
        <v>-19.333333333333332</v>
      </c>
      <c r="C5141" t="str">
        <f ca="1">IF(currency="USD",'Future et co'!D5141,IF(currency="EUR",'Future et co'!E5141,IF(currency="GBP",'Future et co'!F5141,FALSE)))</f>
        <v>RFR USD</v>
      </c>
      <c r="D5141" t="str">
        <f t="shared" ca="1" si="401"/>
        <v>RFR USD</v>
      </c>
      <c r="E5141" t="str">
        <f t="shared" ca="1" si="402"/>
        <v>RFR EUR</v>
      </c>
      <c r="F5141" t="str">
        <f t="shared" ca="1" si="403"/>
        <v>RFR GBP</v>
      </c>
      <c r="J5141" s="1"/>
      <c r="K5141" s="20"/>
      <c r="N5141" s="1"/>
      <c r="O5141" s="20"/>
      <c r="R5141" s="1"/>
      <c r="AB5141" s="1"/>
      <c r="AC5141" s="20"/>
      <c r="AF5141" s="1"/>
      <c r="AG5141" s="20"/>
      <c r="AJ5141" s="1"/>
      <c r="AS5141" s="1"/>
      <c r="AT5141" s="20"/>
      <c r="AX5141" s="1"/>
    </row>
    <row r="5142" spans="1:50" x14ac:dyDescent="0.3">
      <c r="A5142" s="19">
        <f t="shared" si="404"/>
        <v>53113</v>
      </c>
      <c r="B5142">
        <f t="shared" ca="1" si="400"/>
        <v>-19.336111111111112</v>
      </c>
      <c r="C5142" t="str">
        <f ca="1">IF(currency="USD",'Future et co'!D5142,IF(currency="EUR",'Future et co'!E5142,IF(currency="GBP",'Future et co'!F5142,FALSE)))</f>
        <v>RFR USD</v>
      </c>
      <c r="D5142" t="str">
        <f t="shared" ca="1" si="401"/>
        <v>RFR USD</v>
      </c>
      <c r="E5142" t="str">
        <f t="shared" ca="1" si="402"/>
        <v>RFR EUR</v>
      </c>
      <c r="F5142" t="str">
        <f t="shared" ca="1" si="403"/>
        <v>RFR GBP</v>
      </c>
      <c r="J5142" s="1"/>
      <c r="K5142" s="20"/>
      <c r="N5142" s="1"/>
      <c r="O5142" s="20"/>
      <c r="R5142" s="1"/>
      <c r="AB5142" s="1"/>
      <c r="AC5142" s="20"/>
      <c r="AF5142" s="1"/>
      <c r="AG5142" s="20"/>
      <c r="AJ5142" s="1"/>
      <c r="AS5142" s="1"/>
      <c r="AT5142" s="20"/>
      <c r="AX5142" s="1"/>
    </row>
    <row r="5143" spans="1:50" x14ac:dyDescent="0.3">
      <c r="A5143" s="19">
        <f t="shared" si="404"/>
        <v>53114</v>
      </c>
      <c r="B5143">
        <f t="shared" ca="1" si="400"/>
        <v>-19.338888888888889</v>
      </c>
      <c r="C5143" t="str">
        <f ca="1">IF(currency="USD",'Future et co'!D5143,IF(currency="EUR",'Future et co'!E5143,IF(currency="GBP",'Future et co'!F5143,FALSE)))</f>
        <v>RFR USD</v>
      </c>
      <c r="D5143" t="str">
        <f t="shared" ca="1" si="401"/>
        <v>RFR USD</v>
      </c>
      <c r="E5143" t="str">
        <f t="shared" ca="1" si="402"/>
        <v>RFR EUR</v>
      </c>
      <c r="F5143" t="str">
        <f t="shared" ca="1" si="403"/>
        <v>RFR GBP</v>
      </c>
      <c r="J5143" s="1"/>
      <c r="K5143" s="20"/>
      <c r="N5143" s="1"/>
      <c r="O5143" s="20"/>
      <c r="R5143" s="1"/>
      <c r="AB5143" s="1"/>
      <c r="AC5143" s="20"/>
      <c r="AF5143" s="1"/>
      <c r="AG5143" s="20"/>
      <c r="AJ5143" s="1"/>
      <c r="AS5143" s="1"/>
      <c r="AT5143" s="20"/>
      <c r="AX5143" s="1"/>
    </row>
    <row r="5144" spans="1:50" x14ac:dyDescent="0.3">
      <c r="A5144" s="19">
        <f t="shared" si="404"/>
        <v>53115</v>
      </c>
      <c r="B5144">
        <f t="shared" ca="1" si="400"/>
        <v>-19.341666666666665</v>
      </c>
      <c r="C5144" t="str">
        <f ca="1">IF(currency="USD",'Future et co'!D5144,IF(currency="EUR",'Future et co'!E5144,IF(currency="GBP",'Future et co'!F5144,FALSE)))</f>
        <v>RFR USD</v>
      </c>
      <c r="D5144" t="str">
        <f t="shared" ca="1" si="401"/>
        <v>RFR USD</v>
      </c>
      <c r="E5144" t="str">
        <f t="shared" ca="1" si="402"/>
        <v>RFR EUR</v>
      </c>
      <c r="F5144" t="str">
        <f t="shared" ca="1" si="403"/>
        <v>RFR GBP</v>
      </c>
      <c r="J5144" s="1"/>
      <c r="K5144" s="20"/>
      <c r="N5144" s="1"/>
      <c r="O5144" s="20"/>
      <c r="R5144" s="1"/>
      <c r="AB5144" s="1"/>
      <c r="AC5144" s="20"/>
      <c r="AF5144" s="1"/>
      <c r="AG5144" s="20"/>
      <c r="AJ5144" s="1"/>
      <c r="AS5144" s="1"/>
      <c r="AT5144" s="20"/>
      <c r="AX5144" s="1"/>
    </row>
    <row r="5145" spans="1:50" x14ac:dyDescent="0.3">
      <c r="A5145" s="19">
        <f t="shared" si="404"/>
        <v>53118</v>
      </c>
      <c r="B5145">
        <f t="shared" ca="1" si="400"/>
        <v>-19.350000000000001</v>
      </c>
      <c r="C5145" t="str">
        <f ca="1">IF(currency="USD",'Future et co'!D5145,IF(currency="EUR",'Future et co'!E5145,IF(currency="GBP",'Future et co'!F5145,FALSE)))</f>
        <v>RFR USD</v>
      </c>
      <c r="D5145" t="str">
        <f t="shared" ca="1" si="401"/>
        <v>RFR USD</v>
      </c>
      <c r="E5145" t="str">
        <f t="shared" ca="1" si="402"/>
        <v>RFR EUR</v>
      </c>
      <c r="F5145" t="str">
        <f t="shared" ca="1" si="403"/>
        <v>RFR GBP</v>
      </c>
      <c r="J5145" s="1"/>
      <c r="K5145" s="20"/>
      <c r="N5145" s="1"/>
      <c r="O5145" s="20"/>
      <c r="R5145" s="1"/>
      <c r="AB5145" s="1"/>
      <c r="AC5145" s="20"/>
      <c r="AF5145" s="1"/>
      <c r="AG5145" s="20"/>
      <c r="AJ5145" s="1"/>
      <c r="AS5145" s="1"/>
      <c r="AT5145" s="20"/>
      <c r="AX5145" s="1"/>
    </row>
    <row r="5146" spans="1:50" x14ac:dyDescent="0.3">
      <c r="A5146" s="19">
        <f t="shared" si="404"/>
        <v>53119</v>
      </c>
      <c r="B5146">
        <f t="shared" ca="1" si="400"/>
        <v>-19.352777777777778</v>
      </c>
      <c r="C5146" t="str">
        <f ca="1">IF(currency="USD",'Future et co'!D5146,IF(currency="EUR",'Future et co'!E5146,IF(currency="GBP",'Future et co'!F5146,FALSE)))</f>
        <v>RFR USD</v>
      </c>
      <c r="D5146" t="str">
        <f t="shared" ca="1" si="401"/>
        <v>RFR USD</v>
      </c>
      <c r="E5146" t="str">
        <f t="shared" ca="1" si="402"/>
        <v>RFR EUR</v>
      </c>
      <c r="F5146" t="str">
        <f t="shared" ca="1" si="403"/>
        <v>RFR GBP</v>
      </c>
      <c r="J5146" s="1"/>
      <c r="K5146" s="20"/>
      <c r="N5146" s="1"/>
      <c r="O5146" s="20"/>
      <c r="R5146" s="1"/>
      <c r="AB5146" s="1"/>
      <c r="AC5146" s="20"/>
      <c r="AF5146" s="1"/>
      <c r="AG5146" s="20"/>
      <c r="AJ5146" s="1"/>
      <c r="AS5146" s="1"/>
      <c r="AT5146" s="20"/>
      <c r="AX5146" s="1"/>
    </row>
    <row r="5147" spans="1:50" x14ac:dyDescent="0.3">
      <c r="A5147" s="19">
        <f t="shared" si="404"/>
        <v>53120</v>
      </c>
      <c r="B5147">
        <f t="shared" ca="1" si="400"/>
        <v>-19.355555555555554</v>
      </c>
      <c r="C5147" t="str">
        <f ca="1">IF(currency="USD",'Future et co'!D5147,IF(currency="EUR",'Future et co'!E5147,IF(currency="GBP",'Future et co'!F5147,FALSE)))</f>
        <v>RFR USD</v>
      </c>
      <c r="D5147" t="str">
        <f t="shared" ca="1" si="401"/>
        <v>RFR USD</v>
      </c>
      <c r="E5147" t="str">
        <f t="shared" ca="1" si="402"/>
        <v>RFR EUR</v>
      </c>
      <c r="F5147" t="str">
        <f t="shared" ca="1" si="403"/>
        <v>RFR GBP</v>
      </c>
      <c r="J5147" s="1"/>
      <c r="K5147" s="20"/>
      <c r="N5147" s="1"/>
      <c r="O5147" s="20"/>
      <c r="R5147" s="1"/>
      <c r="AB5147" s="1"/>
      <c r="AC5147" s="20"/>
      <c r="AF5147" s="1"/>
      <c r="AG5147" s="20"/>
      <c r="AJ5147" s="1"/>
      <c r="AS5147" s="1"/>
      <c r="AT5147" s="20"/>
      <c r="AX5147" s="1"/>
    </row>
    <row r="5148" spans="1:50" x14ac:dyDescent="0.3">
      <c r="A5148" s="19">
        <f t="shared" si="404"/>
        <v>53121</v>
      </c>
      <c r="B5148">
        <f t="shared" ca="1" si="400"/>
        <v>-19.358333333333334</v>
      </c>
      <c r="C5148" t="str">
        <f ca="1">IF(currency="USD",'Future et co'!D5148,IF(currency="EUR",'Future et co'!E5148,IF(currency="GBP",'Future et co'!F5148,FALSE)))</f>
        <v>RFR USD</v>
      </c>
      <c r="D5148" t="str">
        <f t="shared" ca="1" si="401"/>
        <v>RFR USD</v>
      </c>
      <c r="E5148" t="str">
        <f t="shared" ca="1" si="402"/>
        <v>RFR EUR</v>
      </c>
      <c r="F5148" t="str">
        <f t="shared" ca="1" si="403"/>
        <v>RFR GBP</v>
      </c>
      <c r="J5148" s="1"/>
      <c r="K5148" s="20"/>
      <c r="N5148" s="1"/>
      <c r="O5148" s="20"/>
      <c r="R5148" s="1"/>
      <c r="AB5148" s="1"/>
      <c r="AC5148" s="20"/>
      <c r="AF5148" s="1"/>
      <c r="AG5148" s="20"/>
      <c r="AJ5148" s="1"/>
      <c r="AS5148" s="1"/>
      <c r="AT5148" s="20"/>
      <c r="AX5148" s="1"/>
    </row>
    <row r="5149" spans="1:50" x14ac:dyDescent="0.3">
      <c r="A5149" s="19">
        <f t="shared" si="404"/>
        <v>53122</v>
      </c>
      <c r="B5149">
        <f t="shared" ca="1" si="400"/>
        <v>-19.361111111111111</v>
      </c>
      <c r="C5149" t="str">
        <f ca="1">IF(currency="USD",'Future et co'!D5149,IF(currency="EUR",'Future et co'!E5149,IF(currency="GBP",'Future et co'!F5149,FALSE)))</f>
        <v>RFR USD</v>
      </c>
      <c r="D5149" t="str">
        <f t="shared" ca="1" si="401"/>
        <v>RFR USD</v>
      </c>
      <c r="E5149" t="str">
        <f t="shared" ca="1" si="402"/>
        <v>RFR EUR</v>
      </c>
      <c r="F5149" t="str">
        <f t="shared" ca="1" si="403"/>
        <v>RFR GBP</v>
      </c>
      <c r="J5149" s="1"/>
      <c r="K5149" s="20"/>
      <c r="N5149" s="1"/>
      <c r="O5149" s="20"/>
      <c r="R5149" s="1"/>
      <c r="AB5149" s="1"/>
      <c r="AC5149" s="20"/>
      <c r="AF5149" s="1"/>
      <c r="AG5149" s="20"/>
      <c r="AJ5149" s="1"/>
      <c r="AS5149" s="1"/>
      <c r="AT5149" s="20"/>
      <c r="AX5149" s="1"/>
    </row>
    <row r="5150" spans="1:50" x14ac:dyDescent="0.3">
      <c r="A5150" s="19">
        <f t="shared" si="404"/>
        <v>53125</v>
      </c>
      <c r="B5150">
        <f t="shared" ca="1" si="400"/>
        <v>-19.369444444444444</v>
      </c>
      <c r="C5150" t="str">
        <f ca="1">IF(currency="USD",'Future et co'!D5150,IF(currency="EUR",'Future et co'!E5150,IF(currency="GBP",'Future et co'!F5150,FALSE)))</f>
        <v>RFR USD</v>
      </c>
      <c r="D5150" t="str">
        <f t="shared" ca="1" si="401"/>
        <v>RFR USD</v>
      </c>
      <c r="E5150" t="str">
        <f t="shared" ca="1" si="402"/>
        <v>RFR EUR</v>
      </c>
      <c r="F5150" t="str">
        <f t="shared" ca="1" si="403"/>
        <v>RFR GBP</v>
      </c>
      <c r="J5150" s="1"/>
      <c r="K5150" s="20"/>
      <c r="N5150" s="1"/>
      <c r="O5150" s="20"/>
      <c r="R5150" s="1"/>
      <c r="AB5150" s="1"/>
      <c r="AC5150" s="20"/>
      <c r="AF5150" s="1"/>
      <c r="AG5150" s="20"/>
      <c r="AJ5150" s="1"/>
      <c r="AS5150" s="1"/>
      <c r="AT5150" s="20"/>
      <c r="AX5150" s="1"/>
    </row>
    <row r="5151" spans="1:50" x14ac:dyDescent="0.3">
      <c r="A5151" s="19">
        <f t="shared" si="404"/>
        <v>53126</v>
      </c>
      <c r="B5151">
        <f t="shared" ca="1" si="400"/>
        <v>-19.372222222222224</v>
      </c>
      <c r="C5151" t="str">
        <f ca="1">IF(currency="USD",'Future et co'!D5151,IF(currency="EUR",'Future et co'!E5151,IF(currency="GBP",'Future et co'!F5151,FALSE)))</f>
        <v>RFR USD</v>
      </c>
      <c r="D5151" t="str">
        <f t="shared" ca="1" si="401"/>
        <v>RFR USD</v>
      </c>
      <c r="E5151" t="str">
        <f t="shared" ca="1" si="402"/>
        <v>RFR EUR</v>
      </c>
      <c r="F5151" t="str">
        <f t="shared" ca="1" si="403"/>
        <v>RFR GBP</v>
      </c>
      <c r="J5151" s="1"/>
      <c r="K5151" s="20"/>
      <c r="N5151" s="1"/>
      <c r="O5151" s="20"/>
      <c r="R5151" s="1"/>
      <c r="AB5151" s="1"/>
      <c r="AC5151" s="20"/>
      <c r="AF5151" s="1"/>
      <c r="AG5151" s="20"/>
      <c r="AJ5151" s="1"/>
      <c r="AS5151" s="1"/>
      <c r="AT5151" s="20"/>
      <c r="AX5151" s="1"/>
    </row>
    <row r="5152" spans="1:50" x14ac:dyDescent="0.3">
      <c r="A5152" s="19">
        <f t="shared" si="404"/>
        <v>53127</v>
      </c>
      <c r="B5152">
        <f t="shared" ca="1" si="400"/>
        <v>-19.375</v>
      </c>
      <c r="C5152" t="str">
        <f ca="1">IF(currency="USD",'Future et co'!D5152,IF(currency="EUR",'Future et co'!E5152,IF(currency="GBP",'Future et co'!F5152,FALSE)))</f>
        <v>RFR USD</v>
      </c>
      <c r="D5152" t="str">
        <f t="shared" ca="1" si="401"/>
        <v>RFR USD</v>
      </c>
      <c r="E5152" t="str">
        <f t="shared" ca="1" si="402"/>
        <v>RFR EUR</v>
      </c>
      <c r="F5152" t="str">
        <f t="shared" ca="1" si="403"/>
        <v>RFR GBP</v>
      </c>
      <c r="J5152" s="1"/>
      <c r="K5152" s="20"/>
      <c r="N5152" s="1"/>
      <c r="O5152" s="20"/>
      <c r="R5152" s="1"/>
      <c r="AB5152" s="1"/>
      <c r="AC5152" s="20"/>
      <c r="AF5152" s="1"/>
      <c r="AG5152" s="20"/>
      <c r="AJ5152" s="1"/>
      <c r="AS5152" s="1"/>
      <c r="AT5152" s="20"/>
      <c r="AX5152" s="1"/>
    </row>
    <row r="5153" spans="1:50" x14ac:dyDescent="0.3">
      <c r="A5153" s="19">
        <f t="shared" si="404"/>
        <v>53128</v>
      </c>
      <c r="B5153">
        <f t="shared" ca="1" si="400"/>
        <v>-19.377777777777776</v>
      </c>
      <c r="C5153" t="str">
        <f ca="1">IF(currency="USD",'Future et co'!D5153,IF(currency="EUR",'Future et co'!E5153,IF(currency="GBP",'Future et co'!F5153,FALSE)))</f>
        <v>RFR USD</v>
      </c>
      <c r="D5153" t="str">
        <f t="shared" ca="1" si="401"/>
        <v>RFR USD</v>
      </c>
      <c r="E5153" t="str">
        <f t="shared" ca="1" si="402"/>
        <v>RFR EUR</v>
      </c>
      <c r="F5153" t="str">
        <f t="shared" ca="1" si="403"/>
        <v>RFR GBP</v>
      </c>
      <c r="J5153" s="1"/>
      <c r="K5153" s="20"/>
      <c r="N5153" s="1"/>
      <c r="O5153" s="20"/>
      <c r="R5153" s="1"/>
      <c r="AB5153" s="1"/>
      <c r="AC5153" s="20"/>
      <c r="AF5153" s="1"/>
      <c r="AG5153" s="20"/>
      <c r="AJ5153" s="1"/>
      <c r="AS5153" s="1"/>
      <c r="AT5153" s="20"/>
      <c r="AX5153" s="1"/>
    </row>
    <row r="5154" spans="1:50" x14ac:dyDescent="0.3">
      <c r="A5154" s="19">
        <f t="shared" si="404"/>
        <v>53129</v>
      </c>
      <c r="B5154">
        <f t="shared" ca="1" si="400"/>
        <v>-19.380555555555556</v>
      </c>
      <c r="C5154" t="str">
        <f ca="1">IF(currency="USD",'Future et co'!D5154,IF(currency="EUR",'Future et co'!E5154,IF(currency="GBP",'Future et co'!F5154,FALSE)))</f>
        <v>RFR USD</v>
      </c>
      <c r="D5154" t="str">
        <f t="shared" ca="1" si="401"/>
        <v>RFR USD</v>
      </c>
      <c r="E5154" t="str">
        <f t="shared" ca="1" si="402"/>
        <v>RFR EUR</v>
      </c>
      <c r="F5154" t="str">
        <f t="shared" ca="1" si="403"/>
        <v>RFR GBP</v>
      </c>
      <c r="J5154" s="1"/>
      <c r="K5154" s="20"/>
      <c r="N5154" s="1"/>
      <c r="O5154" s="20"/>
      <c r="R5154" s="1"/>
      <c r="AB5154" s="1"/>
      <c r="AC5154" s="20"/>
      <c r="AF5154" s="1"/>
      <c r="AG5154" s="20"/>
      <c r="AJ5154" s="1"/>
      <c r="AS5154" s="1"/>
      <c r="AT5154" s="20"/>
      <c r="AX5154" s="1"/>
    </row>
    <row r="5155" spans="1:50" x14ac:dyDescent="0.3">
      <c r="A5155" s="19">
        <f t="shared" si="404"/>
        <v>53132</v>
      </c>
      <c r="B5155">
        <f t="shared" ca="1" si="400"/>
        <v>-19.388888888888889</v>
      </c>
      <c r="C5155" t="str">
        <f ca="1">IF(currency="USD",'Future et co'!D5155,IF(currency="EUR",'Future et co'!E5155,IF(currency="GBP",'Future et co'!F5155,FALSE)))</f>
        <v>RFR USD</v>
      </c>
      <c r="D5155" t="str">
        <f t="shared" ca="1" si="401"/>
        <v>RFR USD</v>
      </c>
      <c r="E5155" t="str">
        <f t="shared" ca="1" si="402"/>
        <v>RFR EUR</v>
      </c>
      <c r="F5155" t="str">
        <f t="shared" ca="1" si="403"/>
        <v>RFR GBP</v>
      </c>
      <c r="J5155" s="1"/>
      <c r="K5155" s="20"/>
      <c r="N5155" s="1"/>
      <c r="O5155" s="20"/>
      <c r="R5155" s="1"/>
      <c r="AB5155" s="1"/>
      <c r="AC5155" s="20"/>
      <c r="AF5155" s="1"/>
      <c r="AG5155" s="20"/>
      <c r="AJ5155" s="1"/>
      <c r="AS5155" s="1"/>
      <c r="AT5155" s="20"/>
      <c r="AX5155" s="1"/>
    </row>
    <row r="5156" spans="1:50" x14ac:dyDescent="0.3">
      <c r="A5156" s="19">
        <f t="shared" si="404"/>
        <v>53133</v>
      </c>
      <c r="B5156">
        <f t="shared" ca="1" si="400"/>
        <v>-19.391666666666666</v>
      </c>
      <c r="C5156" t="str">
        <f ca="1">IF(currency="USD",'Future et co'!D5156,IF(currency="EUR",'Future et co'!E5156,IF(currency="GBP",'Future et co'!F5156,FALSE)))</f>
        <v>RFR USD</v>
      </c>
      <c r="D5156" t="str">
        <f t="shared" ca="1" si="401"/>
        <v>RFR USD</v>
      </c>
      <c r="E5156" t="str">
        <f t="shared" ca="1" si="402"/>
        <v>RFR EUR</v>
      </c>
      <c r="F5156" t="str">
        <f t="shared" ca="1" si="403"/>
        <v>RFR GBP</v>
      </c>
      <c r="J5156" s="1"/>
      <c r="K5156" s="20"/>
      <c r="N5156" s="1"/>
      <c r="O5156" s="20"/>
      <c r="R5156" s="1"/>
      <c r="AB5156" s="1"/>
      <c r="AC5156" s="20"/>
      <c r="AF5156" s="1"/>
      <c r="AG5156" s="20"/>
      <c r="AJ5156" s="1"/>
      <c r="AS5156" s="1"/>
      <c r="AT5156" s="20"/>
      <c r="AX5156" s="1"/>
    </row>
    <row r="5157" spans="1:50" x14ac:dyDescent="0.3">
      <c r="A5157" s="19">
        <f t="shared" si="404"/>
        <v>53134</v>
      </c>
      <c r="B5157">
        <f t="shared" ca="1" si="400"/>
        <v>-19.394444444444446</v>
      </c>
      <c r="C5157" t="str">
        <f ca="1">IF(currency="USD",'Future et co'!D5157,IF(currency="EUR",'Future et co'!E5157,IF(currency="GBP",'Future et co'!F5157,FALSE)))</f>
        <v>RFR USD</v>
      </c>
      <c r="D5157" t="str">
        <f t="shared" ca="1" si="401"/>
        <v>RFR USD</v>
      </c>
      <c r="E5157" t="str">
        <f t="shared" ca="1" si="402"/>
        <v>RFR EUR</v>
      </c>
      <c r="F5157" t="str">
        <f t="shared" ca="1" si="403"/>
        <v>RFR GBP</v>
      </c>
      <c r="J5157" s="1"/>
      <c r="K5157" s="20"/>
      <c r="N5157" s="1"/>
      <c r="O5157" s="20"/>
      <c r="R5157" s="1"/>
      <c r="AB5157" s="1"/>
      <c r="AC5157" s="20"/>
      <c r="AF5157" s="1"/>
      <c r="AG5157" s="20"/>
      <c r="AJ5157" s="1"/>
      <c r="AS5157" s="1"/>
      <c r="AT5157" s="20"/>
      <c r="AX5157" s="1"/>
    </row>
    <row r="5158" spans="1:50" x14ac:dyDescent="0.3">
      <c r="A5158" s="19">
        <f t="shared" si="404"/>
        <v>53135</v>
      </c>
      <c r="B5158">
        <f t="shared" ca="1" si="400"/>
        <v>-19.397222222222222</v>
      </c>
      <c r="C5158" t="str">
        <f ca="1">IF(currency="USD",'Future et co'!D5158,IF(currency="EUR",'Future et co'!E5158,IF(currency="GBP",'Future et co'!F5158,FALSE)))</f>
        <v>RFR USD</v>
      </c>
      <c r="D5158" t="str">
        <f t="shared" ca="1" si="401"/>
        <v>RFR USD</v>
      </c>
      <c r="E5158" t="str">
        <f t="shared" ca="1" si="402"/>
        <v>RFR EUR</v>
      </c>
      <c r="F5158" t="str">
        <f t="shared" ca="1" si="403"/>
        <v>RFR GBP</v>
      </c>
      <c r="J5158" s="1"/>
      <c r="K5158" s="20"/>
      <c r="N5158" s="1"/>
      <c r="O5158" s="20"/>
      <c r="R5158" s="1"/>
      <c r="AB5158" s="1"/>
      <c r="AC5158" s="20"/>
      <c r="AF5158" s="1"/>
      <c r="AG5158" s="20"/>
      <c r="AJ5158" s="1"/>
      <c r="AS5158" s="1"/>
      <c r="AT5158" s="20"/>
      <c r="AX5158" s="1"/>
    </row>
    <row r="5159" spans="1:50" x14ac:dyDescent="0.3">
      <c r="A5159" s="19">
        <f t="shared" si="404"/>
        <v>53136</v>
      </c>
      <c r="B5159">
        <f t="shared" ca="1" si="400"/>
        <v>-19.399999999999999</v>
      </c>
      <c r="C5159" t="str">
        <f ca="1">IF(currency="USD",'Future et co'!D5159,IF(currency="EUR",'Future et co'!E5159,IF(currency="GBP",'Future et co'!F5159,FALSE)))</f>
        <v>RFR USD</v>
      </c>
      <c r="D5159" t="str">
        <f t="shared" ca="1" si="401"/>
        <v>RFR USD</v>
      </c>
      <c r="E5159" t="str">
        <f t="shared" ca="1" si="402"/>
        <v>RFR EUR</v>
      </c>
      <c r="F5159" t="str">
        <f t="shared" ca="1" si="403"/>
        <v>RFR GBP</v>
      </c>
      <c r="J5159" s="1"/>
      <c r="K5159" s="20"/>
      <c r="N5159" s="1"/>
      <c r="O5159" s="20"/>
      <c r="R5159" s="1"/>
      <c r="AB5159" s="1"/>
      <c r="AC5159" s="20"/>
      <c r="AF5159" s="1"/>
      <c r="AG5159" s="20"/>
      <c r="AJ5159" s="1"/>
      <c r="AS5159" s="1"/>
      <c r="AT5159" s="20"/>
      <c r="AX5159" s="1"/>
    </row>
    <row r="5160" spans="1:50" x14ac:dyDescent="0.3">
      <c r="A5160" s="19">
        <f t="shared" si="404"/>
        <v>53139</v>
      </c>
      <c r="B5160">
        <f t="shared" ca="1" si="400"/>
        <v>-19.408333333333335</v>
      </c>
      <c r="C5160" t="str">
        <f ca="1">IF(currency="USD",'Future et co'!D5160,IF(currency="EUR",'Future et co'!E5160,IF(currency="GBP",'Future et co'!F5160,FALSE)))</f>
        <v>RFR USD</v>
      </c>
      <c r="D5160" t="str">
        <f t="shared" ca="1" si="401"/>
        <v>RFR USD</v>
      </c>
      <c r="E5160" t="str">
        <f t="shared" ca="1" si="402"/>
        <v>RFR EUR</v>
      </c>
      <c r="F5160" t="str">
        <f t="shared" ca="1" si="403"/>
        <v>RFR GBP</v>
      </c>
      <c r="J5160" s="1"/>
      <c r="K5160" s="20"/>
      <c r="N5160" s="1"/>
      <c r="O5160" s="20"/>
      <c r="R5160" s="1"/>
      <c r="AB5160" s="1"/>
      <c r="AC5160" s="20"/>
      <c r="AF5160" s="1"/>
      <c r="AG5160" s="20"/>
      <c r="AJ5160" s="1"/>
      <c r="AS5160" s="1"/>
      <c r="AT5160" s="20"/>
      <c r="AX5160" s="1"/>
    </row>
    <row r="5161" spans="1:50" x14ac:dyDescent="0.3">
      <c r="A5161" s="19">
        <f t="shared" si="404"/>
        <v>53140</v>
      </c>
      <c r="B5161">
        <f t="shared" ca="1" si="400"/>
        <v>-19.411111111111111</v>
      </c>
      <c r="C5161" t="str">
        <f ca="1">IF(currency="USD",'Future et co'!D5161,IF(currency="EUR",'Future et co'!E5161,IF(currency="GBP",'Future et co'!F5161,FALSE)))</f>
        <v>RFR USD</v>
      </c>
      <c r="D5161" t="str">
        <f t="shared" ca="1" si="401"/>
        <v>RFR USD</v>
      </c>
      <c r="E5161" t="str">
        <f t="shared" ca="1" si="402"/>
        <v>RFR EUR</v>
      </c>
      <c r="F5161" t="str">
        <f t="shared" ca="1" si="403"/>
        <v>RFR GBP</v>
      </c>
      <c r="J5161" s="1"/>
      <c r="K5161" s="20"/>
      <c r="N5161" s="1"/>
      <c r="O5161" s="20"/>
      <c r="R5161" s="1"/>
      <c r="AB5161" s="1"/>
      <c r="AC5161" s="20"/>
      <c r="AF5161" s="1"/>
      <c r="AG5161" s="20"/>
      <c r="AJ5161" s="1"/>
      <c r="AS5161" s="1"/>
      <c r="AT5161" s="20"/>
      <c r="AX5161" s="1"/>
    </row>
    <row r="5162" spans="1:50" x14ac:dyDescent="0.3">
      <c r="A5162" s="19">
        <f t="shared" si="404"/>
        <v>53141</v>
      </c>
      <c r="B5162">
        <f t="shared" ca="1" si="400"/>
        <v>-19.413888888888888</v>
      </c>
      <c r="C5162" t="str">
        <f ca="1">IF(currency="USD",'Future et co'!D5162,IF(currency="EUR",'Future et co'!E5162,IF(currency="GBP",'Future et co'!F5162,FALSE)))</f>
        <v>RFR USD</v>
      </c>
      <c r="D5162" t="str">
        <f t="shared" ca="1" si="401"/>
        <v>RFR USD</v>
      </c>
      <c r="E5162" t="str">
        <f t="shared" ca="1" si="402"/>
        <v>RFR EUR</v>
      </c>
      <c r="F5162" t="str">
        <f t="shared" ca="1" si="403"/>
        <v>RFR GBP</v>
      </c>
      <c r="J5162" s="1"/>
      <c r="K5162" s="20"/>
      <c r="N5162" s="1"/>
      <c r="O5162" s="20"/>
      <c r="R5162" s="1"/>
      <c r="AB5162" s="1"/>
      <c r="AC5162" s="20"/>
      <c r="AF5162" s="1"/>
      <c r="AG5162" s="20"/>
      <c r="AJ5162" s="1"/>
      <c r="AS5162" s="1"/>
      <c r="AT5162" s="20"/>
      <c r="AX5162" s="1"/>
    </row>
    <row r="5163" spans="1:50" x14ac:dyDescent="0.3">
      <c r="A5163" s="19">
        <f t="shared" si="404"/>
        <v>53142</v>
      </c>
      <c r="B5163">
        <f t="shared" ca="1" si="400"/>
        <v>-19.416666666666668</v>
      </c>
      <c r="C5163" t="str">
        <f ca="1">IF(currency="USD",'Future et co'!D5163,IF(currency="EUR",'Future et co'!E5163,IF(currency="GBP",'Future et co'!F5163,FALSE)))</f>
        <v>RFR USD</v>
      </c>
      <c r="D5163" t="str">
        <f t="shared" ca="1" si="401"/>
        <v>RFR USD</v>
      </c>
      <c r="E5163" t="str">
        <f t="shared" ca="1" si="402"/>
        <v>RFR EUR</v>
      </c>
      <c r="F5163" t="str">
        <f t="shared" ca="1" si="403"/>
        <v>RFR GBP</v>
      </c>
      <c r="J5163" s="1"/>
      <c r="K5163" s="20"/>
      <c r="N5163" s="1"/>
      <c r="O5163" s="20"/>
      <c r="R5163" s="1"/>
      <c r="AB5163" s="1"/>
      <c r="AC5163" s="20"/>
      <c r="AF5163" s="1"/>
      <c r="AG5163" s="20"/>
      <c r="AJ5163" s="1"/>
      <c r="AS5163" s="1"/>
      <c r="AT5163" s="20"/>
      <c r="AX5163" s="1"/>
    </row>
    <row r="5164" spans="1:50" x14ac:dyDescent="0.3">
      <c r="A5164" s="19">
        <f t="shared" si="404"/>
        <v>53143</v>
      </c>
      <c r="B5164">
        <f t="shared" ca="1" si="400"/>
        <v>-19.419444444444444</v>
      </c>
      <c r="C5164" t="str">
        <f ca="1">IF(currency="USD",'Future et co'!D5164,IF(currency="EUR",'Future et co'!E5164,IF(currency="GBP",'Future et co'!F5164,FALSE)))</f>
        <v>RFR USD</v>
      </c>
      <c r="D5164" t="str">
        <f t="shared" ca="1" si="401"/>
        <v>RFR USD</v>
      </c>
      <c r="E5164" t="str">
        <f t="shared" ca="1" si="402"/>
        <v>RFR EUR</v>
      </c>
      <c r="F5164" t="str">
        <f t="shared" ca="1" si="403"/>
        <v>RFR GBP</v>
      </c>
      <c r="J5164" s="1"/>
      <c r="K5164" s="20"/>
      <c r="N5164" s="1"/>
      <c r="O5164" s="20"/>
      <c r="R5164" s="1"/>
      <c r="AB5164" s="1"/>
      <c r="AC5164" s="20"/>
      <c r="AF5164" s="1"/>
      <c r="AG5164" s="20"/>
      <c r="AJ5164" s="1"/>
      <c r="AS5164" s="1"/>
      <c r="AT5164" s="20"/>
      <c r="AX5164" s="1"/>
    </row>
    <row r="5165" spans="1:50" x14ac:dyDescent="0.3">
      <c r="A5165" s="19">
        <f t="shared" si="404"/>
        <v>53146</v>
      </c>
      <c r="B5165">
        <f t="shared" ca="1" si="400"/>
        <v>-19.427777777777777</v>
      </c>
      <c r="C5165" t="str">
        <f ca="1">IF(currency="USD",'Future et co'!D5165,IF(currency="EUR",'Future et co'!E5165,IF(currency="GBP",'Future et co'!F5165,FALSE)))</f>
        <v>RFR USD</v>
      </c>
      <c r="D5165" t="str">
        <f t="shared" ca="1" si="401"/>
        <v>RFR USD</v>
      </c>
      <c r="E5165" t="str">
        <f t="shared" ca="1" si="402"/>
        <v>RFR EUR</v>
      </c>
      <c r="F5165" t="str">
        <f t="shared" ca="1" si="403"/>
        <v>RFR GBP</v>
      </c>
      <c r="J5165" s="1"/>
      <c r="K5165" s="20"/>
      <c r="N5165" s="1"/>
      <c r="O5165" s="20"/>
      <c r="R5165" s="1"/>
      <c r="AB5165" s="1"/>
      <c r="AC5165" s="20"/>
      <c r="AF5165" s="1"/>
      <c r="AG5165" s="20"/>
      <c r="AJ5165" s="1"/>
      <c r="AS5165" s="1"/>
      <c r="AT5165" s="20"/>
      <c r="AX5165" s="1"/>
    </row>
    <row r="5166" spans="1:50" x14ac:dyDescent="0.3">
      <c r="A5166" s="19">
        <f t="shared" si="404"/>
        <v>53147</v>
      </c>
      <c r="B5166">
        <f t="shared" ca="1" si="400"/>
        <v>-19.430555555555557</v>
      </c>
      <c r="C5166" t="str">
        <f ca="1">IF(currency="USD",'Future et co'!D5166,IF(currency="EUR",'Future et co'!E5166,IF(currency="GBP",'Future et co'!F5166,FALSE)))</f>
        <v>RFR USD</v>
      </c>
      <c r="D5166" t="str">
        <f t="shared" ca="1" si="401"/>
        <v>RFR USD</v>
      </c>
      <c r="E5166" t="str">
        <f t="shared" ca="1" si="402"/>
        <v>RFR EUR</v>
      </c>
      <c r="F5166" t="str">
        <f t="shared" ca="1" si="403"/>
        <v>RFR GBP</v>
      </c>
      <c r="J5166" s="1"/>
      <c r="K5166" s="20"/>
      <c r="N5166" s="1"/>
      <c r="O5166" s="20"/>
      <c r="R5166" s="1"/>
      <c r="AB5166" s="1"/>
      <c r="AC5166" s="20"/>
      <c r="AF5166" s="1"/>
      <c r="AG5166" s="20"/>
      <c r="AJ5166" s="1"/>
      <c r="AS5166" s="1"/>
      <c r="AT5166" s="20"/>
      <c r="AX5166" s="1"/>
    </row>
    <row r="5167" spans="1:50" x14ac:dyDescent="0.3">
      <c r="A5167" s="19">
        <f t="shared" si="404"/>
        <v>53148</v>
      </c>
      <c r="B5167">
        <f t="shared" ca="1" si="400"/>
        <v>-19.433333333333334</v>
      </c>
      <c r="C5167" t="str">
        <f ca="1">IF(currency="USD",'Future et co'!D5167,IF(currency="EUR",'Future et co'!E5167,IF(currency="GBP",'Future et co'!F5167,FALSE)))</f>
        <v>RFR USD</v>
      </c>
      <c r="D5167" t="str">
        <f t="shared" ca="1" si="401"/>
        <v>RFR USD</v>
      </c>
      <c r="E5167" t="str">
        <f t="shared" ca="1" si="402"/>
        <v>RFR EUR</v>
      </c>
      <c r="F5167" t="str">
        <f t="shared" ca="1" si="403"/>
        <v>RFR GBP</v>
      </c>
      <c r="J5167" s="1"/>
      <c r="K5167" s="20"/>
      <c r="N5167" s="1"/>
      <c r="O5167" s="20"/>
      <c r="R5167" s="1"/>
      <c r="AB5167" s="1"/>
      <c r="AC5167" s="20"/>
      <c r="AF5167" s="1"/>
      <c r="AG5167" s="20"/>
      <c r="AJ5167" s="1"/>
      <c r="AS5167" s="1"/>
      <c r="AT5167" s="20"/>
      <c r="AX5167" s="1"/>
    </row>
    <row r="5168" spans="1:50" x14ac:dyDescent="0.3">
      <c r="A5168" s="19">
        <f t="shared" si="404"/>
        <v>53149</v>
      </c>
      <c r="B5168">
        <f t="shared" ca="1" si="400"/>
        <v>-19.43611111111111</v>
      </c>
      <c r="C5168" t="str">
        <f ca="1">IF(currency="USD",'Future et co'!D5168,IF(currency="EUR",'Future et co'!E5168,IF(currency="GBP",'Future et co'!F5168,FALSE)))</f>
        <v>RFR USD</v>
      </c>
      <c r="D5168" t="str">
        <f t="shared" ca="1" si="401"/>
        <v>RFR USD</v>
      </c>
      <c r="E5168" t="str">
        <f t="shared" ca="1" si="402"/>
        <v>RFR EUR</v>
      </c>
      <c r="F5168" t="str">
        <f t="shared" ca="1" si="403"/>
        <v>RFR GBP</v>
      </c>
      <c r="J5168" s="1"/>
      <c r="K5168" s="20"/>
      <c r="N5168" s="1"/>
      <c r="O5168" s="20"/>
      <c r="R5168" s="1"/>
      <c r="AB5168" s="1"/>
      <c r="AC5168" s="20"/>
      <c r="AF5168" s="1"/>
      <c r="AG5168" s="20"/>
      <c r="AJ5168" s="1"/>
      <c r="AS5168" s="1"/>
      <c r="AT5168" s="20"/>
      <c r="AX5168" s="1"/>
    </row>
    <row r="5169" spans="1:50" x14ac:dyDescent="0.3">
      <c r="A5169" s="19">
        <f t="shared" si="404"/>
        <v>53150</v>
      </c>
      <c r="B5169">
        <f t="shared" ca="1" si="400"/>
        <v>-19.43888888888889</v>
      </c>
      <c r="C5169" t="str">
        <f ca="1">IF(currency="USD",'Future et co'!D5169,IF(currency="EUR",'Future et co'!E5169,IF(currency="GBP",'Future et co'!F5169,FALSE)))</f>
        <v>RFR USD</v>
      </c>
      <c r="D5169" t="str">
        <f t="shared" ca="1" si="401"/>
        <v>RFR USD</v>
      </c>
      <c r="E5169" t="str">
        <f t="shared" ca="1" si="402"/>
        <v>RFR EUR</v>
      </c>
      <c r="F5169" t="str">
        <f t="shared" ca="1" si="403"/>
        <v>RFR GBP</v>
      </c>
      <c r="J5169" s="1"/>
      <c r="K5169" s="20"/>
      <c r="N5169" s="1"/>
      <c r="O5169" s="20"/>
      <c r="R5169" s="1"/>
      <c r="AB5169" s="1"/>
      <c r="AC5169" s="20"/>
      <c r="AF5169" s="1"/>
      <c r="AG5169" s="20"/>
      <c r="AJ5169" s="1"/>
      <c r="AS5169" s="1"/>
      <c r="AT5169" s="20"/>
      <c r="AX5169" s="1"/>
    </row>
    <row r="5170" spans="1:50" x14ac:dyDescent="0.3">
      <c r="A5170" s="19">
        <f t="shared" si="404"/>
        <v>53153</v>
      </c>
      <c r="B5170">
        <f t="shared" ca="1" si="400"/>
        <v>-19.447222222222223</v>
      </c>
      <c r="C5170" t="str">
        <f ca="1">IF(currency="USD",'Future et co'!D5170,IF(currency="EUR",'Future et co'!E5170,IF(currency="GBP",'Future et co'!F5170,FALSE)))</f>
        <v>RFR USD</v>
      </c>
      <c r="D5170" t="str">
        <f t="shared" ca="1" si="401"/>
        <v>RFR USD</v>
      </c>
      <c r="E5170" t="str">
        <f t="shared" ca="1" si="402"/>
        <v>RFR EUR</v>
      </c>
      <c r="F5170" t="str">
        <f t="shared" ca="1" si="403"/>
        <v>RFR GBP</v>
      </c>
      <c r="J5170" s="1"/>
      <c r="K5170" s="20"/>
      <c r="N5170" s="1"/>
      <c r="O5170" s="20"/>
      <c r="R5170" s="1"/>
      <c r="AB5170" s="1"/>
      <c r="AC5170" s="20"/>
      <c r="AF5170" s="1"/>
      <c r="AG5170" s="20"/>
      <c r="AJ5170" s="1"/>
      <c r="AS5170" s="1"/>
      <c r="AT5170" s="20"/>
      <c r="AX5170" s="1"/>
    </row>
    <row r="5171" spans="1:50" x14ac:dyDescent="0.3">
      <c r="A5171" s="19">
        <f t="shared" si="404"/>
        <v>53154</v>
      </c>
      <c r="B5171">
        <f t="shared" ca="1" si="400"/>
        <v>-19.45</v>
      </c>
      <c r="C5171" t="str">
        <f ca="1">IF(currency="USD",'Future et co'!D5171,IF(currency="EUR",'Future et co'!E5171,IF(currency="GBP",'Future et co'!F5171,FALSE)))</f>
        <v>RFR USD</v>
      </c>
      <c r="D5171" t="str">
        <f t="shared" ca="1" si="401"/>
        <v>RFR USD</v>
      </c>
      <c r="E5171" t="str">
        <f t="shared" ca="1" si="402"/>
        <v>RFR EUR</v>
      </c>
      <c r="F5171" t="str">
        <f t="shared" ca="1" si="403"/>
        <v>RFR GBP</v>
      </c>
      <c r="J5171" s="1"/>
      <c r="K5171" s="20"/>
      <c r="N5171" s="1"/>
      <c r="O5171" s="20"/>
      <c r="R5171" s="1"/>
      <c r="AB5171" s="1"/>
      <c r="AC5171" s="20"/>
      <c r="AF5171" s="1"/>
      <c r="AG5171" s="20"/>
      <c r="AJ5171" s="1"/>
      <c r="AS5171" s="1"/>
      <c r="AT5171" s="20"/>
      <c r="AX5171" s="1"/>
    </row>
    <row r="5172" spans="1:50" x14ac:dyDescent="0.3">
      <c r="A5172" s="19">
        <f t="shared" si="404"/>
        <v>53155</v>
      </c>
      <c r="B5172">
        <f t="shared" ca="1" si="400"/>
        <v>-19.452777777777779</v>
      </c>
      <c r="C5172" t="str">
        <f ca="1">IF(currency="USD",'Future et co'!D5172,IF(currency="EUR",'Future et co'!E5172,IF(currency="GBP",'Future et co'!F5172,FALSE)))</f>
        <v>RFR USD</v>
      </c>
      <c r="D5172" t="str">
        <f t="shared" ca="1" si="401"/>
        <v>RFR USD</v>
      </c>
      <c r="E5172" t="str">
        <f t="shared" ca="1" si="402"/>
        <v>RFR EUR</v>
      </c>
      <c r="F5172" t="str">
        <f t="shared" ca="1" si="403"/>
        <v>RFR GBP</v>
      </c>
      <c r="J5172" s="1"/>
      <c r="K5172" s="20"/>
      <c r="N5172" s="1"/>
      <c r="O5172" s="20"/>
      <c r="R5172" s="1"/>
      <c r="AB5172" s="1"/>
      <c r="AC5172" s="20"/>
      <c r="AF5172" s="1"/>
      <c r="AG5172" s="20"/>
      <c r="AJ5172" s="1"/>
      <c r="AS5172" s="1"/>
      <c r="AT5172" s="20"/>
      <c r="AX5172" s="1"/>
    </row>
    <row r="5173" spans="1:50" x14ac:dyDescent="0.3">
      <c r="A5173" s="19">
        <f t="shared" si="404"/>
        <v>53156</v>
      </c>
      <c r="B5173">
        <f t="shared" ca="1" si="400"/>
        <v>-19.455555555555556</v>
      </c>
      <c r="C5173" t="str">
        <f ca="1">IF(currency="USD",'Future et co'!D5173,IF(currency="EUR",'Future et co'!E5173,IF(currency="GBP",'Future et co'!F5173,FALSE)))</f>
        <v>RFR USD</v>
      </c>
      <c r="D5173" t="str">
        <f t="shared" ca="1" si="401"/>
        <v>RFR USD</v>
      </c>
      <c r="E5173" t="str">
        <f t="shared" ca="1" si="402"/>
        <v>RFR EUR</v>
      </c>
      <c r="F5173" t="str">
        <f t="shared" ca="1" si="403"/>
        <v>RFR GBP</v>
      </c>
      <c r="J5173" s="1"/>
      <c r="K5173" s="20"/>
      <c r="N5173" s="1"/>
      <c r="O5173" s="20"/>
      <c r="R5173" s="1"/>
      <c r="AB5173" s="1"/>
      <c r="AC5173" s="20"/>
      <c r="AF5173" s="1"/>
      <c r="AG5173" s="20"/>
      <c r="AJ5173" s="1"/>
      <c r="AS5173" s="1"/>
      <c r="AT5173" s="20"/>
      <c r="AX5173" s="1"/>
    </row>
    <row r="5174" spans="1:50" x14ac:dyDescent="0.3">
      <c r="A5174" s="19">
        <f t="shared" si="404"/>
        <v>53157</v>
      </c>
      <c r="B5174">
        <f t="shared" ca="1" si="400"/>
        <v>-19.458333333333332</v>
      </c>
      <c r="C5174" t="str">
        <f ca="1">IF(currency="USD",'Future et co'!D5174,IF(currency="EUR",'Future et co'!E5174,IF(currency="GBP",'Future et co'!F5174,FALSE)))</f>
        <v>RFR USD</v>
      </c>
      <c r="D5174" t="str">
        <f t="shared" ca="1" si="401"/>
        <v>RFR USD</v>
      </c>
      <c r="E5174" t="str">
        <f t="shared" ca="1" si="402"/>
        <v>RFR EUR</v>
      </c>
      <c r="F5174" t="str">
        <f t="shared" ca="1" si="403"/>
        <v>RFR GBP</v>
      </c>
      <c r="J5174" s="1"/>
      <c r="K5174" s="20"/>
      <c r="N5174" s="1"/>
      <c r="O5174" s="20"/>
      <c r="R5174" s="1"/>
      <c r="AB5174" s="1"/>
      <c r="AC5174" s="20"/>
      <c r="AF5174" s="1"/>
      <c r="AG5174" s="20"/>
      <c r="AJ5174" s="1"/>
      <c r="AS5174" s="1"/>
      <c r="AT5174" s="20"/>
      <c r="AX5174" s="1"/>
    </row>
    <row r="5175" spans="1:50" x14ac:dyDescent="0.3">
      <c r="A5175" s="19">
        <f t="shared" si="404"/>
        <v>53160</v>
      </c>
      <c r="B5175">
        <f t="shared" ca="1" si="400"/>
        <v>-19.466666666666665</v>
      </c>
      <c r="C5175" t="str">
        <f ca="1">IF(currency="USD",'Future et co'!D5175,IF(currency="EUR",'Future et co'!E5175,IF(currency="GBP",'Future et co'!F5175,FALSE)))</f>
        <v>RFR USD</v>
      </c>
      <c r="D5175" t="str">
        <f t="shared" ca="1" si="401"/>
        <v>RFR USD</v>
      </c>
      <c r="E5175" t="str">
        <f t="shared" ca="1" si="402"/>
        <v>RFR EUR</v>
      </c>
      <c r="F5175" t="str">
        <f t="shared" ca="1" si="403"/>
        <v>RFR GBP</v>
      </c>
      <c r="J5175" s="1"/>
      <c r="K5175" s="20"/>
      <c r="N5175" s="1"/>
      <c r="O5175" s="20"/>
      <c r="R5175" s="1"/>
      <c r="AB5175" s="1"/>
      <c r="AC5175" s="20"/>
      <c r="AF5175" s="1"/>
      <c r="AG5175" s="20"/>
      <c r="AJ5175" s="1"/>
      <c r="AS5175" s="1"/>
      <c r="AT5175" s="20"/>
      <c r="AX5175" s="1"/>
    </row>
    <row r="5176" spans="1:50" x14ac:dyDescent="0.3">
      <c r="A5176" s="19">
        <f t="shared" si="404"/>
        <v>53161</v>
      </c>
      <c r="B5176">
        <f t="shared" ca="1" si="400"/>
        <v>-19.469444444444445</v>
      </c>
      <c r="C5176" t="str">
        <f ca="1">IF(currency="USD",'Future et co'!D5176,IF(currency="EUR",'Future et co'!E5176,IF(currency="GBP",'Future et co'!F5176,FALSE)))</f>
        <v>RFR USD</v>
      </c>
      <c r="D5176" t="str">
        <f t="shared" ca="1" si="401"/>
        <v>RFR USD</v>
      </c>
      <c r="E5176" t="str">
        <f t="shared" ca="1" si="402"/>
        <v>RFR EUR</v>
      </c>
      <c r="F5176" t="str">
        <f t="shared" ca="1" si="403"/>
        <v>RFR GBP</v>
      </c>
      <c r="J5176" s="1"/>
      <c r="K5176" s="20"/>
      <c r="N5176" s="1"/>
      <c r="O5176" s="20"/>
      <c r="R5176" s="1"/>
      <c r="AB5176" s="1"/>
      <c r="AC5176" s="20"/>
      <c r="AF5176" s="1"/>
      <c r="AG5176" s="20"/>
      <c r="AJ5176" s="1"/>
      <c r="AS5176" s="1"/>
      <c r="AT5176" s="20"/>
      <c r="AX5176" s="1"/>
    </row>
    <row r="5177" spans="1:50" x14ac:dyDescent="0.3">
      <c r="A5177" s="19">
        <f t="shared" si="404"/>
        <v>53162</v>
      </c>
      <c r="B5177">
        <f t="shared" ca="1" si="400"/>
        <v>-19.472222222222221</v>
      </c>
      <c r="C5177" t="str">
        <f ca="1">IF(currency="USD",'Future et co'!D5177,IF(currency="EUR",'Future et co'!E5177,IF(currency="GBP",'Future et co'!F5177,FALSE)))</f>
        <v>RFR USD</v>
      </c>
      <c r="D5177" t="str">
        <f t="shared" ca="1" si="401"/>
        <v>RFR USD</v>
      </c>
      <c r="E5177" t="str">
        <f t="shared" ca="1" si="402"/>
        <v>RFR EUR</v>
      </c>
      <c r="F5177" t="str">
        <f t="shared" ca="1" si="403"/>
        <v>RFR GBP</v>
      </c>
      <c r="J5177" s="1"/>
      <c r="K5177" s="20"/>
      <c r="N5177" s="1"/>
      <c r="O5177" s="20"/>
      <c r="R5177" s="1"/>
      <c r="AB5177" s="1"/>
      <c r="AC5177" s="20"/>
      <c r="AF5177" s="1"/>
      <c r="AG5177" s="20"/>
      <c r="AJ5177" s="1"/>
      <c r="AS5177" s="1"/>
      <c r="AT5177" s="20"/>
      <c r="AX5177" s="1"/>
    </row>
    <row r="5178" spans="1:50" x14ac:dyDescent="0.3">
      <c r="A5178" s="19">
        <f t="shared" si="404"/>
        <v>53163</v>
      </c>
      <c r="B5178">
        <f t="shared" ca="1" si="400"/>
        <v>-19.475000000000001</v>
      </c>
      <c r="C5178" t="str">
        <f ca="1">IF(currency="USD",'Future et co'!D5178,IF(currency="EUR",'Future et co'!E5178,IF(currency="GBP",'Future et co'!F5178,FALSE)))</f>
        <v>RFR USD</v>
      </c>
      <c r="D5178" t="str">
        <f t="shared" ca="1" si="401"/>
        <v>RFR USD</v>
      </c>
      <c r="E5178" t="str">
        <f t="shared" ca="1" si="402"/>
        <v>RFR EUR</v>
      </c>
      <c r="F5178" t="str">
        <f t="shared" ca="1" si="403"/>
        <v>RFR GBP</v>
      </c>
      <c r="J5178" s="1"/>
      <c r="K5178" s="20"/>
      <c r="N5178" s="1"/>
      <c r="O5178" s="20"/>
      <c r="R5178" s="1"/>
      <c r="AB5178" s="1"/>
      <c r="AC5178" s="20"/>
      <c r="AF5178" s="1"/>
      <c r="AG5178" s="20"/>
      <c r="AJ5178" s="1"/>
      <c r="AS5178" s="1"/>
      <c r="AT5178" s="20"/>
      <c r="AX5178" s="1"/>
    </row>
    <row r="5179" spans="1:50" x14ac:dyDescent="0.3">
      <c r="A5179" s="19">
        <f t="shared" si="404"/>
        <v>53164</v>
      </c>
      <c r="B5179">
        <f t="shared" ca="1" si="400"/>
        <v>-19.477777777777778</v>
      </c>
      <c r="C5179" t="str">
        <f ca="1">IF(currency="USD",'Future et co'!D5179,IF(currency="EUR",'Future et co'!E5179,IF(currency="GBP",'Future et co'!F5179,FALSE)))</f>
        <v>RFR USD</v>
      </c>
      <c r="D5179" t="str">
        <f t="shared" ca="1" si="401"/>
        <v>RFR USD</v>
      </c>
      <c r="E5179" t="str">
        <f t="shared" ca="1" si="402"/>
        <v>RFR EUR</v>
      </c>
      <c r="F5179" t="str">
        <f t="shared" ca="1" si="403"/>
        <v>RFR GBP</v>
      </c>
      <c r="J5179" s="1"/>
      <c r="K5179" s="20"/>
      <c r="N5179" s="1"/>
      <c r="O5179" s="20"/>
      <c r="R5179" s="1"/>
      <c r="AB5179" s="1"/>
      <c r="AC5179" s="20"/>
      <c r="AF5179" s="1"/>
      <c r="AG5179" s="20"/>
      <c r="AJ5179" s="1"/>
      <c r="AS5179" s="1"/>
      <c r="AT5179" s="20"/>
      <c r="AX5179" s="1"/>
    </row>
    <row r="5180" spans="1:50" x14ac:dyDescent="0.3">
      <c r="A5180" s="19">
        <f t="shared" si="404"/>
        <v>53167</v>
      </c>
      <c r="B5180">
        <f t="shared" ca="1" si="400"/>
        <v>-19.486111111111111</v>
      </c>
      <c r="C5180" t="str">
        <f ca="1">IF(currency="USD",'Future et co'!D5180,IF(currency="EUR",'Future et co'!E5180,IF(currency="GBP",'Future et co'!F5180,FALSE)))</f>
        <v>RFR USD</v>
      </c>
      <c r="D5180" t="str">
        <f t="shared" ca="1" si="401"/>
        <v>RFR USD</v>
      </c>
      <c r="E5180" t="str">
        <f t="shared" ca="1" si="402"/>
        <v>RFR EUR</v>
      </c>
      <c r="F5180" t="str">
        <f t="shared" ca="1" si="403"/>
        <v>RFR GBP</v>
      </c>
      <c r="J5180" s="1"/>
      <c r="K5180" s="20"/>
      <c r="N5180" s="1"/>
      <c r="O5180" s="20"/>
      <c r="R5180" s="1"/>
      <c r="AB5180" s="1"/>
      <c r="AC5180" s="20"/>
      <c r="AF5180" s="1"/>
      <c r="AG5180" s="20"/>
      <c r="AJ5180" s="1"/>
      <c r="AS5180" s="1"/>
      <c r="AT5180" s="20"/>
      <c r="AX5180" s="1"/>
    </row>
    <row r="5181" spans="1:50" x14ac:dyDescent="0.3">
      <c r="A5181" s="19">
        <f t="shared" si="404"/>
        <v>53168</v>
      </c>
      <c r="B5181">
        <f t="shared" ca="1" si="400"/>
        <v>-19.488888888888887</v>
      </c>
      <c r="C5181" t="str">
        <f ca="1">IF(currency="USD",'Future et co'!D5181,IF(currency="EUR",'Future et co'!E5181,IF(currency="GBP",'Future et co'!F5181,FALSE)))</f>
        <v>RFR USD</v>
      </c>
      <c r="D5181" t="str">
        <f t="shared" ca="1" si="401"/>
        <v>RFR USD</v>
      </c>
      <c r="E5181" t="str">
        <f t="shared" ca="1" si="402"/>
        <v>RFR EUR</v>
      </c>
      <c r="F5181" t="str">
        <f t="shared" ca="1" si="403"/>
        <v>RFR GBP</v>
      </c>
      <c r="J5181" s="1"/>
      <c r="K5181" s="20"/>
      <c r="N5181" s="1"/>
      <c r="O5181" s="20"/>
      <c r="R5181" s="1"/>
      <c r="AB5181" s="1"/>
      <c r="AC5181" s="20"/>
      <c r="AF5181" s="1"/>
      <c r="AG5181" s="20"/>
      <c r="AJ5181" s="1"/>
      <c r="AS5181" s="1"/>
      <c r="AT5181" s="20"/>
      <c r="AX5181" s="1"/>
    </row>
    <row r="5182" spans="1:50" x14ac:dyDescent="0.3">
      <c r="A5182" s="19">
        <f t="shared" si="404"/>
        <v>53169</v>
      </c>
      <c r="B5182">
        <f t="shared" ca="1" si="400"/>
        <v>-19.491666666666667</v>
      </c>
      <c r="C5182" t="str">
        <f ca="1">IF(currency="USD",'Future et co'!D5182,IF(currency="EUR",'Future et co'!E5182,IF(currency="GBP",'Future et co'!F5182,FALSE)))</f>
        <v>RFR USD</v>
      </c>
      <c r="D5182" t="str">
        <f t="shared" ca="1" si="401"/>
        <v>RFR USD</v>
      </c>
      <c r="E5182" t="str">
        <f t="shared" ca="1" si="402"/>
        <v>RFR EUR</v>
      </c>
      <c r="F5182" t="str">
        <f t="shared" ca="1" si="403"/>
        <v>RFR GBP</v>
      </c>
      <c r="J5182" s="1"/>
      <c r="K5182" s="20"/>
      <c r="N5182" s="1"/>
      <c r="O5182" s="20"/>
      <c r="R5182" s="1"/>
      <c r="AB5182" s="1"/>
      <c r="AC5182" s="20"/>
      <c r="AF5182" s="1"/>
      <c r="AG5182" s="20"/>
      <c r="AJ5182" s="1"/>
      <c r="AS5182" s="1"/>
      <c r="AT5182" s="20"/>
      <c r="AX5182" s="1"/>
    </row>
    <row r="5183" spans="1:50" x14ac:dyDescent="0.3">
      <c r="A5183" s="19">
        <f t="shared" si="404"/>
        <v>53170</v>
      </c>
      <c r="B5183">
        <f t="shared" ca="1" si="400"/>
        <v>-19.494444444444444</v>
      </c>
      <c r="C5183" t="str">
        <f ca="1">IF(currency="USD",'Future et co'!D5183,IF(currency="EUR",'Future et co'!E5183,IF(currency="GBP",'Future et co'!F5183,FALSE)))</f>
        <v>RFR USD</v>
      </c>
      <c r="D5183" t="str">
        <f t="shared" ca="1" si="401"/>
        <v>RFR USD</v>
      </c>
      <c r="E5183" t="str">
        <f t="shared" ca="1" si="402"/>
        <v>RFR EUR</v>
      </c>
      <c r="F5183" t="str">
        <f t="shared" ca="1" si="403"/>
        <v>RFR GBP</v>
      </c>
      <c r="J5183" s="1"/>
      <c r="K5183" s="20"/>
      <c r="N5183" s="1"/>
      <c r="O5183" s="20"/>
      <c r="R5183" s="1"/>
      <c r="AB5183" s="1"/>
      <c r="AC5183" s="20"/>
      <c r="AF5183" s="1"/>
      <c r="AG5183" s="20"/>
      <c r="AJ5183" s="1"/>
      <c r="AS5183" s="1"/>
      <c r="AT5183" s="20"/>
      <c r="AX5183" s="1"/>
    </row>
    <row r="5184" spans="1:50" x14ac:dyDescent="0.3">
      <c r="A5184" s="19">
        <f t="shared" si="404"/>
        <v>53171</v>
      </c>
      <c r="B5184">
        <f t="shared" ca="1" si="400"/>
        <v>-19.497222222222224</v>
      </c>
      <c r="C5184" t="str">
        <f ca="1">IF(currency="USD",'Future et co'!D5184,IF(currency="EUR",'Future et co'!E5184,IF(currency="GBP",'Future et co'!F5184,FALSE)))</f>
        <v>RFR USD</v>
      </c>
      <c r="D5184" t="str">
        <f t="shared" ca="1" si="401"/>
        <v>RFR USD</v>
      </c>
      <c r="E5184" t="str">
        <f t="shared" ca="1" si="402"/>
        <v>RFR EUR</v>
      </c>
      <c r="F5184" t="str">
        <f t="shared" ca="1" si="403"/>
        <v>RFR GBP</v>
      </c>
      <c r="J5184" s="1"/>
      <c r="K5184" s="20"/>
      <c r="N5184" s="1"/>
      <c r="O5184" s="20"/>
      <c r="R5184" s="1"/>
      <c r="AB5184" s="1"/>
      <c r="AC5184" s="20"/>
      <c r="AF5184" s="1"/>
      <c r="AG5184" s="20"/>
      <c r="AJ5184" s="1"/>
      <c r="AS5184" s="1"/>
      <c r="AT5184" s="20"/>
      <c r="AX5184" s="1"/>
    </row>
    <row r="5185" spans="1:50" x14ac:dyDescent="0.3">
      <c r="A5185" s="19">
        <f t="shared" si="404"/>
        <v>53174</v>
      </c>
      <c r="B5185">
        <f t="shared" ca="1" si="400"/>
        <v>-19.505555555555556</v>
      </c>
      <c r="C5185" t="str">
        <f ca="1">IF(currency="USD",'Future et co'!D5185,IF(currency="EUR",'Future et co'!E5185,IF(currency="GBP",'Future et co'!F5185,FALSE)))</f>
        <v>RFR USD</v>
      </c>
      <c r="D5185" t="str">
        <f t="shared" ca="1" si="401"/>
        <v>RFR USD</v>
      </c>
      <c r="E5185" t="str">
        <f t="shared" ca="1" si="402"/>
        <v>RFR EUR</v>
      </c>
      <c r="F5185" t="str">
        <f t="shared" ca="1" si="403"/>
        <v>RFR GBP</v>
      </c>
      <c r="J5185" s="1"/>
      <c r="K5185" s="20"/>
      <c r="N5185" s="1"/>
      <c r="O5185" s="20"/>
      <c r="R5185" s="1"/>
      <c r="AB5185" s="1"/>
      <c r="AC5185" s="20"/>
      <c r="AF5185" s="1"/>
      <c r="AG5185" s="20"/>
      <c r="AJ5185" s="1"/>
      <c r="AS5185" s="1"/>
      <c r="AT5185" s="20"/>
      <c r="AX5185" s="1"/>
    </row>
    <row r="5186" spans="1:50" x14ac:dyDescent="0.3">
      <c r="A5186" s="19">
        <f t="shared" si="404"/>
        <v>53175</v>
      </c>
      <c r="B5186">
        <f t="shared" ca="1" si="400"/>
        <v>-19.508333333333333</v>
      </c>
      <c r="C5186" t="str">
        <f ca="1">IF(currency="USD",'Future et co'!D5186,IF(currency="EUR",'Future et co'!E5186,IF(currency="GBP",'Future et co'!F5186,FALSE)))</f>
        <v>RFR USD</v>
      </c>
      <c r="D5186" t="str">
        <f t="shared" ca="1" si="401"/>
        <v>RFR USD</v>
      </c>
      <c r="E5186" t="str">
        <f t="shared" ca="1" si="402"/>
        <v>RFR EUR</v>
      </c>
      <c r="F5186" t="str">
        <f t="shared" ca="1" si="403"/>
        <v>RFR GBP</v>
      </c>
      <c r="J5186" s="1"/>
      <c r="K5186" s="21"/>
      <c r="N5186" s="1"/>
      <c r="O5186" s="21"/>
      <c r="R5186" s="1"/>
      <c r="AB5186" s="1"/>
      <c r="AC5186" s="21"/>
      <c r="AF5186" s="1"/>
      <c r="AG5186" s="21"/>
      <c r="AJ5186" s="1"/>
      <c r="AS5186" s="1"/>
      <c r="AT5186" s="21"/>
      <c r="AX5186" s="1"/>
    </row>
    <row r="5187" spans="1:50" x14ac:dyDescent="0.3">
      <c r="A5187" s="19">
        <f t="shared" si="404"/>
        <v>53176</v>
      </c>
      <c r="B5187">
        <f t="shared" ca="1" si="400"/>
        <v>-19.511111111111113</v>
      </c>
      <c r="C5187" t="str">
        <f ca="1">IF(currency="USD",'Future et co'!D5187,IF(currency="EUR",'Future et co'!E5187,IF(currency="GBP",'Future et co'!F5187,FALSE)))</f>
        <v>RFR USD</v>
      </c>
      <c r="D5187" t="str">
        <f t="shared" ca="1" si="401"/>
        <v>RFR USD</v>
      </c>
      <c r="E5187" t="str">
        <f t="shared" ca="1" si="402"/>
        <v>RFR EUR</v>
      </c>
      <c r="F5187" t="str">
        <f t="shared" ca="1" si="403"/>
        <v>RFR GBP</v>
      </c>
      <c r="J5187" s="1"/>
      <c r="K5187" s="20"/>
      <c r="N5187" s="1"/>
      <c r="O5187" s="20"/>
      <c r="R5187" s="1"/>
      <c r="AB5187" s="1"/>
      <c r="AC5187" s="20"/>
      <c r="AF5187" s="1"/>
      <c r="AG5187" s="20"/>
      <c r="AJ5187" s="1"/>
      <c r="AS5187" s="1"/>
      <c r="AT5187" s="20"/>
      <c r="AX5187" s="1"/>
    </row>
    <row r="5188" spans="1:50" x14ac:dyDescent="0.3">
      <c r="A5188" s="19">
        <f t="shared" si="404"/>
        <v>53177</v>
      </c>
      <c r="B5188">
        <f t="shared" ca="1" si="400"/>
        <v>-19.513888888888889</v>
      </c>
      <c r="C5188" t="str">
        <f ca="1">IF(currency="USD",'Future et co'!D5188,IF(currency="EUR",'Future et co'!E5188,IF(currency="GBP",'Future et co'!F5188,FALSE)))</f>
        <v>RFR USD</v>
      </c>
      <c r="D5188" t="str">
        <f t="shared" ca="1" si="401"/>
        <v>RFR USD</v>
      </c>
      <c r="E5188" t="str">
        <f t="shared" ca="1" si="402"/>
        <v>RFR EUR</v>
      </c>
      <c r="F5188" t="str">
        <f t="shared" ca="1" si="403"/>
        <v>RFR GBP</v>
      </c>
      <c r="J5188" s="1"/>
      <c r="K5188" s="20"/>
      <c r="N5188" s="1"/>
      <c r="O5188" s="20"/>
      <c r="R5188" s="1"/>
      <c r="AB5188" s="1"/>
      <c r="AC5188" s="20"/>
      <c r="AF5188" s="1"/>
      <c r="AG5188" s="20"/>
      <c r="AJ5188" s="1"/>
      <c r="AS5188" s="1"/>
      <c r="AT5188" s="20"/>
      <c r="AX5188" s="1"/>
    </row>
    <row r="5189" spans="1:50" x14ac:dyDescent="0.3">
      <c r="A5189" s="19">
        <f t="shared" si="404"/>
        <v>53178</v>
      </c>
      <c r="B5189">
        <f t="shared" ca="1" si="400"/>
        <v>-19.516666666666666</v>
      </c>
      <c r="C5189" t="str">
        <f ca="1">IF(currency="USD",'Future et co'!D5189,IF(currency="EUR",'Future et co'!E5189,IF(currency="GBP",'Future et co'!F5189,FALSE)))</f>
        <v>RFR USD</v>
      </c>
      <c r="D5189" t="str">
        <f t="shared" ca="1" si="401"/>
        <v>RFR USD</v>
      </c>
      <c r="E5189" t="str">
        <f t="shared" ca="1" si="402"/>
        <v>RFR EUR</v>
      </c>
      <c r="F5189" t="str">
        <f t="shared" ca="1" si="403"/>
        <v>RFR GBP</v>
      </c>
      <c r="J5189" s="1"/>
      <c r="K5189" s="20"/>
      <c r="N5189" s="1"/>
      <c r="O5189" s="20"/>
      <c r="R5189" s="1"/>
      <c r="AB5189" s="1"/>
      <c r="AC5189" s="20"/>
      <c r="AF5189" s="1"/>
      <c r="AG5189" s="20"/>
      <c r="AJ5189" s="1"/>
      <c r="AS5189" s="1"/>
      <c r="AT5189" s="20"/>
      <c r="AX5189" s="1"/>
    </row>
    <row r="5190" spans="1:50" x14ac:dyDescent="0.3">
      <c r="A5190" s="19">
        <f t="shared" si="404"/>
        <v>53181</v>
      </c>
      <c r="B5190">
        <f t="shared" ca="1" si="400"/>
        <v>-19.524999999999999</v>
      </c>
      <c r="C5190" t="str">
        <f ca="1">IF(currency="USD",'Future et co'!D5190,IF(currency="EUR",'Future et co'!E5190,IF(currency="GBP",'Future et co'!F5190,FALSE)))</f>
        <v>RFR USD</v>
      </c>
      <c r="D5190" t="str">
        <f t="shared" ca="1" si="401"/>
        <v>RFR USD</v>
      </c>
      <c r="E5190" t="str">
        <f t="shared" ca="1" si="402"/>
        <v>RFR EUR</v>
      </c>
      <c r="F5190" t="str">
        <f t="shared" ca="1" si="403"/>
        <v>RFR GBP</v>
      </c>
      <c r="J5190" s="1"/>
      <c r="K5190" s="20"/>
      <c r="N5190" s="1"/>
      <c r="O5190" s="20"/>
      <c r="R5190" s="1"/>
      <c r="AB5190" s="1"/>
      <c r="AC5190" s="20"/>
      <c r="AF5190" s="1"/>
      <c r="AG5190" s="20"/>
      <c r="AJ5190" s="1"/>
      <c r="AS5190" s="1"/>
      <c r="AT5190" s="20"/>
      <c r="AX5190" s="1"/>
    </row>
    <row r="5191" spans="1:50" x14ac:dyDescent="0.3">
      <c r="A5191" s="19">
        <f t="shared" si="404"/>
        <v>53182</v>
      </c>
      <c r="B5191">
        <f t="shared" ca="1" si="400"/>
        <v>-19.527777777777779</v>
      </c>
      <c r="C5191" t="str">
        <f ca="1">IF(currency="USD",'Future et co'!D5191,IF(currency="EUR",'Future et co'!E5191,IF(currency="GBP",'Future et co'!F5191,FALSE)))</f>
        <v>RFR USD</v>
      </c>
      <c r="D5191" t="str">
        <f t="shared" ca="1" si="401"/>
        <v>RFR USD</v>
      </c>
      <c r="E5191" t="str">
        <f t="shared" ca="1" si="402"/>
        <v>RFR EUR</v>
      </c>
      <c r="F5191" t="str">
        <f t="shared" ca="1" si="403"/>
        <v>RFR GBP</v>
      </c>
      <c r="J5191" s="1"/>
      <c r="K5191" s="20"/>
      <c r="N5191" s="1"/>
      <c r="O5191" s="20"/>
      <c r="R5191" s="1"/>
      <c r="AB5191" s="1"/>
      <c r="AC5191" s="20"/>
      <c r="AF5191" s="1"/>
      <c r="AG5191" s="20"/>
      <c r="AJ5191" s="1"/>
      <c r="AS5191" s="1"/>
      <c r="AT5191" s="20"/>
      <c r="AX5191" s="1"/>
    </row>
    <row r="5192" spans="1:50" x14ac:dyDescent="0.3">
      <c r="A5192" s="19">
        <f t="shared" si="404"/>
        <v>53183</v>
      </c>
      <c r="B5192">
        <f t="shared" ca="1" si="400"/>
        <v>-19.530555555555555</v>
      </c>
      <c r="C5192" t="str">
        <f ca="1">IF(currency="USD",'Future et co'!D5192,IF(currency="EUR",'Future et co'!E5192,IF(currency="GBP",'Future et co'!F5192,FALSE)))</f>
        <v>RFR USD</v>
      </c>
      <c r="D5192" t="str">
        <f t="shared" ca="1" si="401"/>
        <v>RFR USD</v>
      </c>
      <c r="E5192" t="str">
        <f t="shared" ca="1" si="402"/>
        <v>RFR EUR</v>
      </c>
      <c r="F5192" t="str">
        <f t="shared" ca="1" si="403"/>
        <v>RFR GBP</v>
      </c>
      <c r="J5192" s="1"/>
      <c r="K5192" s="20"/>
      <c r="N5192" s="1"/>
      <c r="O5192" s="20"/>
      <c r="R5192" s="1"/>
      <c r="AB5192" s="1"/>
      <c r="AC5192" s="20"/>
      <c r="AF5192" s="1"/>
      <c r="AG5192" s="20"/>
      <c r="AJ5192" s="1"/>
      <c r="AS5192" s="1"/>
      <c r="AT5192" s="20"/>
      <c r="AX5192" s="1"/>
    </row>
    <row r="5193" spans="1:50" x14ac:dyDescent="0.3">
      <c r="A5193" s="19">
        <f t="shared" si="404"/>
        <v>53184</v>
      </c>
      <c r="B5193">
        <f t="shared" ca="1" si="400"/>
        <v>-19.533333333333335</v>
      </c>
      <c r="C5193" t="str">
        <f ca="1">IF(currency="USD",'Future et co'!D5193,IF(currency="EUR",'Future et co'!E5193,IF(currency="GBP",'Future et co'!F5193,FALSE)))</f>
        <v>RFR USD</v>
      </c>
      <c r="D5193" t="str">
        <f t="shared" ca="1" si="401"/>
        <v>RFR USD</v>
      </c>
      <c r="E5193" t="str">
        <f t="shared" ca="1" si="402"/>
        <v>RFR EUR</v>
      </c>
      <c r="F5193" t="str">
        <f t="shared" ca="1" si="403"/>
        <v>RFR GBP</v>
      </c>
      <c r="J5193" s="1"/>
      <c r="K5193" s="20"/>
      <c r="N5193" s="1"/>
      <c r="O5193" s="20"/>
      <c r="R5193" s="1"/>
      <c r="AB5193" s="1"/>
      <c r="AC5193" s="20"/>
      <c r="AF5193" s="1"/>
      <c r="AG5193" s="20"/>
      <c r="AJ5193" s="1"/>
      <c r="AS5193" s="1"/>
      <c r="AT5193" s="20"/>
      <c r="AX5193" s="1"/>
    </row>
    <row r="5194" spans="1:50" x14ac:dyDescent="0.3">
      <c r="A5194" s="19">
        <f t="shared" si="404"/>
        <v>53185</v>
      </c>
      <c r="B5194">
        <f t="shared" ca="1" si="400"/>
        <v>-19.536111111111111</v>
      </c>
      <c r="C5194" t="str">
        <f ca="1">IF(currency="USD",'Future et co'!D5194,IF(currency="EUR",'Future et co'!E5194,IF(currency="GBP",'Future et co'!F5194,FALSE)))</f>
        <v>RFR USD</v>
      </c>
      <c r="D5194" t="str">
        <f t="shared" ca="1" si="401"/>
        <v>RFR USD</v>
      </c>
      <c r="E5194" t="str">
        <f t="shared" ca="1" si="402"/>
        <v>RFR EUR</v>
      </c>
      <c r="F5194" t="str">
        <f t="shared" ca="1" si="403"/>
        <v>RFR GBP</v>
      </c>
      <c r="J5194" s="1"/>
      <c r="K5194" s="20"/>
      <c r="N5194" s="1"/>
      <c r="O5194" s="20"/>
      <c r="R5194" s="1"/>
      <c r="AB5194" s="1"/>
      <c r="AC5194" s="20"/>
      <c r="AF5194" s="1"/>
      <c r="AG5194" s="20"/>
      <c r="AJ5194" s="1"/>
      <c r="AS5194" s="1"/>
      <c r="AT5194" s="20"/>
      <c r="AX5194" s="1"/>
    </row>
    <row r="5195" spans="1:50" x14ac:dyDescent="0.3">
      <c r="A5195" s="19">
        <f t="shared" si="404"/>
        <v>53188</v>
      </c>
      <c r="B5195">
        <f t="shared" ref="B5195:B5258" ca="1" si="405">($B$7-A5195)/360</f>
        <v>-19.544444444444444</v>
      </c>
      <c r="C5195" t="str">
        <f ca="1">IF(currency="USD",'Future et co'!D5195,IF(currency="EUR",'Future et co'!E5195,IF(currency="GBP",'Future et co'!F5195,FALSE)))</f>
        <v>RFR USD</v>
      </c>
      <c r="D5195" t="str">
        <f t="shared" ref="D5195:D5258" ca="1" si="406">IFERROR(IF(B5195&lt;0.25,VLOOKUP(A5195,$J$11:$L$5325,3,FALSE),IF(AND(B5195&gt;=0.25,B5195&lt;0.5),VLOOKUP(A5195,$N$11:$P$5325,3,FALSE),IF(AND(B5195&gt;=0.5,B5195&lt;1),VLOOKUP(A5195,$R$11:$T$5325,3,FALSE),VLOOKUP(A5195,$V$11:$X$5010,3,FALSE)))),D5194)</f>
        <v>RFR USD</v>
      </c>
      <c r="E5195" t="str">
        <f t="shared" ref="E5195:E5258" ca="1" si="407">IFERROR(IF(B5195&lt;0.25,VLOOKUP(A5195,$AF$11:$AH$5325,3,FALSE),IF(AND(B5195&gt;=0.25,B5195&lt;0.5),VLOOKUP(A5195,$AJ$11:$AL$5325,3,FALSE),VLOOKUP(A5195,$AN$11:$AP$5325,3,FALSE))),E5194)</f>
        <v>RFR EUR</v>
      </c>
      <c r="F5195" t="str">
        <f t="shared" ref="F5195:F5258" ca="1" si="408">IFERROR(VLOOKUP(A5195,$AS$11:$AU$9999,3,FALSE),F5194)</f>
        <v>RFR GBP</v>
      </c>
      <c r="J5195" s="1"/>
      <c r="K5195" s="20"/>
      <c r="N5195" s="1"/>
      <c r="O5195" s="20"/>
      <c r="R5195" s="1"/>
      <c r="AB5195" s="1"/>
      <c r="AC5195" s="20"/>
      <c r="AF5195" s="1"/>
      <c r="AG5195" s="20"/>
      <c r="AJ5195" s="1"/>
      <c r="AS5195" s="1"/>
      <c r="AT5195" s="20"/>
      <c r="AX5195" s="1"/>
    </row>
    <row r="5196" spans="1:50" x14ac:dyDescent="0.3">
      <c r="A5196" s="19">
        <f t="shared" si="404"/>
        <v>53189</v>
      </c>
      <c r="B5196">
        <f t="shared" ca="1" si="405"/>
        <v>-19.547222222222221</v>
      </c>
      <c r="C5196" t="str">
        <f ca="1">IF(currency="USD",'Future et co'!D5196,IF(currency="EUR",'Future et co'!E5196,IF(currency="GBP",'Future et co'!F5196,FALSE)))</f>
        <v>RFR USD</v>
      </c>
      <c r="D5196" t="str">
        <f t="shared" ca="1" si="406"/>
        <v>RFR USD</v>
      </c>
      <c r="E5196" t="str">
        <f t="shared" ca="1" si="407"/>
        <v>RFR EUR</v>
      </c>
      <c r="F5196" t="str">
        <f t="shared" ca="1" si="408"/>
        <v>RFR GBP</v>
      </c>
      <c r="J5196" s="1"/>
      <c r="K5196" s="20"/>
      <c r="N5196" s="1"/>
      <c r="O5196" s="20"/>
      <c r="R5196" s="1"/>
      <c r="AB5196" s="1"/>
      <c r="AC5196" s="20"/>
      <c r="AF5196" s="1"/>
      <c r="AG5196" s="20"/>
      <c r="AJ5196" s="1"/>
      <c r="AS5196" s="1"/>
      <c r="AT5196" s="20"/>
      <c r="AX5196" s="1"/>
    </row>
    <row r="5197" spans="1:50" x14ac:dyDescent="0.3">
      <c r="A5197" s="19">
        <f t="shared" ref="A5197:A5260" si="409">WORKDAY(A5196,1)</f>
        <v>53190</v>
      </c>
      <c r="B5197">
        <f t="shared" ca="1" si="405"/>
        <v>-19.55</v>
      </c>
      <c r="C5197" t="str">
        <f ca="1">IF(currency="USD",'Future et co'!D5197,IF(currency="EUR",'Future et co'!E5197,IF(currency="GBP",'Future et co'!F5197,FALSE)))</f>
        <v>RFR USD</v>
      </c>
      <c r="D5197" t="str">
        <f t="shared" ca="1" si="406"/>
        <v>RFR USD</v>
      </c>
      <c r="E5197" t="str">
        <f t="shared" ca="1" si="407"/>
        <v>RFR EUR</v>
      </c>
      <c r="F5197" t="str">
        <f t="shared" ca="1" si="408"/>
        <v>RFR GBP</v>
      </c>
      <c r="J5197" s="1"/>
      <c r="K5197" s="20"/>
      <c r="N5197" s="1"/>
      <c r="O5197" s="20"/>
      <c r="R5197" s="1"/>
      <c r="AB5197" s="1"/>
      <c r="AC5197" s="20"/>
      <c r="AF5197" s="1"/>
      <c r="AG5197" s="20"/>
      <c r="AJ5197" s="1"/>
      <c r="AS5197" s="1"/>
      <c r="AT5197" s="20"/>
      <c r="AX5197" s="1"/>
    </row>
    <row r="5198" spans="1:50" x14ac:dyDescent="0.3">
      <c r="A5198" s="19">
        <f t="shared" si="409"/>
        <v>53191</v>
      </c>
      <c r="B5198">
        <f t="shared" ca="1" si="405"/>
        <v>-19.552777777777777</v>
      </c>
      <c r="C5198" t="str">
        <f ca="1">IF(currency="USD",'Future et co'!D5198,IF(currency="EUR",'Future et co'!E5198,IF(currency="GBP",'Future et co'!F5198,FALSE)))</f>
        <v>RFR USD</v>
      </c>
      <c r="D5198" t="str">
        <f t="shared" ca="1" si="406"/>
        <v>RFR USD</v>
      </c>
      <c r="E5198" t="str">
        <f t="shared" ca="1" si="407"/>
        <v>RFR EUR</v>
      </c>
      <c r="F5198" t="str">
        <f t="shared" ca="1" si="408"/>
        <v>RFR GBP</v>
      </c>
      <c r="J5198" s="1"/>
      <c r="K5198" s="20"/>
      <c r="N5198" s="1"/>
      <c r="O5198" s="20"/>
      <c r="R5198" s="1"/>
      <c r="AB5198" s="1"/>
      <c r="AC5198" s="20"/>
      <c r="AF5198" s="1"/>
      <c r="AG5198" s="20"/>
      <c r="AJ5198" s="1"/>
      <c r="AS5198" s="1"/>
      <c r="AT5198" s="20"/>
      <c r="AX5198" s="1"/>
    </row>
    <row r="5199" spans="1:50" x14ac:dyDescent="0.3">
      <c r="A5199" s="19">
        <f t="shared" si="409"/>
        <v>53192</v>
      </c>
      <c r="B5199">
        <f t="shared" ca="1" si="405"/>
        <v>-19.555555555555557</v>
      </c>
      <c r="C5199" t="str">
        <f ca="1">IF(currency="USD",'Future et co'!D5199,IF(currency="EUR",'Future et co'!E5199,IF(currency="GBP",'Future et co'!F5199,FALSE)))</f>
        <v>RFR USD</v>
      </c>
      <c r="D5199" t="str">
        <f t="shared" ca="1" si="406"/>
        <v>RFR USD</v>
      </c>
      <c r="E5199" t="str">
        <f t="shared" ca="1" si="407"/>
        <v>RFR EUR</v>
      </c>
      <c r="F5199" t="str">
        <f t="shared" ca="1" si="408"/>
        <v>RFR GBP</v>
      </c>
      <c r="J5199" s="1"/>
      <c r="K5199" s="20"/>
      <c r="N5199" s="1"/>
      <c r="O5199" s="20"/>
      <c r="R5199" s="1"/>
      <c r="AB5199" s="1"/>
      <c r="AC5199" s="20"/>
      <c r="AF5199" s="1"/>
      <c r="AG5199" s="20"/>
      <c r="AJ5199" s="1"/>
      <c r="AS5199" s="1"/>
      <c r="AT5199" s="20"/>
      <c r="AX5199" s="1"/>
    </row>
    <row r="5200" spans="1:50" x14ac:dyDescent="0.3">
      <c r="A5200" s="19">
        <f t="shared" si="409"/>
        <v>53195</v>
      </c>
      <c r="B5200">
        <f t="shared" ca="1" si="405"/>
        <v>-19.56388888888889</v>
      </c>
      <c r="C5200" t="str">
        <f ca="1">IF(currency="USD",'Future et co'!D5200,IF(currency="EUR",'Future et co'!E5200,IF(currency="GBP",'Future et co'!F5200,FALSE)))</f>
        <v>RFR USD</v>
      </c>
      <c r="D5200" t="str">
        <f t="shared" ca="1" si="406"/>
        <v>RFR USD</v>
      </c>
      <c r="E5200" t="str">
        <f t="shared" ca="1" si="407"/>
        <v>RFR EUR</v>
      </c>
      <c r="F5200" t="str">
        <f t="shared" ca="1" si="408"/>
        <v>RFR GBP</v>
      </c>
      <c r="J5200" s="1"/>
      <c r="K5200" s="20"/>
      <c r="N5200" s="1"/>
      <c r="O5200" s="20"/>
      <c r="R5200" s="1"/>
      <c r="AB5200" s="1"/>
      <c r="AC5200" s="20"/>
      <c r="AF5200" s="1"/>
      <c r="AG5200" s="20"/>
      <c r="AJ5200" s="1"/>
      <c r="AS5200" s="1"/>
      <c r="AT5200" s="20"/>
      <c r="AX5200" s="1"/>
    </row>
    <row r="5201" spans="1:50" x14ac:dyDescent="0.3">
      <c r="A5201" s="19">
        <f t="shared" si="409"/>
        <v>53196</v>
      </c>
      <c r="B5201">
        <f t="shared" ca="1" si="405"/>
        <v>-19.566666666666666</v>
      </c>
      <c r="C5201" t="str">
        <f ca="1">IF(currency="USD",'Future et co'!D5201,IF(currency="EUR",'Future et co'!E5201,IF(currency="GBP",'Future et co'!F5201,FALSE)))</f>
        <v>RFR USD</v>
      </c>
      <c r="D5201" t="str">
        <f t="shared" ca="1" si="406"/>
        <v>RFR USD</v>
      </c>
      <c r="E5201" t="str">
        <f t="shared" ca="1" si="407"/>
        <v>RFR EUR</v>
      </c>
      <c r="F5201" t="str">
        <f t="shared" ca="1" si="408"/>
        <v>RFR GBP</v>
      </c>
      <c r="J5201" s="1"/>
      <c r="K5201" s="20"/>
      <c r="N5201" s="1"/>
      <c r="O5201" s="20"/>
      <c r="R5201" s="1"/>
      <c r="AB5201" s="1"/>
      <c r="AC5201" s="20"/>
      <c r="AF5201" s="1"/>
      <c r="AG5201" s="20"/>
      <c r="AJ5201" s="1"/>
      <c r="AS5201" s="1"/>
      <c r="AT5201" s="20"/>
      <c r="AX5201" s="1"/>
    </row>
    <row r="5202" spans="1:50" x14ac:dyDescent="0.3">
      <c r="A5202" s="19">
        <f t="shared" si="409"/>
        <v>53197</v>
      </c>
      <c r="B5202">
        <f t="shared" ca="1" si="405"/>
        <v>-19.569444444444443</v>
      </c>
      <c r="C5202" t="str">
        <f ca="1">IF(currency="USD",'Future et co'!D5202,IF(currency="EUR",'Future et co'!E5202,IF(currency="GBP",'Future et co'!F5202,FALSE)))</f>
        <v>RFR USD</v>
      </c>
      <c r="D5202" t="str">
        <f t="shared" ca="1" si="406"/>
        <v>RFR USD</v>
      </c>
      <c r="E5202" t="str">
        <f t="shared" ca="1" si="407"/>
        <v>RFR EUR</v>
      </c>
      <c r="F5202" t="str">
        <f t="shared" ca="1" si="408"/>
        <v>RFR GBP</v>
      </c>
      <c r="J5202" s="1"/>
      <c r="K5202" s="20"/>
      <c r="N5202" s="1"/>
      <c r="O5202" s="20"/>
      <c r="R5202" s="1"/>
      <c r="AB5202" s="1"/>
      <c r="AC5202" s="20"/>
      <c r="AF5202" s="1"/>
      <c r="AG5202" s="20"/>
      <c r="AJ5202" s="1"/>
      <c r="AS5202" s="1"/>
      <c r="AT5202" s="20"/>
      <c r="AX5202" s="1"/>
    </row>
    <row r="5203" spans="1:50" x14ac:dyDescent="0.3">
      <c r="A5203" s="19">
        <f t="shared" si="409"/>
        <v>53198</v>
      </c>
      <c r="B5203">
        <f t="shared" ca="1" si="405"/>
        <v>-19.572222222222223</v>
      </c>
      <c r="C5203" t="str">
        <f ca="1">IF(currency="USD",'Future et co'!D5203,IF(currency="EUR",'Future et co'!E5203,IF(currency="GBP",'Future et co'!F5203,FALSE)))</f>
        <v>RFR USD</v>
      </c>
      <c r="D5203" t="str">
        <f t="shared" ca="1" si="406"/>
        <v>RFR USD</v>
      </c>
      <c r="E5203" t="str">
        <f t="shared" ca="1" si="407"/>
        <v>RFR EUR</v>
      </c>
      <c r="F5203" t="str">
        <f t="shared" ca="1" si="408"/>
        <v>RFR GBP</v>
      </c>
      <c r="J5203" s="1"/>
      <c r="K5203" s="20"/>
      <c r="N5203" s="1"/>
      <c r="O5203" s="20"/>
      <c r="R5203" s="1"/>
      <c r="AB5203" s="1"/>
      <c r="AC5203" s="20"/>
      <c r="AF5203" s="1"/>
      <c r="AG5203" s="20"/>
      <c r="AJ5203" s="1"/>
      <c r="AS5203" s="1"/>
      <c r="AT5203" s="20"/>
      <c r="AX5203" s="1"/>
    </row>
    <row r="5204" spans="1:50" x14ac:dyDescent="0.3">
      <c r="A5204" s="19">
        <f t="shared" si="409"/>
        <v>53199</v>
      </c>
      <c r="B5204">
        <f t="shared" ca="1" si="405"/>
        <v>-19.574999999999999</v>
      </c>
      <c r="C5204" t="str">
        <f ca="1">IF(currency="USD",'Future et co'!D5204,IF(currency="EUR",'Future et co'!E5204,IF(currency="GBP",'Future et co'!F5204,FALSE)))</f>
        <v>RFR USD</v>
      </c>
      <c r="D5204" t="str">
        <f t="shared" ca="1" si="406"/>
        <v>RFR USD</v>
      </c>
      <c r="E5204" t="str">
        <f t="shared" ca="1" si="407"/>
        <v>RFR EUR</v>
      </c>
      <c r="F5204" t="str">
        <f t="shared" ca="1" si="408"/>
        <v>RFR GBP</v>
      </c>
      <c r="J5204" s="1"/>
      <c r="K5204" s="20"/>
      <c r="N5204" s="1"/>
      <c r="O5204" s="20"/>
      <c r="R5204" s="1"/>
      <c r="AB5204" s="1"/>
      <c r="AC5204" s="20"/>
      <c r="AF5204" s="1"/>
      <c r="AG5204" s="20"/>
      <c r="AJ5204" s="1"/>
      <c r="AS5204" s="1"/>
      <c r="AT5204" s="20"/>
      <c r="AX5204" s="1"/>
    </row>
    <row r="5205" spans="1:50" x14ac:dyDescent="0.3">
      <c r="A5205" s="19">
        <f t="shared" si="409"/>
        <v>53202</v>
      </c>
      <c r="B5205">
        <f t="shared" ca="1" si="405"/>
        <v>-19.583333333333332</v>
      </c>
      <c r="C5205" t="str">
        <f ca="1">IF(currency="USD",'Future et co'!D5205,IF(currency="EUR",'Future et co'!E5205,IF(currency="GBP",'Future et co'!F5205,FALSE)))</f>
        <v>RFR USD</v>
      </c>
      <c r="D5205" t="str">
        <f t="shared" ca="1" si="406"/>
        <v>RFR USD</v>
      </c>
      <c r="E5205" t="str">
        <f t="shared" ca="1" si="407"/>
        <v>RFR EUR</v>
      </c>
      <c r="F5205" t="str">
        <f t="shared" ca="1" si="408"/>
        <v>RFR GBP</v>
      </c>
      <c r="J5205" s="1"/>
      <c r="K5205" s="20"/>
      <c r="N5205" s="1"/>
      <c r="O5205" s="20"/>
      <c r="R5205" s="1"/>
      <c r="AB5205" s="1"/>
      <c r="AC5205" s="20"/>
      <c r="AF5205" s="1"/>
      <c r="AG5205" s="20"/>
      <c r="AJ5205" s="1"/>
      <c r="AS5205" s="1"/>
      <c r="AT5205" s="20"/>
      <c r="AX5205" s="1"/>
    </row>
    <row r="5206" spans="1:50" x14ac:dyDescent="0.3">
      <c r="A5206" s="19">
        <f t="shared" si="409"/>
        <v>53203</v>
      </c>
      <c r="B5206">
        <f t="shared" ca="1" si="405"/>
        <v>-19.586111111111112</v>
      </c>
      <c r="C5206" t="str">
        <f ca="1">IF(currency="USD",'Future et co'!D5206,IF(currency="EUR",'Future et co'!E5206,IF(currency="GBP",'Future et co'!F5206,FALSE)))</f>
        <v>RFR USD</v>
      </c>
      <c r="D5206" t="str">
        <f t="shared" ca="1" si="406"/>
        <v>RFR USD</v>
      </c>
      <c r="E5206" t="str">
        <f t="shared" ca="1" si="407"/>
        <v>RFR EUR</v>
      </c>
      <c r="F5206" t="str">
        <f t="shared" ca="1" si="408"/>
        <v>RFR GBP</v>
      </c>
      <c r="J5206" s="1"/>
      <c r="K5206" s="20"/>
      <c r="N5206" s="1"/>
      <c r="O5206" s="20"/>
      <c r="R5206" s="1"/>
      <c r="AB5206" s="1"/>
      <c r="AC5206" s="20"/>
      <c r="AF5206" s="1"/>
      <c r="AG5206" s="20"/>
      <c r="AJ5206" s="1"/>
      <c r="AS5206" s="1"/>
      <c r="AT5206" s="20"/>
      <c r="AX5206" s="1"/>
    </row>
    <row r="5207" spans="1:50" x14ac:dyDescent="0.3">
      <c r="A5207" s="19">
        <f t="shared" si="409"/>
        <v>53204</v>
      </c>
      <c r="B5207">
        <f t="shared" ca="1" si="405"/>
        <v>-19.588888888888889</v>
      </c>
      <c r="C5207" t="str">
        <f ca="1">IF(currency="USD",'Future et co'!D5207,IF(currency="EUR",'Future et co'!E5207,IF(currency="GBP",'Future et co'!F5207,FALSE)))</f>
        <v>RFR USD</v>
      </c>
      <c r="D5207" t="str">
        <f t="shared" ca="1" si="406"/>
        <v>RFR USD</v>
      </c>
      <c r="E5207" t="str">
        <f t="shared" ca="1" si="407"/>
        <v>RFR EUR</v>
      </c>
      <c r="F5207" t="str">
        <f t="shared" ca="1" si="408"/>
        <v>RFR GBP</v>
      </c>
      <c r="J5207" s="1"/>
      <c r="K5207" s="20"/>
      <c r="N5207" s="1"/>
      <c r="O5207" s="20"/>
      <c r="R5207" s="1"/>
      <c r="AB5207" s="1"/>
      <c r="AC5207" s="20"/>
      <c r="AF5207" s="1"/>
      <c r="AG5207" s="20"/>
      <c r="AJ5207" s="1"/>
      <c r="AS5207" s="1"/>
      <c r="AT5207" s="20"/>
      <c r="AX5207" s="1"/>
    </row>
    <row r="5208" spans="1:50" x14ac:dyDescent="0.3">
      <c r="A5208" s="19">
        <f t="shared" si="409"/>
        <v>53205</v>
      </c>
      <c r="B5208">
        <f t="shared" ca="1" si="405"/>
        <v>-19.591666666666665</v>
      </c>
      <c r="C5208" t="str">
        <f ca="1">IF(currency="USD",'Future et co'!D5208,IF(currency="EUR",'Future et co'!E5208,IF(currency="GBP",'Future et co'!F5208,FALSE)))</f>
        <v>RFR USD</v>
      </c>
      <c r="D5208" t="str">
        <f t="shared" ca="1" si="406"/>
        <v>RFR USD</v>
      </c>
      <c r="E5208" t="str">
        <f t="shared" ca="1" si="407"/>
        <v>RFR EUR</v>
      </c>
      <c r="F5208" t="str">
        <f t="shared" ca="1" si="408"/>
        <v>RFR GBP</v>
      </c>
      <c r="J5208" s="1"/>
      <c r="K5208" s="20"/>
      <c r="N5208" s="1"/>
      <c r="O5208" s="20"/>
      <c r="R5208" s="1"/>
      <c r="AB5208" s="1"/>
      <c r="AC5208" s="20"/>
      <c r="AF5208" s="1"/>
      <c r="AG5208" s="20"/>
      <c r="AJ5208" s="1"/>
      <c r="AS5208" s="1"/>
      <c r="AT5208" s="20"/>
      <c r="AX5208" s="1"/>
    </row>
    <row r="5209" spans="1:50" x14ac:dyDescent="0.3">
      <c r="A5209" s="19">
        <f t="shared" si="409"/>
        <v>53206</v>
      </c>
      <c r="B5209">
        <f t="shared" ca="1" si="405"/>
        <v>-19.594444444444445</v>
      </c>
      <c r="C5209" t="str">
        <f ca="1">IF(currency="USD",'Future et co'!D5209,IF(currency="EUR",'Future et co'!E5209,IF(currency="GBP",'Future et co'!F5209,FALSE)))</f>
        <v>RFR USD</v>
      </c>
      <c r="D5209" t="str">
        <f t="shared" ca="1" si="406"/>
        <v>RFR USD</v>
      </c>
      <c r="E5209" t="str">
        <f t="shared" ca="1" si="407"/>
        <v>RFR EUR</v>
      </c>
      <c r="F5209" t="str">
        <f t="shared" ca="1" si="408"/>
        <v>RFR GBP</v>
      </c>
      <c r="J5209" s="1"/>
      <c r="K5209" s="20"/>
      <c r="N5209" s="1"/>
      <c r="O5209" s="20"/>
      <c r="R5209" s="1"/>
      <c r="AB5209" s="1"/>
      <c r="AC5209" s="20"/>
      <c r="AF5209" s="1"/>
      <c r="AG5209" s="20"/>
      <c r="AJ5209" s="1"/>
      <c r="AS5209" s="1"/>
      <c r="AT5209" s="20"/>
      <c r="AX5209" s="1"/>
    </row>
    <row r="5210" spans="1:50" x14ac:dyDescent="0.3">
      <c r="A5210" s="19">
        <f t="shared" si="409"/>
        <v>53209</v>
      </c>
      <c r="B5210">
        <f t="shared" ca="1" si="405"/>
        <v>-19.602777777777778</v>
      </c>
      <c r="C5210" t="str">
        <f ca="1">IF(currency="USD",'Future et co'!D5210,IF(currency="EUR",'Future et co'!E5210,IF(currency="GBP",'Future et co'!F5210,FALSE)))</f>
        <v>RFR USD</v>
      </c>
      <c r="D5210" t="str">
        <f t="shared" ca="1" si="406"/>
        <v>RFR USD</v>
      </c>
      <c r="E5210" t="str">
        <f t="shared" ca="1" si="407"/>
        <v>RFR EUR</v>
      </c>
      <c r="F5210" t="str">
        <f t="shared" ca="1" si="408"/>
        <v>RFR GBP</v>
      </c>
      <c r="J5210" s="1"/>
      <c r="K5210" s="20"/>
      <c r="N5210" s="1"/>
      <c r="O5210" s="20"/>
      <c r="R5210" s="1"/>
      <c r="AB5210" s="1"/>
      <c r="AC5210" s="20"/>
      <c r="AF5210" s="1"/>
      <c r="AG5210" s="20"/>
      <c r="AJ5210" s="1"/>
      <c r="AS5210" s="1"/>
      <c r="AT5210" s="20"/>
      <c r="AX5210" s="1"/>
    </row>
    <row r="5211" spans="1:50" x14ac:dyDescent="0.3">
      <c r="A5211" s="19">
        <f t="shared" si="409"/>
        <v>53210</v>
      </c>
      <c r="B5211">
        <f t="shared" ca="1" si="405"/>
        <v>-19.605555555555554</v>
      </c>
      <c r="C5211" t="str">
        <f ca="1">IF(currency="USD",'Future et co'!D5211,IF(currency="EUR",'Future et co'!E5211,IF(currency="GBP",'Future et co'!F5211,FALSE)))</f>
        <v>RFR USD</v>
      </c>
      <c r="D5211" t="str">
        <f t="shared" ca="1" si="406"/>
        <v>RFR USD</v>
      </c>
      <c r="E5211" t="str">
        <f t="shared" ca="1" si="407"/>
        <v>RFR EUR</v>
      </c>
      <c r="F5211" t="str">
        <f t="shared" ca="1" si="408"/>
        <v>RFR GBP</v>
      </c>
      <c r="J5211" s="1"/>
      <c r="K5211" s="20"/>
      <c r="N5211" s="1"/>
      <c r="O5211" s="20"/>
      <c r="R5211" s="1"/>
      <c r="AB5211" s="1"/>
      <c r="AC5211" s="20"/>
      <c r="AF5211" s="1"/>
      <c r="AG5211" s="20"/>
      <c r="AJ5211" s="1"/>
      <c r="AS5211" s="1"/>
      <c r="AT5211" s="20"/>
      <c r="AX5211" s="1"/>
    </row>
    <row r="5212" spans="1:50" x14ac:dyDescent="0.3">
      <c r="A5212" s="19">
        <f t="shared" si="409"/>
        <v>53211</v>
      </c>
      <c r="B5212">
        <f t="shared" ca="1" si="405"/>
        <v>-19.608333333333334</v>
      </c>
      <c r="C5212" t="str">
        <f ca="1">IF(currency="USD",'Future et co'!D5212,IF(currency="EUR",'Future et co'!E5212,IF(currency="GBP",'Future et co'!F5212,FALSE)))</f>
        <v>RFR USD</v>
      </c>
      <c r="D5212" t="str">
        <f t="shared" ca="1" si="406"/>
        <v>RFR USD</v>
      </c>
      <c r="E5212" t="str">
        <f t="shared" ca="1" si="407"/>
        <v>RFR EUR</v>
      </c>
      <c r="F5212" t="str">
        <f t="shared" ca="1" si="408"/>
        <v>RFR GBP</v>
      </c>
      <c r="J5212" s="1"/>
      <c r="K5212" s="20"/>
      <c r="N5212" s="1"/>
      <c r="O5212" s="20"/>
      <c r="R5212" s="1"/>
      <c r="AB5212" s="1"/>
      <c r="AC5212" s="20"/>
      <c r="AF5212" s="1"/>
      <c r="AG5212" s="20"/>
      <c r="AJ5212" s="1"/>
      <c r="AS5212" s="1"/>
      <c r="AT5212" s="20"/>
      <c r="AX5212" s="1"/>
    </row>
    <row r="5213" spans="1:50" x14ac:dyDescent="0.3">
      <c r="A5213" s="19">
        <f t="shared" si="409"/>
        <v>53212</v>
      </c>
      <c r="B5213">
        <f t="shared" ca="1" si="405"/>
        <v>-19.611111111111111</v>
      </c>
      <c r="C5213" t="str">
        <f ca="1">IF(currency="USD",'Future et co'!D5213,IF(currency="EUR",'Future et co'!E5213,IF(currency="GBP",'Future et co'!F5213,FALSE)))</f>
        <v>RFR USD</v>
      </c>
      <c r="D5213" t="str">
        <f t="shared" ca="1" si="406"/>
        <v>RFR USD</v>
      </c>
      <c r="E5213" t="str">
        <f t="shared" ca="1" si="407"/>
        <v>RFR EUR</v>
      </c>
      <c r="F5213" t="str">
        <f t="shared" ca="1" si="408"/>
        <v>RFR GBP</v>
      </c>
      <c r="J5213" s="1"/>
      <c r="K5213" s="20"/>
      <c r="N5213" s="1"/>
      <c r="O5213" s="20"/>
      <c r="R5213" s="1"/>
      <c r="AB5213" s="1"/>
      <c r="AC5213" s="20"/>
      <c r="AF5213" s="1"/>
      <c r="AG5213" s="20"/>
      <c r="AJ5213" s="1"/>
      <c r="AS5213" s="1"/>
      <c r="AT5213" s="20"/>
      <c r="AX5213" s="1"/>
    </row>
    <row r="5214" spans="1:50" x14ac:dyDescent="0.3">
      <c r="A5214" s="19">
        <f t="shared" si="409"/>
        <v>53213</v>
      </c>
      <c r="B5214">
        <f t="shared" ca="1" si="405"/>
        <v>-19.613888888888887</v>
      </c>
      <c r="C5214" t="str">
        <f ca="1">IF(currency="USD",'Future et co'!D5214,IF(currency="EUR",'Future et co'!E5214,IF(currency="GBP",'Future et co'!F5214,FALSE)))</f>
        <v>RFR USD</v>
      </c>
      <c r="D5214" t="str">
        <f t="shared" ca="1" si="406"/>
        <v>RFR USD</v>
      </c>
      <c r="E5214" t="str">
        <f t="shared" ca="1" si="407"/>
        <v>RFR EUR</v>
      </c>
      <c r="F5214" t="str">
        <f t="shared" ca="1" si="408"/>
        <v>RFR GBP</v>
      </c>
      <c r="J5214" s="1"/>
      <c r="K5214" s="20"/>
      <c r="N5214" s="1"/>
      <c r="O5214" s="20"/>
      <c r="R5214" s="1"/>
      <c r="AB5214" s="1"/>
      <c r="AC5214" s="20"/>
      <c r="AF5214" s="1"/>
      <c r="AG5214" s="20"/>
      <c r="AJ5214" s="1"/>
      <c r="AS5214" s="1"/>
      <c r="AT5214" s="20"/>
      <c r="AX5214" s="1"/>
    </row>
    <row r="5215" spans="1:50" x14ac:dyDescent="0.3">
      <c r="A5215" s="19">
        <f t="shared" si="409"/>
        <v>53216</v>
      </c>
      <c r="B5215">
        <f t="shared" ca="1" si="405"/>
        <v>-19.622222222222224</v>
      </c>
      <c r="C5215" t="str">
        <f ca="1">IF(currency="USD",'Future et co'!D5215,IF(currency="EUR",'Future et co'!E5215,IF(currency="GBP",'Future et co'!F5215,FALSE)))</f>
        <v>RFR USD</v>
      </c>
      <c r="D5215" t="str">
        <f t="shared" ca="1" si="406"/>
        <v>RFR USD</v>
      </c>
      <c r="E5215" t="str">
        <f t="shared" ca="1" si="407"/>
        <v>RFR EUR</v>
      </c>
      <c r="F5215" t="str">
        <f t="shared" ca="1" si="408"/>
        <v>RFR GBP</v>
      </c>
      <c r="J5215" s="1"/>
      <c r="K5215" s="20"/>
      <c r="N5215" s="1"/>
      <c r="O5215" s="20"/>
      <c r="R5215" s="1"/>
      <c r="AB5215" s="1"/>
      <c r="AC5215" s="20"/>
      <c r="AF5215" s="1"/>
      <c r="AG5215" s="20"/>
      <c r="AJ5215" s="1"/>
      <c r="AS5215" s="1"/>
      <c r="AT5215" s="20"/>
      <c r="AX5215" s="1"/>
    </row>
    <row r="5216" spans="1:50" x14ac:dyDescent="0.3">
      <c r="A5216" s="19">
        <f t="shared" si="409"/>
        <v>53217</v>
      </c>
      <c r="B5216">
        <f t="shared" ca="1" si="405"/>
        <v>-19.625</v>
      </c>
      <c r="C5216" t="str">
        <f ca="1">IF(currency="USD",'Future et co'!D5216,IF(currency="EUR",'Future et co'!E5216,IF(currency="GBP",'Future et co'!F5216,FALSE)))</f>
        <v>RFR USD</v>
      </c>
      <c r="D5216" t="str">
        <f t="shared" ca="1" si="406"/>
        <v>RFR USD</v>
      </c>
      <c r="E5216" t="str">
        <f t="shared" ca="1" si="407"/>
        <v>RFR EUR</v>
      </c>
      <c r="F5216" t="str">
        <f t="shared" ca="1" si="408"/>
        <v>RFR GBP</v>
      </c>
      <c r="J5216" s="1"/>
      <c r="K5216" s="20"/>
      <c r="N5216" s="1"/>
      <c r="O5216" s="20"/>
      <c r="R5216" s="1"/>
      <c r="AB5216" s="1"/>
      <c r="AC5216" s="20"/>
      <c r="AF5216" s="1"/>
      <c r="AG5216" s="20"/>
      <c r="AJ5216" s="1"/>
      <c r="AS5216" s="1"/>
      <c r="AT5216" s="20"/>
      <c r="AX5216" s="1"/>
    </row>
    <row r="5217" spans="1:50" x14ac:dyDescent="0.3">
      <c r="A5217" s="19">
        <f t="shared" si="409"/>
        <v>53218</v>
      </c>
      <c r="B5217">
        <f t="shared" ca="1" si="405"/>
        <v>-19.627777777777776</v>
      </c>
      <c r="C5217" t="str">
        <f ca="1">IF(currency="USD",'Future et co'!D5217,IF(currency="EUR",'Future et co'!E5217,IF(currency="GBP",'Future et co'!F5217,FALSE)))</f>
        <v>RFR USD</v>
      </c>
      <c r="D5217" t="str">
        <f t="shared" ca="1" si="406"/>
        <v>RFR USD</v>
      </c>
      <c r="E5217" t="str">
        <f t="shared" ca="1" si="407"/>
        <v>RFR EUR</v>
      </c>
      <c r="F5217" t="str">
        <f t="shared" ca="1" si="408"/>
        <v>RFR GBP</v>
      </c>
      <c r="J5217" s="1"/>
      <c r="K5217" s="20"/>
      <c r="N5217" s="1"/>
      <c r="O5217" s="20"/>
      <c r="R5217" s="1"/>
      <c r="AB5217" s="1"/>
      <c r="AC5217" s="20"/>
      <c r="AF5217" s="1"/>
      <c r="AG5217" s="20"/>
      <c r="AJ5217" s="1"/>
      <c r="AS5217" s="1"/>
      <c r="AT5217" s="20"/>
      <c r="AX5217" s="1"/>
    </row>
    <row r="5218" spans="1:50" x14ac:dyDescent="0.3">
      <c r="A5218" s="19">
        <f t="shared" si="409"/>
        <v>53219</v>
      </c>
      <c r="B5218">
        <f t="shared" ca="1" si="405"/>
        <v>-19.630555555555556</v>
      </c>
      <c r="C5218" t="str">
        <f ca="1">IF(currency="USD",'Future et co'!D5218,IF(currency="EUR",'Future et co'!E5218,IF(currency="GBP",'Future et co'!F5218,FALSE)))</f>
        <v>RFR USD</v>
      </c>
      <c r="D5218" t="str">
        <f t="shared" ca="1" si="406"/>
        <v>RFR USD</v>
      </c>
      <c r="E5218" t="str">
        <f t="shared" ca="1" si="407"/>
        <v>RFR EUR</v>
      </c>
      <c r="F5218" t="str">
        <f t="shared" ca="1" si="408"/>
        <v>RFR GBP</v>
      </c>
      <c r="J5218" s="1"/>
      <c r="K5218" s="20"/>
      <c r="N5218" s="1"/>
      <c r="O5218" s="20"/>
      <c r="R5218" s="1"/>
      <c r="AB5218" s="1"/>
      <c r="AC5218" s="20"/>
      <c r="AF5218" s="1"/>
      <c r="AG5218" s="20"/>
      <c r="AJ5218" s="1"/>
      <c r="AS5218" s="1"/>
      <c r="AT5218" s="20"/>
      <c r="AX5218" s="1"/>
    </row>
    <row r="5219" spans="1:50" x14ac:dyDescent="0.3">
      <c r="A5219" s="19">
        <f t="shared" si="409"/>
        <v>53220</v>
      </c>
      <c r="B5219">
        <f t="shared" ca="1" si="405"/>
        <v>-19.633333333333333</v>
      </c>
      <c r="C5219" t="str">
        <f ca="1">IF(currency="USD",'Future et co'!D5219,IF(currency="EUR",'Future et co'!E5219,IF(currency="GBP",'Future et co'!F5219,FALSE)))</f>
        <v>RFR USD</v>
      </c>
      <c r="D5219" t="str">
        <f t="shared" ca="1" si="406"/>
        <v>RFR USD</v>
      </c>
      <c r="E5219" t="str">
        <f t="shared" ca="1" si="407"/>
        <v>RFR EUR</v>
      </c>
      <c r="F5219" t="str">
        <f t="shared" ca="1" si="408"/>
        <v>RFR GBP</v>
      </c>
      <c r="J5219" s="1"/>
      <c r="K5219" s="20"/>
      <c r="N5219" s="1"/>
      <c r="O5219" s="20"/>
      <c r="R5219" s="1"/>
      <c r="AB5219" s="1"/>
      <c r="AC5219" s="20"/>
      <c r="AF5219" s="1"/>
      <c r="AG5219" s="20"/>
      <c r="AJ5219" s="1"/>
      <c r="AS5219" s="1"/>
      <c r="AT5219" s="20"/>
      <c r="AX5219" s="1"/>
    </row>
    <row r="5220" spans="1:50" x14ac:dyDescent="0.3">
      <c r="A5220" s="19">
        <f t="shared" si="409"/>
        <v>53223</v>
      </c>
      <c r="B5220">
        <f t="shared" ca="1" si="405"/>
        <v>-19.641666666666666</v>
      </c>
      <c r="C5220" t="str">
        <f ca="1">IF(currency="USD",'Future et co'!D5220,IF(currency="EUR",'Future et co'!E5220,IF(currency="GBP",'Future et co'!F5220,FALSE)))</f>
        <v>RFR USD</v>
      </c>
      <c r="D5220" t="str">
        <f t="shared" ca="1" si="406"/>
        <v>RFR USD</v>
      </c>
      <c r="E5220" t="str">
        <f t="shared" ca="1" si="407"/>
        <v>RFR EUR</v>
      </c>
      <c r="F5220" t="str">
        <f t="shared" ca="1" si="408"/>
        <v>RFR GBP</v>
      </c>
      <c r="J5220" s="1"/>
      <c r="K5220" s="20"/>
      <c r="N5220" s="1"/>
      <c r="O5220" s="20"/>
      <c r="R5220" s="1"/>
      <c r="AB5220" s="1"/>
      <c r="AC5220" s="20"/>
      <c r="AF5220" s="1"/>
      <c r="AG5220" s="20"/>
      <c r="AJ5220" s="1"/>
      <c r="AS5220" s="1"/>
      <c r="AT5220" s="20"/>
      <c r="AX5220" s="1"/>
    </row>
    <row r="5221" spans="1:50" x14ac:dyDescent="0.3">
      <c r="A5221" s="19">
        <f t="shared" si="409"/>
        <v>53224</v>
      </c>
      <c r="B5221">
        <f t="shared" ca="1" si="405"/>
        <v>-19.644444444444446</v>
      </c>
      <c r="C5221" t="str">
        <f ca="1">IF(currency="USD",'Future et co'!D5221,IF(currency="EUR",'Future et co'!E5221,IF(currency="GBP",'Future et co'!F5221,FALSE)))</f>
        <v>RFR USD</v>
      </c>
      <c r="D5221" t="str">
        <f t="shared" ca="1" si="406"/>
        <v>RFR USD</v>
      </c>
      <c r="E5221" t="str">
        <f t="shared" ca="1" si="407"/>
        <v>RFR EUR</v>
      </c>
      <c r="F5221" t="str">
        <f t="shared" ca="1" si="408"/>
        <v>RFR GBP</v>
      </c>
      <c r="J5221" s="1"/>
      <c r="K5221" s="20"/>
      <c r="N5221" s="1"/>
      <c r="O5221" s="20"/>
      <c r="R5221" s="1"/>
      <c r="AB5221" s="1"/>
      <c r="AC5221" s="20"/>
      <c r="AF5221" s="1"/>
      <c r="AG5221" s="20"/>
      <c r="AJ5221" s="1"/>
      <c r="AS5221" s="1"/>
      <c r="AT5221" s="20"/>
      <c r="AX5221" s="1"/>
    </row>
    <row r="5222" spans="1:50" x14ac:dyDescent="0.3">
      <c r="A5222" s="19">
        <f t="shared" si="409"/>
        <v>53225</v>
      </c>
      <c r="B5222">
        <f t="shared" ca="1" si="405"/>
        <v>-19.647222222222222</v>
      </c>
      <c r="C5222" t="str">
        <f ca="1">IF(currency="USD",'Future et co'!D5222,IF(currency="EUR",'Future et co'!E5222,IF(currency="GBP",'Future et co'!F5222,FALSE)))</f>
        <v>RFR USD</v>
      </c>
      <c r="D5222" t="str">
        <f t="shared" ca="1" si="406"/>
        <v>RFR USD</v>
      </c>
      <c r="E5222" t="str">
        <f t="shared" ca="1" si="407"/>
        <v>RFR EUR</v>
      </c>
      <c r="F5222" t="str">
        <f t="shared" ca="1" si="408"/>
        <v>RFR GBP</v>
      </c>
      <c r="J5222" s="1"/>
      <c r="K5222" s="20"/>
      <c r="N5222" s="1"/>
      <c r="O5222" s="20"/>
      <c r="R5222" s="1"/>
      <c r="AB5222" s="1"/>
      <c r="AC5222" s="20"/>
      <c r="AF5222" s="1"/>
      <c r="AG5222" s="20"/>
      <c r="AJ5222" s="1"/>
      <c r="AS5222" s="1"/>
      <c r="AT5222" s="20"/>
      <c r="AX5222" s="1"/>
    </row>
    <row r="5223" spans="1:50" x14ac:dyDescent="0.3">
      <c r="A5223" s="19">
        <f t="shared" si="409"/>
        <v>53226</v>
      </c>
      <c r="B5223">
        <f t="shared" ca="1" si="405"/>
        <v>-19.649999999999999</v>
      </c>
      <c r="C5223" t="str">
        <f ca="1">IF(currency="USD",'Future et co'!D5223,IF(currency="EUR",'Future et co'!E5223,IF(currency="GBP",'Future et co'!F5223,FALSE)))</f>
        <v>RFR USD</v>
      </c>
      <c r="D5223" t="str">
        <f t="shared" ca="1" si="406"/>
        <v>RFR USD</v>
      </c>
      <c r="E5223" t="str">
        <f t="shared" ca="1" si="407"/>
        <v>RFR EUR</v>
      </c>
      <c r="F5223" t="str">
        <f t="shared" ca="1" si="408"/>
        <v>RFR GBP</v>
      </c>
      <c r="J5223" s="1"/>
      <c r="K5223" s="20"/>
      <c r="N5223" s="1"/>
      <c r="O5223" s="20"/>
      <c r="R5223" s="1"/>
      <c r="AB5223" s="1"/>
      <c r="AC5223" s="20"/>
      <c r="AF5223" s="1"/>
      <c r="AG5223" s="20"/>
      <c r="AJ5223" s="1"/>
      <c r="AS5223" s="1"/>
      <c r="AT5223" s="20"/>
      <c r="AX5223" s="1"/>
    </row>
    <row r="5224" spans="1:50" x14ac:dyDescent="0.3">
      <c r="A5224" s="19">
        <f t="shared" si="409"/>
        <v>53227</v>
      </c>
      <c r="B5224">
        <f t="shared" ca="1" si="405"/>
        <v>-19.652777777777779</v>
      </c>
      <c r="C5224" t="str">
        <f ca="1">IF(currency="USD",'Future et co'!D5224,IF(currency="EUR",'Future et co'!E5224,IF(currency="GBP",'Future et co'!F5224,FALSE)))</f>
        <v>RFR USD</v>
      </c>
      <c r="D5224" t="str">
        <f t="shared" ca="1" si="406"/>
        <v>RFR USD</v>
      </c>
      <c r="E5224" t="str">
        <f t="shared" ca="1" si="407"/>
        <v>RFR EUR</v>
      </c>
      <c r="F5224" t="str">
        <f t="shared" ca="1" si="408"/>
        <v>RFR GBP</v>
      </c>
      <c r="J5224" s="1"/>
      <c r="K5224" s="20"/>
      <c r="N5224" s="1"/>
      <c r="O5224" s="20"/>
      <c r="R5224" s="1"/>
      <c r="AB5224" s="1"/>
      <c r="AC5224" s="20"/>
      <c r="AF5224" s="1"/>
      <c r="AG5224" s="20"/>
      <c r="AJ5224" s="1"/>
      <c r="AS5224" s="1"/>
      <c r="AT5224" s="20"/>
      <c r="AX5224" s="1"/>
    </row>
    <row r="5225" spans="1:50" x14ac:dyDescent="0.3">
      <c r="A5225" s="19">
        <f t="shared" si="409"/>
        <v>53230</v>
      </c>
      <c r="B5225">
        <f t="shared" ca="1" si="405"/>
        <v>-19.661111111111111</v>
      </c>
      <c r="C5225" t="str">
        <f ca="1">IF(currency="USD",'Future et co'!D5225,IF(currency="EUR",'Future et co'!E5225,IF(currency="GBP",'Future et co'!F5225,FALSE)))</f>
        <v>RFR USD</v>
      </c>
      <c r="D5225" t="str">
        <f t="shared" ca="1" si="406"/>
        <v>RFR USD</v>
      </c>
      <c r="E5225" t="str">
        <f t="shared" ca="1" si="407"/>
        <v>RFR EUR</v>
      </c>
      <c r="F5225" t="str">
        <f t="shared" ca="1" si="408"/>
        <v>RFR GBP</v>
      </c>
      <c r="J5225" s="1"/>
      <c r="K5225" s="20"/>
      <c r="N5225" s="1"/>
      <c r="O5225" s="20"/>
      <c r="R5225" s="1"/>
      <c r="AB5225" s="1"/>
      <c r="AC5225" s="20"/>
      <c r="AF5225" s="1"/>
      <c r="AG5225" s="20"/>
      <c r="AJ5225" s="1"/>
      <c r="AS5225" s="1"/>
      <c r="AT5225" s="20"/>
      <c r="AX5225" s="1"/>
    </row>
    <row r="5226" spans="1:50" x14ac:dyDescent="0.3">
      <c r="A5226" s="19">
        <f t="shared" si="409"/>
        <v>53231</v>
      </c>
      <c r="B5226">
        <f t="shared" ca="1" si="405"/>
        <v>-19.663888888888888</v>
      </c>
      <c r="C5226" t="str">
        <f ca="1">IF(currency="USD",'Future et co'!D5226,IF(currency="EUR",'Future et co'!E5226,IF(currency="GBP",'Future et co'!F5226,FALSE)))</f>
        <v>RFR USD</v>
      </c>
      <c r="D5226" t="str">
        <f t="shared" ca="1" si="406"/>
        <v>RFR USD</v>
      </c>
      <c r="E5226" t="str">
        <f t="shared" ca="1" si="407"/>
        <v>RFR EUR</v>
      </c>
      <c r="F5226" t="str">
        <f t="shared" ca="1" si="408"/>
        <v>RFR GBP</v>
      </c>
      <c r="J5226" s="1"/>
      <c r="K5226" s="20"/>
      <c r="N5226" s="1"/>
      <c r="O5226" s="20"/>
      <c r="R5226" s="1"/>
      <c r="AB5226" s="1"/>
      <c r="AC5226" s="20"/>
      <c r="AF5226" s="1"/>
      <c r="AG5226" s="20"/>
      <c r="AJ5226" s="1"/>
      <c r="AS5226" s="1"/>
      <c r="AT5226" s="20"/>
      <c r="AX5226" s="1"/>
    </row>
    <row r="5227" spans="1:50" x14ac:dyDescent="0.3">
      <c r="A5227" s="19">
        <f t="shared" si="409"/>
        <v>53232</v>
      </c>
      <c r="B5227">
        <f t="shared" ca="1" si="405"/>
        <v>-19.666666666666668</v>
      </c>
      <c r="C5227" t="str">
        <f ca="1">IF(currency="USD",'Future et co'!D5227,IF(currency="EUR",'Future et co'!E5227,IF(currency="GBP",'Future et co'!F5227,FALSE)))</f>
        <v>RFR USD</v>
      </c>
      <c r="D5227" t="str">
        <f t="shared" ca="1" si="406"/>
        <v>RFR USD</v>
      </c>
      <c r="E5227" t="str">
        <f t="shared" ca="1" si="407"/>
        <v>RFR EUR</v>
      </c>
      <c r="F5227" t="str">
        <f t="shared" ca="1" si="408"/>
        <v>RFR GBP</v>
      </c>
      <c r="J5227" s="1"/>
      <c r="K5227" s="20"/>
      <c r="N5227" s="1"/>
      <c r="O5227" s="20"/>
      <c r="R5227" s="1"/>
      <c r="AB5227" s="1"/>
      <c r="AC5227" s="20"/>
      <c r="AF5227" s="1"/>
      <c r="AG5227" s="20"/>
      <c r="AJ5227" s="1"/>
      <c r="AS5227" s="1"/>
      <c r="AT5227" s="20"/>
      <c r="AX5227" s="1"/>
    </row>
    <row r="5228" spans="1:50" x14ac:dyDescent="0.3">
      <c r="A5228" s="19">
        <f t="shared" si="409"/>
        <v>53233</v>
      </c>
      <c r="B5228">
        <f t="shared" ca="1" si="405"/>
        <v>-19.669444444444444</v>
      </c>
      <c r="C5228" t="str">
        <f ca="1">IF(currency="USD",'Future et co'!D5228,IF(currency="EUR",'Future et co'!E5228,IF(currency="GBP",'Future et co'!F5228,FALSE)))</f>
        <v>RFR USD</v>
      </c>
      <c r="D5228" t="str">
        <f t="shared" ca="1" si="406"/>
        <v>RFR USD</v>
      </c>
      <c r="E5228" t="str">
        <f t="shared" ca="1" si="407"/>
        <v>RFR EUR</v>
      </c>
      <c r="F5228" t="str">
        <f t="shared" ca="1" si="408"/>
        <v>RFR GBP</v>
      </c>
      <c r="J5228" s="1"/>
      <c r="K5228" s="20"/>
      <c r="N5228" s="1"/>
      <c r="O5228" s="20"/>
      <c r="R5228" s="1"/>
      <c r="AB5228" s="1"/>
      <c r="AC5228" s="20"/>
      <c r="AF5228" s="1"/>
      <c r="AG5228" s="20"/>
      <c r="AJ5228" s="1"/>
      <c r="AS5228" s="1"/>
      <c r="AT5228" s="20"/>
      <c r="AX5228" s="1"/>
    </row>
    <row r="5229" spans="1:50" x14ac:dyDescent="0.3">
      <c r="A5229" s="19">
        <f t="shared" si="409"/>
        <v>53234</v>
      </c>
      <c r="B5229">
        <f t="shared" ca="1" si="405"/>
        <v>-19.672222222222221</v>
      </c>
      <c r="C5229" t="str">
        <f ca="1">IF(currency="USD",'Future et co'!D5229,IF(currency="EUR",'Future et co'!E5229,IF(currency="GBP",'Future et co'!F5229,FALSE)))</f>
        <v>RFR USD</v>
      </c>
      <c r="D5229" t="str">
        <f t="shared" ca="1" si="406"/>
        <v>RFR USD</v>
      </c>
      <c r="E5229" t="str">
        <f t="shared" ca="1" si="407"/>
        <v>RFR EUR</v>
      </c>
      <c r="F5229" t="str">
        <f t="shared" ca="1" si="408"/>
        <v>RFR GBP</v>
      </c>
      <c r="J5229" s="1"/>
      <c r="K5229" s="20"/>
      <c r="N5229" s="1"/>
      <c r="O5229" s="20"/>
      <c r="R5229" s="1"/>
      <c r="AB5229" s="1"/>
      <c r="AC5229" s="20"/>
      <c r="AF5229" s="1"/>
      <c r="AG5229" s="20"/>
      <c r="AJ5229" s="1"/>
      <c r="AS5229" s="1"/>
      <c r="AT5229" s="20"/>
      <c r="AX5229" s="1"/>
    </row>
    <row r="5230" spans="1:50" x14ac:dyDescent="0.3">
      <c r="A5230" s="19">
        <f t="shared" si="409"/>
        <v>53237</v>
      </c>
      <c r="B5230">
        <f t="shared" ca="1" si="405"/>
        <v>-19.680555555555557</v>
      </c>
      <c r="C5230" t="str">
        <f ca="1">IF(currency="USD",'Future et co'!D5230,IF(currency="EUR",'Future et co'!E5230,IF(currency="GBP",'Future et co'!F5230,FALSE)))</f>
        <v>RFR USD</v>
      </c>
      <c r="D5230" t="str">
        <f t="shared" ca="1" si="406"/>
        <v>RFR USD</v>
      </c>
      <c r="E5230" t="str">
        <f t="shared" ca="1" si="407"/>
        <v>RFR EUR</v>
      </c>
      <c r="F5230" t="str">
        <f t="shared" ca="1" si="408"/>
        <v>RFR GBP</v>
      </c>
      <c r="J5230" s="1"/>
      <c r="K5230" s="20"/>
      <c r="N5230" s="1"/>
      <c r="O5230" s="20"/>
      <c r="R5230" s="1"/>
      <c r="AB5230" s="1"/>
      <c r="AC5230" s="20"/>
      <c r="AF5230" s="1"/>
      <c r="AG5230" s="20"/>
      <c r="AJ5230" s="1"/>
      <c r="AS5230" s="1"/>
      <c r="AT5230" s="20"/>
      <c r="AX5230" s="1"/>
    </row>
    <row r="5231" spans="1:50" x14ac:dyDescent="0.3">
      <c r="A5231" s="19">
        <f t="shared" si="409"/>
        <v>53238</v>
      </c>
      <c r="B5231">
        <f t="shared" ca="1" si="405"/>
        <v>-19.683333333333334</v>
      </c>
      <c r="C5231" t="str">
        <f ca="1">IF(currency="USD",'Future et co'!D5231,IF(currency="EUR",'Future et co'!E5231,IF(currency="GBP",'Future et co'!F5231,FALSE)))</f>
        <v>RFR USD</v>
      </c>
      <c r="D5231" t="str">
        <f t="shared" ca="1" si="406"/>
        <v>RFR USD</v>
      </c>
      <c r="E5231" t="str">
        <f t="shared" ca="1" si="407"/>
        <v>RFR EUR</v>
      </c>
      <c r="F5231" t="str">
        <f t="shared" ca="1" si="408"/>
        <v>RFR GBP</v>
      </c>
      <c r="J5231" s="1"/>
      <c r="K5231" s="20"/>
      <c r="N5231" s="1"/>
      <c r="O5231" s="20"/>
      <c r="R5231" s="1"/>
      <c r="AB5231" s="1"/>
      <c r="AC5231" s="20"/>
      <c r="AF5231" s="1"/>
      <c r="AG5231" s="20"/>
      <c r="AJ5231" s="1"/>
      <c r="AS5231" s="1"/>
      <c r="AT5231" s="20"/>
      <c r="AX5231" s="1"/>
    </row>
    <row r="5232" spans="1:50" x14ac:dyDescent="0.3">
      <c r="A5232" s="19">
        <f t="shared" si="409"/>
        <v>53239</v>
      </c>
      <c r="B5232">
        <f t="shared" ca="1" si="405"/>
        <v>-19.68611111111111</v>
      </c>
      <c r="C5232" t="str">
        <f ca="1">IF(currency="USD",'Future et co'!D5232,IF(currency="EUR",'Future et co'!E5232,IF(currency="GBP",'Future et co'!F5232,FALSE)))</f>
        <v>RFR USD</v>
      </c>
      <c r="D5232" t="str">
        <f t="shared" ca="1" si="406"/>
        <v>RFR USD</v>
      </c>
      <c r="E5232" t="str">
        <f t="shared" ca="1" si="407"/>
        <v>RFR EUR</v>
      </c>
      <c r="F5232" t="str">
        <f t="shared" ca="1" si="408"/>
        <v>RFR GBP</v>
      </c>
      <c r="J5232" s="1"/>
      <c r="K5232" s="20"/>
      <c r="N5232" s="1"/>
      <c r="O5232" s="20"/>
      <c r="R5232" s="1"/>
      <c r="AB5232" s="1"/>
      <c r="AC5232" s="20"/>
      <c r="AF5232" s="1"/>
      <c r="AG5232" s="20"/>
      <c r="AJ5232" s="1"/>
      <c r="AS5232" s="1"/>
      <c r="AT5232" s="20"/>
      <c r="AX5232" s="1"/>
    </row>
    <row r="5233" spans="1:50" x14ac:dyDescent="0.3">
      <c r="A5233" s="19">
        <f t="shared" si="409"/>
        <v>53240</v>
      </c>
      <c r="B5233">
        <f t="shared" ca="1" si="405"/>
        <v>-19.68888888888889</v>
      </c>
      <c r="C5233" t="str">
        <f ca="1">IF(currency="USD",'Future et co'!D5233,IF(currency="EUR",'Future et co'!E5233,IF(currency="GBP",'Future et co'!F5233,FALSE)))</f>
        <v>RFR USD</v>
      </c>
      <c r="D5233" t="str">
        <f t="shared" ca="1" si="406"/>
        <v>RFR USD</v>
      </c>
      <c r="E5233" t="str">
        <f t="shared" ca="1" si="407"/>
        <v>RFR EUR</v>
      </c>
      <c r="F5233" t="str">
        <f t="shared" ca="1" si="408"/>
        <v>RFR GBP</v>
      </c>
      <c r="J5233" s="1"/>
      <c r="K5233" s="20"/>
      <c r="N5233" s="1"/>
      <c r="O5233" s="20"/>
      <c r="R5233" s="1"/>
      <c r="AB5233" s="1"/>
      <c r="AC5233" s="20"/>
      <c r="AF5233" s="1"/>
      <c r="AG5233" s="20"/>
      <c r="AJ5233" s="1"/>
      <c r="AS5233" s="1"/>
      <c r="AT5233" s="20"/>
      <c r="AX5233" s="1"/>
    </row>
    <row r="5234" spans="1:50" x14ac:dyDescent="0.3">
      <c r="A5234" s="19">
        <f t="shared" si="409"/>
        <v>53241</v>
      </c>
      <c r="B5234">
        <f t="shared" ca="1" si="405"/>
        <v>-19.691666666666666</v>
      </c>
      <c r="C5234" t="str">
        <f ca="1">IF(currency="USD",'Future et co'!D5234,IF(currency="EUR",'Future et co'!E5234,IF(currency="GBP",'Future et co'!F5234,FALSE)))</f>
        <v>RFR USD</v>
      </c>
      <c r="D5234" t="str">
        <f t="shared" ca="1" si="406"/>
        <v>RFR USD</v>
      </c>
      <c r="E5234" t="str">
        <f t="shared" ca="1" si="407"/>
        <v>RFR EUR</v>
      </c>
      <c r="F5234" t="str">
        <f t="shared" ca="1" si="408"/>
        <v>RFR GBP</v>
      </c>
      <c r="J5234" s="1"/>
      <c r="K5234" s="20"/>
      <c r="N5234" s="1"/>
      <c r="O5234" s="20"/>
      <c r="R5234" s="1"/>
      <c r="AB5234" s="1"/>
      <c r="AC5234" s="20"/>
      <c r="AF5234" s="1"/>
      <c r="AG5234" s="20"/>
      <c r="AJ5234" s="1"/>
      <c r="AS5234" s="1"/>
      <c r="AT5234" s="20"/>
      <c r="AX5234" s="1"/>
    </row>
    <row r="5235" spans="1:50" x14ac:dyDescent="0.3">
      <c r="A5235" s="19">
        <f t="shared" si="409"/>
        <v>53244</v>
      </c>
      <c r="B5235">
        <f t="shared" ca="1" si="405"/>
        <v>-19.7</v>
      </c>
      <c r="C5235" t="str">
        <f ca="1">IF(currency="USD",'Future et co'!D5235,IF(currency="EUR",'Future et co'!E5235,IF(currency="GBP",'Future et co'!F5235,FALSE)))</f>
        <v>RFR USD</v>
      </c>
      <c r="D5235" t="str">
        <f t="shared" ca="1" si="406"/>
        <v>RFR USD</v>
      </c>
      <c r="E5235" t="str">
        <f t="shared" ca="1" si="407"/>
        <v>RFR EUR</v>
      </c>
      <c r="F5235" t="str">
        <f t="shared" ca="1" si="408"/>
        <v>RFR GBP</v>
      </c>
      <c r="J5235" s="1"/>
      <c r="K5235" s="20"/>
      <c r="N5235" s="1"/>
      <c r="O5235" s="20"/>
      <c r="R5235" s="1"/>
      <c r="AB5235" s="1"/>
      <c r="AC5235" s="20"/>
      <c r="AF5235" s="1"/>
      <c r="AG5235" s="20"/>
      <c r="AJ5235" s="1"/>
      <c r="AS5235" s="1"/>
      <c r="AT5235" s="20"/>
      <c r="AX5235" s="1"/>
    </row>
    <row r="5236" spans="1:50" x14ac:dyDescent="0.3">
      <c r="A5236" s="19">
        <f t="shared" si="409"/>
        <v>53245</v>
      </c>
      <c r="B5236">
        <f t="shared" ca="1" si="405"/>
        <v>-19.702777777777779</v>
      </c>
      <c r="C5236" t="str">
        <f ca="1">IF(currency="USD",'Future et co'!D5236,IF(currency="EUR",'Future et co'!E5236,IF(currency="GBP",'Future et co'!F5236,FALSE)))</f>
        <v>RFR USD</v>
      </c>
      <c r="D5236" t="str">
        <f t="shared" ca="1" si="406"/>
        <v>RFR USD</v>
      </c>
      <c r="E5236" t="str">
        <f t="shared" ca="1" si="407"/>
        <v>RFR EUR</v>
      </c>
      <c r="F5236" t="str">
        <f t="shared" ca="1" si="408"/>
        <v>RFR GBP</v>
      </c>
      <c r="J5236" s="1"/>
      <c r="K5236" s="20"/>
      <c r="N5236" s="1"/>
      <c r="O5236" s="20"/>
      <c r="R5236" s="1"/>
      <c r="AB5236" s="1"/>
      <c r="AC5236" s="20"/>
      <c r="AF5236" s="1"/>
      <c r="AG5236" s="20"/>
      <c r="AJ5236" s="1"/>
      <c r="AS5236" s="1"/>
      <c r="AT5236" s="20"/>
      <c r="AX5236" s="1"/>
    </row>
    <row r="5237" spans="1:50" x14ac:dyDescent="0.3">
      <c r="A5237" s="19">
        <f t="shared" si="409"/>
        <v>53246</v>
      </c>
      <c r="B5237">
        <f t="shared" ca="1" si="405"/>
        <v>-19.705555555555556</v>
      </c>
      <c r="C5237" t="str">
        <f ca="1">IF(currency="USD",'Future et co'!D5237,IF(currency="EUR",'Future et co'!E5237,IF(currency="GBP",'Future et co'!F5237,FALSE)))</f>
        <v>RFR USD</v>
      </c>
      <c r="D5237" t="str">
        <f t="shared" ca="1" si="406"/>
        <v>RFR USD</v>
      </c>
      <c r="E5237" t="str">
        <f t="shared" ca="1" si="407"/>
        <v>RFR EUR</v>
      </c>
      <c r="F5237" t="str">
        <f t="shared" ca="1" si="408"/>
        <v>RFR GBP</v>
      </c>
      <c r="J5237" s="1"/>
      <c r="K5237" s="20"/>
      <c r="N5237" s="1"/>
      <c r="O5237" s="20"/>
      <c r="R5237" s="1"/>
      <c r="AB5237" s="1"/>
      <c r="AC5237" s="20"/>
      <c r="AF5237" s="1"/>
      <c r="AG5237" s="20"/>
      <c r="AJ5237" s="1"/>
      <c r="AS5237" s="1"/>
      <c r="AT5237" s="20"/>
      <c r="AX5237" s="1"/>
    </row>
    <row r="5238" spans="1:50" x14ac:dyDescent="0.3">
      <c r="A5238" s="19">
        <f t="shared" si="409"/>
        <v>53247</v>
      </c>
      <c r="B5238">
        <f t="shared" ca="1" si="405"/>
        <v>-19.708333333333332</v>
      </c>
      <c r="C5238" t="str">
        <f ca="1">IF(currency="USD",'Future et co'!D5238,IF(currency="EUR",'Future et co'!E5238,IF(currency="GBP",'Future et co'!F5238,FALSE)))</f>
        <v>RFR USD</v>
      </c>
      <c r="D5238" t="str">
        <f t="shared" ca="1" si="406"/>
        <v>RFR USD</v>
      </c>
      <c r="E5238" t="str">
        <f t="shared" ca="1" si="407"/>
        <v>RFR EUR</v>
      </c>
      <c r="F5238" t="str">
        <f t="shared" ca="1" si="408"/>
        <v>RFR GBP</v>
      </c>
      <c r="J5238" s="1"/>
      <c r="K5238" s="20"/>
      <c r="N5238" s="1"/>
      <c r="O5238" s="20"/>
      <c r="R5238" s="1"/>
      <c r="AB5238" s="1"/>
      <c r="AC5238" s="20"/>
      <c r="AF5238" s="1"/>
      <c r="AG5238" s="20"/>
      <c r="AJ5238" s="1"/>
      <c r="AS5238" s="1"/>
      <c r="AT5238" s="20"/>
      <c r="AX5238" s="1"/>
    </row>
    <row r="5239" spans="1:50" x14ac:dyDescent="0.3">
      <c r="A5239" s="19">
        <f t="shared" si="409"/>
        <v>53248</v>
      </c>
      <c r="B5239">
        <f t="shared" ca="1" si="405"/>
        <v>-19.711111111111112</v>
      </c>
      <c r="C5239" t="str">
        <f ca="1">IF(currency="USD",'Future et co'!D5239,IF(currency="EUR",'Future et co'!E5239,IF(currency="GBP",'Future et co'!F5239,FALSE)))</f>
        <v>RFR USD</v>
      </c>
      <c r="D5239" t="str">
        <f t="shared" ca="1" si="406"/>
        <v>RFR USD</v>
      </c>
      <c r="E5239" t="str">
        <f t="shared" ca="1" si="407"/>
        <v>RFR EUR</v>
      </c>
      <c r="F5239" t="str">
        <f t="shared" ca="1" si="408"/>
        <v>RFR GBP</v>
      </c>
      <c r="J5239" s="1"/>
      <c r="K5239" s="20"/>
      <c r="N5239" s="1"/>
      <c r="O5239" s="20"/>
      <c r="R5239" s="1"/>
      <c r="AB5239" s="1"/>
      <c r="AC5239" s="20"/>
      <c r="AF5239" s="1"/>
      <c r="AG5239" s="20"/>
      <c r="AJ5239" s="1"/>
      <c r="AS5239" s="1"/>
      <c r="AT5239" s="20"/>
      <c r="AX5239" s="1"/>
    </row>
    <row r="5240" spans="1:50" x14ac:dyDescent="0.3">
      <c r="A5240" s="19">
        <f t="shared" si="409"/>
        <v>53251</v>
      </c>
      <c r="B5240">
        <f t="shared" ca="1" si="405"/>
        <v>-19.719444444444445</v>
      </c>
      <c r="C5240" t="str">
        <f ca="1">IF(currency="USD",'Future et co'!D5240,IF(currency="EUR",'Future et co'!E5240,IF(currency="GBP",'Future et co'!F5240,FALSE)))</f>
        <v>RFR USD</v>
      </c>
      <c r="D5240" t="str">
        <f t="shared" ca="1" si="406"/>
        <v>RFR USD</v>
      </c>
      <c r="E5240" t="str">
        <f t="shared" ca="1" si="407"/>
        <v>RFR EUR</v>
      </c>
      <c r="F5240" t="str">
        <f t="shared" ca="1" si="408"/>
        <v>RFR GBP</v>
      </c>
      <c r="J5240" s="1"/>
      <c r="K5240" s="20"/>
      <c r="N5240" s="1"/>
      <c r="O5240" s="20"/>
      <c r="R5240" s="1"/>
      <c r="AB5240" s="1"/>
      <c r="AC5240" s="20"/>
      <c r="AF5240" s="1"/>
      <c r="AG5240" s="20"/>
      <c r="AJ5240" s="1"/>
      <c r="AS5240" s="1"/>
      <c r="AT5240" s="20"/>
      <c r="AX5240" s="1"/>
    </row>
    <row r="5241" spans="1:50" x14ac:dyDescent="0.3">
      <c r="A5241" s="19">
        <f t="shared" si="409"/>
        <v>53252</v>
      </c>
      <c r="B5241">
        <f t="shared" ca="1" si="405"/>
        <v>-19.722222222222221</v>
      </c>
      <c r="C5241" t="str">
        <f ca="1">IF(currency="USD",'Future et co'!D5241,IF(currency="EUR",'Future et co'!E5241,IF(currency="GBP",'Future et co'!F5241,FALSE)))</f>
        <v>RFR USD</v>
      </c>
      <c r="D5241" t="str">
        <f t="shared" ca="1" si="406"/>
        <v>RFR USD</v>
      </c>
      <c r="E5241" t="str">
        <f t="shared" ca="1" si="407"/>
        <v>RFR EUR</v>
      </c>
      <c r="F5241" t="str">
        <f t="shared" ca="1" si="408"/>
        <v>RFR GBP</v>
      </c>
      <c r="J5241" s="1"/>
      <c r="K5241" s="20"/>
      <c r="N5241" s="1"/>
      <c r="O5241" s="20"/>
      <c r="R5241" s="1"/>
      <c r="AB5241" s="1"/>
      <c r="AC5241" s="20"/>
      <c r="AF5241" s="1"/>
      <c r="AG5241" s="20"/>
      <c r="AJ5241" s="1"/>
      <c r="AS5241" s="1"/>
      <c r="AT5241" s="20"/>
      <c r="AX5241" s="1"/>
    </row>
    <row r="5242" spans="1:50" x14ac:dyDescent="0.3">
      <c r="A5242" s="19">
        <f t="shared" si="409"/>
        <v>53253</v>
      </c>
      <c r="B5242">
        <f t="shared" ca="1" si="405"/>
        <v>-19.725000000000001</v>
      </c>
      <c r="C5242" t="str">
        <f ca="1">IF(currency="USD",'Future et co'!D5242,IF(currency="EUR",'Future et co'!E5242,IF(currency="GBP",'Future et co'!F5242,FALSE)))</f>
        <v>RFR USD</v>
      </c>
      <c r="D5242" t="str">
        <f t="shared" ca="1" si="406"/>
        <v>RFR USD</v>
      </c>
      <c r="E5242" t="str">
        <f t="shared" ca="1" si="407"/>
        <v>RFR EUR</v>
      </c>
      <c r="F5242" t="str">
        <f t="shared" ca="1" si="408"/>
        <v>RFR GBP</v>
      </c>
      <c r="J5242" s="1"/>
      <c r="K5242" s="20"/>
      <c r="N5242" s="1"/>
      <c r="O5242" s="20"/>
      <c r="R5242" s="1"/>
      <c r="AB5242" s="1"/>
      <c r="AC5242" s="20"/>
      <c r="AF5242" s="1"/>
      <c r="AG5242" s="20"/>
      <c r="AJ5242" s="1"/>
      <c r="AS5242" s="1"/>
      <c r="AT5242" s="20"/>
      <c r="AX5242" s="1"/>
    </row>
    <row r="5243" spans="1:50" x14ac:dyDescent="0.3">
      <c r="A5243" s="19">
        <f t="shared" si="409"/>
        <v>53254</v>
      </c>
      <c r="B5243">
        <f t="shared" ca="1" si="405"/>
        <v>-19.727777777777778</v>
      </c>
      <c r="C5243" t="str">
        <f ca="1">IF(currency="USD",'Future et co'!D5243,IF(currency="EUR",'Future et co'!E5243,IF(currency="GBP",'Future et co'!F5243,FALSE)))</f>
        <v>RFR USD</v>
      </c>
      <c r="D5243" t="str">
        <f t="shared" ca="1" si="406"/>
        <v>RFR USD</v>
      </c>
      <c r="E5243" t="str">
        <f t="shared" ca="1" si="407"/>
        <v>RFR EUR</v>
      </c>
      <c r="F5243" t="str">
        <f t="shared" ca="1" si="408"/>
        <v>RFR GBP</v>
      </c>
      <c r="J5243" s="1"/>
      <c r="K5243" s="20"/>
      <c r="N5243" s="1"/>
      <c r="O5243" s="20"/>
      <c r="R5243" s="1"/>
      <c r="AB5243" s="1"/>
      <c r="AC5243" s="20"/>
      <c r="AF5243" s="1"/>
      <c r="AG5243" s="20"/>
      <c r="AJ5243" s="1"/>
      <c r="AS5243" s="1"/>
      <c r="AT5243" s="20"/>
      <c r="AX5243" s="1"/>
    </row>
    <row r="5244" spans="1:50" x14ac:dyDescent="0.3">
      <c r="A5244" s="19">
        <f t="shared" si="409"/>
        <v>53255</v>
      </c>
      <c r="B5244">
        <f t="shared" ca="1" si="405"/>
        <v>-19.730555555555554</v>
      </c>
      <c r="C5244" t="str">
        <f ca="1">IF(currency="USD",'Future et co'!D5244,IF(currency="EUR",'Future et co'!E5244,IF(currency="GBP",'Future et co'!F5244,FALSE)))</f>
        <v>RFR USD</v>
      </c>
      <c r="D5244" t="str">
        <f t="shared" ca="1" si="406"/>
        <v>RFR USD</v>
      </c>
      <c r="E5244" t="str">
        <f t="shared" ca="1" si="407"/>
        <v>RFR EUR</v>
      </c>
      <c r="F5244" t="str">
        <f t="shared" ca="1" si="408"/>
        <v>RFR GBP</v>
      </c>
      <c r="J5244" s="1"/>
      <c r="K5244" s="20"/>
      <c r="N5244" s="1"/>
      <c r="O5244" s="20"/>
      <c r="R5244" s="1"/>
      <c r="AB5244" s="1"/>
      <c r="AC5244" s="20"/>
      <c r="AF5244" s="1"/>
      <c r="AG5244" s="20"/>
      <c r="AJ5244" s="1"/>
      <c r="AS5244" s="1"/>
      <c r="AT5244" s="20"/>
      <c r="AX5244" s="1"/>
    </row>
    <row r="5245" spans="1:50" x14ac:dyDescent="0.3">
      <c r="A5245" s="19">
        <f t="shared" si="409"/>
        <v>53258</v>
      </c>
      <c r="B5245">
        <f t="shared" ca="1" si="405"/>
        <v>-19.738888888888887</v>
      </c>
      <c r="C5245" t="str">
        <f ca="1">IF(currency="USD",'Future et co'!D5245,IF(currency="EUR",'Future et co'!E5245,IF(currency="GBP",'Future et co'!F5245,FALSE)))</f>
        <v>RFR USD</v>
      </c>
      <c r="D5245" t="str">
        <f t="shared" ca="1" si="406"/>
        <v>RFR USD</v>
      </c>
      <c r="E5245" t="str">
        <f t="shared" ca="1" si="407"/>
        <v>RFR EUR</v>
      </c>
      <c r="F5245" t="str">
        <f t="shared" ca="1" si="408"/>
        <v>RFR GBP</v>
      </c>
      <c r="J5245" s="1"/>
      <c r="K5245" s="20"/>
      <c r="N5245" s="1"/>
      <c r="O5245" s="20"/>
      <c r="R5245" s="1"/>
      <c r="AB5245" s="1"/>
      <c r="AC5245" s="20"/>
      <c r="AF5245" s="1"/>
      <c r="AG5245" s="20"/>
      <c r="AJ5245" s="1"/>
      <c r="AS5245" s="1"/>
      <c r="AT5245" s="20"/>
      <c r="AX5245" s="1"/>
    </row>
    <row r="5246" spans="1:50" x14ac:dyDescent="0.3">
      <c r="A5246" s="19">
        <f t="shared" si="409"/>
        <v>53259</v>
      </c>
      <c r="B5246">
        <f t="shared" ca="1" si="405"/>
        <v>-19.741666666666667</v>
      </c>
      <c r="C5246" t="str">
        <f ca="1">IF(currency="USD",'Future et co'!D5246,IF(currency="EUR",'Future et co'!E5246,IF(currency="GBP",'Future et co'!F5246,FALSE)))</f>
        <v>RFR USD</v>
      </c>
      <c r="D5246" t="str">
        <f t="shared" ca="1" si="406"/>
        <v>RFR USD</v>
      </c>
      <c r="E5246" t="str">
        <f t="shared" ca="1" si="407"/>
        <v>RFR EUR</v>
      </c>
      <c r="F5246" t="str">
        <f t="shared" ca="1" si="408"/>
        <v>RFR GBP</v>
      </c>
      <c r="J5246" s="1"/>
      <c r="K5246" s="20"/>
      <c r="N5246" s="1"/>
      <c r="O5246" s="20"/>
      <c r="R5246" s="1"/>
      <c r="AB5246" s="1"/>
      <c r="AC5246" s="20"/>
      <c r="AF5246" s="1"/>
      <c r="AG5246" s="20"/>
      <c r="AJ5246" s="1"/>
      <c r="AS5246" s="1"/>
      <c r="AT5246" s="20"/>
      <c r="AX5246" s="1"/>
    </row>
    <row r="5247" spans="1:50" x14ac:dyDescent="0.3">
      <c r="A5247" s="19">
        <f t="shared" si="409"/>
        <v>53260</v>
      </c>
      <c r="B5247">
        <f t="shared" ca="1" si="405"/>
        <v>-19.744444444444444</v>
      </c>
      <c r="C5247" t="str">
        <f ca="1">IF(currency="USD",'Future et co'!D5247,IF(currency="EUR",'Future et co'!E5247,IF(currency="GBP",'Future et co'!F5247,FALSE)))</f>
        <v>RFR USD</v>
      </c>
      <c r="D5247" t="str">
        <f t="shared" ca="1" si="406"/>
        <v>RFR USD</v>
      </c>
      <c r="E5247" t="str">
        <f t="shared" ca="1" si="407"/>
        <v>RFR EUR</v>
      </c>
      <c r="F5247" t="str">
        <f t="shared" ca="1" si="408"/>
        <v>RFR GBP</v>
      </c>
      <c r="J5247" s="1"/>
      <c r="K5247" s="20"/>
      <c r="N5247" s="1"/>
      <c r="O5247" s="20"/>
      <c r="R5247" s="1"/>
      <c r="AB5247" s="1"/>
      <c r="AC5247" s="20"/>
      <c r="AF5247" s="1"/>
      <c r="AG5247" s="20"/>
      <c r="AJ5247" s="1"/>
      <c r="AS5247" s="1"/>
      <c r="AT5247" s="20"/>
      <c r="AX5247" s="1"/>
    </row>
    <row r="5248" spans="1:50" x14ac:dyDescent="0.3">
      <c r="A5248" s="19">
        <f t="shared" si="409"/>
        <v>53261</v>
      </c>
      <c r="B5248">
        <f t="shared" ca="1" si="405"/>
        <v>-19.747222222222224</v>
      </c>
      <c r="C5248" t="str">
        <f ca="1">IF(currency="USD",'Future et co'!D5248,IF(currency="EUR",'Future et co'!E5248,IF(currency="GBP",'Future et co'!F5248,FALSE)))</f>
        <v>RFR USD</v>
      </c>
      <c r="D5248" t="str">
        <f t="shared" ca="1" si="406"/>
        <v>RFR USD</v>
      </c>
      <c r="E5248" t="str">
        <f t="shared" ca="1" si="407"/>
        <v>RFR EUR</v>
      </c>
      <c r="F5248" t="str">
        <f t="shared" ca="1" si="408"/>
        <v>RFR GBP</v>
      </c>
      <c r="J5248" s="1"/>
      <c r="K5248" s="20"/>
      <c r="N5248" s="1"/>
      <c r="O5248" s="20"/>
      <c r="R5248" s="1"/>
      <c r="AB5248" s="1"/>
      <c r="AC5248" s="20"/>
      <c r="AF5248" s="1"/>
      <c r="AG5248" s="20"/>
      <c r="AJ5248" s="1"/>
      <c r="AS5248" s="1"/>
      <c r="AT5248" s="20"/>
      <c r="AX5248" s="1"/>
    </row>
    <row r="5249" spans="1:50" x14ac:dyDescent="0.3">
      <c r="A5249" s="19">
        <f t="shared" si="409"/>
        <v>53262</v>
      </c>
      <c r="B5249">
        <f t="shared" ca="1" si="405"/>
        <v>-19.75</v>
      </c>
      <c r="C5249" t="str">
        <f ca="1">IF(currency="USD",'Future et co'!D5249,IF(currency="EUR",'Future et co'!E5249,IF(currency="GBP",'Future et co'!F5249,FALSE)))</f>
        <v>RFR USD</v>
      </c>
      <c r="D5249" t="str">
        <f t="shared" ca="1" si="406"/>
        <v>RFR USD</v>
      </c>
      <c r="E5249" t="str">
        <f t="shared" ca="1" si="407"/>
        <v>RFR EUR</v>
      </c>
      <c r="F5249" t="str">
        <f t="shared" ca="1" si="408"/>
        <v>RFR GBP</v>
      </c>
      <c r="J5249" s="1"/>
      <c r="K5249" s="20"/>
      <c r="N5249" s="1"/>
      <c r="O5249" s="20"/>
      <c r="R5249" s="1"/>
      <c r="AB5249" s="1"/>
      <c r="AC5249" s="20"/>
      <c r="AF5249" s="1"/>
      <c r="AG5249" s="20"/>
      <c r="AJ5249" s="1"/>
      <c r="AS5249" s="1"/>
      <c r="AT5249" s="20"/>
      <c r="AX5249" s="1"/>
    </row>
    <row r="5250" spans="1:50" x14ac:dyDescent="0.3">
      <c r="A5250" s="19">
        <f t="shared" si="409"/>
        <v>53265</v>
      </c>
      <c r="B5250">
        <f t="shared" ca="1" si="405"/>
        <v>-19.758333333333333</v>
      </c>
      <c r="C5250" t="str">
        <f ca="1">IF(currency="USD",'Future et co'!D5250,IF(currency="EUR",'Future et co'!E5250,IF(currency="GBP",'Future et co'!F5250,FALSE)))</f>
        <v>RFR USD</v>
      </c>
      <c r="D5250" t="str">
        <f t="shared" ca="1" si="406"/>
        <v>RFR USD</v>
      </c>
      <c r="E5250" t="str">
        <f t="shared" ca="1" si="407"/>
        <v>RFR EUR</v>
      </c>
      <c r="F5250" t="str">
        <f t="shared" ca="1" si="408"/>
        <v>RFR GBP</v>
      </c>
      <c r="J5250" s="1"/>
      <c r="K5250" s="20"/>
      <c r="N5250" s="1"/>
      <c r="O5250" s="20"/>
      <c r="R5250" s="1"/>
      <c r="AB5250" s="1"/>
      <c r="AC5250" s="20"/>
      <c r="AF5250" s="1"/>
      <c r="AG5250" s="20"/>
      <c r="AJ5250" s="1"/>
      <c r="AS5250" s="1"/>
      <c r="AT5250" s="20"/>
      <c r="AX5250" s="1"/>
    </row>
    <row r="5251" spans="1:50" x14ac:dyDescent="0.3">
      <c r="A5251" s="19">
        <f t="shared" si="409"/>
        <v>53266</v>
      </c>
      <c r="B5251">
        <f t="shared" ca="1" si="405"/>
        <v>-19.761111111111113</v>
      </c>
      <c r="C5251" t="str">
        <f ca="1">IF(currency="USD",'Future et co'!D5251,IF(currency="EUR",'Future et co'!E5251,IF(currency="GBP",'Future et co'!F5251,FALSE)))</f>
        <v>RFR USD</v>
      </c>
      <c r="D5251" t="str">
        <f t="shared" ca="1" si="406"/>
        <v>RFR USD</v>
      </c>
      <c r="E5251" t="str">
        <f t="shared" ca="1" si="407"/>
        <v>RFR EUR</v>
      </c>
      <c r="F5251" t="str">
        <f t="shared" ca="1" si="408"/>
        <v>RFR GBP</v>
      </c>
      <c r="J5251" s="1"/>
      <c r="K5251" s="20"/>
      <c r="N5251" s="1"/>
      <c r="O5251" s="20"/>
      <c r="R5251" s="1"/>
      <c r="AB5251" s="1"/>
      <c r="AC5251" s="20"/>
      <c r="AF5251" s="1"/>
      <c r="AG5251" s="20"/>
      <c r="AJ5251" s="1"/>
      <c r="AS5251" s="1"/>
      <c r="AT5251" s="20"/>
      <c r="AX5251" s="1"/>
    </row>
    <row r="5252" spans="1:50" x14ac:dyDescent="0.3">
      <c r="A5252" s="19">
        <f t="shared" si="409"/>
        <v>53267</v>
      </c>
      <c r="B5252">
        <f t="shared" ca="1" si="405"/>
        <v>-19.763888888888889</v>
      </c>
      <c r="C5252" t="str">
        <f ca="1">IF(currency="USD",'Future et co'!D5252,IF(currency="EUR",'Future et co'!E5252,IF(currency="GBP",'Future et co'!F5252,FALSE)))</f>
        <v>RFR USD</v>
      </c>
      <c r="D5252" t="str">
        <f t="shared" ca="1" si="406"/>
        <v>RFR USD</v>
      </c>
      <c r="E5252" t="str">
        <f t="shared" ca="1" si="407"/>
        <v>RFR EUR</v>
      </c>
      <c r="F5252" t="str">
        <f t="shared" ca="1" si="408"/>
        <v>RFR GBP</v>
      </c>
      <c r="J5252" s="1"/>
      <c r="K5252" s="20"/>
      <c r="N5252" s="1"/>
      <c r="O5252" s="20"/>
      <c r="R5252" s="1"/>
      <c r="AB5252" s="1"/>
      <c r="AC5252" s="20"/>
      <c r="AF5252" s="1"/>
      <c r="AG5252" s="20"/>
      <c r="AJ5252" s="1"/>
      <c r="AS5252" s="1"/>
      <c r="AT5252" s="20"/>
      <c r="AX5252" s="1"/>
    </row>
    <row r="5253" spans="1:50" x14ac:dyDescent="0.3">
      <c r="A5253" s="19">
        <f t="shared" si="409"/>
        <v>53268</v>
      </c>
      <c r="B5253">
        <f t="shared" ca="1" si="405"/>
        <v>-19.766666666666666</v>
      </c>
      <c r="C5253" t="str">
        <f ca="1">IF(currency="USD",'Future et co'!D5253,IF(currency="EUR",'Future et co'!E5253,IF(currency="GBP",'Future et co'!F5253,FALSE)))</f>
        <v>RFR USD</v>
      </c>
      <c r="D5253" t="str">
        <f t="shared" ca="1" si="406"/>
        <v>RFR USD</v>
      </c>
      <c r="E5253" t="str">
        <f t="shared" ca="1" si="407"/>
        <v>RFR EUR</v>
      </c>
      <c r="F5253" t="str">
        <f t="shared" ca="1" si="408"/>
        <v>RFR GBP</v>
      </c>
      <c r="J5253" s="1"/>
      <c r="K5253" s="20"/>
      <c r="N5253" s="1"/>
      <c r="O5253" s="20"/>
      <c r="R5253" s="1"/>
      <c r="AB5253" s="1"/>
      <c r="AC5253" s="20"/>
      <c r="AF5253" s="1"/>
      <c r="AG5253" s="20"/>
      <c r="AJ5253" s="1"/>
      <c r="AS5253" s="1"/>
      <c r="AT5253" s="20"/>
      <c r="AX5253" s="1"/>
    </row>
    <row r="5254" spans="1:50" x14ac:dyDescent="0.3">
      <c r="A5254" s="19">
        <f t="shared" si="409"/>
        <v>53269</v>
      </c>
      <c r="B5254">
        <f t="shared" ca="1" si="405"/>
        <v>-19.769444444444446</v>
      </c>
      <c r="C5254" t="str">
        <f ca="1">IF(currency="USD",'Future et co'!D5254,IF(currency="EUR",'Future et co'!E5254,IF(currency="GBP",'Future et co'!F5254,FALSE)))</f>
        <v>RFR USD</v>
      </c>
      <c r="D5254" t="str">
        <f t="shared" ca="1" si="406"/>
        <v>RFR USD</v>
      </c>
      <c r="E5254" t="str">
        <f t="shared" ca="1" si="407"/>
        <v>RFR EUR</v>
      </c>
      <c r="F5254" t="str">
        <f t="shared" ca="1" si="408"/>
        <v>RFR GBP</v>
      </c>
      <c r="J5254" s="1"/>
      <c r="K5254" s="20"/>
      <c r="N5254" s="1"/>
      <c r="O5254" s="20"/>
      <c r="R5254" s="1"/>
      <c r="AB5254" s="1"/>
      <c r="AC5254" s="20"/>
      <c r="AF5254" s="1"/>
      <c r="AG5254" s="20"/>
      <c r="AJ5254" s="1"/>
      <c r="AS5254" s="1"/>
      <c r="AT5254" s="20"/>
      <c r="AX5254" s="1"/>
    </row>
    <row r="5255" spans="1:50" x14ac:dyDescent="0.3">
      <c r="A5255" s="19">
        <f t="shared" si="409"/>
        <v>53272</v>
      </c>
      <c r="B5255">
        <f t="shared" ca="1" si="405"/>
        <v>-19.777777777777779</v>
      </c>
      <c r="C5255" t="str">
        <f ca="1">IF(currency="USD",'Future et co'!D5255,IF(currency="EUR",'Future et co'!E5255,IF(currency="GBP",'Future et co'!F5255,FALSE)))</f>
        <v>RFR USD</v>
      </c>
      <c r="D5255" t="str">
        <f t="shared" ca="1" si="406"/>
        <v>RFR USD</v>
      </c>
      <c r="E5255" t="str">
        <f t="shared" ca="1" si="407"/>
        <v>RFR EUR</v>
      </c>
      <c r="F5255" t="str">
        <f t="shared" ca="1" si="408"/>
        <v>RFR GBP</v>
      </c>
      <c r="J5255" s="1"/>
      <c r="K5255" s="20"/>
      <c r="N5255" s="1"/>
      <c r="O5255" s="20"/>
      <c r="R5255" s="1"/>
      <c r="AB5255" s="1"/>
      <c r="AC5255" s="20"/>
      <c r="AF5255" s="1"/>
      <c r="AG5255" s="20"/>
      <c r="AJ5255" s="1"/>
      <c r="AS5255" s="1"/>
      <c r="AT5255" s="20"/>
      <c r="AX5255" s="1"/>
    </row>
    <row r="5256" spans="1:50" x14ac:dyDescent="0.3">
      <c r="A5256" s="19">
        <f t="shared" si="409"/>
        <v>53273</v>
      </c>
      <c r="B5256">
        <f t="shared" ca="1" si="405"/>
        <v>-19.780555555555555</v>
      </c>
      <c r="C5256" t="str">
        <f ca="1">IF(currency="USD",'Future et co'!D5256,IF(currency="EUR",'Future et co'!E5256,IF(currency="GBP",'Future et co'!F5256,FALSE)))</f>
        <v>RFR USD</v>
      </c>
      <c r="D5256" t="str">
        <f t="shared" ca="1" si="406"/>
        <v>RFR USD</v>
      </c>
      <c r="E5256" t="str">
        <f t="shared" ca="1" si="407"/>
        <v>RFR EUR</v>
      </c>
      <c r="F5256" t="str">
        <f t="shared" ca="1" si="408"/>
        <v>RFR GBP</v>
      </c>
      <c r="J5256" s="1"/>
      <c r="K5256" s="20"/>
      <c r="N5256" s="1"/>
      <c r="O5256" s="20"/>
      <c r="R5256" s="1"/>
      <c r="AB5256" s="1"/>
      <c r="AC5256" s="20"/>
      <c r="AF5256" s="1"/>
      <c r="AG5256" s="20"/>
      <c r="AJ5256" s="1"/>
      <c r="AS5256" s="1"/>
      <c r="AT5256" s="20"/>
      <c r="AX5256" s="1"/>
    </row>
    <row r="5257" spans="1:50" x14ac:dyDescent="0.3">
      <c r="A5257" s="19">
        <f t="shared" si="409"/>
        <v>53274</v>
      </c>
      <c r="B5257">
        <f t="shared" ca="1" si="405"/>
        <v>-19.783333333333335</v>
      </c>
      <c r="C5257" t="str">
        <f ca="1">IF(currency="USD",'Future et co'!D5257,IF(currency="EUR",'Future et co'!E5257,IF(currency="GBP",'Future et co'!F5257,FALSE)))</f>
        <v>RFR USD</v>
      </c>
      <c r="D5257" t="str">
        <f t="shared" ca="1" si="406"/>
        <v>RFR USD</v>
      </c>
      <c r="E5257" t="str">
        <f t="shared" ca="1" si="407"/>
        <v>RFR EUR</v>
      </c>
      <c r="F5257" t="str">
        <f t="shared" ca="1" si="408"/>
        <v>RFR GBP</v>
      </c>
      <c r="J5257" s="1"/>
      <c r="K5257" s="20"/>
      <c r="N5257" s="1"/>
      <c r="O5257" s="20"/>
      <c r="R5257" s="1"/>
      <c r="AB5257" s="1"/>
      <c r="AC5257" s="20"/>
      <c r="AF5257" s="1"/>
      <c r="AG5257" s="20"/>
      <c r="AJ5257" s="1"/>
      <c r="AS5257" s="1"/>
      <c r="AT5257" s="20"/>
      <c r="AX5257" s="1"/>
    </row>
    <row r="5258" spans="1:50" x14ac:dyDescent="0.3">
      <c r="A5258" s="19">
        <f t="shared" si="409"/>
        <v>53275</v>
      </c>
      <c r="B5258">
        <f t="shared" ca="1" si="405"/>
        <v>-19.786111111111111</v>
      </c>
      <c r="C5258" t="str">
        <f ca="1">IF(currency="USD",'Future et co'!D5258,IF(currency="EUR",'Future et co'!E5258,IF(currency="GBP",'Future et co'!F5258,FALSE)))</f>
        <v>RFR USD</v>
      </c>
      <c r="D5258" t="str">
        <f t="shared" ca="1" si="406"/>
        <v>RFR USD</v>
      </c>
      <c r="E5258" t="str">
        <f t="shared" ca="1" si="407"/>
        <v>RFR EUR</v>
      </c>
      <c r="F5258" t="str">
        <f t="shared" ca="1" si="408"/>
        <v>RFR GBP</v>
      </c>
      <c r="J5258" s="1"/>
      <c r="K5258" s="20"/>
      <c r="N5258" s="1"/>
      <c r="O5258" s="20"/>
      <c r="R5258" s="1"/>
      <c r="AB5258" s="1"/>
      <c r="AC5258" s="20"/>
      <c r="AF5258" s="1"/>
      <c r="AG5258" s="20"/>
      <c r="AJ5258" s="1"/>
      <c r="AS5258" s="1"/>
      <c r="AT5258" s="20"/>
      <c r="AX5258" s="1"/>
    </row>
    <row r="5259" spans="1:50" x14ac:dyDescent="0.3">
      <c r="A5259" s="19">
        <f t="shared" si="409"/>
        <v>53276</v>
      </c>
      <c r="B5259">
        <f t="shared" ref="B5259:B5322" ca="1" si="410">($B$7-A5259)/360</f>
        <v>-19.788888888888888</v>
      </c>
      <c r="C5259" t="str">
        <f ca="1">IF(currency="USD",'Future et co'!D5259,IF(currency="EUR",'Future et co'!E5259,IF(currency="GBP",'Future et co'!F5259,FALSE)))</f>
        <v>RFR USD</v>
      </c>
      <c r="D5259" t="str">
        <f t="shared" ref="D5259:D5322" ca="1" si="411">IFERROR(IF(B5259&lt;0.25,VLOOKUP(A5259,$J$11:$L$5325,3,FALSE),IF(AND(B5259&gt;=0.25,B5259&lt;0.5),VLOOKUP(A5259,$N$11:$P$5325,3,FALSE),IF(AND(B5259&gt;=0.5,B5259&lt;1),VLOOKUP(A5259,$R$11:$T$5325,3,FALSE),VLOOKUP(A5259,$V$11:$X$5010,3,FALSE)))),D5258)</f>
        <v>RFR USD</v>
      </c>
      <c r="E5259" t="str">
        <f t="shared" ref="E5259:E5322" ca="1" si="412">IFERROR(IF(B5259&lt;0.25,VLOOKUP(A5259,$AF$11:$AH$5325,3,FALSE),IF(AND(B5259&gt;=0.25,B5259&lt;0.5),VLOOKUP(A5259,$AJ$11:$AL$5325,3,FALSE),VLOOKUP(A5259,$AN$11:$AP$5325,3,FALSE))),E5258)</f>
        <v>RFR EUR</v>
      </c>
      <c r="F5259" t="str">
        <f t="shared" ref="F5259:F5322" ca="1" si="413">IFERROR(VLOOKUP(A5259,$AS$11:$AU$9999,3,FALSE),F5258)</f>
        <v>RFR GBP</v>
      </c>
      <c r="J5259" s="1"/>
      <c r="K5259" s="20"/>
      <c r="N5259" s="1"/>
      <c r="O5259" s="20"/>
      <c r="R5259" s="1"/>
      <c r="AB5259" s="1"/>
      <c r="AC5259" s="20"/>
      <c r="AF5259" s="1"/>
      <c r="AG5259" s="20"/>
      <c r="AJ5259" s="1"/>
      <c r="AS5259" s="1"/>
      <c r="AT5259" s="20"/>
      <c r="AX5259" s="1"/>
    </row>
    <row r="5260" spans="1:50" x14ac:dyDescent="0.3">
      <c r="A5260" s="19">
        <f t="shared" si="409"/>
        <v>53279</v>
      </c>
      <c r="B5260">
        <f t="shared" ca="1" si="410"/>
        <v>-19.797222222222221</v>
      </c>
      <c r="C5260" t="str">
        <f ca="1">IF(currency="USD",'Future et co'!D5260,IF(currency="EUR",'Future et co'!E5260,IF(currency="GBP",'Future et co'!F5260,FALSE)))</f>
        <v>RFR USD</v>
      </c>
      <c r="D5260" t="str">
        <f t="shared" ca="1" si="411"/>
        <v>RFR USD</v>
      </c>
      <c r="E5260" t="str">
        <f t="shared" ca="1" si="412"/>
        <v>RFR EUR</v>
      </c>
      <c r="F5260" t="str">
        <f t="shared" ca="1" si="413"/>
        <v>RFR GBP</v>
      </c>
      <c r="J5260" s="1"/>
      <c r="K5260" s="20"/>
      <c r="N5260" s="1"/>
      <c r="O5260" s="20"/>
      <c r="R5260" s="1"/>
      <c r="AB5260" s="1"/>
      <c r="AC5260" s="20"/>
      <c r="AF5260" s="1"/>
      <c r="AG5260" s="20"/>
      <c r="AJ5260" s="1"/>
      <c r="AS5260" s="1"/>
      <c r="AT5260" s="20"/>
      <c r="AX5260" s="1"/>
    </row>
    <row r="5261" spans="1:50" x14ac:dyDescent="0.3">
      <c r="A5261" s="19">
        <f t="shared" ref="A5261:A5324" si="414">WORKDAY(A5260,1)</f>
        <v>53280</v>
      </c>
      <c r="B5261">
        <f t="shared" ca="1" si="410"/>
        <v>-19.8</v>
      </c>
      <c r="C5261" t="str">
        <f ca="1">IF(currency="USD",'Future et co'!D5261,IF(currency="EUR",'Future et co'!E5261,IF(currency="GBP",'Future et co'!F5261,FALSE)))</f>
        <v>RFR USD</v>
      </c>
      <c r="D5261" t="str">
        <f t="shared" ca="1" si="411"/>
        <v>RFR USD</v>
      </c>
      <c r="E5261" t="str">
        <f t="shared" ca="1" si="412"/>
        <v>RFR EUR</v>
      </c>
      <c r="F5261" t="str">
        <f t="shared" ca="1" si="413"/>
        <v>RFR GBP</v>
      </c>
      <c r="J5261" s="1"/>
      <c r="K5261" s="20"/>
      <c r="N5261" s="1"/>
      <c r="O5261" s="20"/>
      <c r="R5261" s="1"/>
      <c r="AB5261" s="1"/>
      <c r="AC5261" s="20"/>
      <c r="AF5261" s="1"/>
      <c r="AG5261" s="20"/>
      <c r="AJ5261" s="1"/>
      <c r="AS5261" s="1"/>
      <c r="AT5261" s="20"/>
      <c r="AX5261" s="1"/>
    </row>
    <row r="5262" spans="1:50" x14ac:dyDescent="0.3">
      <c r="A5262" s="19">
        <f t="shared" si="414"/>
        <v>53281</v>
      </c>
      <c r="B5262">
        <f t="shared" ca="1" si="410"/>
        <v>-19.802777777777777</v>
      </c>
      <c r="C5262" t="str">
        <f ca="1">IF(currency="USD",'Future et co'!D5262,IF(currency="EUR",'Future et co'!E5262,IF(currency="GBP",'Future et co'!F5262,FALSE)))</f>
        <v>RFR USD</v>
      </c>
      <c r="D5262" t="str">
        <f t="shared" ca="1" si="411"/>
        <v>RFR USD</v>
      </c>
      <c r="E5262" t="str">
        <f t="shared" ca="1" si="412"/>
        <v>RFR EUR</v>
      </c>
      <c r="F5262" t="str">
        <f t="shared" ca="1" si="413"/>
        <v>RFR GBP</v>
      </c>
      <c r="J5262" s="1"/>
      <c r="K5262" s="20"/>
      <c r="N5262" s="1"/>
      <c r="O5262" s="20"/>
      <c r="R5262" s="1"/>
      <c r="AB5262" s="1"/>
      <c r="AC5262" s="20"/>
      <c r="AF5262" s="1"/>
      <c r="AG5262" s="20"/>
      <c r="AJ5262" s="1"/>
      <c r="AS5262" s="1"/>
      <c r="AT5262" s="20"/>
      <c r="AX5262" s="1"/>
    </row>
    <row r="5263" spans="1:50" x14ac:dyDescent="0.3">
      <c r="A5263" s="19">
        <f t="shared" si="414"/>
        <v>53282</v>
      </c>
      <c r="B5263">
        <f t="shared" ca="1" si="410"/>
        <v>-19.805555555555557</v>
      </c>
      <c r="C5263" t="str">
        <f ca="1">IF(currency="USD",'Future et co'!D5263,IF(currency="EUR",'Future et co'!E5263,IF(currency="GBP",'Future et co'!F5263,FALSE)))</f>
        <v>RFR USD</v>
      </c>
      <c r="D5263" t="str">
        <f t="shared" ca="1" si="411"/>
        <v>RFR USD</v>
      </c>
      <c r="E5263" t="str">
        <f t="shared" ca="1" si="412"/>
        <v>RFR EUR</v>
      </c>
      <c r="F5263" t="str">
        <f t="shared" ca="1" si="413"/>
        <v>RFR GBP</v>
      </c>
      <c r="J5263" s="1"/>
      <c r="K5263" s="20"/>
      <c r="N5263" s="1"/>
      <c r="O5263" s="20"/>
      <c r="R5263" s="1"/>
      <c r="AB5263" s="1"/>
      <c r="AC5263" s="20"/>
      <c r="AF5263" s="1"/>
      <c r="AG5263" s="20"/>
      <c r="AJ5263" s="1"/>
      <c r="AS5263" s="1"/>
      <c r="AT5263" s="20"/>
      <c r="AX5263" s="1"/>
    </row>
    <row r="5264" spans="1:50" x14ac:dyDescent="0.3">
      <c r="A5264" s="19">
        <f t="shared" si="414"/>
        <v>53283</v>
      </c>
      <c r="B5264">
        <f t="shared" ca="1" si="410"/>
        <v>-19.808333333333334</v>
      </c>
      <c r="C5264" t="str">
        <f ca="1">IF(currency="USD",'Future et co'!D5264,IF(currency="EUR",'Future et co'!E5264,IF(currency="GBP",'Future et co'!F5264,FALSE)))</f>
        <v>RFR USD</v>
      </c>
      <c r="D5264" t="str">
        <f t="shared" ca="1" si="411"/>
        <v>RFR USD</v>
      </c>
      <c r="E5264" t="str">
        <f t="shared" ca="1" si="412"/>
        <v>RFR EUR</v>
      </c>
      <c r="F5264" t="str">
        <f t="shared" ca="1" si="413"/>
        <v>RFR GBP</v>
      </c>
      <c r="J5264" s="1"/>
      <c r="K5264" s="20"/>
      <c r="N5264" s="1"/>
      <c r="O5264" s="20"/>
      <c r="R5264" s="1"/>
      <c r="AB5264" s="1"/>
      <c r="AC5264" s="20"/>
      <c r="AF5264" s="1"/>
      <c r="AG5264" s="20"/>
      <c r="AJ5264" s="1"/>
      <c r="AS5264" s="1"/>
      <c r="AT5264" s="20"/>
      <c r="AX5264" s="1"/>
    </row>
    <row r="5265" spans="1:50" x14ac:dyDescent="0.3">
      <c r="A5265" s="19">
        <f t="shared" si="414"/>
        <v>53286</v>
      </c>
      <c r="B5265">
        <f t="shared" ca="1" si="410"/>
        <v>-19.816666666666666</v>
      </c>
      <c r="C5265" t="str">
        <f ca="1">IF(currency="USD",'Future et co'!D5265,IF(currency="EUR",'Future et co'!E5265,IF(currency="GBP",'Future et co'!F5265,FALSE)))</f>
        <v>RFR USD</v>
      </c>
      <c r="D5265" t="str">
        <f t="shared" ca="1" si="411"/>
        <v>RFR USD</v>
      </c>
      <c r="E5265" t="str">
        <f t="shared" ca="1" si="412"/>
        <v>RFR EUR</v>
      </c>
      <c r="F5265" t="str">
        <f t="shared" ca="1" si="413"/>
        <v>RFR GBP</v>
      </c>
      <c r="J5265" s="1"/>
      <c r="K5265" s="20"/>
      <c r="N5265" s="1"/>
      <c r="O5265" s="20"/>
      <c r="R5265" s="1"/>
      <c r="AB5265" s="1"/>
      <c r="AC5265" s="20"/>
      <c r="AF5265" s="1"/>
      <c r="AG5265" s="20"/>
      <c r="AJ5265" s="1"/>
      <c r="AS5265" s="1"/>
      <c r="AT5265" s="20"/>
      <c r="AX5265" s="1"/>
    </row>
    <row r="5266" spans="1:50" x14ac:dyDescent="0.3">
      <c r="A5266" s="19">
        <f t="shared" si="414"/>
        <v>53287</v>
      </c>
      <c r="B5266">
        <f t="shared" ca="1" si="410"/>
        <v>-19.819444444444443</v>
      </c>
      <c r="C5266" t="str">
        <f ca="1">IF(currency="USD",'Future et co'!D5266,IF(currency="EUR",'Future et co'!E5266,IF(currency="GBP",'Future et co'!F5266,FALSE)))</f>
        <v>RFR USD</v>
      </c>
      <c r="D5266" t="str">
        <f t="shared" ca="1" si="411"/>
        <v>RFR USD</v>
      </c>
      <c r="E5266" t="str">
        <f t="shared" ca="1" si="412"/>
        <v>RFR EUR</v>
      </c>
      <c r="F5266" t="str">
        <f t="shared" ca="1" si="413"/>
        <v>RFR GBP</v>
      </c>
      <c r="J5266" s="1"/>
      <c r="K5266" s="20"/>
      <c r="N5266" s="1"/>
      <c r="O5266" s="20"/>
      <c r="R5266" s="1"/>
      <c r="AB5266" s="1"/>
      <c r="AC5266" s="20"/>
      <c r="AF5266" s="1"/>
      <c r="AG5266" s="20"/>
      <c r="AJ5266" s="1"/>
      <c r="AS5266" s="1"/>
      <c r="AT5266" s="20"/>
      <c r="AX5266" s="1"/>
    </row>
    <row r="5267" spans="1:50" x14ac:dyDescent="0.3">
      <c r="A5267" s="19">
        <f t="shared" si="414"/>
        <v>53288</v>
      </c>
      <c r="B5267">
        <f t="shared" ca="1" si="410"/>
        <v>-19.822222222222223</v>
      </c>
      <c r="C5267" t="str">
        <f ca="1">IF(currency="USD",'Future et co'!D5267,IF(currency="EUR",'Future et co'!E5267,IF(currency="GBP",'Future et co'!F5267,FALSE)))</f>
        <v>RFR USD</v>
      </c>
      <c r="D5267" t="str">
        <f t="shared" ca="1" si="411"/>
        <v>RFR USD</v>
      </c>
      <c r="E5267" t="str">
        <f t="shared" ca="1" si="412"/>
        <v>RFR EUR</v>
      </c>
      <c r="F5267" t="str">
        <f t="shared" ca="1" si="413"/>
        <v>RFR GBP</v>
      </c>
      <c r="J5267" s="1"/>
      <c r="K5267" s="20"/>
      <c r="N5267" s="1"/>
      <c r="O5267" s="20"/>
      <c r="R5267" s="1"/>
      <c r="AB5267" s="1"/>
      <c r="AC5267" s="20"/>
      <c r="AF5267" s="1"/>
      <c r="AG5267" s="20"/>
      <c r="AJ5267" s="1"/>
      <c r="AS5267" s="1"/>
      <c r="AT5267" s="20"/>
      <c r="AX5267" s="1"/>
    </row>
    <row r="5268" spans="1:50" x14ac:dyDescent="0.3">
      <c r="A5268" s="19">
        <f t="shared" si="414"/>
        <v>53289</v>
      </c>
      <c r="B5268">
        <f t="shared" ca="1" si="410"/>
        <v>-19.824999999999999</v>
      </c>
      <c r="C5268" t="str">
        <f ca="1">IF(currency="USD",'Future et co'!D5268,IF(currency="EUR",'Future et co'!E5268,IF(currency="GBP",'Future et co'!F5268,FALSE)))</f>
        <v>RFR USD</v>
      </c>
      <c r="D5268" t="str">
        <f t="shared" ca="1" si="411"/>
        <v>RFR USD</v>
      </c>
      <c r="E5268" t="str">
        <f t="shared" ca="1" si="412"/>
        <v>RFR EUR</v>
      </c>
      <c r="F5268" t="str">
        <f t="shared" ca="1" si="413"/>
        <v>RFR GBP</v>
      </c>
      <c r="J5268" s="1"/>
      <c r="K5268" s="20"/>
      <c r="N5268" s="1"/>
      <c r="O5268" s="20"/>
      <c r="R5268" s="1"/>
      <c r="AB5268" s="1"/>
      <c r="AC5268" s="20"/>
      <c r="AF5268" s="1"/>
      <c r="AG5268" s="20"/>
      <c r="AJ5268" s="1"/>
      <c r="AS5268" s="1"/>
      <c r="AT5268" s="20"/>
      <c r="AX5268" s="1"/>
    </row>
    <row r="5269" spans="1:50" x14ac:dyDescent="0.3">
      <c r="A5269" s="19">
        <f t="shared" si="414"/>
        <v>53290</v>
      </c>
      <c r="B5269">
        <f t="shared" ca="1" si="410"/>
        <v>-19.827777777777779</v>
      </c>
      <c r="C5269" t="str">
        <f ca="1">IF(currency="USD",'Future et co'!D5269,IF(currency="EUR",'Future et co'!E5269,IF(currency="GBP",'Future et co'!F5269,FALSE)))</f>
        <v>RFR USD</v>
      </c>
      <c r="D5269" t="str">
        <f t="shared" ca="1" si="411"/>
        <v>RFR USD</v>
      </c>
      <c r="E5269" t="str">
        <f t="shared" ca="1" si="412"/>
        <v>RFR EUR</v>
      </c>
      <c r="F5269" t="str">
        <f t="shared" ca="1" si="413"/>
        <v>RFR GBP</v>
      </c>
      <c r="J5269" s="1"/>
      <c r="K5269" s="20"/>
      <c r="N5269" s="1"/>
      <c r="O5269" s="20"/>
      <c r="R5269" s="1"/>
      <c r="AB5269" s="1"/>
      <c r="AC5269" s="20"/>
      <c r="AF5269" s="1"/>
      <c r="AG5269" s="20"/>
      <c r="AJ5269" s="1"/>
      <c r="AS5269" s="1"/>
      <c r="AT5269" s="20"/>
      <c r="AX5269" s="1"/>
    </row>
    <row r="5270" spans="1:50" x14ac:dyDescent="0.3">
      <c r="A5270" s="19">
        <f t="shared" si="414"/>
        <v>53293</v>
      </c>
      <c r="B5270">
        <f t="shared" ca="1" si="410"/>
        <v>-19.836111111111112</v>
      </c>
      <c r="C5270" t="str">
        <f ca="1">IF(currency="USD",'Future et co'!D5270,IF(currency="EUR",'Future et co'!E5270,IF(currency="GBP",'Future et co'!F5270,FALSE)))</f>
        <v>RFR USD</v>
      </c>
      <c r="D5270" t="str">
        <f t="shared" ca="1" si="411"/>
        <v>RFR USD</v>
      </c>
      <c r="E5270" t="str">
        <f t="shared" ca="1" si="412"/>
        <v>RFR EUR</v>
      </c>
      <c r="F5270" t="str">
        <f t="shared" ca="1" si="413"/>
        <v>RFR GBP</v>
      </c>
      <c r="J5270" s="1"/>
      <c r="K5270" s="20"/>
      <c r="N5270" s="1"/>
      <c r="O5270" s="20"/>
      <c r="R5270" s="1"/>
      <c r="AB5270" s="1"/>
      <c r="AC5270" s="20"/>
      <c r="AF5270" s="1"/>
      <c r="AG5270" s="20"/>
      <c r="AJ5270" s="1"/>
      <c r="AS5270" s="1"/>
      <c r="AT5270" s="20"/>
      <c r="AX5270" s="1"/>
    </row>
    <row r="5271" spans="1:50" x14ac:dyDescent="0.3">
      <c r="A5271" s="19">
        <f t="shared" si="414"/>
        <v>53294</v>
      </c>
      <c r="B5271">
        <f t="shared" ca="1" si="410"/>
        <v>-19.838888888888889</v>
      </c>
      <c r="C5271" t="str">
        <f ca="1">IF(currency="USD",'Future et co'!D5271,IF(currency="EUR",'Future et co'!E5271,IF(currency="GBP",'Future et co'!F5271,FALSE)))</f>
        <v>RFR USD</v>
      </c>
      <c r="D5271" t="str">
        <f t="shared" ca="1" si="411"/>
        <v>RFR USD</v>
      </c>
      <c r="E5271" t="str">
        <f t="shared" ca="1" si="412"/>
        <v>RFR EUR</v>
      </c>
      <c r="F5271" t="str">
        <f t="shared" ca="1" si="413"/>
        <v>RFR GBP</v>
      </c>
      <c r="J5271" s="1"/>
      <c r="K5271" s="20"/>
      <c r="N5271" s="1"/>
      <c r="O5271" s="20"/>
      <c r="R5271" s="1"/>
      <c r="AB5271" s="1"/>
      <c r="AC5271" s="20"/>
      <c r="AF5271" s="1"/>
      <c r="AG5271" s="20"/>
      <c r="AJ5271" s="1"/>
      <c r="AS5271" s="1"/>
      <c r="AT5271" s="20"/>
      <c r="AX5271" s="1"/>
    </row>
    <row r="5272" spans="1:50" x14ac:dyDescent="0.3">
      <c r="A5272" s="19">
        <f t="shared" si="414"/>
        <v>53295</v>
      </c>
      <c r="B5272">
        <f t="shared" ca="1" si="410"/>
        <v>-19.841666666666665</v>
      </c>
      <c r="C5272" t="str">
        <f ca="1">IF(currency="USD",'Future et co'!D5272,IF(currency="EUR",'Future et co'!E5272,IF(currency="GBP",'Future et co'!F5272,FALSE)))</f>
        <v>RFR USD</v>
      </c>
      <c r="D5272" t="str">
        <f t="shared" ca="1" si="411"/>
        <v>RFR USD</v>
      </c>
      <c r="E5272" t="str">
        <f t="shared" ca="1" si="412"/>
        <v>RFR EUR</v>
      </c>
      <c r="F5272" t="str">
        <f t="shared" ca="1" si="413"/>
        <v>RFR GBP</v>
      </c>
      <c r="J5272" s="1"/>
      <c r="K5272" s="20"/>
      <c r="N5272" s="1"/>
      <c r="O5272" s="20"/>
      <c r="R5272" s="1"/>
      <c r="AB5272" s="1"/>
      <c r="AC5272" s="20"/>
      <c r="AF5272" s="1"/>
      <c r="AG5272" s="20"/>
      <c r="AJ5272" s="1"/>
      <c r="AS5272" s="1"/>
      <c r="AT5272" s="20"/>
      <c r="AX5272" s="1"/>
    </row>
    <row r="5273" spans="1:50" x14ac:dyDescent="0.3">
      <c r="A5273" s="19">
        <f t="shared" si="414"/>
        <v>53296</v>
      </c>
      <c r="B5273">
        <f t="shared" ca="1" si="410"/>
        <v>-19.844444444444445</v>
      </c>
      <c r="C5273" t="str">
        <f ca="1">IF(currency="USD",'Future et co'!D5273,IF(currency="EUR",'Future et co'!E5273,IF(currency="GBP",'Future et co'!F5273,FALSE)))</f>
        <v>RFR USD</v>
      </c>
      <c r="D5273" t="str">
        <f t="shared" ca="1" si="411"/>
        <v>RFR USD</v>
      </c>
      <c r="E5273" t="str">
        <f t="shared" ca="1" si="412"/>
        <v>RFR EUR</v>
      </c>
      <c r="F5273" t="str">
        <f t="shared" ca="1" si="413"/>
        <v>RFR GBP</v>
      </c>
      <c r="J5273" s="1"/>
      <c r="K5273" s="20"/>
      <c r="N5273" s="1"/>
      <c r="O5273" s="20"/>
      <c r="R5273" s="1"/>
      <c r="AB5273" s="1"/>
      <c r="AC5273" s="20"/>
      <c r="AF5273" s="1"/>
      <c r="AG5273" s="20"/>
      <c r="AJ5273" s="1"/>
      <c r="AS5273" s="1"/>
      <c r="AT5273" s="20"/>
      <c r="AX5273" s="1"/>
    </row>
    <row r="5274" spans="1:50" x14ac:dyDescent="0.3">
      <c r="A5274" s="19">
        <f t="shared" si="414"/>
        <v>53297</v>
      </c>
      <c r="B5274">
        <f t="shared" ca="1" si="410"/>
        <v>-19.847222222222221</v>
      </c>
      <c r="C5274" t="str">
        <f ca="1">IF(currency="USD",'Future et co'!D5274,IF(currency="EUR",'Future et co'!E5274,IF(currency="GBP",'Future et co'!F5274,FALSE)))</f>
        <v>RFR USD</v>
      </c>
      <c r="D5274" t="str">
        <f t="shared" ca="1" si="411"/>
        <v>RFR USD</v>
      </c>
      <c r="E5274" t="str">
        <f t="shared" ca="1" si="412"/>
        <v>RFR EUR</v>
      </c>
      <c r="F5274" t="str">
        <f t="shared" ca="1" si="413"/>
        <v>RFR GBP</v>
      </c>
      <c r="J5274" s="1"/>
      <c r="K5274" s="20"/>
      <c r="N5274" s="1"/>
      <c r="O5274" s="20"/>
      <c r="R5274" s="1"/>
      <c r="AB5274" s="1"/>
      <c r="AC5274" s="20"/>
      <c r="AF5274" s="1"/>
      <c r="AG5274" s="20"/>
      <c r="AJ5274" s="1"/>
      <c r="AS5274" s="1"/>
      <c r="AT5274" s="20"/>
      <c r="AX5274" s="1"/>
    </row>
    <row r="5275" spans="1:50" x14ac:dyDescent="0.3">
      <c r="A5275" s="19">
        <f t="shared" si="414"/>
        <v>53300</v>
      </c>
      <c r="B5275">
        <f t="shared" ca="1" si="410"/>
        <v>-19.855555555555554</v>
      </c>
      <c r="C5275" t="str">
        <f ca="1">IF(currency="USD",'Future et co'!D5275,IF(currency="EUR",'Future et co'!E5275,IF(currency="GBP",'Future et co'!F5275,FALSE)))</f>
        <v>RFR USD</v>
      </c>
      <c r="D5275" t="str">
        <f t="shared" ca="1" si="411"/>
        <v>RFR USD</v>
      </c>
      <c r="E5275" t="str">
        <f t="shared" ca="1" si="412"/>
        <v>RFR EUR</v>
      </c>
      <c r="F5275" t="str">
        <f t="shared" ca="1" si="413"/>
        <v>RFR GBP</v>
      </c>
      <c r="J5275" s="1"/>
      <c r="K5275" s="20"/>
      <c r="N5275" s="1"/>
      <c r="O5275" s="20"/>
      <c r="R5275" s="1"/>
      <c r="AB5275" s="1"/>
      <c r="AC5275" s="20"/>
      <c r="AF5275" s="1"/>
      <c r="AG5275" s="20"/>
      <c r="AJ5275" s="1"/>
      <c r="AS5275" s="1"/>
      <c r="AT5275" s="20"/>
      <c r="AX5275" s="1"/>
    </row>
    <row r="5276" spans="1:50" x14ac:dyDescent="0.3">
      <c r="A5276" s="19">
        <f t="shared" si="414"/>
        <v>53301</v>
      </c>
      <c r="B5276">
        <f t="shared" ca="1" si="410"/>
        <v>-19.858333333333334</v>
      </c>
      <c r="C5276" t="str">
        <f ca="1">IF(currency="USD",'Future et co'!D5276,IF(currency="EUR",'Future et co'!E5276,IF(currency="GBP",'Future et co'!F5276,FALSE)))</f>
        <v>RFR USD</v>
      </c>
      <c r="D5276" t="str">
        <f t="shared" ca="1" si="411"/>
        <v>RFR USD</v>
      </c>
      <c r="E5276" t="str">
        <f t="shared" ca="1" si="412"/>
        <v>RFR EUR</v>
      </c>
      <c r="F5276" t="str">
        <f t="shared" ca="1" si="413"/>
        <v>RFR GBP</v>
      </c>
      <c r="J5276" s="1"/>
      <c r="K5276" s="20"/>
      <c r="N5276" s="1"/>
      <c r="O5276" s="20"/>
      <c r="R5276" s="1"/>
      <c r="AB5276" s="1"/>
      <c r="AC5276" s="20"/>
      <c r="AF5276" s="1"/>
      <c r="AG5276" s="20"/>
      <c r="AJ5276" s="1"/>
      <c r="AS5276" s="1"/>
      <c r="AT5276" s="20"/>
      <c r="AX5276" s="1"/>
    </row>
    <row r="5277" spans="1:50" x14ac:dyDescent="0.3">
      <c r="A5277" s="19">
        <f t="shared" si="414"/>
        <v>53302</v>
      </c>
      <c r="B5277">
        <f t="shared" ca="1" si="410"/>
        <v>-19.861111111111111</v>
      </c>
      <c r="C5277" t="str">
        <f ca="1">IF(currency="USD",'Future et co'!D5277,IF(currency="EUR",'Future et co'!E5277,IF(currency="GBP",'Future et co'!F5277,FALSE)))</f>
        <v>RFR USD</v>
      </c>
      <c r="D5277" t="str">
        <f t="shared" ca="1" si="411"/>
        <v>RFR USD</v>
      </c>
      <c r="E5277" t="str">
        <f t="shared" ca="1" si="412"/>
        <v>RFR EUR</v>
      </c>
      <c r="F5277" t="str">
        <f t="shared" ca="1" si="413"/>
        <v>RFR GBP</v>
      </c>
      <c r="J5277" s="1"/>
      <c r="K5277" s="20"/>
      <c r="N5277" s="1"/>
      <c r="O5277" s="20"/>
      <c r="R5277" s="1"/>
      <c r="AB5277" s="1"/>
      <c r="AC5277" s="20"/>
      <c r="AF5277" s="1"/>
      <c r="AG5277" s="20"/>
      <c r="AJ5277" s="1"/>
      <c r="AS5277" s="1"/>
      <c r="AT5277" s="20"/>
      <c r="AX5277" s="1"/>
    </row>
    <row r="5278" spans="1:50" x14ac:dyDescent="0.3">
      <c r="A5278" s="19">
        <f t="shared" si="414"/>
        <v>53303</v>
      </c>
      <c r="B5278">
        <f t="shared" ca="1" si="410"/>
        <v>-19.863888888888887</v>
      </c>
      <c r="C5278" t="str">
        <f ca="1">IF(currency="USD",'Future et co'!D5278,IF(currency="EUR",'Future et co'!E5278,IF(currency="GBP",'Future et co'!F5278,FALSE)))</f>
        <v>RFR USD</v>
      </c>
      <c r="D5278" t="str">
        <f t="shared" ca="1" si="411"/>
        <v>RFR USD</v>
      </c>
      <c r="E5278" t="str">
        <f t="shared" ca="1" si="412"/>
        <v>RFR EUR</v>
      </c>
      <c r="F5278" t="str">
        <f t="shared" ca="1" si="413"/>
        <v>RFR GBP</v>
      </c>
      <c r="J5278" s="1"/>
      <c r="K5278" s="20"/>
      <c r="N5278" s="1"/>
      <c r="O5278" s="20"/>
      <c r="R5278" s="1"/>
      <c r="AB5278" s="1"/>
      <c r="AC5278" s="20"/>
      <c r="AF5278" s="1"/>
      <c r="AG5278" s="20"/>
      <c r="AJ5278" s="1"/>
      <c r="AS5278" s="1"/>
      <c r="AT5278" s="20"/>
      <c r="AX5278" s="1"/>
    </row>
    <row r="5279" spans="1:50" x14ac:dyDescent="0.3">
      <c r="A5279" s="19">
        <f t="shared" si="414"/>
        <v>53304</v>
      </c>
      <c r="B5279">
        <f t="shared" ca="1" si="410"/>
        <v>-19.866666666666667</v>
      </c>
      <c r="C5279" t="str">
        <f ca="1">IF(currency="USD",'Future et co'!D5279,IF(currency="EUR",'Future et co'!E5279,IF(currency="GBP",'Future et co'!F5279,FALSE)))</f>
        <v>RFR USD</v>
      </c>
      <c r="D5279" t="str">
        <f t="shared" ca="1" si="411"/>
        <v>RFR USD</v>
      </c>
      <c r="E5279" t="str">
        <f t="shared" ca="1" si="412"/>
        <v>RFR EUR</v>
      </c>
      <c r="F5279" t="str">
        <f t="shared" ca="1" si="413"/>
        <v>RFR GBP</v>
      </c>
      <c r="J5279" s="1"/>
      <c r="K5279" s="20"/>
      <c r="N5279" s="1"/>
      <c r="O5279" s="20"/>
      <c r="R5279" s="1"/>
      <c r="AB5279" s="1"/>
      <c r="AC5279" s="20"/>
      <c r="AF5279" s="1"/>
      <c r="AG5279" s="20"/>
      <c r="AJ5279" s="1"/>
      <c r="AS5279" s="1"/>
      <c r="AT5279" s="20"/>
      <c r="AX5279" s="1"/>
    </row>
    <row r="5280" spans="1:50" x14ac:dyDescent="0.3">
      <c r="A5280" s="19">
        <f t="shared" si="414"/>
        <v>53307</v>
      </c>
      <c r="B5280">
        <f t="shared" ca="1" si="410"/>
        <v>-19.875</v>
      </c>
      <c r="C5280" t="str">
        <f ca="1">IF(currency="USD",'Future et co'!D5280,IF(currency="EUR",'Future et co'!E5280,IF(currency="GBP",'Future et co'!F5280,FALSE)))</f>
        <v>RFR USD</v>
      </c>
      <c r="D5280" t="str">
        <f t="shared" ca="1" si="411"/>
        <v>RFR USD</v>
      </c>
      <c r="E5280" t="str">
        <f t="shared" ca="1" si="412"/>
        <v>RFR EUR</v>
      </c>
      <c r="F5280" t="str">
        <f t="shared" ca="1" si="413"/>
        <v>RFR GBP</v>
      </c>
      <c r="J5280" s="1"/>
      <c r="K5280" s="20"/>
      <c r="N5280" s="1"/>
      <c r="O5280" s="20"/>
      <c r="R5280" s="1"/>
      <c r="AB5280" s="1"/>
      <c r="AC5280" s="20"/>
      <c r="AF5280" s="1"/>
      <c r="AG5280" s="20"/>
      <c r="AJ5280" s="1"/>
      <c r="AS5280" s="1"/>
      <c r="AT5280" s="20"/>
      <c r="AX5280" s="1"/>
    </row>
    <row r="5281" spans="1:50" x14ac:dyDescent="0.3">
      <c r="A5281" s="19">
        <f t="shared" si="414"/>
        <v>53308</v>
      </c>
      <c r="B5281">
        <f t="shared" ca="1" si="410"/>
        <v>-19.877777777777776</v>
      </c>
      <c r="C5281" t="str">
        <f ca="1">IF(currency="USD",'Future et co'!D5281,IF(currency="EUR",'Future et co'!E5281,IF(currency="GBP",'Future et co'!F5281,FALSE)))</f>
        <v>RFR USD</v>
      </c>
      <c r="D5281" t="str">
        <f t="shared" ca="1" si="411"/>
        <v>RFR USD</v>
      </c>
      <c r="E5281" t="str">
        <f t="shared" ca="1" si="412"/>
        <v>RFR EUR</v>
      </c>
      <c r="F5281" t="str">
        <f t="shared" ca="1" si="413"/>
        <v>RFR GBP</v>
      </c>
      <c r="J5281" s="1"/>
      <c r="K5281" s="20"/>
      <c r="N5281" s="1"/>
      <c r="O5281" s="20"/>
      <c r="R5281" s="1"/>
      <c r="AB5281" s="1"/>
      <c r="AC5281" s="20"/>
      <c r="AF5281" s="1"/>
      <c r="AG5281" s="20"/>
      <c r="AJ5281" s="1"/>
      <c r="AS5281" s="1"/>
      <c r="AT5281" s="20"/>
      <c r="AX5281" s="1"/>
    </row>
    <row r="5282" spans="1:50" x14ac:dyDescent="0.3">
      <c r="A5282" s="19">
        <f t="shared" si="414"/>
        <v>53309</v>
      </c>
      <c r="B5282">
        <f t="shared" ca="1" si="410"/>
        <v>-19.880555555555556</v>
      </c>
      <c r="C5282" t="str">
        <f ca="1">IF(currency="USD",'Future et co'!D5282,IF(currency="EUR",'Future et co'!E5282,IF(currency="GBP",'Future et co'!F5282,FALSE)))</f>
        <v>RFR USD</v>
      </c>
      <c r="D5282" t="str">
        <f t="shared" ca="1" si="411"/>
        <v>RFR USD</v>
      </c>
      <c r="E5282" t="str">
        <f t="shared" ca="1" si="412"/>
        <v>RFR EUR</v>
      </c>
      <c r="F5282" t="str">
        <f t="shared" ca="1" si="413"/>
        <v>RFR GBP</v>
      </c>
      <c r="J5282" s="1"/>
      <c r="K5282" s="20"/>
      <c r="N5282" s="1"/>
      <c r="O5282" s="20"/>
      <c r="R5282" s="1"/>
      <c r="AB5282" s="1"/>
      <c r="AC5282" s="20"/>
      <c r="AF5282" s="1"/>
      <c r="AG5282" s="20"/>
      <c r="AJ5282" s="1"/>
      <c r="AS5282" s="1"/>
      <c r="AT5282" s="20"/>
      <c r="AX5282" s="1"/>
    </row>
    <row r="5283" spans="1:50" x14ac:dyDescent="0.3">
      <c r="A5283" s="19">
        <f t="shared" si="414"/>
        <v>53310</v>
      </c>
      <c r="B5283">
        <f t="shared" ca="1" si="410"/>
        <v>-19.883333333333333</v>
      </c>
      <c r="C5283" t="str">
        <f ca="1">IF(currency="USD",'Future et co'!D5283,IF(currency="EUR",'Future et co'!E5283,IF(currency="GBP",'Future et co'!F5283,FALSE)))</f>
        <v>RFR USD</v>
      </c>
      <c r="D5283" t="str">
        <f t="shared" ca="1" si="411"/>
        <v>RFR USD</v>
      </c>
      <c r="E5283" t="str">
        <f t="shared" ca="1" si="412"/>
        <v>RFR EUR</v>
      </c>
      <c r="F5283" t="str">
        <f t="shared" ca="1" si="413"/>
        <v>RFR GBP</v>
      </c>
      <c r="J5283" s="1"/>
      <c r="K5283" s="20"/>
      <c r="N5283" s="1"/>
      <c r="O5283" s="20"/>
      <c r="R5283" s="1"/>
      <c r="AB5283" s="1"/>
      <c r="AC5283" s="20"/>
      <c r="AF5283" s="1"/>
      <c r="AG5283" s="20"/>
      <c r="AJ5283" s="1"/>
      <c r="AS5283" s="1"/>
      <c r="AT5283" s="20"/>
      <c r="AX5283" s="1"/>
    </row>
    <row r="5284" spans="1:50" x14ac:dyDescent="0.3">
      <c r="A5284" s="19">
        <f t="shared" si="414"/>
        <v>53311</v>
      </c>
      <c r="B5284">
        <f t="shared" ca="1" si="410"/>
        <v>-19.886111111111113</v>
      </c>
      <c r="C5284" t="str">
        <f ca="1">IF(currency="USD",'Future et co'!D5284,IF(currency="EUR",'Future et co'!E5284,IF(currency="GBP",'Future et co'!F5284,FALSE)))</f>
        <v>RFR USD</v>
      </c>
      <c r="D5284" t="str">
        <f t="shared" ca="1" si="411"/>
        <v>RFR USD</v>
      </c>
      <c r="E5284" t="str">
        <f t="shared" ca="1" si="412"/>
        <v>RFR EUR</v>
      </c>
      <c r="F5284" t="str">
        <f t="shared" ca="1" si="413"/>
        <v>RFR GBP</v>
      </c>
      <c r="J5284" s="1"/>
      <c r="K5284" s="20"/>
      <c r="N5284" s="1"/>
      <c r="O5284" s="20"/>
      <c r="R5284" s="1"/>
      <c r="AB5284" s="1"/>
      <c r="AC5284" s="20"/>
      <c r="AF5284" s="1"/>
      <c r="AG5284" s="20"/>
      <c r="AJ5284" s="1"/>
      <c r="AS5284" s="1"/>
      <c r="AT5284" s="20"/>
      <c r="AX5284" s="1"/>
    </row>
    <row r="5285" spans="1:50" x14ac:dyDescent="0.3">
      <c r="A5285" s="19">
        <f t="shared" si="414"/>
        <v>53314</v>
      </c>
      <c r="B5285">
        <f t="shared" ca="1" si="410"/>
        <v>-19.894444444444446</v>
      </c>
      <c r="C5285" t="str">
        <f ca="1">IF(currency="USD",'Future et co'!D5285,IF(currency="EUR",'Future et co'!E5285,IF(currency="GBP",'Future et co'!F5285,FALSE)))</f>
        <v>RFR USD</v>
      </c>
      <c r="D5285" t="str">
        <f t="shared" ca="1" si="411"/>
        <v>RFR USD</v>
      </c>
      <c r="E5285" t="str">
        <f t="shared" ca="1" si="412"/>
        <v>RFR EUR</v>
      </c>
      <c r="F5285" t="str">
        <f t="shared" ca="1" si="413"/>
        <v>RFR GBP</v>
      </c>
      <c r="J5285" s="1"/>
      <c r="K5285" s="20"/>
      <c r="N5285" s="1"/>
      <c r="O5285" s="20"/>
      <c r="R5285" s="1"/>
      <c r="AB5285" s="1"/>
      <c r="AC5285" s="20"/>
      <c r="AF5285" s="1"/>
      <c r="AG5285" s="20"/>
      <c r="AJ5285" s="1"/>
      <c r="AS5285" s="1"/>
      <c r="AT5285" s="20"/>
      <c r="AX5285" s="1"/>
    </row>
    <row r="5286" spans="1:50" x14ac:dyDescent="0.3">
      <c r="A5286" s="19">
        <f t="shared" si="414"/>
        <v>53315</v>
      </c>
      <c r="B5286">
        <f t="shared" ca="1" si="410"/>
        <v>-19.897222222222222</v>
      </c>
      <c r="C5286" t="str">
        <f ca="1">IF(currency="USD",'Future et co'!D5286,IF(currency="EUR",'Future et co'!E5286,IF(currency="GBP",'Future et co'!F5286,FALSE)))</f>
        <v>RFR USD</v>
      </c>
      <c r="D5286" t="str">
        <f t="shared" ca="1" si="411"/>
        <v>RFR USD</v>
      </c>
      <c r="E5286" t="str">
        <f t="shared" ca="1" si="412"/>
        <v>RFR EUR</v>
      </c>
      <c r="F5286" t="str">
        <f t="shared" ca="1" si="413"/>
        <v>RFR GBP</v>
      </c>
      <c r="J5286" s="1"/>
      <c r="K5286" s="20"/>
      <c r="N5286" s="1"/>
      <c r="O5286" s="20"/>
      <c r="R5286" s="1"/>
      <c r="AB5286" s="1"/>
      <c r="AC5286" s="20"/>
      <c r="AF5286" s="1"/>
      <c r="AG5286" s="20"/>
      <c r="AJ5286" s="1"/>
      <c r="AS5286" s="1"/>
      <c r="AT5286" s="20"/>
      <c r="AX5286" s="1"/>
    </row>
    <row r="5287" spans="1:50" x14ac:dyDescent="0.3">
      <c r="A5287" s="19">
        <f t="shared" si="414"/>
        <v>53316</v>
      </c>
      <c r="B5287">
        <f t="shared" ca="1" si="410"/>
        <v>-19.899999999999999</v>
      </c>
      <c r="C5287" t="str">
        <f ca="1">IF(currency="USD",'Future et co'!D5287,IF(currency="EUR",'Future et co'!E5287,IF(currency="GBP",'Future et co'!F5287,FALSE)))</f>
        <v>RFR USD</v>
      </c>
      <c r="D5287" t="str">
        <f t="shared" ca="1" si="411"/>
        <v>RFR USD</v>
      </c>
      <c r="E5287" t="str">
        <f t="shared" ca="1" si="412"/>
        <v>RFR EUR</v>
      </c>
      <c r="F5287" t="str">
        <f t="shared" ca="1" si="413"/>
        <v>RFR GBP</v>
      </c>
      <c r="J5287" s="1"/>
      <c r="K5287" s="20"/>
      <c r="N5287" s="1"/>
      <c r="O5287" s="20"/>
      <c r="R5287" s="1"/>
      <c r="AB5287" s="1"/>
      <c r="AC5287" s="20"/>
      <c r="AF5287" s="1"/>
      <c r="AG5287" s="20"/>
      <c r="AJ5287" s="1"/>
      <c r="AS5287" s="1"/>
      <c r="AT5287" s="20"/>
      <c r="AX5287" s="1"/>
    </row>
    <row r="5288" spans="1:50" x14ac:dyDescent="0.3">
      <c r="A5288" s="19">
        <f t="shared" si="414"/>
        <v>53317</v>
      </c>
      <c r="B5288">
        <f t="shared" ca="1" si="410"/>
        <v>-19.902777777777779</v>
      </c>
      <c r="C5288" t="str">
        <f ca="1">IF(currency="USD",'Future et co'!D5288,IF(currency="EUR",'Future et co'!E5288,IF(currency="GBP",'Future et co'!F5288,FALSE)))</f>
        <v>RFR USD</v>
      </c>
      <c r="D5288" t="str">
        <f t="shared" ca="1" si="411"/>
        <v>RFR USD</v>
      </c>
      <c r="E5288" t="str">
        <f t="shared" ca="1" si="412"/>
        <v>RFR EUR</v>
      </c>
      <c r="F5288" t="str">
        <f t="shared" ca="1" si="413"/>
        <v>RFR GBP</v>
      </c>
      <c r="J5288" s="1"/>
      <c r="K5288" s="20"/>
      <c r="N5288" s="1"/>
      <c r="O5288" s="20"/>
      <c r="R5288" s="1"/>
      <c r="AB5288" s="1"/>
      <c r="AC5288" s="20"/>
      <c r="AF5288" s="1"/>
      <c r="AG5288" s="20"/>
      <c r="AJ5288" s="1"/>
      <c r="AS5288" s="1"/>
      <c r="AT5288" s="20"/>
      <c r="AX5288" s="1"/>
    </row>
    <row r="5289" spans="1:50" x14ac:dyDescent="0.3">
      <c r="A5289" s="19">
        <f t="shared" si="414"/>
        <v>53318</v>
      </c>
      <c r="B5289">
        <f t="shared" ca="1" si="410"/>
        <v>-19.905555555555555</v>
      </c>
      <c r="C5289" t="str">
        <f ca="1">IF(currency="USD",'Future et co'!D5289,IF(currency="EUR",'Future et co'!E5289,IF(currency="GBP",'Future et co'!F5289,FALSE)))</f>
        <v>RFR USD</v>
      </c>
      <c r="D5289" t="str">
        <f t="shared" ca="1" si="411"/>
        <v>RFR USD</v>
      </c>
      <c r="E5289" t="str">
        <f t="shared" ca="1" si="412"/>
        <v>RFR EUR</v>
      </c>
      <c r="F5289" t="str">
        <f t="shared" ca="1" si="413"/>
        <v>RFR GBP</v>
      </c>
      <c r="J5289" s="1"/>
      <c r="K5289" s="20"/>
      <c r="N5289" s="1"/>
      <c r="O5289" s="20"/>
      <c r="R5289" s="1"/>
      <c r="AB5289" s="1"/>
      <c r="AC5289" s="20"/>
      <c r="AF5289" s="1"/>
      <c r="AG5289" s="20"/>
      <c r="AJ5289" s="1"/>
      <c r="AS5289" s="1"/>
      <c r="AT5289" s="20"/>
      <c r="AX5289" s="1"/>
    </row>
    <row r="5290" spans="1:50" x14ac:dyDescent="0.3">
      <c r="A5290" s="19">
        <f t="shared" si="414"/>
        <v>53321</v>
      </c>
      <c r="B5290">
        <f t="shared" ca="1" si="410"/>
        <v>-19.913888888888888</v>
      </c>
      <c r="C5290" t="str">
        <f ca="1">IF(currency="USD",'Future et co'!D5290,IF(currency="EUR",'Future et co'!E5290,IF(currency="GBP",'Future et co'!F5290,FALSE)))</f>
        <v>RFR USD</v>
      </c>
      <c r="D5290" t="str">
        <f t="shared" ca="1" si="411"/>
        <v>RFR USD</v>
      </c>
      <c r="E5290" t="str">
        <f t="shared" ca="1" si="412"/>
        <v>RFR EUR</v>
      </c>
      <c r="F5290" t="str">
        <f t="shared" ca="1" si="413"/>
        <v>RFR GBP</v>
      </c>
      <c r="J5290" s="1"/>
      <c r="K5290" s="20"/>
      <c r="N5290" s="1"/>
      <c r="O5290" s="20"/>
      <c r="R5290" s="1"/>
      <c r="AB5290" s="1"/>
      <c r="AC5290" s="20"/>
      <c r="AF5290" s="1"/>
      <c r="AG5290" s="20"/>
      <c r="AJ5290" s="1"/>
      <c r="AS5290" s="1"/>
      <c r="AT5290" s="20"/>
      <c r="AX5290" s="1"/>
    </row>
    <row r="5291" spans="1:50" x14ac:dyDescent="0.3">
      <c r="A5291" s="19">
        <f t="shared" si="414"/>
        <v>53322</v>
      </c>
      <c r="B5291">
        <f t="shared" ca="1" si="410"/>
        <v>-19.916666666666668</v>
      </c>
      <c r="C5291" t="str">
        <f ca="1">IF(currency="USD",'Future et co'!D5291,IF(currency="EUR",'Future et co'!E5291,IF(currency="GBP",'Future et co'!F5291,FALSE)))</f>
        <v>RFR USD</v>
      </c>
      <c r="D5291" t="str">
        <f t="shared" ca="1" si="411"/>
        <v>RFR USD</v>
      </c>
      <c r="E5291" t="str">
        <f t="shared" ca="1" si="412"/>
        <v>RFR EUR</v>
      </c>
      <c r="F5291" t="str">
        <f t="shared" ca="1" si="413"/>
        <v>RFR GBP</v>
      </c>
      <c r="J5291" s="1"/>
      <c r="K5291" s="20"/>
      <c r="N5291" s="1"/>
      <c r="O5291" s="20"/>
      <c r="R5291" s="1"/>
      <c r="AB5291" s="1"/>
      <c r="AC5291" s="20"/>
      <c r="AF5291" s="1"/>
      <c r="AG5291" s="20"/>
      <c r="AJ5291" s="1"/>
      <c r="AS5291" s="1"/>
      <c r="AT5291" s="20"/>
      <c r="AX5291" s="1"/>
    </row>
    <row r="5292" spans="1:50" x14ac:dyDescent="0.3">
      <c r="A5292" s="19">
        <f t="shared" si="414"/>
        <v>53323</v>
      </c>
      <c r="B5292">
        <f t="shared" ca="1" si="410"/>
        <v>-19.919444444444444</v>
      </c>
      <c r="C5292" t="str">
        <f ca="1">IF(currency="USD",'Future et co'!D5292,IF(currency="EUR",'Future et co'!E5292,IF(currency="GBP",'Future et co'!F5292,FALSE)))</f>
        <v>RFR USD</v>
      </c>
      <c r="D5292" t="str">
        <f t="shared" ca="1" si="411"/>
        <v>RFR USD</v>
      </c>
      <c r="E5292" t="str">
        <f t="shared" ca="1" si="412"/>
        <v>RFR EUR</v>
      </c>
      <c r="F5292" t="str">
        <f t="shared" ca="1" si="413"/>
        <v>RFR GBP</v>
      </c>
      <c r="J5292" s="1"/>
      <c r="K5292" s="20"/>
      <c r="N5292" s="1"/>
      <c r="O5292" s="20"/>
      <c r="R5292" s="1"/>
      <c r="AB5292" s="1"/>
      <c r="AC5292" s="20"/>
      <c r="AF5292" s="1"/>
      <c r="AG5292" s="20"/>
      <c r="AJ5292" s="1"/>
      <c r="AS5292" s="1"/>
      <c r="AT5292" s="20"/>
      <c r="AX5292" s="1"/>
    </row>
    <row r="5293" spans="1:50" x14ac:dyDescent="0.3">
      <c r="A5293" s="19">
        <f t="shared" si="414"/>
        <v>53324</v>
      </c>
      <c r="B5293">
        <f t="shared" ca="1" si="410"/>
        <v>-19.922222222222221</v>
      </c>
      <c r="C5293" t="str">
        <f ca="1">IF(currency="USD",'Future et co'!D5293,IF(currency="EUR",'Future et co'!E5293,IF(currency="GBP",'Future et co'!F5293,FALSE)))</f>
        <v>RFR USD</v>
      </c>
      <c r="D5293" t="str">
        <f t="shared" ca="1" si="411"/>
        <v>RFR USD</v>
      </c>
      <c r="E5293" t="str">
        <f t="shared" ca="1" si="412"/>
        <v>RFR EUR</v>
      </c>
      <c r="F5293" t="str">
        <f t="shared" ca="1" si="413"/>
        <v>RFR GBP</v>
      </c>
      <c r="J5293" s="1"/>
      <c r="K5293" s="20"/>
      <c r="N5293" s="1"/>
      <c r="O5293" s="20"/>
      <c r="R5293" s="1"/>
      <c r="AB5293" s="1"/>
      <c r="AC5293" s="20"/>
      <c r="AF5293" s="1"/>
      <c r="AG5293" s="20"/>
      <c r="AJ5293" s="1"/>
      <c r="AS5293" s="1"/>
      <c r="AT5293" s="20"/>
      <c r="AX5293" s="1"/>
    </row>
    <row r="5294" spans="1:50" x14ac:dyDescent="0.3">
      <c r="A5294" s="19">
        <f t="shared" si="414"/>
        <v>53325</v>
      </c>
      <c r="B5294">
        <f t="shared" ca="1" si="410"/>
        <v>-19.925000000000001</v>
      </c>
      <c r="C5294" t="str">
        <f ca="1">IF(currency="USD",'Future et co'!D5294,IF(currency="EUR",'Future et co'!E5294,IF(currency="GBP",'Future et co'!F5294,FALSE)))</f>
        <v>RFR USD</v>
      </c>
      <c r="D5294" t="str">
        <f t="shared" ca="1" si="411"/>
        <v>RFR USD</v>
      </c>
      <c r="E5294" t="str">
        <f t="shared" ca="1" si="412"/>
        <v>RFR EUR</v>
      </c>
      <c r="F5294" t="str">
        <f t="shared" ca="1" si="413"/>
        <v>RFR GBP</v>
      </c>
      <c r="J5294" s="1"/>
      <c r="K5294" s="20"/>
      <c r="N5294" s="1"/>
      <c r="O5294" s="20"/>
      <c r="R5294" s="1"/>
      <c r="AB5294" s="1"/>
      <c r="AC5294" s="20"/>
      <c r="AF5294" s="1"/>
      <c r="AG5294" s="20"/>
      <c r="AJ5294" s="1"/>
      <c r="AS5294" s="1"/>
      <c r="AT5294" s="20"/>
      <c r="AX5294" s="1"/>
    </row>
    <row r="5295" spans="1:50" x14ac:dyDescent="0.3">
      <c r="A5295" s="19">
        <f t="shared" si="414"/>
        <v>53328</v>
      </c>
      <c r="B5295">
        <f t="shared" ca="1" si="410"/>
        <v>-19.933333333333334</v>
      </c>
      <c r="C5295" t="str">
        <f ca="1">IF(currency="USD",'Future et co'!D5295,IF(currency="EUR",'Future et co'!E5295,IF(currency="GBP",'Future et co'!F5295,FALSE)))</f>
        <v>RFR USD</v>
      </c>
      <c r="D5295" t="str">
        <f t="shared" ca="1" si="411"/>
        <v>RFR USD</v>
      </c>
      <c r="E5295" t="str">
        <f t="shared" ca="1" si="412"/>
        <v>RFR EUR</v>
      </c>
      <c r="F5295" t="str">
        <f t="shared" ca="1" si="413"/>
        <v>RFR GBP</v>
      </c>
      <c r="J5295" s="1"/>
      <c r="K5295" s="20"/>
      <c r="N5295" s="1"/>
      <c r="O5295" s="20"/>
      <c r="R5295" s="1"/>
      <c r="AB5295" s="1"/>
      <c r="AC5295" s="20"/>
      <c r="AF5295" s="1"/>
      <c r="AG5295" s="20"/>
      <c r="AJ5295" s="1"/>
      <c r="AS5295" s="1"/>
      <c r="AT5295" s="20"/>
      <c r="AX5295" s="1"/>
    </row>
    <row r="5296" spans="1:50" x14ac:dyDescent="0.3">
      <c r="A5296" s="19">
        <f t="shared" si="414"/>
        <v>53329</v>
      </c>
      <c r="B5296">
        <f t="shared" ca="1" si="410"/>
        <v>-19.93611111111111</v>
      </c>
      <c r="C5296" t="str">
        <f ca="1">IF(currency="USD",'Future et co'!D5296,IF(currency="EUR",'Future et co'!E5296,IF(currency="GBP",'Future et co'!F5296,FALSE)))</f>
        <v>RFR USD</v>
      </c>
      <c r="D5296" t="str">
        <f t="shared" ca="1" si="411"/>
        <v>RFR USD</v>
      </c>
      <c r="E5296" t="str">
        <f t="shared" ca="1" si="412"/>
        <v>RFR EUR</v>
      </c>
      <c r="F5296" t="str">
        <f t="shared" ca="1" si="413"/>
        <v>RFR GBP</v>
      </c>
      <c r="J5296" s="1"/>
      <c r="K5296" s="20"/>
      <c r="N5296" s="1"/>
      <c r="O5296" s="20"/>
      <c r="R5296" s="1"/>
      <c r="AB5296" s="1"/>
      <c r="AC5296" s="20"/>
      <c r="AF5296" s="1"/>
      <c r="AG5296" s="20"/>
      <c r="AJ5296" s="1"/>
      <c r="AS5296" s="1"/>
      <c r="AT5296" s="20"/>
      <c r="AX5296" s="1"/>
    </row>
    <row r="5297" spans="1:50" x14ac:dyDescent="0.3">
      <c r="A5297" s="19">
        <f t="shared" si="414"/>
        <v>53330</v>
      </c>
      <c r="B5297">
        <f t="shared" ca="1" si="410"/>
        <v>-19.93888888888889</v>
      </c>
      <c r="C5297" t="str">
        <f ca="1">IF(currency="USD",'Future et co'!D5297,IF(currency="EUR",'Future et co'!E5297,IF(currency="GBP",'Future et co'!F5297,FALSE)))</f>
        <v>RFR USD</v>
      </c>
      <c r="D5297" t="str">
        <f t="shared" ca="1" si="411"/>
        <v>RFR USD</v>
      </c>
      <c r="E5297" t="str">
        <f t="shared" ca="1" si="412"/>
        <v>RFR EUR</v>
      </c>
      <c r="F5297" t="str">
        <f t="shared" ca="1" si="413"/>
        <v>RFR GBP</v>
      </c>
      <c r="J5297" s="1"/>
      <c r="K5297" s="20"/>
      <c r="N5297" s="1"/>
      <c r="O5297" s="20"/>
      <c r="R5297" s="1"/>
      <c r="AB5297" s="1"/>
      <c r="AC5297" s="20"/>
      <c r="AF5297" s="1"/>
      <c r="AG5297" s="20"/>
      <c r="AJ5297" s="1"/>
      <c r="AS5297" s="1"/>
      <c r="AT5297" s="20"/>
      <c r="AX5297" s="1"/>
    </row>
    <row r="5298" spans="1:50" x14ac:dyDescent="0.3">
      <c r="A5298" s="19">
        <f t="shared" si="414"/>
        <v>53331</v>
      </c>
      <c r="B5298">
        <f t="shared" ca="1" si="410"/>
        <v>-19.941666666666666</v>
      </c>
      <c r="C5298" t="str">
        <f ca="1">IF(currency="USD",'Future et co'!D5298,IF(currency="EUR",'Future et co'!E5298,IF(currency="GBP",'Future et co'!F5298,FALSE)))</f>
        <v>RFR USD</v>
      </c>
      <c r="D5298" t="str">
        <f t="shared" ca="1" si="411"/>
        <v>RFR USD</v>
      </c>
      <c r="E5298" t="str">
        <f t="shared" ca="1" si="412"/>
        <v>RFR EUR</v>
      </c>
      <c r="F5298" t="str">
        <f t="shared" ca="1" si="413"/>
        <v>RFR GBP</v>
      </c>
      <c r="J5298" s="1"/>
      <c r="K5298" s="20"/>
      <c r="N5298" s="1"/>
      <c r="O5298" s="20"/>
      <c r="R5298" s="1"/>
      <c r="AB5298" s="1"/>
      <c r="AC5298" s="20"/>
      <c r="AF5298" s="1"/>
      <c r="AG5298" s="20"/>
      <c r="AJ5298" s="1"/>
      <c r="AS5298" s="1"/>
      <c r="AT5298" s="20"/>
      <c r="AX5298" s="1"/>
    </row>
    <row r="5299" spans="1:50" x14ac:dyDescent="0.3">
      <c r="A5299" s="19">
        <f t="shared" si="414"/>
        <v>53332</v>
      </c>
      <c r="B5299">
        <f t="shared" ca="1" si="410"/>
        <v>-19.944444444444443</v>
      </c>
      <c r="C5299" t="str">
        <f ca="1">IF(currency="USD",'Future et co'!D5299,IF(currency="EUR",'Future et co'!E5299,IF(currency="GBP",'Future et co'!F5299,FALSE)))</f>
        <v>RFR USD</v>
      </c>
      <c r="D5299" t="str">
        <f t="shared" ca="1" si="411"/>
        <v>RFR USD</v>
      </c>
      <c r="E5299" t="str">
        <f t="shared" ca="1" si="412"/>
        <v>RFR EUR</v>
      </c>
      <c r="F5299" t="str">
        <f t="shared" ca="1" si="413"/>
        <v>RFR GBP</v>
      </c>
      <c r="J5299" s="1"/>
      <c r="K5299" s="20"/>
      <c r="N5299" s="1"/>
      <c r="O5299" s="20"/>
      <c r="R5299" s="1"/>
      <c r="AB5299" s="1"/>
      <c r="AC5299" s="20"/>
      <c r="AF5299" s="1"/>
      <c r="AG5299" s="20"/>
      <c r="AJ5299" s="1"/>
      <c r="AS5299" s="1"/>
      <c r="AT5299" s="20"/>
      <c r="AX5299" s="1"/>
    </row>
    <row r="5300" spans="1:50" x14ac:dyDescent="0.3">
      <c r="A5300" s="19">
        <f t="shared" si="414"/>
        <v>53335</v>
      </c>
      <c r="B5300">
        <f t="shared" ca="1" si="410"/>
        <v>-19.952777777777779</v>
      </c>
      <c r="C5300" t="str">
        <f ca="1">IF(currency="USD",'Future et co'!D5300,IF(currency="EUR",'Future et co'!E5300,IF(currency="GBP",'Future et co'!F5300,FALSE)))</f>
        <v>RFR USD</v>
      </c>
      <c r="D5300" t="str">
        <f t="shared" ca="1" si="411"/>
        <v>RFR USD</v>
      </c>
      <c r="E5300" t="str">
        <f t="shared" ca="1" si="412"/>
        <v>RFR EUR</v>
      </c>
      <c r="F5300" t="str">
        <f t="shared" ca="1" si="413"/>
        <v>RFR GBP</v>
      </c>
      <c r="J5300" s="1"/>
      <c r="K5300" s="20"/>
      <c r="N5300" s="1"/>
      <c r="O5300" s="20"/>
      <c r="R5300" s="1"/>
      <c r="AB5300" s="1"/>
      <c r="AC5300" s="20"/>
      <c r="AF5300" s="1"/>
      <c r="AG5300" s="20"/>
      <c r="AJ5300" s="1"/>
      <c r="AS5300" s="1"/>
      <c r="AT5300" s="20"/>
      <c r="AX5300" s="1"/>
    </row>
    <row r="5301" spans="1:50" x14ac:dyDescent="0.3">
      <c r="A5301" s="19">
        <f t="shared" si="414"/>
        <v>53336</v>
      </c>
      <c r="B5301">
        <f t="shared" ca="1" si="410"/>
        <v>-19.955555555555556</v>
      </c>
      <c r="C5301" t="str">
        <f ca="1">IF(currency="USD",'Future et co'!D5301,IF(currency="EUR",'Future et co'!E5301,IF(currency="GBP",'Future et co'!F5301,FALSE)))</f>
        <v>RFR USD</v>
      </c>
      <c r="D5301" t="str">
        <f t="shared" ca="1" si="411"/>
        <v>RFR USD</v>
      </c>
      <c r="E5301" t="str">
        <f t="shared" ca="1" si="412"/>
        <v>RFR EUR</v>
      </c>
      <c r="F5301" t="str">
        <f t="shared" ca="1" si="413"/>
        <v>RFR GBP</v>
      </c>
      <c r="J5301" s="1"/>
      <c r="K5301" s="20"/>
      <c r="N5301" s="1"/>
      <c r="O5301" s="20"/>
      <c r="R5301" s="1"/>
      <c r="AB5301" s="1"/>
      <c r="AC5301" s="20"/>
      <c r="AF5301" s="1"/>
      <c r="AG5301" s="20"/>
      <c r="AJ5301" s="1"/>
      <c r="AS5301" s="1"/>
      <c r="AT5301" s="20"/>
      <c r="AX5301" s="1"/>
    </row>
    <row r="5302" spans="1:50" x14ac:dyDescent="0.3">
      <c r="A5302" s="19">
        <f t="shared" si="414"/>
        <v>53337</v>
      </c>
      <c r="B5302">
        <f t="shared" ca="1" si="410"/>
        <v>-19.958333333333332</v>
      </c>
      <c r="C5302" t="str">
        <f ca="1">IF(currency="USD",'Future et co'!D5302,IF(currency="EUR",'Future et co'!E5302,IF(currency="GBP",'Future et co'!F5302,FALSE)))</f>
        <v>RFR USD</v>
      </c>
      <c r="D5302" t="str">
        <f t="shared" ca="1" si="411"/>
        <v>RFR USD</v>
      </c>
      <c r="E5302" t="str">
        <f t="shared" ca="1" si="412"/>
        <v>RFR EUR</v>
      </c>
      <c r="F5302" t="str">
        <f t="shared" ca="1" si="413"/>
        <v>RFR GBP</v>
      </c>
      <c r="J5302" s="1"/>
      <c r="K5302" s="20"/>
      <c r="N5302" s="1"/>
      <c r="O5302" s="20"/>
      <c r="R5302" s="1"/>
      <c r="AB5302" s="1"/>
      <c r="AC5302" s="20"/>
      <c r="AF5302" s="1"/>
      <c r="AG5302" s="20"/>
      <c r="AJ5302" s="1"/>
      <c r="AS5302" s="1"/>
      <c r="AT5302" s="20"/>
      <c r="AX5302" s="1"/>
    </row>
    <row r="5303" spans="1:50" x14ac:dyDescent="0.3">
      <c r="A5303" s="19">
        <f t="shared" si="414"/>
        <v>53338</v>
      </c>
      <c r="B5303">
        <f t="shared" ca="1" si="410"/>
        <v>-19.961111111111112</v>
      </c>
      <c r="C5303" t="str">
        <f ca="1">IF(currency="USD",'Future et co'!D5303,IF(currency="EUR",'Future et co'!E5303,IF(currency="GBP",'Future et co'!F5303,FALSE)))</f>
        <v>RFR USD</v>
      </c>
      <c r="D5303" t="str">
        <f t="shared" ca="1" si="411"/>
        <v>RFR USD</v>
      </c>
      <c r="E5303" t="str">
        <f t="shared" ca="1" si="412"/>
        <v>RFR EUR</v>
      </c>
      <c r="F5303" t="str">
        <f t="shared" ca="1" si="413"/>
        <v>RFR GBP</v>
      </c>
      <c r="J5303" s="1"/>
      <c r="K5303" s="20"/>
      <c r="N5303" s="1"/>
      <c r="O5303" s="20"/>
      <c r="R5303" s="1"/>
      <c r="AB5303" s="1"/>
      <c r="AC5303" s="20"/>
      <c r="AF5303" s="1"/>
      <c r="AG5303" s="20"/>
      <c r="AJ5303" s="1"/>
      <c r="AS5303" s="1"/>
      <c r="AT5303" s="20"/>
      <c r="AX5303" s="1"/>
    </row>
    <row r="5304" spans="1:50" x14ac:dyDescent="0.3">
      <c r="A5304" s="19">
        <f t="shared" si="414"/>
        <v>53339</v>
      </c>
      <c r="B5304">
        <f t="shared" ca="1" si="410"/>
        <v>-19.963888888888889</v>
      </c>
      <c r="C5304" t="str">
        <f ca="1">IF(currency="USD",'Future et co'!D5304,IF(currency="EUR",'Future et co'!E5304,IF(currency="GBP",'Future et co'!F5304,FALSE)))</f>
        <v>RFR USD</v>
      </c>
      <c r="D5304" t="str">
        <f t="shared" ca="1" si="411"/>
        <v>RFR USD</v>
      </c>
      <c r="E5304" t="str">
        <f t="shared" ca="1" si="412"/>
        <v>RFR EUR</v>
      </c>
      <c r="F5304" t="str">
        <f t="shared" ca="1" si="413"/>
        <v>RFR GBP</v>
      </c>
      <c r="J5304" s="1"/>
      <c r="K5304" s="20"/>
      <c r="N5304" s="1"/>
      <c r="O5304" s="20"/>
      <c r="R5304" s="1"/>
      <c r="AB5304" s="1"/>
      <c r="AC5304" s="20"/>
      <c r="AF5304" s="1"/>
      <c r="AG5304" s="20"/>
      <c r="AJ5304" s="1"/>
      <c r="AS5304" s="1"/>
      <c r="AT5304" s="20"/>
      <c r="AX5304" s="1"/>
    </row>
    <row r="5305" spans="1:50" x14ac:dyDescent="0.3">
      <c r="A5305" s="19">
        <f t="shared" si="414"/>
        <v>53342</v>
      </c>
      <c r="B5305">
        <f t="shared" ca="1" si="410"/>
        <v>-19.972222222222221</v>
      </c>
      <c r="C5305" t="str">
        <f ca="1">IF(currency="USD",'Future et co'!D5305,IF(currency="EUR",'Future et co'!E5305,IF(currency="GBP",'Future et co'!F5305,FALSE)))</f>
        <v>RFR USD</v>
      </c>
      <c r="D5305" t="str">
        <f t="shared" ca="1" si="411"/>
        <v>RFR USD</v>
      </c>
      <c r="E5305" t="str">
        <f t="shared" ca="1" si="412"/>
        <v>RFR EUR</v>
      </c>
      <c r="F5305" t="str">
        <f t="shared" ca="1" si="413"/>
        <v>RFR GBP</v>
      </c>
      <c r="J5305" s="1"/>
      <c r="K5305" s="20"/>
      <c r="N5305" s="1"/>
      <c r="O5305" s="20"/>
      <c r="R5305" s="1"/>
      <c r="AB5305" s="1"/>
      <c r="AC5305" s="20"/>
      <c r="AF5305" s="1"/>
      <c r="AG5305" s="20"/>
      <c r="AJ5305" s="1"/>
      <c r="AS5305" s="1"/>
      <c r="AT5305" s="20"/>
      <c r="AX5305" s="1"/>
    </row>
    <row r="5306" spans="1:50" x14ac:dyDescent="0.3">
      <c r="A5306" s="19">
        <f t="shared" si="414"/>
        <v>53343</v>
      </c>
      <c r="B5306">
        <f t="shared" ca="1" si="410"/>
        <v>-19.975000000000001</v>
      </c>
      <c r="C5306" t="str">
        <f ca="1">IF(currency="USD",'Future et co'!D5306,IF(currency="EUR",'Future et co'!E5306,IF(currency="GBP",'Future et co'!F5306,FALSE)))</f>
        <v>RFR USD</v>
      </c>
      <c r="D5306" t="str">
        <f t="shared" ca="1" si="411"/>
        <v>RFR USD</v>
      </c>
      <c r="E5306" t="str">
        <f t="shared" ca="1" si="412"/>
        <v>RFR EUR</v>
      </c>
      <c r="F5306" t="str">
        <f t="shared" ca="1" si="413"/>
        <v>RFR GBP</v>
      </c>
      <c r="J5306" s="1"/>
      <c r="K5306" s="20"/>
      <c r="N5306" s="1"/>
      <c r="O5306" s="20"/>
      <c r="R5306" s="1"/>
      <c r="AB5306" s="1"/>
      <c r="AC5306" s="20"/>
      <c r="AF5306" s="1"/>
      <c r="AG5306" s="20"/>
      <c r="AJ5306" s="1"/>
      <c r="AS5306" s="1"/>
      <c r="AT5306" s="20"/>
      <c r="AX5306" s="1"/>
    </row>
    <row r="5307" spans="1:50" x14ac:dyDescent="0.3">
      <c r="A5307" s="19">
        <f t="shared" si="414"/>
        <v>53344</v>
      </c>
      <c r="B5307">
        <f t="shared" ca="1" si="410"/>
        <v>-19.977777777777778</v>
      </c>
      <c r="C5307" t="str">
        <f ca="1">IF(currency="USD",'Future et co'!D5307,IF(currency="EUR",'Future et co'!E5307,IF(currency="GBP",'Future et co'!F5307,FALSE)))</f>
        <v>RFR USD</v>
      </c>
      <c r="D5307" t="str">
        <f t="shared" ca="1" si="411"/>
        <v>RFR USD</v>
      </c>
      <c r="E5307" t="str">
        <f t="shared" ca="1" si="412"/>
        <v>RFR EUR</v>
      </c>
      <c r="F5307" t="str">
        <f t="shared" ca="1" si="413"/>
        <v>RFR GBP</v>
      </c>
      <c r="J5307" s="1"/>
      <c r="K5307" s="20"/>
      <c r="N5307" s="1"/>
      <c r="O5307" s="20"/>
      <c r="R5307" s="1"/>
      <c r="AB5307" s="1"/>
      <c r="AC5307" s="20"/>
      <c r="AF5307" s="1"/>
      <c r="AG5307" s="20"/>
      <c r="AJ5307" s="1"/>
      <c r="AS5307" s="1"/>
      <c r="AT5307" s="20"/>
      <c r="AX5307" s="1"/>
    </row>
    <row r="5308" spans="1:50" x14ac:dyDescent="0.3">
      <c r="A5308" s="19">
        <f t="shared" si="414"/>
        <v>53345</v>
      </c>
      <c r="B5308">
        <f t="shared" ca="1" si="410"/>
        <v>-19.980555555555554</v>
      </c>
      <c r="C5308" t="str">
        <f ca="1">IF(currency="USD",'Future et co'!D5308,IF(currency="EUR",'Future et co'!E5308,IF(currency="GBP",'Future et co'!F5308,FALSE)))</f>
        <v>RFR USD</v>
      </c>
      <c r="D5308" t="str">
        <f t="shared" ca="1" si="411"/>
        <v>RFR USD</v>
      </c>
      <c r="E5308" t="str">
        <f t="shared" ca="1" si="412"/>
        <v>RFR EUR</v>
      </c>
      <c r="F5308" t="str">
        <f t="shared" ca="1" si="413"/>
        <v>RFR GBP</v>
      </c>
      <c r="J5308" s="1"/>
      <c r="K5308" s="20"/>
      <c r="N5308" s="1"/>
      <c r="O5308" s="20"/>
      <c r="R5308" s="1"/>
      <c r="AB5308" s="1"/>
      <c r="AC5308" s="20"/>
      <c r="AF5308" s="1"/>
      <c r="AG5308" s="20"/>
      <c r="AJ5308" s="1"/>
      <c r="AS5308" s="1"/>
      <c r="AT5308" s="20"/>
      <c r="AX5308" s="1"/>
    </row>
    <row r="5309" spans="1:50" x14ac:dyDescent="0.3">
      <c r="A5309" s="19">
        <f t="shared" si="414"/>
        <v>53346</v>
      </c>
      <c r="B5309">
        <f t="shared" ca="1" si="410"/>
        <v>-19.983333333333334</v>
      </c>
      <c r="C5309" t="str">
        <f ca="1">IF(currency="USD",'Future et co'!D5309,IF(currency="EUR",'Future et co'!E5309,IF(currency="GBP",'Future et co'!F5309,FALSE)))</f>
        <v>RFR USD</v>
      </c>
      <c r="D5309" t="str">
        <f t="shared" ca="1" si="411"/>
        <v>RFR USD</v>
      </c>
      <c r="E5309" t="str">
        <f t="shared" ca="1" si="412"/>
        <v>RFR EUR</v>
      </c>
      <c r="F5309" t="str">
        <f t="shared" ca="1" si="413"/>
        <v>RFR GBP</v>
      </c>
      <c r="J5309" s="1"/>
      <c r="K5309" s="20"/>
      <c r="N5309" s="1"/>
      <c r="O5309" s="20"/>
      <c r="R5309" s="1"/>
      <c r="AB5309" s="1"/>
      <c r="AC5309" s="20"/>
      <c r="AF5309" s="1"/>
      <c r="AG5309" s="20"/>
      <c r="AJ5309" s="1"/>
      <c r="AS5309" s="1"/>
      <c r="AT5309" s="20"/>
      <c r="AX5309" s="1"/>
    </row>
    <row r="5310" spans="1:50" x14ac:dyDescent="0.3">
      <c r="A5310" s="19">
        <f t="shared" si="414"/>
        <v>53349</v>
      </c>
      <c r="B5310">
        <f t="shared" ca="1" si="410"/>
        <v>-19.991666666666667</v>
      </c>
      <c r="C5310" t="str">
        <f ca="1">IF(currency="USD",'Future et co'!D5310,IF(currency="EUR",'Future et co'!E5310,IF(currency="GBP",'Future et co'!F5310,FALSE)))</f>
        <v>RFR USD</v>
      </c>
      <c r="D5310" t="str">
        <f t="shared" ca="1" si="411"/>
        <v>RFR USD</v>
      </c>
      <c r="E5310" t="str">
        <f t="shared" ca="1" si="412"/>
        <v>RFR EUR</v>
      </c>
      <c r="F5310" t="str">
        <f t="shared" ca="1" si="413"/>
        <v>RFR GBP</v>
      </c>
      <c r="J5310" s="1"/>
      <c r="K5310" s="20"/>
      <c r="N5310" s="1"/>
      <c r="O5310" s="20"/>
      <c r="R5310" s="1"/>
      <c r="AB5310" s="1"/>
      <c r="AC5310" s="20"/>
      <c r="AF5310" s="1"/>
      <c r="AG5310" s="20"/>
      <c r="AJ5310" s="1"/>
      <c r="AS5310" s="1"/>
      <c r="AT5310" s="20"/>
      <c r="AX5310" s="1"/>
    </row>
    <row r="5311" spans="1:50" x14ac:dyDescent="0.3">
      <c r="A5311" s="19">
        <f t="shared" si="414"/>
        <v>53350</v>
      </c>
      <c r="B5311">
        <f t="shared" ca="1" si="410"/>
        <v>-19.994444444444444</v>
      </c>
      <c r="C5311" t="str">
        <f ca="1">IF(currency="USD",'Future et co'!D5311,IF(currency="EUR",'Future et co'!E5311,IF(currency="GBP",'Future et co'!F5311,FALSE)))</f>
        <v>RFR USD</v>
      </c>
      <c r="D5311" t="str">
        <f t="shared" ca="1" si="411"/>
        <v>RFR USD</v>
      </c>
      <c r="E5311" t="str">
        <f t="shared" ca="1" si="412"/>
        <v>RFR EUR</v>
      </c>
      <c r="F5311" t="str">
        <f t="shared" ca="1" si="413"/>
        <v>RFR GBP</v>
      </c>
      <c r="J5311" s="1"/>
      <c r="K5311" s="20"/>
      <c r="N5311" s="1"/>
      <c r="O5311" s="20"/>
      <c r="R5311" s="1"/>
      <c r="AB5311" s="1"/>
      <c r="AC5311" s="20"/>
      <c r="AF5311" s="1"/>
      <c r="AG5311" s="20"/>
      <c r="AJ5311" s="1"/>
      <c r="AS5311" s="1"/>
      <c r="AT5311" s="20"/>
      <c r="AX5311" s="1"/>
    </row>
    <row r="5312" spans="1:50" x14ac:dyDescent="0.3">
      <c r="A5312" s="19">
        <f t="shared" si="414"/>
        <v>53351</v>
      </c>
      <c r="B5312">
        <f t="shared" ca="1" si="410"/>
        <v>-19.997222222222224</v>
      </c>
      <c r="C5312" t="str">
        <f ca="1">IF(currency="USD",'Future et co'!D5312,IF(currency="EUR",'Future et co'!E5312,IF(currency="GBP",'Future et co'!F5312,FALSE)))</f>
        <v>RFR USD</v>
      </c>
      <c r="D5312" t="str">
        <f t="shared" ca="1" si="411"/>
        <v>RFR USD</v>
      </c>
      <c r="E5312" t="str">
        <f t="shared" ca="1" si="412"/>
        <v>RFR EUR</v>
      </c>
      <c r="F5312" t="str">
        <f t="shared" ca="1" si="413"/>
        <v>RFR GBP</v>
      </c>
      <c r="J5312" s="1"/>
      <c r="K5312" s="20"/>
      <c r="N5312" s="1"/>
      <c r="O5312" s="20"/>
      <c r="R5312" s="1"/>
      <c r="AB5312" s="1"/>
      <c r="AC5312" s="20"/>
      <c r="AF5312" s="1"/>
      <c r="AG5312" s="20"/>
      <c r="AJ5312" s="1"/>
      <c r="AS5312" s="1"/>
      <c r="AT5312" s="20"/>
      <c r="AX5312" s="1"/>
    </row>
    <row r="5313" spans="1:50" x14ac:dyDescent="0.3">
      <c r="A5313" s="19">
        <f t="shared" si="414"/>
        <v>53352</v>
      </c>
      <c r="B5313">
        <f t="shared" ca="1" si="410"/>
        <v>-20</v>
      </c>
      <c r="C5313" t="str">
        <f ca="1">IF(currency="USD",'Future et co'!D5313,IF(currency="EUR",'Future et co'!E5313,IF(currency="GBP",'Future et co'!F5313,FALSE)))</f>
        <v>RFR USD</v>
      </c>
      <c r="D5313" t="str">
        <f t="shared" ca="1" si="411"/>
        <v>RFR USD</v>
      </c>
      <c r="E5313" t="str">
        <f t="shared" ca="1" si="412"/>
        <v>RFR EUR</v>
      </c>
      <c r="F5313" t="str">
        <f t="shared" ca="1" si="413"/>
        <v>RFR GBP</v>
      </c>
      <c r="J5313" s="1"/>
      <c r="K5313" s="20"/>
      <c r="N5313" s="1"/>
      <c r="O5313" s="20"/>
      <c r="R5313" s="1"/>
      <c r="AB5313" s="1"/>
      <c r="AC5313" s="20"/>
      <c r="AF5313" s="1"/>
      <c r="AG5313" s="20"/>
      <c r="AJ5313" s="1"/>
      <c r="AS5313" s="1"/>
      <c r="AT5313" s="20"/>
      <c r="AX5313" s="1"/>
    </row>
    <row r="5314" spans="1:50" x14ac:dyDescent="0.3">
      <c r="A5314" s="19">
        <f t="shared" si="414"/>
        <v>53353</v>
      </c>
      <c r="B5314">
        <f t="shared" ca="1" si="410"/>
        <v>-20.002777777777776</v>
      </c>
      <c r="C5314" t="str">
        <f ca="1">IF(currency="USD",'Future et co'!D5314,IF(currency="EUR",'Future et co'!E5314,IF(currency="GBP",'Future et co'!F5314,FALSE)))</f>
        <v>RFR USD</v>
      </c>
      <c r="D5314" t="str">
        <f t="shared" ca="1" si="411"/>
        <v>RFR USD</v>
      </c>
      <c r="E5314" t="str">
        <f t="shared" ca="1" si="412"/>
        <v>RFR EUR</v>
      </c>
      <c r="F5314" t="str">
        <f t="shared" ca="1" si="413"/>
        <v>RFR GBP</v>
      </c>
      <c r="J5314" s="1"/>
      <c r="K5314" s="20"/>
      <c r="N5314" s="1"/>
      <c r="O5314" s="20"/>
      <c r="R5314" s="1"/>
      <c r="AB5314" s="1"/>
      <c r="AC5314" s="20"/>
      <c r="AF5314" s="1"/>
      <c r="AG5314" s="20"/>
      <c r="AJ5314" s="1"/>
      <c r="AS5314" s="1"/>
      <c r="AT5314" s="20"/>
      <c r="AX5314" s="1"/>
    </row>
    <row r="5315" spans="1:50" x14ac:dyDescent="0.3">
      <c r="A5315" s="19">
        <f t="shared" si="414"/>
        <v>53356</v>
      </c>
      <c r="B5315">
        <f t="shared" ca="1" si="410"/>
        <v>-20.011111111111113</v>
      </c>
      <c r="C5315" t="str">
        <f ca="1">IF(currency="USD",'Future et co'!D5315,IF(currency="EUR",'Future et co'!E5315,IF(currency="GBP",'Future et co'!F5315,FALSE)))</f>
        <v>RFR USD</v>
      </c>
      <c r="D5315" t="str">
        <f t="shared" ca="1" si="411"/>
        <v>RFR USD</v>
      </c>
      <c r="E5315" t="str">
        <f t="shared" ca="1" si="412"/>
        <v>RFR EUR</v>
      </c>
      <c r="F5315" t="str">
        <f t="shared" ca="1" si="413"/>
        <v>RFR GBP</v>
      </c>
      <c r="J5315" s="1"/>
      <c r="K5315" s="20"/>
      <c r="N5315" s="1"/>
      <c r="O5315" s="20"/>
      <c r="R5315" s="1"/>
      <c r="AB5315" s="1"/>
      <c r="AC5315" s="20"/>
      <c r="AF5315" s="1"/>
      <c r="AG5315" s="20"/>
      <c r="AJ5315" s="1"/>
      <c r="AS5315" s="1"/>
      <c r="AT5315" s="20"/>
      <c r="AX5315" s="1"/>
    </row>
    <row r="5316" spans="1:50" x14ac:dyDescent="0.3">
      <c r="A5316" s="19">
        <f t="shared" si="414"/>
        <v>53357</v>
      </c>
      <c r="B5316">
        <f t="shared" ca="1" si="410"/>
        <v>-20.013888888888889</v>
      </c>
      <c r="C5316" t="str">
        <f ca="1">IF(currency="USD",'Future et co'!D5316,IF(currency="EUR",'Future et co'!E5316,IF(currency="GBP",'Future et co'!F5316,FALSE)))</f>
        <v>RFR USD</v>
      </c>
      <c r="D5316" t="str">
        <f t="shared" ca="1" si="411"/>
        <v>RFR USD</v>
      </c>
      <c r="E5316" t="str">
        <f t="shared" ca="1" si="412"/>
        <v>RFR EUR</v>
      </c>
      <c r="F5316" t="str">
        <f t="shared" ca="1" si="413"/>
        <v>RFR GBP</v>
      </c>
      <c r="J5316" s="1"/>
      <c r="K5316" s="20"/>
      <c r="N5316" s="1"/>
      <c r="O5316" s="20"/>
      <c r="R5316" s="1"/>
      <c r="AB5316" s="1"/>
      <c r="AC5316" s="20"/>
      <c r="AF5316" s="1"/>
      <c r="AG5316" s="20"/>
      <c r="AJ5316" s="1"/>
      <c r="AS5316" s="1"/>
      <c r="AT5316" s="20"/>
      <c r="AX5316" s="1"/>
    </row>
    <row r="5317" spans="1:50" x14ac:dyDescent="0.3">
      <c r="A5317" s="19">
        <f t="shared" si="414"/>
        <v>53358</v>
      </c>
      <c r="B5317">
        <f t="shared" ca="1" si="410"/>
        <v>-20.016666666666666</v>
      </c>
      <c r="C5317" t="str">
        <f ca="1">IF(currency="USD",'Future et co'!D5317,IF(currency="EUR",'Future et co'!E5317,IF(currency="GBP",'Future et co'!F5317,FALSE)))</f>
        <v>RFR USD</v>
      </c>
      <c r="D5317" t="str">
        <f t="shared" ca="1" si="411"/>
        <v>RFR USD</v>
      </c>
      <c r="E5317" t="str">
        <f t="shared" ca="1" si="412"/>
        <v>RFR EUR</v>
      </c>
      <c r="F5317" t="str">
        <f t="shared" ca="1" si="413"/>
        <v>RFR GBP</v>
      </c>
      <c r="J5317" s="1"/>
      <c r="K5317" s="20"/>
      <c r="N5317" s="1"/>
      <c r="O5317" s="20"/>
      <c r="R5317" s="1"/>
      <c r="AB5317" s="1"/>
      <c r="AC5317" s="20"/>
      <c r="AF5317" s="1"/>
      <c r="AG5317" s="20"/>
      <c r="AJ5317" s="1"/>
      <c r="AS5317" s="1"/>
      <c r="AT5317" s="20"/>
      <c r="AX5317" s="1"/>
    </row>
    <row r="5318" spans="1:50" x14ac:dyDescent="0.3">
      <c r="A5318" s="19">
        <f t="shared" si="414"/>
        <v>53359</v>
      </c>
      <c r="B5318">
        <f t="shared" ca="1" si="410"/>
        <v>-20.019444444444446</v>
      </c>
      <c r="C5318" t="str">
        <f ca="1">IF(currency="USD",'Future et co'!D5318,IF(currency="EUR",'Future et co'!E5318,IF(currency="GBP",'Future et co'!F5318,FALSE)))</f>
        <v>RFR USD</v>
      </c>
      <c r="D5318" t="str">
        <f t="shared" ca="1" si="411"/>
        <v>RFR USD</v>
      </c>
      <c r="E5318" t="str">
        <f t="shared" ca="1" si="412"/>
        <v>RFR EUR</v>
      </c>
      <c r="F5318" t="str">
        <f t="shared" ca="1" si="413"/>
        <v>RFR GBP</v>
      </c>
      <c r="J5318" s="1"/>
      <c r="K5318" s="20"/>
      <c r="N5318" s="1"/>
      <c r="O5318" s="20"/>
      <c r="R5318" s="1"/>
      <c r="AB5318" s="1"/>
      <c r="AC5318" s="20"/>
      <c r="AF5318" s="1"/>
      <c r="AG5318" s="20"/>
      <c r="AJ5318" s="1"/>
      <c r="AS5318" s="1"/>
      <c r="AT5318" s="20"/>
      <c r="AX5318" s="1"/>
    </row>
    <row r="5319" spans="1:50" x14ac:dyDescent="0.3">
      <c r="A5319" s="19">
        <f t="shared" si="414"/>
        <v>53360</v>
      </c>
      <c r="B5319">
        <f t="shared" ca="1" si="410"/>
        <v>-20.022222222222222</v>
      </c>
      <c r="C5319" t="str">
        <f ca="1">IF(currency="USD",'Future et co'!D5319,IF(currency="EUR",'Future et co'!E5319,IF(currency="GBP",'Future et co'!F5319,FALSE)))</f>
        <v>RFR USD</v>
      </c>
      <c r="D5319" t="str">
        <f t="shared" ca="1" si="411"/>
        <v>RFR USD</v>
      </c>
      <c r="E5319" t="str">
        <f t="shared" ca="1" si="412"/>
        <v>RFR EUR</v>
      </c>
      <c r="F5319" t="str">
        <f t="shared" ca="1" si="413"/>
        <v>RFR GBP</v>
      </c>
      <c r="J5319" s="1"/>
      <c r="K5319" s="20"/>
      <c r="N5319" s="1"/>
      <c r="O5319" s="20"/>
      <c r="R5319" s="1"/>
      <c r="AB5319" s="1"/>
      <c r="AC5319" s="20"/>
      <c r="AF5319" s="1"/>
      <c r="AG5319" s="20"/>
      <c r="AJ5319" s="1"/>
      <c r="AS5319" s="1"/>
      <c r="AT5319" s="20"/>
      <c r="AX5319" s="1"/>
    </row>
    <row r="5320" spans="1:50" x14ac:dyDescent="0.3">
      <c r="A5320" s="19">
        <f t="shared" si="414"/>
        <v>53363</v>
      </c>
      <c r="B5320">
        <f t="shared" ca="1" si="410"/>
        <v>-20.030555555555555</v>
      </c>
      <c r="C5320" t="str">
        <f ca="1">IF(currency="USD",'Future et co'!D5320,IF(currency="EUR",'Future et co'!E5320,IF(currency="GBP",'Future et co'!F5320,FALSE)))</f>
        <v>RFR USD</v>
      </c>
      <c r="D5320" t="str">
        <f t="shared" ca="1" si="411"/>
        <v>RFR USD</v>
      </c>
      <c r="E5320" t="str">
        <f t="shared" ca="1" si="412"/>
        <v>RFR EUR</v>
      </c>
      <c r="F5320" t="str">
        <f t="shared" ca="1" si="413"/>
        <v>RFR GBP</v>
      </c>
      <c r="J5320" s="1"/>
      <c r="K5320" s="20"/>
      <c r="N5320" s="1"/>
      <c r="O5320" s="20"/>
      <c r="R5320" s="1"/>
      <c r="AB5320" s="1"/>
      <c r="AC5320" s="20"/>
      <c r="AF5320" s="1"/>
      <c r="AG5320" s="20"/>
      <c r="AJ5320" s="1"/>
      <c r="AS5320" s="1"/>
      <c r="AT5320" s="20"/>
      <c r="AX5320" s="1"/>
    </row>
    <row r="5321" spans="1:50" x14ac:dyDescent="0.3">
      <c r="A5321" s="19">
        <f t="shared" si="414"/>
        <v>53364</v>
      </c>
      <c r="B5321">
        <f t="shared" ca="1" si="410"/>
        <v>-20.033333333333335</v>
      </c>
      <c r="C5321" t="str">
        <f ca="1">IF(currency="USD",'Future et co'!D5321,IF(currency="EUR",'Future et co'!E5321,IF(currency="GBP",'Future et co'!F5321,FALSE)))</f>
        <v>RFR USD</v>
      </c>
      <c r="D5321" t="str">
        <f t="shared" ca="1" si="411"/>
        <v>RFR USD</v>
      </c>
      <c r="E5321" t="str">
        <f t="shared" ca="1" si="412"/>
        <v>RFR EUR</v>
      </c>
      <c r="F5321" t="str">
        <f t="shared" ca="1" si="413"/>
        <v>RFR GBP</v>
      </c>
      <c r="J5321" s="1"/>
      <c r="K5321" s="20"/>
      <c r="N5321" s="1"/>
      <c r="O5321" s="20"/>
      <c r="R5321" s="1"/>
      <c r="AB5321" s="1"/>
      <c r="AC5321" s="20"/>
      <c r="AF5321" s="1"/>
      <c r="AG5321" s="20"/>
      <c r="AJ5321" s="1"/>
      <c r="AS5321" s="1"/>
      <c r="AT5321" s="20"/>
      <c r="AX5321" s="1"/>
    </row>
    <row r="5322" spans="1:50" x14ac:dyDescent="0.3">
      <c r="A5322" s="19">
        <f t="shared" si="414"/>
        <v>53365</v>
      </c>
      <c r="B5322">
        <f t="shared" ca="1" si="410"/>
        <v>-20.036111111111111</v>
      </c>
      <c r="C5322" t="str">
        <f ca="1">IF(currency="USD",'Future et co'!D5322,IF(currency="EUR",'Future et co'!E5322,IF(currency="GBP",'Future et co'!F5322,FALSE)))</f>
        <v>RFR USD</v>
      </c>
      <c r="D5322" t="str">
        <f t="shared" ca="1" si="411"/>
        <v>RFR USD</v>
      </c>
      <c r="E5322" t="str">
        <f t="shared" ca="1" si="412"/>
        <v>RFR EUR</v>
      </c>
      <c r="F5322" t="str">
        <f t="shared" ca="1" si="413"/>
        <v>RFR GBP</v>
      </c>
      <c r="J5322" s="1"/>
      <c r="K5322" s="20"/>
      <c r="N5322" s="1"/>
      <c r="O5322" s="20"/>
      <c r="R5322" s="1"/>
      <c r="AB5322" s="1"/>
      <c r="AC5322" s="20"/>
      <c r="AF5322" s="1"/>
      <c r="AG5322" s="20"/>
      <c r="AJ5322" s="1"/>
      <c r="AS5322" s="1"/>
      <c r="AT5322" s="20"/>
      <c r="AX5322" s="1"/>
    </row>
    <row r="5323" spans="1:50" x14ac:dyDescent="0.3">
      <c r="A5323" s="19">
        <f t="shared" si="414"/>
        <v>53366</v>
      </c>
      <c r="B5323">
        <f t="shared" ref="B5323:B5386" ca="1" si="415">($B$7-A5323)/360</f>
        <v>-20.038888888888888</v>
      </c>
      <c r="C5323" t="str">
        <f ca="1">IF(currency="USD",'Future et co'!D5323,IF(currency="EUR",'Future et co'!E5323,IF(currency="GBP",'Future et co'!F5323,FALSE)))</f>
        <v>RFR USD</v>
      </c>
      <c r="D5323" t="str">
        <f t="shared" ref="D5323:D5386" ca="1" si="416">IFERROR(IF(B5323&lt;0.25,VLOOKUP(A5323,$J$11:$L$5325,3,FALSE),IF(AND(B5323&gt;=0.25,B5323&lt;0.5),VLOOKUP(A5323,$N$11:$P$5325,3,FALSE),IF(AND(B5323&gt;=0.5,B5323&lt;1),VLOOKUP(A5323,$R$11:$T$5325,3,FALSE),VLOOKUP(A5323,$V$11:$X$5010,3,FALSE)))),D5322)</f>
        <v>RFR USD</v>
      </c>
      <c r="E5323" t="str">
        <f t="shared" ref="E5323:E5386" ca="1" si="417">IFERROR(IF(B5323&lt;0.25,VLOOKUP(A5323,$AF$11:$AH$5325,3,FALSE),IF(AND(B5323&gt;=0.25,B5323&lt;0.5),VLOOKUP(A5323,$AJ$11:$AL$5325,3,FALSE),VLOOKUP(A5323,$AN$11:$AP$5325,3,FALSE))),E5322)</f>
        <v>RFR EUR</v>
      </c>
      <c r="F5323" t="str">
        <f t="shared" ref="F5323:F5386" ca="1" si="418">IFERROR(VLOOKUP(A5323,$AS$11:$AU$9999,3,FALSE),F5322)</f>
        <v>RFR GBP</v>
      </c>
      <c r="J5323" s="1"/>
      <c r="K5323" s="20"/>
      <c r="N5323" s="1"/>
      <c r="O5323" s="20"/>
      <c r="R5323" s="1"/>
      <c r="AB5323" s="1"/>
      <c r="AC5323" s="20"/>
      <c r="AF5323" s="1"/>
      <c r="AG5323" s="20"/>
      <c r="AJ5323" s="1"/>
      <c r="AS5323" s="1"/>
      <c r="AT5323" s="20"/>
      <c r="AX5323" s="1"/>
    </row>
    <row r="5324" spans="1:50" x14ac:dyDescent="0.3">
      <c r="A5324" s="19">
        <f t="shared" si="414"/>
        <v>53367</v>
      </c>
      <c r="B5324">
        <f t="shared" ca="1" si="415"/>
        <v>-20.041666666666668</v>
      </c>
      <c r="C5324" t="str">
        <f ca="1">IF(currency="USD",'Future et co'!D5324,IF(currency="EUR",'Future et co'!E5324,IF(currency="GBP",'Future et co'!F5324,FALSE)))</f>
        <v>RFR USD</v>
      </c>
      <c r="D5324" t="str">
        <f t="shared" ca="1" si="416"/>
        <v>RFR USD</v>
      </c>
      <c r="E5324" t="str">
        <f t="shared" ca="1" si="417"/>
        <v>RFR EUR</v>
      </c>
      <c r="F5324" t="str">
        <f t="shared" ca="1" si="418"/>
        <v>RFR GBP</v>
      </c>
      <c r="J5324" s="1"/>
      <c r="K5324" s="20"/>
      <c r="N5324" s="1"/>
      <c r="O5324" s="20"/>
      <c r="R5324" s="1"/>
      <c r="AB5324" s="1"/>
      <c r="AC5324" s="20"/>
      <c r="AF5324" s="1"/>
      <c r="AG5324" s="20"/>
      <c r="AJ5324" s="1"/>
      <c r="AS5324" s="1"/>
      <c r="AT5324" s="20"/>
      <c r="AX5324" s="1"/>
    </row>
    <row r="5325" spans="1:50" x14ac:dyDescent="0.3">
      <c r="A5325" s="19">
        <f t="shared" ref="A5325:A5388" si="419">WORKDAY(A5324,1)</f>
        <v>53370</v>
      </c>
      <c r="B5325">
        <f t="shared" ca="1" si="415"/>
        <v>-20.05</v>
      </c>
      <c r="C5325" t="str">
        <f ca="1">IF(currency="USD",'Future et co'!D5325,IF(currency="EUR",'Future et co'!E5325,IF(currency="GBP",'Future et co'!F5325,FALSE)))</f>
        <v>RFR USD</v>
      </c>
      <c r="D5325" t="str">
        <f t="shared" ca="1" si="416"/>
        <v>RFR USD</v>
      </c>
      <c r="E5325" t="str">
        <f t="shared" ca="1" si="417"/>
        <v>RFR EUR</v>
      </c>
      <c r="F5325" t="str">
        <f t="shared" ca="1" si="418"/>
        <v>RFR GBP</v>
      </c>
      <c r="J5325" s="1"/>
      <c r="K5325" s="20"/>
      <c r="N5325" s="1"/>
      <c r="O5325" s="20"/>
      <c r="R5325" s="1"/>
      <c r="AB5325" s="1"/>
      <c r="AC5325" s="20"/>
      <c r="AF5325" s="1"/>
      <c r="AG5325" s="20"/>
      <c r="AJ5325" s="1"/>
      <c r="AS5325" s="1"/>
      <c r="AT5325" s="20"/>
      <c r="AX5325" s="1"/>
    </row>
    <row r="5326" spans="1:50" x14ac:dyDescent="0.3">
      <c r="A5326" s="19">
        <f t="shared" si="419"/>
        <v>53371</v>
      </c>
      <c r="B5326">
        <f t="shared" ca="1" si="415"/>
        <v>-20.052777777777777</v>
      </c>
      <c r="C5326" t="str">
        <f ca="1">IF(currency="USD",'Future et co'!D5326,IF(currency="EUR",'Future et co'!E5326,IF(currency="GBP",'Future et co'!F5326,FALSE)))</f>
        <v>RFR USD</v>
      </c>
      <c r="D5326" t="str">
        <f t="shared" ca="1" si="416"/>
        <v>RFR USD</v>
      </c>
      <c r="E5326" t="str">
        <f t="shared" ca="1" si="417"/>
        <v>RFR EUR</v>
      </c>
      <c r="F5326" t="str">
        <f t="shared" ca="1" si="418"/>
        <v>RFR GBP</v>
      </c>
      <c r="J5326" s="1"/>
      <c r="K5326" s="20"/>
      <c r="L5326" s="20"/>
      <c r="R5326" s="1"/>
      <c r="AB5326" s="1"/>
      <c r="AC5326" s="20"/>
      <c r="AD5326" s="20"/>
      <c r="AJ5326" s="1"/>
      <c r="AS5326" s="1"/>
      <c r="AT5326" s="20"/>
      <c r="AX5326" s="1"/>
    </row>
    <row r="5327" spans="1:50" x14ac:dyDescent="0.3">
      <c r="A5327" s="19">
        <f t="shared" si="419"/>
        <v>53372</v>
      </c>
      <c r="B5327">
        <f t="shared" ca="1" si="415"/>
        <v>-20.055555555555557</v>
      </c>
      <c r="C5327" t="str">
        <f ca="1">IF(currency="USD",'Future et co'!D5327,IF(currency="EUR",'Future et co'!E5327,IF(currency="GBP",'Future et co'!F5327,FALSE)))</f>
        <v>RFR USD</v>
      </c>
      <c r="D5327" t="str">
        <f t="shared" ca="1" si="416"/>
        <v>RFR USD</v>
      </c>
      <c r="E5327" t="str">
        <f t="shared" ca="1" si="417"/>
        <v>RFR EUR</v>
      </c>
      <c r="F5327" t="str">
        <f t="shared" ca="1" si="418"/>
        <v>RFR GBP</v>
      </c>
      <c r="J5327" s="1"/>
      <c r="K5327" s="20"/>
      <c r="L5327" s="20"/>
      <c r="AB5327" s="1"/>
      <c r="AC5327" s="20"/>
      <c r="AD5327" s="20"/>
      <c r="AS5327" s="1"/>
      <c r="AT5327" s="20"/>
      <c r="AX5327" s="1"/>
    </row>
    <row r="5328" spans="1:50" x14ac:dyDescent="0.3">
      <c r="A5328" s="19">
        <f t="shared" si="419"/>
        <v>53373</v>
      </c>
      <c r="B5328">
        <f t="shared" ca="1" si="415"/>
        <v>-20.058333333333334</v>
      </c>
      <c r="C5328" t="str">
        <f ca="1">IF(currency="USD",'Future et co'!D5328,IF(currency="EUR",'Future et co'!E5328,IF(currency="GBP",'Future et co'!F5328,FALSE)))</f>
        <v>RFR USD</v>
      </c>
      <c r="D5328" t="str">
        <f t="shared" ca="1" si="416"/>
        <v>RFR USD</v>
      </c>
      <c r="E5328" t="str">
        <f t="shared" ca="1" si="417"/>
        <v>RFR EUR</v>
      </c>
      <c r="F5328" t="str">
        <f t="shared" ca="1" si="418"/>
        <v>RFR GBP</v>
      </c>
      <c r="J5328" s="1"/>
      <c r="K5328" s="20"/>
      <c r="L5328" s="20"/>
      <c r="AB5328" s="1"/>
      <c r="AC5328" s="20"/>
      <c r="AD5328" s="20"/>
      <c r="AS5328" s="1"/>
      <c r="AT5328" s="20"/>
      <c r="AX5328" s="1"/>
    </row>
    <row r="5329" spans="1:50" x14ac:dyDescent="0.3">
      <c r="A5329" s="19">
        <f t="shared" si="419"/>
        <v>53374</v>
      </c>
      <c r="B5329">
        <f t="shared" ca="1" si="415"/>
        <v>-20.06111111111111</v>
      </c>
      <c r="C5329" t="str">
        <f ca="1">IF(currency="USD",'Future et co'!D5329,IF(currency="EUR",'Future et co'!E5329,IF(currency="GBP",'Future et co'!F5329,FALSE)))</f>
        <v>RFR USD</v>
      </c>
      <c r="D5329" t="str">
        <f t="shared" ca="1" si="416"/>
        <v>RFR USD</v>
      </c>
      <c r="E5329" t="str">
        <f t="shared" ca="1" si="417"/>
        <v>RFR EUR</v>
      </c>
      <c r="F5329" t="str">
        <f t="shared" ca="1" si="418"/>
        <v>RFR GBP</v>
      </c>
      <c r="J5329" s="1"/>
      <c r="K5329" s="20"/>
      <c r="L5329" s="20"/>
      <c r="AB5329" s="1"/>
      <c r="AC5329" s="20"/>
      <c r="AD5329" s="20"/>
      <c r="AS5329" s="1"/>
      <c r="AT5329" s="20"/>
      <c r="AX5329" s="1"/>
    </row>
    <row r="5330" spans="1:50" x14ac:dyDescent="0.3">
      <c r="A5330" s="19">
        <f t="shared" si="419"/>
        <v>53377</v>
      </c>
      <c r="B5330">
        <f t="shared" ca="1" si="415"/>
        <v>-20.069444444444443</v>
      </c>
      <c r="C5330" t="str">
        <f ca="1">IF(currency="USD",'Future et co'!D5330,IF(currency="EUR",'Future et co'!E5330,IF(currency="GBP",'Future et co'!F5330,FALSE)))</f>
        <v>RFR USD</v>
      </c>
      <c r="D5330" t="str">
        <f t="shared" ca="1" si="416"/>
        <v>RFR USD</v>
      </c>
      <c r="E5330" t="str">
        <f t="shared" ca="1" si="417"/>
        <v>RFR EUR</v>
      </c>
      <c r="F5330" t="str">
        <f t="shared" ca="1" si="418"/>
        <v>RFR GBP</v>
      </c>
      <c r="J5330" s="1"/>
      <c r="K5330" s="20"/>
      <c r="L5330" s="20"/>
      <c r="AB5330" s="1"/>
      <c r="AC5330" s="20"/>
      <c r="AD5330" s="20"/>
      <c r="AS5330" s="1"/>
      <c r="AT5330" s="20"/>
      <c r="AX5330" s="1"/>
    </row>
    <row r="5331" spans="1:50" x14ac:dyDescent="0.3">
      <c r="A5331" s="19">
        <f t="shared" si="419"/>
        <v>53378</v>
      </c>
      <c r="B5331">
        <f t="shared" ca="1" si="415"/>
        <v>-20.072222222222223</v>
      </c>
      <c r="C5331" t="str">
        <f ca="1">IF(currency="USD",'Future et co'!D5331,IF(currency="EUR",'Future et co'!E5331,IF(currency="GBP",'Future et co'!F5331,FALSE)))</f>
        <v>RFR USD</v>
      </c>
      <c r="D5331" t="str">
        <f t="shared" ca="1" si="416"/>
        <v>RFR USD</v>
      </c>
      <c r="E5331" t="str">
        <f t="shared" ca="1" si="417"/>
        <v>RFR EUR</v>
      </c>
      <c r="F5331" t="str">
        <f t="shared" ca="1" si="418"/>
        <v>RFR GBP</v>
      </c>
      <c r="J5331" s="1"/>
      <c r="K5331" s="20"/>
      <c r="L5331" s="20"/>
      <c r="AB5331" s="1"/>
      <c r="AC5331" s="20"/>
      <c r="AD5331" s="20"/>
      <c r="AS5331" s="1"/>
      <c r="AT5331" s="20"/>
      <c r="AX5331" s="1"/>
    </row>
    <row r="5332" spans="1:50" x14ac:dyDescent="0.3">
      <c r="A5332" s="19">
        <f t="shared" si="419"/>
        <v>53379</v>
      </c>
      <c r="B5332">
        <f t="shared" ca="1" si="415"/>
        <v>-20.074999999999999</v>
      </c>
      <c r="C5332" t="str">
        <f ca="1">IF(currency="USD",'Future et co'!D5332,IF(currency="EUR",'Future et co'!E5332,IF(currency="GBP",'Future et co'!F5332,FALSE)))</f>
        <v>RFR USD</v>
      </c>
      <c r="D5332" t="str">
        <f t="shared" ca="1" si="416"/>
        <v>RFR USD</v>
      </c>
      <c r="E5332" t="str">
        <f t="shared" ca="1" si="417"/>
        <v>RFR EUR</v>
      </c>
      <c r="F5332" t="str">
        <f t="shared" ca="1" si="418"/>
        <v>RFR GBP</v>
      </c>
      <c r="J5332" s="1"/>
      <c r="K5332" s="20"/>
      <c r="L5332" s="20"/>
      <c r="AB5332" s="1"/>
      <c r="AC5332" s="20"/>
      <c r="AD5332" s="20"/>
      <c r="AS5332" s="1"/>
      <c r="AT5332" s="20"/>
      <c r="AX5332" s="1"/>
    </row>
    <row r="5333" spans="1:50" x14ac:dyDescent="0.3">
      <c r="A5333" s="19">
        <f t="shared" si="419"/>
        <v>53380</v>
      </c>
      <c r="B5333">
        <f t="shared" ca="1" si="415"/>
        <v>-20.077777777777779</v>
      </c>
      <c r="C5333" t="str">
        <f ca="1">IF(currency="USD",'Future et co'!D5333,IF(currency="EUR",'Future et co'!E5333,IF(currency="GBP",'Future et co'!F5333,FALSE)))</f>
        <v>RFR USD</v>
      </c>
      <c r="D5333" t="str">
        <f t="shared" ca="1" si="416"/>
        <v>RFR USD</v>
      </c>
      <c r="E5333" t="str">
        <f t="shared" ca="1" si="417"/>
        <v>RFR EUR</v>
      </c>
      <c r="F5333" t="str">
        <f t="shared" ca="1" si="418"/>
        <v>RFR GBP</v>
      </c>
      <c r="J5333" s="1"/>
      <c r="K5333" s="20"/>
      <c r="L5333" s="20"/>
      <c r="AB5333" s="1"/>
      <c r="AC5333" s="20"/>
      <c r="AD5333" s="20"/>
      <c r="AS5333" s="1"/>
      <c r="AT5333" s="20"/>
      <c r="AX5333" s="1"/>
    </row>
    <row r="5334" spans="1:50" x14ac:dyDescent="0.3">
      <c r="A5334" s="19">
        <f t="shared" si="419"/>
        <v>53381</v>
      </c>
      <c r="B5334">
        <f t="shared" ca="1" si="415"/>
        <v>-20.080555555555556</v>
      </c>
      <c r="C5334" t="str">
        <f ca="1">IF(currency="USD",'Future et co'!D5334,IF(currency="EUR",'Future et co'!E5334,IF(currency="GBP",'Future et co'!F5334,FALSE)))</f>
        <v>RFR USD</v>
      </c>
      <c r="D5334" t="str">
        <f t="shared" ca="1" si="416"/>
        <v>RFR USD</v>
      </c>
      <c r="E5334" t="str">
        <f t="shared" ca="1" si="417"/>
        <v>RFR EUR</v>
      </c>
      <c r="F5334" t="str">
        <f t="shared" ca="1" si="418"/>
        <v>RFR GBP</v>
      </c>
      <c r="J5334" s="1"/>
      <c r="K5334" s="20"/>
      <c r="L5334" s="20"/>
      <c r="AB5334" s="1"/>
      <c r="AC5334" s="20"/>
      <c r="AD5334" s="20"/>
      <c r="AS5334" s="1"/>
      <c r="AT5334" s="20"/>
      <c r="AX5334" s="1"/>
    </row>
    <row r="5335" spans="1:50" x14ac:dyDescent="0.3">
      <c r="A5335" s="19">
        <f t="shared" si="419"/>
        <v>53384</v>
      </c>
      <c r="B5335">
        <f t="shared" ca="1" si="415"/>
        <v>-20.088888888888889</v>
      </c>
      <c r="C5335" t="str">
        <f ca="1">IF(currency="USD",'Future et co'!D5335,IF(currency="EUR",'Future et co'!E5335,IF(currency="GBP",'Future et co'!F5335,FALSE)))</f>
        <v>RFR USD</v>
      </c>
      <c r="D5335" t="str">
        <f t="shared" ca="1" si="416"/>
        <v>RFR USD</v>
      </c>
      <c r="E5335" t="str">
        <f t="shared" ca="1" si="417"/>
        <v>RFR EUR</v>
      </c>
      <c r="F5335" t="str">
        <f t="shared" ca="1" si="418"/>
        <v>RFR GBP</v>
      </c>
      <c r="J5335" s="1"/>
      <c r="K5335" s="20"/>
      <c r="L5335" s="20"/>
      <c r="AB5335" s="1"/>
      <c r="AC5335" s="20"/>
      <c r="AD5335" s="20"/>
      <c r="AS5335" s="1"/>
      <c r="AT5335" s="20"/>
      <c r="AX5335" s="1"/>
    </row>
    <row r="5336" spans="1:50" x14ac:dyDescent="0.3">
      <c r="A5336" s="19">
        <f t="shared" si="419"/>
        <v>53385</v>
      </c>
      <c r="B5336">
        <f t="shared" ca="1" si="415"/>
        <v>-20.091666666666665</v>
      </c>
      <c r="C5336" t="str">
        <f ca="1">IF(currency="USD",'Future et co'!D5336,IF(currency="EUR",'Future et co'!E5336,IF(currency="GBP",'Future et co'!F5336,FALSE)))</f>
        <v>RFR USD</v>
      </c>
      <c r="D5336" t="str">
        <f t="shared" ca="1" si="416"/>
        <v>RFR USD</v>
      </c>
      <c r="E5336" t="str">
        <f t="shared" ca="1" si="417"/>
        <v>RFR EUR</v>
      </c>
      <c r="F5336" t="str">
        <f t="shared" ca="1" si="418"/>
        <v>RFR GBP</v>
      </c>
      <c r="AX5336" s="1"/>
    </row>
    <row r="5337" spans="1:50" x14ac:dyDescent="0.3">
      <c r="A5337" s="19">
        <f t="shared" si="419"/>
        <v>53386</v>
      </c>
      <c r="B5337">
        <f t="shared" ca="1" si="415"/>
        <v>-20.094444444444445</v>
      </c>
      <c r="C5337" t="str">
        <f ca="1">IF(currency="USD",'Future et co'!D5337,IF(currency="EUR",'Future et co'!E5337,IF(currency="GBP",'Future et co'!F5337,FALSE)))</f>
        <v>RFR USD</v>
      </c>
      <c r="D5337" t="str">
        <f t="shared" ca="1" si="416"/>
        <v>RFR USD</v>
      </c>
      <c r="E5337" t="str">
        <f t="shared" ca="1" si="417"/>
        <v>RFR EUR</v>
      </c>
      <c r="F5337" t="str">
        <f t="shared" ca="1" si="418"/>
        <v>RFR GBP</v>
      </c>
      <c r="AX5337" s="1"/>
    </row>
    <row r="5338" spans="1:50" x14ac:dyDescent="0.3">
      <c r="A5338" s="19">
        <f t="shared" si="419"/>
        <v>53387</v>
      </c>
      <c r="B5338">
        <f t="shared" ca="1" si="415"/>
        <v>-20.097222222222221</v>
      </c>
      <c r="C5338" t="str">
        <f ca="1">IF(currency="USD",'Future et co'!D5338,IF(currency="EUR",'Future et co'!E5338,IF(currency="GBP",'Future et co'!F5338,FALSE)))</f>
        <v>RFR USD</v>
      </c>
      <c r="D5338" t="str">
        <f t="shared" ca="1" si="416"/>
        <v>RFR USD</v>
      </c>
      <c r="E5338" t="str">
        <f t="shared" ca="1" si="417"/>
        <v>RFR EUR</v>
      </c>
      <c r="F5338" t="str">
        <f t="shared" ca="1" si="418"/>
        <v>RFR GBP</v>
      </c>
      <c r="AX5338" s="1"/>
    </row>
    <row r="5339" spans="1:50" x14ac:dyDescent="0.3">
      <c r="A5339" s="19">
        <f t="shared" si="419"/>
        <v>53388</v>
      </c>
      <c r="B5339">
        <f t="shared" ca="1" si="415"/>
        <v>-20.100000000000001</v>
      </c>
      <c r="C5339" t="str">
        <f ca="1">IF(currency="USD",'Future et co'!D5339,IF(currency="EUR",'Future et co'!E5339,IF(currency="GBP",'Future et co'!F5339,FALSE)))</f>
        <v>RFR USD</v>
      </c>
      <c r="D5339" t="str">
        <f t="shared" ca="1" si="416"/>
        <v>RFR USD</v>
      </c>
      <c r="E5339" t="str">
        <f t="shared" ca="1" si="417"/>
        <v>RFR EUR</v>
      </c>
      <c r="F5339" t="str">
        <f t="shared" ca="1" si="418"/>
        <v>RFR GBP</v>
      </c>
      <c r="AX5339" s="1"/>
    </row>
    <row r="5340" spans="1:50" x14ac:dyDescent="0.3">
      <c r="A5340" s="19">
        <f t="shared" si="419"/>
        <v>53391</v>
      </c>
      <c r="B5340">
        <f t="shared" ca="1" si="415"/>
        <v>-20.108333333333334</v>
      </c>
      <c r="C5340" t="str">
        <f ca="1">IF(currency="USD",'Future et co'!D5340,IF(currency="EUR",'Future et co'!E5340,IF(currency="GBP",'Future et co'!F5340,FALSE)))</f>
        <v>RFR USD</v>
      </c>
      <c r="D5340" t="str">
        <f t="shared" ca="1" si="416"/>
        <v>RFR USD</v>
      </c>
      <c r="E5340" t="str">
        <f t="shared" ca="1" si="417"/>
        <v>RFR EUR</v>
      </c>
      <c r="F5340" t="str">
        <f t="shared" ca="1" si="418"/>
        <v>RFR GBP</v>
      </c>
      <c r="AX5340" s="1"/>
    </row>
    <row r="5341" spans="1:50" x14ac:dyDescent="0.3">
      <c r="A5341" s="19">
        <f t="shared" si="419"/>
        <v>53392</v>
      </c>
      <c r="B5341">
        <f t="shared" ca="1" si="415"/>
        <v>-20.111111111111111</v>
      </c>
      <c r="C5341" t="str">
        <f ca="1">IF(currency="USD",'Future et co'!D5341,IF(currency="EUR",'Future et co'!E5341,IF(currency="GBP",'Future et co'!F5341,FALSE)))</f>
        <v>RFR USD</v>
      </c>
      <c r="D5341" t="str">
        <f t="shared" ca="1" si="416"/>
        <v>RFR USD</v>
      </c>
      <c r="E5341" t="str">
        <f t="shared" ca="1" si="417"/>
        <v>RFR EUR</v>
      </c>
      <c r="F5341" t="str">
        <f t="shared" ca="1" si="418"/>
        <v>RFR GBP</v>
      </c>
      <c r="AX5341" s="1"/>
    </row>
    <row r="5342" spans="1:50" x14ac:dyDescent="0.3">
      <c r="A5342" s="19">
        <f t="shared" si="419"/>
        <v>53393</v>
      </c>
      <c r="B5342">
        <f t="shared" ca="1" si="415"/>
        <v>-20.113888888888887</v>
      </c>
      <c r="C5342" t="str">
        <f ca="1">IF(currency="USD",'Future et co'!D5342,IF(currency="EUR",'Future et co'!E5342,IF(currency="GBP",'Future et co'!F5342,FALSE)))</f>
        <v>RFR USD</v>
      </c>
      <c r="D5342" t="str">
        <f t="shared" ca="1" si="416"/>
        <v>RFR USD</v>
      </c>
      <c r="E5342" t="str">
        <f t="shared" ca="1" si="417"/>
        <v>RFR EUR</v>
      </c>
      <c r="F5342" t="str">
        <f t="shared" ca="1" si="418"/>
        <v>RFR GBP</v>
      </c>
      <c r="AX5342" s="1"/>
    </row>
    <row r="5343" spans="1:50" x14ac:dyDescent="0.3">
      <c r="A5343" s="19">
        <f t="shared" si="419"/>
        <v>53394</v>
      </c>
      <c r="B5343">
        <f t="shared" ca="1" si="415"/>
        <v>-20.116666666666667</v>
      </c>
      <c r="C5343" t="str">
        <f ca="1">IF(currency="USD",'Future et co'!D5343,IF(currency="EUR",'Future et co'!E5343,IF(currency="GBP",'Future et co'!F5343,FALSE)))</f>
        <v>RFR USD</v>
      </c>
      <c r="D5343" t="str">
        <f t="shared" ca="1" si="416"/>
        <v>RFR USD</v>
      </c>
      <c r="E5343" t="str">
        <f t="shared" ca="1" si="417"/>
        <v>RFR EUR</v>
      </c>
      <c r="F5343" t="str">
        <f t="shared" ca="1" si="418"/>
        <v>RFR GBP</v>
      </c>
      <c r="AX5343" s="1"/>
    </row>
    <row r="5344" spans="1:50" x14ac:dyDescent="0.3">
      <c r="A5344" s="19">
        <f t="shared" si="419"/>
        <v>53395</v>
      </c>
      <c r="B5344">
        <f t="shared" ca="1" si="415"/>
        <v>-20.119444444444444</v>
      </c>
      <c r="C5344" t="str">
        <f ca="1">IF(currency="USD",'Future et co'!D5344,IF(currency="EUR",'Future et co'!E5344,IF(currency="GBP",'Future et co'!F5344,FALSE)))</f>
        <v>RFR USD</v>
      </c>
      <c r="D5344" t="str">
        <f t="shared" ca="1" si="416"/>
        <v>RFR USD</v>
      </c>
      <c r="E5344" t="str">
        <f t="shared" ca="1" si="417"/>
        <v>RFR EUR</v>
      </c>
      <c r="F5344" t="str">
        <f t="shared" ca="1" si="418"/>
        <v>RFR GBP</v>
      </c>
      <c r="AX5344" s="1"/>
    </row>
    <row r="5345" spans="1:50" x14ac:dyDescent="0.3">
      <c r="A5345" s="19">
        <f t="shared" si="419"/>
        <v>53398</v>
      </c>
      <c r="B5345">
        <f t="shared" ca="1" si="415"/>
        <v>-20.127777777777776</v>
      </c>
      <c r="C5345" t="str">
        <f ca="1">IF(currency="USD",'Future et co'!D5345,IF(currency="EUR",'Future et co'!E5345,IF(currency="GBP",'Future et co'!F5345,FALSE)))</f>
        <v>RFR USD</v>
      </c>
      <c r="D5345" t="str">
        <f t="shared" ca="1" si="416"/>
        <v>RFR USD</v>
      </c>
      <c r="E5345" t="str">
        <f t="shared" ca="1" si="417"/>
        <v>RFR EUR</v>
      </c>
      <c r="F5345" t="str">
        <f t="shared" ca="1" si="418"/>
        <v>RFR GBP</v>
      </c>
      <c r="AX5345" s="1"/>
    </row>
    <row r="5346" spans="1:50" x14ac:dyDescent="0.3">
      <c r="A5346" s="19">
        <f t="shared" si="419"/>
        <v>53399</v>
      </c>
      <c r="B5346">
        <f t="shared" ca="1" si="415"/>
        <v>-20.130555555555556</v>
      </c>
      <c r="C5346" t="str">
        <f ca="1">IF(currency="USD",'Future et co'!D5346,IF(currency="EUR",'Future et co'!E5346,IF(currency="GBP",'Future et co'!F5346,FALSE)))</f>
        <v>RFR USD</v>
      </c>
      <c r="D5346" t="str">
        <f t="shared" ca="1" si="416"/>
        <v>RFR USD</v>
      </c>
      <c r="E5346" t="str">
        <f t="shared" ca="1" si="417"/>
        <v>RFR EUR</v>
      </c>
      <c r="F5346" t="str">
        <f t="shared" ca="1" si="418"/>
        <v>RFR GBP</v>
      </c>
      <c r="AX5346" s="1"/>
    </row>
    <row r="5347" spans="1:50" x14ac:dyDescent="0.3">
      <c r="A5347" s="19">
        <f t="shared" si="419"/>
        <v>53400</v>
      </c>
      <c r="B5347">
        <f t="shared" ca="1" si="415"/>
        <v>-20.133333333333333</v>
      </c>
      <c r="C5347" t="str">
        <f ca="1">IF(currency="USD",'Future et co'!D5347,IF(currency="EUR",'Future et co'!E5347,IF(currency="GBP",'Future et co'!F5347,FALSE)))</f>
        <v>RFR USD</v>
      </c>
      <c r="D5347" t="str">
        <f t="shared" ca="1" si="416"/>
        <v>RFR USD</v>
      </c>
      <c r="E5347" t="str">
        <f t="shared" ca="1" si="417"/>
        <v>RFR EUR</v>
      </c>
      <c r="F5347" t="str">
        <f t="shared" ca="1" si="418"/>
        <v>RFR GBP</v>
      </c>
      <c r="AX5347" s="1"/>
    </row>
    <row r="5348" spans="1:50" x14ac:dyDescent="0.3">
      <c r="A5348" s="19">
        <f t="shared" si="419"/>
        <v>53401</v>
      </c>
      <c r="B5348">
        <f t="shared" ca="1" si="415"/>
        <v>-20.136111111111113</v>
      </c>
      <c r="C5348" t="str">
        <f ca="1">IF(currency="USD",'Future et co'!D5348,IF(currency="EUR",'Future et co'!E5348,IF(currency="GBP",'Future et co'!F5348,FALSE)))</f>
        <v>RFR USD</v>
      </c>
      <c r="D5348" t="str">
        <f t="shared" ca="1" si="416"/>
        <v>RFR USD</v>
      </c>
      <c r="E5348" t="str">
        <f t="shared" ca="1" si="417"/>
        <v>RFR EUR</v>
      </c>
      <c r="F5348" t="str">
        <f t="shared" ca="1" si="418"/>
        <v>RFR GBP</v>
      </c>
      <c r="AX5348" s="1"/>
    </row>
    <row r="5349" spans="1:50" x14ac:dyDescent="0.3">
      <c r="A5349" s="19">
        <f t="shared" si="419"/>
        <v>53402</v>
      </c>
      <c r="B5349">
        <f t="shared" ca="1" si="415"/>
        <v>-20.138888888888889</v>
      </c>
      <c r="C5349" t="str">
        <f ca="1">IF(currency="USD",'Future et co'!D5349,IF(currency="EUR",'Future et co'!E5349,IF(currency="GBP",'Future et co'!F5349,FALSE)))</f>
        <v>RFR USD</v>
      </c>
      <c r="D5349" t="str">
        <f t="shared" ca="1" si="416"/>
        <v>RFR USD</v>
      </c>
      <c r="E5349" t="str">
        <f t="shared" ca="1" si="417"/>
        <v>RFR EUR</v>
      </c>
      <c r="F5349" t="str">
        <f t="shared" ca="1" si="418"/>
        <v>RFR GBP</v>
      </c>
      <c r="AX5349" s="1"/>
    </row>
    <row r="5350" spans="1:50" x14ac:dyDescent="0.3">
      <c r="A5350" s="19">
        <f t="shared" si="419"/>
        <v>53405</v>
      </c>
      <c r="B5350">
        <f t="shared" ca="1" si="415"/>
        <v>-20.147222222222222</v>
      </c>
      <c r="C5350" t="str">
        <f ca="1">IF(currency="USD",'Future et co'!D5350,IF(currency="EUR",'Future et co'!E5350,IF(currency="GBP",'Future et co'!F5350,FALSE)))</f>
        <v>RFR USD</v>
      </c>
      <c r="D5350" t="str">
        <f t="shared" ca="1" si="416"/>
        <v>RFR USD</v>
      </c>
      <c r="E5350" t="str">
        <f t="shared" ca="1" si="417"/>
        <v>RFR EUR</v>
      </c>
      <c r="F5350" t="str">
        <f t="shared" ca="1" si="418"/>
        <v>RFR GBP</v>
      </c>
      <c r="AX5350" s="1"/>
    </row>
    <row r="5351" spans="1:50" x14ac:dyDescent="0.3">
      <c r="A5351" s="19">
        <f t="shared" si="419"/>
        <v>53406</v>
      </c>
      <c r="B5351">
        <f t="shared" ca="1" si="415"/>
        <v>-20.149999999999999</v>
      </c>
      <c r="C5351" t="str">
        <f ca="1">IF(currency="USD",'Future et co'!D5351,IF(currency="EUR",'Future et co'!E5351,IF(currency="GBP",'Future et co'!F5351,FALSE)))</f>
        <v>RFR USD</v>
      </c>
      <c r="D5351" t="str">
        <f t="shared" ca="1" si="416"/>
        <v>RFR USD</v>
      </c>
      <c r="E5351" t="str">
        <f t="shared" ca="1" si="417"/>
        <v>RFR EUR</v>
      </c>
      <c r="F5351" t="str">
        <f t="shared" ca="1" si="418"/>
        <v>RFR GBP</v>
      </c>
      <c r="AX5351" s="1"/>
    </row>
    <row r="5352" spans="1:50" x14ac:dyDescent="0.3">
      <c r="A5352" s="19">
        <f t="shared" si="419"/>
        <v>53407</v>
      </c>
      <c r="B5352">
        <f t="shared" ca="1" si="415"/>
        <v>-20.152777777777779</v>
      </c>
      <c r="C5352" t="str">
        <f ca="1">IF(currency="USD",'Future et co'!D5352,IF(currency="EUR",'Future et co'!E5352,IF(currency="GBP",'Future et co'!F5352,FALSE)))</f>
        <v>RFR USD</v>
      </c>
      <c r="D5352" t="str">
        <f t="shared" ca="1" si="416"/>
        <v>RFR USD</v>
      </c>
      <c r="E5352" t="str">
        <f t="shared" ca="1" si="417"/>
        <v>RFR EUR</v>
      </c>
      <c r="F5352" t="str">
        <f t="shared" ca="1" si="418"/>
        <v>RFR GBP</v>
      </c>
      <c r="AX5352" s="1"/>
    </row>
    <row r="5353" spans="1:50" x14ac:dyDescent="0.3">
      <c r="A5353" s="19">
        <f t="shared" si="419"/>
        <v>53408</v>
      </c>
      <c r="B5353">
        <f t="shared" ca="1" si="415"/>
        <v>-20.155555555555555</v>
      </c>
      <c r="C5353" t="str">
        <f ca="1">IF(currency="USD",'Future et co'!D5353,IF(currency="EUR",'Future et co'!E5353,IF(currency="GBP",'Future et co'!F5353,FALSE)))</f>
        <v>RFR USD</v>
      </c>
      <c r="D5353" t="str">
        <f t="shared" ca="1" si="416"/>
        <v>RFR USD</v>
      </c>
      <c r="E5353" t="str">
        <f t="shared" ca="1" si="417"/>
        <v>RFR EUR</v>
      </c>
      <c r="F5353" t="str">
        <f t="shared" ca="1" si="418"/>
        <v>RFR GBP</v>
      </c>
      <c r="AX5353" s="1"/>
    </row>
    <row r="5354" spans="1:50" x14ac:dyDescent="0.3">
      <c r="A5354" s="19">
        <f t="shared" si="419"/>
        <v>53409</v>
      </c>
      <c r="B5354">
        <f t="shared" ca="1" si="415"/>
        <v>-20.158333333333335</v>
      </c>
      <c r="C5354" t="str">
        <f ca="1">IF(currency="USD",'Future et co'!D5354,IF(currency="EUR",'Future et co'!E5354,IF(currency="GBP",'Future et co'!F5354,FALSE)))</f>
        <v>RFR USD</v>
      </c>
      <c r="D5354" t="str">
        <f t="shared" ca="1" si="416"/>
        <v>RFR USD</v>
      </c>
      <c r="E5354" t="str">
        <f t="shared" ca="1" si="417"/>
        <v>RFR EUR</v>
      </c>
      <c r="F5354" t="str">
        <f t="shared" ca="1" si="418"/>
        <v>RFR GBP</v>
      </c>
      <c r="AX5354" s="1"/>
    </row>
    <row r="5355" spans="1:50" x14ac:dyDescent="0.3">
      <c r="A5355" s="19">
        <f t="shared" si="419"/>
        <v>53412</v>
      </c>
      <c r="B5355">
        <f t="shared" ca="1" si="415"/>
        <v>-20.166666666666668</v>
      </c>
      <c r="C5355" t="str">
        <f ca="1">IF(currency="USD",'Future et co'!D5355,IF(currency="EUR",'Future et co'!E5355,IF(currency="GBP",'Future et co'!F5355,FALSE)))</f>
        <v>RFR USD</v>
      </c>
      <c r="D5355" t="str">
        <f t="shared" ca="1" si="416"/>
        <v>RFR USD</v>
      </c>
      <c r="E5355" t="str">
        <f t="shared" ca="1" si="417"/>
        <v>RFR EUR</v>
      </c>
      <c r="F5355" t="str">
        <f t="shared" ca="1" si="418"/>
        <v>RFR GBP</v>
      </c>
      <c r="AX5355" s="1"/>
    </row>
    <row r="5356" spans="1:50" x14ac:dyDescent="0.3">
      <c r="A5356" s="19">
        <f t="shared" si="419"/>
        <v>53413</v>
      </c>
      <c r="B5356">
        <f t="shared" ca="1" si="415"/>
        <v>-20.169444444444444</v>
      </c>
      <c r="C5356" t="str">
        <f ca="1">IF(currency="USD",'Future et co'!D5356,IF(currency="EUR",'Future et co'!E5356,IF(currency="GBP",'Future et co'!F5356,FALSE)))</f>
        <v>RFR USD</v>
      </c>
      <c r="D5356" t="str">
        <f t="shared" ca="1" si="416"/>
        <v>RFR USD</v>
      </c>
      <c r="E5356" t="str">
        <f t="shared" ca="1" si="417"/>
        <v>RFR EUR</v>
      </c>
      <c r="F5356" t="str">
        <f t="shared" ca="1" si="418"/>
        <v>RFR GBP</v>
      </c>
      <c r="AX5356" s="1"/>
    </row>
    <row r="5357" spans="1:50" x14ac:dyDescent="0.3">
      <c r="A5357" s="19">
        <f t="shared" si="419"/>
        <v>53414</v>
      </c>
      <c r="B5357">
        <f t="shared" ca="1" si="415"/>
        <v>-20.172222222222221</v>
      </c>
      <c r="C5357" t="str">
        <f ca="1">IF(currency="USD",'Future et co'!D5357,IF(currency="EUR",'Future et co'!E5357,IF(currency="GBP",'Future et co'!F5357,FALSE)))</f>
        <v>RFR USD</v>
      </c>
      <c r="D5357" t="str">
        <f t="shared" ca="1" si="416"/>
        <v>RFR USD</v>
      </c>
      <c r="E5357" t="str">
        <f t="shared" ca="1" si="417"/>
        <v>RFR EUR</v>
      </c>
      <c r="F5357" t="str">
        <f t="shared" ca="1" si="418"/>
        <v>RFR GBP</v>
      </c>
      <c r="AX5357" s="1"/>
    </row>
    <row r="5358" spans="1:50" x14ac:dyDescent="0.3">
      <c r="A5358" s="19">
        <f t="shared" si="419"/>
        <v>53415</v>
      </c>
      <c r="B5358">
        <f t="shared" ca="1" si="415"/>
        <v>-20.175000000000001</v>
      </c>
      <c r="C5358" t="str">
        <f ca="1">IF(currency="USD",'Future et co'!D5358,IF(currency="EUR",'Future et co'!E5358,IF(currency="GBP",'Future et co'!F5358,FALSE)))</f>
        <v>RFR USD</v>
      </c>
      <c r="D5358" t="str">
        <f t="shared" ca="1" si="416"/>
        <v>RFR USD</v>
      </c>
      <c r="E5358" t="str">
        <f t="shared" ca="1" si="417"/>
        <v>RFR EUR</v>
      </c>
      <c r="F5358" t="str">
        <f t="shared" ca="1" si="418"/>
        <v>RFR GBP</v>
      </c>
    </row>
    <row r="5359" spans="1:50" x14ac:dyDescent="0.3">
      <c r="A5359" s="19">
        <f t="shared" si="419"/>
        <v>53416</v>
      </c>
      <c r="B5359">
        <f t="shared" ca="1" si="415"/>
        <v>-20.177777777777777</v>
      </c>
      <c r="C5359" t="str">
        <f ca="1">IF(currency="USD",'Future et co'!D5359,IF(currency="EUR",'Future et co'!E5359,IF(currency="GBP",'Future et co'!F5359,FALSE)))</f>
        <v>RFR USD</v>
      </c>
      <c r="D5359" t="str">
        <f t="shared" ca="1" si="416"/>
        <v>RFR USD</v>
      </c>
      <c r="E5359" t="str">
        <f t="shared" ca="1" si="417"/>
        <v>RFR EUR</v>
      </c>
      <c r="F5359" t="str">
        <f t="shared" ca="1" si="418"/>
        <v>RFR GBP</v>
      </c>
    </row>
    <row r="5360" spans="1:50" x14ac:dyDescent="0.3">
      <c r="A5360" s="19">
        <f t="shared" si="419"/>
        <v>53419</v>
      </c>
      <c r="B5360">
        <f t="shared" ca="1" si="415"/>
        <v>-20.18611111111111</v>
      </c>
      <c r="C5360" t="str">
        <f ca="1">IF(currency="USD",'Future et co'!D5360,IF(currency="EUR",'Future et co'!E5360,IF(currency="GBP",'Future et co'!F5360,FALSE)))</f>
        <v>RFR USD</v>
      </c>
      <c r="D5360" t="str">
        <f t="shared" ca="1" si="416"/>
        <v>RFR USD</v>
      </c>
      <c r="E5360" t="str">
        <f t="shared" ca="1" si="417"/>
        <v>RFR EUR</v>
      </c>
      <c r="F5360" t="str">
        <f t="shared" ca="1" si="418"/>
        <v>RFR GBP</v>
      </c>
    </row>
    <row r="5361" spans="1:6" x14ac:dyDescent="0.3">
      <c r="A5361" s="19">
        <f t="shared" si="419"/>
        <v>53420</v>
      </c>
      <c r="B5361">
        <f t="shared" ca="1" si="415"/>
        <v>-20.18888888888889</v>
      </c>
      <c r="C5361" t="str">
        <f ca="1">IF(currency="USD",'Future et co'!D5361,IF(currency="EUR",'Future et co'!E5361,IF(currency="GBP",'Future et co'!F5361,FALSE)))</f>
        <v>RFR USD</v>
      </c>
      <c r="D5361" t="str">
        <f t="shared" ca="1" si="416"/>
        <v>RFR USD</v>
      </c>
      <c r="E5361" t="str">
        <f t="shared" ca="1" si="417"/>
        <v>RFR EUR</v>
      </c>
      <c r="F5361" t="str">
        <f t="shared" ca="1" si="418"/>
        <v>RFR GBP</v>
      </c>
    </row>
    <row r="5362" spans="1:6" x14ac:dyDescent="0.3">
      <c r="A5362" s="19">
        <f t="shared" si="419"/>
        <v>53421</v>
      </c>
      <c r="B5362">
        <f t="shared" ca="1" si="415"/>
        <v>-20.191666666666666</v>
      </c>
      <c r="C5362" t="str">
        <f ca="1">IF(currency="USD",'Future et co'!D5362,IF(currency="EUR",'Future et co'!E5362,IF(currency="GBP",'Future et co'!F5362,FALSE)))</f>
        <v>RFR USD</v>
      </c>
      <c r="D5362" t="str">
        <f t="shared" ca="1" si="416"/>
        <v>RFR USD</v>
      </c>
      <c r="E5362" t="str">
        <f t="shared" ca="1" si="417"/>
        <v>RFR EUR</v>
      </c>
      <c r="F5362" t="str">
        <f t="shared" ca="1" si="418"/>
        <v>RFR GBP</v>
      </c>
    </row>
    <row r="5363" spans="1:6" x14ac:dyDescent="0.3">
      <c r="A5363" s="19">
        <f t="shared" si="419"/>
        <v>53422</v>
      </c>
      <c r="B5363">
        <f t="shared" ca="1" si="415"/>
        <v>-20.194444444444443</v>
      </c>
      <c r="C5363" t="str">
        <f ca="1">IF(currency="USD",'Future et co'!D5363,IF(currency="EUR",'Future et co'!E5363,IF(currency="GBP",'Future et co'!F5363,FALSE)))</f>
        <v>RFR USD</v>
      </c>
      <c r="D5363" t="str">
        <f t="shared" ca="1" si="416"/>
        <v>RFR USD</v>
      </c>
      <c r="E5363" t="str">
        <f t="shared" ca="1" si="417"/>
        <v>RFR EUR</v>
      </c>
      <c r="F5363" t="str">
        <f t="shared" ca="1" si="418"/>
        <v>RFR GBP</v>
      </c>
    </row>
    <row r="5364" spans="1:6" x14ac:dyDescent="0.3">
      <c r="A5364" s="19">
        <f t="shared" si="419"/>
        <v>53423</v>
      </c>
      <c r="B5364">
        <f t="shared" ca="1" si="415"/>
        <v>-20.197222222222223</v>
      </c>
      <c r="C5364" t="str">
        <f ca="1">IF(currency="USD",'Future et co'!D5364,IF(currency="EUR",'Future et co'!E5364,IF(currency="GBP",'Future et co'!F5364,FALSE)))</f>
        <v>RFR USD</v>
      </c>
      <c r="D5364" t="str">
        <f t="shared" ca="1" si="416"/>
        <v>RFR USD</v>
      </c>
      <c r="E5364" t="str">
        <f t="shared" ca="1" si="417"/>
        <v>RFR EUR</v>
      </c>
      <c r="F5364" t="str">
        <f t="shared" ca="1" si="418"/>
        <v>RFR GBP</v>
      </c>
    </row>
    <row r="5365" spans="1:6" x14ac:dyDescent="0.3">
      <c r="A5365" s="19">
        <f t="shared" si="419"/>
        <v>53426</v>
      </c>
      <c r="B5365">
        <f t="shared" ca="1" si="415"/>
        <v>-20.205555555555556</v>
      </c>
      <c r="C5365" t="str">
        <f ca="1">IF(currency="USD",'Future et co'!D5365,IF(currency="EUR",'Future et co'!E5365,IF(currency="GBP",'Future et co'!F5365,FALSE)))</f>
        <v>RFR USD</v>
      </c>
      <c r="D5365" t="str">
        <f t="shared" ca="1" si="416"/>
        <v>RFR USD</v>
      </c>
      <c r="E5365" t="str">
        <f t="shared" ca="1" si="417"/>
        <v>RFR EUR</v>
      </c>
      <c r="F5365" t="str">
        <f t="shared" ca="1" si="418"/>
        <v>RFR GBP</v>
      </c>
    </row>
    <row r="5366" spans="1:6" x14ac:dyDescent="0.3">
      <c r="A5366" s="19">
        <f t="shared" si="419"/>
        <v>53427</v>
      </c>
      <c r="B5366">
        <f t="shared" ca="1" si="415"/>
        <v>-20.208333333333332</v>
      </c>
      <c r="C5366" t="str">
        <f ca="1">IF(currency="USD",'Future et co'!D5366,IF(currency="EUR",'Future et co'!E5366,IF(currency="GBP",'Future et co'!F5366,FALSE)))</f>
        <v>RFR USD</v>
      </c>
      <c r="D5366" t="str">
        <f t="shared" ca="1" si="416"/>
        <v>RFR USD</v>
      </c>
      <c r="E5366" t="str">
        <f t="shared" ca="1" si="417"/>
        <v>RFR EUR</v>
      </c>
      <c r="F5366" t="str">
        <f t="shared" ca="1" si="418"/>
        <v>RFR GBP</v>
      </c>
    </row>
    <row r="5367" spans="1:6" x14ac:dyDescent="0.3">
      <c r="A5367" s="19">
        <f t="shared" si="419"/>
        <v>53428</v>
      </c>
      <c r="B5367">
        <f t="shared" ca="1" si="415"/>
        <v>-20.211111111111112</v>
      </c>
      <c r="C5367" t="str">
        <f ca="1">IF(currency="USD",'Future et co'!D5367,IF(currency="EUR",'Future et co'!E5367,IF(currency="GBP",'Future et co'!F5367,FALSE)))</f>
        <v>RFR USD</v>
      </c>
      <c r="D5367" t="str">
        <f t="shared" ca="1" si="416"/>
        <v>RFR USD</v>
      </c>
      <c r="E5367" t="str">
        <f t="shared" ca="1" si="417"/>
        <v>RFR EUR</v>
      </c>
      <c r="F5367" t="str">
        <f t="shared" ca="1" si="418"/>
        <v>RFR GBP</v>
      </c>
    </row>
    <row r="5368" spans="1:6" x14ac:dyDescent="0.3">
      <c r="A5368" s="19">
        <f t="shared" si="419"/>
        <v>53429</v>
      </c>
      <c r="B5368">
        <f t="shared" ca="1" si="415"/>
        <v>-20.213888888888889</v>
      </c>
      <c r="C5368" t="str">
        <f ca="1">IF(currency="USD",'Future et co'!D5368,IF(currency="EUR",'Future et co'!E5368,IF(currency="GBP",'Future et co'!F5368,FALSE)))</f>
        <v>RFR USD</v>
      </c>
      <c r="D5368" t="str">
        <f t="shared" ca="1" si="416"/>
        <v>RFR USD</v>
      </c>
      <c r="E5368" t="str">
        <f t="shared" ca="1" si="417"/>
        <v>RFR EUR</v>
      </c>
      <c r="F5368" t="str">
        <f t="shared" ca="1" si="418"/>
        <v>RFR GBP</v>
      </c>
    </row>
    <row r="5369" spans="1:6" x14ac:dyDescent="0.3">
      <c r="A5369" s="19">
        <f t="shared" si="419"/>
        <v>53430</v>
      </c>
      <c r="B5369">
        <f t="shared" ca="1" si="415"/>
        <v>-20.216666666666665</v>
      </c>
      <c r="C5369" t="str">
        <f ca="1">IF(currency="USD",'Future et co'!D5369,IF(currency="EUR",'Future et co'!E5369,IF(currency="GBP",'Future et co'!F5369,FALSE)))</f>
        <v>RFR USD</v>
      </c>
      <c r="D5369" t="str">
        <f t="shared" ca="1" si="416"/>
        <v>RFR USD</v>
      </c>
      <c r="E5369" t="str">
        <f t="shared" ca="1" si="417"/>
        <v>RFR EUR</v>
      </c>
      <c r="F5369" t="str">
        <f t="shared" ca="1" si="418"/>
        <v>RFR GBP</v>
      </c>
    </row>
    <row r="5370" spans="1:6" x14ac:dyDescent="0.3">
      <c r="A5370" s="19">
        <f t="shared" si="419"/>
        <v>53433</v>
      </c>
      <c r="B5370">
        <f t="shared" ca="1" si="415"/>
        <v>-20.225000000000001</v>
      </c>
      <c r="C5370" t="str">
        <f ca="1">IF(currency="USD",'Future et co'!D5370,IF(currency="EUR",'Future et co'!E5370,IF(currency="GBP",'Future et co'!F5370,FALSE)))</f>
        <v>RFR USD</v>
      </c>
      <c r="D5370" t="str">
        <f t="shared" ca="1" si="416"/>
        <v>RFR USD</v>
      </c>
      <c r="E5370" t="str">
        <f t="shared" ca="1" si="417"/>
        <v>RFR EUR</v>
      </c>
      <c r="F5370" t="str">
        <f t="shared" ca="1" si="418"/>
        <v>RFR GBP</v>
      </c>
    </row>
    <row r="5371" spans="1:6" x14ac:dyDescent="0.3">
      <c r="A5371" s="19">
        <f t="shared" si="419"/>
        <v>53434</v>
      </c>
      <c r="B5371">
        <f t="shared" ca="1" si="415"/>
        <v>-20.227777777777778</v>
      </c>
      <c r="C5371" t="str">
        <f ca="1">IF(currency="USD",'Future et co'!D5371,IF(currency="EUR",'Future et co'!E5371,IF(currency="GBP",'Future et co'!F5371,FALSE)))</f>
        <v>RFR USD</v>
      </c>
      <c r="D5371" t="str">
        <f t="shared" ca="1" si="416"/>
        <v>RFR USD</v>
      </c>
      <c r="E5371" t="str">
        <f t="shared" ca="1" si="417"/>
        <v>RFR EUR</v>
      </c>
      <c r="F5371" t="str">
        <f t="shared" ca="1" si="418"/>
        <v>RFR GBP</v>
      </c>
    </row>
    <row r="5372" spans="1:6" x14ac:dyDescent="0.3">
      <c r="A5372" s="19">
        <f t="shared" si="419"/>
        <v>53435</v>
      </c>
      <c r="B5372">
        <f t="shared" ca="1" si="415"/>
        <v>-20.230555555555554</v>
      </c>
      <c r="C5372" t="str">
        <f ca="1">IF(currency="USD",'Future et co'!D5372,IF(currency="EUR",'Future et co'!E5372,IF(currency="GBP",'Future et co'!F5372,FALSE)))</f>
        <v>RFR USD</v>
      </c>
      <c r="D5372" t="str">
        <f t="shared" ca="1" si="416"/>
        <v>RFR USD</v>
      </c>
      <c r="E5372" t="str">
        <f t="shared" ca="1" si="417"/>
        <v>RFR EUR</v>
      </c>
      <c r="F5372" t="str">
        <f t="shared" ca="1" si="418"/>
        <v>RFR GBP</v>
      </c>
    </row>
    <row r="5373" spans="1:6" x14ac:dyDescent="0.3">
      <c r="A5373" s="19">
        <f t="shared" si="419"/>
        <v>53436</v>
      </c>
      <c r="B5373">
        <f t="shared" ca="1" si="415"/>
        <v>-20.233333333333334</v>
      </c>
      <c r="C5373" t="str">
        <f ca="1">IF(currency="USD",'Future et co'!D5373,IF(currency="EUR",'Future et co'!E5373,IF(currency="GBP",'Future et co'!F5373,FALSE)))</f>
        <v>RFR USD</v>
      </c>
      <c r="D5373" t="str">
        <f t="shared" ca="1" si="416"/>
        <v>RFR USD</v>
      </c>
      <c r="E5373" t="str">
        <f t="shared" ca="1" si="417"/>
        <v>RFR EUR</v>
      </c>
      <c r="F5373" t="str">
        <f t="shared" ca="1" si="418"/>
        <v>RFR GBP</v>
      </c>
    </row>
    <row r="5374" spans="1:6" x14ac:dyDescent="0.3">
      <c r="A5374" s="19">
        <f t="shared" si="419"/>
        <v>53437</v>
      </c>
      <c r="B5374">
        <f t="shared" ca="1" si="415"/>
        <v>-20.236111111111111</v>
      </c>
      <c r="C5374" t="str">
        <f ca="1">IF(currency="USD",'Future et co'!D5374,IF(currency="EUR",'Future et co'!E5374,IF(currency="GBP",'Future et co'!F5374,FALSE)))</f>
        <v>RFR USD</v>
      </c>
      <c r="D5374" t="str">
        <f t="shared" ca="1" si="416"/>
        <v>RFR USD</v>
      </c>
      <c r="E5374" t="str">
        <f t="shared" ca="1" si="417"/>
        <v>RFR EUR</v>
      </c>
      <c r="F5374" t="str">
        <f t="shared" ca="1" si="418"/>
        <v>RFR GBP</v>
      </c>
    </row>
    <row r="5375" spans="1:6" x14ac:dyDescent="0.3">
      <c r="A5375" s="19">
        <f t="shared" si="419"/>
        <v>53440</v>
      </c>
      <c r="B5375">
        <f t="shared" ca="1" si="415"/>
        <v>-20.244444444444444</v>
      </c>
      <c r="C5375" t="str">
        <f ca="1">IF(currency="USD",'Future et co'!D5375,IF(currency="EUR",'Future et co'!E5375,IF(currency="GBP",'Future et co'!F5375,FALSE)))</f>
        <v>RFR USD</v>
      </c>
      <c r="D5375" t="str">
        <f t="shared" ca="1" si="416"/>
        <v>RFR USD</v>
      </c>
      <c r="E5375" t="str">
        <f t="shared" ca="1" si="417"/>
        <v>RFR EUR</v>
      </c>
      <c r="F5375" t="str">
        <f t="shared" ca="1" si="418"/>
        <v>RFR GBP</v>
      </c>
    </row>
    <row r="5376" spans="1:6" x14ac:dyDescent="0.3">
      <c r="A5376" s="19">
        <f t="shared" si="419"/>
        <v>53441</v>
      </c>
      <c r="B5376">
        <f t="shared" ca="1" si="415"/>
        <v>-20.247222222222224</v>
      </c>
      <c r="C5376" t="str">
        <f ca="1">IF(currency="USD",'Future et co'!D5376,IF(currency="EUR",'Future et co'!E5376,IF(currency="GBP",'Future et co'!F5376,FALSE)))</f>
        <v>RFR USD</v>
      </c>
      <c r="D5376" t="str">
        <f t="shared" ca="1" si="416"/>
        <v>RFR USD</v>
      </c>
      <c r="E5376" t="str">
        <f t="shared" ca="1" si="417"/>
        <v>RFR EUR</v>
      </c>
      <c r="F5376" t="str">
        <f t="shared" ca="1" si="418"/>
        <v>RFR GBP</v>
      </c>
    </row>
    <row r="5377" spans="1:6" x14ac:dyDescent="0.3">
      <c r="A5377" s="19">
        <f t="shared" si="419"/>
        <v>53442</v>
      </c>
      <c r="B5377">
        <f t="shared" ca="1" si="415"/>
        <v>-20.25</v>
      </c>
      <c r="C5377" t="str">
        <f ca="1">IF(currency="USD",'Future et co'!D5377,IF(currency="EUR",'Future et co'!E5377,IF(currency="GBP",'Future et co'!F5377,FALSE)))</f>
        <v>RFR USD</v>
      </c>
      <c r="D5377" t="str">
        <f t="shared" ca="1" si="416"/>
        <v>RFR USD</v>
      </c>
      <c r="E5377" t="str">
        <f t="shared" ca="1" si="417"/>
        <v>RFR EUR</v>
      </c>
      <c r="F5377" t="str">
        <f t="shared" ca="1" si="418"/>
        <v>RFR GBP</v>
      </c>
    </row>
    <row r="5378" spans="1:6" x14ac:dyDescent="0.3">
      <c r="A5378" s="19">
        <f t="shared" si="419"/>
        <v>53443</v>
      </c>
      <c r="B5378">
        <f t="shared" ca="1" si="415"/>
        <v>-20.252777777777776</v>
      </c>
      <c r="C5378" t="str">
        <f ca="1">IF(currency="USD",'Future et co'!D5378,IF(currency="EUR",'Future et co'!E5378,IF(currency="GBP",'Future et co'!F5378,FALSE)))</f>
        <v>RFR USD</v>
      </c>
      <c r="D5378" t="str">
        <f t="shared" ca="1" si="416"/>
        <v>RFR USD</v>
      </c>
      <c r="E5378" t="str">
        <f t="shared" ca="1" si="417"/>
        <v>RFR EUR</v>
      </c>
      <c r="F5378" t="str">
        <f t="shared" ca="1" si="418"/>
        <v>RFR GBP</v>
      </c>
    </row>
    <row r="5379" spans="1:6" x14ac:dyDescent="0.3">
      <c r="A5379" s="19">
        <f t="shared" si="419"/>
        <v>53444</v>
      </c>
      <c r="B5379">
        <f t="shared" ca="1" si="415"/>
        <v>-20.255555555555556</v>
      </c>
      <c r="C5379" t="str">
        <f ca="1">IF(currency="USD",'Future et co'!D5379,IF(currency="EUR",'Future et co'!E5379,IF(currency="GBP",'Future et co'!F5379,FALSE)))</f>
        <v>RFR USD</v>
      </c>
      <c r="D5379" t="str">
        <f t="shared" ca="1" si="416"/>
        <v>RFR USD</v>
      </c>
      <c r="E5379" t="str">
        <f t="shared" ca="1" si="417"/>
        <v>RFR EUR</v>
      </c>
      <c r="F5379" t="str">
        <f t="shared" ca="1" si="418"/>
        <v>RFR GBP</v>
      </c>
    </row>
    <row r="5380" spans="1:6" x14ac:dyDescent="0.3">
      <c r="A5380" s="19">
        <f t="shared" si="419"/>
        <v>53447</v>
      </c>
      <c r="B5380">
        <f t="shared" ca="1" si="415"/>
        <v>-20.263888888888889</v>
      </c>
      <c r="C5380" t="str">
        <f ca="1">IF(currency="USD",'Future et co'!D5380,IF(currency="EUR",'Future et co'!E5380,IF(currency="GBP",'Future et co'!F5380,FALSE)))</f>
        <v>RFR USD</v>
      </c>
      <c r="D5380" t="str">
        <f t="shared" ca="1" si="416"/>
        <v>RFR USD</v>
      </c>
      <c r="E5380" t="str">
        <f t="shared" ca="1" si="417"/>
        <v>RFR EUR</v>
      </c>
      <c r="F5380" t="str">
        <f t="shared" ca="1" si="418"/>
        <v>RFR GBP</v>
      </c>
    </row>
    <row r="5381" spans="1:6" x14ac:dyDescent="0.3">
      <c r="A5381" s="19">
        <f t="shared" si="419"/>
        <v>53448</v>
      </c>
      <c r="B5381">
        <f t="shared" ca="1" si="415"/>
        <v>-20.266666666666666</v>
      </c>
      <c r="C5381" t="str">
        <f ca="1">IF(currency="USD",'Future et co'!D5381,IF(currency="EUR",'Future et co'!E5381,IF(currency="GBP",'Future et co'!F5381,FALSE)))</f>
        <v>RFR USD</v>
      </c>
      <c r="D5381" t="str">
        <f t="shared" ca="1" si="416"/>
        <v>RFR USD</v>
      </c>
      <c r="E5381" t="str">
        <f t="shared" ca="1" si="417"/>
        <v>RFR EUR</v>
      </c>
      <c r="F5381" t="str">
        <f t="shared" ca="1" si="418"/>
        <v>RFR GBP</v>
      </c>
    </row>
    <row r="5382" spans="1:6" x14ac:dyDescent="0.3">
      <c r="A5382" s="19">
        <f t="shared" si="419"/>
        <v>53449</v>
      </c>
      <c r="B5382">
        <f t="shared" ca="1" si="415"/>
        <v>-20.269444444444446</v>
      </c>
      <c r="C5382" t="str">
        <f ca="1">IF(currency="USD",'Future et co'!D5382,IF(currency="EUR",'Future et co'!E5382,IF(currency="GBP",'Future et co'!F5382,FALSE)))</f>
        <v>RFR USD</v>
      </c>
      <c r="D5382" t="str">
        <f t="shared" ca="1" si="416"/>
        <v>RFR USD</v>
      </c>
      <c r="E5382" t="str">
        <f t="shared" ca="1" si="417"/>
        <v>RFR EUR</v>
      </c>
      <c r="F5382" t="str">
        <f t="shared" ca="1" si="418"/>
        <v>RFR GBP</v>
      </c>
    </row>
    <row r="5383" spans="1:6" x14ac:dyDescent="0.3">
      <c r="A5383" s="19">
        <f t="shared" si="419"/>
        <v>53450</v>
      </c>
      <c r="B5383">
        <f t="shared" ca="1" si="415"/>
        <v>-20.272222222222222</v>
      </c>
      <c r="C5383" t="str">
        <f ca="1">IF(currency="USD",'Future et co'!D5383,IF(currency="EUR",'Future et co'!E5383,IF(currency="GBP",'Future et co'!F5383,FALSE)))</f>
        <v>RFR USD</v>
      </c>
      <c r="D5383" t="str">
        <f t="shared" ca="1" si="416"/>
        <v>RFR USD</v>
      </c>
      <c r="E5383" t="str">
        <f t="shared" ca="1" si="417"/>
        <v>RFR EUR</v>
      </c>
      <c r="F5383" t="str">
        <f t="shared" ca="1" si="418"/>
        <v>RFR GBP</v>
      </c>
    </row>
    <row r="5384" spans="1:6" x14ac:dyDescent="0.3">
      <c r="A5384" s="19">
        <f t="shared" si="419"/>
        <v>53451</v>
      </c>
      <c r="B5384">
        <f t="shared" ca="1" si="415"/>
        <v>-20.274999999999999</v>
      </c>
      <c r="C5384" t="str">
        <f ca="1">IF(currency="USD",'Future et co'!D5384,IF(currency="EUR",'Future et co'!E5384,IF(currency="GBP",'Future et co'!F5384,FALSE)))</f>
        <v>RFR USD</v>
      </c>
      <c r="D5384" t="str">
        <f t="shared" ca="1" si="416"/>
        <v>RFR USD</v>
      </c>
      <c r="E5384" t="str">
        <f t="shared" ca="1" si="417"/>
        <v>RFR EUR</v>
      </c>
      <c r="F5384" t="str">
        <f t="shared" ca="1" si="418"/>
        <v>RFR GBP</v>
      </c>
    </row>
    <row r="5385" spans="1:6" x14ac:dyDescent="0.3">
      <c r="A5385" s="19">
        <f t="shared" si="419"/>
        <v>53454</v>
      </c>
      <c r="B5385">
        <f t="shared" ca="1" si="415"/>
        <v>-20.283333333333335</v>
      </c>
      <c r="C5385" t="str">
        <f ca="1">IF(currency="USD",'Future et co'!D5385,IF(currency="EUR",'Future et co'!E5385,IF(currency="GBP",'Future et co'!F5385,FALSE)))</f>
        <v>RFR USD</v>
      </c>
      <c r="D5385" t="str">
        <f t="shared" ca="1" si="416"/>
        <v>RFR USD</v>
      </c>
      <c r="E5385" t="str">
        <f t="shared" ca="1" si="417"/>
        <v>RFR EUR</v>
      </c>
      <c r="F5385" t="str">
        <f t="shared" ca="1" si="418"/>
        <v>RFR GBP</v>
      </c>
    </row>
    <row r="5386" spans="1:6" x14ac:dyDescent="0.3">
      <c r="A5386" s="19">
        <f t="shared" si="419"/>
        <v>53455</v>
      </c>
      <c r="B5386">
        <f t="shared" ca="1" si="415"/>
        <v>-20.286111111111111</v>
      </c>
      <c r="C5386" t="str">
        <f ca="1">IF(currency="USD",'Future et co'!D5386,IF(currency="EUR",'Future et co'!E5386,IF(currency="GBP",'Future et co'!F5386,FALSE)))</f>
        <v>RFR USD</v>
      </c>
      <c r="D5386" t="str">
        <f t="shared" ca="1" si="416"/>
        <v>RFR USD</v>
      </c>
      <c r="E5386" t="str">
        <f t="shared" ca="1" si="417"/>
        <v>RFR EUR</v>
      </c>
      <c r="F5386" t="str">
        <f t="shared" ca="1" si="418"/>
        <v>RFR GBP</v>
      </c>
    </row>
    <row r="5387" spans="1:6" x14ac:dyDescent="0.3">
      <c r="A5387" s="19">
        <f t="shared" si="419"/>
        <v>53456</v>
      </c>
      <c r="B5387">
        <f t="shared" ref="B5387:B5450" ca="1" si="420">($B$7-A5387)/360</f>
        <v>-20.288888888888888</v>
      </c>
      <c r="C5387" t="str">
        <f ca="1">IF(currency="USD",'Future et co'!D5387,IF(currency="EUR",'Future et co'!E5387,IF(currency="GBP",'Future et co'!F5387,FALSE)))</f>
        <v>RFR USD</v>
      </c>
      <c r="D5387" t="str">
        <f t="shared" ref="D5387:D5450" ca="1" si="421">IFERROR(IF(B5387&lt;0.25,VLOOKUP(A5387,$J$11:$L$5325,3,FALSE),IF(AND(B5387&gt;=0.25,B5387&lt;0.5),VLOOKUP(A5387,$N$11:$P$5325,3,FALSE),IF(AND(B5387&gt;=0.5,B5387&lt;1),VLOOKUP(A5387,$R$11:$T$5325,3,FALSE),VLOOKUP(A5387,$V$11:$X$5010,3,FALSE)))),D5386)</f>
        <v>RFR USD</v>
      </c>
      <c r="E5387" t="str">
        <f t="shared" ref="E5387:E5450" ca="1" si="422">IFERROR(IF(B5387&lt;0.25,VLOOKUP(A5387,$AF$11:$AH$5325,3,FALSE),IF(AND(B5387&gt;=0.25,B5387&lt;0.5),VLOOKUP(A5387,$AJ$11:$AL$5325,3,FALSE),VLOOKUP(A5387,$AN$11:$AP$5325,3,FALSE))),E5386)</f>
        <v>RFR EUR</v>
      </c>
      <c r="F5387" t="str">
        <f t="shared" ref="F5387:F5450" ca="1" si="423">IFERROR(VLOOKUP(A5387,$AS$11:$AU$9999,3,FALSE),F5386)</f>
        <v>RFR GBP</v>
      </c>
    </row>
    <row r="5388" spans="1:6" x14ac:dyDescent="0.3">
      <c r="A5388" s="19">
        <f t="shared" si="419"/>
        <v>53457</v>
      </c>
      <c r="B5388">
        <f t="shared" ca="1" si="420"/>
        <v>-20.291666666666668</v>
      </c>
      <c r="C5388" t="str">
        <f ca="1">IF(currency="USD",'Future et co'!D5388,IF(currency="EUR",'Future et co'!E5388,IF(currency="GBP",'Future et co'!F5388,FALSE)))</f>
        <v>RFR USD</v>
      </c>
      <c r="D5388" t="str">
        <f t="shared" ca="1" si="421"/>
        <v>RFR USD</v>
      </c>
      <c r="E5388" t="str">
        <f t="shared" ca="1" si="422"/>
        <v>RFR EUR</v>
      </c>
      <c r="F5388" t="str">
        <f t="shared" ca="1" si="423"/>
        <v>RFR GBP</v>
      </c>
    </row>
    <row r="5389" spans="1:6" x14ac:dyDescent="0.3">
      <c r="A5389" s="19">
        <f t="shared" ref="A5389:A5452" si="424">WORKDAY(A5388,1)</f>
        <v>53458</v>
      </c>
      <c r="B5389">
        <f t="shared" ca="1" si="420"/>
        <v>-20.294444444444444</v>
      </c>
      <c r="C5389" t="str">
        <f ca="1">IF(currency="USD",'Future et co'!D5389,IF(currency="EUR",'Future et co'!E5389,IF(currency="GBP",'Future et co'!F5389,FALSE)))</f>
        <v>RFR USD</v>
      </c>
      <c r="D5389" t="str">
        <f t="shared" ca="1" si="421"/>
        <v>RFR USD</v>
      </c>
      <c r="E5389" t="str">
        <f t="shared" ca="1" si="422"/>
        <v>RFR EUR</v>
      </c>
      <c r="F5389" t="str">
        <f t="shared" ca="1" si="423"/>
        <v>RFR GBP</v>
      </c>
    </row>
    <row r="5390" spans="1:6" x14ac:dyDescent="0.3">
      <c r="A5390" s="19">
        <f t="shared" si="424"/>
        <v>53461</v>
      </c>
      <c r="B5390">
        <f t="shared" ca="1" si="420"/>
        <v>-20.302777777777777</v>
      </c>
      <c r="C5390" t="str">
        <f ca="1">IF(currency="USD",'Future et co'!D5390,IF(currency="EUR",'Future et co'!E5390,IF(currency="GBP",'Future et co'!F5390,FALSE)))</f>
        <v>RFR USD</v>
      </c>
      <c r="D5390" t="str">
        <f t="shared" ca="1" si="421"/>
        <v>RFR USD</v>
      </c>
      <c r="E5390" t="str">
        <f t="shared" ca="1" si="422"/>
        <v>RFR EUR</v>
      </c>
      <c r="F5390" t="str">
        <f t="shared" ca="1" si="423"/>
        <v>RFR GBP</v>
      </c>
    </row>
    <row r="5391" spans="1:6" x14ac:dyDescent="0.3">
      <c r="A5391" s="19">
        <f t="shared" si="424"/>
        <v>53462</v>
      </c>
      <c r="B5391">
        <f t="shared" ca="1" si="420"/>
        <v>-20.305555555555557</v>
      </c>
      <c r="C5391" t="str">
        <f ca="1">IF(currency="USD",'Future et co'!D5391,IF(currency="EUR",'Future et co'!E5391,IF(currency="GBP",'Future et co'!F5391,FALSE)))</f>
        <v>RFR USD</v>
      </c>
      <c r="D5391" t="str">
        <f t="shared" ca="1" si="421"/>
        <v>RFR USD</v>
      </c>
      <c r="E5391" t="str">
        <f t="shared" ca="1" si="422"/>
        <v>RFR EUR</v>
      </c>
      <c r="F5391" t="str">
        <f t="shared" ca="1" si="423"/>
        <v>RFR GBP</v>
      </c>
    </row>
    <row r="5392" spans="1:6" x14ac:dyDescent="0.3">
      <c r="A5392" s="19">
        <f t="shared" si="424"/>
        <v>53463</v>
      </c>
      <c r="B5392">
        <f t="shared" ca="1" si="420"/>
        <v>-20.308333333333334</v>
      </c>
      <c r="C5392" t="str">
        <f ca="1">IF(currency="USD",'Future et co'!D5392,IF(currency="EUR",'Future et co'!E5392,IF(currency="GBP",'Future et co'!F5392,FALSE)))</f>
        <v>RFR USD</v>
      </c>
      <c r="D5392" t="str">
        <f t="shared" ca="1" si="421"/>
        <v>RFR USD</v>
      </c>
      <c r="E5392" t="str">
        <f t="shared" ca="1" si="422"/>
        <v>RFR EUR</v>
      </c>
      <c r="F5392" t="str">
        <f t="shared" ca="1" si="423"/>
        <v>RFR GBP</v>
      </c>
    </row>
    <row r="5393" spans="1:6" x14ac:dyDescent="0.3">
      <c r="A5393" s="19">
        <f t="shared" si="424"/>
        <v>53464</v>
      </c>
      <c r="B5393">
        <f t="shared" ca="1" si="420"/>
        <v>-20.31111111111111</v>
      </c>
      <c r="C5393" t="str">
        <f ca="1">IF(currency="USD",'Future et co'!D5393,IF(currency="EUR",'Future et co'!E5393,IF(currency="GBP",'Future et co'!F5393,FALSE)))</f>
        <v>RFR USD</v>
      </c>
      <c r="D5393" t="str">
        <f t="shared" ca="1" si="421"/>
        <v>RFR USD</v>
      </c>
      <c r="E5393" t="str">
        <f t="shared" ca="1" si="422"/>
        <v>RFR EUR</v>
      </c>
      <c r="F5393" t="str">
        <f t="shared" ca="1" si="423"/>
        <v>RFR GBP</v>
      </c>
    </row>
    <row r="5394" spans="1:6" x14ac:dyDescent="0.3">
      <c r="A5394" s="19">
        <f t="shared" si="424"/>
        <v>53465</v>
      </c>
      <c r="B5394">
        <f t="shared" ca="1" si="420"/>
        <v>-20.31388888888889</v>
      </c>
      <c r="C5394" t="str">
        <f ca="1">IF(currency="USD",'Future et co'!D5394,IF(currency="EUR",'Future et co'!E5394,IF(currency="GBP",'Future et co'!F5394,FALSE)))</f>
        <v>RFR USD</v>
      </c>
      <c r="D5394" t="str">
        <f t="shared" ca="1" si="421"/>
        <v>RFR USD</v>
      </c>
      <c r="E5394" t="str">
        <f t="shared" ca="1" si="422"/>
        <v>RFR EUR</v>
      </c>
      <c r="F5394" t="str">
        <f t="shared" ca="1" si="423"/>
        <v>RFR GBP</v>
      </c>
    </row>
    <row r="5395" spans="1:6" x14ac:dyDescent="0.3">
      <c r="A5395" s="19">
        <f t="shared" si="424"/>
        <v>53468</v>
      </c>
      <c r="B5395">
        <f t="shared" ca="1" si="420"/>
        <v>-20.322222222222223</v>
      </c>
      <c r="C5395" t="str">
        <f ca="1">IF(currency="USD",'Future et co'!D5395,IF(currency="EUR",'Future et co'!E5395,IF(currency="GBP",'Future et co'!F5395,FALSE)))</f>
        <v>RFR USD</v>
      </c>
      <c r="D5395" t="str">
        <f t="shared" ca="1" si="421"/>
        <v>RFR USD</v>
      </c>
      <c r="E5395" t="str">
        <f t="shared" ca="1" si="422"/>
        <v>RFR EUR</v>
      </c>
      <c r="F5395" t="str">
        <f t="shared" ca="1" si="423"/>
        <v>RFR GBP</v>
      </c>
    </row>
    <row r="5396" spans="1:6" x14ac:dyDescent="0.3">
      <c r="A5396" s="19">
        <f t="shared" si="424"/>
        <v>53469</v>
      </c>
      <c r="B5396">
        <f t="shared" ca="1" si="420"/>
        <v>-20.324999999999999</v>
      </c>
      <c r="C5396" t="str">
        <f ca="1">IF(currency="USD",'Future et co'!D5396,IF(currency="EUR",'Future et co'!E5396,IF(currency="GBP",'Future et co'!F5396,FALSE)))</f>
        <v>RFR USD</v>
      </c>
      <c r="D5396" t="str">
        <f t="shared" ca="1" si="421"/>
        <v>RFR USD</v>
      </c>
      <c r="E5396" t="str">
        <f t="shared" ca="1" si="422"/>
        <v>RFR EUR</v>
      </c>
      <c r="F5396" t="str">
        <f t="shared" ca="1" si="423"/>
        <v>RFR GBP</v>
      </c>
    </row>
    <row r="5397" spans="1:6" x14ac:dyDescent="0.3">
      <c r="A5397" s="19">
        <f t="shared" si="424"/>
        <v>53470</v>
      </c>
      <c r="B5397">
        <f t="shared" ca="1" si="420"/>
        <v>-20.327777777777779</v>
      </c>
      <c r="C5397" t="str">
        <f ca="1">IF(currency="USD",'Future et co'!D5397,IF(currency="EUR",'Future et co'!E5397,IF(currency="GBP",'Future et co'!F5397,FALSE)))</f>
        <v>RFR USD</v>
      </c>
      <c r="D5397" t="str">
        <f t="shared" ca="1" si="421"/>
        <v>RFR USD</v>
      </c>
      <c r="E5397" t="str">
        <f t="shared" ca="1" si="422"/>
        <v>RFR EUR</v>
      </c>
      <c r="F5397" t="str">
        <f t="shared" ca="1" si="423"/>
        <v>RFR GBP</v>
      </c>
    </row>
    <row r="5398" spans="1:6" x14ac:dyDescent="0.3">
      <c r="A5398" s="19">
        <f t="shared" si="424"/>
        <v>53471</v>
      </c>
      <c r="B5398">
        <f t="shared" ca="1" si="420"/>
        <v>-20.330555555555556</v>
      </c>
      <c r="C5398" t="str">
        <f ca="1">IF(currency="USD",'Future et co'!D5398,IF(currency="EUR",'Future et co'!E5398,IF(currency="GBP",'Future et co'!F5398,FALSE)))</f>
        <v>RFR USD</v>
      </c>
      <c r="D5398" t="str">
        <f t="shared" ca="1" si="421"/>
        <v>RFR USD</v>
      </c>
      <c r="E5398" t="str">
        <f t="shared" ca="1" si="422"/>
        <v>RFR EUR</v>
      </c>
      <c r="F5398" t="str">
        <f t="shared" ca="1" si="423"/>
        <v>RFR GBP</v>
      </c>
    </row>
    <row r="5399" spans="1:6" x14ac:dyDescent="0.3">
      <c r="A5399" s="19">
        <f t="shared" si="424"/>
        <v>53472</v>
      </c>
      <c r="B5399">
        <f t="shared" ca="1" si="420"/>
        <v>-20.333333333333332</v>
      </c>
      <c r="C5399" t="str">
        <f ca="1">IF(currency="USD",'Future et co'!D5399,IF(currency="EUR",'Future et co'!E5399,IF(currency="GBP",'Future et co'!F5399,FALSE)))</f>
        <v>RFR USD</v>
      </c>
      <c r="D5399" t="str">
        <f t="shared" ca="1" si="421"/>
        <v>RFR USD</v>
      </c>
      <c r="E5399" t="str">
        <f t="shared" ca="1" si="422"/>
        <v>RFR EUR</v>
      </c>
      <c r="F5399" t="str">
        <f t="shared" ca="1" si="423"/>
        <v>RFR GBP</v>
      </c>
    </row>
    <row r="5400" spans="1:6" x14ac:dyDescent="0.3">
      <c r="A5400" s="19">
        <f t="shared" si="424"/>
        <v>53475</v>
      </c>
      <c r="B5400">
        <f t="shared" ca="1" si="420"/>
        <v>-20.341666666666665</v>
      </c>
      <c r="C5400" t="str">
        <f ca="1">IF(currency="USD",'Future et co'!D5400,IF(currency="EUR",'Future et co'!E5400,IF(currency="GBP",'Future et co'!F5400,FALSE)))</f>
        <v>RFR USD</v>
      </c>
      <c r="D5400" t="str">
        <f t="shared" ca="1" si="421"/>
        <v>RFR USD</v>
      </c>
      <c r="E5400" t="str">
        <f t="shared" ca="1" si="422"/>
        <v>RFR EUR</v>
      </c>
      <c r="F5400" t="str">
        <f t="shared" ca="1" si="423"/>
        <v>RFR GBP</v>
      </c>
    </row>
    <row r="5401" spans="1:6" x14ac:dyDescent="0.3">
      <c r="A5401" s="19">
        <f t="shared" si="424"/>
        <v>53476</v>
      </c>
      <c r="B5401">
        <f t="shared" ca="1" si="420"/>
        <v>-20.344444444444445</v>
      </c>
      <c r="C5401" t="str">
        <f ca="1">IF(currency="USD",'Future et co'!D5401,IF(currency="EUR",'Future et co'!E5401,IF(currency="GBP",'Future et co'!F5401,FALSE)))</f>
        <v>RFR USD</v>
      </c>
      <c r="D5401" t="str">
        <f t="shared" ca="1" si="421"/>
        <v>RFR USD</v>
      </c>
      <c r="E5401" t="str">
        <f t="shared" ca="1" si="422"/>
        <v>RFR EUR</v>
      </c>
      <c r="F5401" t="str">
        <f t="shared" ca="1" si="423"/>
        <v>RFR GBP</v>
      </c>
    </row>
    <row r="5402" spans="1:6" x14ac:dyDescent="0.3">
      <c r="A5402" s="19">
        <f t="shared" si="424"/>
        <v>53477</v>
      </c>
      <c r="B5402">
        <f t="shared" ca="1" si="420"/>
        <v>-20.347222222222221</v>
      </c>
      <c r="C5402" t="str">
        <f ca="1">IF(currency="USD",'Future et co'!D5402,IF(currency="EUR",'Future et co'!E5402,IF(currency="GBP",'Future et co'!F5402,FALSE)))</f>
        <v>RFR USD</v>
      </c>
      <c r="D5402" t="str">
        <f t="shared" ca="1" si="421"/>
        <v>RFR USD</v>
      </c>
      <c r="E5402" t="str">
        <f t="shared" ca="1" si="422"/>
        <v>RFR EUR</v>
      </c>
      <c r="F5402" t="str">
        <f t="shared" ca="1" si="423"/>
        <v>RFR GBP</v>
      </c>
    </row>
    <row r="5403" spans="1:6" x14ac:dyDescent="0.3">
      <c r="A5403" s="19">
        <f t="shared" si="424"/>
        <v>53478</v>
      </c>
      <c r="B5403">
        <f t="shared" ca="1" si="420"/>
        <v>-20.350000000000001</v>
      </c>
      <c r="C5403" t="str">
        <f ca="1">IF(currency="USD",'Future et co'!D5403,IF(currency="EUR",'Future et co'!E5403,IF(currency="GBP",'Future et co'!F5403,FALSE)))</f>
        <v>RFR USD</v>
      </c>
      <c r="D5403" t="str">
        <f t="shared" ca="1" si="421"/>
        <v>RFR USD</v>
      </c>
      <c r="E5403" t="str">
        <f t="shared" ca="1" si="422"/>
        <v>RFR EUR</v>
      </c>
      <c r="F5403" t="str">
        <f t="shared" ca="1" si="423"/>
        <v>RFR GBP</v>
      </c>
    </row>
    <row r="5404" spans="1:6" x14ac:dyDescent="0.3">
      <c r="A5404" s="19">
        <f t="shared" si="424"/>
        <v>53479</v>
      </c>
      <c r="B5404">
        <f t="shared" ca="1" si="420"/>
        <v>-20.352777777777778</v>
      </c>
      <c r="C5404" t="str">
        <f ca="1">IF(currency="USD",'Future et co'!D5404,IF(currency="EUR",'Future et co'!E5404,IF(currency="GBP",'Future et co'!F5404,FALSE)))</f>
        <v>RFR USD</v>
      </c>
      <c r="D5404" t="str">
        <f t="shared" ca="1" si="421"/>
        <v>RFR USD</v>
      </c>
      <c r="E5404" t="str">
        <f t="shared" ca="1" si="422"/>
        <v>RFR EUR</v>
      </c>
      <c r="F5404" t="str">
        <f t="shared" ca="1" si="423"/>
        <v>RFR GBP</v>
      </c>
    </row>
    <row r="5405" spans="1:6" x14ac:dyDescent="0.3">
      <c r="A5405" s="19">
        <f t="shared" si="424"/>
        <v>53482</v>
      </c>
      <c r="B5405">
        <f t="shared" ca="1" si="420"/>
        <v>-20.361111111111111</v>
      </c>
      <c r="C5405" t="str">
        <f ca="1">IF(currency="USD",'Future et co'!D5405,IF(currency="EUR",'Future et co'!E5405,IF(currency="GBP",'Future et co'!F5405,FALSE)))</f>
        <v>RFR USD</v>
      </c>
      <c r="D5405" t="str">
        <f t="shared" ca="1" si="421"/>
        <v>RFR USD</v>
      </c>
      <c r="E5405" t="str">
        <f t="shared" ca="1" si="422"/>
        <v>RFR EUR</v>
      </c>
      <c r="F5405" t="str">
        <f t="shared" ca="1" si="423"/>
        <v>RFR GBP</v>
      </c>
    </row>
    <row r="5406" spans="1:6" x14ac:dyDescent="0.3">
      <c r="A5406" s="19">
        <f t="shared" si="424"/>
        <v>53483</v>
      </c>
      <c r="B5406">
        <f t="shared" ca="1" si="420"/>
        <v>-20.363888888888887</v>
      </c>
      <c r="C5406" t="str">
        <f ca="1">IF(currency="USD",'Future et co'!D5406,IF(currency="EUR",'Future et co'!E5406,IF(currency="GBP",'Future et co'!F5406,FALSE)))</f>
        <v>RFR USD</v>
      </c>
      <c r="D5406" t="str">
        <f t="shared" ca="1" si="421"/>
        <v>RFR USD</v>
      </c>
      <c r="E5406" t="str">
        <f t="shared" ca="1" si="422"/>
        <v>RFR EUR</v>
      </c>
      <c r="F5406" t="str">
        <f t="shared" ca="1" si="423"/>
        <v>RFR GBP</v>
      </c>
    </row>
    <row r="5407" spans="1:6" x14ac:dyDescent="0.3">
      <c r="A5407" s="19">
        <f t="shared" si="424"/>
        <v>53484</v>
      </c>
      <c r="B5407">
        <f t="shared" ca="1" si="420"/>
        <v>-20.366666666666667</v>
      </c>
      <c r="C5407" t="str">
        <f ca="1">IF(currency="USD",'Future et co'!D5407,IF(currency="EUR",'Future et co'!E5407,IF(currency="GBP",'Future et co'!F5407,FALSE)))</f>
        <v>RFR USD</v>
      </c>
      <c r="D5407" t="str">
        <f t="shared" ca="1" si="421"/>
        <v>RFR USD</v>
      </c>
      <c r="E5407" t="str">
        <f t="shared" ca="1" si="422"/>
        <v>RFR EUR</v>
      </c>
      <c r="F5407" t="str">
        <f t="shared" ca="1" si="423"/>
        <v>RFR GBP</v>
      </c>
    </row>
    <row r="5408" spans="1:6" x14ac:dyDescent="0.3">
      <c r="A5408" s="19">
        <f t="shared" si="424"/>
        <v>53485</v>
      </c>
      <c r="B5408">
        <f t="shared" ca="1" si="420"/>
        <v>-20.369444444444444</v>
      </c>
      <c r="C5408" t="str">
        <f ca="1">IF(currency="USD",'Future et co'!D5408,IF(currency="EUR",'Future et co'!E5408,IF(currency="GBP",'Future et co'!F5408,FALSE)))</f>
        <v>RFR USD</v>
      </c>
      <c r="D5408" t="str">
        <f t="shared" ca="1" si="421"/>
        <v>RFR USD</v>
      </c>
      <c r="E5408" t="str">
        <f t="shared" ca="1" si="422"/>
        <v>RFR EUR</v>
      </c>
      <c r="F5408" t="str">
        <f t="shared" ca="1" si="423"/>
        <v>RFR GBP</v>
      </c>
    </row>
    <row r="5409" spans="1:6" x14ac:dyDescent="0.3">
      <c r="A5409" s="19">
        <f t="shared" si="424"/>
        <v>53486</v>
      </c>
      <c r="B5409">
        <f t="shared" ca="1" si="420"/>
        <v>-20.372222222222224</v>
      </c>
      <c r="C5409" t="str">
        <f ca="1">IF(currency="USD",'Future et co'!D5409,IF(currency="EUR",'Future et co'!E5409,IF(currency="GBP",'Future et co'!F5409,FALSE)))</f>
        <v>RFR USD</v>
      </c>
      <c r="D5409" t="str">
        <f t="shared" ca="1" si="421"/>
        <v>RFR USD</v>
      </c>
      <c r="E5409" t="str">
        <f t="shared" ca="1" si="422"/>
        <v>RFR EUR</v>
      </c>
      <c r="F5409" t="str">
        <f t="shared" ca="1" si="423"/>
        <v>RFR GBP</v>
      </c>
    </row>
    <row r="5410" spans="1:6" x14ac:dyDescent="0.3">
      <c r="A5410" s="19">
        <f t="shared" si="424"/>
        <v>53489</v>
      </c>
      <c r="B5410">
        <f t="shared" ca="1" si="420"/>
        <v>-20.380555555555556</v>
      </c>
      <c r="C5410" t="str">
        <f ca="1">IF(currency="USD",'Future et co'!D5410,IF(currency="EUR",'Future et co'!E5410,IF(currency="GBP",'Future et co'!F5410,FALSE)))</f>
        <v>RFR USD</v>
      </c>
      <c r="D5410" t="str">
        <f t="shared" ca="1" si="421"/>
        <v>RFR USD</v>
      </c>
      <c r="E5410" t="str">
        <f t="shared" ca="1" si="422"/>
        <v>RFR EUR</v>
      </c>
      <c r="F5410" t="str">
        <f t="shared" ca="1" si="423"/>
        <v>RFR GBP</v>
      </c>
    </row>
    <row r="5411" spans="1:6" x14ac:dyDescent="0.3">
      <c r="A5411" s="19">
        <f t="shared" si="424"/>
        <v>53490</v>
      </c>
      <c r="B5411">
        <f t="shared" ca="1" si="420"/>
        <v>-20.383333333333333</v>
      </c>
      <c r="C5411" t="str">
        <f ca="1">IF(currency="USD",'Future et co'!D5411,IF(currency="EUR",'Future et co'!E5411,IF(currency="GBP",'Future et co'!F5411,FALSE)))</f>
        <v>RFR USD</v>
      </c>
      <c r="D5411" t="str">
        <f t="shared" ca="1" si="421"/>
        <v>RFR USD</v>
      </c>
      <c r="E5411" t="str">
        <f t="shared" ca="1" si="422"/>
        <v>RFR EUR</v>
      </c>
      <c r="F5411" t="str">
        <f t="shared" ca="1" si="423"/>
        <v>RFR GBP</v>
      </c>
    </row>
    <row r="5412" spans="1:6" x14ac:dyDescent="0.3">
      <c r="A5412" s="19">
        <f t="shared" si="424"/>
        <v>53491</v>
      </c>
      <c r="B5412">
        <f t="shared" ca="1" si="420"/>
        <v>-20.386111111111113</v>
      </c>
      <c r="C5412" t="str">
        <f ca="1">IF(currency="USD",'Future et co'!D5412,IF(currency="EUR",'Future et co'!E5412,IF(currency="GBP",'Future et co'!F5412,FALSE)))</f>
        <v>RFR USD</v>
      </c>
      <c r="D5412" t="str">
        <f t="shared" ca="1" si="421"/>
        <v>RFR USD</v>
      </c>
      <c r="E5412" t="str">
        <f t="shared" ca="1" si="422"/>
        <v>RFR EUR</v>
      </c>
      <c r="F5412" t="str">
        <f t="shared" ca="1" si="423"/>
        <v>RFR GBP</v>
      </c>
    </row>
    <row r="5413" spans="1:6" x14ac:dyDescent="0.3">
      <c r="A5413" s="19">
        <f t="shared" si="424"/>
        <v>53492</v>
      </c>
      <c r="B5413">
        <f t="shared" ca="1" si="420"/>
        <v>-20.388888888888889</v>
      </c>
      <c r="C5413" t="str">
        <f ca="1">IF(currency="USD",'Future et co'!D5413,IF(currency="EUR",'Future et co'!E5413,IF(currency="GBP",'Future et co'!F5413,FALSE)))</f>
        <v>RFR USD</v>
      </c>
      <c r="D5413" t="str">
        <f t="shared" ca="1" si="421"/>
        <v>RFR USD</v>
      </c>
      <c r="E5413" t="str">
        <f t="shared" ca="1" si="422"/>
        <v>RFR EUR</v>
      </c>
      <c r="F5413" t="str">
        <f t="shared" ca="1" si="423"/>
        <v>RFR GBP</v>
      </c>
    </row>
    <row r="5414" spans="1:6" x14ac:dyDescent="0.3">
      <c r="A5414" s="19">
        <f t="shared" si="424"/>
        <v>53493</v>
      </c>
      <c r="B5414">
        <f t="shared" ca="1" si="420"/>
        <v>-20.391666666666666</v>
      </c>
      <c r="C5414" t="str">
        <f ca="1">IF(currency="USD",'Future et co'!D5414,IF(currency="EUR",'Future et co'!E5414,IF(currency="GBP",'Future et co'!F5414,FALSE)))</f>
        <v>RFR USD</v>
      </c>
      <c r="D5414" t="str">
        <f t="shared" ca="1" si="421"/>
        <v>RFR USD</v>
      </c>
      <c r="E5414" t="str">
        <f t="shared" ca="1" si="422"/>
        <v>RFR EUR</v>
      </c>
      <c r="F5414" t="str">
        <f t="shared" ca="1" si="423"/>
        <v>RFR GBP</v>
      </c>
    </row>
    <row r="5415" spans="1:6" x14ac:dyDescent="0.3">
      <c r="A5415" s="19">
        <f t="shared" si="424"/>
        <v>53496</v>
      </c>
      <c r="B5415">
        <f t="shared" ca="1" si="420"/>
        <v>-20.399999999999999</v>
      </c>
      <c r="C5415" t="str">
        <f ca="1">IF(currency="USD",'Future et co'!D5415,IF(currency="EUR",'Future et co'!E5415,IF(currency="GBP",'Future et co'!F5415,FALSE)))</f>
        <v>RFR USD</v>
      </c>
      <c r="D5415" t="str">
        <f t="shared" ca="1" si="421"/>
        <v>RFR USD</v>
      </c>
      <c r="E5415" t="str">
        <f t="shared" ca="1" si="422"/>
        <v>RFR EUR</v>
      </c>
      <c r="F5415" t="str">
        <f t="shared" ca="1" si="423"/>
        <v>RFR GBP</v>
      </c>
    </row>
    <row r="5416" spans="1:6" x14ac:dyDescent="0.3">
      <c r="A5416" s="19">
        <f t="shared" si="424"/>
        <v>53497</v>
      </c>
      <c r="B5416">
        <f t="shared" ca="1" si="420"/>
        <v>-20.402777777777779</v>
      </c>
      <c r="C5416" t="str">
        <f ca="1">IF(currency="USD",'Future et co'!D5416,IF(currency="EUR",'Future et co'!E5416,IF(currency="GBP",'Future et co'!F5416,FALSE)))</f>
        <v>RFR USD</v>
      </c>
      <c r="D5416" t="str">
        <f t="shared" ca="1" si="421"/>
        <v>RFR USD</v>
      </c>
      <c r="E5416" t="str">
        <f t="shared" ca="1" si="422"/>
        <v>RFR EUR</v>
      </c>
      <c r="F5416" t="str">
        <f t="shared" ca="1" si="423"/>
        <v>RFR GBP</v>
      </c>
    </row>
    <row r="5417" spans="1:6" x14ac:dyDescent="0.3">
      <c r="A5417" s="19">
        <f t="shared" si="424"/>
        <v>53498</v>
      </c>
      <c r="B5417">
        <f t="shared" ca="1" si="420"/>
        <v>-20.405555555555555</v>
      </c>
      <c r="C5417" t="str">
        <f ca="1">IF(currency="USD",'Future et co'!D5417,IF(currency="EUR",'Future et co'!E5417,IF(currency="GBP",'Future et co'!F5417,FALSE)))</f>
        <v>RFR USD</v>
      </c>
      <c r="D5417" t="str">
        <f t="shared" ca="1" si="421"/>
        <v>RFR USD</v>
      </c>
      <c r="E5417" t="str">
        <f t="shared" ca="1" si="422"/>
        <v>RFR EUR</v>
      </c>
      <c r="F5417" t="str">
        <f t="shared" ca="1" si="423"/>
        <v>RFR GBP</v>
      </c>
    </row>
    <row r="5418" spans="1:6" x14ac:dyDescent="0.3">
      <c r="A5418" s="19">
        <f t="shared" si="424"/>
        <v>53499</v>
      </c>
      <c r="B5418">
        <f t="shared" ca="1" si="420"/>
        <v>-20.408333333333335</v>
      </c>
      <c r="C5418" t="str">
        <f ca="1">IF(currency="USD",'Future et co'!D5418,IF(currency="EUR",'Future et co'!E5418,IF(currency="GBP",'Future et co'!F5418,FALSE)))</f>
        <v>RFR USD</v>
      </c>
      <c r="D5418" t="str">
        <f t="shared" ca="1" si="421"/>
        <v>RFR USD</v>
      </c>
      <c r="E5418" t="str">
        <f t="shared" ca="1" si="422"/>
        <v>RFR EUR</v>
      </c>
      <c r="F5418" t="str">
        <f t="shared" ca="1" si="423"/>
        <v>RFR GBP</v>
      </c>
    </row>
    <row r="5419" spans="1:6" x14ac:dyDescent="0.3">
      <c r="A5419" s="19">
        <f t="shared" si="424"/>
        <v>53500</v>
      </c>
      <c r="B5419">
        <f t="shared" ca="1" si="420"/>
        <v>-20.411111111111111</v>
      </c>
      <c r="C5419" t="str">
        <f ca="1">IF(currency="USD",'Future et co'!D5419,IF(currency="EUR",'Future et co'!E5419,IF(currency="GBP",'Future et co'!F5419,FALSE)))</f>
        <v>RFR USD</v>
      </c>
      <c r="D5419" t="str">
        <f t="shared" ca="1" si="421"/>
        <v>RFR USD</v>
      </c>
      <c r="E5419" t="str">
        <f t="shared" ca="1" si="422"/>
        <v>RFR EUR</v>
      </c>
      <c r="F5419" t="str">
        <f t="shared" ca="1" si="423"/>
        <v>RFR GBP</v>
      </c>
    </row>
    <row r="5420" spans="1:6" x14ac:dyDescent="0.3">
      <c r="A5420" s="19">
        <f t="shared" si="424"/>
        <v>53503</v>
      </c>
      <c r="B5420">
        <f t="shared" ca="1" si="420"/>
        <v>-20.419444444444444</v>
      </c>
      <c r="C5420" t="str">
        <f ca="1">IF(currency="USD",'Future et co'!D5420,IF(currency="EUR",'Future et co'!E5420,IF(currency="GBP",'Future et co'!F5420,FALSE)))</f>
        <v>RFR USD</v>
      </c>
      <c r="D5420" t="str">
        <f t="shared" ca="1" si="421"/>
        <v>RFR USD</v>
      </c>
      <c r="E5420" t="str">
        <f t="shared" ca="1" si="422"/>
        <v>RFR EUR</v>
      </c>
      <c r="F5420" t="str">
        <f t="shared" ca="1" si="423"/>
        <v>RFR GBP</v>
      </c>
    </row>
    <row r="5421" spans="1:6" x14ac:dyDescent="0.3">
      <c r="A5421" s="19">
        <f t="shared" si="424"/>
        <v>53504</v>
      </c>
      <c r="B5421">
        <f t="shared" ca="1" si="420"/>
        <v>-20.422222222222221</v>
      </c>
      <c r="C5421" t="str">
        <f ca="1">IF(currency="USD",'Future et co'!D5421,IF(currency="EUR",'Future et co'!E5421,IF(currency="GBP",'Future et co'!F5421,FALSE)))</f>
        <v>RFR USD</v>
      </c>
      <c r="D5421" t="str">
        <f t="shared" ca="1" si="421"/>
        <v>RFR USD</v>
      </c>
      <c r="E5421" t="str">
        <f t="shared" ca="1" si="422"/>
        <v>RFR EUR</v>
      </c>
      <c r="F5421" t="str">
        <f t="shared" ca="1" si="423"/>
        <v>RFR GBP</v>
      </c>
    </row>
    <row r="5422" spans="1:6" x14ac:dyDescent="0.3">
      <c r="A5422" s="19">
        <f t="shared" si="424"/>
        <v>53505</v>
      </c>
      <c r="B5422">
        <f t="shared" ca="1" si="420"/>
        <v>-20.425000000000001</v>
      </c>
      <c r="C5422" t="str">
        <f ca="1">IF(currency="USD",'Future et co'!D5422,IF(currency="EUR",'Future et co'!E5422,IF(currency="GBP",'Future et co'!F5422,FALSE)))</f>
        <v>RFR USD</v>
      </c>
      <c r="D5422" t="str">
        <f t="shared" ca="1" si="421"/>
        <v>RFR USD</v>
      </c>
      <c r="E5422" t="str">
        <f t="shared" ca="1" si="422"/>
        <v>RFR EUR</v>
      </c>
      <c r="F5422" t="str">
        <f t="shared" ca="1" si="423"/>
        <v>RFR GBP</v>
      </c>
    </row>
    <row r="5423" spans="1:6" x14ac:dyDescent="0.3">
      <c r="A5423" s="19">
        <f t="shared" si="424"/>
        <v>53506</v>
      </c>
      <c r="B5423">
        <f t="shared" ca="1" si="420"/>
        <v>-20.427777777777777</v>
      </c>
      <c r="C5423" t="str">
        <f ca="1">IF(currency="USD",'Future et co'!D5423,IF(currency="EUR",'Future et co'!E5423,IF(currency="GBP",'Future et co'!F5423,FALSE)))</f>
        <v>RFR USD</v>
      </c>
      <c r="D5423" t="str">
        <f t="shared" ca="1" si="421"/>
        <v>RFR USD</v>
      </c>
      <c r="E5423" t="str">
        <f t="shared" ca="1" si="422"/>
        <v>RFR EUR</v>
      </c>
      <c r="F5423" t="str">
        <f t="shared" ca="1" si="423"/>
        <v>RFR GBP</v>
      </c>
    </row>
    <row r="5424" spans="1:6" x14ac:dyDescent="0.3">
      <c r="A5424" s="19">
        <f t="shared" si="424"/>
        <v>53507</v>
      </c>
      <c r="B5424">
        <f t="shared" ca="1" si="420"/>
        <v>-20.430555555555557</v>
      </c>
      <c r="C5424" t="str">
        <f ca="1">IF(currency="USD",'Future et co'!D5424,IF(currency="EUR",'Future et co'!E5424,IF(currency="GBP",'Future et co'!F5424,FALSE)))</f>
        <v>RFR USD</v>
      </c>
      <c r="D5424" t="str">
        <f t="shared" ca="1" si="421"/>
        <v>RFR USD</v>
      </c>
      <c r="E5424" t="str">
        <f t="shared" ca="1" si="422"/>
        <v>RFR EUR</v>
      </c>
      <c r="F5424" t="str">
        <f t="shared" ca="1" si="423"/>
        <v>RFR GBP</v>
      </c>
    </row>
    <row r="5425" spans="1:6" x14ac:dyDescent="0.3">
      <c r="A5425" s="19">
        <f t="shared" si="424"/>
        <v>53510</v>
      </c>
      <c r="B5425">
        <f t="shared" ca="1" si="420"/>
        <v>-20.43888888888889</v>
      </c>
      <c r="C5425" t="str">
        <f ca="1">IF(currency="USD",'Future et co'!D5425,IF(currency="EUR",'Future et co'!E5425,IF(currency="GBP",'Future et co'!F5425,FALSE)))</f>
        <v>RFR USD</v>
      </c>
      <c r="D5425" t="str">
        <f t="shared" ca="1" si="421"/>
        <v>RFR USD</v>
      </c>
      <c r="E5425" t="str">
        <f t="shared" ca="1" si="422"/>
        <v>RFR EUR</v>
      </c>
      <c r="F5425" t="str">
        <f t="shared" ca="1" si="423"/>
        <v>RFR GBP</v>
      </c>
    </row>
    <row r="5426" spans="1:6" x14ac:dyDescent="0.3">
      <c r="A5426" s="19">
        <f t="shared" si="424"/>
        <v>53511</v>
      </c>
      <c r="B5426">
        <f t="shared" ca="1" si="420"/>
        <v>-20.441666666666666</v>
      </c>
      <c r="C5426" t="str">
        <f ca="1">IF(currency="USD",'Future et co'!D5426,IF(currency="EUR",'Future et co'!E5426,IF(currency="GBP",'Future et co'!F5426,FALSE)))</f>
        <v>RFR USD</v>
      </c>
      <c r="D5426" t="str">
        <f t="shared" ca="1" si="421"/>
        <v>RFR USD</v>
      </c>
      <c r="E5426" t="str">
        <f t="shared" ca="1" si="422"/>
        <v>RFR EUR</v>
      </c>
      <c r="F5426" t="str">
        <f t="shared" ca="1" si="423"/>
        <v>RFR GBP</v>
      </c>
    </row>
    <row r="5427" spans="1:6" x14ac:dyDescent="0.3">
      <c r="A5427" s="19">
        <f t="shared" si="424"/>
        <v>53512</v>
      </c>
      <c r="B5427">
        <f t="shared" ca="1" si="420"/>
        <v>-20.444444444444443</v>
      </c>
      <c r="C5427" t="str">
        <f ca="1">IF(currency="USD",'Future et co'!D5427,IF(currency="EUR",'Future et co'!E5427,IF(currency="GBP",'Future et co'!F5427,FALSE)))</f>
        <v>RFR USD</v>
      </c>
      <c r="D5427" t="str">
        <f t="shared" ca="1" si="421"/>
        <v>RFR USD</v>
      </c>
      <c r="E5427" t="str">
        <f t="shared" ca="1" si="422"/>
        <v>RFR EUR</v>
      </c>
      <c r="F5427" t="str">
        <f t="shared" ca="1" si="423"/>
        <v>RFR GBP</v>
      </c>
    </row>
    <row r="5428" spans="1:6" x14ac:dyDescent="0.3">
      <c r="A5428" s="19">
        <f t="shared" si="424"/>
        <v>53513</v>
      </c>
      <c r="B5428">
        <f t="shared" ca="1" si="420"/>
        <v>-20.447222222222223</v>
      </c>
      <c r="C5428" t="str">
        <f ca="1">IF(currency="USD",'Future et co'!D5428,IF(currency="EUR",'Future et co'!E5428,IF(currency="GBP",'Future et co'!F5428,FALSE)))</f>
        <v>RFR USD</v>
      </c>
      <c r="D5428" t="str">
        <f t="shared" ca="1" si="421"/>
        <v>RFR USD</v>
      </c>
      <c r="E5428" t="str">
        <f t="shared" ca="1" si="422"/>
        <v>RFR EUR</v>
      </c>
      <c r="F5428" t="str">
        <f t="shared" ca="1" si="423"/>
        <v>RFR GBP</v>
      </c>
    </row>
    <row r="5429" spans="1:6" x14ac:dyDescent="0.3">
      <c r="A5429" s="19">
        <f t="shared" si="424"/>
        <v>53514</v>
      </c>
      <c r="B5429">
        <f t="shared" ca="1" si="420"/>
        <v>-20.45</v>
      </c>
      <c r="C5429" t="str">
        <f ca="1">IF(currency="USD",'Future et co'!D5429,IF(currency="EUR",'Future et co'!E5429,IF(currency="GBP",'Future et co'!F5429,FALSE)))</f>
        <v>RFR USD</v>
      </c>
      <c r="D5429" t="str">
        <f t="shared" ca="1" si="421"/>
        <v>RFR USD</v>
      </c>
      <c r="E5429" t="str">
        <f t="shared" ca="1" si="422"/>
        <v>RFR EUR</v>
      </c>
      <c r="F5429" t="str">
        <f t="shared" ca="1" si="423"/>
        <v>RFR GBP</v>
      </c>
    </row>
    <row r="5430" spans="1:6" x14ac:dyDescent="0.3">
      <c r="A5430" s="19">
        <f t="shared" si="424"/>
        <v>53517</v>
      </c>
      <c r="B5430">
        <f t="shared" ca="1" si="420"/>
        <v>-20.458333333333332</v>
      </c>
      <c r="C5430" t="str">
        <f ca="1">IF(currency="USD",'Future et co'!D5430,IF(currency="EUR",'Future et co'!E5430,IF(currency="GBP",'Future et co'!F5430,FALSE)))</f>
        <v>RFR USD</v>
      </c>
      <c r="D5430" t="str">
        <f t="shared" ca="1" si="421"/>
        <v>RFR USD</v>
      </c>
      <c r="E5430" t="str">
        <f t="shared" ca="1" si="422"/>
        <v>RFR EUR</v>
      </c>
      <c r="F5430" t="str">
        <f t="shared" ca="1" si="423"/>
        <v>RFR GBP</v>
      </c>
    </row>
    <row r="5431" spans="1:6" x14ac:dyDescent="0.3">
      <c r="A5431" s="19">
        <f t="shared" si="424"/>
        <v>53518</v>
      </c>
      <c r="B5431">
        <f t="shared" ca="1" si="420"/>
        <v>-20.461111111111112</v>
      </c>
      <c r="C5431" t="str">
        <f ca="1">IF(currency="USD",'Future et co'!D5431,IF(currency="EUR",'Future et co'!E5431,IF(currency="GBP",'Future et co'!F5431,FALSE)))</f>
        <v>RFR USD</v>
      </c>
      <c r="D5431" t="str">
        <f t="shared" ca="1" si="421"/>
        <v>RFR USD</v>
      </c>
      <c r="E5431" t="str">
        <f t="shared" ca="1" si="422"/>
        <v>RFR EUR</v>
      </c>
      <c r="F5431" t="str">
        <f t="shared" ca="1" si="423"/>
        <v>RFR GBP</v>
      </c>
    </row>
    <row r="5432" spans="1:6" x14ac:dyDescent="0.3">
      <c r="A5432" s="19">
        <f t="shared" si="424"/>
        <v>53519</v>
      </c>
      <c r="B5432">
        <f t="shared" ca="1" si="420"/>
        <v>-20.463888888888889</v>
      </c>
      <c r="C5432" t="str">
        <f ca="1">IF(currency="USD",'Future et co'!D5432,IF(currency="EUR",'Future et co'!E5432,IF(currency="GBP",'Future et co'!F5432,FALSE)))</f>
        <v>RFR USD</v>
      </c>
      <c r="D5432" t="str">
        <f t="shared" ca="1" si="421"/>
        <v>RFR USD</v>
      </c>
      <c r="E5432" t="str">
        <f t="shared" ca="1" si="422"/>
        <v>RFR EUR</v>
      </c>
      <c r="F5432" t="str">
        <f t="shared" ca="1" si="423"/>
        <v>RFR GBP</v>
      </c>
    </row>
    <row r="5433" spans="1:6" x14ac:dyDescent="0.3">
      <c r="A5433" s="19">
        <f t="shared" si="424"/>
        <v>53520</v>
      </c>
      <c r="B5433">
        <f t="shared" ca="1" si="420"/>
        <v>-20.466666666666665</v>
      </c>
      <c r="C5433" t="str">
        <f ca="1">IF(currency="USD",'Future et co'!D5433,IF(currency="EUR",'Future et co'!E5433,IF(currency="GBP",'Future et co'!F5433,FALSE)))</f>
        <v>RFR USD</v>
      </c>
      <c r="D5433" t="str">
        <f t="shared" ca="1" si="421"/>
        <v>RFR USD</v>
      </c>
      <c r="E5433" t="str">
        <f t="shared" ca="1" si="422"/>
        <v>RFR EUR</v>
      </c>
      <c r="F5433" t="str">
        <f t="shared" ca="1" si="423"/>
        <v>RFR GBP</v>
      </c>
    </row>
    <row r="5434" spans="1:6" x14ac:dyDescent="0.3">
      <c r="A5434" s="19">
        <f t="shared" si="424"/>
        <v>53521</v>
      </c>
      <c r="B5434">
        <f t="shared" ca="1" si="420"/>
        <v>-20.469444444444445</v>
      </c>
      <c r="C5434" t="str">
        <f ca="1">IF(currency="USD",'Future et co'!D5434,IF(currency="EUR",'Future et co'!E5434,IF(currency="GBP",'Future et co'!F5434,FALSE)))</f>
        <v>RFR USD</v>
      </c>
      <c r="D5434" t="str">
        <f t="shared" ca="1" si="421"/>
        <v>RFR USD</v>
      </c>
      <c r="E5434" t="str">
        <f t="shared" ca="1" si="422"/>
        <v>RFR EUR</v>
      </c>
      <c r="F5434" t="str">
        <f t="shared" ca="1" si="423"/>
        <v>RFR GBP</v>
      </c>
    </row>
    <row r="5435" spans="1:6" x14ac:dyDescent="0.3">
      <c r="A5435" s="19">
        <f t="shared" si="424"/>
        <v>53524</v>
      </c>
      <c r="B5435">
        <f t="shared" ca="1" si="420"/>
        <v>-20.477777777777778</v>
      </c>
      <c r="C5435" t="str">
        <f ca="1">IF(currency="USD",'Future et co'!D5435,IF(currency="EUR",'Future et co'!E5435,IF(currency="GBP",'Future et co'!F5435,FALSE)))</f>
        <v>RFR USD</v>
      </c>
      <c r="D5435" t="str">
        <f t="shared" ca="1" si="421"/>
        <v>RFR USD</v>
      </c>
      <c r="E5435" t="str">
        <f t="shared" ca="1" si="422"/>
        <v>RFR EUR</v>
      </c>
      <c r="F5435" t="str">
        <f t="shared" ca="1" si="423"/>
        <v>RFR GBP</v>
      </c>
    </row>
    <row r="5436" spans="1:6" x14ac:dyDescent="0.3">
      <c r="A5436" s="19">
        <f t="shared" si="424"/>
        <v>53525</v>
      </c>
      <c r="B5436">
        <f t="shared" ca="1" si="420"/>
        <v>-20.480555555555554</v>
      </c>
      <c r="C5436" t="str">
        <f ca="1">IF(currency="USD",'Future et co'!D5436,IF(currency="EUR",'Future et co'!E5436,IF(currency="GBP",'Future et co'!F5436,FALSE)))</f>
        <v>RFR USD</v>
      </c>
      <c r="D5436" t="str">
        <f t="shared" ca="1" si="421"/>
        <v>RFR USD</v>
      </c>
      <c r="E5436" t="str">
        <f t="shared" ca="1" si="422"/>
        <v>RFR EUR</v>
      </c>
      <c r="F5436" t="str">
        <f t="shared" ca="1" si="423"/>
        <v>RFR GBP</v>
      </c>
    </row>
    <row r="5437" spans="1:6" x14ac:dyDescent="0.3">
      <c r="A5437" s="19">
        <f t="shared" si="424"/>
        <v>53526</v>
      </c>
      <c r="B5437">
        <f t="shared" ca="1" si="420"/>
        <v>-20.483333333333334</v>
      </c>
      <c r="C5437" t="str">
        <f ca="1">IF(currency="USD",'Future et co'!D5437,IF(currency="EUR",'Future et co'!E5437,IF(currency="GBP",'Future et co'!F5437,FALSE)))</f>
        <v>RFR USD</v>
      </c>
      <c r="D5437" t="str">
        <f t="shared" ca="1" si="421"/>
        <v>RFR USD</v>
      </c>
      <c r="E5437" t="str">
        <f t="shared" ca="1" si="422"/>
        <v>RFR EUR</v>
      </c>
      <c r="F5437" t="str">
        <f t="shared" ca="1" si="423"/>
        <v>RFR GBP</v>
      </c>
    </row>
    <row r="5438" spans="1:6" x14ac:dyDescent="0.3">
      <c r="A5438" s="19">
        <f t="shared" si="424"/>
        <v>53527</v>
      </c>
      <c r="B5438">
        <f t="shared" ca="1" si="420"/>
        <v>-20.486111111111111</v>
      </c>
      <c r="C5438" t="str">
        <f ca="1">IF(currency="USD",'Future et co'!D5438,IF(currency="EUR",'Future et co'!E5438,IF(currency="GBP",'Future et co'!F5438,FALSE)))</f>
        <v>RFR USD</v>
      </c>
      <c r="D5438" t="str">
        <f t="shared" ca="1" si="421"/>
        <v>RFR USD</v>
      </c>
      <c r="E5438" t="str">
        <f t="shared" ca="1" si="422"/>
        <v>RFR EUR</v>
      </c>
      <c r="F5438" t="str">
        <f t="shared" ca="1" si="423"/>
        <v>RFR GBP</v>
      </c>
    </row>
    <row r="5439" spans="1:6" x14ac:dyDescent="0.3">
      <c r="A5439" s="19">
        <f t="shared" si="424"/>
        <v>53528</v>
      </c>
      <c r="B5439">
        <f t="shared" ca="1" si="420"/>
        <v>-20.488888888888887</v>
      </c>
      <c r="C5439" t="str">
        <f ca="1">IF(currency="USD",'Future et co'!D5439,IF(currency="EUR",'Future et co'!E5439,IF(currency="GBP",'Future et co'!F5439,FALSE)))</f>
        <v>RFR USD</v>
      </c>
      <c r="D5439" t="str">
        <f t="shared" ca="1" si="421"/>
        <v>RFR USD</v>
      </c>
      <c r="E5439" t="str">
        <f t="shared" ca="1" si="422"/>
        <v>RFR EUR</v>
      </c>
      <c r="F5439" t="str">
        <f t="shared" ca="1" si="423"/>
        <v>RFR GBP</v>
      </c>
    </row>
    <row r="5440" spans="1:6" x14ac:dyDescent="0.3">
      <c r="A5440" s="19">
        <f t="shared" si="424"/>
        <v>53531</v>
      </c>
      <c r="B5440">
        <f t="shared" ca="1" si="420"/>
        <v>-20.497222222222224</v>
      </c>
      <c r="C5440" t="str">
        <f ca="1">IF(currency="USD",'Future et co'!D5440,IF(currency="EUR",'Future et co'!E5440,IF(currency="GBP",'Future et co'!F5440,FALSE)))</f>
        <v>RFR USD</v>
      </c>
      <c r="D5440" t="str">
        <f t="shared" ca="1" si="421"/>
        <v>RFR USD</v>
      </c>
      <c r="E5440" t="str">
        <f t="shared" ca="1" si="422"/>
        <v>RFR EUR</v>
      </c>
      <c r="F5440" t="str">
        <f t="shared" ca="1" si="423"/>
        <v>RFR GBP</v>
      </c>
    </row>
    <row r="5441" spans="1:6" x14ac:dyDescent="0.3">
      <c r="A5441" s="19">
        <f t="shared" si="424"/>
        <v>53532</v>
      </c>
      <c r="B5441">
        <f t="shared" ca="1" si="420"/>
        <v>-20.5</v>
      </c>
      <c r="C5441" t="str">
        <f ca="1">IF(currency="USD",'Future et co'!D5441,IF(currency="EUR",'Future et co'!E5441,IF(currency="GBP",'Future et co'!F5441,FALSE)))</f>
        <v>RFR USD</v>
      </c>
      <c r="D5441" t="str">
        <f t="shared" ca="1" si="421"/>
        <v>RFR USD</v>
      </c>
      <c r="E5441" t="str">
        <f t="shared" ca="1" si="422"/>
        <v>RFR EUR</v>
      </c>
      <c r="F5441" t="str">
        <f t="shared" ca="1" si="423"/>
        <v>RFR GBP</v>
      </c>
    </row>
    <row r="5442" spans="1:6" x14ac:dyDescent="0.3">
      <c r="A5442" s="19">
        <f t="shared" si="424"/>
        <v>53533</v>
      </c>
      <c r="B5442">
        <f t="shared" ca="1" si="420"/>
        <v>-20.502777777777776</v>
      </c>
      <c r="C5442" t="str">
        <f ca="1">IF(currency="USD",'Future et co'!D5442,IF(currency="EUR",'Future et co'!E5442,IF(currency="GBP",'Future et co'!F5442,FALSE)))</f>
        <v>RFR USD</v>
      </c>
      <c r="D5442" t="str">
        <f t="shared" ca="1" si="421"/>
        <v>RFR USD</v>
      </c>
      <c r="E5442" t="str">
        <f t="shared" ca="1" si="422"/>
        <v>RFR EUR</v>
      </c>
      <c r="F5442" t="str">
        <f t="shared" ca="1" si="423"/>
        <v>RFR GBP</v>
      </c>
    </row>
    <row r="5443" spans="1:6" x14ac:dyDescent="0.3">
      <c r="A5443" s="19">
        <f t="shared" si="424"/>
        <v>53534</v>
      </c>
      <c r="B5443">
        <f t="shared" ca="1" si="420"/>
        <v>-20.505555555555556</v>
      </c>
      <c r="C5443" t="str">
        <f ca="1">IF(currency="USD",'Future et co'!D5443,IF(currency="EUR",'Future et co'!E5443,IF(currency="GBP",'Future et co'!F5443,FALSE)))</f>
        <v>RFR USD</v>
      </c>
      <c r="D5443" t="str">
        <f t="shared" ca="1" si="421"/>
        <v>RFR USD</v>
      </c>
      <c r="E5443" t="str">
        <f t="shared" ca="1" si="422"/>
        <v>RFR EUR</v>
      </c>
      <c r="F5443" t="str">
        <f t="shared" ca="1" si="423"/>
        <v>RFR GBP</v>
      </c>
    </row>
    <row r="5444" spans="1:6" x14ac:dyDescent="0.3">
      <c r="A5444" s="19">
        <f t="shared" si="424"/>
        <v>53535</v>
      </c>
      <c r="B5444">
        <f t="shared" ca="1" si="420"/>
        <v>-20.508333333333333</v>
      </c>
      <c r="C5444" t="str">
        <f ca="1">IF(currency="USD",'Future et co'!D5444,IF(currency="EUR",'Future et co'!E5444,IF(currency="GBP",'Future et co'!F5444,FALSE)))</f>
        <v>RFR USD</v>
      </c>
      <c r="D5444" t="str">
        <f t="shared" ca="1" si="421"/>
        <v>RFR USD</v>
      </c>
      <c r="E5444" t="str">
        <f t="shared" ca="1" si="422"/>
        <v>RFR EUR</v>
      </c>
      <c r="F5444" t="str">
        <f t="shared" ca="1" si="423"/>
        <v>RFR GBP</v>
      </c>
    </row>
    <row r="5445" spans="1:6" x14ac:dyDescent="0.3">
      <c r="A5445" s="19">
        <f t="shared" si="424"/>
        <v>53538</v>
      </c>
      <c r="B5445">
        <f t="shared" ca="1" si="420"/>
        <v>-20.516666666666666</v>
      </c>
      <c r="C5445" t="str">
        <f ca="1">IF(currency="USD",'Future et co'!D5445,IF(currency="EUR",'Future et co'!E5445,IF(currency="GBP",'Future et co'!F5445,FALSE)))</f>
        <v>RFR USD</v>
      </c>
      <c r="D5445" t="str">
        <f t="shared" ca="1" si="421"/>
        <v>RFR USD</v>
      </c>
      <c r="E5445" t="str">
        <f t="shared" ca="1" si="422"/>
        <v>RFR EUR</v>
      </c>
      <c r="F5445" t="str">
        <f t="shared" ca="1" si="423"/>
        <v>RFR GBP</v>
      </c>
    </row>
    <row r="5446" spans="1:6" x14ac:dyDescent="0.3">
      <c r="A5446" s="19">
        <f t="shared" si="424"/>
        <v>53539</v>
      </c>
      <c r="B5446">
        <f t="shared" ca="1" si="420"/>
        <v>-20.519444444444446</v>
      </c>
      <c r="C5446" t="str">
        <f ca="1">IF(currency="USD",'Future et co'!D5446,IF(currency="EUR",'Future et co'!E5446,IF(currency="GBP",'Future et co'!F5446,FALSE)))</f>
        <v>RFR USD</v>
      </c>
      <c r="D5446" t="str">
        <f t="shared" ca="1" si="421"/>
        <v>RFR USD</v>
      </c>
      <c r="E5446" t="str">
        <f t="shared" ca="1" si="422"/>
        <v>RFR EUR</v>
      </c>
      <c r="F5446" t="str">
        <f t="shared" ca="1" si="423"/>
        <v>RFR GBP</v>
      </c>
    </row>
    <row r="5447" spans="1:6" x14ac:dyDescent="0.3">
      <c r="A5447" s="19">
        <f t="shared" si="424"/>
        <v>53540</v>
      </c>
      <c r="B5447">
        <f t="shared" ca="1" si="420"/>
        <v>-20.522222222222222</v>
      </c>
      <c r="C5447" t="str">
        <f ca="1">IF(currency="USD",'Future et co'!D5447,IF(currency="EUR",'Future et co'!E5447,IF(currency="GBP",'Future et co'!F5447,FALSE)))</f>
        <v>RFR USD</v>
      </c>
      <c r="D5447" t="str">
        <f t="shared" ca="1" si="421"/>
        <v>RFR USD</v>
      </c>
      <c r="E5447" t="str">
        <f t="shared" ca="1" si="422"/>
        <v>RFR EUR</v>
      </c>
      <c r="F5447" t="str">
        <f t="shared" ca="1" si="423"/>
        <v>RFR GBP</v>
      </c>
    </row>
    <row r="5448" spans="1:6" x14ac:dyDescent="0.3">
      <c r="A5448" s="19">
        <f t="shared" si="424"/>
        <v>53541</v>
      </c>
      <c r="B5448">
        <f t="shared" ca="1" si="420"/>
        <v>-20.524999999999999</v>
      </c>
      <c r="C5448" t="str">
        <f ca="1">IF(currency="USD",'Future et co'!D5448,IF(currency="EUR",'Future et co'!E5448,IF(currency="GBP",'Future et co'!F5448,FALSE)))</f>
        <v>RFR USD</v>
      </c>
      <c r="D5448" t="str">
        <f t="shared" ca="1" si="421"/>
        <v>RFR USD</v>
      </c>
      <c r="E5448" t="str">
        <f t="shared" ca="1" si="422"/>
        <v>RFR EUR</v>
      </c>
      <c r="F5448" t="str">
        <f t="shared" ca="1" si="423"/>
        <v>RFR GBP</v>
      </c>
    </row>
    <row r="5449" spans="1:6" x14ac:dyDescent="0.3">
      <c r="A5449" s="19">
        <f t="shared" si="424"/>
        <v>53542</v>
      </c>
      <c r="B5449">
        <f t="shared" ca="1" si="420"/>
        <v>-20.527777777777779</v>
      </c>
      <c r="C5449" t="str">
        <f ca="1">IF(currency="USD",'Future et co'!D5449,IF(currency="EUR",'Future et co'!E5449,IF(currency="GBP",'Future et co'!F5449,FALSE)))</f>
        <v>RFR USD</v>
      </c>
      <c r="D5449" t="str">
        <f t="shared" ca="1" si="421"/>
        <v>RFR USD</v>
      </c>
      <c r="E5449" t="str">
        <f t="shared" ca="1" si="422"/>
        <v>RFR EUR</v>
      </c>
      <c r="F5449" t="str">
        <f t="shared" ca="1" si="423"/>
        <v>RFR GBP</v>
      </c>
    </row>
    <row r="5450" spans="1:6" x14ac:dyDescent="0.3">
      <c r="A5450" s="19">
        <f t="shared" si="424"/>
        <v>53545</v>
      </c>
      <c r="B5450">
        <f t="shared" ca="1" si="420"/>
        <v>-20.536111111111111</v>
      </c>
      <c r="C5450" t="str">
        <f ca="1">IF(currency="USD",'Future et co'!D5450,IF(currency="EUR",'Future et co'!E5450,IF(currency="GBP",'Future et co'!F5450,FALSE)))</f>
        <v>RFR USD</v>
      </c>
      <c r="D5450" t="str">
        <f t="shared" ca="1" si="421"/>
        <v>RFR USD</v>
      </c>
      <c r="E5450" t="str">
        <f t="shared" ca="1" si="422"/>
        <v>RFR EUR</v>
      </c>
      <c r="F5450" t="str">
        <f t="shared" ca="1" si="423"/>
        <v>RFR GBP</v>
      </c>
    </row>
    <row r="5451" spans="1:6" x14ac:dyDescent="0.3">
      <c r="A5451" s="19">
        <f t="shared" si="424"/>
        <v>53546</v>
      </c>
      <c r="B5451">
        <f t="shared" ref="B5451:B5514" ca="1" si="425">($B$7-A5451)/360</f>
        <v>-20.538888888888888</v>
      </c>
      <c r="C5451" t="str">
        <f ca="1">IF(currency="USD",'Future et co'!D5451,IF(currency="EUR",'Future et co'!E5451,IF(currency="GBP",'Future et co'!F5451,FALSE)))</f>
        <v>RFR USD</v>
      </c>
      <c r="D5451" t="str">
        <f t="shared" ref="D5451:D5514" ca="1" si="426">IFERROR(IF(B5451&lt;0.25,VLOOKUP(A5451,$J$11:$L$5325,3,FALSE),IF(AND(B5451&gt;=0.25,B5451&lt;0.5),VLOOKUP(A5451,$N$11:$P$5325,3,FALSE),IF(AND(B5451&gt;=0.5,B5451&lt;1),VLOOKUP(A5451,$R$11:$T$5325,3,FALSE),VLOOKUP(A5451,$V$11:$X$5010,3,FALSE)))),D5450)</f>
        <v>RFR USD</v>
      </c>
      <c r="E5451" t="str">
        <f t="shared" ref="E5451:E5514" ca="1" si="427">IFERROR(IF(B5451&lt;0.25,VLOOKUP(A5451,$AF$11:$AH$5325,3,FALSE),IF(AND(B5451&gt;=0.25,B5451&lt;0.5),VLOOKUP(A5451,$AJ$11:$AL$5325,3,FALSE),VLOOKUP(A5451,$AN$11:$AP$5325,3,FALSE))),E5450)</f>
        <v>RFR EUR</v>
      </c>
      <c r="F5451" t="str">
        <f t="shared" ref="F5451:F5514" ca="1" si="428">IFERROR(VLOOKUP(A5451,$AS$11:$AU$9999,3,FALSE),F5450)</f>
        <v>RFR GBP</v>
      </c>
    </row>
    <row r="5452" spans="1:6" x14ac:dyDescent="0.3">
      <c r="A5452" s="19">
        <f t="shared" si="424"/>
        <v>53547</v>
      </c>
      <c r="B5452">
        <f t="shared" ca="1" si="425"/>
        <v>-20.541666666666668</v>
      </c>
      <c r="C5452" t="str">
        <f ca="1">IF(currency="USD",'Future et co'!D5452,IF(currency="EUR",'Future et co'!E5452,IF(currency="GBP",'Future et co'!F5452,FALSE)))</f>
        <v>RFR USD</v>
      </c>
      <c r="D5452" t="str">
        <f t="shared" ca="1" si="426"/>
        <v>RFR USD</v>
      </c>
      <c r="E5452" t="str">
        <f t="shared" ca="1" si="427"/>
        <v>RFR EUR</v>
      </c>
      <c r="F5452" t="str">
        <f t="shared" ca="1" si="428"/>
        <v>RFR GBP</v>
      </c>
    </row>
    <row r="5453" spans="1:6" x14ac:dyDescent="0.3">
      <c r="A5453" s="19">
        <f t="shared" ref="A5453:A5516" si="429">WORKDAY(A5452,1)</f>
        <v>53548</v>
      </c>
      <c r="B5453">
        <f t="shared" ca="1" si="425"/>
        <v>-20.544444444444444</v>
      </c>
      <c r="C5453" t="str">
        <f ca="1">IF(currency="USD",'Future et co'!D5453,IF(currency="EUR",'Future et co'!E5453,IF(currency="GBP",'Future et co'!F5453,FALSE)))</f>
        <v>RFR USD</v>
      </c>
      <c r="D5453" t="str">
        <f t="shared" ca="1" si="426"/>
        <v>RFR USD</v>
      </c>
      <c r="E5453" t="str">
        <f t="shared" ca="1" si="427"/>
        <v>RFR EUR</v>
      </c>
      <c r="F5453" t="str">
        <f t="shared" ca="1" si="428"/>
        <v>RFR GBP</v>
      </c>
    </row>
    <row r="5454" spans="1:6" x14ac:dyDescent="0.3">
      <c r="A5454" s="19">
        <f t="shared" si="429"/>
        <v>53549</v>
      </c>
      <c r="B5454">
        <f t="shared" ca="1" si="425"/>
        <v>-20.547222222222221</v>
      </c>
      <c r="C5454" t="str">
        <f ca="1">IF(currency="USD",'Future et co'!D5454,IF(currency="EUR",'Future et co'!E5454,IF(currency="GBP",'Future et co'!F5454,FALSE)))</f>
        <v>RFR USD</v>
      </c>
      <c r="D5454" t="str">
        <f t="shared" ca="1" si="426"/>
        <v>RFR USD</v>
      </c>
      <c r="E5454" t="str">
        <f t="shared" ca="1" si="427"/>
        <v>RFR EUR</v>
      </c>
      <c r="F5454" t="str">
        <f t="shared" ca="1" si="428"/>
        <v>RFR GBP</v>
      </c>
    </row>
    <row r="5455" spans="1:6" x14ac:dyDescent="0.3">
      <c r="A5455" s="19">
        <f t="shared" si="429"/>
        <v>53552</v>
      </c>
      <c r="B5455">
        <f t="shared" ca="1" si="425"/>
        <v>-20.555555555555557</v>
      </c>
      <c r="C5455" t="str">
        <f ca="1">IF(currency="USD",'Future et co'!D5455,IF(currency="EUR",'Future et co'!E5455,IF(currency="GBP",'Future et co'!F5455,FALSE)))</f>
        <v>RFR USD</v>
      </c>
      <c r="D5455" t="str">
        <f t="shared" ca="1" si="426"/>
        <v>RFR USD</v>
      </c>
      <c r="E5455" t="str">
        <f t="shared" ca="1" si="427"/>
        <v>RFR EUR</v>
      </c>
      <c r="F5455" t="str">
        <f t="shared" ca="1" si="428"/>
        <v>RFR GBP</v>
      </c>
    </row>
    <row r="5456" spans="1:6" x14ac:dyDescent="0.3">
      <c r="A5456" s="19">
        <f t="shared" si="429"/>
        <v>53553</v>
      </c>
      <c r="B5456">
        <f t="shared" ca="1" si="425"/>
        <v>-20.558333333333334</v>
      </c>
      <c r="C5456" t="str">
        <f ca="1">IF(currency="USD",'Future et co'!D5456,IF(currency="EUR",'Future et co'!E5456,IF(currency="GBP",'Future et co'!F5456,FALSE)))</f>
        <v>RFR USD</v>
      </c>
      <c r="D5456" t="str">
        <f t="shared" ca="1" si="426"/>
        <v>RFR USD</v>
      </c>
      <c r="E5456" t="str">
        <f t="shared" ca="1" si="427"/>
        <v>RFR EUR</v>
      </c>
      <c r="F5456" t="str">
        <f t="shared" ca="1" si="428"/>
        <v>RFR GBP</v>
      </c>
    </row>
    <row r="5457" spans="1:6" x14ac:dyDescent="0.3">
      <c r="A5457" s="19">
        <f t="shared" si="429"/>
        <v>53554</v>
      </c>
      <c r="B5457">
        <f t="shared" ca="1" si="425"/>
        <v>-20.56111111111111</v>
      </c>
      <c r="C5457" t="str">
        <f ca="1">IF(currency="USD",'Future et co'!D5457,IF(currency="EUR",'Future et co'!E5457,IF(currency="GBP",'Future et co'!F5457,FALSE)))</f>
        <v>RFR USD</v>
      </c>
      <c r="D5457" t="str">
        <f t="shared" ca="1" si="426"/>
        <v>RFR USD</v>
      </c>
      <c r="E5457" t="str">
        <f t="shared" ca="1" si="427"/>
        <v>RFR EUR</v>
      </c>
      <c r="F5457" t="str">
        <f t="shared" ca="1" si="428"/>
        <v>RFR GBP</v>
      </c>
    </row>
    <row r="5458" spans="1:6" x14ac:dyDescent="0.3">
      <c r="A5458" s="19">
        <f t="shared" si="429"/>
        <v>53555</v>
      </c>
      <c r="B5458">
        <f t="shared" ca="1" si="425"/>
        <v>-20.56388888888889</v>
      </c>
      <c r="C5458" t="str">
        <f ca="1">IF(currency="USD",'Future et co'!D5458,IF(currency="EUR",'Future et co'!E5458,IF(currency="GBP",'Future et co'!F5458,FALSE)))</f>
        <v>RFR USD</v>
      </c>
      <c r="D5458" t="str">
        <f t="shared" ca="1" si="426"/>
        <v>RFR USD</v>
      </c>
      <c r="E5458" t="str">
        <f t="shared" ca="1" si="427"/>
        <v>RFR EUR</v>
      </c>
      <c r="F5458" t="str">
        <f t="shared" ca="1" si="428"/>
        <v>RFR GBP</v>
      </c>
    </row>
    <row r="5459" spans="1:6" x14ac:dyDescent="0.3">
      <c r="A5459" s="19">
        <f t="shared" si="429"/>
        <v>53556</v>
      </c>
      <c r="B5459">
        <f t="shared" ca="1" si="425"/>
        <v>-20.566666666666666</v>
      </c>
      <c r="C5459" t="str">
        <f ca="1">IF(currency="USD",'Future et co'!D5459,IF(currency="EUR",'Future et co'!E5459,IF(currency="GBP",'Future et co'!F5459,FALSE)))</f>
        <v>RFR USD</v>
      </c>
      <c r="D5459" t="str">
        <f t="shared" ca="1" si="426"/>
        <v>RFR USD</v>
      </c>
      <c r="E5459" t="str">
        <f t="shared" ca="1" si="427"/>
        <v>RFR EUR</v>
      </c>
      <c r="F5459" t="str">
        <f t="shared" ca="1" si="428"/>
        <v>RFR GBP</v>
      </c>
    </row>
    <row r="5460" spans="1:6" x14ac:dyDescent="0.3">
      <c r="A5460" s="19">
        <f t="shared" si="429"/>
        <v>53559</v>
      </c>
      <c r="B5460">
        <f t="shared" ca="1" si="425"/>
        <v>-20.574999999999999</v>
      </c>
      <c r="C5460" t="str">
        <f ca="1">IF(currency="USD",'Future et co'!D5460,IF(currency="EUR",'Future et co'!E5460,IF(currency="GBP",'Future et co'!F5460,FALSE)))</f>
        <v>RFR USD</v>
      </c>
      <c r="D5460" t="str">
        <f t="shared" ca="1" si="426"/>
        <v>RFR USD</v>
      </c>
      <c r="E5460" t="str">
        <f t="shared" ca="1" si="427"/>
        <v>RFR EUR</v>
      </c>
      <c r="F5460" t="str">
        <f t="shared" ca="1" si="428"/>
        <v>RFR GBP</v>
      </c>
    </row>
    <row r="5461" spans="1:6" x14ac:dyDescent="0.3">
      <c r="A5461" s="19">
        <f t="shared" si="429"/>
        <v>53560</v>
      </c>
      <c r="B5461">
        <f t="shared" ca="1" si="425"/>
        <v>-20.577777777777779</v>
      </c>
      <c r="C5461" t="str">
        <f ca="1">IF(currency="USD",'Future et co'!D5461,IF(currency="EUR",'Future et co'!E5461,IF(currency="GBP",'Future et co'!F5461,FALSE)))</f>
        <v>RFR USD</v>
      </c>
      <c r="D5461" t="str">
        <f t="shared" ca="1" si="426"/>
        <v>RFR USD</v>
      </c>
      <c r="E5461" t="str">
        <f t="shared" ca="1" si="427"/>
        <v>RFR EUR</v>
      </c>
      <c r="F5461" t="str">
        <f t="shared" ca="1" si="428"/>
        <v>RFR GBP</v>
      </c>
    </row>
    <row r="5462" spans="1:6" x14ac:dyDescent="0.3">
      <c r="A5462" s="19">
        <f t="shared" si="429"/>
        <v>53561</v>
      </c>
      <c r="B5462">
        <f t="shared" ca="1" si="425"/>
        <v>-20.580555555555556</v>
      </c>
      <c r="C5462" t="str">
        <f ca="1">IF(currency="USD",'Future et co'!D5462,IF(currency="EUR",'Future et co'!E5462,IF(currency="GBP",'Future et co'!F5462,FALSE)))</f>
        <v>RFR USD</v>
      </c>
      <c r="D5462" t="str">
        <f t="shared" ca="1" si="426"/>
        <v>RFR USD</v>
      </c>
      <c r="E5462" t="str">
        <f t="shared" ca="1" si="427"/>
        <v>RFR EUR</v>
      </c>
      <c r="F5462" t="str">
        <f t="shared" ca="1" si="428"/>
        <v>RFR GBP</v>
      </c>
    </row>
    <row r="5463" spans="1:6" x14ac:dyDescent="0.3">
      <c r="A5463" s="19">
        <f t="shared" si="429"/>
        <v>53562</v>
      </c>
      <c r="B5463">
        <f t="shared" ca="1" si="425"/>
        <v>-20.583333333333332</v>
      </c>
      <c r="C5463" t="str">
        <f ca="1">IF(currency="USD",'Future et co'!D5463,IF(currency="EUR",'Future et co'!E5463,IF(currency="GBP",'Future et co'!F5463,FALSE)))</f>
        <v>RFR USD</v>
      </c>
      <c r="D5463" t="str">
        <f t="shared" ca="1" si="426"/>
        <v>RFR USD</v>
      </c>
      <c r="E5463" t="str">
        <f t="shared" ca="1" si="427"/>
        <v>RFR EUR</v>
      </c>
      <c r="F5463" t="str">
        <f t="shared" ca="1" si="428"/>
        <v>RFR GBP</v>
      </c>
    </row>
    <row r="5464" spans="1:6" x14ac:dyDescent="0.3">
      <c r="A5464" s="19">
        <f t="shared" si="429"/>
        <v>53563</v>
      </c>
      <c r="B5464">
        <f t="shared" ca="1" si="425"/>
        <v>-20.586111111111112</v>
      </c>
      <c r="C5464" t="str">
        <f ca="1">IF(currency="USD",'Future et co'!D5464,IF(currency="EUR",'Future et co'!E5464,IF(currency="GBP",'Future et co'!F5464,FALSE)))</f>
        <v>RFR USD</v>
      </c>
      <c r="D5464" t="str">
        <f t="shared" ca="1" si="426"/>
        <v>RFR USD</v>
      </c>
      <c r="E5464" t="str">
        <f t="shared" ca="1" si="427"/>
        <v>RFR EUR</v>
      </c>
      <c r="F5464" t="str">
        <f t="shared" ca="1" si="428"/>
        <v>RFR GBP</v>
      </c>
    </row>
    <row r="5465" spans="1:6" x14ac:dyDescent="0.3">
      <c r="A5465" s="19">
        <f t="shared" si="429"/>
        <v>53566</v>
      </c>
      <c r="B5465">
        <f t="shared" ca="1" si="425"/>
        <v>-20.594444444444445</v>
      </c>
      <c r="C5465" t="str">
        <f ca="1">IF(currency="USD",'Future et co'!D5465,IF(currency="EUR",'Future et co'!E5465,IF(currency="GBP",'Future et co'!F5465,FALSE)))</f>
        <v>RFR USD</v>
      </c>
      <c r="D5465" t="str">
        <f t="shared" ca="1" si="426"/>
        <v>RFR USD</v>
      </c>
      <c r="E5465" t="str">
        <f t="shared" ca="1" si="427"/>
        <v>RFR EUR</v>
      </c>
      <c r="F5465" t="str">
        <f t="shared" ca="1" si="428"/>
        <v>RFR GBP</v>
      </c>
    </row>
    <row r="5466" spans="1:6" x14ac:dyDescent="0.3">
      <c r="A5466" s="19">
        <f t="shared" si="429"/>
        <v>53567</v>
      </c>
      <c r="B5466">
        <f t="shared" ca="1" si="425"/>
        <v>-20.597222222222221</v>
      </c>
      <c r="C5466" t="str">
        <f ca="1">IF(currency="USD",'Future et co'!D5466,IF(currency="EUR",'Future et co'!E5466,IF(currency="GBP",'Future et co'!F5466,FALSE)))</f>
        <v>RFR USD</v>
      </c>
      <c r="D5466" t="str">
        <f t="shared" ca="1" si="426"/>
        <v>RFR USD</v>
      </c>
      <c r="E5466" t="str">
        <f t="shared" ca="1" si="427"/>
        <v>RFR EUR</v>
      </c>
      <c r="F5466" t="str">
        <f t="shared" ca="1" si="428"/>
        <v>RFR GBP</v>
      </c>
    </row>
    <row r="5467" spans="1:6" x14ac:dyDescent="0.3">
      <c r="A5467" s="19">
        <f t="shared" si="429"/>
        <v>53568</v>
      </c>
      <c r="B5467">
        <f t="shared" ca="1" si="425"/>
        <v>-20.6</v>
      </c>
      <c r="C5467" t="str">
        <f ca="1">IF(currency="USD",'Future et co'!D5467,IF(currency="EUR",'Future et co'!E5467,IF(currency="GBP",'Future et co'!F5467,FALSE)))</f>
        <v>RFR USD</v>
      </c>
      <c r="D5467" t="str">
        <f t="shared" ca="1" si="426"/>
        <v>RFR USD</v>
      </c>
      <c r="E5467" t="str">
        <f t="shared" ca="1" si="427"/>
        <v>RFR EUR</v>
      </c>
      <c r="F5467" t="str">
        <f t="shared" ca="1" si="428"/>
        <v>RFR GBP</v>
      </c>
    </row>
    <row r="5468" spans="1:6" x14ac:dyDescent="0.3">
      <c r="A5468" s="19">
        <f t="shared" si="429"/>
        <v>53569</v>
      </c>
      <c r="B5468">
        <f t="shared" ca="1" si="425"/>
        <v>-20.602777777777778</v>
      </c>
      <c r="C5468" t="str">
        <f ca="1">IF(currency="USD",'Future et co'!D5468,IF(currency="EUR",'Future et co'!E5468,IF(currency="GBP",'Future et co'!F5468,FALSE)))</f>
        <v>RFR USD</v>
      </c>
      <c r="D5468" t="str">
        <f t="shared" ca="1" si="426"/>
        <v>RFR USD</v>
      </c>
      <c r="E5468" t="str">
        <f t="shared" ca="1" si="427"/>
        <v>RFR EUR</v>
      </c>
      <c r="F5468" t="str">
        <f t="shared" ca="1" si="428"/>
        <v>RFR GBP</v>
      </c>
    </row>
    <row r="5469" spans="1:6" x14ac:dyDescent="0.3">
      <c r="A5469" s="19">
        <f t="shared" si="429"/>
        <v>53570</v>
      </c>
      <c r="B5469">
        <f t="shared" ca="1" si="425"/>
        <v>-20.605555555555554</v>
      </c>
      <c r="C5469" t="str">
        <f ca="1">IF(currency="USD",'Future et co'!D5469,IF(currency="EUR",'Future et co'!E5469,IF(currency="GBP",'Future et co'!F5469,FALSE)))</f>
        <v>RFR USD</v>
      </c>
      <c r="D5469" t="str">
        <f t="shared" ca="1" si="426"/>
        <v>RFR USD</v>
      </c>
      <c r="E5469" t="str">
        <f t="shared" ca="1" si="427"/>
        <v>RFR EUR</v>
      </c>
      <c r="F5469" t="str">
        <f t="shared" ca="1" si="428"/>
        <v>RFR GBP</v>
      </c>
    </row>
    <row r="5470" spans="1:6" x14ac:dyDescent="0.3">
      <c r="A5470" s="19">
        <f t="shared" si="429"/>
        <v>53573</v>
      </c>
      <c r="B5470">
        <f t="shared" ca="1" si="425"/>
        <v>-20.613888888888887</v>
      </c>
      <c r="C5470" t="str">
        <f ca="1">IF(currency="USD",'Future et co'!D5470,IF(currency="EUR",'Future et co'!E5470,IF(currency="GBP",'Future et co'!F5470,FALSE)))</f>
        <v>RFR USD</v>
      </c>
      <c r="D5470" t="str">
        <f t="shared" ca="1" si="426"/>
        <v>RFR USD</v>
      </c>
      <c r="E5470" t="str">
        <f t="shared" ca="1" si="427"/>
        <v>RFR EUR</v>
      </c>
      <c r="F5470" t="str">
        <f t="shared" ca="1" si="428"/>
        <v>RFR GBP</v>
      </c>
    </row>
    <row r="5471" spans="1:6" x14ac:dyDescent="0.3">
      <c r="A5471" s="19">
        <f t="shared" si="429"/>
        <v>53574</v>
      </c>
      <c r="B5471">
        <f t="shared" ca="1" si="425"/>
        <v>-20.616666666666667</v>
      </c>
      <c r="C5471" t="str">
        <f ca="1">IF(currency="USD",'Future et co'!D5471,IF(currency="EUR",'Future et co'!E5471,IF(currency="GBP",'Future et co'!F5471,FALSE)))</f>
        <v>RFR USD</v>
      </c>
      <c r="D5471" t="str">
        <f t="shared" ca="1" si="426"/>
        <v>RFR USD</v>
      </c>
      <c r="E5471" t="str">
        <f t="shared" ca="1" si="427"/>
        <v>RFR EUR</v>
      </c>
      <c r="F5471" t="str">
        <f t="shared" ca="1" si="428"/>
        <v>RFR GBP</v>
      </c>
    </row>
    <row r="5472" spans="1:6" x14ac:dyDescent="0.3">
      <c r="A5472" s="19">
        <f t="shared" si="429"/>
        <v>53575</v>
      </c>
      <c r="B5472">
        <f t="shared" ca="1" si="425"/>
        <v>-20.619444444444444</v>
      </c>
      <c r="C5472" t="str">
        <f ca="1">IF(currency="USD",'Future et co'!D5472,IF(currency="EUR",'Future et co'!E5472,IF(currency="GBP",'Future et co'!F5472,FALSE)))</f>
        <v>RFR USD</v>
      </c>
      <c r="D5472" t="str">
        <f t="shared" ca="1" si="426"/>
        <v>RFR USD</v>
      </c>
      <c r="E5472" t="str">
        <f t="shared" ca="1" si="427"/>
        <v>RFR EUR</v>
      </c>
      <c r="F5472" t="str">
        <f t="shared" ca="1" si="428"/>
        <v>RFR GBP</v>
      </c>
    </row>
    <row r="5473" spans="1:6" x14ac:dyDescent="0.3">
      <c r="A5473" s="19">
        <f t="shared" si="429"/>
        <v>53576</v>
      </c>
      <c r="B5473">
        <f t="shared" ca="1" si="425"/>
        <v>-20.622222222222224</v>
      </c>
      <c r="C5473" t="str">
        <f ca="1">IF(currency="USD",'Future et co'!D5473,IF(currency="EUR",'Future et co'!E5473,IF(currency="GBP",'Future et co'!F5473,FALSE)))</f>
        <v>RFR USD</v>
      </c>
      <c r="D5473" t="str">
        <f t="shared" ca="1" si="426"/>
        <v>RFR USD</v>
      </c>
      <c r="E5473" t="str">
        <f t="shared" ca="1" si="427"/>
        <v>RFR EUR</v>
      </c>
      <c r="F5473" t="str">
        <f t="shared" ca="1" si="428"/>
        <v>RFR GBP</v>
      </c>
    </row>
    <row r="5474" spans="1:6" x14ac:dyDescent="0.3">
      <c r="A5474" s="19">
        <f t="shared" si="429"/>
        <v>53577</v>
      </c>
      <c r="B5474">
        <f t="shared" ca="1" si="425"/>
        <v>-20.625</v>
      </c>
      <c r="C5474" t="str">
        <f ca="1">IF(currency="USD",'Future et co'!D5474,IF(currency="EUR",'Future et co'!E5474,IF(currency="GBP",'Future et co'!F5474,FALSE)))</f>
        <v>RFR USD</v>
      </c>
      <c r="D5474" t="str">
        <f t="shared" ca="1" si="426"/>
        <v>RFR USD</v>
      </c>
      <c r="E5474" t="str">
        <f t="shared" ca="1" si="427"/>
        <v>RFR EUR</v>
      </c>
      <c r="F5474" t="str">
        <f t="shared" ca="1" si="428"/>
        <v>RFR GBP</v>
      </c>
    </row>
    <row r="5475" spans="1:6" x14ac:dyDescent="0.3">
      <c r="A5475" s="19">
        <f t="shared" si="429"/>
        <v>53580</v>
      </c>
      <c r="B5475">
        <f t="shared" ca="1" si="425"/>
        <v>-20.633333333333333</v>
      </c>
      <c r="C5475" t="str">
        <f ca="1">IF(currency="USD",'Future et co'!D5475,IF(currency="EUR",'Future et co'!E5475,IF(currency="GBP",'Future et co'!F5475,FALSE)))</f>
        <v>RFR USD</v>
      </c>
      <c r="D5475" t="str">
        <f t="shared" ca="1" si="426"/>
        <v>RFR USD</v>
      </c>
      <c r="E5475" t="str">
        <f t="shared" ca="1" si="427"/>
        <v>RFR EUR</v>
      </c>
      <c r="F5475" t="str">
        <f t="shared" ca="1" si="428"/>
        <v>RFR GBP</v>
      </c>
    </row>
    <row r="5476" spans="1:6" x14ac:dyDescent="0.3">
      <c r="A5476" s="19">
        <f t="shared" si="429"/>
        <v>53581</v>
      </c>
      <c r="B5476">
        <f t="shared" ca="1" si="425"/>
        <v>-20.636111111111113</v>
      </c>
      <c r="C5476" t="str">
        <f ca="1">IF(currency="USD",'Future et co'!D5476,IF(currency="EUR",'Future et co'!E5476,IF(currency="GBP",'Future et co'!F5476,FALSE)))</f>
        <v>RFR USD</v>
      </c>
      <c r="D5476" t="str">
        <f t="shared" ca="1" si="426"/>
        <v>RFR USD</v>
      </c>
      <c r="E5476" t="str">
        <f t="shared" ca="1" si="427"/>
        <v>RFR EUR</v>
      </c>
      <c r="F5476" t="str">
        <f t="shared" ca="1" si="428"/>
        <v>RFR GBP</v>
      </c>
    </row>
    <row r="5477" spans="1:6" x14ac:dyDescent="0.3">
      <c r="A5477" s="19">
        <f t="shared" si="429"/>
        <v>53582</v>
      </c>
      <c r="B5477">
        <f t="shared" ca="1" si="425"/>
        <v>-20.638888888888889</v>
      </c>
      <c r="C5477" t="str">
        <f ca="1">IF(currency="USD",'Future et co'!D5477,IF(currency="EUR",'Future et co'!E5477,IF(currency="GBP",'Future et co'!F5477,FALSE)))</f>
        <v>RFR USD</v>
      </c>
      <c r="D5477" t="str">
        <f t="shared" ca="1" si="426"/>
        <v>RFR USD</v>
      </c>
      <c r="E5477" t="str">
        <f t="shared" ca="1" si="427"/>
        <v>RFR EUR</v>
      </c>
      <c r="F5477" t="str">
        <f t="shared" ca="1" si="428"/>
        <v>RFR GBP</v>
      </c>
    </row>
    <row r="5478" spans="1:6" x14ac:dyDescent="0.3">
      <c r="A5478" s="19">
        <f t="shared" si="429"/>
        <v>53583</v>
      </c>
      <c r="B5478">
        <f t="shared" ca="1" si="425"/>
        <v>-20.641666666666666</v>
      </c>
      <c r="C5478" t="str">
        <f ca="1">IF(currency="USD",'Future et co'!D5478,IF(currency="EUR",'Future et co'!E5478,IF(currency="GBP",'Future et co'!F5478,FALSE)))</f>
        <v>RFR USD</v>
      </c>
      <c r="D5478" t="str">
        <f t="shared" ca="1" si="426"/>
        <v>RFR USD</v>
      </c>
      <c r="E5478" t="str">
        <f t="shared" ca="1" si="427"/>
        <v>RFR EUR</v>
      </c>
      <c r="F5478" t="str">
        <f t="shared" ca="1" si="428"/>
        <v>RFR GBP</v>
      </c>
    </row>
    <row r="5479" spans="1:6" x14ac:dyDescent="0.3">
      <c r="A5479" s="19">
        <f t="shared" si="429"/>
        <v>53584</v>
      </c>
      <c r="B5479">
        <f t="shared" ca="1" si="425"/>
        <v>-20.644444444444446</v>
      </c>
      <c r="C5479" t="str">
        <f ca="1">IF(currency="USD",'Future et co'!D5479,IF(currency="EUR",'Future et co'!E5479,IF(currency="GBP",'Future et co'!F5479,FALSE)))</f>
        <v>RFR USD</v>
      </c>
      <c r="D5479" t="str">
        <f t="shared" ca="1" si="426"/>
        <v>RFR USD</v>
      </c>
      <c r="E5479" t="str">
        <f t="shared" ca="1" si="427"/>
        <v>RFR EUR</v>
      </c>
      <c r="F5479" t="str">
        <f t="shared" ca="1" si="428"/>
        <v>RFR GBP</v>
      </c>
    </row>
    <row r="5480" spans="1:6" x14ac:dyDescent="0.3">
      <c r="A5480" s="19">
        <f t="shared" si="429"/>
        <v>53587</v>
      </c>
      <c r="B5480">
        <f t="shared" ca="1" si="425"/>
        <v>-20.652777777777779</v>
      </c>
      <c r="C5480" t="str">
        <f ca="1">IF(currency="USD",'Future et co'!D5480,IF(currency="EUR",'Future et co'!E5480,IF(currency="GBP",'Future et co'!F5480,FALSE)))</f>
        <v>RFR USD</v>
      </c>
      <c r="D5480" t="str">
        <f t="shared" ca="1" si="426"/>
        <v>RFR USD</v>
      </c>
      <c r="E5480" t="str">
        <f t="shared" ca="1" si="427"/>
        <v>RFR EUR</v>
      </c>
      <c r="F5480" t="str">
        <f t="shared" ca="1" si="428"/>
        <v>RFR GBP</v>
      </c>
    </row>
    <row r="5481" spans="1:6" x14ac:dyDescent="0.3">
      <c r="A5481" s="19">
        <f t="shared" si="429"/>
        <v>53588</v>
      </c>
      <c r="B5481">
        <f t="shared" ca="1" si="425"/>
        <v>-20.655555555555555</v>
      </c>
      <c r="C5481" t="str">
        <f ca="1">IF(currency="USD",'Future et co'!D5481,IF(currency="EUR",'Future et co'!E5481,IF(currency="GBP",'Future et co'!F5481,FALSE)))</f>
        <v>RFR USD</v>
      </c>
      <c r="D5481" t="str">
        <f t="shared" ca="1" si="426"/>
        <v>RFR USD</v>
      </c>
      <c r="E5481" t="str">
        <f t="shared" ca="1" si="427"/>
        <v>RFR EUR</v>
      </c>
      <c r="F5481" t="str">
        <f t="shared" ca="1" si="428"/>
        <v>RFR GBP</v>
      </c>
    </row>
    <row r="5482" spans="1:6" x14ac:dyDescent="0.3">
      <c r="A5482" s="19">
        <f t="shared" si="429"/>
        <v>53589</v>
      </c>
      <c r="B5482">
        <f t="shared" ca="1" si="425"/>
        <v>-20.658333333333335</v>
      </c>
      <c r="C5482" t="str">
        <f ca="1">IF(currency="USD",'Future et co'!D5482,IF(currency="EUR",'Future et co'!E5482,IF(currency="GBP",'Future et co'!F5482,FALSE)))</f>
        <v>RFR USD</v>
      </c>
      <c r="D5482" t="str">
        <f t="shared" ca="1" si="426"/>
        <v>RFR USD</v>
      </c>
      <c r="E5482" t="str">
        <f t="shared" ca="1" si="427"/>
        <v>RFR EUR</v>
      </c>
      <c r="F5482" t="str">
        <f t="shared" ca="1" si="428"/>
        <v>RFR GBP</v>
      </c>
    </row>
    <row r="5483" spans="1:6" x14ac:dyDescent="0.3">
      <c r="A5483" s="19">
        <f t="shared" si="429"/>
        <v>53590</v>
      </c>
      <c r="B5483">
        <f t="shared" ca="1" si="425"/>
        <v>-20.661111111111111</v>
      </c>
      <c r="C5483" t="str">
        <f ca="1">IF(currency="USD",'Future et co'!D5483,IF(currency="EUR",'Future et co'!E5483,IF(currency="GBP",'Future et co'!F5483,FALSE)))</f>
        <v>RFR USD</v>
      </c>
      <c r="D5483" t="str">
        <f t="shared" ca="1" si="426"/>
        <v>RFR USD</v>
      </c>
      <c r="E5483" t="str">
        <f t="shared" ca="1" si="427"/>
        <v>RFR EUR</v>
      </c>
      <c r="F5483" t="str">
        <f t="shared" ca="1" si="428"/>
        <v>RFR GBP</v>
      </c>
    </row>
    <row r="5484" spans="1:6" x14ac:dyDescent="0.3">
      <c r="A5484" s="19">
        <f t="shared" si="429"/>
        <v>53591</v>
      </c>
      <c r="B5484">
        <f t="shared" ca="1" si="425"/>
        <v>-20.663888888888888</v>
      </c>
      <c r="C5484" t="str">
        <f ca="1">IF(currency="USD",'Future et co'!D5484,IF(currency="EUR",'Future et co'!E5484,IF(currency="GBP",'Future et co'!F5484,FALSE)))</f>
        <v>RFR USD</v>
      </c>
      <c r="D5484" t="str">
        <f t="shared" ca="1" si="426"/>
        <v>RFR USD</v>
      </c>
      <c r="E5484" t="str">
        <f t="shared" ca="1" si="427"/>
        <v>RFR EUR</v>
      </c>
      <c r="F5484" t="str">
        <f t="shared" ca="1" si="428"/>
        <v>RFR GBP</v>
      </c>
    </row>
    <row r="5485" spans="1:6" x14ac:dyDescent="0.3">
      <c r="A5485" s="19">
        <f t="shared" si="429"/>
        <v>53594</v>
      </c>
      <c r="B5485">
        <f t="shared" ca="1" si="425"/>
        <v>-20.672222222222221</v>
      </c>
      <c r="C5485" t="str">
        <f ca="1">IF(currency="USD",'Future et co'!D5485,IF(currency="EUR",'Future et co'!E5485,IF(currency="GBP",'Future et co'!F5485,FALSE)))</f>
        <v>RFR USD</v>
      </c>
      <c r="D5485" t="str">
        <f t="shared" ca="1" si="426"/>
        <v>RFR USD</v>
      </c>
      <c r="E5485" t="str">
        <f t="shared" ca="1" si="427"/>
        <v>RFR EUR</v>
      </c>
      <c r="F5485" t="str">
        <f t="shared" ca="1" si="428"/>
        <v>RFR GBP</v>
      </c>
    </row>
    <row r="5486" spans="1:6" x14ac:dyDescent="0.3">
      <c r="A5486" s="19">
        <f t="shared" si="429"/>
        <v>53595</v>
      </c>
      <c r="B5486">
        <f t="shared" ca="1" si="425"/>
        <v>-20.675000000000001</v>
      </c>
      <c r="C5486" t="str">
        <f ca="1">IF(currency="USD",'Future et co'!D5486,IF(currency="EUR",'Future et co'!E5486,IF(currency="GBP",'Future et co'!F5486,FALSE)))</f>
        <v>RFR USD</v>
      </c>
      <c r="D5486" t="str">
        <f t="shared" ca="1" si="426"/>
        <v>RFR USD</v>
      </c>
      <c r="E5486" t="str">
        <f t="shared" ca="1" si="427"/>
        <v>RFR EUR</v>
      </c>
      <c r="F5486" t="str">
        <f t="shared" ca="1" si="428"/>
        <v>RFR GBP</v>
      </c>
    </row>
    <row r="5487" spans="1:6" x14ac:dyDescent="0.3">
      <c r="A5487" s="19">
        <f t="shared" si="429"/>
        <v>53596</v>
      </c>
      <c r="B5487">
        <f t="shared" ca="1" si="425"/>
        <v>-20.677777777777777</v>
      </c>
      <c r="C5487" t="str">
        <f ca="1">IF(currency="USD",'Future et co'!D5487,IF(currency="EUR",'Future et co'!E5487,IF(currency="GBP",'Future et co'!F5487,FALSE)))</f>
        <v>RFR USD</v>
      </c>
      <c r="D5487" t="str">
        <f t="shared" ca="1" si="426"/>
        <v>RFR USD</v>
      </c>
      <c r="E5487" t="str">
        <f t="shared" ca="1" si="427"/>
        <v>RFR EUR</v>
      </c>
      <c r="F5487" t="str">
        <f t="shared" ca="1" si="428"/>
        <v>RFR GBP</v>
      </c>
    </row>
    <row r="5488" spans="1:6" x14ac:dyDescent="0.3">
      <c r="A5488" s="19">
        <f t="shared" si="429"/>
        <v>53597</v>
      </c>
      <c r="B5488">
        <f t="shared" ca="1" si="425"/>
        <v>-20.680555555555557</v>
      </c>
      <c r="C5488" t="str">
        <f ca="1">IF(currency="USD",'Future et co'!D5488,IF(currency="EUR",'Future et co'!E5488,IF(currency="GBP",'Future et co'!F5488,FALSE)))</f>
        <v>RFR USD</v>
      </c>
      <c r="D5488" t="str">
        <f t="shared" ca="1" si="426"/>
        <v>RFR USD</v>
      </c>
      <c r="E5488" t="str">
        <f t="shared" ca="1" si="427"/>
        <v>RFR EUR</v>
      </c>
      <c r="F5488" t="str">
        <f t="shared" ca="1" si="428"/>
        <v>RFR GBP</v>
      </c>
    </row>
    <row r="5489" spans="1:6" x14ac:dyDescent="0.3">
      <c r="A5489" s="19">
        <f t="shared" si="429"/>
        <v>53598</v>
      </c>
      <c r="B5489">
        <f t="shared" ca="1" si="425"/>
        <v>-20.683333333333334</v>
      </c>
      <c r="C5489" t="str">
        <f ca="1">IF(currency="USD",'Future et co'!D5489,IF(currency="EUR",'Future et co'!E5489,IF(currency="GBP",'Future et co'!F5489,FALSE)))</f>
        <v>RFR USD</v>
      </c>
      <c r="D5489" t="str">
        <f t="shared" ca="1" si="426"/>
        <v>RFR USD</v>
      </c>
      <c r="E5489" t="str">
        <f t="shared" ca="1" si="427"/>
        <v>RFR EUR</v>
      </c>
      <c r="F5489" t="str">
        <f t="shared" ca="1" si="428"/>
        <v>RFR GBP</v>
      </c>
    </row>
    <row r="5490" spans="1:6" x14ac:dyDescent="0.3">
      <c r="A5490" s="19">
        <f t="shared" si="429"/>
        <v>53601</v>
      </c>
      <c r="B5490">
        <f t="shared" ca="1" si="425"/>
        <v>-20.691666666666666</v>
      </c>
      <c r="C5490" t="str">
        <f ca="1">IF(currency="USD",'Future et co'!D5490,IF(currency="EUR",'Future et co'!E5490,IF(currency="GBP",'Future et co'!F5490,FALSE)))</f>
        <v>RFR USD</v>
      </c>
      <c r="D5490" t="str">
        <f t="shared" ca="1" si="426"/>
        <v>RFR USD</v>
      </c>
      <c r="E5490" t="str">
        <f t="shared" ca="1" si="427"/>
        <v>RFR EUR</v>
      </c>
      <c r="F5490" t="str">
        <f t="shared" ca="1" si="428"/>
        <v>RFR GBP</v>
      </c>
    </row>
    <row r="5491" spans="1:6" x14ac:dyDescent="0.3">
      <c r="A5491" s="19">
        <f t="shared" si="429"/>
        <v>53602</v>
      </c>
      <c r="B5491">
        <f t="shared" ca="1" si="425"/>
        <v>-20.694444444444443</v>
      </c>
      <c r="C5491" t="str">
        <f ca="1">IF(currency="USD",'Future et co'!D5491,IF(currency="EUR",'Future et co'!E5491,IF(currency="GBP",'Future et co'!F5491,FALSE)))</f>
        <v>RFR USD</v>
      </c>
      <c r="D5491" t="str">
        <f t="shared" ca="1" si="426"/>
        <v>RFR USD</v>
      </c>
      <c r="E5491" t="str">
        <f t="shared" ca="1" si="427"/>
        <v>RFR EUR</v>
      </c>
      <c r="F5491" t="str">
        <f t="shared" ca="1" si="428"/>
        <v>RFR GBP</v>
      </c>
    </row>
    <row r="5492" spans="1:6" x14ac:dyDescent="0.3">
      <c r="A5492" s="19">
        <f t="shared" si="429"/>
        <v>53603</v>
      </c>
      <c r="B5492">
        <f t="shared" ca="1" si="425"/>
        <v>-20.697222222222223</v>
      </c>
      <c r="C5492" t="str">
        <f ca="1">IF(currency="USD",'Future et co'!D5492,IF(currency="EUR",'Future et co'!E5492,IF(currency="GBP",'Future et co'!F5492,FALSE)))</f>
        <v>RFR USD</v>
      </c>
      <c r="D5492" t="str">
        <f t="shared" ca="1" si="426"/>
        <v>RFR USD</v>
      </c>
      <c r="E5492" t="str">
        <f t="shared" ca="1" si="427"/>
        <v>RFR EUR</v>
      </c>
      <c r="F5492" t="str">
        <f t="shared" ca="1" si="428"/>
        <v>RFR GBP</v>
      </c>
    </row>
    <row r="5493" spans="1:6" x14ac:dyDescent="0.3">
      <c r="A5493" s="19">
        <f t="shared" si="429"/>
        <v>53604</v>
      </c>
      <c r="B5493">
        <f t="shared" ca="1" si="425"/>
        <v>-20.7</v>
      </c>
      <c r="C5493" t="str">
        <f ca="1">IF(currency="USD",'Future et co'!D5493,IF(currency="EUR",'Future et co'!E5493,IF(currency="GBP",'Future et co'!F5493,FALSE)))</f>
        <v>RFR USD</v>
      </c>
      <c r="D5493" t="str">
        <f t="shared" ca="1" si="426"/>
        <v>RFR USD</v>
      </c>
      <c r="E5493" t="str">
        <f t="shared" ca="1" si="427"/>
        <v>RFR EUR</v>
      </c>
      <c r="F5493" t="str">
        <f t="shared" ca="1" si="428"/>
        <v>RFR GBP</v>
      </c>
    </row>
    <row r="5494" spans="1:6" x14ac:dyDescent="0.3">
      <c r="A5494" s="19">
        <f t="shared" si="429"/>
        <v>53605</v>
      </c>
      <c r="B5494">
        <f t="shared" ca="1" si="425"/>
        <v>-20.702777777777779</v>
      </c>
      <c r="C5494" t="str">
        <f ca="1">IF(currency="USD",'Future et co'!D5494,IF(currency="EUR",'Future et co'!E5494,IF(currency="GBP",'Future et co'!F5494,FALSE)))</f>
        <v>RFR USD</v>
      </c>
      <c r="D5494" t="str">
        <f t="shared" ca="1" si="426"/>
        <v>RFR USD</v>
      </c>
      <c r="E5494" t="str">
        <f t="shared" ca="1" si="427"/>
        <v>RFR EUR</v>
      </c>
      <c r="F5494" t="str">
        <f t="shared" ca="1" si="428"/>
        <v>RFR GBP</v>
      </c>
    </row>
    <row r="5495" spans="1:6" x14ac:dyDescent="0.3">
      <c r="A5495" s="19">
        <f t="shared" si="429"/>
        <v>53608</v>
      </c>
      <c r="B5495">
        <f t="shared" ca="1" si="425"/>
        <v>-20.711111111111112</v>
      </c>
      <c r="C5495" t="str">
        <f ca="1">IF(currency="USD",'Future et co'!D5495,IF(currency="EUR",'Future et co'!E5495,IF(currency="GBP",'Future et co'!F5495,FALSE)))</f>
        <v>RFR USD</v>
      </c>
      <c r="D5495" t="str">
        <f t="shared" ca="1" si="426"/>
        <v>RFR USD</v>
      </c>
      <c r="E5495" t="str">
        <f t="shared" ca="1" si="427"/>
        <v>RFR EUR</v>
      </c>
      <c r="F5495" t="str">
        <f t="shared" ca="1" si="428"/>
        <v>RFR GBP</v>
      </c>
    </row>
    <row r="5496" spans="1:6" x14ac:dyDescent="0.3">
      <c r="A5496" s="19">
        <f t="shared" si="429"/>
        <v>53609</v>
      </c>
      <c r="B5496">
        <f t="shared" ca="1" si="425"/>
        <v>-20.713888888888889</v>
      </c>
      <c r="C5496" t="str">
        <f ca="1">IF(currency="USD",'Future et co'!D5496,IF(currency="EUR",'Future et co'!E5496,IF(currency="GBP",'Future et co'!F5496,FALSE)))</f>
        <v>RFR USD</v>
      </c>
      <c r="D5496" t="str">
        <f t="shared" ca="1" si="426"/>
        <v>RFR USD</v>
      </c>
      <c r="E5496" t="str">
        <f t="shared" ca="1" si="427"/>
        <v>RFR EUR</v>
      </c>
      <c r="F5496" t="str">
        <f t="shared" ca="1" si="428"/>
        <v>RFR GBP</v>
      </c>
    </row>
    <row r="5497" spans="1:6" x14ac:dyDescent="0.3">
      <c r="A5497" s="19">
        <f t="shared" si="429"/>
        <v>53610</v>
      </c>
      <c r="B5497">
        <f t="shared" ca="1" si="425"/>
        <v>-20.716666666666665</v>
      </c>
      <c r="C5497" t="str">
        <f ca="1">IF(currency="USD",'Future et co'!D5497,IF(currency="EUR",'Future et co'!E5497,IF(currency="GBP",'Future et co'!F5497,FALSE)))</f>
        <v>RFR USD</v>
      </c>
      <c r="D5497" t="str">
        <f t="shared" ca="1" si="426"/>
        <v>RFR USD</v>
      </c>
      <c r="E5497" t="str">
        <f t="shared" ca="1" si="427"/>
        <v>RFR EUR</v>
      </c>
      <c r="F5497" t="str">
        <f t="shared" ca="1" si="428"/>
        <v>RFR GBP</v>
      </c>
    </row>
    <row r="5498" spans="1:6" x14ac:dyDescent="0.3">
      <c r="A5498" s="19">
        <f t="shared" si="429"/>
        <v>53611</v>
      </c>
      <c r="B5498">
        <f t="shared" ca="1" si="425"/>
        <v>-20.719444444444445</v>
      </c>
      <c r="C5498" t="str">
        <f ca="1">IF(currency="USD",'Future et co'!D5498,IF(currency="EUR",'Future et co'!E5498,IF(currency="GBP",'Future et co'!F5498,FALSE)))</f>
        <v>RFR USD</v>
      </c>
      <c r="D5498" t="str">
        <f t="shared" ca="1" si="426"/>
        <v>RFR USD</v>
      </c>
      <c r="E5498" t="str">
        <f t="shared" ca="1" si="427"/>
        <v>RFR EUR</v>
      </c>
      <c r="F5498" t="str">
        <f t="shared" ca="1" si="428"/>
        <v>RFR GBP</v>
      </c>
    </row>
    <row r="5499" spans="1:6" x14ac:dyDescent="0.3">
      <c r="A5499" s="19">
        <f t="shared" si="429"/>
        <v>53612</v>
      </c>
      <c r="B5499">
        <f t="shared" ca="1" si="425"/>
        <v>-20.722222222222221</v>
      </c>
      <c r="C5499" t="str">
        <f ca="1">IF(currency="USD",'Future et co'!D5499,IF(currency="EUR",'Future et co'!E5499,IF(currency="GBP",'Future et co'!F5499,FALSE)))</f>
        <v>RFR USD</v>
      </c>
      <c r="D5499" t="str">
        <f t="shared" ca="1" si="426"/>
        <v>RFR USD</v>
      </c>
      <c r="E5499" t="str">
        <f t="shared" ca="1" si="427"/>
        <v>RFR EUR</v>
      </c>
      <c r="F5499" t="str">
        <f t="shared" ca="1" si="428"/>
        <v>RFR GBP</v>
      </c>
    </row>
    <row r="5500" spans="1:6" x14ac:dyDescent="0.3">
      <c r="A5500" s="19">
        <f t="shared" si="429"/>
        <v>53615</v>
      </c>
      <c r="B5500">
        <f t="shared" ca="1" si="425"/>
        <v>-20.730555555555554</v>
      </c>
      <c r="C5500" t="str">
        <f ca="1">IF(currency="USD",'Future et co'!D5500,IF(currency="EUR",'Future et co'!E5500,IF(currency="GBP",'Future et co'!F5500,FALSE)))</f>
        <v>RFR USD</v>
      </c>
      <c r="D5500" t="str">
        <f t="shared" ca="1" si="426"/>
        <v>RFR USD</v>
      </c>
      <c r="E5500" t="str">
        <f t="shared" ca="1" si="427"/>
        <v>RFR EUR</v>
      </c>
      <c r="F5500" t="str">
        <f t="shared" ca="1" si="428"/>
        <v>RFR GBP</v>
      </c>
    </row>
    <row r="5501" spans="1:6" x14ac:dyDescent="0.3">
      <c r="A5501" s="19">
        <f t="shared" si="429"/>
        <v>53616</v>
      </c>
      <c r="B5501">
        <f t="shared" ca="1" si="425"/>
        <v>-20.733333333333334</v>
      </c>
      <c r="C5501" t="str">
        <f ca="1">IF(currency="USD",'Future et co'!D5501,IF(currency="EUR",'Future et co'!E5501,IF(currency="GBP",'Future et co'!F5501,FALSE)))</f>
        <v>RFR USD</v>
      </c>
      <c r="D5501" t="str">
        <f t="shared" ca="1" si="426"/>
        <v>RFR USD</v>
      </c>
      <c r="E5501" t="str">
        <f t="shared" ca="1" si="427"/>
        <v>RFR EUR</v>
      </c>
      <c r="F5501" t="str">
        <f t="shared" ca="1" si="428"/>
        <v>RFR GBP</v>
      </c>
    </row>
    <row r="5502" spans="1:6" x14ac:dyDescent="0.3">
      <c r="A5502" s="19">
        <f t="shared" si="429"/>
        <v>53617</v>
      </c>
      <c r="B5502">
        <f t="shared" ca="1" si="425"/>
        <v>-20.736111111111111</v>
      </c>
      <c r="C5502" t="str">
        <f ca="1">IF(currency="USD",'Future et co'!D5502,IF(currency="EUR",'Future et co'!E5502,IF(currency="GBP",'Future et co'!F5502,FALSE)))</f>
        <v>RFR USD</v>
      </c>
      <c r="D5502" t="str">
        <f t="shared" ca="1" si="426"/>
        <v>RFR USD</v>
      </c>
      <c r="E5502" t="str">
        <f t="shared" ca="1" si="427"/>
        <v>RFR EUR</v>
      </c>
      <c r="F5502" t="str">
        <f t="shared" ca="1" si="428"/>
        <v>RFR GBP</v>
      </c>
    </row>
    <row r="5503" spans="1:6" x14ac:dyDescent="0.3">
      <c r="A5503" s="19">
        <f t="shared" si="429"/>
        <v>53618</v>
      </c>
      <c r="B5503">
        <f t="shared" ca="1" si="425"/>
        <v>-20.738888888888887</v>
      </c>
      <c r="C5503" t="str">
        <f ca="1">IF(currency="USD",'Future et co'!D5503,IF(currency="EUR",'Future et co'!E5503,IF(currency="GBP",'Future et co'!F5503,FALSE)))</f>
        <v>RFR USD</v>
      </c>
      <c r="D5503" t="str">
        <f t="shared" ca="1" si="426"/>
        <v>RFR USD</v>
      </c>
      <c r="E5503" t="str">
        <f t="shared" ca="1" si="427"/>
        <v>RFR EUR</v>
      </c>
      <c r="F5503" t="str">
        <f t="shared" ca="1" si="428"/>
        <v>RFR GBP</v>
      </c>
    </row>
    <row r="5504" spans="1:6" x14ac:dyDescent="0.3">
      <c r="A5504" s="19">
        <f t="shared" si="429"/>
        <v>53619</v>
      </c>
      <c r="B5504">
        <f t="shared" ca="1" si="425"/>
        <v>-20.741666666666667</v>
      </c>
      <c r="C5504" t="str">
        <f ca="1">IF(currency="USD",'Future et co'!D5504,IF(currency="EUR",'Future et co'!E5504,IF(currency="GBP",'Future et co'!F5504,FALSE)))</f>
        <v>RFR USD</v>
      </c>
      <c r="D5504" t="str">
        <f t="shared" ca="1" si="426"/>
        <v>RFR USD</v>
      </c>
      <c r="E5504" t="str">
        <f t="shared" ca="1" si="427"/>
        <v>RFR EUR</v>
      </c>
      <c r="F5504" t="str">
        <f t="shared" ca="1" si="428"/>
        <v>RFR GBP</v>
      </c>
    </row>
    <row r="5505" spans="1:6" x14ac:dyDescent="0.3">
      <c r="A5505" s="19">
        <f t="shared" si="429"/>
        <v>53622</v>
      </c>
      <c r="B5505">
        <f t="shared" ca="1" si="425"/>
        <v>-20.75</v>
      </c>
      <c r="C5505" t="str">
        <f ca="1">IF(currency="USD",'Future et co'!D5505,IF(currency="EUR",'Future et co'!E5505,IF(currency="GBP",'Future et co'!F5505,FALSE)))</f>
        <v>RFR USD</v>
      </c>
      <c r="D5505" t="str">
        <f t="shared" ca="1" si="426"/>
        <v>RFR USD</v>
      </c>
      <c r="E5505" t="str">
        <f t="shared" ca="1" si="427"/>
        <v>RFR EUR</v>
      </c>
      <c r="F5505" t="str">
        <f t="shared" ca="1" si="428"/>
        <v>RFR GBP</v>
      </c>
    </row>
    <row r="5506" spans="1:6" x14ac:dyDescent="0.3">
      <c r="A5506" s="19">
        <f t="shared" si="429"/>
        <v>53623</v>
      </c>
      <c r="B5506">
        <f t="shared" ca="1" si="425"/>
        <v>-20.752777777777776</v>
      </c>
      <c r="C5506" t="str">
        <f ca="1">IF(currency="USD",'Future et co'!D5506,IF(currency="EUR",'Future et co'!E5506,IF(currency="GBP",'Future et co'!F5506,FALSE)))</f>
        <v>RFR USD</v>
      </c>
      <c r="D5506" t="str">
        <f t="shared" ca="1" si="426"/>
        <v>RFR USD</v>
      </c>
      <c r="E5506" t="str">
        <f t="shared" ca="1" si="427"/>
        <v>RFR EUR</v>
      </c>
      <c r="F5506" t="str">
        <f t="shared" ca="1" si="428"/>
        <v>RFR GBP</v>
      </c>
    </row>
    <row r="5507" spans="1:6" x14ac:dyDescent="0.3">
      <c r="A5507" s="19">
        <f t="shared" si="429"/>
        <v>53624</v>
      </c>
      <c r="B5507">
        <f t="shared" ca="1" si="425"/>
        <v>-20.755555555555556</v>
      </c>
      <c r="C5507" t="str">
        <f ca="1">IF(currency="USD",'Future et co'!D5507,IF(currency="EUR",'Future et co'!E5507,IF(currency="GBP",'Future et co'!F5507,FALSE)))</f>
        <v>RFR USD</v>
      </c>
      <c r="D5507" t="str">
        <f t="shared" ca="1" si="426"/>
        <v>RFR USD</v>
      </c>
      <c r="E5507" t="str">
        <f t="shared" ca="1" si="427"/>
        <v>RFR EUR</v>
      </c>
      <c r="F5507" t="str">
        <f t="shared" ca="1" si="428"/>
        <v>RFR GBP</v>
      </c>
    </row>
    <row r="5508" spans="1:6" x14ac:dyDescent="0.3">
      <c r="A5508" s="19">
        <f t="shared" si="429"/>
        <v>53625</v>
      </c>
      <c r="B5508">
        <f t="shared" ca="1" si="425"/>
        <v>-20.758333333333333</v>
      </c>
      <c r="C5508" t="str">
        <f ca="1">IF(currency="USD",'Future et co'!D5508,IF(currency="EUR",'Future et co'!E5508,IF(currency="GBP",'Future et co'!F5508,FALSE)))</f>
        <v>RFR USD</v>
      </c>
      <c r="D5508" t="str">
        <f t="shared" ca="1" si="426"/>
        <v>RFR USD</v>
      </c>
      <c r="E5508" t="str">
        <f t="shared" ca="1" si="427"/>
        <v>RFR EUR</v>
      </c>
      <c r="F5508" t="str">
        <f t="shared" ca="1" si="428"/>
        <v>RFR GBP</v>
      </c>
    </row>
    <row r="5509" spans="1:6" x14ac:dyDescent="0.3">
      <c r="A5509" s="19">
        <f t="shared" si="429"/>
        <v>53626</v>
      </c>
      <c r="B5509">
        <f t="shared" ca="1" si="425"/>
        <v>-20.761111111111113</v>
      </c>
      <c r="C5509" t="str">
        <f ca="1">IF(currency="USD",'Future et co'!D5509,IF(currency="EUR",'Future et co'!E5509,IF(currency="GBP",'Future et co'!F5509,FALSE)))</f>
        <v>RFR USD</v>
      </c>
      <c r="D5509" t="str">
        <f t="shared" ca="1" si="426"/>
        <v>RFR USD</v>
      </c>
      <c r="E5509" t="str">
        <f t="shared" ca="1" si="427"/>
        <v>RFR EUR</v>
      </c>
      <c r="F5509" t="str">
        <f t="shared" ca="1" si="428"/>
        <v>RFR GBP</v>
      </c>
    </row>
    <row r="5510" spans="1:6" x14ac:dyDescent="0.3">
      <c r="A5510" s="19">
        <f t="shared" si="429"/>
        <v>53629</v>
      </c>
      <c r="B5510">
        <f t="shared" ca="1" si="425"/>
        <v>-20.769444444444446</v>
      </c>
      <c r="C5510" t="str">
        <f ca="1">IF(currency="USD",'Future et co'!D5510,IF(currency="EUR",'Future et co'!E5510,IF(currency="GBP",'Future et co'!F5510,FALSE)))</f>
        <v>RFR USD</v>
      </c>
      <c r="D5510" t="str">
        <f t="shared" ca="1" si="426"/>
        <v>RFR USD</v>
      </c>
      <c r="E5510" t="str">
        <f t="shared" ca="1" si="427"/>
        <v>RFR EUR</v>
      </c>
      <c r="F5510" t="str">
        <f t="shared" ca="1" si="428"/>
        <v>RFR GBP</v>
      </c>
    </row>
    <row r="5511" spans="1:6" x14ac:dyDescent="0.3">
      <c r="A5511" s="19">
        <f t="shared" si="429"/>
        <v>53630</v>
      </c>
      <c r="B5511">
        <f t="shared" ca="1" si="425"/>
        <v>-20.772222222222222</v>
      </c>
      <c r="C5511" t="str">
        <f ca="1">IF(currency="USD",'Future et co'!D5511,IF(currency="EUR",'Future et co'!E5511,IF(currency="GBP",'Future et co'!F5511,FALSE)))</f>
        <v>RFR USD</v>
      </c>
      <c r="D5511" t="str">
        <f t="shared" ca="1" si="426"/>
        <v>RFR USD</v>
      </c>
      <c r="E5511" t="str">
        <f t="shared" ca="1" si="427"/>
        <v>RFR EUR</v>
      </c>
      <c r="F5511" t="str">
        <f t="shared" ca="1" si="428"/>
        <v>RFR GBP</v>
      </c>
    </row>
    <row r="5512" spans="1:6" x14ac:dyDescent="0.3">
      <c r="A5512" s="19">
        <f t="shared" si="429"/>
        <v>53631</v>
      </c>
      <c r="B5512">
        <f t="shared" ca="1" si="425"/>
        <v>-20.774999999999999</v>
      </c>
      <c r="C5512" t="str">
        <f ca="1">IF(currency="USD",'Future et co'!D5512,IF(currency="EUR",'Future et co'!E5512,IF(currency="GBP",'Future et co'!F5512,FALSE)))</f>
        <v>RFR USD</v>
      </c>
      <c r="D5512" t="str">
        <f t="shared" ca="1" si="426"/>
        <v>RFR USD</v>
      </c>
      <c r="E5512" t="str">
        <f t="shared" ca="1" si="427"/>
        <v>RFR EUR</v>
      </c>
      <c r="F5512" t="str">
        <f t="shared" ca="1" si="428"/>
        <v>RFR GBP</v>
      </c>
    </row>
    <row r="5513" spans="1:6" x14ac:dyDescent="0.3">
      <c r="A5513" s="19">
        <f t="shared" si="429"/>
        <v>53632</v>
      </c>
      <c r="B5513">
        <f t="shared" ca="1" si="425"/>
        <v>-20.777777777777779</v>
      </c>
      <c r="C5513" t="str">
        <f ca="1">IF(currency="USD",'Future et co'!D5513,IF(currency="EUR",'Future et co'!E5513,IF(currency="GBP",'Future et co'!F5513,FALSE)))</f>
        <v>RFR USD</v>
      </c>
      <c r="D5513" t="str">
        <f t="shared" ca="1" si="426"/>
        <v>RFR USD</v>
      </c>
      <c r="E5513" t="str">
        <f t="shared" ca="1" si="427"/>
        <v>RFR EUR</v>
      </c>
      <c r="F5513" t="str">
        <f t="shared" ca="1" si="428"/>
        <v>RFR GBP</v>
      </c>
    </row>
    <row r="5514" spans="1:6" x14ac:dyDescent="0.3">
      <c r="A5514" s="19">
        <f t="shared" si="429"/>
        <v>53633</v>
      </c>
      <c r="B5514">
        <f t="shared" ca="1" si="425"/>
        <v>-20.780555555555555</v>
      </c>
      <c r="C5514" t="str">
        <f ca="1">IF(currency="USD",'Future et co'!D5514,IF(currency="EUR",'Future et co'!E5514,IF(currency="GBP",'Future et co'!F5514,FALSE)))</f>
        <v>RFR USD</v>
      </c>
      <c r="D5514" t="str">
        <f t="shared" ca="1" si="426"/>
        <v>RFR USD</v>
      </c>
      <c r="E5514" t="str">
        <f t="shared" ca="1" si="427"/>
        <v>RFR EUR</v>
      </c>
      <c r="F5514" t="str">
        <f t="shared" ca="1" si="428"/>
        <v>RFR GBP</v>
      </c>
    </row>
    <row r="5515" spans="1:6" x14ac:dyDescent="0.3">
      <c r="A5515" s="19">
        <f t="shared" si="429"/>
        <v>53636</v>
      </c>
      <c r="B5515">
        <f t="shared" ref="B5515:B5578" ca="1" si="430">($B$7-A5515)/360</f>
        <v>-20.788888888888888</v>
      </c>
      <c r="C5515" t="str">
        <f ca="1">IF(currency="USD",'Future et co'!D5515,IF(currency="EUR",'Future et co'!E5515,IF(currency="GBP",'Future et co'!F5515,FALSE)))</f>
        <v>RFR USD</v>
      </c>
      <c r="D5515" t="str">
        <f t="shared" ref="D5515:D5578" ca="1" si="431">IFERROR(IF(B5515&lt;0.25,VLOOKUP(A5515,$J$11:$L$5325,3,FALSE),IF(AND(B5515&gt;=0.25,B5515&lt;0.5),VLOOKUP(A5515,$N$11:$P$5325,3,FALSE),IF(AND(B5515&gt;=0.5,B5515&lt;1),VLOOKUP(A5515,$R$11:$T$5325,3,FALSE),VLOOKUP(A5515,$V$11:$X$5010,3,FALSE)))),D5514)</f>
        <v>RFR USD</v>
      </c>
      <c r="E5515" t="str">
        <f t="shared" ref="E5515:E5578" ca="1" si="432">IFERROR(IF(B5515&lt;0.25,VLOOKUP(A5515,$AF$11:$AH$5325,3,FALSE),IF(AND(B5515&gt;=0.25,B5515&lt;0.5),VLOOKUP(A5515,$AJ$11:$AL$5325,3,FALSE),VLOOKUP(A5515,$AN$11:$AP$5325,3,FALSE))),E5514)</f>
        <v>RFR EUR</v>
      </c>
      <c r="F5515" t="str">
        <f t="shared" ref="F5515:F5578" ca="1" si="433">IFERROR(VLOOKUP(A5515,$AS$11:$AU$9999,3,FALSE),F5514)</f>
        <v>RFR GBP</v>
      </c>
    </row>
    <row r="5516" spans="1:6" x14ac:dyDescent="0.3">
      <c r="A5516" s="19">
        <f t="shared" si="429"/>
        <v>53637</v>
      </c>
      <c r="B5516">
        <f t="shared" ca="1" si="430"/>
        <v>-20.791666666666668</v>
      </c>
      <c r="C5516" t="str">
        <f ca="1">IF(currency="USD",'Future et co'!D5516,IF(currency="EUR",'Future et co'!E5516,IF(currency="GBP",'Future et co'!F5516,FALSE)))</f>
        <v>RFR USD</v>
      </c>
      <c r="D5516" t="str">
        <f t="shared" ca="1" si="431"/>
        <v>RFR USD</v>
      </c>
      <c r="E5516" t="str">
        <f t="shared" ca="1" si="432"/>
        <v>RFR EUR</v>
      </c>
      <c r="F5516" t="str">
        <f t="shared" ca="1" si="433"/>
        <v>RFR GBP</v>
      </c>
    </row>
    <row r="5517" spans="1:6" x14ac:dyDescent="0.3">
      <c r="A5517" s="19">
        <f t="shared" ref="A5517:A5580" si="434">WORKDAY(A5516,1)</f>
        <v>53638</v>
      </c>
      <c r="B5517">
        <f t="shared" ca="1" si="430"/>
        <v>-20.794444444444444</v>
      </c>
      <c r="C5517" t="str">
        <f ca="1">IF(currency="USD",'Future et co'!D5517,IF(currency="EUR",'Future et co'!E5517,IF(currency="GBP",'Future et co'!F5517,FALSE)))</f>
        <v>RFR USD</v>
      </c>
      <c r="D5517" t="str">
        <f t="shared" ca="1" si="431"/>
        <v>RFR USD</v>
      </c>
      <c r="E5517" t="str">
        <f t="shared" ca="1" si="432"/>
        <v>RFR EUR</v>
      </c>
      <c r="F5517" t="str">
        <f t="shared" ca="1" si="433"/>
        <v>RFR GBP</v>
      </c>
    </row>
    <row r="5518" spans="1:6" x14ac:dyDescent="0.3">
      <c r="A5518" s="19">
        <f t="shared" si="434"/>
        <v>53639</v>
      </c>
      <c r="B5518">
        <f t="shared" ca="1" si="430"/>
        <v>-20.797222222222221</v>
      </c>
      <c r="C5518" t="str">
        <f ca="1">IF(currency="USD",'Future et co'!D5518,IF(currency="EUR",'Future et co'!E5518,IF(currency="GBP",'Future et co'!F5518,FALSE)))</f>
        <v>RFR USD</v>
      </c>
      <c r="D5518" t="str">
        <f t="shared" ca="1" si="431"/>
        <v>RFR USD</v>
      </c>
      <c r="E5518" t="str">
        <f t="shared" ca="1" si="432"/>
        <v>RFR EUR</v>
      </c>
      <c r="F5518" t="str">
        <f t="shared" ca="1" si="433"/>
        <v>RFR GBP</v>
      </c>
    </row>
    <row r="5519" spans="1:6" x14ac:dyDescent="0.3">
      <c r="A5519" s="19">
        <f t="shared" si="434"/>
        <v>53640</v>
      </c>
      <c r="B5519">
        <f t="shared" ca="1" si="430"/>
        <v>-20.8</v>
      </c>
      <c r="C5519" t="str">
        <f ca="1">IF(currency="USD",'Future et co'!D5519,IF(currency="EUR",'Future et co'!E5519,IF(currency="GBP",'Future et co'!F5519,FALSE)))</f>
        <v>RFR USD</v>
      </c>
      <c r="D5519" t="str">
        <f t="shared" ca="1" si="431"/>
        <v>RFR USD</v>
      </c>
      <c r="E5519" t="str">
        <f t="shared" ca="1" si="432"/>
        <v>RFR EUR</v>
      </c>
      <c r="F5519" t="str">
        <f t="shared" ca="1" si="433"/>
        <v>RFR GBP</v>
      </c>
    </row>
    <row r="5520" spans="1:6" x14ac:dyDescent="0.3">
      <c r="A5520" s="19">
        <f t="shared" si="434"/>
        <v>53643</v>
      </c>
      <c r="B5520">
        <f t="shared" ca="1" si="430"/>
        <v>-20.808333333333334</v>
      </c>
      <c r="C5520" t="str">
        <f ca="1">IF(currency="USD",'Future et co'!D5520,IF(currency="EUR",'Future et co'!E5520,IF(currency="GBP",'Future et co'!F5520,FALSE)))</f>
        <v>RFR USD</v>
      </c>
      <c r="D5520" t="str">
        <f t="shared" ca="1" si="431"/>
        <v>RFR USD</v>
      </c>
      <c r="E5520" t="str">
        <f t="shared" ca="1" si="432"/>
        <v>RFR EUR</v>
      </c>
      <c r="F5520" t="str">
        <f t="shared" ca="1" si="433"/>
        <v>RFR GBP</v>
      </c>
    </row>
    <row r="5521" spans="1:6" x14ac:dyDescent="0.3">
      <c r="A5521" s="19">
        <f t="shared" si="434"/>
        <v>53644</v>
      </c>
      <c r="B5521">
        <f t="shared" ca="1" si="430"/>
        <v>-20.81111111111111</v>
      </c>
      <c r="C5521" t="str">
        <f ca="1">IF(currency="USD",'Future et co'!D5521,IF(currency="EUR",'Future et co'!E5521,IF(currency="GBP",'Future et co'!F5521,FALSE)))</f>
        <v>RFR USD</v>
      </c>
      <c r="D5521" t="str">
        <f t="shared" ca="1" si="431"/>
        <v>RFR USD</v>
      </c>
      <c r="E5521" t="str">
        <f t="shared" ca="1" si="432"/>
        <v>RFR EUR</v>
      </c>
      <c r="F5521" t="str">
        <f t="shared" ca="1" si="433"/>
        <v>RFR GBP</v>
      </c>
    </row>
    <row r="5522" spans="1:6" x14ac:dyDescent="0.3">
      <c r="A5522" s="19">
        <f t="shared" si="434"/>
        <v>53645</v>
      </c>
      <c r="B5522">
        <f t="shared" ca="1" si="430"/>
        <v>-20.81388888888889</v>
      </c>
      <c r="C5522" t="str">
        <f ca="1">IF(currency="USD",'Future et co'!D5522,IF(currency="EUR",'Future et co'!E5522,IF(currency="GBP",'Future et co'!F5522,FALSE)))</f>
        <v>RFR USD</v>
      </c>
      <c r="D5522" t="str">
        <f t="shared" ca="1" si="431"/>
        <v>RFR USD</v>
      </c>
      <c r="E5522" t="str">
        <f t="shared" ca="1" si="432"/>
        <v>RFR EUR</v>
      </c>
      <c r="F5522" t="str">
        <f t="shared" ca="1" si="433"/>
        <v>RFR GBP</v>
      </c>
    </row>
    <row r="5523" spans="1:6" x14ac:dyDescent="0.3">
      <c r="A5523" s="19">
        <f t="shared" si="434"/>
        <v>53646</v>
      </c>
      <c r="B5523">
        <f t="shared" ca="1" si="430"/>
        <v>-20.816666666666666</v>
      </c>
      <c r="C5523" t="str">
        <f ca="1">IF(currency="USD",'Future et co'!D5523,IF(currency="EUR",'Future et co'!E5523,IF(currency="GBP",'Future et co'!F5523,FALSE)))</f>
        <v>RFR USD</v>
      </c>
      <c r="D5523" t="str">
        <f t="shared" ca="1" si="431"/>
        <v>RFR USD</v>
      </c>
      <c r="E5523" t="str">
        <f t="shared" ca="1" si="432"/>
        <v>RFR EUR</v>
      </c>
      <c r="F5523" t="str">
        <f t="shared" ca="1" si="433"/>
        <v>RFR GBP</v>
      </c>
    </row>
    <row r="5524" spans="1:6" x14ac:dyDescent="0.3">
      <c r="A5524" s="19">
        <f t="shared" si="434"/>
        <v>53647</v>
      </c>
      <c r="B5524">
        <f t="shared" ca="1" si="430"/>
        <v>-20.819444444444443</v>
      </c>
      <c r="C5524" t="str">
        <f ca="1">IF(currency="USD",'Future et co'!D5524,IF(currency="EUR",'Future et co'!E5524,IF(currency="GBP",'Future et co'!F5524,FALSE)))</f>
        <v>RFR USD</v>
      </c>
      <c r="D5524" t="str">
        <f t="shared" ca="1" si="431"/>
        <v>RFR USD</v>
      </c>
      <c r="E5524" t="str">
        <f t="shared" ca="1" si="432"/>
        <v>RFR EUR</v>
      </c>
      <c r="F5524" t="str">
        <f t="shared" ca="1" si="433"/>
        <v>RFR GBP</v>
      </c>
    </row>
    <row r="5525" spans="1:6" x14ac:dyDescent="0.3">
      <c r="A5525" s="19">
        <f t="shared" si="434"/>
        <v>53650</v>
      </c>
      <c r="B5525">
        <f t="shared" ca="1" si="430"/>
        <v>-20.827777777777779</v>
      </c>
      <c r="C5525" t="str">
        <f ca="1">IF(currency="USD",'Future et co'!D5525,IF(currency="EUR",'Future et co'!E5525,IF(currency="GBP",'Future et co'!F5525,FALSE)))</f>
        <v>RFR USD</v>
      </c>
      <c r="D5525" t="str">
        <f t="shared" ca="1" si="431"/>
        <v>RFR USD</v>
      </c>
      <c r="E5525" t="str">
        <f t="shared" ca="1" si="432"/>
        <v>RFR EUR</v>
      </c>
      <c r="F5525" t="str">
        <f t="shared" ca="1" si="433"/>
        <v>RFR GBP</v>
      </c>
    </row>
    <row r="5526" spans="1:6" x14ac:dyDescent="0.3">
      <c r="A5526" s="19">
        <f t="shared" si="434"/>
        <v>53651</v>
      </c>
      <c r="B5526">
        <f t="shared" ca="1" si="430"/>
        <v>-20.830555555555556</v>
      </c>
      <c r="C5526" t="str">
        <f ca="1">IF(currency="USD",'Future et co'!D5526,IF(currency="EUR",'Future et co'!E5526,IF(currency="GBP",'Future et co'!F5526,FALSE)))</f>
        <v>RFR USD</v>
      </c>
      <c r="D5526" t="str">
        <f t="shared" ca="1" si="431"/>
        <v>RFR USD</v>
      </c>
      <c r="E5526" t="str">
        <f t="shared" ca="1" si="432"/>
        <v>RFR EUR</v>
      </c>
      <c r="F5526" t="str">
        <f t="shared" ca="1" si="433"/>
        <v>RFR GBP</v>
      </c>
    </row>
    <row r="5527" spans="1:6" x14ac:dyDescent="0.3">
      <c r="A5527" s="19">
        <f t="shared" si="434"/>
        <v>53652</v>
      </c>
      <c r="B5527">
        <f t="shared" ca="1" si="430"/>
        <v>-20.833333333333332</v>
      </c>
      <c r="C5527" t="str">
        <f ca="1">IF(currency="USD",'Future et co'!D5527,IF(currency="EUR",'Future et co'!E5527,IF(currency="GBP",'Future et co'!F5527,FALSE)))</f>
        <v>RFR USD</v>
      </c>
      <c r="D5527" t="str">
        <f t="shared" ca="1" si="431"/>
        <v>RFR USD</v>
      </c>
      <c r="E5527" t="str">
        <f t="shared" ca="1" si="432"/>
        <v>RFR EUR</v>
      </c>
      <c r="F5527" t="str">
        <f t="shared" ca="1" si="433"/>
        <v>RFR GBP</v>
      </c>
    </row>
    <row r="5528" spans="1:6" x14ac:dyDescent="0.3">
      <c r="A5528" s="19">
        <f t="shared" si="434"/>
        <v>53653</v>
      </c>
      <c r="B5528">
        <f t="shared" ca="1" si="430"/>
        <v>-20.836111111111112</v>
      </c>
      <c r="C5528" t="str">
        <f ca="1">IF(currency="USD",'Future et co'!D5528,IF(currency="EUR",'Future et co'!E5528,IF(currency="GBP",'Future et co'!F5528,FALSE)))</f>
        <v>RFR USD</v>
      </c>
      <c r="D5528" t="str">
        <f t="shared" ca="1" si="431"/>
        <v>RFR USD</v>
      </c>
      <c r="E5528" t="str">
        <f t="shared" ca="1" si="432"/>
        <v>RFR EUR</v>
      </c>
      <c r="F5528" t="str">
        <f t="shared" ca="1" si="433"/>
        <v>RFR GBP</v>
      </c>
    </row>
    <row r="5529" spans="1:6" x14ac:dyDescent="0.3">
      <c r="A5529" s="19">
        <f t="shared" si="434"/>
        <v>53654</v>
      </c>
      <c r="B5529">
        <f t="shared" ca="1" si="430"/>
        <v>-20.838888888888889</v>
      </c>
      <c r="C5529" t="str">
        <f ca="1">IF(currency="USD",'Future et co'!D5529,IF(currency="EUR",'Future et co'!E5529,IF(currency="GBP",'Future et co'!F5529,FALSE)))</f>
        <v>RFR USD</v>
      </c>
      <c r="D5529" t="str">
        <f t="shared" ca="1" si="431"/>
        <v>RFR USD</v>
      </c>
      <c r="E5529" t="str">
        <f t="shared" ca="1" si="432"/>
        <v>RFR EUR</v>
      </c>
      <c r="F5529" t="str">
        <f t="shared" ca="1" si="433"/>
        <v>RFR GBP</v>
      </c>
    </row>
    <row r="5530" spans="1:6" x14ac:dyDescent="0.3">
      <c r="A5530" s="19">
        <f t="shared" si="434"/>
        <v>53657</v>
      </c>
      <c r="B5530">
        <f t="shared" ca="1" si="430"/>
        <v>-20.847222222222221</v>
      </c>
      <c r="C5530" t="str">
        <f ca="1">IF(currency="USD",'Future et co'!D5530,IF(currency="EUR",'Future et co'!E5530,IF(currency="GBP",'Future et co'!F5530,FALSE)))</f>
        <v>RFR USD</v>
      </c>
      <c r="D5530" t="str">
        <f t="shared" ca="1" si="431"/>
        <v>RFR USD</v>
      </c>
      <c r="E5530" t="str">
        <f t="shared" ca="1" si="432"/>
        <v>RFR EUR</v>
      </c>
      <c r="F5530" t="str">
        <f t="shared" ca="1" si="433"/>
        <v>RFR GBP</v>
      </c>
    </row>
    <row r="5531" spans="1:6" x14ac:dyDescent="0.3">
      <c r="A5531" s="19">
        <f t="shared" si="434"/>
        <v>53658</v>
      </c>
      <c r="B5531">
        <f t="shared" ca="1" si="430"/>
        <v>-20.85</v>
      </c>
      <c r="C5531" t="str">
        <f ca="1">IF(currency="USD",'Future et co'!D5531,IF(currency="EUR",'Future et co'!E5531,IF(currency="GBP",'Future et co'!F5531,FALSE)))</f>
        <v>RFR USD</v>
      </c>
      <c r="D5531" t="str">
        <f t="shared" ca="1" si="431"/>
        <v>RFR USD</v>
      </c>
      <c r="E5531" t="str">
        <f t="shared" ca="1" si="432"/>
        <v>RFR EUR</v>
      </c>
      <c r="F5531" t="str">
        <f t="shared" ca="1" si="433"/>
        <v>RFR GBP</v>
      </c>
    </row>
    <row r="5532" spans="1:6" x14ac:dyDescent="0.3">
      <c r="A5532" s="19">
        <f t="shared" si="434"/>
        <v>53659</v>
      </c>
      <c r="B5532">
        <f t="shared" ca="1" si="430"/>
        <v>-20.852777777777778</v>
      </c>
      <c r="C5532" t="str">
        <f ca="1">IF(currency="USD",'Future et co'!D5532,IF(currency="EUR",'Future et co'!E5532,IF(currency="GBP",'Future et co'!F5532,FALSE)))</f>
        <v>RFR USD</v>
      </c>
      <c r="D5532" t="str">
        <f t="shared" ca="1" si="431"/>
        <v>RFR USD</v>
      </c>
      <c r="E5532" t="str">
        <f t="shared" ca="1" si="432"/>
        <v>RFR EUR</v>
      </c>
      <c r="F5532" t="str">
        <f t="shared" ca="1" si="433"/>
        <v>RFR GBP</v>
      </c>
    </row>
    <row r="5533" spans="1:6" x14ac:dyDescent="0.3">
      <c r="A5533" s="19">
        <f t="shared" si="434"/>
        <v>53660</v>
      </c>
      <c r="B5533">
        <f t="shared" ca="1" si="430"/>
        <v>-20.855555555555554</v>
      </c>
      <c r="C5533" t="str">
        <f ca="1">IF(currency="USD",'Future et co'!D5533,IF(currency="EUR",'Future et co'!E5533,IF(currency="GBP",'Future et co'!F5533,FALSE)))</f>
        <v>RFR USD</v>
      </c>
      <c r="D5533" t="str">
        <f t="shared" ca="1" si="431"/>
        <v>RFR USD</v>
      </c>
      <c r="E5533" t="str">
        <f t="shared" ca="1" si="432"/>
        <v>RFR EUR</v>
      </c>
      <c r="F5533" t="str">
        <f t="shared" ca="1" si="433"/>
        <v>RFR GBP</v>
      </c>
    </row>
    <row r="5534" spans="1:6" x14ac:dyDescent="0.3">
      <c r="A5534" s="19">
        <f t="shared" si="434"/>
        <v>53661</v>
      </c>
      <c r="B5534">
        <f t="shared" ca="1" si="430"/>
        <v>-20.858333333333334</v>
      </c>
      <c r="C5534" t="str">
        <f ca="1">IF(currency="USD",'Future et co'!D5534,IF(currency="EUR",'Future et co'!E5534,IF(currency="GBP",'Future et co'!F5534,FALSE)))</f>
        <v>RFR USD</v>
      </c>
      <c r="D5534" t="str">
        <f t="shared" ca="1" si="431"/>
        <v>RFR USD</v>
      </c>
      <c r="E5534" t="str">
        <f t="shared" ca="1" si="432"/>
        <v>RFR EUR</v>
      </c>
      <c r="F5534" t="str">
        <f t="shared" ca="1" si="433"/>
        <v>RFR GBP</v>
      </c>
    </row>
    <row r="5535" spans="1:6" x14ac:dyDescent="0.3">
      <c r="A5535" s="19">
        <f t="shared" si="434"/>
        <v>53664</v>
      </c>
      <c r="B5535">
        <f t="shared" ca="1" si="430"/>
        <v>-20.866666666666667</v>
      </c>
      <c r="C5535" t="str">
        <f ca="1">IF(currency="USD",'Future et co'!D5535,IF(currency="EUR",'Future et co'!E5535,IF(currency="GBP",'Future et co'!F5535,FALSE)))</f>
        <v>RFR USD</v>
      </c>
      <c r="D5535" t="str">
        <f t="shared" ca="1" si="431"/>
        <v>RFR USD</v>
      </c>
      <c r="E5535" t="str">
        <f t="shared" ca="1" si="432"/>
        <v>RFR EUR</v>
      </c>
      <c r="F5535" t="str">
        <f t="shared" ca="1" si="433"/>
        <v>RFR GBP</v>
      </c>
    </row>
    <row r="5536" spans="1:6" x14ac:dyDescent="0.3">
      <c r="A5536" s="19">
        <f t="shared" si="434"/>
        <v>53665</v>
      </c>
      <c r="B5536">
        <f t="shared" ca="1" si="430"/>
        <v>-20.869444444444444</v>
      </c>
      <c r="C5536" t="str">
        <f ca="1">IF(currency="USD",'Future et co'!D5536,IF(currency="EUR",'Future et co'!E5536,IF(currency="GBP",'Future et co'!F5536,FALSE)))</f>
        <v>RFR USD</v>
      </c>
      <c r="D5536" t="str">
        <f t="shared" ca="1" si="431"/>
        <v>RFR USD</v>
      </c>
      <c r="E5536" t="str">
        <f t="shared" ca="1" si="432"/>
        <v>RFR EUR</v>
      </c>
      <c r="F5536" t="str">
        <f t="shared" ca="1" si="433"/>
        <v>RFR GBP</v>
      </c>
    </row>
    <row r="5537" spans="1:6" x14ac:dyDescent="0.3">
      <c r="A5537" s="19">
        <f t="shared" si="434"/>
        <v>53666</v>
      </c>
      <c r="B5537">
        <f t="shared" ca="1" si="430"/>
        <v>-20.872222222222224</v>
      </c>
      <c r="C5537" t="str">
        <f ca="1">IF(currency="USD",'Future et co'!D5537,IF(currency="EUR",'Future et co'!E5537,IF(currency="GBP",'Future et co'!F5537,FALSE)))</f>
        <v>RFR USD</v>
      </c>
      <c r="D5537" t="str">
        <f t="shared" ca="1" si="431"/>
        <v>RFR USD</v>
      </c>
      <c r="E5537" t="str">
        <f t="shared" ca="1" si="432"/>
        <v>RFR EUR</v>
      </c>
      <c r="F5537" t="str">
        <f t="shared" ca="1" si="433"/>
        <v>RFR GBP</v>
      </c>
    </row>
    <row r="5538" spans="1:6" x14ac:dyDescent="0.3">
      <c r="A5538" s="19">
        <f t="shared" si="434"/>
        <v>53667</v>
      </c>
      <c r="B5538">
        <f t="shared" ca="1" si="430"/>
        <v>-20.875</v>
      </c>
      <c r="C5538" t="str">
        <f ca="1">IF(currency="USD",'Future et co'!D5538,IF(currency="EUR",'Future et co'!E5538,IF(currency="GBP",'Future et co'!F5538,FALSE)))</f>
        <v>RFR USD</v>
      </c>
      <c r="D5538" t="str">
        <f t="shared" ca="1" si="431"/>
        <v>RFR USD</v>
      </c>
      <c r="E5538" t="str">
        <f t="shared" ca="1" si="432"/>
        <v>RFR EUR</v>
      </c>
      <c r="F5538" t="str">
        <f t="shared" ca="1" si="433"/>
        <v>RFR GBP</v>
      </c>
    </row>
    <row r="5539" spans="1:6" x14ac:dyDescent="0.3">
      <c r="A5539" s="19">
        <f t="shared" si="434"/>
        <v>53668</v>
      </c>
      <c r="B5539">
        <f t="shared" ca="1" si="430"/>
        <v>-20.877777777777776</v>
      </c>
      <c r="C5539" t="str">
        <f ca="1">IF(currency="USD",'Future et co'!D5539,IF(currency="EUR",'Future et co'!E5539,IF(currency="GBP",'Future et co'!F5539,FALSE)))</f>
        <v>RFR USD</v>
      </c>
      <c r="D5539" t="str">
        <f t="shared" ca="1" si="431"/>
        <v>RFR USD</v>
      </c>
      <c r="E5539" t="str">
        <f t="shared" ca="1" si="432"/>
        <v>RFR EUR</v>
      </c>
      <c r="F5539" t="str">
        <f t="shared" ca="1" si="433"/>
        <v>RFR GBP</v>
      </c>
    </row>
    <row r="5540" spans="1:6" x14ac:dyDescent="0.3">
      <c r="A5540" s="19">
        <f t="shared" si="434"/>
        <v>53671</v>
      </c>
      <c r="B5540">
        <f t="shared" ca="1" si="430"/>
        <v>-20.886111111111113</v>
      </c>
      <c r="C5540" t="str">
        <f ca="1">IF(currency="USD",'Future et co'!D5540,IF(currency="EUR",'Future et co'!E5540,IF(currency="GBP",'Future et co'!F5540,FALSE)))</f>
        <v>RFR USD</v>
      </c>
      <c r="D5540" t="str">
        <f t="shared" ca="1" si="431"/>
        <v>RFR USD</v>
      </c>
      <c r="E5540" t="str">
        <f t="shared" ca="1" si="432"/>
        <v>RFR EUR</v>
      </c>
      <c r="F5540" t="str">
        <f t="shared" ca="1" si="433"/>
        <v>RFR GBP</v>
      </c>
    </row>
    <row r="5541" spans="1:6" x14ac:dyDescent="0.3">
      <c r="A5541" s="19">
        <f t="shared" si="434"/>
        <v>53672</v>
      </c>
      <c r="B5541">
        <f t="shared" ca="1" si="430"/>
        <v>-20.888888888888889</v>
      </c>
      <c r="C5541" t="str">
        <f ca="1">IF(currency="USD",'Future et co'!D5541,IF(currency="EUR",'Future et co'!E5541,IF(currency="GBP",'Future et co'!F5541,FALSE)))</f>
        <v>RFR USD</v>
      </c>
      <c r="D5541" t="str">
        <f t="shared" ca="1" si="431"/>
        <v>RFR USD</v>
      </c>
      <c r="E5541" t="str">
        <f t="shared" ca="1" si="432"/>
        <v>RFR EUR</v>
      </c>
      <c r="F5541" t="str">
        <f t="shared" ca="1" si="433"/>
        <v>RFR GBP</v>
      </c>
    </row>
    <row r="5542" spans="1:6" x14ac:dyDescent="0.3">
      <c r="A5542" s="19">
        <f t="shared" si="434"/>
        <v>53673</v>
      </c>
      <c r="B5542">
        <f t="shared" ca="1" si="430"/>
        <v>-20.891666666666666</v>
      </c>
      <c r="C5542" t="str">
        <f ca="1">IF(currency="USD",'Future et co'!D5542,IF(currency="EUR",'Future et co'!E5542,IF(currency="GBP",'Future et co'!F5542,FALSE)))</f>
        <v>RFR USD</v>
      </c>
      <c r="D5542" t="str">
        <f t="shared" ca="1" si="431"/>
        <v>RFR USD</v>
      </c>
      <c r="E5542" t="str">
        <f t="shared" ca="1" si="432"/>
        <v>RFR EUR</v>
      </c>
      <c r="F5542" t="str">
        <f t="shared" ca="1" si="433"/>
        <v>RFR GBP</v>
      </c>
    </row>
    <row r="5543" spans="1:6" x14ac:dyDescent="0.3">
      <c r="A5543" s="19">
        <f t="shared" si="434"/>
        <v>53674</v>
      </c>
      <c r="B5543">
        <f t="shared" ca="1" si="430"/>
        <v>-20.894444444444446</v>
      </c>
      <c r="C5543" t="str">
        <f ca="1">IF(currency="USD",'Future et co'!D5543,IF(currency="EUR",'Future et co'!E5543,IF(currency="GBP",'Future et co'!F5543,FALSE)))</f>
        <v>RFR USD</v>
      </c>
      <c r="D5543" t="str">
        <f t="shared" ca="1" si="431"/>
        <v>RFR USD</v>
      </c>
      <c r="E5543" t="str">
        <f t="shared" ca="1" si="432"/>
        <v>RFR EUR</v>
      </c>
      <c r="F5543" t="str">
        <f t="shared" ca="1" si="433"/>
        <v>RFR GBP</v>
      </c>
    </row>
    <row r="5544" spans="1:6" x14ac:dyDescent="0.3">
      <c r="A5544" s="19">
        <f t="shared" si="434"/>
        <v>53675</v>
      </c>
      <c r="B5544">
        <f t="shared" ca="1" si="430"/>
        <v>-20.897222222222222</v>
      </c>
      <c r="C5544" t="str">
        <f ca="1">IF(currency="USD",'Future et co'!D5544,IF(currency="EUR",'Future et co'!E5544,IF(currency="GBP",'Future et co'!F5544,FALSE)))</f>
        <v>RFR USD</v>
      </c>
      <c r="D5544" t="str">
        <f t="shared" ca="1" si="431"/>
        <v>RFR USD</v>
      </c>
      <c r="E5544" t="str">
        <f t="shared" ca="1" si="432"/>
        <v>RFR EUR</v>
      </c>
      <c r="F5544" t="str">
        <f t="shared" ca="1" si="433"/>
        <v>RFR GBP</v>
      </c>
    </row>
    <row r="5545" spans="1:6" x14ac:dyDescent="0.3">
      <c r="A5545" s="19">
        <f t="shared" si="434"/>
        <v>53678</v>
      </c>
      <c r="B5545">
        <f t="shared" ca="1" si="430"/>
        <v>-20.905555555555555</v>
      </c>
      <c r="C5545" t="str">
        <f ca="1">IF(currency="USD",'Future et co'!D5545,IF(currency="EUR",'Future et co'!E5545,IF(currency="GBP",'Future et co'!F5545,FALSE)))</f>
        <v>RFR USD</v>
      </c>
      <c r="D5545" t="str">
        <f t="shared" ca="1" si="431"/>
        <v>RFR USD</v>
      </c>
      <c r="E5545" t="str">
        <f t="shared" ca="1" si="432"/>
        <v>RFR EUR</v>
      </c>
      <c r="F5545" t="str">
        <f t="shared" ca="1" si="433"/>
        <v>RFR GBP</v>
      </c>
    </row>
    <row r="5546" spans="1:6" x14ac:dyDescent="0.3">
      <c r="A5546" s="19">
        <f t="shared" si="434"/>
        <v>53679</v>
      </c>
      <c r="B5546">
        <f t="shared" ca="1" si="430"/>
        <v>-20.908333333333335</v>
      </c>
      <c r="C5546" t="str">
        <f ca="1">IF(currency="USD",'Future et co'!D5546,IF(currency="EUR",'Future et co'!E5546,IF(currency="GBP",'Future et co'!F5546,FALSE)))</f>
        <v>RFR USD</v>
      </c>
      <c r="D5546" t="str">
        <f t="shared" ca="1" si="431"/>
        <v>RFR USD</v>
      </c>
      <c r="E5546" t="str">
        <f t="shared" ca="1" si="432"/>
        <v>RFR EUR</v>
      </c>
      <c r="F5546" t="str">
        <f t="shared" ca="1" si="433"/>
        <v>RFR GBP</v>
      </c>
    </row>
    <row r="5547" spans="1:6" x14ac:dyDescent="0.3">
      <c r="A5547" s="19">
        <f t="shared" si="434"/>
        <v>53680</v>
      </c>
      <c r="B5547">
        <f t="shared" ca="1" si="430"/>
        <v>-20.911111111111111</v>
      </c>
      <c r="C5547" t="str">
        <f ca="1">IF(currency="USD",'Future et co'!D5547,IF(currency="EUR",'Future et co'!E5547,IF(currency="GBP",'Future et co'!F5547,FALSE)))</f>
        <v>RFR USD</v>
      </c>
      <c r="D5547" t="str">
        <f t="shared" ca="1" si="431"/>
        <v>RFR USD</v>
      </c>
      <c r="E5547" t="str">
        <f t="shared" ca="1" si="432"/>
        <v>RFR EUR</v>
      </c>
      <c r="F5547" t="str">
        <f t="shared" ca="1" si="433"/>
        <v>RFR GBP</v>
      </c>
    </row>
    <row r="5548" spans="1:6" x14ac:dyDescent="0.3">
      <c r="A5548" s="19">
        <f t="shared" si="434"/>
        <v>53681</v>
      </c>
      <c r="B5548">
        <f t="shared" ca="1" si="430"/>
        <v>-20.913888888888888</v>
      </c>
      <c r="C5548" t="str">
        <f ca="1">IF(currency="USD",'Future et co'!D5548,IF(currency="EUR",'Future et co'!E5548,IF(currency="GBP",'Future et co'!F5548,FALSE)))</f>
        <v>RFR USD</v>
      </c>
      <c r="D5548" t="str">
        <f t="shared" ca="1" si="431"/>
        <v>RFR USD</v>
      </c>
      <c r="E5548" t="str">
        <f t="shared" ca="1" si="432"/>
        <v>RFR EUR</v>
      </c>
      <c r="F5548" t="str">
        <f t="shared" ca="1" si="433"/>
        <v>RFR GBP</v>
      </c>
    </row>
    <row r="5549" spans="1:6" x14ac:dyDescent="0.3">
      <c r="A5549" s="19">
        <f t="shared" si="434"/>
        <v>53682</v>
      </c>
      <c r="B5549">
        <f t="shared" ca="1" si="430"/>
        <v>-20.916666666666668</v>
      </c>
      <c r="C5549" t="str">
        <f ca="1">IF(currency="USD",'Future et co'!D5549,IF(currency="EUR",'Future et co'!E5549,IF(currency="GBP",'Future et co'!F5549,FALSE)))</f>
        <v>RFR USD</v>
      </c>
      <c r="D5549" t="str">
        <f t="shared" ca="1" si="431"/>
        <v>RFR USD</v>
      </c>
      <c r="E5549" t="str">
        <f t="shared" ca="1" si="432"/>
        <v>RFR EUR</v>
      </c>
      <c r="F5549" t="str">
        <f t="shared" ca="1" si="433"/>
        <v>RFR GBP</v>
      </c>
    </row>
    <row r="5550" spans="1:6" x14ac:dyDescent="0.3">
      <c r="A5550" s="19">
        <f t="shared" si="434"/>
        <v>53685</v>
      </c>
      <c r="B5550">
        <f t="shared" ca="1" si="430"/>
        <v>-20.925000000000001</v>
      </c>
      <c r="C5550" t="str">
        <f ca="1">IF(currency="USD",'Future et co'!D5550,IF(currency="EUR",'Future et co'!E5550,IF(currency="GBP",'Future et co'!F5550,FALSE)))</f>
        <v>RFR USD</v>
      </c>
      <c r="D5550" t="str">
        <f t="shared" ca="1" si="431"/>
        <v>RFR USD</v>
      </c>
      <c r="E5550" t="str">
        <f t="shared" ca="1" si="432"/>
        <v>RFR EUR</v>
      </c>
      <c r="F5550" t="str">
        <f t="shared" ca="1" si="433"/>
        <v>RFR GBP</v>
      </c>
    </row>
    <row r="5551" spans="1:6" x14ac:dyDescent="0.3">
      <c r="A5551" s="19">
        <f t="shared" si="434"/>
        <v>53686</v>
      </c>
      <c r="B5551">
        <f t="shared" ca="1" si="430"/>
        <v>-20.927777777777777</v>
      </c>
      <c r="C5551" t="str">
        <f ca="1">IF(currency="USD",'Future et co'!D5551,IF(currency="EUR",'Future et co'!E5551,IF(currency="GBP",'Future et co'!F5551,FALSE)))</f>
        <v>RFR USD</v>
      </c>
      <c r="D5551" t="str">
        <f t="shared" ca="1" si="431"/>
        <v>RFR USD</v>
      </c>
      <c r="E5551" t="str">
        <f t="shared" ca="1" si="432"/>
        <v>RFR EUR</v>
      </c>
      <c r="F5551" t="str">
        <f t="shared" ca="1" si="433"/>
        <v>RFR GBP</v>
      </c>
    </row>
    <row r="5552" spans="1:6" x14ac:dyDescent="0.3">
      <c r="A5552" s="19">
        <f t="shared" si="434"/>
        <v>53687</v>
      </c>
      <c r="B5552">
        <f t="shared" ca="1" si="430"/>
        <v>-20.930555555555557</v>
      </c>
      <c r="C5552" t="str">
        <f ca="1">IF(currency="USD",'Future et co'!D5552,IF(currency="EUR",'Future et co'!E5552,IF(currency="GBP",'Future et co'!F5552,FALSE)))</f>
        <v>RFR USD</v>
      </c>
      <c r="D5552" t="str">
        <f t="shared" ca="1" si="431"/>
        <v>RFR USD</v>
      </c>
      <c r="E5552" t="str">
        <f t="shared" ca="1" si="432"/>
        <v>RFR EUR</v>
      </c>
      <c r="F5552" t="str">
        <f t="shared" ca="1" si="433"/>
        <v>RFR GBP</v>
      </c>
    </row>
    <row r="5553" spans="1:6" x14ac:dyDescent="0.3">
      <c r="A5553" s="19">
        <f t="shared" si="434"/>
        <v>53688</v>
      </c>
      <c r="B5553">
        <f t="shared" ca="1" si="430"/>
        <v>-20.933333333333334</v>
      </c>
      <c r="C5553" t="str">
        <f ca="1">IF(currency="USD",'Future et co'!D5553,IF(currency="EUR",'Future et co'!E5553,IF(currency="GBP",'Future et co'!F5553,FALSE)))</f>
        <v>RFR USD</v>
      </c>
      <c r="D5553" t="str">
        <f t="shared" ca="1" si="431"/>
        <v>RFR USD</v>
      </c>
      <c r="E5553" t="str">
        <f t="shared" ca="1" si="432"/>
        <v>RFR EUR</v>
      </c>
      <c r="F5553" t="str">
        <f t="shared" ca="1" si="433"/>
        <v>RFR GBP</v>
      </c>
    </row>
    <row r="5554" spans="1:6" x14ac:dyDescent="0.3">
      <c r="A5554" s="19">
        <f t="shared" si="434"/>
        <v>53689</v>
      </c>
      <c r="B5554">
        <f t="shared" ca="1" si="430"/>
        <v>-20.93611111111111</v>
      </c>
      <c r="C5554" t="str">
        <f ca="1">IF(currency="USD",'Future et co'!D5554,IF(currency="EUR",'Future et co'!E5554,IF(currency="GBP",'Future et co'!F5554,FALSE)))</f>
        <v>RFR USD</v>
      </c>
      <c r="D5554" t="str">
        <f t="shared" ca="1" si="431"/>
        <v>RFR USD</v>
      </c>
      <c r="E5554" t="str">
        <f t="shared" ca="1" si="432"/>
        <v>RFR EUR</v>
      </c>
      <c r="F5554" t="str">
        <f t="shared" ca="1" si="433"/>
        <v>RFR GBP</v>
      </c>
    </row>
    <row r="5555" spans="1:6" x14ac:dyDescent="0.3">
      <c r="A5555" s="19">
        <f t="shared" si="434"/>
        <v>53692</v>
      </c>
      <c r="B5555">
        <f t="shared" ca="1" si="430"/>
        <v>-20.944444444444443</v>
      </c>
      <c r="C5555" t="str">
        <f ca="1">IF(currency="USD",'Future et co'!D5555,IF(currency="EUR",'Future et co'!E5555,IF(currency="GBP",'Future et co'!F5555,FALSE)))</f>
        <v>RFR USD</v>
      </c>
      <c r="D5555" t="str">
        <f t="shared" ca="1" si="431"/>
        <v>RFR USD</v>
      </c>
      <c r="E5555" t="str">
        <f t="shared" ca="1" si="432"/>
        <v>RFR EUR</v>
      </c>
      <c r="F5555" t="str">
        <f t="shared" ca="1" si="433"/>
        <v>RFR GBP</v>
      </c>
    </row>
    <row r="5556" spans="1:6" x14ac:dyDescent="0.3">
      <c r="A5556" s="19">
        <f t="shared" si="434"/>
        <v>53693</v>
      </c>
      <c r="B5556">
        <f t="shared" ca="1" si="430"/>
        <v>-20.947222222222223</v>
      </c>
      <c r="C5556" t="str">
        <f ca="1">IF(currency="USD",'Future et co'!D5556,IF(currency="EUR",'Future et co'!E5556,IF(currency="GBP",'Future et co'!F5556,FALSE)))</f>
        <v>RFR USD</v>
      </c>
      <c r="D5556" t="str">
        <f t="shared" ca="1" si="431"/>
        <v>RFR USD</v>
      </c>
      <c r="E5556" t="str">
        <f t="shared" ca="1" si="432"/>
        <v>RFR EUR</v>
      </c>
      <c r="F5556" t="str">
        <f t="shared" ca="1" si="433"/>
        <v>RFR GBP</v>
      </c>
    </row>
    <row r="5557" spans="1:6" x14ac:dyDescent="0.3">
      <c r="A5557" s="19">
        <f t="shared" si="434"/>
        <v>53694</v>
      </c>
      <c r="B5557">
        <f t="shared" ca="1" si="430"/>
        <v>-20.95</v>
      </c>
      <c r="C5557" t="str">
        <f ca="1">IF(currency="USD",'Future et co'!D5557,IF(currency="EUR",'Future et co'!E5557,IF(currency="GBP",'Future et co'!F5557,FALSE)))</f>
        <v>RFR USD</v>
      </c>
      <c r="D5557" t="str">
        <f t="shared" ca="1" si="431"/>
        <v>RFR USD</v>
      </c>
      <c r="E5557" t="str">
        <f t="shared" ca="1" si="432"/>
        <v>RFR EUR</v>
      </c>
      <c r="F5557" t="str">
        <f t="shared" ca="1" si="433"/>
        <v>RFR GBP</v>
      </c>
    </row>
    <row r="5558" spans="1:6" x14ac:dyDescent="0.3">
      <c r="A5558" s="19">
        <f t="shared" si="434"/>
        <v>53695</v>
      </c>
      <c r="B5558">
        <f t="shared" ca="1" si="430"/>
        <v>-20.952777777777779</v>
      </c>
      <c r="C5558" t="str">
        <f ca="1">IF(currency="USD",'Future et co'!D5558,IF(currency="EUR",'Future et co'!E5558,IF(currency="GBP",'Future et co'!F5558,FALSE)))</f>
        <v>RFR USD</v>
      </c>
      <c r="D5558" t="str">
        <f t="shared" ca="1" si="431"/>
        <v>RFR USD</v>
      </c>
      <c r="E5558" t="str">
        <f t="shared" ca="1" si="432"/>
        <v>RFR EUR</v>
      </c>
      <c r="F5558" t="str">
        <f t="shared" ca="1" si="433"/>
        <v>RFR GBP</v>
      </c>
    </row>
    <row r="5559" spans="1:6" x14ac:dyDescent="0.3">
      <c r="A5559" s="19">
        <f t="shared" si="434"/>
        <v>53696</v>
      </c>
      <c r="B5559">
        <f t="shared" ca="1" si="430"/>
        <v>-20.955555555555556</v>
      </c>
      <c r="C5559" t="str">
        <f ca="1">IF(currency="USD",'Future et co'!D5559,IF(currency="EUR",'Future et co'!E5559,IF(currency="GBP",'Future et co'!F5559,FALSE)))</f>
        <v>RFR USD</v>
      </c>
      <c r="D5559" t="str">
        <f t="shared" ca="1" si="431"/>
        <v>RFR USD</v>
      </c>
      <c r="E5559" t="str">
        <f t="shared" ca="1" si="432"/>
        <v>RFR EUR</v>
      </c>
      <c r="F5559" t="str">
        <f t="shared" ca="1" si="433"/>
        <v>RFR GBP</v>
      </c>
    </row>
    <row r="5560" spans="1:6" x14ac:dyDescent="0.3">
      <c r="A5560" s="19">
        <f t="shared" si="434"/>
        <v>53699</v>
      </c>
      <c r="B5560">
        <f t="shared" ca="1" si="430"/>
        <v>-20.963888888888889</v>
      </c>
      <c r="C5560" t="str">
        <f ca="1">IF(currency="USD",'Future et co'!D5560,IF(currency="EUR",'Future et co'!E5560,IF(currency="GBP",'Future et co'!F5560,FALSE)))</f>
        <v>RFR USD</v>
      </c>
      <c r="D5560" t="str">
        <f t="shared" ca="1" si="431"/>
        <v>RFR USD</v>
      </c>
      <c r="E5560" t="str">
        <f t="shared" ca="1" si="432"/>
        <v>RFR EUR</v>
      </c>
      <c r="F5560" t="str">
        <f t="shared" ca="1" si="433"/>
        <v>RFR GBP</v>
      </c>
    </row>
    <row r="5561" spans="1:6" x14ac:dyDescent="0.3">
      <c r="A5561" s="19">
        <f t="shared" si="434"/>
        <v>53700</v>
      </c>
      <c r="B5561">
        <f t="shared" ca="1" si="430"/>
        <v>-20.966666666666665</v>
      </c>
      <c r="C5561" t="str">
        <f ca="1">IF(currency="USD",'Future et co'!D5561,IF(currency="EUR",'Future et co'!E5561,IF(currency="GBP",'Future et co'!F5561,FALSE)))</f>
        <v>RFR USD</v>
      </c>
      <c r="D5561" t="str">
        <f t="shared" ca="1" si="431"/>
        <v>RFR USD</v>
      </c>
      <c r="E5561" t="str">
        <f t="shared" ca="1" si="432"/>
        <v>RFR EUR</v>
      </c>
      <c r="F5561" t="str">
        <f t="shared" ca="1" si="433"/>
        <v>RFR GBP</v>
      </c>
    </row>
    <row r="5562" spans="1:6" x14ac:dyDescent="0.3">
      <c r="A5562" s="19">
        <f t="shared" si="434"/>
        <v>53701</v>
      </c>
      <c r="B5562">
        <f t="shared" ca="1" si="430"/>
        <v>-20.969444444444445</v>
      </c>
      <c r="C5562" t="str">
        <f ca="1">IF(currency="USD",'Future et co'!D5562,IF(currency="EUR",'Future et co'!E5562,IF(currency="GBP",'Future et co'!F5562,FALSE)))</f>
        <v>RFR USD</v>
      </c>
      <c r="D5562" t="str">
        <f t="shared" ca="1" si="431"/>
        <v>RFR USD</v>
      </c>
      <c r="E5562" t="str">
        <f t="shared" ca="1" si="432"/>
        <v>RFR EUR</v>
      </c>
      <c r="F5562" t="str">
        <f t="shared" ca="1" si="433"/>
        <v>RFR GBP</v>
      </c>
    </row>
    <row r="5563" spans="1:6" x14ac:dyDescent="0.3">
      <c r="A5563" s="19">
        <f t="shared" si="434"/>
        <v>53702</v>
      </c>
      <c r="B5563">
        <f t="shared" ca="1" si="430"/>
        <v>-20.972222222222221</v>
      </c>
      <c r="C5563" t="str">
        <f ca="1">IF(currency="USD",'Future et co'!D5563,IF(currency="EUR",'Future et co'!E5563,IF(currency="GBP",'Future et co'!F5563,FALSE)))</f>
        <v>RFR USD</v>
      </c>
      <c r="D5563" t="str">
        <f t="shared" ca="1" si="431"/>
        <v>RFR USD</v>
      </c>
      <c r="E5563" t="str">
        <f t="shared" ca="1" si="432"/>
        <v>RFR EUR</v>
      </c>
      <c r="F5563" t="str">
        <f t="shared" ca="1" si="433"/>
        <v>RFR GBP</v>
      </c>
    </row>
    <row r="5564" spans="1:6" x14ac:dyDescent="0.3">
      <c r="A5564" s="19">
        <f t="shared" si="434"/>
        <v>53703</v>
      </c>
      <c r="B5564">
        <f t="shared" ca="1" si="430"/>
        <v>-20.975000000000001</v>
      </c>
      <c r="C5564" t="str">
        <f ca="1">IF(currency="USD",'Future et co'!D5564,IF(currency="EUR",'Future et co'!E5564,IF(currency="GBP",'Future et co'!F5564,FALSE)))</f>
        <v>RFR USD</v>
      </c>
      <c r="D5564" t="str">
        <f t="shared" ca="1" si="431"/>
        <v>RFR USD</v>
      </c>
      <c r="E5564" t="str">
        <f t="shared" ca="1" si="432"/>
        <v>RFR EUR</v>
      </c>
      <c r="F5564" t="str">
        <f t="shared" ca="1" si="433"/>
        <v>RFR GBP</v>
      </c>
    </row>
    <row r="5565" spans="1:6" x14ac:dyDescent="0.3">
      <c r="A5565" s="19">
        <f t="shared" si="434"/>
        <v>53706</v>
      </c>
      <c r="B5565">
        <f t="shared" ca="1" si="430"/>
        <v>-20.983333333333334</v>
      </c>
      <c r="C5565" t="str">
        <f ca="1">IF(currency="USD",'Future et co'!D5565,IF(currency="EUR",'Future et co'!E5565,IF(currency="GBP",'Future et co'!F5565,FALSE)))</f>
        <v>RFR USD</v>
      </c>
      <c r="D5565" t="str">
        <f t="shared" ca="1" si="431"/>
        <v>RFR USD</v>
      </c>
      <c r="E5565" t="str">
        <f t="shared" ca="1" si="432"/>
        <v>RFR EUR</v>
      </c>
      <c r="F5565" t="str">
        <f t="shared" ca="1" si="433"/>
        <v>RFR GBP</v>
      </c>
    </row>
    <row r="5566" spans="1:6" x14ac:dyDescent="0.3">
      <c r="A5566" s="19">
        <f t="shared" si="434"/>
        <v>53707</v>
      </c>
      <c r="B5566">
        <f t="shared" ca="1" si="430"/>
        <v>-20.986111111111111</v>
      </c>
      <c r="C5566" t="str">
        <f ca="1">IF(currency="USD",'Future et co'!D5566,IF(currency="EUR",'Future et co'!E5566,IF(currency="GBP",'Future et co'!F5566,FALSE)))</f>
        <v>RFR USD</v>
      </c>
      <c r="D5566" t="str">
        <f t="shared" ca="1" si="431"/>
        <v>RFR USD</v>
      </c>
      <c r="E5566" t="str">
        <f t="shared" ca="1" si="432"/>
        <v>RFR EUR</v>
      </c>
      <c r="F5566" t="str">
        <f t="shared" ca="1" si="433"/>
        <v>RFR GBP</v>
      </c>
    </row>
    <row r="5567" spans="1:6" x14ac:dyDescent="0.3">
      <c r="A5567" s="19">
        <f t="shared" si="434"/>
        <v>53708</v>
      </c>
      <c r="B5567">
        <f t="shared" ca="1" si="430"/>
        <v>-20.988888888888887</v>
      </c>
      <c r="C5567" t="str">
        <f ca="1">IF(currency="USD",'Future et co'!D5567,IF(currency="EUR",'Future et co'!E5567,IF(currency="GBP",'Future et co'!F5567,FALSE)))</f>
        <v>RFR USD</v>
      </c>
      <c r="D5567" t="str">
        <f t="shared" ca="1" si="431"/>
        <v>RFR USD</v>
      </c>
      <c r="E5567" t="str">
        <f t="shared" ca="1" si="432"/>
        <v>RFR EUR</v>
      </c>
      <c r="F5567" t="str">
        <f t="shared" ca="1" si="433"/>
        <v>RFR GBP</v>
      </c>
    </row>
    <row r="5568" spans="1:6" x14ac:dyDescent="0.3">
      <c r="A5568" s="19">
        <f t="shared" si="434"/>
        <v>53709</v>
      </c>
      <c r="B5568">
        <f t="shared" ca="1" si="430"/>
        <v>-20.991666666666667</v>
      </c>
      <c r="C5568" t="str">
        <f ca="1">IF(currency="USD",'Future et co'!D5568,IF(currency="EUR",'Future et co'!E5568,IF(currency="GBP",'Future et co'!F5568,FALSE)))</f>
        <v>RFR USD</v>
      </c>
      <c r="D5568" t="str">
        <f t="shared" ca="1" si="431"/>
        <v>RFR USD</v>
      </c>
      <c r="E5568" t="str">
        <f t="shared" ca="1" si="432"/>
        <v>RFR EUR</v>
      </c>
      <c r="F5568" t="str">
        <f t="shared" ca="1" si="433"/>
        <v>RFR GBP</v>
      </c>
    </row>
    <row r="5569" spans="1:6" x14ac:dyDescent="0.3">
      <c r="A5569" s="19">
        <f t="shared" si="434"/>
        <v>53710</v>
      </c>
      <c r="B5569">
        <f t="shared" ca="1" si="430"/>
        <v>-20.994444444444444</v>
      </c>
      <c r="C5569" t="str">
        <f ca="1">IF(currency="USD",'Future et co'!D5569,IF(currency="EUR",'Future et co'!E5569,IF(currency="GBP",'Future et co'!F5569,FALSE)))</f>
        <v>RFR USD</v>
      </c>
      <c r="D5569" t="str">
        <f t="shared" ca="1" si="431"/>
        <v>RFR USD</v>
      </c>
      <c r="E5569" t="str">
        <f t="shared" ca="1" si="432"/>
        <v>RFR EUR</v>
      </c>
      <c r="F5569" t="str">
        <f t="shared" ca="1" si="433"/>
        <v>RFR GBP</v>
      </c>
    </row>
    <row r="5570" spans="1:6" x14ac:dyDescent="0.3">
      <c r="A5570" s="19">
        <f t="shared" si="434"/>
        <v>53713</v>
      </c>
      <c r="B5570">
        <f t="shared" ca="1" si="430"/>
        <v>-21.002777777777776</v>
      </c>
      <c r="C5570" t="str">
        <f ca="1">IF(currency="USD",'Future et co'!D5570,IF(currency="EUR",'Future et co'!E5570,IF(currency="GBP",'Future et co'!F5570,FALSE)))</f>
        <v>RFR USD</v>
      </c>
      <c r="D5570" t="str">
        <f t="shared" ca="1" si="431"/>
        <v>RFR USD</v>
      </c>
      <c r="E5570" t="str">
        <f t="shared" ca="1" si="432"/>
        <v>RFR EUR</v>
      </c>
      <c r="F5570" t="str">
        <f t="shared" ca="1" si="433"/>
        <v>RFR GBP</v>
      </c>
    </row>
    <row r="5571" spans="1:6" x14ac:dyDescent="0.3">
      <c r="A5571" s="19">
        <f t="shared" si="434"/>
        <v>53714</v>
      </c>
      <c r="B5571">
        <f t="shared" ca="1" si="430"/>
        <v>-21.005555555555556</v>
      </c>
      <c r="C5571" t="str">
        <f ca="1">IF(currency="USD",'Future et co'!D5571,IF(currency="EUR",'Future et co'!E5571,IF(currency="GBP",'Future et co'!F5571,FALSE)))</f>
        <v>RFR USD</v>
      </c>
      <c r="D5571" t="str">
        <f t="shared" ca="1" si="431"/>
        <v>RFR USD</v>
      </c>
      <c r="E5571" t="str">
        <f t="shared" ca="1" si="432"/>
        <v>RFR EUR</v>
      </c>
      <c r="F5571" t="str">
        <f t="shared" ca="1" si="433"/>
        <v>RFR GBP</v>
      </c>
    </row>
    <row r="5572" spans="1:6" x14ac:dyDescent="0.3">
      <c r="A5572" s="19">
        <f t="shared" si="434"/>
        <v>53715</v>
      </c>
      <c r="B5572">
        <f t="shared" ca="1" si="430"/>
        <v>-21.008333333333333</v>
      </c>
      <c r="C5572" t="str">
        <f ca="1">IF(currency="USD",'Future et co'!D5572,IF(currency="EUR",'Future et co'!E5572,IF(currency="GBP",'Future et co'!F5572,FALSE)))</f>
        <v>RFR USD</v>
      </c>
      <c r="D5572" t="str">
        <f t="shared" ca="1" si="431"/>
        <v>RFR USD</v>
      </c>
      <c r="E5572" t="str">
        <f t="shared" ca="1" si="432"/>
        <v>RFR EUR</v>
      </c>
      <c r="F5572" t="str">
        <f t="shared" ca="1" si="433"/>
        <v>RFR GBP</v>
      </c>
    </row>
    <row r="5573" spans="1:6" x14ac:dyDescent="0.3">
      <c r="A5573" s="19">
        <f t="shared" si="434"/>
        <v>53716</v>
      </c>
      <c r="B5573">
        <f t="shared" ca="1" si="430"/>
        <v>-21.011111111111113</v>
      </c>
      <c r="C5573" t="str">
        <f ca="1">IF(currency="USD",'Future et co'!D5573,IF(currency="EUR",'Future et co'!E5573,IF(currency="GBP",'Future et co'!F5573,FALSE)))</f>
        <v>RFR USD</v>
      </c>
      <c r="D5573" t="str">
        <f t="shared" ca="1" si="431"/>
        <v>RFR USD</v>
      </c>
      <c r="E5573" t="str">
        <f t="shared" ca="1" si="432"/>
        <v>RFR EUR</v>
      </c>
      <c r="F5573" t="str">
        <f t="shared" ca="1" si="433"/>
        <v>RFR GBP</v>
      </c>
    </row>
    <row r="5574" spans="1:6" x14ac:dyDescent="0.3">
      <c r="A5574" s="19">
        <f t="shared" si="434"/>
        <v>53717</v>
      </c>
      <c r="B5574">
        <f t="shared" ca="1" si="430"/>
        <v>-21.013888888888889</v>
      </c>
      <c r="C5574" t="str">
        <f ca="1">IF(currency="USD",'Future et co'!D5574,IF(currency="EUR",'Future et co'!E5574,IF(currency="GBP",'Future et co'!F5574,FALSE)))</f>
        <v>RFR USD</v>
      </c>
      <c r="D5574" t="str">
        <f t="shared" ca="1" si="431"/>
        <v>RFR USD</v>
      </c>
      <c r="E5574" t="str">
        <f t="shared" ca="1" si="432"/>
        <v>RFR EUR</v>
      </c>
      <c r="F5574" t="str">
        <f t="shared" ca="1" si="433"/>
        <v>RFR GBP</v>
      </c>
    </row>
    <row r="5575" spans="1:6" x14ac:dyDescent="0.3">
      <c r="A5575" s="19">
        <f t="shared" si="434"/>
        <v>53720</v>
      </c>
      <c r="B5575">
        <f t="shared" ca="1" si="430"/>
        <v>-21.022222222222222</v>
      </c>
      <c r="C5575" t="str">
        <f ca="1">IF(currency="USD",'Future et co'!D5575,IF(currency="EUR",'Future et co'!E5575,IF(currency="GBP",'Future et co'!F5575,FALSE)))</f>
        <v>RFR USD</v>
      </c>
      <c r="D5575" t="str">
        <f t="shared" ca="1" si="431"/>
        <v>RFR USD</v>
      </c>
      <c r="E5575" t="str">
        <f t="shared" ca="1" si="432"/>
        <v>RFR EUR</v>
      </c>
      <c r="F5575" t="str">
        <f t="shared" ca="1" si="433"/>
        <v>RFR GBP</v>
      </c>
    </row>
    <row r="5576" spans="1:6" x14ac:dyDescent="0.3">
      <c r="A5576" s="19">
        <f t="shared" si="434"/>
        <v>53721</v>
      </c>
      <c r="B5576">
        <f t="shared" ca="1" si="430"/>
        <v>-21.024999999999999</v>
      </c>
      <c r="C5576" t="str">
        <f ca="1">IF(currency="USD",'Future et co'!D5576,IF(currency="EUR",'Future et co'!E5576,IF(currency="GBP",'Future et co'!F5576,FALSE)))</f>
        <v>RFR USD</v>
      </c>
      <c r="D5576" t="str">
        <f t="shared" ca="1" si="431"/>
        <v>RFR USD</v>
      </c>
      <c r="E5576" t="str">
        <f t="shared" ca="1" si="432"/>
        <v>RFR EUR</v>
      </c>
      <c r="F5576" t="str">
        <f t="shared" ca="1" si="433"/>
        <v>RFR GBP</v>
      </c>
    </row>
    <row r="5577" spans="1:6" x14ac:dyDescent="0.3">
      <c r="A5577" s="19">
        <f t="shared" si="434"/>
        <v>53722</v>
      </c>
      <c r="B5577">
        <f t="shared" ca="1" si="430"/>
        <v>-21.027777777777779</v>
      </c>
      <c r="C5577" t="str">
        <f ca="1">IF(currency="USD",'Future et co'!D5577,IF(currency="EUR",'Future et co'!E5577,IF(currency="GBP",'Future et co'!F5577,FALSE)))</f>
        <v>RFR USD</v>
      </c>
      <c r="D5577" t="str">
        <f t="shared" ca="1" si="431"/>
        <v>RFR USD</v>
      </c>
      <c r="E5577" t="str">
        <f t="shared" ca="1" si="432"/>
        <v>RFR EUR</v>
      </c>
      <c r="F5577" t="str">
        <f t="shared" ca="1" si="433"/>
        <v>RFR GBP</v>
      </c>
    </row>
    <row r="5578" spans="1:6" x14ac:dyDescent="0.3">
      <c r="A5578" s="19">
        <f t="shared" si="434"/>
        <v>53723</v>
      </c>
      <c r="B5578">
        <f t="shared" ca="1" si="430"/>
        <v>-21.030555555555555</v>
      </c>
      <c r="C5578" t="str">
        <f ca="1">IF(currency="USD",'Future et co'!D5578,IF(currency="EUR",'Future et co'!E5578,IF(currency="GBP",'Future et co'!F5578,FALSE)))</f>
        <v>RFR USD</v>
      </c>
      <c r="D5578" t="str">
        <f t="shared" ca="1" si="431"/>
        <v>RFR USD</v>
      </c>
      <c r="E5578" t="str">
        <f t="shared" ca="1" si="432"/>
        <v>RFR EUR</v>
      </c>
      <c r="F5578" t="str">
        <f t="shared" ca="1" si="433"/>
        <v>RFR GBP</v>
      </c>
    </row>
    <row r="5579" spans="1:6" x14ac:dyDescent="0.3">
      <c r="A5579" s="19">
        <f t="shared" si="434"/>
        <v>53724</v>
      </c>
      <c r="B5579">
        <f t="shared" ref="B5579:B5632" ca="1" si="435">($B$7-A5579)/360</f>
        <v>-21.033333333333335</v>
      </c>
      <c r="C5579" t="str">
        <f ca="1">IF(currency="USD",'Future et co'!D5579,IF(currency="EUR",'Future et co'!E5579,IF(currency="GBP",'Future et co'!F5579,FALSE)))</f>
        <v>RFR USD</v>
      </c>
      <c r="D5579" t="str">
        <f t="shared" ref="D5579:D5632" ca="1" si="436">IFERROR(IF(B5579&lt;0.25,VLOOKUP(A5579,$J$11:$L$5325,3,FALSE),IF(AND(B5579&gt;=0.25,B5579&lt;0.5),VLOOKUP(A5579,$N$11:$P$5325,3,FALSE),IF(AND(B5579&gt;=0.5,B5579&lt;1),VLOOKUP(A5579,$R$11:$T$5325,3,FALSE),VLOOKUP(A5579,$V$11:$X$5010,3,FALSE)))),D5578)</f>
        <v>RFR USD</v>
      </c>
      <c r="E5579" t="str">
        <f t="shared" ref="E5579:E5632" ca="1" si="437">IFERROR(IF(B5579&lt;0.25,VLOOKUP(A5579,$AF$11:$AH$5325,3,FALSE),IF(AND(B5579&gt;=0.25,B5579&lt;0.5),VLOOKUP(A5579,$AJ$11:$AL$5325,3,FALSE),VLOOKUP(A5579,$AN$11:$AP$5325,3,FALSE))),E5578)</f>
        <v>RFR EUR</v>
      </c>
      <c r="F5579" t="str">
        <f t="shared" ref="F5579:F5632" ca="1" si="438">IFERROR(VLOOKUP(A5579,$AS$11:$AU$9999,3,FALSE),F5578)</f>
        <v>RFR GBP</v>
      </c>
    </row>
    <row r="5580" spans="1:6" x14ac:dyDescent="0.3">
      <c r="A5580" s="19">
        <f t="shared" si="434"/>
        <v>53727</v>
      </c>
      <c r="B5580">
        <f t="shared" ca="1" si="435"/>
        <v>-21.041666666666668</v>
      </c>
      <c r="C5580" t="str">
        <f ca="1">IF(currency="USD",'Future et co'!D5580,IF(currency="EUR",'Future et co'!E5580,IF(currency="GBP",'Future et co'!F5580,FALSE)))</f>
        <v>RFR USD</v>
      </c>
      <c r="D5580" t="str">
        <f t="shared" ca="1" si="436"/>
        <v>RFR USD</v>
      </c>
      <c r="E5580" t="str">
        <f t="shared" ca="1" si="437"/>
        <v>RFR EUR</v>
      </c>
      <c r="F5580" t="str">
        <f t="shared" ca="1" si="438"/>
        <v>RFR GBP</v>
      </c>
    </row>
    <row r="5581" spans="1:6" x14ac:dyDescent="0.3">
      <c r="A5581" s="19">
        <f t="shared" ref="A5581:A5632" si="439">WORKDAY(A5580,1)</f>
        <v>53728</v>
      </c>
      <c r="B5581">
        <f t="shared" ca="1" si="435"/>
        <v>-21.044444444444444</v>
      </c>
      <c r="C5581" t="str">
        <f ca="1">IF(currency="USD",'Future et co'!D5581,IF(currency="EUR",'Future et co'!E5581,IF(currency="GBP",'Future et co'!F5581,FALSE)))</f>
        <v>RFR USD</v>
      </c>
      <c r="D5581" t="str">
        <f t="shared" ca="1" si="436"/>
        <v>RFR USD</v>
      </c>
      <c r="E5581" t="str">
        <f t="shared" ca="1" si="437"/>
        <v>RFR EUR</v>
      </c>
      <c r="F5581" t="str">
        <f t="shared" ca="1" si="438"/>
        <v>RFR GBP</v>
      </c>
    </row>
    <row r="5582" spans="1:6" x14ac:dyDescent="0.3">
      <c r="A5582" s="19">
        <f t="shared" si="439"/>
        <v>53729</v>
      </c>
      <c r="B5582">
        <f t="shared" ca="1" si="435"/>
        <v>-21.047222222222221</v>
      </c>
      <c r="C5582" t="str">
        <f ca="1">IF(currency="USD",'Future et co'!D5582,IF(currency="EUR",'Future et co'!E5582,IF(currency="GBP",'Future et co'!F5582,FALSE)))</f>
        <v>RFR USD</v>
      </c>
      <c r="D5582" t="str">
        <f t="shared" ca="1" si="436"/>
        <v>RFR USD</v>
      </c>
      <c r="E5582" t="str">
        <f t="shared" ca="1" si="437"/>
        <v>RFR EUR</v>
      </c>
      <c r="F5582" t="str">
        <f t="shared" ca="1" si="438"/>
        <v>RFR GBP</v>
      </c>
    </row>
    <row r="5583" spans="1:6" x14ac:dyDescent="0.3">
      <c r="A5583" s="19">
        <f t="shared" si="439"/>
        <v>53730</v>
      </c>
      <c r="B5583">
        <f t="shared" ca="1" si="435"/>
        <v>-21.05</v>
      </c>
      <c r="C5583" t="str">
        <f ca="1">IF(currency="USD",'Future et co'!D5583,IF(currency="EUR",'Future et co'!E5583,IF(currency="GBP",'Future et co'!F5583,FALSE)))</f>
        <v>RFR USD</v>
      </c>
      <c r="D5583" t="str">
        <f t="shared" ca="1" si="436"/>
        <v>RFR USD</v>
      </c>
      <c r="E5583" t="str">
        <f t="shared" ca="1" si="437"/>
        <v>RFR EUR</v>
      </c>
      <c r="F5583" t="str">
        <f t="shared" ca="1" si="438"/>
        <v>RFR GBP</v>
      </c>
    </row>
    <row r="5584" spans="1:6" x14ac:dyDescent="0.3">
      <c r="A5584" s="19">
        <f t="shared" si="439"/>
        <v>53731</v>
      </c>
      <c r="B5584">
        <f t="shared" ca="1" si="435"/>
        <v>-21.052777777777777</v>
      </c>
      <c r="C5584" t="str">
        <f ca="1">IF(currency="USD",'Future et co'!D5584,IF(currency="EUR",'Future et co'!E5584,IF(currency="GBP",'Future et co'!F5584,FALSE)))</f>
        <v>RFR USD</v>
      </c>
      <c r="D5584" t="str">
        <f t="shared" ca="1" si="436"/>
        <v>RFR USD</v>
      </c>
      <c r="E5584" t="str">
        <f t="shared" ca="1" si="437"/>
        <v>RFR EUR</v>
      </c>
      <c r="F5584" t="str">
        <f t="shared" ca="1" si="438"/>
        <v>RFR GBP</v>
      </c>
    </row>
    <row r="5585" spans="1:6" x14ac:dyDescent="0.3">
      <c r="A5585" s="19">
        <f t="shared" si="439"/>
        <v>53734</v>
      </c>
      <c r="B5585">
        <f t="shared" ca="1" si="435"/>
        <v>-21.06111111111111</v>
      </c>
      <c r="C5585" t="str">
        <f ca="1">IF(currency="USD",'Future et co'!D5585,IF(currency="EUR",'Future et co'!E5585,IF(currency="GBP",'Future et co'!F5585,FALSE)))</f>
        <v>RFR USD</v>
      </c>
      <c r="D5585" t="str">
        <f t="shared" ca="1" si="436"/>
        <v>RFR USD</v>
      </c>
      <c r="E5585" t="str">
        <f t="shared" ca="1" si="437"/>
        <v>RFR EUR</v>
      </c>
      <c r="F5585" t="str">
        <f t="shared" ca="1" si="438"/>
        <v>RFR GBP</v>
      </c>
    </row>
    <row r="5586" spans="1:6" x14ac:dyDescent="0.3">
      <c r="A5586" s="19">
        <f t="shared" si="439"/>
        <v>53735</v>
      </c>
      <c r="B5586">
        <f t="shared" ca="1" si="435"/>
        <v>-21.06388888888889</v>
      </c>
      <c r="C5586" t="str">
        <f ca="1">IF(currency="USD",'Future et co'!D5586,IF(currency="EUR",'Future et co'!E5586,IF(currency="GBP",'Future et co'!F5586,FALSE)))</f>
        <v>RFR USD</v>
      </c>
      <c r="D5586" t="str">
        <f t="shared" ca="1" si="436"/>
        <v>RFR USD</v>
      </c>
      <c r="E5586" t="str">
        <f t="shared" ca="1" si="437"/>
        <v>RFR EUR</v>
      </c>
      <c r="F5586" t="str">
        <f t="shared" ca="1" si="438"/>
        <v>RFR GBP</v>
      </c>
    </row>
    <row r="5587" spans="1:6" x14ac:dyDescent="0.3">
      <c r="A5587" s="19">
        <f t="shared" si="439"/>
        <v>53736</v>
      </c>
      <c r="B5587">
        <f t="shared" ca="1" si="435"/>
        <v>-21.066666666666666</v>
      </c>
      <c r="C5587" t="str">
        <f ca="1">IF(currency="USD",'Future et co'!D5587,IF(currency="EUR",'Future et co'!E5587,IF(currency="GBP",'Future et co'!F5587,FALSE)))</f>
        <v>RFR USD</v>
      </c>
      <c r="D5587" t="str">
        <f t="shared" ca="1" si="436"/>
        <v>RFR USD</v>
      </c>
      <c r="E5587" t="str">
        <f t="shared" ca="1" si="437"/>
        <v>RFR EUR</v>
      </c>
      <c r="F5587" t="str">
        <f t="shared" ca="1" si="438"/>
        <v>RFR GBP</v>
      </c>
    </row>
    <row r="5588" spans="1:6" x14ac:dyDescent="0.3">
      <c r="A5588" s="19">
        <f t="shared" si="439"/>
        <v>53737</v>
      </c>
      <c r="B5588">
        <f t="shared" ca="1" si="435"/>
        <v>-21.069444444444443</v>
      </c>
      <c r="C5588" t="str">
        <f ca="1">IF(currency="USD",'Future et co'!D5588,IF(currency="EUR",'Future et co'!E5588,IF(currency="GBP",'Future et co'!F5588,FALSE)))</f>
        <v>RFR USD</v>
      </c>
      <c r="D5588" t="str">
        <f t="shared" ca="1" si="436"/>
        <v>RFR USD</v>
      </c>
      <c r="E5588" t="str">
        <f t="shared" ca="1" si="437"/>
        <v>RFR EUR</v>
      </c>
      <c r="F5588" t="str">
        <f t="shared" ca="1" si="438"/>
        <v>RFR GBP</v>
      </c>
    </row>
    <row r="5589" spans="1:6" x14ac:dyDescent="0.3">
      <c r="A5589" s="19">
        <f t="shared" si="439"/>
        <v>53738</v>
      </c>
      <c r="B5589">
        <f t="shared" ca="1" si="435"/>
        <v>-21.072222222222223</v>
      </c>
      <c r="C5589" t="str">
        <f ca="1">IF(currency="USD",'Future et co'!D5589,IF(currency="EUR",'Future et co'!E5589,IF(currency="GBP",'Future et co'!F5589,FALSE)))</f>
        <v>RFR USD</v>
      </c>
      <c r="D5589" t="str">
        <f t="shared" ca="1" si="436"/>
        <v>RFR USD</v>
      </c>
      <c r="E5589" t="str">
        <f t="shared" ca="1" si="437"/>
        <v>RFR EUR</v>
      </c>
      <c r="F5589" t="str">
        <f t="shared" ca="1" si="438"/>
        <v>RFR GBP</v>
      </c>
    </row>
    <row r="5590" spans="1:6" x14ac:dyDescent="0.3">
      <c r="A5590" s="19">
        <f t="shared" si="439"/>
        <v>53741</v>
      </c>
      <c r="B5590">
        <f t="shared" ca="1" si="435"/>
        <v>-21.080555555555556</v>
      </c>
      <c r="C5590" t="str">
        <f ca="1">IF(currency="USD",'Future et co'!D5590,IF(currency="EUR",'Future et co'!E5590,IF(currency="GBP",'Future et co'!F5590,FALSE)))</f>
        <v>RFR USD</v>
      </c>
      <c r="D5590" t="str">
        <f t="shared" ca="1" si="436"/>
        <v>RFR USD</v>
      </c>
      <c r="E5590" t="str">
        <f t="shared" ca="1" si="437"/>
        <v>RFR EUR</v>
      </c>
      <c r="F5590" t="str">
        <f t="shared" ca="1" si="438"/>
        <v>RFR GBP</v>
      </c>
    </row>
    <row r="5591" spans="1:6" x14ac:dyDescent="0.3">
      <c r="A5591" s="19">
        <f t="shared" si="439"/>
        <v>53742</v>
      </c>
      <c r="B5591">
        <f t="shared" ca="1" si="435"/>
        <v>-21.083333333333332</v>
      </c>
      <c r="C5591" t="str">
        <f ca="1">IF(currency="USD",'Future et co'!D5591,IF(currency="EUR",'Future et co'!E5591,IF(currency="GBP",'Future et co'!F5591,FALSE)))</f>
        <v>RFR USD</v>
      </c>
      <c r="D5591" t="str">
        <f t="shared" ca="1" si="436"/>
        <v>RFR USD</v>
      </c>
      <c r="E5591" t="str">
        <f t="shared" ca="1" si="437"/>
        <v>RFR EUR</v>
      </c>
      <c r="F5591" t="str">
        <f t="shared" ca="1" si="438"/>
        <v>RFR GBP</v>
      </c>
    </row>
    <row r="5592" spans="1:6" x14ac:dyDescent="0.3">
      <c r="A5592" s="19">
        <f t="shared" si="439"/>
        <v>53743</v>
      </c>
      <c r="B5592">
        <f t="shared" ca="1" si="435"/>
        <v>-21.086111111111112</v>
      </c>
      <c r="C5592" t="str">
        <f ca="1">IF(currency="USD",'Future et co'!D5592,IF(currency="EUR",'Future et co'!E5592,IF(currency="GBP",'Future et co'!F5592,FALSE)))</f>
        <v>RFR USD</v>
      </c>
      <c r="D5592" t="str">
        <f t="shared" ca="1" si="436"/>
        <v>RFR USD</v>
      </c>
      <c r="E5592" t="str">
        <f t="shared" ca="1" si="437"/>
        <v>RFR EUR</v>
      </c>
      <c r="F5592" t="str">
        <f t="shared" ca="1" si="438"/>
        <v>RFR GBP</v>
      </c>
    </row>
    <row r="5593" spans="1:6" x14ac:dyDescent="0.3">
      <c r="A5593" s="19">
        <f t="shared" si="439"/>
        <v>53744</v>
      </c>
      <c r="B5593">
        <f t="shared" ca="1" si="435"/>
        <v>-21.088888888888889</v>
      </c>
      <c r="C5593" t="str">
        <f ca="1">IF(currency="USD",'Future et co'!D5593,IF(currency="EUR",'Future et co'!E5593,IF(currency="GBP",'Future et co'!F5593,FALSE)))</f>
        <v>RFR USD</v>
      </c>
      <c r="D5593" t="str">
        <f t="shared" ca="1" si="436"/>
        <v>RFR USD</v>
      </c>
      <c r="E5593" t="str">
        <f t="shared" ca="1" si="437"/>
        <v>RFR EUR</v>
      </c>
      <c r="F5593" t="str">
        <f t="shared" ca="1" si="438"/>
        <v>RFR GBP</v>
      </c>
    </row>
    <row r="5594" spans="1:6" x14ac:dyDescent="0.3">
      <c r="A5594" s="19">
        <f t="shared" si="439"/>
        <v>53745</v>
      </c>
      <c r="B5594">
        <f t="shared" ca="1" si="435"/>
        <v>-21.091666666666665</v>
      </c>
      <c r="C5594" t="str">
        <f ca="1">IF(currency="USD",'Future et co'!D5594,IF(currency="EUR",'Future et co'!E5594,IF(currency="GBP",'Future et co'!F5594,FALSE)))</f>
        <v>RFR USD</v>
      </c>
      <c r="D5594" t="str">
        <f t="shared" ca="1" si="436"/>
        <v>RFR USD</v>
      </c>
      <c r="E5594" t="str">
        <f t="shared" ca="1" si="437"/>
        <v>RFR EUR</v>
      </c>
      <c r="F5594" t="str">
        <f t="shared" ca="1" si="438"/>
        <v>RFR GBP</v>
      </c>
    </row>
    <row r="5595" spans="1:6" x14ac:dyDescent="0.3">
      <c r="A5595" s="19">
        <f t="shared" si="439"/>
        <v>53748</v>
      </c>
      <c r="B5595">
        <f t="shared" ca="1" si="435"/>
        <v>-21.1</v>
      </c>
      <c r="C5595" t="str">
        <f ca="1">IF(currency="USD",'Future et co'!D5595,IF(currency="EUR",'Future et co'!E5595,IF(currency="GBP",'Future et co'!F5595,FALSE)))</f>
        <v>RFR USD</v>
      </c>
      <c r="D5595" t="str">
        <f t="shared" ca="1" si="436"/>
        <v>RFR USD</v>
      </c>
      <c r="E5595" t="str">
        <f t="shared" ca="1" si="437"/>
        <v>RFR EUR</v>
      </c>
      <c r="F5595" t="str">
        <f t="shared" ca="1" si="438"/>
        <v>RFR GBP</v>
      </c>
    </row>
    <row r="5596" spans="1:6" x14ac:dyDescent="0.3">
      <c r="A5596" s="19">
        <f t="shared" si="439"/>
        <v>53749</v>
      </c>
      <c r="B5596">
        <f t="shared" ca="1" si="435"/>
        <v>-21.102777777777778</v>
      </c>
      <c r="C5596" t="str">
        <f ca="1">IF(currency="USD",'Future et co'!D5596,IF(currency="EUR",'Future et co'!E5596,IF(currency="GBP",'Future et co'!F5596,FALSE)))</f>
        <v>RFR USD</v>
      </c>
      <c r="D5596" t="str">
        <f t="shared" ca="1" si="436"/>
        <v>RFR USD</v>
      </c>
      <c r="E5596" t="str">
        <f t="shared" ca="1" si="437"/>
        <v>RFR EUR</v>
      </c>
      <c r="F5596" t="str">
        <f t="shared" ca="1" si="438"/>
        <v>RFR GBP</v>
      </c>
    </row>
    <row r="5597" spans="1:6" x14ac:dyDescent="0.3">
      <c r="A5597" s="19">
        <f t="shared" si="439"/>
        <v>53750</v>
      </c>
      <c r="B5597">
        <f t="shared" ca="1" si="435"/>
        <v>-21.105555555555554</v>
      </c>
      <c r="C5597" t="str">
        <f ca="1">IF(currency="USD",'Future et co'!D5597,IF(currency="EUR",'Future et co'!E5597,IF(currency="GBP",'Future et co'!F5597,FALSE)))</f>
        <v>RFR USD</v>
      </c>
      <c r="D5597" t="str">
        <f t="shared" ca="1" si="436"/>
        <v>RFR USD</v>
      </c>
      <c r="E5597" t="str">
        <f t="shared" ca="1" si="437"/>
        <v>RFR EUR</v>
      </c>
      <c r="F5597" t="str">
        <f t="shared" ca="1" si="438"/>
        <v>RFR GBP</v>
      </c>
    </row>
    <row r="5598" spans="1:6" x14ac:dyDescent="0.3">
      <c r="A5598" s="19">
        <f t="shared" si="439"/>
        <v>53751</v>
      </c>
      <c r="B5598">
        <f t="shared" ca="1" si="435"/>
        <v>-21.108333333333334</v>
      </c>
      <c r="C5598" t="str">
        <f ca="1">IF(currency="USD",'Future et co'!D5598,IF(currency="EUR",'Future et co'!E5598,IF(currency="GBP",'Future et co'!F5598,FALSE)))</f>
        <v>RFR USD</v>
      </c>
      <c r="D5598" t="str">
        <f t="shared" ca="1" si="436"/>
        <v>RFR USD</v>
      </c>
      <c r="E5598" t="str">
        <f t="shared" ca="1" si="437"/>
        <v>RFR EUR</v>
      </c>
      <c r="F5598" t="str">
        <f t="shared" ca="1" si="438"/>
        <v>RFR GBP</v>
      </c>
    </row>
    <row r="5599" spans="1:6" x14ac:dyDescent="0.3">
      <c r="A5599" s="19">
        <f t="shared" si="439"/>
        <v>53752</v>
      </c>
      <c r="B5599">
        <f t="shared" ca="1" si="435"/>
        <v>-21.111111111111111</v>
      </c>
      <c r="C5599" t="str">
        <f ca="1">IF(currency="USD",'Future et co'!D5599,IF(currency="EUR",'Future et co'!E5599,IF(currency="GBP",'Future et co'!F5599,FALSE)))</f>
        <v>RFR USD</v>
      </c>
      <c r="D5599" t="str">
        <f t="shared" ca="1" si="436"/>
        <v>RFR USD</v>
      </c>
      <c r="E5599" t="str">
        <f t="shared" ca="1" si="437"/>
        <v>RFR EUR</v>
      </c>
      <c r="F5599" t="str">
        <f t="shared" ca="1" si="438"/>
        <v>RFR GBP</v>
      </c>
    </row>
    <row r="5600" spans="1:6" x14ac:dyDescent="0.3">
      <c r="A5600" s="19">
        <f t="shared" si="439"/>
        <v>53755</v>
      </c>
      <c r="B5600">
        <f t="shared" ca="1" si="435"/>
        <v>-21.119444444444444</v>
      </c>
      <c r="C5600" t="str">
        <f ca="1">IF(currency="USD",'Future et co'!D5600,IF(currency="EUR",'Future et co'!E5600,IF(currency="GBP",'Future et co'!F5600,FALSE)))</f>
        <v>RFR USD</v>
      </c>
      <c r="D5600" t="str">
        <f t="shared" ca="1" si="436"/>
        <v>RFR USD</v>
      </c>
      <c r="E5600" t="str">
        <f t="shared" ca="1" si="437"/>
        <v>RFR EUR</v>
      </c>
      <c r="F5600" t="str">
        <f t="shared" ca="1" si="438"/>
        <v>RFR GBP</v>
      </c>
    </row>
    <row r="5601" spans="1:6" x14ac:dyDescent="0.3">
      <c r="A5601" s="19">
        <f t="shared" si="439"/>
        <v>53756</v>
      </c>
      <c r="B5601">
        <f t="shared" ca="1" si="435"/>
        <v>-21.122222222222224</v>
      </c>
      <c r="C5601" t="str">
        <f ca="1">IF(currency="USD",'Future et co'!D5601,IF(currency="EUR",'Future et co'!E5601,IF(currency="GBP",'Future et co'!F5601,FALSE)))</f>
        <v>RFR USD</v>
      </c>
      <c r="D5601" t="str">
        <f t="shared" ca="1" si="436"/>
        <v>RFR USD</v>
      </c>
      <c r="E5601" t="str">
        <f t="shared" ca="1" si="437"/>
        <v>RFR EUR</v>
      </c>
      <c r="F5601" t="str">
        <f t="shared" ca="1" si="438"/>
        <v>RFR GBP</v>
      </c>
    </row>
    <row r="5602" spans="1:6" x14ac:dyDescent="0.3">
      <c r="A5602" s="19">
        <f t="shared" si="439"/>
        <v>53757</v>
      </c>
      <c r="B5602">
        <f t="shared" ca="1" si="435"/>
        <v>-21.125</v>
      </c>
      <c r="C5602" t="str">
        <f ca="1">IF(currency="USD",'Future et co'!D5602,IF(currency="EUR",'Future et co'!E5602,IF(currency="GBP",'Future et co'!F5602,FALSE)))</f>
        <v>RFR USD</v>
      </c>
      <c r="D5602" t="str">
        <f t="shared" ca="1" si="436"/>
        <v>RFR USD</v>
      </c>
      <c r="E5602" t="str">
        <f t="shared" ca="1" si="437"/>
        <v>RFR EUR</v>
      </c>
      <c r="F5602" t="str">
        <f t="shared" ca="1" si="438"/>
        <v>RFR GBP</v>
      </c>
    </row>
    <row r="5603" spans="1:6" x14ac:dyDescent="0.3">
      <c r="A5603" s="19">
        <f t="shared" si="439"/>
        <v>53758</v>
      </c>
      <c r="B5603">
        <f t="shared" ca="1" si="435"/>
        <v>-21.127777777777776</v>
      </c>
      <c r="C5603" t="str">
        <f ca="1">IF(currency="USD",'Future et co'!D5603,IF(currency="EUR",'Future et co'!E5603,IF(currency="GBP",'Future et co'!F5603,FALSE)))</f>
        <v>RFR USD</v>
      </c>
      <c r="D5603" t="str">
        <f t="shared" ca="1" si="436"/>
        <v>RFR USD</v>
      </c>
      <c r="E5603" t="str">
        <f t="shared" ca="1" si="437"/>
        <v>RFR EUR</v>
      </c>
      <c r="F5603" t="str">
        <f t="shared" ca="1" si="438"/>
        <v>RFR GBP</v>
      </c>
    </row>
    <row r="5604" spans="1:6" x14ac:dyDescent="0.3">
      <c r="A5604" s="19">
        <f t="shared" si="439"/>
        <v>53759</v>
      </c>
      <c r="B5604">
        <f t="shared" ca="1" si="435"/>
        <v>-21.130555555555556</v>
      </c>
      <c r="C5604" t="str">
        <f ca="1">IF(currency="USD",'Future et co'!D5604,IF(currency="EUR",'Future et co'!E5604,IF(currency="GBP",'Future et co'!F5604,FALSE)))</f>
        <v>RFR USD</v>
      </c>
      <c r="D5604" t="str">
        <f t="shared" ca="1" si="436"/>
        <v>RFR USD</v>
      </c>
      <c r="E5604" t="str">
        <f t="shared" ca="1" si="437"/>
        <v>RFR EUR</v>
      </c>
      <c r="F5604" t="str">
        <f t="shared" ca="1" si="438"/>
        <v>RFR GBP</v>
      </c>
    </row>
    <row r="5605" spans="1:6" x14ac:dyDescent="0.3">
      <c r="A5605" s="19">
        <f t="shared" si="439"/>
        <v>53762</v>
      </c>
      <c r="B5605">
        <f t="shared" ca="1" si="435"/>
        <v>-21.138888888888889</v>
      </c>
      <c r="C5605" t="str">
        <f ca="1">IF(currency="USD",'Future et co'!D5605,IF(currency="EUR",'Future et co'!E5605,IF(currency="GBP",'Future et co'!F5605,FALSE)))</f>
        <v>RFR USD</v>
      </c>
      <c r="D5605" t="str">
        <f t="shared" ca="1" si="436"/>
        <v>RFR USD</v>
      </c>
      <c r="E5605" t="str">
        <f t="shared" ca="1" si="437"/>
        <v>RFR EUR</v>
      </c>
      <c r="F5605" t="str">
        <f t="shared" ca="1" si="438"/>
        <v>RFR GBP</v>
      </c>
    </row>
    <row r="5606" spans="1:6" x14ac:dyDescent="0.3">
      <c r="A5606" s="19">
        <f t="shared" si="439"/>
        <v>53763</v>
      </c>
      <c r="B5606">
        <f t="shared" ca="1" si="435"/>
        <v>-21.141666666666666</v>
      </c>
      <c r="C5606" t="str">
        <f ca="1">IF(currency="USD",'Future et co'!D5606,IF(currency="EUR",'Future et co'!E5606,IF(currency="GBP",'Future et co'!F5606,FALSE)))</f>
        <v>RFR USD</v>
      </c>
      <c r="D5606" t="str">
        <f t="shared" ca="1" si="436"/>
        <v>RFR USD</v>
      </c>
      <c r="E5606" t="str">
        <f t="shared" ca="1" si="437"/>
        <v>RFR EUR</v>
      </c>
      <c r="F5606" t="str">
        <f t="shared" ca="1" si="438"/>
        <v>RFR GBP</v>
      </c>
    </row>
    <row r="5607" spans="1:6" x14ac:dyDescent="0.3">
      <c r="A5607" s="19">
        <f t="shared" si="439"/>
        <v>53764</v>
      </c>
      <c r="B5607">
        <f t="shared" ca="1" si="435"/>
        <v>-21.144444444444446</v>
      </c>
      <c r="C5607" t="str">
        <f ca="1">IF(currency="USD",'Future et co'!D5607,IF(currency="EUR",'Future et co'!E5607,IF(currency="GBP",'Future et co'!F5607,FALSE)))</f>
        <v>RFR USD</v>
      </c>
      <c r="D5607" t="str">
        <f t="shared" ca="1" si="436"/>
        <v>RFR USD</v>
      </c>
      <c r="E5607" t="str">
        <f t="shared" ca="1" si="437"/>
        <v>RFR EUR</v>
      </c>
      <c r="F5607" t="str">
        <f t="shared" ca="1" si="438"/>
        <v>RFR GBP</v>
      </c>
    </row>
    <row r="5608" spans="1:6" x14ac:dyDescent="0.3">
      <c r="A5608" s="19">
        <f t="shared" si="439"/>
        <v>53765</v>
      </c>
      <c r="B5608">
        <f t="shared" ca="1" si="435"/>
        <v>-21.147222222222222</v>
      </c>
      <c r="C5608" t="str">
        <f ca="1">IF(currency="USD",'Future et co'!D5608,IF(currency="EUR",'Future et co'!E5608,IF(currency="GBP",'Future et co'!F5608,FALSE)))</f>
        <v>RFR USD</v>
      </c>
      <c r="D5608" t="str">
        <f t="shared" ca="1" si="436"/>
        <v>RFR USD</v>
      </c>
      <c r="E5608" t="str">
        <f t="shared" ca="1" si="437"/>
        <v>RFR EUR</v>
      </c>
      <c r="F5608" t="str">
        <f t="shared" ca="1" si="438"/>
        <v>RFR GBP</v>
      </c>
    </row>
    <row r="5609" spans="1:6" x14ac:dyDescent="0.3">
      <c r="A5609" s="19">
        <f t="shared" si="439"/>
        <v>53766</v>
      </c>
      <c r="B5609">
        <f t="shared" ca="1" si="435"/>
        <v>-21.15</v>
      </c>
      <c r="C5609" t="str">
        <f ca="1">IF(currency="USD",'Future et co'!D5609,IF(currency="EUR",'Future et co'!E5609,IF(currency="GBP",'Future et co'!F5609,FALSE)))</f>
        <v>RFR USD</v>
      </c>
      <c r="D5609" t="str">
        <f t="shared" ca="1" si="436"/>
        <v>RFR USD</v>
      </c>
      <c r="E5609" t="str">
        <f t="shared" ca="1" si="437"/>
        <v>RFR EUR</v>
      </c>
      <c r="F5609" t="str">
        <f t="shared" ca="1" si="438"/>
        <v>RFR GBP</v>
      </c>
    </row>
    <row r="5610" spans="1:6" x14ac:dyDescent="0.3">
      <c r="A5610" s="19">
        <f t="shared" si="439"/>
        <v>53769</v>
      </c>
      <c r="B5610">
        <f t="shared" ca="1" si="435"/>
        <v>-21.158333333333335</v>
      </c>
      <c r="C5610" t="str">
        <f ca="1">IF(currency="USD",'Future et co'!D5610,IF(currency="EUR",'Future et co'!E5610,IF(currency="GBP",'Future et co'!F5610,FALSE)))</f>
        <v>RFR USD</v>
      </c>
      <c r="D5610" t="str">
        <f t="shared" ca="1" si="436"/>
        <v>RFR USD</v>
      </c>
      <c r="E5610" t="str">
        <f t="shared" ca="1" si="437"/>
        <v>RFR EUR</v>
      </c>
      <c r="F5610" t="str">
        <f t="shared" ca="1" si="438"/>
        <v>RFR GBP</v>
      </c>
    </row>
    <row r="5611" spans="1:6" x14ac:dyDescent="0.3">
      <c r="A5611" s="19">
        <f t="shared" si="439"/>
        <v>53770</v>
      </c>
      <c r="B5611">
        <f t="shared" ca="1" si="435"/>
        <v>-21.161111111111111</v>
      </c>
      <c r="C5611" t="str">
        <f ca="1">IF(currency="USD",'Future et co'!D5611,IF(currency="EUR",'Future et co'!E5611,IF(currency="GBP",'Future et co'!F5611,FALSE)))</f>
        <v>RFR USD</v>
      </c>
      <c r="D5611" t="str">
        <f t="shared" ca="1" si="436"/>
        <v>RFR USD</v>
      </c>
      <c r="E5611" t="str">
        <f t="shared" ca="1" si="437"/>
        <v>RFR EUR</v>
      </c>
      <c r="F5611" t="str">
        <f t="shared" ca="1" si="438"/>
        <v>RFR GBP</v>
      </c>
    </row>
    <row r="5612" spans="1:6" x14ac:dyDescent="0.3">
      <c r="A5612" s="19">
        <f t="shared" si="439"/>
        <v>53771</v>
      </c>
      <c r="B5612">
        <f t="shared" ca="1" si="435"/>
        <v>-21.163888888888888</v>
      </c>
      <c r="C5612" t="str">
        <f ca="1">IF(currency="USD",'Future et co'!D5612,IF(currency="EUR",'Future et co'!E5612,IF(currency="GBP",'Future et co'!F5612,FALSE)))</f>
        <v>RFR USD</v>
      </c>
      <c r="D5612" t="str">
        <f t="shared" ca="1" si="436"/>
        <v>RFR USD</v>
      </c>
      <c r="E5612" t="str">
        <f t="shared" ca="1" si="437"/>
        <v>RFR EUR</v>
      </c>
      <c r="F5612" t="str">
        <f t="shared" ca="1" si="438"/>
        <v>RFR GBP</v>
      </c>
    </row>
    <row r="5613" spans="1:6" x14ac:dyDescent="0.3">
      <c r="A5613" s="19">
        <f t="shared" si="439"/>
        <v>53772</v>
      </c>
      <c r="B5613">
        <f t="shared" ca="1" si="435"/>
        <v>-21.166666666666668</v>
      </c>
      <c r="C5613" t="str">
        <f ca="1">IF(currency="USD",'Future et co'!D5613,IF(currency="EUR",'Future et co'!E5613,IF(currency="GBP",'Future et co'!F5613,FALSE)))</f>
        <v>RFR USD</v>
      </c>
      <c r="D5613" t="str">
        <f t="shared" ca="1" si="436"/>
        <v>RFR USD</v>
      </c>
      <c r="E5613" t="str">
        <f t="shared" ca="1" si="437"/>
        <v>RFR EUR</v>
      </c>
      <c r="F5613" t="str">
        <f t="shared" ca="1" si="438"/>
        <v>RFR GBP</v>
      </c>
    </row>
    <row r="5614" spans="1:6" x14ac:dyDescent="0.3">
      <c r="A5614" s="19">
        <f t="shared" si="439"/>
        <v>53773</v>
      </c>
      <c r="B5614">
        <f t="shared" ca="1" si="435"/>
        <v>-21.169444444444444</v>
      </c>
      <c r="C5614" t="str">
        <f ca="1">IF(currency="USD",'Future et co'!D5614,IF(currency="EUR",'Future et co'!E5614,IF(currency="GBP",'Future et co'!F5614,FALSE)))</f>
        <v>RFR USD</v>
      </c>
      <c r="D5614" t="str">
        <f t="shared" ca="1" si="436"/>
        <v>RFR USD</v>
      </c>
      <c r="E5614" t="str">
        <f t="shared" ca="1" si="437"/>
        <v>RFR EUR</v>
      </c>
      <c r="F5614" t="str">
        <f t="shared" ca="1" si="438"/>
        <v>RFR GBP</v>
      </c>
    </row>
    <row r="5615" spans="1:6" x14ac:dyDescent="0.3">
      <c r="A5615" s="19">
        <f t="shared" si="439"/>
        <v>53776</v>
      </c>
      <c r="B5615">
        <f t="shared" ca="1" si="435"/>
        <v>-21.177777777777777</v>
      </c>
      <c r="C5615" t="str">
        <f ca="1">IF(currency="USD",'Future et co'!D5615,IF(currency="EUR",'Future et co'!E5615,IF(currency="GBP",'Future et co'!F5615,FALSE)))</f>
        <v>RFR USD</v>
      </c>
      <c r="D5615" t="str">
        <f t="shared" ca="1" si="436"/>
        <v>RFR USD</v>
      </c>
      <c r="E5615" t="str">
        <f t="shared" ca="1" si="437"/>
        <v>RFR EUR</v>
      </c>
      <c r="F5615" t="str">
        <f t="shared" ca="1" si="438"/>
        <v>RFR GBP</v>
      </c>
    </row>
    <row r="5616" spans="1:6" x14ac:dyDescent="0.3">
      <c r="A5616" s="19">
        <f t="shared" si="439"/>
        <v>53777</v>
      </c>
      <c r="B5616">
        <f t="shared" ca="1" si="435"/>
        <v>-21.180555555555557</v>
      </c>
      <c r="C5616" t="str">
        <f ca="1">IF(currency="USD",'Future et co'!D5616,IF(currency="EUR",'Future et co'!E5616,IF(currency="GBP",'Future et co'!F5616,FALSE)))</f>
        <v>RFR USD</v>
      </c>
      <c r="D5616" t="str">
        <f t="shared" ca="1" si="436"/>
        <v>RFR USD</v>
      </c>
      <c r="E5616" t="str">
        <f t="shared" ca="1" si="437"/>
        <v>RFR EUR</v>
      </c>
      <c r="F5616" t="str">
        <f t="shared" ca="1" si="438"/>
        <v>RFR GBP</v>
      </c>
    </row>
    <row r="5617" spans="1:6" x14ac:dyDescent="0.3">
      <c r="A5617" s="19">
        <f t="shared" si="439"/>
        <v>53778</v>
      </c>
      <c r="B5617">
        <f t="shared" ca="1" si="435"/>
        <v>-21.183333333333334</v>
      </c>
      <c r="C5617" t="str">
        <f ca="1">IF(currency="USD",'Future et co'!D5617,IF(currency="EUR",'Future et co'!E5617,IF(currency="GBP",'Future et co'!F5617,FALSE)))</f>
        <v>RFR USD</v>
      </c>
      <c r="D5617" t="str">
        <f t="shared" ca="1" si="436"/>
        <v>RFR USD</v>
      </c>
      <c r="E5617" t="str">
        <f t="shared" ca="1" si="437"/>
        <v>RFR EUR</v>
      </c>
      <c r="F5617" t="str">
        <f t="shared" ca="1" si="438"/>
        <v>RFR GBP</v>
      </c>
    </row>
    <row r="5618" spans="1:6" x14ac:dyDescent="0.3">
      <c r="A5618" s="19">
        <f t="shared" si="439"/>
        <v>53779</v>
      </c>
      <c r="B5618">
        <f t="shared" ca="1" si="435"/>
        <v>-21.18611111111111</v>
      </c>
      <c r="C5618" t="str">
        <f ca="1">IF(currency="USD",'Future et co'!D5618,IF(currency="EUR",'Future et co'!E5618,IF(currency="GBP",'Future et co'!F5618,FALSE)))</f>
        <v>RFR USD</v>
      </c>
      <c r="D5618" t="str">
        <f t="shared" ca="1" si="436"/>
        <v>RFR USD</v>
      </c>
      <c r="E5618" t="str">
        <f t="shared" ca="1" si="437"/>
        <v>RFR EUR</v>
      </c>
      <c r="F5618" t="str">
        <f t="shared" ca="1" si="438"/>
        <v>RFR GBP</v>
      </c>
    </row>
    <row r="5619" spans="1:6" x14ac:dyDescent="0.3">
      <c r="A5619" s="19">
        <f t="shared" si="439"/>
        <v>53780</v>
      </c>
      <c r="B5619">
        <f t="shared" ca="1" si="435"/>
        <v>-21.18888888888889</v>
      </c>
      <c r="C5619" t="str">
        <f ca="1">IF(currency="USD",'Future et co'!D5619,IF(currency="EUR",'Future et co'!E5619,IF(currency="GBP",'Future et co'!F5619,FALSE)))</f>
        <v>RFR USD</v>
      </c>
      <c r="D5619" t="str">
        <f t="shared" ca="1" si="436"/>
        <v>RFR USD</v>
      </c>
      <c r="E5619" t="str">
        <f t="shared" ca="1" si="437"/>
        <v>RFR EUR</v>
      </c>
      <c r="F5619" t="str">
        <f t="shared" ca="1" si="438"/>
        <v>RFR GBP</v>
      </c>
    </row>
    <row r="5620" spans="1:6" x14ac:dyDescent="0.3">
      <c r="A5620" s="19">
        <f t="shared" si="439"/>
        <v>53783</v>
      </c>
      <c r="B5620">
        <f t="shared" ca="1" si="435"/>
        <v>-21.197222222222223</v>
      </c>
      <c r="C5620" t="str">
        <f ca="1">IF(currency="USD",'Future et co'!D5620,IF(currency="EUR",'Future et co'!E5620,IF(currency="GBP",'Future et co'!F5620,FALSE)))</f>
        <v>RFR USD</v>
      </c>
      <c r="D5620" t="str">
        <f t="shared" ca="1" si="436"/>
        <v>RFR USD</v>
      </c>
      <c r="E5620" t="str">
        <f t="shared" ca="1" si="437"/>
        <v>RFR EUR</v>
      </c>
      <c r="F5620" t="str">
        <f t="shared" ca="1" si="438"/>
        <v>RFR GBP</v>
      </c>
    </row>
    <row r="5621" spans="1:6" x14ac:dyDescent="0.3">
      <c r="A5621" s="19">
        <f t="shared" si="439"/>
        <v>53784</v>
      </c>
      <c r="B5621">
        <f t="shared" ca="1" si="435"/>
        <v>-21.2</v>
      </c>
      <c r="C5621" t="str">
        <f ca="1">IF(currency="USD",'Future et co'!D5621,IF(currency="EUR",'Future et co'!E5621,IF(currency="GBP",'Future et co'!F5621,FALSE)))</f>
        <v>RFR USD</v>
      </c>
      <c r="D5621" t="str">
        <f t="shared" ca="1" si="436"/>
        <v>RFR USD</v>
      </c>
      <c r="E5621" t="str">
        <f t="shared" ca="1" si="437"/>
        <v>RFR EUR</v>
      </c>
      <c r="F5621" t="str">
        <f t="shared" ca="1" si="438"/>
        <v>RFR GBP</v>
      </c>
    </row>
    <row r="5622" spans="1:6" x14ac:dyDescent="0.3">
      <c r="A5622" s="19">
        <f t="shared" si="439"/>
        <v>53785</v>
      </c>
      <c r="B5622">
        <f t="shared" ca="1" si="435"/>
        <v>-21.202777777777779</v>
      </c>
      <c r="C5622" t="str">
        <f ca="1">IF(currency="USD",'Future et co'!D5622,IF(currency="EUR",'Future et co'!E5622,IF(currency="GBP",'Future et co'!F5622,FALSE)))</f>
        <v>RFR USD</v>
      </c>
      <c r="D5622" t="str">
        <f t="shared" ca="1" si="436"/>
        <v>RFR USD</v>
      </c>
      <c r="E5622" t="str">
        <f t="shared" ca="1" si="437"/>
        <v>RFR EUR</v>
      </c>
      <c r="F5622" t="str">
        <f t="shared" ca="1" si="438"/>
        <v>RFR GBP</v>
      </c>
    </row>
    <row r="5623" spans="1:6" x14ac:dyDescent="0.3">
      <c r="A5623" s="19">
        <f t="shared" si="439"/>
        <v>53786</v>
      </c>
      <c r="B5623">
        <f t="shared" ca="1" si="435"/>
        <v>-21.205555555555556</v>
      </c>
      <c r="C5623" t="str">
        <f ca="1">IF(currency="USD",'Future et co'!D5623,IF(currency="EUR",'Future et co'!E5623,IF(currency="GBP",'Future et co'!F5623,FALSE)))</f>
        <v>RFR USD</v>
      </c>
      <c r="D5623" t="str">
        <f t="shared" ca="1" si="436"/>
        <v>RFR USD</v>
      </c>
      <c r="E5623" t="str">
        <f t="shared" ca="1" si="437"/>
        <v>RFR EUR</v>
      </c>
      <c r="F5623" t="str">
        <f t="shared" ca="1" si="438"/>
        <v>RFR GBP</v>
      </c>
    </row>
    <row r="5624" spans="1:6" x14ac:dyDescent="0.3">
      <c r="A5624" s="19">
        <f t="shared" si="439"/>
        <v>53787</v>
      </c>
      <c r="B5624">
        <f t="shared" ca="1" si="435"/>
        <v>-21.208333333333332</v>
      </c>
      <c r="C5624" t="str">
        <f ca="1">IF(currency="USD",'Future et co'!D5624,IF(currency="EUR",'Future et co'!E5624,IF(currency="GBP",'Future et co'!F5624,FALSE)))</f>
        <v>RFR USD</v>
      </c>
      <c r="D5624" t="str">
        <f t="shared" ca="1" si="436"/>
        <v>RFR USD</v>
      </c>
      <c r="E5624" t="str">
        <f t="shared" ca="1" si="437"/>
        <v>RFR EUR</v>
      </c>
      <c r="F5624" t="str">
        <f t="shared" ca="1" si="438"/>
        <v>RFR GBP</v>
      </c>
    </row>
    <row r="5625" spans="1:6" x14ac:dyDescent="0.3">
      <c r="A5625" s="19">
        <f t="shared" si="439"/>
        <v>53790</v>
      </c>
      <c r="B5625">
        <f t="shared" ca="1" si="435"/>
        <v>-21.216666666666665</v>
      </c>
      <c r="C5625" t="str">
        <f ca="1">IF(currency="USD",'Future et co'!D5625,IF(currency="EUR",'Future et co'!E5625,IF(currency="GBP",'Future et co'!F5625,FALSE)))</f>
        <v>RFR USD</v>
      </c>
      <c r="D5625" t="str">
        <f t="shared" ca="1" si="436"/>
        <v>RFR USD</v>
      </c>
      <c r="E5625" t="str">
        <f t="shared" ca="1" si="437"/>
        <v>RFR EUR</v>
      </c>
      <c r="F5625" t="str">
        <f t="shared" ca="1" si="438"/>
        <v>RFR GBP</v>
      </c>
    </row>
    <row r="5626" spans="1:6" x14ac:dyDescent="0.3">
      <c r="A5626" s="19">
        <f t="shared" si="439"/>
        <v>53791</v>
      </c>
      <c r="B5626">
        <f t="shared" ca="1" si="435"/>
        <v>-21.219444444444445</v>
      </c>
      <c r="C5626" t="str">
        <f ca="1">IF(currency="USD",'Future et co'!D5626,IF(currency="EUR",'Future et co'!E5626,IF(currency="GBP",'Future et co'!F5626,FALSE)))</f>
        <v>RFR USD</v>
      </c>
      <c r="D5626" t="str">
        <f t="shared" ca="1" si="436"/>
        <v>RFR USD</v>
      </c>
      <c r="E5626" t="str">
        <f t="shared" ca="1" si="437"/>
        <v>RFR EUR</v>
      </c>
      <c r="F5626" t="str">
        <f t="shared" ca="1" si="438"/>
        <v>RFR GBP</v>
      </c>
    </row>
    <row r="5627" spans="1:6" x14ac:dyDescent="0.3">
      <c r="A5627" s="19">
        <f t="shared" si="439"/>
        <v>53792</v>
      </c>
      <c r="B5627">
        <f t="shared" ca="1" si="435"/>
        <v>-21.222222222222221</v>
      </c>
      <c r="C5627" t="str">
        <f ca="1">IF(currency="USD",'Future et co'!D5627,IF(currency="EUR",'Future et co'!E5627,IF(currency="GBP",'Future et co'!F5627,FALSE)))</f>
        <v>RFR USD</v>
      </c>
      <c r="D5627" t="str">
        <f t="shared" ca="1" si="436"/>
        <v>RFR USD</v>
      </c>
      <c r="E5627" t="str">
        <f t="shared" ca="1" si="437"/>
        <v>RFR EUR</v>
      </c>
      <c r="F5627" t="str">
        <f t="shared" ca="1" si="438"/>
        <v>RFR GBP</v>
      </c>
    </row>
    <row r="5628" spans="1:6" x14ac:dyDescent="0.3">
      <c r="A5628" s="19">
        <f t="shared" si="439"/>
        <v>53793</v>
      </c>
      <c r="B5628">
        <f t="shared" ca="1" si="435"/>
        <v>-21.225000000000001</v>
      </c>
      <c r="C5628" t="str">
        <f ca="1">IF(currency="USD",'Future et co'!D5628,IF(currency="EUR",'Future et co'!E5628,IF(currency="GBP",'Future et co'!F5628,FALSE)))</f>
        <v>RFR USD</v>
      </c>
      <c r="D5628" t="str">
        <f t="shared" ca="1" si="436"/>
        <v>RFR USD</v>
      </c>
      <c r="E5628" t="str">
        <f t="shared" ca="1" si="437"/>
        <v>RFR EUR</v>
      </c>
      <c r="F5628" t="str">
        <f t="shared" ca="1" si="438"/>
        <v>RFR GBP</v>
      </c>
    </row>
    <row r="5629" spans="1:6" x14ac:dyDescent="0.3">
      <c r="A5629" s="19">
        <f t="shared" si="439"/>
        <v>53794</v>
      </c>
      <c r="B5629">
        <f t="shared" ca="1" si="435"/>
        <v>-21.227777777777778</v>
      </c>
      <c r="C5629" t="str">
        <f ca="1">IF(currency="USD",'Future et co'!D5629,IF(currency="EUR",'Future et co'!E5629,IF(currency="GBP",'Future et co'!F5629,FALSE)))</f>
        <v>RFR USD</v>
      </c>
      <c r="D5629" t="str">
        <f t="shared" ca="1" si="436"/>
        <v>RFR USD</v>
      </c>
      <c r="E5629" t="str">
        <f t="shared" ca="1" si="437"/>
        <v>RFR EUR</v>
      </c>
      <c r="F5629" t="str">
        <f t="shared" ca="1" si="438"/>
        <v>RFR GBP</v>
      </c>
    </row>
    <row r="5630" spans="1:6" x14ac:dyDescent="0.3">
      <c r="A5630" s="19">
        <f t="shared" si="439"/>
        <v>53797</v>
      </c>
      <c r="B5630">
        <f t="shared" ca="1" si="435"/>
        <v>-21.236111111111111</v>
      </c>
      <c r="C5630" t="str">
        <f ca="1">IF(currency="USD",'Future et co'!D5630,IF(currency="EUR",'Future et co'!E5630,IF(currency="GBP",'Future et co'!F5630,FALSE)))</f>
        <v>RFR USD</v>
      </c>
      <c r="D5630" t="str">
        <f t="shared" ca="1" si="436"/>
        <v>RFR USD</v>
      </c>
      <c r="E5630" t="str">
        <f t="shared" ca="1" si="437"/>
        <v>RFR EUR</v>
      </c>
      <c r="F5630" t="str">
        <f t="shared" ca="1" si="438"/>
        <v>RFR GBP</v>
      </c>
    </row>
    <row r="5631" spans="1:6" x14ac:dyDescent="0.3">
      <c r="A5631" s="19">
        <f t="shared" si="439"/>
        <v>53798</v>
      </c>
      <c r="B5631">
        <f t="shared" ca="1" si="435"/>
        <v>-21.238888888888887</v>
      </c>
      <c r="C5631" t="str">
        <f ca="1">IF(currency="USD",'Future et co'!D5631,IF(currency="EUR",'Future et co'!E5631,IF(currency="GBP",'Future et co'!F5631,FALSE)))</f>
        <v>RFR USD</v>
      </c>
      <c r="D5631" t="str">
        <f t="shared" ca="1" si="436"/>
        <v>RFR USD</v>
      </c>
      <c r="E5631" t="str">
        <f t="shared" ca="1" si="437"/>
        <v>RFR EUR</v>
      </c>
      <c r="F5631" t="str">
        <f t="shared" ca="1" si="438"/>
        <v>RFR GBP</v>
      </c>
    </row>
    <row r="5632" spans="1:6" x14ac:dyDescent="0.3">
      <c r="A5632" s="19">
        <f t="shared" si="439"/>
        <v>53799</v>
      </c>
      <c r="B5632">
        <f t="shared" ca="1" si="435"/>
        <v>-21.241666666666667</v>
      </c>
      <c r="C5632" t="str">
        <f ca="1">IF(currency="USD",'Future et co'!D5632,IF(currency="EUR",'Future et co'!E5632,IF(currency="GBP",'Future et co'!F5632,FALSE)))</f>
        <v>RFR USD</v>
      </c>
      <c r="D5632" t="str">
        <f t="shared" ca="1" si="436"/>
        <v>RFR USD</v>
      </c>
      <c r="E5632" t="str">
        <f t="shared" ca="1" si="437"/>
        <v>RFR EUR</v>
      </c>
      <c r="F5632" t="str">
        <f t="shared" ca="1" si="438"/>
        <v>RFR GBP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A44BD-D9BD-48FF-A688-324DAA9B7A55}">
  <sheetPr codeName="Sheet7">
    <tabColor rgb="FF92D050"/>
  </sheetPr>
  <dimension ref="A1:O121"/>
  <sheetViews>
    <sheetView workbookViewId="0">
      <selection activeCell="G4" sqref="G4"/>
    </sheetView>
  </sheetViews>
  <sheetFormatPr defaultRowHeight="14.4" x14ac:dyDescent="0.3"/>
  <cols>
    <col min="1" max="1" width="12.77734375" bestFit="1" customWidth="1"/>
    <col min="2" max="2" width="10.5546875" style="4" bestFit="1" customWidth="1"/>
    <col min="3" max="3" width="6" style="37" bestFit="1" customWidth="1"/>
    <col min="4" max="4" width="5.109375" bestFit="1" customWidth="1"/>
    <col min="5" max="5" width="11.6640625" bestFit="1" customWidth="1"/>
    <col min="6" max="6" width="4.88671875" bestFit="1" customWidth="1"/>
    <col min="7" max="7" width="15.21875" bestFit="1" customWidth="1"/>
    <col min="8" max="8" width="14.109375" bestFit="1" customWidth="1"/>
    <col min="9" max="9" width="10.109375" bestFit="1" customWidth="1"/>
    <col min="10" max="10" width="15.6640625" bestFit="1" customWidth="1"/>
    <col min="11" max="11" width="8.88671875" bestFit="1" customWidth="1"/>
    <col min="12" max="12" width="12" bestFit="1" customWidth="1"/>
    <col min="13" max="13" width="12.6640625" bestFit="1" customWidth="1"/>
    <col min="14" max="14" width="9.88671875" bestFit="1" customWidth="1"/>
    <col min="15" max="15" width="13.88671875" bestFit="1" customWidth="1"/>
  </cols>
  <sheetData>
    <row r="1" spans="1:15" x14ac:dyDescent="0.3">
      <c r="A1" s="3" t="s">
        <v>84</v>
      </c>
      <c r="B1" s="26" t="s">
        <v>55</v>
      </c>
      <c r="C1" s="36" t="s">
        <v>61</v>
      </c>
      <c r="D1" s="3" t="s">
        <v>56</v>
      </c>
      <c r="E1" s="3" t="s">
        <v>85</v>
      </c>
      <c r="F1" s="3" t="s">
        <v>86</v>
      </c>
      <c r="G1" s="3" t="s">
        <v>129</v>
      </c>
      <c r="H1" s="3" t="s">
        <v>122</v>
      </c>
      <c r="I1" s="3" t="s">
        <v>91</v>
      </c>
      <c r="J1" s="3" t="s">
        <v>158</v>
      </c>
      <c r="K1" s="3" t="s">
        <v>58</v>
      </c>
      <c r="L1" s="3" t="s">
        <v>159</v>
      </c>
      <c r="M1" s="3" t="s">
        <v>63</v>
      </c>
      <c r="N1" s="3" t="s">
        <v>160</v>
      </c>
      <c r="O1" s="3" t="s">
        <v>161</v>
      </c>
    </row>
    <row r="2" spans="1:15" x14ac:dyDescent="0.3">
      <c r="J2" s="62"/>
    </row>
    <row r="3" spans="1:15" x14ac:dyDescent="0.3">
      <c r="J3" s="62"/>
    </row>
    <row r="4" spans="1:15" x14ac:dyDescent="0.3">
      <c r="J4" s="62"/>
    </row>
    <row r="5" spans="1:15" x14ac:dyDescent="0.3">
      <c r="J5" s="62"/>
    </row>
    <row r="6" spans="1:15" x14ac:dyDescent="0.3">
      <c r="J6" s="62"/>
    </row>
    <row r="7" spans="1:15" x14ac:dyDescent="0.3">
      <c r="J7" s="62"/>
    </row>
    <row r="8" spans="1:15" x14ac:dyDescent="0.3">
      <c r="J8" s="62"/>
    </row>
    <row r="9" spans="1:15" x14ac:dyDescent="0.3">
      <c r="J9" s="62"/>
    </row>
    <row r="10" spans="1:15" x14ac:dyDescent="0.3">
      <c r="J10" s="62"/>
    </row>
    <row r="11" spans="1:15" x14ac:dyDescent="0.3">
      <c r="J11" s="62"/>
    </row>
    <row r="12" spans="1:15" x14ac:dyDescent="0.3">
      <c r="J12" s="62"/>
    </row>
    <row r="13" spans="1:15" x14ac:dyDescent="0.3">
      <c r="J13" s="62"/>
    </row>
    <row r="14" spans="1:15" x14ac:dyDescent="0.3">
      <c r="J14" s="62"/>
    </row>
    <row r="15" spans="1:15" x14ac:dyDescent="0.3">
      <c r="J15" s="62"/>
    </row>
    <row r="16" spans="1:15" x14ac:dyDescent="0.3">
      <c r="J16" s="62"/>
    </row>
    <row r="17" spans="10:10" x14ac:dyDescent="0.3">
      <c r="J17" s="62"/>
    </row>
    <row r="18" spans="10:10" x14ac:dyDescent="0.3">
      <c r="J18" s="62"/>
    </row>
    <row r="19" spans="10:10" x14ac:dyDescent="0.3">
      <c r="J19" s="62"/>
    </row>
    <row r="20" spans="10:10" x14ac:dyDescent="0.3">
      <c r="J20" s="62"/>
    </row>
    <row r="21" spans="10:10" x14ac:dyDescent="0.3">
      <c r="J21" s="62"/>
    </row>
    <row r="22" spans="10:10" x14ac:dyDescent="0.3">
      <c r="J22" s="62"/>
    </row>
    <row r="23" spans="10:10" x14ac:dyDescent="0.3">
      <c r="J23" s="62"/>
    </row>
    <row r="24" spans="10:10" x14ac:dyDescent="0.3">
      <c r="J24" s="62"/>
    </row>
    <row r="25" spans="10:10" x14ac:dyDescent="0.3">
      <c r="J25" s="62"/>
    </row>
    <row r="26" spans="10:10" x14ac:dyDescent="0.3">
      <c r="J26" s="62"/>
    </row>
    <row r="27" spans="10:10" x14ac:dyDescent="0.3">
      <c r="J27" s="62"/>
    </row>
    <row r="28" spans="10:10" x14ac:dyDescent="0.3">
      <c r="J28" s="62"/>
    </row>
    <row r="29" spans="10:10" x14ac:dyDescent="0.3">
      <c r="J29" s="62"/>
    </row>
    <row r="30" spans="10:10" x14ac:dyDescent="0.3">
      <c r="J30" s="62"/>
    </row>
    <row r="31" spans="10:10" x14ac:dyDescent="0.3">
      <c r="J31" s="62"/>
    </row>
    <row r="32" spans="10:10" x14ac:dyDescent="0.3">
      <c r="J32" s="62"/>
    </row>
    <row r="33" spans="10:10" x14ac:dyDescent="0.3">
      <c r="J33" s="62"/>
    </row>
    <row r="34" spans="10:10" x14ac:dyDescent="0.3">
      <c r="J34" s="62"/>
    </row>
    <row r="35" spans="10:10" x14ac:dyDescent="0.3">
      <c r="J35" s="62"/>
    </row>
    <row r="36" spans="10:10" x14ac:dyDescent="0.3">
      <c r="J36" s="62"/>
    </row>
    <row r="37" spans="10:10" x14ac:dyDescent="0.3">
      <c r="J37" s="62"/>
    </row>
    <row r="38" spans="10:10" x14ac:dyDescent="0.3">
      <c r="J38" s="62"/>
    </row>
    <row r="39" spans="10:10" x14ac:dyDescent="0.3">
      <c r="J39" s="62"/>
    </row>
    <row r="40" spans="10:10" x14ac:dyDescent="0.3">
      <c r="J40" s="62"/>
    </row>
    <row r="41" spans="10:10" x14ac:dyDescent="0.3">
      <c r="J41" s="62"/>
    </row>
    <row r="42" spans="10:10" x14ac:dyDescent="0.3">
      <c r="J42" s="62"/>
    </row>
    <row r="43" spans="10:10" x14ac:dyDescent="0.3">
      <c r="J43" s="62"/>
    </row>
    <row r="44" spans="10:10" x14ac:dyDescent="0.3">
      <c r="J44" s="62"/>
    </row>
    <row r="45" spans="10:10" x14ac:dyDescent="0.3">
      <c r="J45" s="62"/>
    </row>
    <row r="46" spans="10:10" x14ac:dyDescent="0.3">
      <c r="J46" s="62"/>
    </row>
    <row r="47" spans="10:10" x14ac:dyDescent="0.3">
      <c r="J47" s="62"/>
    </row>
    <row r="48" spans="10:10" x14ac:dyDescent="0.3">
      <c r="J48" s="62"/>
    </row>
    <row r="49" spans="10:10" x14ac:dyDescent="0.3">
      <c r="J49" s="62"/>
    </row>
    <row r="50" spans="10:10" x14ac:dyDescent="0.3">
      <c r="J50" s="62"/>
    </row>
    <row r="51" spans="10:10" x14ac:dyDescent="0.3">
      <c r="J51" s="62"/>
    </row>
    <row r="52" spans="10:10" x14ac:dyDescent="0.3">
      <c r="J52" s="62"/>
    </row>
    <row r="53" spans="10:10" x14ac:dyDescent="0.3">
      <c r="J53" s="62"/>
    </row>
    <row r="54" spans="10:10" x14ac:dyDescent="0.3">
      <c r="J54" s="62"/>
    </row>
    <row r="55" spans="10:10" x14ac:dyDescent="0.3">
      <c r="J55" s="62"/>
    </row>
    <row r="56" spans="10:10" x14ac:dyDescent="0.3">
      <c r="J56" s="62"/>
    </row>
    <row r="57" spans="10:10" x14ac:dyDescent="0.3">
      <c r="J57" s="62"/>
    </row>
    <row r="58" spans="10:10" x14ac:dyDescent="0.3">
      <c r="J58" s="62"/>
    </row>
    <row r="59" spans="10:10" x14ac:dyDescent="0.3">
      <c r="J59" s="62"/>
    </row>
    <row r="60" spans="10:10" x14ac:dyDescent="0.3">
      <c r="J60" s="62"/>
    </row>
    <row r="61" spans="10:10" x14ac:dyDescent="0.3">
      <c r="J61" s="62"/>
    </row>
    <row r="62" spans="10:10" x14ac:dyDescent="0.3">
      <c r="J62" s="62"/>
    </row>
    <row r="63" spans="10:10" x14ac:dyDescent="0.3">
      <c r="J63" s="62"/>
    </row>
    <row r="64" spans="10:10" x14ac:dyDescent="0.3">
      <c r="J64" s="62"/>
    </row>
    <row r="65" spans="10:10" x14ac:dyDescent="0.3">
      <c r="J65" s="62"/>
    </row>
    <row r="66" spans="10:10" x14ac:dyDescent="0.3">
      <c r="J66" s="62"/>
    </row>
    <row r="67" spans="10:10" x14ac:dyDescent="0.3">
      <c r="J67" s="62"/>
    </row>
    <row r="68" spans="10:10" x14ac:dyDescent="0.3">
      <c r="J68" s="62"/>
    </row>
    <row r="69" spans="10:10" x14ac:dyDescent="0.3">
      <c r="J69" s="62"/>
    </row>
    <row r="70" spans="10:10" x14ac:dyDescent="0.3">
      <c r="J70" s="62"/>
    </row>
    <row r="71" spans="10:10" x14ac:dyDescent="0.3">
      <c r="J71" s="62"/>
    </row>
    <row r="72" spans="10:10" x14ac:dyDescent="0.3">
      <c r="J72" s="62"/>
    </row>
    <row r="73" spans="10:10" x14ac:dyDescent="0.3">
      <c r="J73" s="62"/>
    </row>
    <row r="74" spans="10:10" x14ac:dyDescent="0.3">
      <c r="J74" s="62"/>
    </row>
    <row r="75" spans="10:10" x14ac:dyDescent="0.3">
      <c r="J75" s="62"/>
    </row>
    <row r="76" spans="10:10" x14ac:dyDescent="0.3">
      <c r="J76" s="62"/>
    </row>
    <row r="77" spans="10:10" x14ac:dyDescent="0.3">
      <c r="J77" s="62"/>
    </row>
    <row r="78" spans="10:10" x14ac:dyDescent="0.3">
      <c r="J78" s="62"/>
    </row>
    <row r="79" spans="10:10" x14ac:dyDescent="0.3">
      <c r="J79" s="62"/>
    </row>
    <row r="80" spans="10:10" x14ac:dyDescent="0.3">
      <c r="J80" s="62"/>
    </row>
    <row r="81" spans="10:10" x14ac:dyDescent="0.3">
      <c r="J81" s="62"/>
    </row>
    <row r="82" spans="10:10" x14ac:dyDescent="0.3">
      <c r="J82" s="62"/>
    </row>
    <row r="83" spans="10:10" x14ac:dyDescent="0.3">
      <c r="J83" s="62"/>
    </row>
    <row r="84" spans="10:10" x14ac:dyDescent="0.3">
      <c r="J84" s="62"/>
    </row>
    <row r="85" spans="10:10" x14ac:dyDescent="0.3">
      <c r="J85" s="62"/>
    </row>
    <row r="86" spans="10:10" x14ac:dyDescent="0.3">
      <c r="J86" s="62"/>
    </row>
    <row r="87" spans="10:10" x14ac:dyDescent="0.3">
      <c r="J87" s="62"/>
    </row>
    <row r="88" spans="10:10" x14ac:dyDescent="0.3">
      <c r="J88" s="62"/>
    </row>
    <row r="89" spans="10:10" x14ac:dyDescent="0.3">
      <c r="J89" s="62"/>
    </row>
    <row r="90" spans="10:10" x14ac:dyDescent="0.3">
      <c r="J90" s="62"/>
    </row>
    <row r="91" spans="10:10" x14ac:dyDescent="0.3">
      <c r="J91" s="62"/>
    </row>
    <row r="92" spans="10:10" x14ac:dyDescent="0.3">
      <c r="J92" s="62"/>
    </row>
    <row r="93" spans="10:10" x14ac:dyDescent="0.3">
      <c r="J93" s="62"/>
    </row>
    <row r="94" spans="10:10" x14ac:dyDescent="0.3">
      <c r="J94" s="62"/>
    </row>
    <row r="95" spans="10:10" x14ac:dyDescent="0.3">
      <c r="J95" s="62"/>
    </row>
    <row r="96" spans="10:10" x14ac:dyDescent="0.3">
      <c r="J96" s="62"/>
    </row>
    <row r="97" spans="10:10" x14ac:dyDescent="0.3">
      <c r="J97" s="62"/>
    </row>
    <row r="98" spans="10:10" x14ac:dyDescent="0.3">
      <c r="J98" s="62"/>
    </row>
    <row r="99" spans="10:10" x14ac:dyDescent="0.3">
      <c r="J99" s="62"/>
    </row>
    <row r="100" spans="10:10" x14ac:dyDescent="0.3">
      <c r="J100" s="62"/>
    </row>
    <row r="101" spans="10:10" x14ac:dyDescent="0.3">
      <c r="J101" s="62"/>
    </row>
    <row r="102" spans="10:10" x14ac:dyDescent="0.3">
      <c r="J102" s="62"/>
    </row>
    <row r="103" spans="10:10" x14ac:dyDescent="0.3">
      <c r="J103" s="62"/>
    </row>
    <row r="104" spans="10:10" x14ac:dyDescent="0.3">
      <c r="J104" s="62"/>
    </row>
    <row r="105" spans="10:10" x14ac:dyDescent="0.3">
      <c r="J105" s="62"/>
    </row>
    <row r="106" spans="10:10" x14ac:dyDescent="0.3">
      <c r="J106" s="62"/>
    </row>
    <row r="107" spans="10:10" x14ac:dyDescent="0.3">
      <c r="J107" s="62"/>
    </row>
    <row r="108" spans="10:10" x14ac:dyDescent="0.3">
      <c r="J108" s="62"/>
    </row>
    <row r="109" spans="10:10" x14ac:dyDescent="0.3">
      <c r="J109" s="62"/>
    </row>
    <row r="110" spans="10:10" x14ac:dyDescent="0.3">
      <c r="J110" s="62"/>
    </row>
    <row r="111" spans="10:10" x14ac:dyDescent="0.3">
      <c r="J111" s="62"/>
    </row>
    <row r="112" spans="10:10" x14ac:dyDescent="0.3">
      <c r="J112" s="62"/>
    </row>
    <row r="113" spans="10:10" x14ac:dyDescent="0.3">
      <c r="J113" s="62"/>
    </row>
    <row r="114" spans="10:10" x14ac:dyDescent="0.3">
      <c r="J114" s="62"/>
    </row>
    <row r="115" spans="10:10" x14ac:dyDescent="0.3">
      <c r="J115" s="62"/>
    </row>
    <row r="116" spans="10:10" x14ac:dyDescent="0.3">
      <c r="J116" s="62"/>
    </row>
    <row r="117" spans="10:10" x14ac:dyDescent="0.3">
      <c r="J117" s="62"/>
    </row>
    <row r="118" spans="10:10" x14ac:dyDescent="0.3">
      <c r="J118" s="62"/>
    </row>
    <row r="119" spans="10:10" x14ac:dyDescent="0.3">
      <c r="J119" s="62"/>
    </row>
    <row r="120" spans="10:10" x14ac:dyDescent="0.3">
      <c r="J120" s="62"/>
    </row>
    <row r="121" spans="10:10" x14ac:dyDescent="0.3">
      <c r="J121" s="62"/>
    </row>
  </sheetData>
  <phoneticPr fontId="7" type="noConversion"/>
  <conditionalFormatting sqref="I2:I369">
    <cfRule type="containsText" dxfId="2" priority="1" stopIfTrue="1" operator="containsText" text="Yes">
      <formula>NOT(ISERROR(SEARCH("Yes",I2)))</formula>
    </cfRule>
    <cfRule type="containsText" dxfId="1" priority="2" stopIfTrue="1" operator="containsText" text="Error">
      <formula>NOT(ISERROR(SEARCH("Error",I2)))</formula>
    </cfRule>
    <cfRule type="containsText" dxfId="0" priority="3" stopIfTrue="1" operator="containsText" text="Processing">
      <formula>NOT(ISERROR(SEARCH("Processing",I2)))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181EF-2434-4FA1-844A-0DE88007FF80}">
  <sheetPr codeName="Sheet60"/>
  <dimension ref="H4"/>
  <sheetViews>
    <sheetView workbookViewId="0">
      <selection activeCell="A3" sqref="A3"/>
    </sheetView>
  </sheetViews>
  <sheetFormatPr defaultRowHeight="14.4" x14ac:dyDescent="0.3"/>
  <cols>
    <col min="1" max="1" width="19.6640625" customWidth="1"/>
    <col min="2" max="2" width="7" bestFit="1" customWidth="1"/>
    <col min="3" max="5" width="15.77734375" customWidth="1"/>
  </cols>
  <sheetData>
    <row r="4" spans="8:8" x14ac:dyDescent="0.3">
      <c r="H4" s="6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4B8C4-DBF1-4D83-BA7F-9F8C1FB81E37}">
  <sheetPr codeName="Sheet59"/>
  <dimension ref="A1:AC4"/>
  <sheetViews>
    <sheetView workbookViewId="0">
      <selection activeCell="A5" sqref="A5"/>
    </sheetView>
  </sheetViews>
  <sheetFormatPr defaultRowHeight="14.4" x14ac:dyDescent="0.3"/>
  <cols>
    <col min="1" max="1" width="18.109375" style="31" bestFit="1" customWidth="1"/>
    <col min="2" max="2" width="12.77734375" customWidth="1"/>
    <col min="3" max="3" width="14.77734375" bestFit="1" customWidth="1"/>
    <col min="4" max="4" width="22.44140625" style="31" bestFit="1" customWidth="1"/>
    <col min="5" max="8" width="12.77734375" customWidth="1"/>
    <col min="9" max="9" width="16.77734375" customWidth="1"/>
    <col min="10" max="14" width="12.77734375" customWidth="1"/>
    <col min="15" max="19" width="12.77734375" style="14" customWidth="1"/>
    <col min="20" max="27" width="12.77734375" customWidth="1"/>
    <col min="28" max="28" width="18.44140625" bestFit="1" customWidth="1"/>
  </cols>
  <sheetData>
    <row r="1" spans="1:29" ht="28.8" x14ac:dyDescent="0.3">
      <c r="A1" s="30" t="s">
        <v>57</v>
      </c>
      <c r="B1" s="12" t="s">
        <v>58</v>
      </c>
      <c r="C1" s="12" t="s">
        <v>59</v>
      </c>
      <c r="D1" s="30" t="s">
        <v>55</v>
      </c>
      <c r="E1" s="12" t="s">
        <v>60</v>
      </c>
      <c r="F1" s="12" t="s">
        <v>54</v>
      </c>
      <c r="G1" s="12" t="s">
        <v>61</v>
      </c>
      <c r="H1" s="12" t="s">
        <v>56</v>
      </c>
      <c r="I1" s="12" t="s">
        <v>62</v>
      </c>
      <c r="J1" s="12" t="s">
        <v>63</v>
      </c>
      <c r="K1" s="12" t="s">
        <v>64</v>
      </c>
      <c r="L1" s="12" t="s">
        <v>65</v>
      </c>
      <c r="M1" s="12" t="s">
        <v>66</v>
      </c>
      <c r="N1" s="12" t="s">
        <v>67</v>
      </c>
      <c r="O1" s="13" t="s">
        <v>68</v>
      </c>
      <c r="P1" s="13" t="s">
        <v>52</v>
      </c>
      <c r="Q1" s="13" t="s">
        <v>51</v>
      </c>
      <c r="R1" s="13" t="s">
        <v>69</v>
      </c>
      <c r="S1" s="12" t="s">
        <v>167</v>
      </c>
      <c r="T1" s="12" t="s">
        <v>70</v>
      </c>
      <c r="U1" s="12" t="s">
        <v>71</v>
      </c>
      <c r="V1" s="12" t="s">
        <v>72</v>
      </c>
      <c r="W1" s="12" t="s">
        <v>73</v>
      </c>
      <c r="X1" s="12" t="s">
        <v>74</v>
      </c>
      <c r="Y1" s="12" t="s">
        <v>75</v>
      </c>
      <c r="Z1" s="12" t="s">
        <v>76</v>
      </c>
      <c r="AA1" s="12" t="s">
        <v>77</v>
      </c>
      <c r="AB1" s="11" t="s">
        <v>84</v>
      </c>
      <c r="AC1" s="2" t="s">
        <v>162</v>
      </c>
    </row>
    <row r="4" spans="1:29" x14ac:dyDescent="0.3">
      <c r="A4" s="31" t="s">
        <v>177</v>
      </c>
    </row>
  </sheetData>
  <autoFilter ref="A1:AB108" xr:uid="{6024B8C4-DBF1-4D83-BA7F-9F8C1FB81E37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1DC5-5FD7-49AC-B72F-0A1C12626C6B}">
  <sheetPr codeName="Sheet58"/>
  <dimension ref="A1:AC2"/>
  <sheetViews>
    <sheetView workbookViewId="0">
      <selection activeCell="A2" sqref="A2"/>
    </sheetView>
  </sheetViews>
  <sheetFormatPr defaultRowHeight="14.4" x14ac:dyDescent="0.3"/>
  <cols>
    <col min="1" max="1" width="18.109375" style="31" bestFit="1" customWidth="1"/>
    <col min="2" max="3" width="12.77734375" customWidth="1"/>
    <col min="4" max="4" width="18.109375" style="31" bestFit="1" customWidth="1"/>
    <col min="5" max="26" width="12.77734375" customWidth="1"/>
  </cols>
  <sheetData>
    <row r="1" spans="1:29" ht="30" customHeight="1" x14ac:dyDescent="0.3">
      <c r="A1" s="32" t="s">
        <v>57</v>
      </c>
      <c r="B1" s="2" t="s">
        <v>58</v>
      </c>
      <c r="C1" s="2" t="s">
        <v>59</v>
      </c>
      <c r="D1" s="32" t="s">
        <v>55</v>
      </c>
      <c r="E1" s="2" t="s">
        <v>92</v>
      </c>
      <c r="F1" s="2" t="s">
        <v>54</v>
      </c>
      <c r="G1" s="2" t="s">
        <v>61</v>
      </c>
      <c r="H1" s="2" t="s">
        <v>56</v>
      </c>
      <c r="I1" s="2" t="s">
        <v>62</v>
      </c>
      <c r="J1" s="2" t="s">
        <v>63</v>
      </c>
      <c r="K1" s="2" t="s">
        <v>64</v>
      </c>
      <c r="L1" s="2" t="s">
        <v>65</v>
      </c>
      <c r="M1" s="2" t="s">
        <v>66</v>
      </c>
      <c r="N1" s="2" t="s">
        <v>67</v>
      </c>
      <c r="O1" s="2" t="s">
        <v>93</v>
      </c>
      <c r="P1" s="2" t="s">
        <v>84</v>
      </c>
      <c r="Q1" s="2" t="s">
        <v>68</v>
      </c>
      <c r="R1" s="2" t="s">
        <v>52</v>
      </c>
      <c r="S1" s="2" t="s">
        <v>51</v>
      </c>
      <c r="T1" s="2" t="s">
        <v>69</v>
      </c>
      <c r="U1" s="2" t="s">
        <v>70</v>
      </c>
      <c r="V1" s="2" t="s">
        <v>71</v>
      </c>
      <c r="W1" s="2" t="s">
        <v>72</v>
      </c>
      <c r="X1" s="2" t="s">
        <v>73</v>
      </c>
      <c r="Y1" s="2" t="s">
        <v>74</v>
      </c>
      <c r="Z1" s="2" t="s">
        <v>75</v>
      </c>
      <c r="AA1" s="2" t="s">
        <v>76</v>
      </c>
      <c r="AB1" s="2" t="s">
        <v>77</v>
      </c>
      <c r="AC1" s="2" t="s">
        <v>162</v>
      </c>
    </row>
    <row r="2" spans="1:29" x14ac:dyDescent="0.3">
      <c r="A2" s="31" t="str">
        <f>_xll.RHistory("OGBM1112C6",".Timestamp;.Close","START:2025-09-30 END:2025-12-22 INTERVAL:1D")</f>
        <v>Not Signed In</v>
      </c>
      <c r="B2">
        <v>4.62</v>
      </c>
      <c r="C2" t="s">
        <v>163</v>
      </c>
      <c r="D2" s="31">
        <v>46073</v>
      </c>
      <c r="E2" t="str">
        <f>IFERROR(VLOOKUP(A2,'Future et co'!A10:C5632,5,TRUE),"not found")</f>
        <v>not found</v>
      </c>
      <c r="F2">
        <f>IFERROR(VLOOKUP(A2,'Future et co'!AX11:AY10009,2,TRUE),"")</f>
        <v>117.61</v>
      </c>
      <c r="G2">
        <v>111.25</v>
      </c>
      <c r="H2" t="s">
        <v>28</v>
      </c>
      <c r="O2">
        <v>102</v>
      </c>
      <c r="P2" t="s">
        <v>149</v>
      </c>
      <c r="Q2">
        <v>1000</v>
      </c>
      <c r="R2" t="s">
        <v>164</v>
      </c>
      <c r="S2" t="s">
        <v>148</v>
      </c>
      <c r="T2" t="s">
        <v>135</v>
      </c>
      <c r="U2">
        <v>0</v>
      </c>
      <c r="AC2" t="s">
        <v>147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47</vt:i4>
      </vt:variant>
    </vt:vector>
  </HeadingPairs>
  <TitlesOfParts>
    <vt:vector size="54" baseType="lpstr">
      <vt:lpstr>Config</vt:lpstr>
      <vt:lpstr>ChainDownload</vt:lpstr>
      <vt:lpstr>Future et co</vt:lpstr>
      <vt:lpstr>RIC_List</vt:lpstr>
      <vt:lpstr>QualityReport</vt:lpstr>
      <vt:lpstr>Staging</vt:lpstr>
      <vt:lpstr>DataCollection</vt:lpstr>
      <vt:lpstr>batchSize</vt:lpstr>
      <vt:lpstr>currency</vt:lpstr>
      <vt:lpstr>dailyCall</vt:lpstr>
      <vt:lpstr>dailyPut</vt:lpstr>
      <vt:lpstr>dateEnd</vt:lpstr>
      <vt:lpstr>dateStart</vt:lpstr>
      <vt:lpstr>internalId</vt:lpstr>
      <vt:lpstr>lotSize</vt:lpstr>
      <vt:lpstr>maturityDate</vt:lpstr>
      <vt:lpstr>maxStrikeCall</vt:lpstr>
      <vt:lpstr>maxStrikePut</vt:lpstr>
      <vt:lpstr>methodRICBB</vt:lpstr>
      <vt:lpstr>minStrikeCall</vt:lpstr>
      <vt:lpstr>minStrikePut</vt:lpstr>
      <vt:lpstr>monthCall</vt:lpstr>
      <vt:lpstr>monthFutureBloomberg</vt:lpstr>
      <vt:lpstr>monthFutureRIC</vt:lpstr>
      <vt:lpstr>monthPut</vt:lpstr>
      <vt:lpstr>namePrefix</vt:lpstr>
      <vt:lpstr>optionFrequency</vt:lpstr>
      <vt:lpstr>optionMonthCodeMethod</vt:lpstr>
      <vt:lpstr>RatesEUR</vt:lpstr>
      <vt:lpstr>RatesEUR1y</vt:lpstr>
      <vt:lpstr>RatesEUR3m</vt:lpstr>
      <vt:lpstr>RatesEUR6m</vt:lpstr>
      <vt:lpstr>RatesGBP</vt:lpstr>
      <vt:lpstr>RatesUSD</vt:lpstr>
      <vt:lpstr>RatesUSD1y</vt:lpstr>
      <vt:lpstr>RatesUSD2y</vt:lpstr>
      <vt:lpstr>RatesUSD6m</vt:lpstr>
      <vt:lpstr>RFR</vt:lpstr>
      <vt:lpstr>RicBloomberg</vt:lpstr>
      <vt:lpstr>rootBB</vt:lpstr>
      <vt:lpstr>rootRIC</vt:lpstr>
      <vt:lpstr>rootUnderlyingBB</vt:lpstr>
      <vt:lpstr>rootUnderlyingRIC</vt:lpstr>
      <vt:lpstr>steps</vt:lpstr>
      <vt:lpstr>strikeMultiplier</vt:lpstr>
      <vt:lpstr>UnderlyingDownload</vt:lpstr>
      <vt:lpstr>UnderlyingEndDate</vt:lpstr>
      <vt:lpstr>underlyingMonthMode</vt:lpstr>
      <vt:lpstr>UnderlyingStartDate</vt:lpstr>
      <vt:lpstr>underlyingTicker</vt:lpstr>
      <vt:lpstr>UnderylingEndDate</vt:lpstr>
      <vt:lpstr>UnderylingStartDate</vt:lpstr>
      <vt:lpstr>weeklyCall</vt:lpstr>
      <vt:lpstr>weeklyPut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Malafosse</dc:creator>
  <cp:lastModifiedBy>Charles Malafosse</cp:lastModifiedBy>
  <dcterms:created xsi:type="dcterms:W3CDTF">2015-06-05T18:19:34Z</dcterms:created>
  <dcterms:modified xsi:type="dcterms:W3CDTF">2026-05-10T09:35:46Z</dcterms:modified>
</cp:coreProperties>
</file>